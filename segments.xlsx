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9081F91B-D94C-5949-ACA4-0CEF47E68062}" xr6:coauthVersionLast="47" xr6:coauthVersionMax="47" xr10:uidLastSave="{00000000-0000-0000-0000-000000000000}"/>
  <bookViews>
    <workbookView xWindow="1180" yWindow="2620" windowWidth="34320" windowHeight="19760" xr2:uid="{00000000-000D-0000-FFFF-FFFF00000000}"/>
  </bookViews>
  <sheets>
    <sheet name="BLOODWYCH439" sheetId="1" r:id="rId1"/>
    <sheet name="Sheet2" sheetId="3" r:id="rId2"/>
  </sheets>
  <definedNames>
    <definedName name="_xlnm._FilterDatabase" localSheetId="0" hidden="1">BLOODWYCH439!$A$1:$M$2686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3" i="1"/>
  <c r="I255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5" i="1"/>
  <c r="I286" i="1"/>
  <c r="I287" i="1"/>
  <c r="I288" i="1"/>
  <c r="I289" i="1"/>
  <c r="I290" i="1"/>
  <c r="I291" i="1"/>
  <c r="I292" i="1"/>
  <c r="I296" i="1"/>
  <c r="I297" i="1"/>
  <c r="I298" i="1"/>
  <c r="I299" i="1"/>
  <c r="I300" i="1"/>
  <c r="I301" i="1"/>
  <c r="I302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9" i="1"/>
  <c r="I330" i="1"/>
  <c r="I332" i="1"/>
  <c r="I334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68" i="1"/>
  <c r="I469" i="1"/>
  <c r="I470" i="1"/>
  <c r="I471" i="1"/>
  <c r="I472" i="1"/>
  <c r="I473" i="1"/>
  <c r="I474" i="1"/>
  <c r="I475" i="1"/>
  <c r="I483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90" i="1"/>
  <c r="I592" i="1"/>
  <c r="I598" i="1"/>
  <c r="I599" i="1"/>
  <c r="I601" i="1"/>
  <c r="I602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8" i="1"/>
  <c r="I651" i="1"/>
  <c r="I652" i="1"/>
  <c r="I654" i="1"/>
  <c r="I655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8" i="1"/>
  <c r="I2289" i="1"/>
  <c r="I2290" i="1"/>
  <c r="I2291" i="1"/>
  <c r="I2292" i="1"/>
  <c r="I2293" i="1"/>
  <c r="I2294" i="1"/>
  <c r="I2295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3" i="1"/>
  <c r="G255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5" i="1"/>
  <c r="G286" i="1"/>
  <c r="G287" i="1"/>
  <c r="G288" i="1"/>
  <c r="G289" i="1"/>
  <c r="G290" i="1"/>
  <c r="G291" i="1"/>
  <c r="G292" i="1"/>
  <c r="G296" i="1"/>
  <c r="G297" i="1"/>
  <c r="G298" i="1"/>
  <c r="G299" i="1"/>
  <c r="G300" i="1"/>
  <c r="G301" i="1"/>
  <c r="G302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9" i="1"/>
  <c r="G330" i="1"/>
  <c r="G332" i="1"/>
  <c r="G334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68" i="1"/>
  <c r="G469" i="1"/>
  <c r="G470" i="1"/>
  <c r="G471" i="1"/>
  <c r="G472" i="1"/>
  <c r="G473" i="1"/>
  <c r="G474" i="1"/>
  <c r="G475" i="1"/>
  <c r="G483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90" i="1"/>
  <c r="G592" i="1"/>
  <c r="G598" i="1"/>
  <c r="G599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8" i="1"/>
  <c r="G651" i="1"/>
  <c r="G652" i="1"/>
  <c r="G654" i="1"/>
  <c r="G655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292" i="1"/>
  <c r="G2293" i="1"/>
  <c r="G2294" i="1"/>
  <c r="G2295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E1531" i="1"/>
  <c r="E1922" i="1" l="1"/>
  <c r="E1287" i="1" l="1"/>
  <c r="G3" i="1"/>
  <c r="G4" i="1"/>
  <c r="G5" i="1"/>
  <c r="G6" i="1"/>
  <c r="G7" i="1"/>
  <c r="G8" i="1"/>
  <c r="G9" i="1"/>
  <c r="G10" i="1"/>
  <c r="I2667" i="1"/>
  <c r="C10" i="3"/>
  <c r="C9" i="3"/>
  <c r="C11" i="3" s="1"/>
  <c r="E1131" i="1"/>
  <c r="D11" i="3" l="1"/>
  <c r="D10" i="3"/>
  <c r="E2006" i="1" l="1"/>
  <c r="G2667" i="1"/>
  <c r="E2145" i="1"/>
  <c r="E2146" i="1"/>
  <c r="E238" i="1" l="1"/>
  <c r="E237" i="1"/>
  <c r="E236" i="1"/>
  <c r="E235" i="1"/>
  <c r="E230" i="1"/>
  <c r="E817" i="1" l="1"/>
  <c r="E898" i="1"/>
  <c r="E901" i="1"/>
  <c r="E908" i="1"/>
  <c r="E910" i="1"/>
  <c r="E919" i="1"/>
  <c r="E1063" i="1"/>
  <c r="E1065" i="1"/>
  <c r="E1140" i="1"/>
  <c r="E2026" i="1"/>
  <c r="E1969" i="1" l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7" i="1"/>
  <c r="E2008" i="1"/>
  <c r="E2009" i="1"/>
  <c r="E2010" i="1"/>
  <c r="E2011" i="1"/>
  <c r="E2012" i="1"/>
  <c r="E2014" i="1"/>
  <c r="E2016" i="1"/>
  <c r="E2017" i="1"/>
  <c r="E2019" i="1"/>
  <c r="E2020" i="1"/>
  <c r="E2021" i="1"/>
  <c r="E2022" i="1"/>
  <c r="E2023" i="1"/>
  <c r="E2024" i="1"/>
  <c r="E2027" i="1"/>
  <c r="E2028" i="1"/>
  <c r="E2029" i="1"/>
  <c r="E2032" i="1"/>
  <c r="E2033" i="1"/>
  <c r="E2034" i="1"/>
  <c r="E2035" i="1"/>
  <c r="E2036" i="1"/>
  <c r="E2038" i="1"/>
  <c r="E2039" i="1"/>
  <c r="E2040" i="1"/>
  <c r="E2042" i="1"/>
  <c r="E2044" i="1"/>
  <c r="E2045" i="1"/>
  <c r="E2047" i="1"/>
  <c r="E2049" i="1"/>
  <c r="E2050" i="1"/>
  <c r="E2051" i="1"/>
  <c r="E2052" i="1"/>
  <c r="E2054" i="1"/>
  <c r="E2055" i="1"/>
  <c r="E2056" i="1"/>
  <c r="E2057" i="1"/>
  <c r="E2058" i="1"/>
  <c r="E2062" i="1"/>
  <c r="E2064" i="1"/>
  <c r="E2066" i="1"/>
  <c r="E2067" i="1"/>
  <c r="E2068" i="1"/>
  <c r="E2069" i="1"/>
  <c r="E2070" i="1"/>
  <c r="E2073" i="1"/>
  <c r="E2074" i="1"/>
  <c r="E2076" i="1"/>
  <c r="E2077" i="1"/>
  <c r="E2078" i="1"/>
  <c r="E2079" i="1"/>
  <c r="E2080" i="1"/>
  <c r="E2081" i="1"/>
  <c r="E2082" i="1"/>
  <c r="E2087" i="1"/>
  <c r="E2090" i="1"/>
  <c r="E2091" i="1"/>
  <c r="E2092" i="1"/>
  <c r="E2093" i="1"/>
  <c r="E2094" i="1"/>
  <c r="E2096" i="1"/>
  <c r="E2100" i="1"/>
  <c r="E2104" i="1"/>
  <c r="E2105" i="1"/>
  <c r="E2106" i="1"/>
  <c r="E2107" i="1"/>
  <c r="E2108" i="1"/>
  <c r="E2109" i="1"/>
  <c r="E2110" i="1"/>
  <c r="E2111" i="1"/>
  <c r="E2112" i="1"/>
  <c r="E2113" i="1"/>
  <c r="E2115" i="1"/>
  <c r="E2118" i="1"/>
  <c r="E2119" i="1"/>
  <c r="E2123" i="1"/>
  <c r="E2124" i="1"/>
  <c r="E2132" i="1"/>
  <c r="E2137" i="1"/>
  <c r="E2138" i="1"/>
  <c r="E2139" i="1"/>
  <c r="E2140" i="1"/>
  <c r="E2147" i="1"/>
  <c r="E2153" i="1"/>
  <c r="E2157" i="1"/>
  <c r="E2160" i="1"/>
  <c r="E2162" i="1"/>
  <c r="E2163" i="1"/>
  <c r="E2164" i="1"/>
  <c r="E2167" i="1"/>
  <c r="E2168" i="1"/>
  <c r="E2169" i="1"/>
  <c r="E2170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3" i="1"/>
  <c r="E2234" i="1"/>
  <c r="E2235" i="1"/>
  <c r="E2236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8" i="1"/>
  <c r="E2281" i="1"/>
  <c r="E2282" i="1"/>
  <c r="E2283" i="1"/>
  <c r="E2284" i="1"/>
  <c r="E2285" i="1"/>
  <c r="E2288" i="1"/>
  <c r="E2289" i="1"/>
  <c r="E2290" i="1"/>
  <c r="E2291" i="1"/>
  <c r="E2305" i="1"/>
  <c r="E2307" i="1"/>
  <c r="E2314" i="1"/>
  <c r="E2317" i="1"/>
  <c r="E2325" i="1"/>
  <c r="E2329" i="1"/>
  <c r="E2331" i="1"/>
  <c r="E2339" i="1"/>
  <c r="E2340" i="1"/>
  <c r="E2343" i="1"/>
  <c r="E2344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8" i="1"/>
  <c r="E1967" i="1"/>
  <c r="E1962" i="1"/>
  <c r="E1964" i="1"/>
  <c r="E1965" i="1"/>
  <c r="E1966" i="1"/>
  <c r="E1961" i="1"/>
  <c r="E1706" i="1"/>
  <c r="E1707" i="1"/>
  <c r="E1708" i="1"/>
  <c r="E1709" i="1"/>
  <c r="E1711" i="1"/>
  <c r="E1712" i="1"/>
  <c r="E1713" i="1"/>
  <c r="E1729" i="1"/>
  <c r="E1730" i="1"/>
  <c r="E1731" i="1"/>
  <c r="E1732" i="1"/>
  <c r="E1733" i="1"/>
  <c r="E1734" i="1"/>
  <c r="E1735" i="1"/>
  <c r="E1736" i="1"/>
  <c r="E1737" i="1"/>
  <c r="E1739" i="1"/>
  <c r="E1740" i="1"/>
  <c r="E1741" i="1"/>
  <c r="E1752" i="1"/>
  <c r="E1760" i="1"/>
  <c r="E1762" i="1"/>
  <c r="E1763" i="1"/>
  <c r="E1764" i="1"/>
  <c r="E1765" i="1"/>
  <c r="E1766" i="1"/>
  <c r="E1768" i="1"/>
  <c r="E1769" i="1"/>
  <c r="E1770" i="1"/>
  <c r="E1771" i="1"/>
  <c r="E1772" i="1"/>
  <c r="E1773" i="1"/>
  <c r="E1774" i="1"/>
  <c r="E1775" i="1"/>
  <c r="E1776" i="1"/>
  <c r="E1778" i="1"/>
  <c r="E1779" i="1"/>
  <c r="E1780" i="1"/>
  <c r="E1781" i="1"/>
  <c r="E1782" i="1"/>
  <c r="E1783" i="1"/>
  <c r="E1790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5" i="1"/>
  <c r="E1806" i="1"/>
  <c r="E1807" i="1"/>
  <c r="E1808" i="1"/>
  <c r="E1811" i="1"/>
  <c r="E1813" i="1"/>
  <c r="E1814" i="1"/>
  <c r="E1815" i="1"/>
  <c r="E1821" i="1"/>
  <c r="E1823" i="1"/>
  <c r="E1824" i="1"/>
  <c r="E1825" i="1"/>
  <c r="E1826" i="1"/>
  <c r="E1827" i="1"/>
  <c r="E1828" i="1"/>
  <c r="E1829" i="1"/>
  <c r="E1830" i="1"/>
  <c r="E1831" i="1"/>
  <c r="E1832" i="1"/>
  <c r="E1834" i="1"/>
  <c r="E1835" i="1"/>
  <c r="E1836" i="1"/>
  <c r="E1837" i="1"/>
  <c r="E1838" i="1"/>
  <c r="E1839" i="1"/>
  <c r="E1842" i="1"/>
  <c r="E1843" i="1"/>
  <c r="E1844" i="1"/>
  <c r="E1851" i="1"/>
  <c r="E1852" i="1"/>
  <c r="E1854" i="1"/>
  <c r="E1855" i="1"/>
  <c r="E1856" i="1"/>
  <c r="E1857" i="1"/>
  <c r="E1858" i="1"/>
  <c r="E1860" i="1"/>
  <c r="E1861" i="1"/>
  <c r="E1862" i="1"/>
  <c r="E1863" i="1"/>
  <c r="E1864" i="1"/>
  <c r="E1865" i="1"/>
  <c r="E1867" i="1"/>
  <c r="E1868" i="1"/>
  <c r="E1869" i="1"/>
  <c r="E1870" i="1"/>
  <c r="E1871" i="1"/>
  <c r="E1872" i="1"/>
  <c r="E1873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2" i="1"/>
  <c r="E1903" i="1"/>
  <c r="E1904" i="1"/>
  <c r="E1905" i="1"/>
  <c r="E1906" i="1"/>
  <c r="E1907" i="1"/>
  <c r="E1909" i="1"/>
  <c r="E1911" i="1"/>
  <c r="E1914" i="1"/>
  <c r="E1915" i="1"/>
  <c r="E1916" i="1"/>
  <c r="E1917" i="1"/>
  <c r="E1918" i="1"/>
  <c r="E1919" i="1"/>
  <c r="E1920" i="1"/>
  <c r="E1921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1" i="1"/>
  <c r="E1955" i="1"/>
  <c r="E1956" i="1"/>
  <c r="E1957" i="1"/>
  <c r="E1958" i="1"/>
  <c r="E1960" i="1"/>
  <c r="E1705" i="1"/>
  <c r="E1693" i="1"/>
  <c r="E1694" i="1"/>
  <c r="E1695" i="1"/>
  <c r="E1697" i="1"/>
  <c r="E1698" i="1"/>
  <c r="E1699" i="1"/>
  <c r="E1700" i="1"/>
  <c r="E1703" i="1"/>
  <c r="E1704" i="1"/>
  <c r="E1671" i="1"/>
  <c r="E1672" i="1"/>
  <c r="E1675" i="1"/>
  <c r="E1676" i="1"/>
  <c r="E1677" i="1"/>
  <c r="E1678" i="1"/>
  <c r="E1679" i="1"/>
  <c r="E1680" i="1"/>
  <c r="E1681" i="1"/>
  <c r="E1682" i="1"/>
  <c r="E1684" i="1"/>
  <c r="E1670" i="1"/>
  <c r="E1660" i="1"/>
  <c r="E1661" i="1"/>
  <c r="E1662" i="1"/>
  <c r="E1663" i="1"/>
  <c r="E1664" i="1"/>
  <c r="E1665" i="1"/>
  <c r="E1667" i="1"/>
  <c r="E1669" i="1"/>
  <c r="E1658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91" i="1"/>
  <c r="E193" i="1"/>
  <c r="E194" i="1"/>
  <c r="E195" i="1"/>
  <c r="E196" i="1"/>
  <c r="E197" i="1"/>
  <c r="E198" i="1"/>
  <c r="E199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8" i="1"/>
  <c r="E221" i="1"/>
  <c r="E224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3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96" i="1"/>
  <c r="E297" i="1"/>
  <c r="E299" i="1"/>
  <c r="E300" i="1"/>
  <c r="E307" i="1"/>
  <c r="E308" i="1"/>
  <c r="E309" i="1"/>
  <c r="E310" i="1"/>
  <c r="E311" i="1"/>
  <c r="E312" i="1"/>
  <c r="E313" i="1"/>
  <c r="E317" i="1"/>
  <c r="E318" i="1"/>
  <c r="E319" i="1"/>
  <c r="E321" i="1"/>
  <c r="E323" i="1"/>
  <c r="E324" i="1"/>
  <c r="E325" i="1"/>
  <c r="E327" i="1"/>
  <c r="E330" i="1"/>
  <c r="E332" i="1"/>
  <c r="E334" i="1"/>
  <c r="E337" i="1"/>
  <c r="E338" i="1"/>
  <c r="E339" i="1"/>
  <c r="E340" i="1"/>
  <c r="E341" i="1"/>
  <c r="E342" i="1"/>
  <c r="E345" i="1"/>
  <c r="E346" i="1"/>
  <c r="E347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2" i="1"/>
  <c r="E363" i="1"/>
  <c r="E364" i="1"/>
  <c r="E365" i="1"/>
  <c r="E367" i="1"/>
  <c r="E368" i="1"/>
  <c r="E369" i="1"/>
  <c r="E371" i="1"/>
  <c r="E372" i="1"/>
  <c r="E374" i="1"/>
  <c r="E375" i="1"/>
  <c r="E376" i="1"/>
  <c r="E377" i="1"/>
  <c r="E378" i="1"/>
  <c r="E379" i="1"/>
  <c r="E380" i="1"/>
  <c r="E381" i="1"/>
  <c r="E382" i="1"/>
  <c r="E384" i="1"/>
  <c r="E385" i="1"/>
  <c r="E386" i="1"/>
  <c r="E387" i="1"/>
  <c r="E388" i="1"/>
  <c r="E390" i="1"/>
  <c r="E391" i="1"/>
  <c r="E392" i="1"/>
  <c r="E397" i="1"/>
  <c r="E398" i="1"/>
  <c r="E399" i="1"/>
  <c r="E400" i="1"/>
  <c r="E401" i="1"/>
  <c r="E402" i="1"/>
  <c r="E403" i="1"/>
  <c r="E404" i="1"/>
  <c r="E405" i="1"/>
  <c r="E407" i="1"/>
  <c r="E408" i="1"/>
  <c r="E468" i="1"/>
  <c r="E469" i="1"/>
  <c r="E470" i="1"/>
  <c r="E471" i="1"/>
  <c r="E472" i="1"/>
  <c r="E473" i="1"/>
  <c r="E474" i="1"/>
  <c r="E475" i="1"/>
  <c r="E486" i="1"/>
  <c r="E487" i="1"/>
  <c r="E488" i="1"/>
  <c r="E489" i="1"/>
  <c r="E492" i="1"/>
  <c r="E493" i="1"/>
  <c r="E495" i="1"/>
  <c r="E496" i="1"/>
  <c r="E497" i="1"/>
  <c r="E498" i="1"/>
  <c r="E499" i="1"/>
  <c r="E500" i="1"/>
  <c r="E502" i="1"/>
  <c r="E503" i="1"/>
  <c r="E504" i="1"/>
  <c r="E505" i="1"/>
  <c r="E506" i="1"/>
  <c r="E507" i="1"/>
  <c r="E509" i="1"/>
  <c r="E510" i="1"/>
  <c r="E511" i="1"/>
  <c r="E513" i="1"/>
  <c r="E514" i="1"/>
  <c r="E515" i="1"/>
  <c r="E516" i="1"/>
  <c r="E517" i="1"/>
  <c r="E518" i="1"/>
  <c r="E519" i="1"/>
  <c r="E520" i="1"/>
  <c r="E522" i="1"/>
  <c r="E523" i="1"/>
  <c r="E524" i="1"/>
  <c r="E525" i="1"/>
  <c r="E526" i="1"/>
  <c r="E527" i="1"/>
  <c r="E528" i="1"/>
  <c r="E530" i="1"/>
  <c r="E532" i="1"/>
  <c r="E533" i="1"/>
  <c r="E537" i="1"/>
  <c r="E538" i="1"/>
  <c r="E539" i="1"/>
  <c r="E541" i="1"/>
  <c r="E542" i="1"/>
  <c r="E544" i="1"/>
  <c r="E545" i="1"/>
  <c r="E547" i="1"/>
  <c r="E548" i="1"/>
  <c r="E549" i="1"/>
  <c r="E550" i="1"/>
  <c r="E551" i="1"/>
  <c r="E552" i="1"/>
  <c r="E553" i="1"/>
  <c r="E554" i="1"/>
  <c r="E556" i="1"/>
  <c r="E557" i="1"/>
  <c r="E558" i="1"/>
  <c r="E559" i="1"/>
  <c r="E560" i="1"/>
  <c r="E561" i="1"/>
  <c r="E564" i="1"/>
  <c r="E565" i="1"/>
  <c r="E566" i="1"/>
  <c r="E567" i="1"/>
  <c r="E569" i="1"/>
  <c r="E570" i="1"/>
  <c r="E571" i="1"/>
  <c r="E572" i="1"/>
  <c r="E573" i="1"/>
  <c r="E574" i="1"/>
  <c r="E575" i="1"/>
  <c r="E576" i="1"/>
  <c r="E577" i="1"/>
  <c r="E578" i="1"/>
  <c r="E580" i="1"/>
  <c r="E581" i="1"/>
  <c r="E582" i="1"/>
  <c r="E583" i="1"/>
  <c r="E584" i="1"/>
  <c r="E585" i="1"/>
  <c r="E586" i="1"/>
  <c r="E592" i="1"/>
  <c r="E599" i="1"/>
  <c r="E602" i="1"/>
  <c r="E606" i="1"/>
  <c r="E607" i="1"/>
  <c r="E610" i="1"/>
  <c r="E611" i="1"/>
  <c r="E613" i="1"/>
  <c r="E614" i="1"/>
  <c r="E616" i="1"/>
  <c r="E617" i="1"/>
  <c r="E618" i="1"/>
  <c r="E621" i="1"/>
  <c r="E622" i="1"/>
  <c r="E623" i="1"/>
  <c r="E624" i="1"/>
  <c r="E626" i="1"/>
  <c r="E628" i="1"/>
  <c r="E630" i="1"/>
  <c r="E631" i="1"/>
  <c r="E632" i="1"/>
  <c r="E633" i="1"/>
  <c r="E634" i="1"/>
  <c r="E635" i="1"/>
  <c r="E636" i="1"/>
  <c r="E638" i="1"/>
  <c r="E639" i="1"/>
  <c r="E640" i="1"/>
  <c r="E641" i="1"/>
  <c r="E643" i="1"/>
  <c r="E646" i="1"/>
  <c r="E648" i="1"/>
  <c r="E651" i="1"/>
  <c r="E652" i="1"/>
  <c r="E654" i="1"/>
  <c r="E661" i="1"/>
  <c r="E665" i="1"/>
  <c r="E668" i="1"/>
  <c r="E670" i="1"/>
  <c r="E671" i="1"/>
  <c r="E672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30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7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6" i="1"/>
  <c r="E797" i="1"/>
  <c r="E800" i="1"/>
  <c r="E801" i="1"/>
  <c r="E802" i="1"/>
  <c r="E804" i="1"/>
  <c r="E805" i="1"/>
  <c r="E806" i="1"/>
  <c r="E807" i="1"/>
  <c r="E808" i="1"/>
  <c r="E812" i="1"/>
  <c r="E816" i="1"/>
  <c r="E818" i="1"/>
  <c r="E819" i="1"/>
  <c r="E820" i="1"/>
  <c r="E822" i="1"/>
  <c r="E823" i="1"/>
  <c r="E824" i="1"/>
  <c r="E825" i="1"/>
  <c r="E827" i="1"/>
  <c r="E828" i="1"/>
  <c r="E829" i="1"/>
  <c r="E830" i="1"/>
  <c r="E831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1" i="1"/>
  <c r="E862" i="1"/>
  <c r="E863" i="1"/>
  <c r="E864" i="1"/>
  <c r="E867" i="1"/>
  <c r="E868" i="1"/>
  <c r="E869" i="1"/>
  <c r="E871" i="1"/>
  <c r="E872" i="1"/>
  <c r="E873" i="1"/>
  <c r="E874" i="1"/>
  <c r="E875" i="1"/>
  <c r="E876" i="1"/>
  <c r="E877" i="1"/>
  <c r="E881" i="1"/>
  <c r="E882" i="1"/>
  <c r="E883" i="1"/>
  <c r="E884" i="1"/>
  <c r="E885" i="1"/>
  <c r="E886" i="1"/>
  <c r="E887" i="1"/>
  <c r="E889" i="1"/>
  <c r="E892" i="1"/>
  <c r="E893" i="1"/>
  <c r="E894" i="1"/>
  <c r="E895" i="1"/>
  <c r="E896" i="1"/>
  <c r="E897" i="1"/>
  <c r="E899" i="1"/>
  <c r="E902" i="1"/>
  <c r="E904" i="1"/>
  <c r="E905" i="1"/>
  <c r="E907" i="1"/>
  <c r="E909" i="1"/>
  <c r="E911" i="1"/>
  <c r="E912" i="1"/>
  <c r="E913" i="1"/>
  <c r="E914" i="1"/>
  <c r="E915" i="1"/>
  <c r="E916" i="1"/>
  <c r="E917" i="1"/>
  <c r="E918" i="1"/>
  <c r="E934" i="1"/>
  <c r="E935" i="1"/>
  <c r="E936" i="1"/>
  <c r="E939" i="1"/>
  <c r="E942" i="1"/>
  <c r="E943" i="1"/>
  <c r="E945" i="1"/>
  <c r="E946" i="1"/>
  <c r="E951" i="1"/>
  <c r="E952" i="1"/>
  <c r="E953" i="1"/>
  <c r="E954" i="1"/>
  <c r="E955" i="1"/>
  <c r="E956" i="1"/>
  <c r="E957" i="1"/>
  <c r="E962" i="1"/>
  <c r="E964" i="1"/>
  <c r="E965" i="1"/>
  <c r="E966" i="1"/>
  <c r="E967" i="1"/>
  <c r="E971" i="1"/>
  <c r="E972" i="1"/>
  <c r="E980" i="1"/>
  <c r="E983" i="1"/>
  <c r="E988" i="1"/>
  <c r="E989" i="1"/>
  <c r="E990" i="1"/>
  <c r="E991" i="1"/>
  <c r="E992" i="1"/>
  <c r="E994" i="1"/>
  <c r="E1007" i="1"/>
  <c r="E1012" i="1"/>
  <c r="E1013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40" i="1"/>
  <c r="E1041" i="1"/>
  <c r="E1042" i="1"/>
  <c r="E1043" i="1"/>
  <c r="E1044" i="1"/>
  <c r="E1045" i="1"/>
  <c r="E1046" i="1"/>
  <c r="E1047" i="1"/>
  <c r="E1048" i="1"/>
  <c r="E1051" i="1"/>
  <c r="E1052" i="1"/>
  <c r="E1053" i="1"/>
  <c r="E1054" i="1"/>
  <c r="E1055" i="1"/>
  <c r="E1056" i="1"/>
  <c r="E1057" i="1"/>
  <c r="E1058" i="1"/>
  <c r="E1059" i="1"/>
  <c r="E1060" i="1"/>
  <c r="E1061" i="1"/>
  <c r="E1064" i="1"/>
  <c r="E1075" i="1"/>
  <c r="E1077" i="1"/>
  <c r="E1078" i="1"/>
  <c r="E1079" i="1"/>
  <c r="E1080" i="1"/>
  <c r="E1081" i="1"/>
  <c r="E1082" i="1"/>
  <c r="E1083" i="1"/>
  <c r="E1084" i="1"/>
  <c r="E1086" i="1"/>
  <c r="E1087" i="1"/>
  <c r="E1088" i="1"/>
  <c r="E1089" i="1"/>
  <c r="E1090" i="1"/>
  <c r="E1091" i="1"/>
  <c r="E1101" i="1"/>
  <c r="E1103" i="1"/>
  <c r="E1105" i="1"/>
  <c r="E1106" i="1"/>
  <c r="E1107" i="1"/>
  <c r="E1108" i="1"/>
  <c r="E1109" i="1"/>
  <c r="E1110" i="1"/>
  <c r="E1113" i="1"/>
  <c r="E1114" i="1"/>
  <c r="E1115" i="1"/>
  <c r="E1116" i="1"/>
  <c r="E1117" i="1"/>
  <c r="E1119" i="1"/>
  <c r="E1120" i="1"/>
  <c r="E1121" i="1"/>
  <c r="E1122" i="1"/>
  <c r="E1124" i="1"/>
  <c r="E1125" i="1"/>
  <c r="E1126" i="1"/>
  <c r="E1127" i="1"/>
  <c r="E1128" i="1"/>
  <c r="E1129" i="1"/>
  <c r="E1130" i="1"/>
  <c r="E1133" i="1"/>
  <c r="E1134" i="1"/>
  <c r="E1135" i="1"/>
  <c r="E1136" i="1"/>
  <c r="E1137" i="1"/>
  <c r="E1138" i="1"/>
  <c r="E1139" i="1"/>
  <c r="E1144" i="1"/>
  <c r="E1145" i="1"/>
  <c r="E1146" i="1"/>
  <c r="E1147" i="1"/>
  <c r="E1148" i="1"/>
  <c r="E1149" i="1"/>
  <c r="E1151" i="1"/>
  <c r="E1154" i="1"/>
  <c r="E1155" i="1"/>
  <c r="E1156" i="1"/>
  <c r="E1157" i="1"/>
  <c r="E1158" i="1"/>
  <c r="E1160" i="1"/>
  <c r="E1161" i="1"/>
  <c r="E1162" i="1"/>
  <c r="E1163" i="1"/>
  <c r="E1164" i="1"/>
  <c r="E1165" i="1"/>
  <c r="E1166" i="1"/>
  <c r="E1167" i="1"/>
  <c r="E1169" i="1"/>
  <c r="E1170" i="1"/>
  <c r="E1171" i="1"/>
  <c r="E1185" i="1"/>
  <c r="E1193" i="1"/>
  <c r="E1194" i="1"/>
  <c r="E1195" i="1"/>
  <c r="E1196" i="1"/>
  <c r="E1197" i="1"/>
  <c r="E1198" i="1"/>
  <c r="E1200" i="1"/>
  <c r="E1202" i="1"/>
  <c r="E1205" i="1"/>
  <c r="E1206" i="1"/>
  <c r="E1207" i="1"/>
  <c r="E1208" i="1"/>
  <c r="E1209" i="1"/>
  <c r="E1212" i="1"/>
  <c r="E1213" i="1"/>
  <c r="E1216" i="1"/>
  <c r="E1217" i="1"/>
  <c r="E1218" i="1"/>
  <c r="E1221" i="1"/>
  <c r="E1222" i="1"/>
  <c r="E1224" i="1"/>
  <c r="E1229" i="1"/>
  <c r="E1230" i="1"/>
  <c r="E1231" i="1"/>
  <c r="E1232" i="1"/>
  <c r="E1233" i="1"/>
  <c r="E1235" i="1"/>
  <c r="E1236" i="1"/>
  <c r="E1237" i="1"/>
  <c r="E1238" i="1"/>
  <c r="E1239" i="1"/>
  <c r="E1240" i="1"/>
  <c r="E1241" i="1"/>
  <c r="E1242" i="1"/>
  <c r="E1243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4" i="1"/>
  <c r="E1275" i="1"/>
  <c r="E1276" i="1"/>
  <c r="E1277" i="1"/>
  <c r="E1279" i="1"/>
  <c r="E1280" i="1"/>
  <c r="E1282" i="1"/>
  <c r="E1283" i="1"/>
  <c r="E1285" i="1"/>
  <c r="E1286" i="1"/>
  <c r="E1288" i="1"/>
  <c r="E1289" i="1"/>
  <c r="E1290" i="1"/>
  <c r="E1291" i="1"/>
  <c r="E1292" i="1"/>
  <c r="E1293" i="1"/>
  <c r="E1294" i="1"/>
  <c r="E1295" i="1"/>
  <c r="E1296" i="1"/>
  <c r="E1309" i="1"/>
  <c r="E1310" i="1"/>
  <c r="E1311" i="1"/>
  <c r="E1336" i="1"/>
  <c r="E1337" i="1"/>
  <c r="E1338" i="1"/>
  <c r="E1339" i="1"/>
  <c r="E1340" i="1"/>
  <c r="E1341" i="1"/>
  <c r="E1386" i="1"/>
  <c r="E1387" i="1"/>
  <c r="E1388" i="1"/>
  <c r="E1389" i="1"/>
  <c r="E1390" i="1"/>
  <c r="E1391" i="1"/>
  <c r="E1392" i="1"/>
  <c r="E1393" i="1"/>
  <c r="E1394" i="1"/>
  <c r="E1395" i="1"/>
  <c r="E1409" i="1"/>
  <c r="E1411" i="1"/>
  <c r="E1414" i="1"/>
  <c r="E1415" i="1"/>
  <c r="E1418" i="1"/>
  <c r="E1426" i="1"/>
  <c r="E1428" i="1"/>
  <c r="E1429" i="1"/>
  <c r="E1430" i="1"/>
  <c r="E1431" i="1"/>
  <c r="E1432" i="1"/>
  <c r="E1434" i="1"/>
  <c r="E1435" i="1"/>
  <c r="E1436" i="1"/>
  <c r="E1437" i="1"/>
  <c r="E1438" i="1"/>
  <c r="E1439" i="1"/>
  <c r="E1440" i="1"/>
  <c r="E1443" i="1"/>
  <c r="E1444" i="1"/>
  <c r="E1445" i="1"/>
  <c r="E1446" i="1"/>
  <c r="E1447" i="1"/>
  <c r="E1448" i="1"/>
  <c r="E1449" i="1"/>
  <c r="E1451" i="1"/>
  <c r="E1453" i="1"/>
  <c r="E1454" i="1"/>
  <c r="E1462" i="1"/>
  <c r="E1463" i="1"/>
  <c r="E1464" i="1"/>
  <c r="E1486" i="1"/>
  <c r="E1487" i="1"/>
  <c r="E1489" i="1"/>
  <c r="E1490" i="1"/>
  <c r="E1492" i="1"/>
  <c r="E1497" i="1"/>
  <c r="E1500" i="1"/>
  <c r="E1503" i="1"/>
  <c r="E1504" i="1"/>
  <c r="E1505" i="1"/>
  <c r="E1506" i="1"/>
  <c r="E1507" i="1"/>
  <c r="E1508" i="1"/>
  <c r="E1521" i="1"/>
  <c r="E1523" i="1"/>
  <c r="E1526" i="1"/>
  <c r="E1527" i="1"/>
  <c r="E1532" i="1"/>
  <c r="E1533" i="1"/>
  <c r="E1534" i="1"/>
  <c r="E1535" i="1"/>
  <c r="E1537" i="1"/>
  <c r="E1539" i="1"/>
  <c r="E1541" i="1"/>
  <c r="E1543" i="1"/>
  <c r="E1545" i="1"/>
  <c r="E1546" i="1"/>
  <c r="E1548" i="1"/>
  <c r="E1549" i="1"/>
  <c r="E1551" i="1"/>
  <c r="E1552" i="1"/>
  <c r="E1553" i="1"/>
  <c r="E1554" i="1"/>
  <c r="E1555" i="1"/>
  <c r="E1556" i="1"/>
  <c r="E1557" i="1"/>
  <c r="E1559" i="1"/>
  <c r="E1561" i="1"/>
  <c r="E1564" i="1"/>
  <c r="E1565" i="1"/>
  <c r="E1567" i="1"/>
  <c r="E1569" i="1"/>
  <c r="E1570" i="1"/>
  <c r="E1572" i="1"/>
  <c r="E1574" i="1"/>
  <c r="E1575" i="1"/>
  <c r="E1576" i="1"/>
  <c r="E1577" i="1"/>
  <c r="E1578" i="1"/>
  <c r="E1579" i="1"/>
  <c r="E1580" i="1"/>
  <c r="E1581" i="1"/>
  <c r="E1583" i="1"/>
  <c r="E1584" i="1"/>
  <c r="E1585" i="1"/>
  <c r="E1586" i="1"/>
  <c r="E1589" i="1"/>
  <c r="E1590" i="1"/>
  <c r="E1591" i="1"/>
  <c r="E1592" i="1"/>
  <c r="E1593" i="1"/>
  <c r="E1597" i="1"/>
  <c r="E1598" i="1"/>
  <c r="E1599" i="1"/>
  <c r="E1600" i="1"/>
  <c r="E1601" i="1"/>
  <c r="E1603" i="1"/>
  <c r="E1604" i="1"/>
  <c r="E1605" i="1"/>
  <c r="E1606" i="1"/>
  <c r="E1607" i="1"/>
  <c r="E1610" i="1"/>
  <c r="E1611" i="1"/>
  <c r="E1614" i="1"/>
  <c r="E1617" i="1"/>
  <c r="E1618" i="1"/>
  <c r="E1619" i="1"/>
  <c r="E1620" i="1"/>
  <c r="E1621" i="1"/>
  <c r="E1622" i="1"/>
  <c r="E1623" i="1"/>
  <c r="E1625" i="1"/>
  <c r="E1627" i="1"/>
  <c r="E1628" i="1"/>
  <c r="E1629" i="1"/>
  <c r="E1630" i="1"/>
  <c r="E1632" i="1"/>
  <c r="E1634" i="1"/>
  <c r="E1637" i="1"/>
  <c r="E1638" i="1"/>
  <c r="E1640" i="1"/>
  <c r="E1642" i="1"/>
  <c r="E1643" i="1"/>
  <c r="E1644" i="1"/>
  <c r="E1646" i="1"/>
  <c r="E1647" i="1"/>
  <c r="E1648" i="1"/>
  <c r="E1652" i="1"/>
  <c r="E1653" i="1"/>
  <c r="E1654" i="1"/>
  <c r="E1655" i="1"/>
  <c r="E1656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7" i="1"/>
  <c r="E2" i="1"/>
  <c r="H2343" i="1"/>
  <c r="I2343" i="1" s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N69" i="1"/>
  <c r="N70" i="1"/>
  <c r="N68" i="1"/>
  <c r="N15" i="1"/>
  <c r="N14" i="1"/>
  <c r="N13" i="1"/>
  <c r="N12" i="1"/>
  <c r="N11" i="1"/>
  <c r="N10" i="1"/>
  <c r="N9" i="1"/>
  <c r="N8" i="1"/>
  <c r="N7" i="1"/>
  <c r="N6" i="1"/>
  <c r="G2" i="1"/>
  <c r="N71" i="1"/>
  <c r="N73" i="1"/>
  <c r="N156" i="1"/>
  <c r="N155" i="1"/>
  <c r="I2" i="1"/>
  <c r="O115" i="1" l="1"/>
  <c r="O116" i="1"/>
  <c r="O117" i="1"/>
  <c r="N114" i="1"/>
  <c r="N111" i="1"/>
  <c r="N116" i="1"/>
  <c r="N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<sst xmlns="http://schemas.openxmlformats.org/spreadsheetml/2006/main" count="7927" uniqueCount="6387">
  <si>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</si>
  <si>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</si>
  <si>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</si>
  <si>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</si>
  <si>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</si>
  <si>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</si>
  <si>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</si>
  <si>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</si>
  <si>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</si>
  <si>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</si>
  <si>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</si>
  <si>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</si>
  <si>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</si>
  <si>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</si>
  <si>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</si>
  <si>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</si>
  <si>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</si>
  <si>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</si>
  <si>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</si>
  <si>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</si>
  <si>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</si>
  <si>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</si>
  <si>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</si>
  <si>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</si>
  <si>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</si>
  <si>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</si>
  <si>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</si>
  <si>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</si>
  <si>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</si>
  <si>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</si>
  <si>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</si>
  <si>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</si>
  <si>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</si>
  <si>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</si>
  <si>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</si>
  <si>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</si>
  <si>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</si>
  <si>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</si>
  <si>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</si>
  <si>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</si>
  <si>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</si>
  <si>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</si>
  <si>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</si>
  <si>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</si>
  <si>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</si>
  <si>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</si>
  <si>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</si>
  <si>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</si>
  <si>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</si>
  <si>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</si>
  <si>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</si>
  <si>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</si>
  <si>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</si>
  <si>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</si>
  <si>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</si>
  <si>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</si>
  <si>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</si>
  <si>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</si>
  <si>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</si>
  <si>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</si>
  <si>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</si>
  <si>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</si>
  <si>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</si>
  <si>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</si>
  <si>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</si>
  <si>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</si>
  <si>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</si>
  <si>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</si>
  <si>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</si>
  <si>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</si>
  <si>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</si>
  <si>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</si>
  <si>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</si>
  <si>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</si>
  <si>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</si>
  <si>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</si>
  <si>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</si>
  <si>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</si>
  <si>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</si>
  <si>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</si>
  <si>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</si>
  <si>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</si>
  <si>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</si>
  <si>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</si>
  <si>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</si>
  <si>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</si>
  <si>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</si>
  <si>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</si>
  <si>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</si>
  <si>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</si>
  <si>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</si>
  <si>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</si>
  <si>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</si>
  <si>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</si>
  <si>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</si>
  <si>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</si>
  <si>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</si>
  <si>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</si>
  <si>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</si>
  <si>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</si>
  <si>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</si>
  <si>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</si>
  <si>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</si>
  <si>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</si>
  <si>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</si>
  <si>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</si>
  <si>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</si>
  <si>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</si>
  <si>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</si>
  <si>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</si>
  <si>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</si>
  <si>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</si>
  <si>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</si>
  <si>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</si>
  <si>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</si>
  <si>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</si>
  <si>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</si>
  <si>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</si>
  <si>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</si>
  <si>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</si>
  <si>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</si>
  <si>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</si>
  <si>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</si>
  <si>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</si>
  <si>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</si>
  <si>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</si>
  <si>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</si>
  <si>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</si>
  <si>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</si>
  <si>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</si>
  <si>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</si>
  <si>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</si>
  <si>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</si>
  <si>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</si>
  <si>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</si>
  <si>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</si>
  <si>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</si>
  <si>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</si>
  <si>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</si>
  <si>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</si>
  <si>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</si>
  <si>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</si>
  <si>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</si>
  <si>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</si>
  <si>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</si>
  <si>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</si>
  <si>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</si>
  <si>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</si>
  <si>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</si>
  <si>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</si>
  <si>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</si>
  <si>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</si>
  <si>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</si>
  <si>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</si>
  <si>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</si>
  <si>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</si>
  <si>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</si>
  <si>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</si>
  <si>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</si>
  <si>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</si>
  <si>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</si>
  <si>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</si>
  <si>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</si>
  <si>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</si>
  <si>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</si>
  <si>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</si>
  <si>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</si>
  <si>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</si>
  <si>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</si>
  <si>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</si>
  <si>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</si>
  <si>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</si>
  <si>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</si>
  <si>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</si>
  <si>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</si>
  <si>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</si>
  <si>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</si>
  <si>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</si>
  <si>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</si>
  <si>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</si>
  <si>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</si>
  <si>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</si>
  <si>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</si>
  <si>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</si>
  <si>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</si>
  <si>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</si>
  <si>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</si>
  <si>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</si>
  <si>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</si>
  <si>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</si>
  <si>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</si>
  <si>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</si>
  <si>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</si>
  <si>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</si>
  <si>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</si>
  <si>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</si>
  <si>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</si>
  <si>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</si>
  <si>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</si>
  <si>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</si>
  <si>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</si>
  <si>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</si>
  <si>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</si>
  <si>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</si>
  <si>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</si>
  <si>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</si>
  <si>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</si>
  <si>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</si>
  <si>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</si>
  <si>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</si>
  <si>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</si>
  <si>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</si>
  <si>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</si>
  <si>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</si>
  <si>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</si>
  <si>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</si>
  <si>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</si>
  <si>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</si>
  <si>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</si>
  <si>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</si>
  <si>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</si>
  <si>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</si>
  <si>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</si>
  <si>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</si>
  <si>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</si>
  <si>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</si>
  <si>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</si>
  <si>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</si>
  <si>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</si>
  <si>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</si>
  <si>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</si>
  <si>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</si>
  <si>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</si>
  <si>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</si>
  <si>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</si>
  <si>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</si>
  <si>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</si>
  <si>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</si>
  <si>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</si>
  <si>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</si>
  <si>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</si>
  <si>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</si>
  <si>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</si>
  <si>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</si>
  <si>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</si>
  <si>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</si>
  <si>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</si>
  <si>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</si>
  <si>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</si>
  <si>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</si>
  <si>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</si>
  <si>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</si>
  <si>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</si>
  <si>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</si>
  <si>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</si>
  <si>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</si>
  <si>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</si>
  <si>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</si>
  <si>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</si>
  <si>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</si>
  <si>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</si>
  <si>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</si>
  <si>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</si>
  <si>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</si>
  <si>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</si>
  <si>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</si>
  <si>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</si>
  <si>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</si>
  <si>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</si>
  <si>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</si>
  <si>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</si>
  <si>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</si>
  <si>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</si>
  <si>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</si>
  <si>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</si>
  <si>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</si>
  <si>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</si>
  <si>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</si>
  <si>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</si>
  <si>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</si>
  <si>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</si>
  <si>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</si>
  <si>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</si>
  <si>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</si>
  <si>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</si>
  <si>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</si>
  <si>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</si>
  <si>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</si>
  <si>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</si>
  <si>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</si>
  <si>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</si>
  <si>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</si>
  <si>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</si>
  <si>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</si>
  <si>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</si>
  <si>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</si>
  <si>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</si>
  <si>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</si>
  <si>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</si>
  <si>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</si>
  <si>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</si>
  <si>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</si>
  <si>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</si>
  <si>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</si>
  <si>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</si>
  <si>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</si>
  <si>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</si>
  <si>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</si>
  <si>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</si>
  <si>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</si>
  <si>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</si>
  <si>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</si>
  <si>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</si>
  <si>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</si>
  <si>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</si>
  <si>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</si>
  <si>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</si>
  <si>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</si>
  <si>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</si>
  <si>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</si>
  <si>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</si>
  <si>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</si>
  <si>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</si>
  <si>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</si>
  <si>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</si>
  <si>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</si>
  <si>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</si>
  <si>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</si>
  <si>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</si>
  <si>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</si>
  <si>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</si>
  <si>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</si>
  <si>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</si>
  <si>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</si>
  <si>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</si>
  <si>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</si>
  <si>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</si>
  <si>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</si>
  <si>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</si>
  <si>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</si>
  <si>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</si>
  <si>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</si>
  <si>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</si>
  <si>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</si>
  <si>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</si>
  <si>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</si>
  <si>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</si>
  <si>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</si>
  <si>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</si>
  <si>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</si>
  <si>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</si>
  <si>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</si>
  <si>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</si>
  <si>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</si>
  <si>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</si>
  <si>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</si>
  <si>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</si>
  <si>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</si>
  <si>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</si>
  <si>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</si>
  <si>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</si>
  <si>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</si>
  <si>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</si>
  <si>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</si>
  <si>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</si>
  <si>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</si>
  <si>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</si>
  <si>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</si>
  <si>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</si>
  <si>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</si>
  <si>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</si>
  <si>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</si>
  <si>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</si>
  <si>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</si>
  <si>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</si>
  <si>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</si>
  <si>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</si>
  <si>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</si>
  <si>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</si>
  <si>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</si>
  <si>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</si>
  <si>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</si>
  <si>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</si>
  <si>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</si>
  <si>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</si>
  <si>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</si>
  <si>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</si>
  <si>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</si>
  <si>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</si>
  <si>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</si>
  <si>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</si>
  <si>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</si>
  <si>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</si>
  <si>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</si>
  <si>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</si>
  <si>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</si>
  <si>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</si>
  <si>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</si>
  <si>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</si>
  <si>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</si>
  <si>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</si>
  <si>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</si>
  <si>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</si>
  <si>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</si>
  <si>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</si>
  <si>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</si>
  <si>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</si>
  <si>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</si>
  <si>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</si>
  <si>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</si>
  <si>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</si>
  <si>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</si>
  <si>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</si>
  <si>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</si>
  <si>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</si>
  <si>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</si>
  <si>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</si>
  <si>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</si>
  <si>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</si>
  <si>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</si>
  <si>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</si>
  <si>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</si>
  <si>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</si>
  <si>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</si>
  <si>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</si>
  <si>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</si>
  <si>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</si>
  <si>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</si>
  <si>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</si>
  <si>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</si>
  <si>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</si>
  <si>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</si>
  <si>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</si>
  <si>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</si>
  <si>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</si>
  <si>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</si>
  <si>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</si>
  <si>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</si>
  <si>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</si>
  <si>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</si>
  <si>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</si>
  <si>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</si>
  <si>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</si>
  <si>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</si>
  <si>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</si>
  <si>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</si>
  <si>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</si>
  <si>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</si>
  <si>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</si>
  <si>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</si>
  <si>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</si>
  <si>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</si>
  <si>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</si>
  <si>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</si>
  <si>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</si>
  <si>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</si>
  <si>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</si>
  <si>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</si>
  <si>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</si>
  <si>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</si>
  <si>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</si>
  <si>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</si>
  <si>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</si>
  <si>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</si>
  <si>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</si>
  <si>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</si>
  <si>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</si>
  <si>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</si>
  <si>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</si>
  <si>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</si>
  <si>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</si>
  <si>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</si>
  <si>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</si>
  <si>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</si>
  <si>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</si>
  <si>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</si>
  <si>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</si>
  <si>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</si>
  <si>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</si>
  <si>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</si>
  <si>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</si>
  <si>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</si>
  <si>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</si>
  <si>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</si>
  <si>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</si>
  <si>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</si>
  <si>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</si>
  <si>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</si>
  <si>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</si>
  <si>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</si>
  <si>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</si>
  <si>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</si>
  <si>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</si>
  <si>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</si>
  <si>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</si>
  <si>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</si>
  <si>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</si>
  <si>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</si>
  <si>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</si>
  <si>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</si>
  <si>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</si>
  <si>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</si>
  <si>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</si>
  <si>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</si>
  <si>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</si>
  <si>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</si>
  <si>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</si>
  <si>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</si>
  <si>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</si>
  <si>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</si>
  <si>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</si>
  <si>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</si>
  <si>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</si>
  <si>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</si>
  <si>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</si>
  <si>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</si>
  <si>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</si>
  <si>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</si>
  <si>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</si>
  <si>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</si>
  <si>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</si>
  <si>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</si>
  <si>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</si>
  <si>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</si>
  <si>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</si>
  <si>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</si>
  <si>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</si>
  <si>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</si>
  <si>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</si>
  <si>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</si>
  <si>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</si>
  <si>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</si>
  <si>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</si>
  <si>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</si>
  <si>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</si>
  <si>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</si>
  <si>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</si>
  <si>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</si>
  <si>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</si>
  <si>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</si>
  <si>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</si>
  <si>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</si>
  <si>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</si>
  <si>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</si>
  <si>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</si>
  <si>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</si>
  <si>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</si>
  <si>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</si>
  <si>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</si>
  <si>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</si>
  <si>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</si>
  <si>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</si>
  <si>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</si>
  <si>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</si>
  <si>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</si>
  <si>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</si>
  <si>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</si>
  <si>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</si>
  <si>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</si>
  <si>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</si>
  <si>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</si>
  <si>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</si>
  <si>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</si>
  <si>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</si>
  <si>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</si>
  <si>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</si>
  <si>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</si>
  <si>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</si>
  <si>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</si>
  <si>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</si>
  <si>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</si>
  <si>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</si>
  <si>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</si>
  <si>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</si>
  <si>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</si>
  <si>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</si>
  <si>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</si>
  <si>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</si>
  <si>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</si>
  <si>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</si>
  <si>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</si>
  <si>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</si>
  <si>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</si>
  <si>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</si>
  <si>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</si>
  <si>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</si>
  <si>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</si>
  <si>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</si>
  <si>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</si>
  <si>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</si>
  <si>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</si>
  <si>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</si>
  <si>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</si>
  <si>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</si>
  <si>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</si>
  <si>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</si>
  <si>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</si>
  <si>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</si>
  <si>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</si>
  <si>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</si>
  <si>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</si>
  <si>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</si>
  <si>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</si>
  <si>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</si>
  <si>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</si>
  <si>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</si>
  <si>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</si>
  <si>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</si>
  <si>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</si>
  <si>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</si>
  <si>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</si>
  <si>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</si>
  <si>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</si>
  <si>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</si>
  <si>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</si>
  <si>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</si>
  <si>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</si>
  <si>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</si>
  <si>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</si>
  <si>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</si>
  <si>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</si>
  <si>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</si>
  <si>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</si>
  <si>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</si>
  <si>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</si>
  <si>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</si>
  <si>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</si>
  <si>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</si>
  <si>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</si>
  <si>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</si>
  <si>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</si>
  <si>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</si>
  <si>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</si>
  <si>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</si>
  <si>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</si>
  <si>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</si>
  <si>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</si>
  <si>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</si>
  <si>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</si>
  <si>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</si>
  <si>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</si>
  <si>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</si>
  <si>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</si>
  <si>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</si>
  <si>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</si>
  <si>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</si>
  <si>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</si>
  <si>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</si>
  <si>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</si>
  <si>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</si>
  <si>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</si>
  <si>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</si>
  <si>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</si>
  <si>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</si>
  <si>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</si>
  <si>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</si>
  <si>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</si>
  <si>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</si>
  <si>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</si>
  <si>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</si>
  <si>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</si>
  <si>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</si>
  <si>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</si>
  <si>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</si>
  <si>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</si>
  <si>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</si>
  <si>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</si>
  <si>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</si>
  <si>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</si>
  <si>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</si>
  <si>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</si>
  <si>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</si>
  <si>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</si>
  <si>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</si>
  <si>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</si>
  <si>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</si>
  <si>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</si>
  <si>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</si>
  <si>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</si>
  <si>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</si>
  <si>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</si>
  <si>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</si>
  <si>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</si>
  <si>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</si>
  <si>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</si>
  <si>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</si>
  <si>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</si>
  <si>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</si>
  <si>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</si>
  <si>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</si>
  <si>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</si>
  <si>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</si>
  <si>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</si>
  <si>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</si>
  <si>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</si>
  <si>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</si>
  <si>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</si>
  <si>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</si>
  <si>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</si>
  <si>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</si>
  <si>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</si>
  <si>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</si>
  <si>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</si>
  <si>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</si>
  <si>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</si>
  <si>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</si>
  <si>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</si>
  <si>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</si>
  <si>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</si>
  <si>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</si>
  <si>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</si>
  <si>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</si>
  <si>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</si>
  <si>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</si>
  <si>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</si>
  <si>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</si>
  <si>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</si>
  <si>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</si>
  <si>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</si>
  <si>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</si>
  <si>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</si>
  <si>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</si>
  <si>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</si>
  <si>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</si>
  <si>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</si>
  <si>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</si>
  <si>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</si>
  <si>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</si>
  <si>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</si>
  <si>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</si>
  <si>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</si>
  <si>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</si>
  <si>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</si>
  <si>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</si>
  <si>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</si>
  <si>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</si>
  <si>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</si>
  <si>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</si>
  <si>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</si>
  <si>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</si>
  <si>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</si>
  <si>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</si>
  <si>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</si>
  <si>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</si>
  <si>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</si>
  <si>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</si>
  <si>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</si>
  <si>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</si>
  <si>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</si>
  <si>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</si>
  <si>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</si>
  <si>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</si>
  <si>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</si>
  <si>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</si>
  <si>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</si>
  <si>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</si>
  <si>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</si>
  <si>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</si>
  <si>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</si>
  <si>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</si>
  <si>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</si>
  <si>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</si>
  <si>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</si>
  <si>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</si>
  <si>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</si>
  <si>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</si>
  <si>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</si>
  <si>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</si>
  <si>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</si>
  <si>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</si>
  <si>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</si>
  <si>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</si>
  <si>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</si>
  <si>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</si>
  <si>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</si>
  <si>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</si>
  <si>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</si>
  <si>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</si>
  <si>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</si>
  <si>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</si>
  <si>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</si>
  <si>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</si>
  <si>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</si>
  <si>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</si>
  <si>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</si>
  <si>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</si>
  <si>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</si>
  <si>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</si>
  <si>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</si>
  <si>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</si>
  <si>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</si>
  <si>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</si>
  <si>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</si>
  <si>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</si>
  <si>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</si>
  <si>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</si>
  <si>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</si>
  <si>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</si>
  <si>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</si>
  <si>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</si>
  <si>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</si>
  <si>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</si>
  <si>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</si>
  <si>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</si>
  <si>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</si>
  <si>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</si>
  <si>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</si>
  <si>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</si>
  <si>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</si>
  <si>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</si>
  <si>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</si>
  <si>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</si>
  <si>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</si>
  <si>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</si>
  <si>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</si>
  <si>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</si>
  <si>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</si>
  <si>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</si>
  <si>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</si>
  <si>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</si>
  <si>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</si>
  <si>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</si>
  <si>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</si>
  <si>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</si>
  <si>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</si>
  <si>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</si>
  <si>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</si>
  <si>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</si>
  <si>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</si>
  <si>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</si>
  <si>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</si>
  <si>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</si>
  <si>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</si>
  <si>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</si>
  <si>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</si>
  <si>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</si>
  <si>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</si>
  <si>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</si>
  <si>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</si>
  <si>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</si>
  <si>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</si>
  <si>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</si>
  <si>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</si>
  <si>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</si>
  <si>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</si>
  <si>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</si>
  <si>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</si>
  <si>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</si>
  <si>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</si>
  <si>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</si>
  <si>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</si>
  <si>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</si>
  <si>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</si>
  <si>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</si>
  <si>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</si>
  <si>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</si>
  <si>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</si>
  <si>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</si>
  <si>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</si>
  <si>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</si>
  <si>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</si>
  <si>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</si>
  <si>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</si>
  <si>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</si>
  <si>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</si>
  <si>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</si>
  <si>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</si>
  <si>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</si>
  <si>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</si>
  <si>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</si>
  <si>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</si>
  <si>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</si>
  <si>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</si>
  <si>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</si>
  <si>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</si>
  <si>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</si>
  <si>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</si>
  <si>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</si>
  <si>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</si>
  <si>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</si>
  <si>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</si>
  <si>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</si>
  <si>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</si>
  <si>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</si>
  <si>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</si>
  <si>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</si>
  <si>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</si>
  <si>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</si>
  <si>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</si>
  <si>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</si>
  <si>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</si>
  <si>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</si>
  <si>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</si>
  <si>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</si>
  <si>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</si>
  <si>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</si>
  <si>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</si>
  <si>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</si>
  <si>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</si>
  <si>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</si>
  <si>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</si>
  <si>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</si>
  <si>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</si>
  <si>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</si>
  <si>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</si>
  <si>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</si>
  <si>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</si>
  <si>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</si>
  <si>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</si>
  <si>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</si>
  <si>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</si>
  <si>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</si>
  <si>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</si>
  <si>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</si>
  <si>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</si>
  <si>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</si>
  <si>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</si>
  <si>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</si>
  <si>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</si>
  <si>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</si>
  <si>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</si>
  <si>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</si>
  <si>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</si>
  <si>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</si>
  <si>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</si>
  <si>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</si>
  <si>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</si>
  <si>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</si>
  <si>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</si>
  <si>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</si>
  <si>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</si>
  <si>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</si>
  <si>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</si>
  <si>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</si>
  <si>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</si>
  <si>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</si>
  <si>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</si>
  <si>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</si>
  <si>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</si>
  <si>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</si>
  <si>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</si>
  <si>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</si>
  <si>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</si>
  <si>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</si>
  <si>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</si>
  <si>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</si>
  <si>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</si>
  <si>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</si>
  <si>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</si>
  <si>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</si>
  <si>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</si>
  <si>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</si>
  <si>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</si>
  <si>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</si>
  <si>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</si>
  <si>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</si>
  <si>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</si>
  <si>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</si>
  <si>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</si>
  <si>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</si>
  <si>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</si>
  <si>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</si>
  <si>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</si>
  <si>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</si>
  <si>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</si>
  <si>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</si>
  <si>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</si>
  <si>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</si>
  <si>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</si>
  <si>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</si>
  <si>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</si>
  <si>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</si>
  <si>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</si>
  <si>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</si>
  <si>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</si>
  <si>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</si>
  <si>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</si>
  <si>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</si>
  <si>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</si>
  <si>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</si>
  <si>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</si>
  <si>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</si>
  <si>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</si>
  <si>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</si>
  <si>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</si>
  <si>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</si>
  <si>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</si>
  <si>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</si>
  <si>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</si>
  <si>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</si>
  <si>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</si>
  <si>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</si>
  <si>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</si>
  <si>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</si>
  <si>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</si>
  <si>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</si>
  <si>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</si>
  <si>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</si>
  <si>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</si>
  <si>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</si>
  <si>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</si>
  <si>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</si>
  <si>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</si>
  <si>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</si>
  <si>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</si>
  <si>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</si>
  <si>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</si>
  <si>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</si>
  <si>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</si>
  <si>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</si>
  <si>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</si>
  <si>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</si>
  <si>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</si>
  <si>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</si>
  <si>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</si>
  <si>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</si>
  <si>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</si>
  <si>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</si>
  <si>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</si>
  <si>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</si>
  <si>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</si>
  <si>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</si>
  <si>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</si>
  <si>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</si>
  <si>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</si>
  <si>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</si>
  <si>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</si>
  <si>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</si>
  <si>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</si>
  <si>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</si>
  <si>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</si>
  <si>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</si>
  <si>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</si>
  <si>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</si>
  <si>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</si>
  <si>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</si>
  <si>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</si>
  <si>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</si>
  <si>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</si>
  <si>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</si>
  <si>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</si>
  <si>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</si>
  <si>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</si>
  <si>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</si>
  <si>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</si>
  <si>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</si>
  <si>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</si>
  <si>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</si>
  <si>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</si>
  <si>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</si>
  <si>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</si>
  <si>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</si>
  <si>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</si>
  <si>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</si>
  <si>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</si>
  <si>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</si>
  <si>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</si>
  <si>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</si>
  <si>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</si>
  <si>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</si>
  <si>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</si>
  <si>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</si>
  <si>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</si>
  <si>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</si>
  <si>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</si>
  <si>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</si>
  <si>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</si>
  <si>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</si>
  <si>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</si>
  <si>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</si>
  <si>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</si>
  <si>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</si>
  <si>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</si>
  <si>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</si>
  <si>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</si>
  <si>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</si>
  <si>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</si>
  <si>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adrCd0042B8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</si>
  <si>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</si>
  <si>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</si>
  <si>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</si>
  <si>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</si>
  <si>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</si>
  <si>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</si>
  <si>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</si>
  <si>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</si>
  <si>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</si>
  <si>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</si>
  <si>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</si>
  <si>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</si>
  <si>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</si>
  <si>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</si>
  <si>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</si>
  <si>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</si>
  <si>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</si>
  <si>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</si>
  <si>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</si>
  <si>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</si>
  <si>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</si>
  <si>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</si>
  <si>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</si>
  <si>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</si>
  <si>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</si>
  <si>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</si>
  <si>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</si>
  <si>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</si>
  <si>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</si>
  <si>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</si>
  <si>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</si>
  <si>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</si>
  <si>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</si>
  <si>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</si>
  <si>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</si>
  <si>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</si>
  <si>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</si>
  <si>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</si>
  <si>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</si>
  <si>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</si>
  <si>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</si>
  <si>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</si>
  <si>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</si>
  <si>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</si>
  <si>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</si>
  <si>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</si>
  <si>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</si>
  <si>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</si>
  <si>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</si>
  <si>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</si>
  <si>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</si>
  <si>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</si>
  <si>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</si>
  <si>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</si>
  <si>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</si>
  <si>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</si>
  <si>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</si>
  <si>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</si>
  <si>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</si>
  <si>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</si>
  <si>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</si>
  <si>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</si>
  <si>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</si>
  <si>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</si>
  <si>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</si>
  <si>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</si>
  <si>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</si>
  <si>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</si>
  <si>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</si>
  <si>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</si>
  <si>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</si>
  <si>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</si>
  <si>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</si>
  <si>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</si>
  <si>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</si>
  <si>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</si>
  <si>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</si>
  <si>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</si>
  <si>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</si>
  <si>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</si>
  <si>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</si>
  <si>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</si>
  <si>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</si>
  <si>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</si>
  <si>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</si>
  <si>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</si>
  <si>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</si>
  <si>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</si>
  <si>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</si>
  <si>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</si>
  <si>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</si>
  <si>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</si>
  <si>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</si>
  <si>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</si>
  <si>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</si>
  <si>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</si>
  <si>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</si>
  <si>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</si>
  <si>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</si>
  <si>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</si>
  <si>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</si>
  <si>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</si>
  <si>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</si>
  <si>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</si>
  <si>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</si>
  <si>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</si>
  <si>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</si>
  <si>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</si>
  <si>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</si>
  <si>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</si>
  <si>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</si>
  <si>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</si>
  <si>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</si>
  <si>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</si>
  <si>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</si>
  <si>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</si>
  <si>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</si>
  <si>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</si>
  <si>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</si>
  <si>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</si>
  <si>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</si>
  <si>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</si>
  <si>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</si>
  <si>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</si>
  <si>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</si>
  <si>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</si>
  <si>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</si>
  <si>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</si>
  <si>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</si>
  <si>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</si>
  <si>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</si>
  <si>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</si>
  <si>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</si>
  <si>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</si>
  <si>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</si>
  <si>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</si>
  <si>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</si>
  <si>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</si>
  <si>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</si>
  <si>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</si>
  <si>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</si>
  <si>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</si>
  <si>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</si>
  <si>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</si>
  <si>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</si>
  <si>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</si>
  <si>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</si>
  <si>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</si>
  <si>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</si>
  <si>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</si>
  <si>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</si>
  <si>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</si>
  <si>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</si>
  <si>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</si>
  <si>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</si>
  <si>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</si>
  <si>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</si>
  <si>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</si>
  <si>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</si>
  <si>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</si>
  <si>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</si>
  <si>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</si>
  <si>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</si>
  <si>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</si>
  <si>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</si>
  <si>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</si>
  <si>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</si>
  <si>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</si>
  <si>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</si>
  <si>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</si>
  <si>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</si>
  <si>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</si>
  <si>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</si>
  <si>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</si>
  <si>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</si>
  <si>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</si>
  <si>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</si>
  <si>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</si>
  <si>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</si>
  <si>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</si>
  <si>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</si>
  <si>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</si>
  <si>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</si>
  <si>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</si>
  <si>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</si>
  <si>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</si>
  <si>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</si>
  <si>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</si>
  <si>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</si>
  <si>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</si>
  <si>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</si>
  <si>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</si>
  <si>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</si>
  <si>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</si>
  <si>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</si>
  <si>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</si>
  <si>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</si>
  <si>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</si>
  <si>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</si>
  <si>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</si>
  <si>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</si>
  <si>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</si>
  <si>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</si>
  <si>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</si>
  <si>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</si>
  <si>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</si>
  <si>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</si>
  <si>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</si>
  <si>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</si>
  <si>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</si>
  <si>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</si>
  <si>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</si>
  <si>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</si>
  <si>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</si>
  <si>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</si>
  <si>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</si>
  <si>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</si>
  <si>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</si>
  <si>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</si>
  <si>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</si>
  <si>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</si>
  <si>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</si>
  <si>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</si>
  <si>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</si>
  <si>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</si>
  <si>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</si>
  <si>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</si>
  <si>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</si>
  <si>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</si>
  <si>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</si>
  <si>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</si>
  <si>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</si>
  <si>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</si>
  <si>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</si>
  <si>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</si>
  <si>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</si>
  <si>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</si>
  <si>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</si>
  <si>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</si>
  <si>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</si>
  <si>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</si>
  <si>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</si>
  <si>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</si>
  <si>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</si>
  <si>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</si>
  <si>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</si>
  <si>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</si>
  <si>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</si>
  <si>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</si>
  <si>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</si>
  <si>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</si>
  <si>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</si>
  <si>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</si>
  <si>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</si>
  <si>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</si>
  <si>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</si>
  <si>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</si>
  <si>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</si>
  <si>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</si>
  <si>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</si>
  <si>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</si>
  <si>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</si>
  <si>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</si>
  <si>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</si>
  <si>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</si>
  <si>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</si>
  <si>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</si>
  <si>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</si>
  <si>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</si>
  <si>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</si>
  <si>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</si>
  <si>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</si>
  <si>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</si>
  <si>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</si>
  <si>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</si>
  <si>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</si>
  <si>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</si>
  <si>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</si>
  <si>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</si>
  <si>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</si>
  <si>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</si>
  <si>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</si>
  <si>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</si>
  <si>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</si>
  <si>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</si>
  <si>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</si>
  <si>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</si>
  <si>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</si>
  <si>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</si>
  <si>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</si>
  <si>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</si>
  <si>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</si>
  <si>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</si>
  <si>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</si>
  <si>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</si>
  <si>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</si>
  <si>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</si>
  <si>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</si>
  <si>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</si>
  <si>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</si>
  <si>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</si>
  <si>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</si>
  <si>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</si>
  <si>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</si>
  <si>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</si>
  <si>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</si>
  <si>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</si>
  <si>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</si>
  <si>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</si>
  <si>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</si>
  <si>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</si>
  <si>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</si>
  <si>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</si>
  <si>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</si>
  <si>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</si>
  <si>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</si>
  <si>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</si>
  <si>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</si>
  <si>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</si>
  <si>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</si>
  <si>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</si>
  <si>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</si>
  <si>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</si>
  <si>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</si>
  <si>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</si>
  <si>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</si>
  <si>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</si>
  <si>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</si>
  <si>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</si>
  <si>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</si>
  <si>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</si>
  <si>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</si>
  <si>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</si>
  <si>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</si>
  <si>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</si>
  <si>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</si>
  <si>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</si>
  <si>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</si>
  <si>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</si>
  <si>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</si>
  <si>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</si>
  <si>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</si>
  <si>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</si>
  <si>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</si>
  <si>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</si>
  <si>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</si>
  <si>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</si>
  <si>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</si>
  <si>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</si>
  <si>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</si>
  <si>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</si>
  <si>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</si>
  <si>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</si>
  <si>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</si>
  <si>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</si>
  <si>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</si>
  <si>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</si>
  <si>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adrJA005CFC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</si>
  <si>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</si>
  <si>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</si>
  <si>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</si>
  <si>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</si>
  <si>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</si>
  <si>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</si>
  <si>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</si>
  <si>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</si>
  <si>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</si>
  <si>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</si>
  <si>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</si>
  <si>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</si>
  <si>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</si>
  <si>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</si>
  <si>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</si>
  <si>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</si>
  <si>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</si>
  <si>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</si>
  <si>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</si>
  <si>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</si>
  <si>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</si>
  <si>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</si>
  <si>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</si>
  <si>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</si>
  <si>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</si>
  <si>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</si>
  <si>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</si>
  <si>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</si>
  <si>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</si>
  <si>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</si>
  <si>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</si>
  <si>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</si>
  <si>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</si>
  <si>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</si>
  <si>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</si>
  <si>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</si>
  <si>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</si>
  <si>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</si>
  <si>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</si>
  <si>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</si>
  <si>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</si>
  <si>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</si>
  <si>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</si>
  <si>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</si>
  <si>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</si>
  <si>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</si>
  <si>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</si>
  <si>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</si>
  <si>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</si>
  <si>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</si>
  <si>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</si>
  <si>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</si>
  <si>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</si>
  <si>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</si>
  <si>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</si>
  <si>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</si>
  <si>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</si>
  <si>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</si>
  <si>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</si>
  <si>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</si>
  <si>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</si>
  <si>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</si>
  <si>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</si>
  <si>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</si>
  <si>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</si>
  <si>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</si>
  <si>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</si>
  <si>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</si>
  <si>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</si>
  <si>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</si>
  <si>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</si>
  <si>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</si>
  <si>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</si>
  <si>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</si>
  <si>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</si>
  <si>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</si>
  <si>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</si>
  <si>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</si>
  <si>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</si>
  <si>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</si>
  <si>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</si>
  <si>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</si>
  <si>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</si>
  <si>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</si>
  <si>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</si>
  <si>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</si>
  <si>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</si>
  <si>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</si>
  <si>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</si>
  <si>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</si>
  <si>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</si>
  <si>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</si>
  <si>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</si>
  <si>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</si>
  <si>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</si>
  <si>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</si>
  <si>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</si>
  <si>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</si>
  <si>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</si>
  <si>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</si>
  <si>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</si>
  <si>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</si>
  <si>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</si>
  <si>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</si>
  <si>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</si>
  <si>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</si>
  <si>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</si>
  <si>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</si>
  <si>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</si>
  <si>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</si>
  <si>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</si>
  <si>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</si>
  <si>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</si>
  <si>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</si>
  <si>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</si>
  <si>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</si>
  <si>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</si>
  <si>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</si>
  <si>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</si>
  <si>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</si>
  <si>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</si>
  <si>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</si>
  <si>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</si>
  <si>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</si>
  <si>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</si>
  <si>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</si>
  <si>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</si>
  <si>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</si>
  <si>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</si>
  <si>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</si>
  <si>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</si>
  <si>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</si>
  <si>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</si>
  <si>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</si>
  <si>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</si>
  <si>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</si>
  <si>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</si>
  <si>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</si>
  <si>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</si>
  <si>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</si>
  <si>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</si>
  <si>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</si>
  <si>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</si>
  <si>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</si>
  <si>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</si>
  <si>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</si>
  <si>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</si>
  <si>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</si>
  <si>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</si>
  <si>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</si>
  <si>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</si>
  <si>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</si>
  <si>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</si>
  <si>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</si>
  <si>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</si>
  <si>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</si>
  <si>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</si>
  <si>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</si>
  <si>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</si>
  <si>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</si>
  <si>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</si>
  <si>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</si>
  <si>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</si>
  <si>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</si>
  <si>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</si>
  <si>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</si>
  <si>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</si>
  <si>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</si>
  <si>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</si>
  <si>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</si>
  <si>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</si>
  <si>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</si>
  <si>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</si>
  <si>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</si>
  <si>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</si>
  <si>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</si>
  <si>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</si>
  <si>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</si>
  <si>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</si>
  <si>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</si>
  <si>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</si>
  <si>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</si>
  <si>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</si>
  <si>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</si>
  <si>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</si>
  <si>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</si>
  <si>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</si>
  <si>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</si>
  <si>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</si>
  <si>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</si>
  <si>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</si>
  <si>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</si>
  <si>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</si>
  <si>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</si>
  <si>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</si>
  <si>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</si>
  <si>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</si>
  <si>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</si>
  <si>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</si>
  <si>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</si>
  <si>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</si>
  <si>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</si>
  <si>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</si>
  <si>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</si>
  <si>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</si>
  <si>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</si>
  <si>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</si>
  <si>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</si>
  <si>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</si>
  <si>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</si>
  <si>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</si>
  <si>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</si>
  <si>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</si>
  <si>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</si>
  <si>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</si>
  <si>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</si>
  <si>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</si>
  <si>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</si>
  <si>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</si>
  <si>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</si>
  <si>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</si>
  <si>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</si>
  <si>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</si>
  <si>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</si>
  <si>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</si>
  <si>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</si>
  <si>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</si>
  <si>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</si>
  <si>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</si>
  <si>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</si>
  <si>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</si>
  <si>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</si>
  <si>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</si>
  <si>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</si>
  <si>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</si>
  <si>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</si>
  <si>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</si>
  <si>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</si>
  <si>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</si>
  <si>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</si>
  <si>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</si>
  <si>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</si>
  <si>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</si>
  <si>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</si>
  <si>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</si>
  <si>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</si>
  <si>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</si>
  <si>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</si>
  <si>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</si>
  <si>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</si>
  <si>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</si>
  <si>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</si>
  <si>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</si>
  <si>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</si>
  <si>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</si>
  <si>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</si>
  <si>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</si>
  <si>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</si>
  <si>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</si>
  <si>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</si>
  <si>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</si>
  <si>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</si>
  <si>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</si>
  <si>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</si>
  <si>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</si>
  <si>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</si>
  <si>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</si>
  <si>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</si>
  <si>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</si>
  <si>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</si>
  <si>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</si>
  <si>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</si>
  <si>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</si>
  <si>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</si>
  <si>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</si>
  <si>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</si>
  <si>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</si>
  <si>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</si>
  <si>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</si>
  <si>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</si>
  <si>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</si>
  <si>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</si>
  <si>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</si>
  <si>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</si>
  <si>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</si>
  <si>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</si>
  <si>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</si>
  <si>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</si>
  <si>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</si>
  <si>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</si>
  <si>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</si>
  <si>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</si>
  <si>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</si>
  <si>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</si>
  <si>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</si>
  <si>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</si>
  <si>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</si>
  <si>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</si>
  <si>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</si>
  <si>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</si>
  <si>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</si>
  <si>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</si>
  <si>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</si>
  <si>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</si>
  <si>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</si>
  <si>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</si>
  <si>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</si>
  <si>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</si>
  <si>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</si>
  <si>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</si>
  <si>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</si>
  <si>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</si>
  <si>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</si>
  <si>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</si>
  <si>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</si>
  <si>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</si>
  <si>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</si>
  <si>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</si>
  <si>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</si>
  <si>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</si>
  <si>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</si>
  <si>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</si>
  <si>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</si>
  <si>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</si>
  <si>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</si>
  <si>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</si>
  <si>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</si>
  <si>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</si>
  <si>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</si>
  <si>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</si>
  <si>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</si>
  <si>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</si>
  <si>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</si>
  <si>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</si>
  <si>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</si>
  <si>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</si>
  <si>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</si>
  <si>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</si>
  <si>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</si>
  <si>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</si>
  <si>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</si>
  <si>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</si>
  <si>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</si>
  <si>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</si>
  <si>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</si>
  <si>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</si>
  <si>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</si>
  <si>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</si>
  <si>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</si>
  <si>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</si>
  <si>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</si>
  <si>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</si>
  <si>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</si>
  <si>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</si>
  <si>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</si>
  <si>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</si>
  <si>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</si>
  <si>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</si>
  <si>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</si>
  <si>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</si>
  <si>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</si>
  <si>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</si>
  <si>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</si>
  <si>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</si>
  <si>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</si>
  <si>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</si>
  <si>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</si>
  <si>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</si>
  <si>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</si>
  <si>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</si>
  <si>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</si>
  <si>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</si>
  <si>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</si>
  <si>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</si>
  <si>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</si>
  <si>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</si>
  <si>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</si>
  <si>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</si>
  <si>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</si>
  <si>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</si>
  <si>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</si>
  <si>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</si>
  <si>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</si>
  <si>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</si>
  <si>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</si>
  <si>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</si>
  <si>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</si>
  <si>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</si>
  <si>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</si>
  <si>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</si>
  <si>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</si>
  <si>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</si>
  <si>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</si>
  <si>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</si>
  <si>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</si>
  <si>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</si>
  <si>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</si>
  <si>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</si>
  <si>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</si>
  <si>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</si>
  <si>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</si>
  <si>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</si>
  <si>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</si>
  <si>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</si>
  <si>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</si>
  <si>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</si>
  <si>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</si>
  <si>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</si>
  <si>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</si>
  <si>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</si>
  <si>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</si>
  <si>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</si>
  <si>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</si>
  <si>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</si>
  <si>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</si>
  <si>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</si>
  <si>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</si>
  <si>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</si>
  <si>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</si>
  <si>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</si>
  <si>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</si>
  <si>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</si>
  <si>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</si>
  <si>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</si>
  <si>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</si>
  <si>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</si>
  <si>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</si>
  <si>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</si>
  <si>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</si>
  <si>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</si>
  <si>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</si>
  <si>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</si>
  <si>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</si>
  <si>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</si>
  <si>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</si>
  <si>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</si>
  <si>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</si>
  <si>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</si>
  <si>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</si>
  <si>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</si>
  <si>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</si>
  <si>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</si>
  <si>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</si>
  <si>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</si>
  <si>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</si>
  <si>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</si>
  <si>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</si>
  <si>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</si>
  <si>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</si>
  <si>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</si>
  <si>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</si>
  <si>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</si>
  <si>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</si>
  <si>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</si>
  <si>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</si>
  <si>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</si>
  <si>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</si>
  <si>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</si>
  <si>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</si>
  <si>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</si>
  <si>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</si>
  <si>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</si>
  <si>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</si>
  <si>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</si>
  <si>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</si>
  <si>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</si>
  <si>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</si>
  <si>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</si>
  <si>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</si>
  <si>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</si>
  <si>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</si>
  <si>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</si>
  <si>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</si>
  <si>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</si>
  <si>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</si>
  <si>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</si>
  <si>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</si>
  <si>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</si>
  <si>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</si>
  <si>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</si>
  <si>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</si>
  <si>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</si>
  <si>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</si>
  <si>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</si>
  <si>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</si>
  <si>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</si>
  <si>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</si>
  <si>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</si>
  <si>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</si>
  <si>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</si>
  <si>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</si>
  <si>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</si>
  <si>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</si>
  <si>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</si>
  <si>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</si>
  <si>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</si>
  <si>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</si>
  <si>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</si>
  <si>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</si>
  <si>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</si>
  <si>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</si>
  <si>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</si>
  <si>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</si>
  <si>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</si>
  <si>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</si>
  <si>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</si>
  <si>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</si>
  <si>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</si>
  <si>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</si>
  <si>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</si>
  <si>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</si>
  <si>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</si>
  <si>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</si>
  <si>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</si>
  <si>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</si>
  <si>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</si>
  <si>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</si>
  <si>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</si>
  <si>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</si>
  <si>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</si>
  <si>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</si>
  <si>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</si>
  <si>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</si>
  <si>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</si>
  <si>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</si>
  <si>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</si>
  <si>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</si>
  <si>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</si>
  <si>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</si>
  <si>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</si>
  <si>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</si>
  <si>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</si>
  <si>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</si>
  <si>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</si>
  <si>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</si>
  <si>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</si>
  <si>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</si>
  <si>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</si>
  <si>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</si>
  <si>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</si>
  <si>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</si>
  <si>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</si>
  <si>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</si>
  <si>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</si>
  <si>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</si>
  <si>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</si>
  <si>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</si>
  <si>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</si>
  <si>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</si>
  <si>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</si>
  <si>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</si>
  <si>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</si>
  <si>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</si>
  <si>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</si>
  <si>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</si>
  <si>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</si>
  <si>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</si>
  <si>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</si>
  <si>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</si>
  <si>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</si>
  <si>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</si>
  <si>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</si>
  <si>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</si>
  <si>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</si>
  <si>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</si>
  <si>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</si>
  <si>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</si>
  <si>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</si>
  <si>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</si>
  <si>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</si>
  <si>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</si>
  <si>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</si>
  <si>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</si>
  <si>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</si>
  <si>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</si>
  <si>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</si>
  <si>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</si>
  <si>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</si>
  <si>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</si>
  <si>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</si>
  <si>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</si>
  <si>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</si>
  <si>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</si>
  <si>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</si>
  <si>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</si>
  <si>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</si>
  <si>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</si>
  <si>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</si>
  <si>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</si>
  <si>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</si>
  <si>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</si>
  <si>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</si>
  <si>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</si>
  <si>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</si>
  <si>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</si>
  <si>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</si>
  <si>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</si>
  <si>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</si>
  <si>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</si>
  <si>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</si>
  <si>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</si>
  <si>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</si>
  <si>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</si>
  <si>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</si>
  <si>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</si>
  <si>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</si>
  <si>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</si>
  <si>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</si>
  <si>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</si>
  <si>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</si>
  <si>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</si>
  <si>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</si>
  <si>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</si>
  <si>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</si>
  <si>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</si>
  <si>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</si>
  <si>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</si>
  <si>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</si>
  <si>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</si>
  <si>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</si>
  <si>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</si>
  <si>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</si>
  <si>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</si>
  <si>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</si>
  <si>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</si>
  <si>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</si>
  <si>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</si>
  <si>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</si>
  <si>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</si>
  <si>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</si>
  <si>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</si>
  <si>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</si>
  <si>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</si>
  <si>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</si>
  <si>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</si>
  <si>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</si>
  <si>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</si>
  <si>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</si>
  <si>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</si>
  <si>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</si>
  <si>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</si>
  <si>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</si>
  <si>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</si>
  <si>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</si>
  <si>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</si>
  <si>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</si>
  <si>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</si>
  <si>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</si>
  <si>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</si>
  <si>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</si>
  <si>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</si>
  <si>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</si>
  <si>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</si>
  <si>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</si>
  <si>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</si>
  <si>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</si>
  <si>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</si>
  <si>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</si>
  <si>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</si>
  <si>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</si>
  <si>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</si>
  <si>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</si>
  <si>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</si>
  <si>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</si>
  <si>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</si>
  <si>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</si>
  <si>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</si>
  <si>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</si>
  <si>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</si>
  <si>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</si>
  <si>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</si>
  <si>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</si>
  <si>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</si>
  <si>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</si>
  <si>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</si>
  <si>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</si>
  <si>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</si>
  <si>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</si>
  <si>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</si>
  <si>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</si>
  <si>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</si>
  <si>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</si>
  <si>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</si>
  <si>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</si>
  <si>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</si>
  <si>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</si>
  <si>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</si>
  <si>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</si>
  <si>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</si>
  <si>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</si>
  <si>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</si>
  <si>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</si>
  <si>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</si>
  <si>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</si>
  <si>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</si>
  <si>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</si>
  <si>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</si>
  <si>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</si>
  <si>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</si>
  <si>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</si>
  <si>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</si>
  <si>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</si>
  <si>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</si>
  <si>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</si>
  <si>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</si>
  <si>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</si>
  <si>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</si>
  <si>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</si>
  <si>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</si>
  <si>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</si>
  <si>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</si>
  <si>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</si>
  <si>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</si>
  <si>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</si>
  <si>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</si>
  <si>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</si>
  <si>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</si>
  <si>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</si>
  <si>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</si>
  <si>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</si>
  <si>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</si>
  <si>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</si>
  <si>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</si>
  <si>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</si>
  <si>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</si>
  <si>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</si>
  <si>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</si>
  <si>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</si>
  <si>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</si>
  <si>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</si>
  <si>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</si>
  <si>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</si>
  <si>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</si>
  <si>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</si>
  <si>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</si>
  <si>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</si>
  <si>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</si>
  <si>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</si>
  <si>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</si>
  <si>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</si>
  <si>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</si>
  <si>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</si>
  <si>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</si>
  <si>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</si>
  <si>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</si>
  <si>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</si>
  <si>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</si>
  <si>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</si>
  <si>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</si>
  <si>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</si>
  <si>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</si>
  <si>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</si>
  <si>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</si>
  <si>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</si>
  <si>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</si>
  <si>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</si>
  <si>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</si>
  <si>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</si>
  <si>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</si>
  <si>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</si>
  <si>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</si>
  <si>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</si>
  <si>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</si>
  <si>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</si>
  <si>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</si>
  <si>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</si>
  <si>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</si>
  <si>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</si>
  <si>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</si>
  <si>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</si>
  <si>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</si>
  <si>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</si>
  <si>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</si>
  <si>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</si>
  <si>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</si>
  <si>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</si>
  <si>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</si>
  <si>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</si>
  <si>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</si>
  <si>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</si>
  <si>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</si>
  <si>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</si>
  <si>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</si>
  <si>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</si>
  <si>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</si>
  <si>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</si>
  <si>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</si>
  <si>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</si>
  <si>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</si>
  <si>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</si>
  <si>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</si>
  <si>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</si>
  <si>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</si>
  <si>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</si>
  <si>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</si>
  <si>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</si>
  <si>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</si>
  <si>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</si>
  <si>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</si>
  <si>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</si>
  <si>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</si>
  <si>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</si>
  <si>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</si>
  <si>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</si>
  <si>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</si>
  <si>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</si>
  <si>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</si>
  <si>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</si>
  <si>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</si>
  <si>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</si>
  <si>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</si>
  <si>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</si>
  <si>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</si>
  <si>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</si>
  <si>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</si>
  <si>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</si>
  <si>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</si>
  <si>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</si>
  <si>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</si>
  <si>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</si>
  <si>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</si>
  <si>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</si>
  <si>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</si>
  <si>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</si>
  <si>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</si>
  <si>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</si>
  <si>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</si>
  <si>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</si>
  <si>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</si>
  <si>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</si>
  <si>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</si>
  <si>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</si>
  <si>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</si>
  <si>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</si>
  <si>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</si>
  <si>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</si>
  <si>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</si>
  <si>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</si>
  <si>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</si>
  <si>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</si>
  <si>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</si>
  <si>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</si>
  <si>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</si>
  <si>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</si>
  <si>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</si>
  <si>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</si>
  <si>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</si>
  <si>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</si>
  <si>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</si>
  <si>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</si>
  <si>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</si>
  <si>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</si>
  <si>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</si>
  <si>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</si>
  <si>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</si>
  <si>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</si>
  <si>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</si>
  <si>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</si>
  <si>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</si>
  <si>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</si>
  <si>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</si>
  <si>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</si>
  <si>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</si>
  <si>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</si>
  <si>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</si>
  <si>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</si>
  <si>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</si>
  <si>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</si>
  <si>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</si>
  <si>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</si>
  <si>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</si>
  <si>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</si>
  <si>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</si>
  <si>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</si>
  <si>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</si>
  <si>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</si>
  <si>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</si>
  <si>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</si>
  <si>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</si>
  <si>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</si>
  <si>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</si>
  <si>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</si>
  <si>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</si>
  <si>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</si>
  <si>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</si>
  <si>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</si>
  <si>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</si>
  <si>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</si>
  <si>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</si>
  <si>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</si>
  <si>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</si>
  <si>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</si>
  <si>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</si>
  <si>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</si>
  <si>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</si>
  <si>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</si>
  <si>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</si>
  <si>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</si>
  <si>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</si>
  <si>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</si>
  <si>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</si>
  <si>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</si>
  <si>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</si>
  <si>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</si>
  <si>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</si>
  <si>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</si>
  <si>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</si>
  <si>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</si>
  <si>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</si>
  <si>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</si>
  <si>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</si>
  <si>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</si>
  <si>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</si>
  <si>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</si>
  <si>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</si>
  <si>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</si>
  <si>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</si>
  <si>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</si>
  <si>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</si>
  <si>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</si>
  <si>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</si>
  <si>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</si>
  <si>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</si>
  <si>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</si>
  <si>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</si>
  <si>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</si>
  <si>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</si>
  <si>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</si>
  <si>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</si>
  <si>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</si>
  <si>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</si>
  <si>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</si>
  <si>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</si>
  <si>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</si>
  <si>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</si>
  <si>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</si>
  <si>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</si>
  <si>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</si>
  <si>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</si>
  <si>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</si>
  <si>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</si>
  <si>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</si>
  <si>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</si>
  <si>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</si>
  <si>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</si>
  <si>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</si>
  <si>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</si>
  <si>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</si>
  <si>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</si>
  <si>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</si>
  <si>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</si>
  <si>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</si>
  <si>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</si>
  <si>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</si>
  <si>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</si>
  <si>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</si>
  <si>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</si>
  <si>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</si>
  <si>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</si>
  <si>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</si>
  <si>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</si>
  <si>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</si>
  <si>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</si>
  <si>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</si>
  <si>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</si>
  <si>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</si>
  <si>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</si>
  <si>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</si>
  <si>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</si>
  <si>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</si>
  <si>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</si>
  <si>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</si>
  <si>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</si>
  <si>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</si>
  <si>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</si>
  <si>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</si>
  <si>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</si>
  <si>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</si>
  <si>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</si>
  <si>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</si>
  <si>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</si>
  <si>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</si>
  <si>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</si>
  <si>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</si>
  <si>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</si>
  <si>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</si>
  <si>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</si>
  <si>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</si>
  <si>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</si>
  <si>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</si>
  <si>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</si>
  <si>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</si>
  <si>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</si>
  <si>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</si>
  <si>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</si>
  <si>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</si>
  <si>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</si>
  <si>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</si>
  <si>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</si>
  <si>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</si>
  <si>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</si>
  <si>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</si>
  <si>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</si>
  <si>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</si>
  <si>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</si>
  <si>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</si>
  <si>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</si>
  <si>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</si>
  <si>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</si>
  <si>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</si>
  <si>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</si>
  <si>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</si>
  <si>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</si>
  <si>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</si>
  <si>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</si>
  <si>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</si>
  <si>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</si>
  <si>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</si>
  <si>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</si>
  <si>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</si>
  <si>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</si>
  <si>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</si>
  <si>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</si>
  <si>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</si>
  <si>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</si>
  <si>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</si>
  <si>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</si>
  <si>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</si>
  <si>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</si>
  <si>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</si>
  <si>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</si>
  <si>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</si>
  <si>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</si>
  <si>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</si>
  <si>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</si>
  <si>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</si>
  <si>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</si>
  <si>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</si>
  <si>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</si>
  <si>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</si>
  <si>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</si>
  <si>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</si>
  <si>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</si>
  <si>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</si>
  <si>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</si>
  <si>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</si>
  <si>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</si>
  <si>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</si>
  <si>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</si>
  <si>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</si>
  <si>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</si>
  <si>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</si>
  <si>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</si>
  <si>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</si>
  <si>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</si>
  <si>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</si>
  <si>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</si>
  <si>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</si>
  <si>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</si>
  <si>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</si>
  <si>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</si>
  <si>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</si>
  <si>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</si>
  <si>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</si>
  <si>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</si>
  <si>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</si>
  <si>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</si>
  <si>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</si>
  <si>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</si>
  <si>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</si>
  <si>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</si>
  <si>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</si>
  <si>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</si>
  <si>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</si>
  <si>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</si>
  <si>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</si>
  <si>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</si>
  <si>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</si>
  <si>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</si>
  <si>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</si>
  <si>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</si>
  <si>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</si>
  <si>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</si>
  <si>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</si>
  <si>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</si>
  <si>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</si>
  <si>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</si>
  <si>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</si>
  <si>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</si>
  <si>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</si>
  <si>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</si>
  <si>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</si>
  <si>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</si>
  <si>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</si>
  <si>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</si>
  <si>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</si>
  <si>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</si>
  <si>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</si>
  <si>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</si>
  <si>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</si>
  <si>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</si>
  <si>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</si>
  <si>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</si>
  <si>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</si>
  <si>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</si>
  <si>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</si>
  <si>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</si>
  <si>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</si>
  <si>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</si>
  <si>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</si>
  <si>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</si>
  <si>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</si>
  <si>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</si>
  <si>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</si>
  <si>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</si>
  <si>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</si>
  <si>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</si>
  <si>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</si>
  <si>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</si>
  <si>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</si>
  <si>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</si>
  <si>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</si>
  <si>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</si>
  <si>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</si>
  <si>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</si>
  <si>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</si>
  <si>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</si>
  <si>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</si>
  <si>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</si>
  <si>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</si>
  <si>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</si>
  <si>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</si>
  <si>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</si>
  <si>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</si>
  <si>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</si>
  <si>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</si>
  <si>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</si>
  <si>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</si>
  <si>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</si>
  <si>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</si>
  <si>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</si>
  <si>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</si>
  <si>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</si>
  <si>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</si>
  <si>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</si>
  <si>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</si>
  <si>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</si>
  <si>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</si>
  <si>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</si>
  <si>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</si>
  <si>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</si>
  <si>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</si>
  <si>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</si>
  <si>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</si>
  <si>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</si>
  <si>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</si>
  <si>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</si>
  <si>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</si>
  <si>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</si>
  <si>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</si>
  <si>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</si>
  <si>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</si>
  <si>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</si>
  <si>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</si>
  <si>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</si>
  <si>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</si>
  <si>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</si>
  <si>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</si>
  <si>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</si>
  <si>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</si>
  <si>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</si>
  <si>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</si>
  <si>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</si>
  <si>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</si>
  <si>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</si>
  <si>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</si>
  <si>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</si>
  <si>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</si>
  <si>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</si>
  <si>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</si>
  <si>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</si>
  <si>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</si>
  <si>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</si>
  <si>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</si>
  <si>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</si>
  <si>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</si>
  <si>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</si>
  <si>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</si>
  <si>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</si>
  <si>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</si>
  <si>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</si>
  <si>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</si>
  <si>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</si>
  <si>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</si>
  <si>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</si>
  <si>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</si>
  <si>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</si>
  <si>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</si>
  <si>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</si>
  <si>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</si>
  <si>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</si>
  <si>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</si>
  <si>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</si>
  <si>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</si>
  <si>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</si>
  <si>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</si>
  <si>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</si>
  <si>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</si>
  <si>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</si>
  <si>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</si>
  <si>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</si>
  <si>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</si>
  <si>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</si>
  <si>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</si>
  <si>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</si>
  <si>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</si>
  <si>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</si>
  <si>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</si>
  <si>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</si>
  <si>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</si>
  <si>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</si>
  <si>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</si>
  <si>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</si>
  <si>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</si>
  <si>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</si>
  <si>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</si>
  <si>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</si>
  <si>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</si>
  <si>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</si>
  <si>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</si>
  <si>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</si>
  <si>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</si>
  <si>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</si>
  <si>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</si>
  <si>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</si>
  <si>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</si>
  <si>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</si>
  <si>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</si>
  <si>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</si>
  <si>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</si>
  <si>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</si>
  <si>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</si>
  <si>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</si>
  <si>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</si>
  <si>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</si>
  <si>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</si>
  <si>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</si>
  <si>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</si>
  <si>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</si>
  <si>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</si>
  <si>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</si>
  <si>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</si>
  <si>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</si>
  <si>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</si>
  <si>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</si>
  <si>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</si>
  <si>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</si>
  <si>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</si>
  <si>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</si>
  <si>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</si>
  <si>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</si>
  <si>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</si>
  <si>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</si>
  <si>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</si>
  <si>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</si>
  <si>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</si>
  <si>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</si>
  <si>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</si>
  <si>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</si>
  <si>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</si>
  <si>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</si>
  <si>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</si>
  <si>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</si>
  <si>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</si>
  <si>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</si>
  <si>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</si>
  <si>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</si>
  <si>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</si>
  <si>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</si>
  <si>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</si>
  <si>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</si>
  <si>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</si>
  <si>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</si>
  <si>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</si>
  <si>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</si>
  <si>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</si>
  <si>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</si>
  <si>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</si>
  <si>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</si>
  <si>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</si>
  <si>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</si>
  <si>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</si>
  <si>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</si>
  <si>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</si>
  <si>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</si>
  <si>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</si>
  <si>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</si>
  <si>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</si>
  <si>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</si>
  <si>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</si>
  <si>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</si>
  <si>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</si>
  <si>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</si>
  <si>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</si>
  <si>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</si>
  <si>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</si>
  <si>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</si>
  <si>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</si>
  <si>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</si>
  <si>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</si>
  <si>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</si>
  <si>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</si>
  <si>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</si>
  <si>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</si>
  <si>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</si>
  <si>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</si>
  <si>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</si>
  <si>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</si>
  <si>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</si>
  <si>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</si>
  <si>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</si>
  <si>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</si>
  <si>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</si>
  <si>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</si>
  <si>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</si>
  <si>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</si>
  <si>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</si>
  <si>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</si>
  <si>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</si>
  <si>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</si>
  <si>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</si>
  <si>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</si>
  <si>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</si>
  <si>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</si>
  <si>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</si>
  <si>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</si>
  <si>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</si>
  <si>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</si>
  <si>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adrCd00D788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</si>
  <si>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</si>
  <si>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</si>
  <si>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</si>
  <si>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</si>
  <si>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</si>
  <si>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</si>
  <si>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</si>
  <si>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</si>
  <si>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</si>
  <si>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</si>
  <si>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</si>
  <si>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</si>
  <si>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</si>
  <si>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</si>
  <si>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</si>
  <si>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</si>
  <si>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</si>
  <si>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</si>
  <si>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</si>
  <si>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</si>
  <si>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</si>
  <si>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</si>
  <si>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</si>
  <si>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</si>
  <si>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</si>
  <si>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</si>
  <si>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</si>
  <si>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</si>
  <si>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</si>
  <si>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</si>
  <si>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</si>
  <si>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</si>
  <si>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</si>
  <si>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</si>
  <si>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</si>
  <si>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</si>
  <si>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</si>
  <si>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</si>
  <si>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</si>
  <si>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</si>
  <si>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</si>
  <si>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</si>
  <si>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</si>
  <si>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</si>
  <si>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</si>
  <si>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</si>
  <si>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</si>
  <si>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</si>
  <si>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</si>
  <si>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</si>
  <si>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</si>
  <si>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</si>
  <si>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</si>
  <si>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</si>
  <si>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</si>
  <si>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</si>
  <si>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</si>
  <si>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</si>
  <si>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</si>
  <si>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</si>
  <si>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</si>
  <si>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</si>
  <si>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</si>
  <si>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</si>
  <si>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</si>
  <si>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</si>
  <si>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</si>
  <si>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</si>
  <si>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</si>
  <si>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</si>
  <si>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</si>
  <si>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</si>
  <si>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</si>
  <si>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</si>
  <si>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</si>
  <si>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</si>
  <si>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</si>
  <si>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</si>
  <si>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</si>
  <si>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</si>
  <si>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</si>
  <si>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</si>
  <si>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</si>
  <si>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</si>
  <si>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</si>
  <si>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</si>
  <si>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</si>
  <si>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</si>
  <si>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</si>
  <si>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</si>
  <si>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</si>
  <si>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</si>
  <si>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</si>
  <si>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</si>
  <si>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</si>
  <si>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</si>
  <si>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</si>
  <si>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</si>
  <si>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</si>
  <si>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</si>
  <si>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</si>
  <si>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</si>
  <si>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</si>
  <si>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</si>
  <si>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</si>
  <si>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</si>
  <si>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</si>
  <si>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</si>
  <si>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</si>
  <si>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</si>
  <si>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</si>
  <si>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</si>
  <si>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</si>
  <si>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</si>
  <si>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</si>
  <si>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</si>
  <si>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</si>
  <si>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</si>
  <si>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</si>
  <si>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</si>
  <si>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</si>
  <si>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</si>
  <si>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</si>
  <si>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</si>
  <si>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</si>
  <si>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</si>
  <si>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</si>
  <si>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</si>
  <si>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</si>
  <si>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</si>
  <si>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</si>
  <si>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</si>
  <si>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</si>
  <si>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</si>
  <si>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</si>
  <si>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</si>
  <si>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</si>
  <si>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</si>
  <si>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</si>
  <si>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</si>
  <si>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</si>
  <si>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</si>
  <si>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</si>
  <si>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</si>
  <si>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</si>
  <si>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</si>
  <si>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</si>
  <si>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</si>
  <si>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</si>
  <si>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</si>
  <si>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</si>
  <si>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</si>
  <si>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</si>
  <si>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</si>
  <si>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</si>
  <si>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</si>
  <si>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</si>
  <si>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</si>
  <si>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</si>
  <si>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</si>
  <si>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</si>
  <si>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</si>
  <si>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</si>
  <si>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</si>
  <si>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</si>
  <si>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</si>
  <si>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</si>
  <si>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</si>
  <si>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</si>
  <si>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</si>
  <si>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</si>
  <si>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</si>
  <si>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</si>
  <si>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</si>
  <si>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</si>
  <si>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</si>
  <si>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</si>
  <si>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</si>
  <si>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</si>
  <si>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</si>
  <si>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</si>
  <si>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</si>
  <si>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</si>
  <si>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</si>
  <si>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</si>
  <si>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</si>
  <si>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</si>
  <si>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</si>
  <si>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</si>
  <si>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</si>
  <si>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</si>
  <si>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</si>
  <si>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</si>
  <si>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</si>
  <si>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</si>
  <si>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</si>
  <si>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</si>
  <si>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</si>
  <si>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</si>
  <si>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</si>
  <si>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</si>
  <si>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</si>
  <si>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</si>
  <si>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</si>
  <si>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</si>
  <si>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</si>
  <si>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</si>
  <si>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</si>
  <si>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</si>
  <si>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</si>
  <si>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</si>
  <si>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</si>
  <si>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</si>
  <si>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</si>
  <si>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</si>
  <si>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</si>
  <si>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</si>
  <si>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</si>
  <si>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</si>
  <si>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</si>
  <si>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</si>
  <si>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</si>
  <si>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</si>
  <si>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</si>
  <si>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</si>
  <si>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</si>
  <si>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</si>
  <si>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</si>
  <si>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</si>
  <si>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</si>
  <si>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</si>
  <si>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</si>
  <si>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</si>
  <si>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</si>
  <si>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</si>
  <si>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</si>
  <si>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</si>
  <si>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</si>
  <si>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</si>
  <si>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</si>
  <si>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</si>
  <si>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</si>
  <si>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</si>
  <si>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</si>
  <si>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</si>
  <si>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</si>
  <si>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</si>
  <si>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</si>
  <si>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</si>
  <si>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</si>
  <si>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</si>
  <si>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</si>
  <si>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</si>
  <si>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</si>
  <si>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</si>
  <si>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</si>
  <si>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</si>
  <si>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</si>
  <si>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</si>
  <si>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</si>
  <si>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</si>
  <si>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</si>
  <si>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</si>
  <si>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</si>
  <si>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</si>
  <si>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</si>
  <si>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</si>
  <si>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</si>
  <si>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</si>
  <si>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</si>
  <si>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</si>
  <si>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</si>
  <si>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</si>
  <si>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</si>
  <si>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</si>
  <si>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</si>
  <si>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</si>
  <si>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</si>
  <si>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</si>
  <si>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</si>
  <si>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</si>
  <si>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</si>
  <si>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</si>
  <si>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</si>
  <si>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</si>
  <si>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</si>
  <si>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</si>
  <si>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</si>
  <si>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</si>
  <si>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</si>
  <si>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</si>
  <si>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</si>
  <si>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</si>
  <si>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</si>
  <si>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</si>
  <si>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</si>
  <si>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</si>
  <si>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</si>
  <si>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</si>
  <si>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</si>
  <si>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</si>
  <si>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</si>
  <si>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</si>
  <si>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</si>
  <si>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</si>
  <si>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</si>
  <si>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</si>
  <si>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</si>
  <si>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</si>
  <si>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</si>
  <si>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</si>
  <si>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</si>
  <si>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</si>
  <si>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</si>
  <si>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</si>
  <si>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</si>
  <si>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</si>
  <si>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</si>
  <si>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</si>
  <si>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</si>
  <si>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</si>
  <si>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</si>
  <si>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</si>
  <si>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</si>
  <si>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</si>
  <si>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</si>
  <si>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</si>
  <si>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</si>
  <si>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</si>
  <si>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</si>
  <si>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</si>
  <si>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</si>
  <si>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</si>
  <si>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</si>
  <si>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</si>
  <si>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</si>
  <si>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</si>
  <si>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</si>
  <si>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</si>
  <si>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</si>
  <si>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</si>
  <si>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</si>
  <si>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</si>
  <si>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</si>
  <si>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</si>
  <si>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</si>
  <si>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</si>
  <si>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</si>
  <si>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</si>
  <si>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</si>
  <si>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</si>
  <si>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</si>
  <si>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</si>
  <si>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</si>
  <si>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</si>
  <si>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</si>
  <si>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</si>
  <si>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</si>
  <si>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</si>
  <si>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</si>
  <si>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</si>
  <si>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</si>
  <si>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</si>
  <si>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</si>
  <si>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</si>
  <si>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</si>
  <si>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</si>
  <si>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</si>
  <si>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</si>
  <si>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</si>
  <si>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</si>
  <si>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</si>
  <si>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</si>
  <si>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</si>
  <si>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</si>
  <si>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</si>
  <si>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</si>
  <si>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</si>
  <si>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</si>
  <si>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</si>
  <si>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</si>
  <si>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</si>
  <si>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</si>
  <si>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</si>
  <si>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</si>
  <si>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</si>
  <si>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</si>
  <si>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</si>
  <si>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</si>
  <si>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</si>
  <si>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</si>
  <si>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</si>
  <si>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</si>
  <si>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</si>
  <si>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</si>
  <si>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</si>
  <si>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</si>
  <si>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</si>
  <si>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</si>
  <si>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</si>
  <si>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</si>
  <si>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</si>
  <si>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</si>
  <si>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</si>
  <si>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</si>
  <si>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</si>
  <si>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</si>
  <si>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</si>
  <si>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</si>
  <si>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</si>
  <si>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</si>
  <si>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</si>
  <si>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</si>
  <si>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</si>
  <si>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</si>
  <si>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</si>
  <si>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</si>
  <si>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</si>
  <si>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</si>
  <si>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</si>
  <si>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</si>
  <si>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</si>
  <si>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</si>
  <si>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</si>
  <si>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</si>
  <si>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</si>
  <si>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</si>
  <si>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</si>
  <si>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</si>
  <si>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</si>
  <si>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</si>
  <si>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</si>
  <si>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</si>
  <si>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</si>
  <si>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</si>
  <si>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</si>
  <si>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</si>
  <si>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</si>
  <si>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</si>
  <si>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</si>
  <si>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</si>
  <si>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</si>
  <si>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</si>
  <si>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</si>
  <si>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</si>
  <si>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</si>
  <si>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</si>
  <si>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</si>
  <si>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</si>
  <si>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</si>
  <si>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</si>
  <si>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</si>
  <si>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</si>
  <si>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</si>
  <si>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</si>
  <si>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</si>
  <si>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</si>
  <si>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</si>
  <si>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</si>
  <si>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</si>
  <si>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</si>
  <si>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</si>
  <si>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</si>
  <si>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</si>
  <si>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</si>
  <si>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</si>
  <si>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</si>
  <si>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</si>
  <si>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</si>
  <si>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</si>
  <si>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</si>
  <si>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</si>
  <si>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</si>
  <si>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</si>
  <si>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</si>
  <si>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</si>
  <si>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</si>
  <si>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</si>
  <si>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</si>
  <si>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</si>
  <si>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</si>
  <si>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</si>
  <si>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</si>
  <si>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</si>
  <si>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</si>
  <si>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</si>
  <si>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</si>
  <si>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</si>
  <si>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</si>
  <si>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</si>
  <si>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</si>
  <si>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</si>
  <si>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</si>
  <si>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</si>
  <si>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</si>
  <si>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</si>
  <si>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</si>
  <si>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</si>
  <si>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</si>
  <si>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</si>
  <si>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</si>
  <si>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</si>
  <si>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</si>
  <si>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</si>
  <si>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</si>
  <si>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</si>
  <si>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</si>
  <si>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</si>
  <si>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</si>
  <si>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</si>
  <si>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</si>
  <si>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</si>
  <si>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</si>
  <si>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</si>
  <si>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</si>
  <si>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</si>
  <si>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</si>
  <si>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</si>
  <si>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</si>
  <si>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</si>
  <si>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</si>
  <si>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</si>
  <si>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</si>
  <si>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</si>
  <si>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</si>
  <si>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</si>
  <si>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</si>
  <si>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</si>
  <si>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</si>
  <si>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</si>
  <si>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</si>
  <si>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</si>
  <si>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</si>
  <si>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</si>
  <si>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</si>
  <si>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</si>
  <si>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</si>
  <si>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</si>
  <si>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Execute_Rotation</t>
  </si>
  <si>
    <t>Trigger_04_t08_Vivify_Machine_External</t>
  </si>
  <si>
    <t>Trigger_05_t0A_Vivify_Machine_Internal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</si>
  <si>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</si>
  <si>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</si>
  <si>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</si>
  <si>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</si>
  <si>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</si>
  <si>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Switch_04_s08_Trigger_22_t2C_RotateWall_XY</t>
  </si>
  <si>
    <t>Switch_03_s06_Trigger_03_t06_OpenLockedDoor_XY</t>
  </si>
  <si>
    <t>Switch_06_s0C_Trigger_18_t24_CreatePillar_XY</t>
  </si>
  <si>
    <t>Switch_05_s0A_Trigger_13_t1A_TogglePillar_XY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</si>
  <si>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</si>
  <si>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</si>
  <si>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</si>
  <si>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</si>
  <si>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</si>
  <si>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</si>
  <si>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</si>
  <si>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</si>
  <si>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</si>
  <si>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</si>
  <si>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</si>
  <si>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</si>
  <si>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</si>
  <si>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</si>
  <si>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</si>
  <si>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</si>
  <si>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</si>
  <si>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</si>
  <si>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</si>
  <si>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</si>
  <si>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</si>
  <si>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</si>
  <si>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</si>
  <si>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</si>
  <si>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</si>
  <si>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</si>
  <si>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</si>
  <si>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</si>
  <si>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</si>
  <si>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</si>
  <si>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</si>
  <si>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</si>
  <si>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</si>
  <si>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</si>
  <si>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</si>
  <si>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</si>
  <si>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</si>
  <si>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</si>
  <si>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</si>
  <si>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</si>
  <si>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</si>
  <si>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</si>
  <si>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</si>
  <si>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</si>
  <si>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</si>
  <si>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</si>
  <si>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</si>
  <si>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</si>
  <si>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</si>
  <si>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</si>
  <si>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</si>
  <si>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</si>
  <si>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</si>
  <si>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</si>
  <si>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</si>
  <si>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</si>
  <si>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</si>
  <si>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</si>
  <si>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</si>
  <si>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</si>
  <si>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</si>
  <si>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</si>
  <si>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</si>
  <si>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</si>
  <si>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</si>
  <si>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</si>
  <si>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</si>
  <si>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</si>
  <si>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</si>
  <si>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</si>
  <si>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</si>
  <si>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</si>
  <si>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</si>
  <si>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</si>
  <si>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</si>
  <si>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</si>
  <si>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</si>
  <si>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</si>
  <si>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</si>
  <si>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</si>
  <si>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</si>
  <si>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</si>
  <si>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</si>
  <si>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</si>
  <si>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</si>
  <si>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</si>
  <si>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</si>
  <si>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</si>
  <si>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</si>
  <si>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</si>
  <si>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</si>
  <si>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</si>
  <si>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</si>
  <si>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</si>
  <si>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</si>
  <si>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</si>
  <si>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</si>
  <si>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</si>
  <si>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</si>
  <si>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</si>
  <si>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</si>
  <si>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</si>
  <si>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</si>
  <si>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</si>
  <si>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</si>
  <si>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</si>
  <si>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</si>
  <si>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</si>
  <si>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</si>
  <si>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</si>
  <si>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</si>
  <si>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</si>
  <si>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</si>
  <si>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</si>
  <si>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</si>
  <si>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</si>
  <si>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</si>
  <si>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</si>
  <si>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</si>
  <si>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</si>
  <si>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</si>
  <si>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</si>
  <si>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</si>
  <si>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</si>
  <si>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</si>
  <si>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</si>
  <si>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</si>
  <si>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</si>
  <si>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</si>
  <si>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</si>
  <si>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</si>
  <si>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</si>
  <si>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</si>
  <si>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</si>
  <si>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</si>
  <si>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</si>
  <si>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</si>
  <si>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</si>
  <si>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</si>
  <si>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</si>
  <si>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</si>
  <si>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</si>
  <si>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</si>
  <si>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</si>
  <si>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</si>
  <si>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</si>
  <si>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</si>
  <si>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</si>
  <si>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</si>
  <si>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</si>
  <si>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</si>
  <si>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</si>
  <si>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</si>
  <si>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</si>
  <si>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</si>
  <si>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</si>
  <si>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</si>
  <si>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</si>
  <si>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</si>
  <si>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</si>
  <si>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</si>
  <si>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</si>
  <si>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</si>
  <si>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</si>
  <si>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</si>
  <si>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</si>
  <si>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</si>
  <si>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</si>
  <si>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</si>
  <si>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</si>
  <si>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</si>
  <si>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</si>
  <si>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</si>
  <si>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GFX_Dragon_Side_XPositions</t>
  </si>
  <si>
    <t>Dragon_Side_X.positions</t>
  </si>
  <si>
    <t>$A018</t>
  </si>
  <si>
    <t>GFX_Dragon_MirroredHalf_XPositions</t>
  </si>
  <si>
    <t>Dragon_MirroredHalf_X.positions</t>
  </si>
  <si>
    <t>$A14A</t>
  </si>
  <si>
    <t>$9C54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</si>
  <si>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</si>
  <si>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</si>
  <si>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</si>
  <si>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</si>
  <si>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</si>
  <si>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</si>
  <si>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</si>
  <si>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</si>
  <si>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</si>
  <si>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</si>
  <si>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</si>
  <si>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</si>
  <si>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</si>
  <si>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</si>
  <si>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GFX_Crab_SideNear_Layout</t>
  </si>
  <si>
    <t>Crab_SideNear.layout</t>
  </si>
  <si>
    <t>Provides the base vertical screen position for each monster graphics-distance slot.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</si>
  <si>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</si>
  <si>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</si>
  <si>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</si>
  <si>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</si>
  <si>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</si>
  <si>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</si>
  <si>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</si>
  <si>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</si>
  <si>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</si>
  <si>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</si>
  <si>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</si>
  <si>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</si>
  <si>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</si>
  <si>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</si>
  <si>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</si>
  <si>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</si>
  <si>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</si>
  <si>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Additional horizontal shifts for side-facing Dragons by size group and side.</t>
  </si>
  <si>
    <t>Horizontal spacing used when the Dragon body is completed by drawing a mirrored second half.</t>
  </si>
  <si>
    <t>Packed dimensions and positions for the nearest side-facing Crab components.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</si>
  <si>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</si>
  <si>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</si>
  <si>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</si>
  <si>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</si>
  <si>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</si>
  <si>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</si>
  <si>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</si>
  <si>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</si>
  <si>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</si>
  <si>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</si>
  <si>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</si>
  <si>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</si>
  <si>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</si>
  <si>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</si>
  <si>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</si>
  <si>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</si>
  <si>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</si>
  <si>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</si>
  <si>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</si>
  <si>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</si>
  <si>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</si>
  <si>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</si>
  <si>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</si>
  <si>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</si>
  <si>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</si>
  <si>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</si>
  <si>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</si>
  <si>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</si>
  <si>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</si>
  <si>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</si>
  <si>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</si>
  <si>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</si>
  <si>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</si>
  <si>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</si>
  <si>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</si>
  <si>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</si>
  <si>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</si>
  <si>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</si>
  <si>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</si>
  <si>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</si>
  <si>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</si>
  <si>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</si>
  <si>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</si>
  <si>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</si>
  <si>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</si>
  <si>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</si>
  <si>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</si>
  <si>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</si>
  <si>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</si>
  <si>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</si>
  <si>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</si>
  <si>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</si>
  <si>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</si>
  <si>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</si>
  <si>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</si>
  <si>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</si>
  <si>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</si>
  <si>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</si>
  <si>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</si>
  <si>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</si>
  <si>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</si>
  <si>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</si>
  <si>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</si>
  <si>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</si>
  <si>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</si>
  <si>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</si>
  <si>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</si>
  <si>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</si>
  <si>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</si>
  <si>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</si>
  <si>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</si>
  <si>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</si>
  <si>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</si>
  <si>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</si>
  <si>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</si>
  <si>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</si>
  <si>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</si>
  <si>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</si>
  <si>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</si>
  <si>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</si>
  <si>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</si>
  <si>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</si>
  <si>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</si>
  <si>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</si>
  <si>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</si>
  <si>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</si>
  <si>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</si>
  <si>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</si>
  <si>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</si>
  <si>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</si>
  <si>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</si>
  <si>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</si>
  <si>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</si>
  <si>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</si>
  <si>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</si>
  <si>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</si>
  <si>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</si>
  <si>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</si>
  <si>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</si>
  <si>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</si>
  <si>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</si>
  <si>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</si>
  <si>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</si>
  <si>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</si>
  <si>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</si>
  <si>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</si>
  <si>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</si>
  <si>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</si>
  <si>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</si>
  <si>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</si>
  <si>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</si>
  <si>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</si>
  <si>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</si>
  <si>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</si>
  <si>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</si>
  <si>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</si>
  <si>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</si>
  <si>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</si>
  <si>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</si>
  <si>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</si>
  <si>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</si>
  <si>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</si>
  <si>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</si>
  <si>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</si>
  <si>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</si>
  <si>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</si>
  <si>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</si>
  <si>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</si>
  <si>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</si>
  <si>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</si>
  <si>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</si>
  <si>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</si>
  <si>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</si>
  <si>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</si>
  <si>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</si>
  <si>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</si>
  <si>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</si>
  <si>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</si>
  <si>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</si>
  <si>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</si>
  <si>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</si>
  <si>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</si>
  <si>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</si>
  <si>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</si>
  <si>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</si>
  <si>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</si>
  <si>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</si>
  <si>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</si>
  <si>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</si>
  <si>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</si>
  <si>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</si>
  <si>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</si>
  <si>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</si>
  <si>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</si>
  <si>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</si>
  <si>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</si>
  <si>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</si>
  <si>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</si>
  <si>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</si>
  <si>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</si>
  <si>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</si>
  <si>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</si>
  <si>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</si>
  <si>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</si>
  <si>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</si>
  <si>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</si>
  <si>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</si>
  <si>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</si>
  <si>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</si>
  <si>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</si>
  <si>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</si>
  <si>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</si>
  <si>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</si>
  <si>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</si>
  <si>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</si>
  <si>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</si>
  <si>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</si>
  <si>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</si>
  <si>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</si>
  <si>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</si>
  <si>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</si>
  <si>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</si>
  <si>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</si>
  <si>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</si>
  <si>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</si>
  <si>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</si>
  <si>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</si>
  <si>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</si>
  <si>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</si>
  <si>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</si>
  <si>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</si>
  <si>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</si>
  <si>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</si>
  <si>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</si>
  <si>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</si>
  <si>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</si>
  <si>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</si>
  <si>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</si>
  <si>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</si>
  <si>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</si>
  <si>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</si>
  <si>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</si>
  <si>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</si>
  <si>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</si>
  <si>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</si>
  <si>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</si>
  <si>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</si>
  <si>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</si>
  <si>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</si>
  <si>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</si>
  <si>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</si>
  <si>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</si>
  <si>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</si>
  <si>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</si>
  <si>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</si>
  <si>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</si>
  <si>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</si>
  <si>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</si>
  <si>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</si>
  <si>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</si>
  <si>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</si>
  <si>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</si>
  <si>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</si>
  <si>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</si>
  <si>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</si>
  <si>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</si>
  <si>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</si>
  <si>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</si>
  <si>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</si>
  <si>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</si>
  <si>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</si>
  <si>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</si>
  <si>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</si>
  <si>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</si>
  <si>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</si>
  <si>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</si>
  <si>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</si>
  <si>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</si>
  <si>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</si>
  <si>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</si>
  <si>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</si>
  <si>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</si>
  <si>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</si>
  <si>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</si>
  <si>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</si>
  <si>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</si>
  <si>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</si>
  <si>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</si>
  <si>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</si>
  <si>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</si>
  <si>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</si>
  <si>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</si>
  <si>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</si>
  <si>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</si>
  <si>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</si>
  <si>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</si>
  <si>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</si>
  <si>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</si>
  <si>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</si>
  <si>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</si>
  <si>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</si>
  <si>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</si>
  <si>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</si>
  <si>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</si>
  <si>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</si>
  <si>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</si>
  <si>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</si>
  <si>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</si>
  <si>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</si>
  <si>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</si>
  <si>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</si>
  <si>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</si>
  <si>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</si>
  <si>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</si>
  <si>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</si>
  <si>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</si>
  <si>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</si>
  <si>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</si>
  <si>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</si>
  <si>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</si>
  <si>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</si>
  <si>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</si>
  <si>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</si>
  <si>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</si>
  <si>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</si>
  <si>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</si>
  <si>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</si>
  <si>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</si>
  <si>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</si>
  <si>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</si>
  <si>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</si>
  <si>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</si>
  <si>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</si>
  <si>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</si>
  <si>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</si>
  <si>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</si>
  <si>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</si>
  <si>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</si>
  <si>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</si>
  <si>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</si>
  <si>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</si>
  <si>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</si>
  <si>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</si>
  <si>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</si>
  <si>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</si>
  <si>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</si>
  <si>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</si>
  <si>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</si>
  <si>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</si>
  <si>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</si>
  <si>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</si>
  <si>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</si>
  <si>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</si>
  <si>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</si>
  <si>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</si>
  <si>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</si>
  <si>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</si>
  <si>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</si>
  <si>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</si>
  <si>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</si>
  <si>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</si>
  <si>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</si>
  <si>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</si>
  <si>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</si>
  <si>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</si>
  <si>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</si>
  <si>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</si>
  <si>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</si>
  <si>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</si>
  <si>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</si>
  <si>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</si>
  <si>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</si>
  <si>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</si>
  <si>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</si>
  <si>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</si>
  <si>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</si>
  <si>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</si>
  <si>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</si>
  <si>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</si>
  <si>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</si>
  <si>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</si>
  <si>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</si>
  <si>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</si>
  <si>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</si>
  <si>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</si>
  <si>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</si>
  <si>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</si>
  <si>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</si>
  <si>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</si>
  <si>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</si>
  <si>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</si>
  <si>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</si>
  <si>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</si>
  <si>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</si>
  <si>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</si>
  <si>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</si>
  <si>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</si>
  <si>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</si>
  <si>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</si>
  <si>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</si>
  <si>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</si>
  <si>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</si>
  <si>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</si>
  <si>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</si>
  <si>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</si>
  <si>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</si>
  <si>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</si>
  <si>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</si>
  <si>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</si>
  <si>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</si>
  <si>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</si>
  <si>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</si>
  <si>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</si>
  <si>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</si>
  <si>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</si>
  <si>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</si>
  <si>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</si>
  <si>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</si>
  <si>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</si>
  <si>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</si>
  <si>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</si>
  <si>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</si>
  <si>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</si>
  <si>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</si>
  <si>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</si>
  <si>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</si>
  <si>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</si>
  <si>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</si>
  <si>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</si>
  <si>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</si>
  <si>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</si>
  <si>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</si>
  <si>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</si>
  <si>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</si>
  <si>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</si>
  <si>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</si>
  <si>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</si>
  <si>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</si>
  <si>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</si>
  <si>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</si>
  <si>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</si>
  <si>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</si>
  <si>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</si>
  <si>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</si>
  <si>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</si>
  <si>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</si>
  <si>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</si>
  <si>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</si>
  <si>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</si>
  <si>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</si>
  <si>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</si>
  <si>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</si>
  <si>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</si>
  <si>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</si>
  <si>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</si>
  <si>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</si>
  <si>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</si>
  <si>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</si>
  <si>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</si>
  <si>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</si>
  <si>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</si>
  <si>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</si>
  <si>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</si>
  <si>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</si>
  <si>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</si>
  <si>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</si>
  <si>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</si>
  <si>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</si>
  <si>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</si>
  <si>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</si>
  <si>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</si>
  <si>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</si>
  <si>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</si>
  <si>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</si>
  <si>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</si>
  <si>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</si>
  <si>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</si>
  <si>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</si>
  <si>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</si>
  <si>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</si>
  <si>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</si>
  <si>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</si>
  <si>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</si>
  <si>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</si>
  <si>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</si>
  <si>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</si>
  <si>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</si>
  <si>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</si>
  <si>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</si>
  <si>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</si>
  <si>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</si>
  <si>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</si>
  <si>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</si>
  <si>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</si>
  <si>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</si>
  <si>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</si>
  <si>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</si>
  <si>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</si>
  <si>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</si>
  <si>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</si>
  <si>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</si>
  <si>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</si>
  <si>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</si>
  <si>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</si>
  <si>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</si>
  <si>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</si>
  <si>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</si>
  <si>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</si>
  <si>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</si>
  <si>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</si>
  <si>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</si>
  <si>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</si>
  <si>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</si>
  <si>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</si>
  <si>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</si>
  <si>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</si>
  <si>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</si>
  <si>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</si>
  <si>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</si>
  <si>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</si>
  <si>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</si>
  <si>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</si>
  <si>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</si>
  <si>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</si>
  <si>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</si>
  <si>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</si>
  <si>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</si>
  <si>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</si>
  <si>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</si>
  <si>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</si>
  <si>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</si>
  <si>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</si>
  <si>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</si>
  <si>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</si>
  <si>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</si>
  <si>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</si>
  <si>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</si>
  <si>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</si>
  <si>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</si>
  <si>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</si>
  <si>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</si>
  <si>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</si>
  <si>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</si>
  <si>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</si>
  <si>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</si>
  <si>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</si>
  <si>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</si>
  <si>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</si>
  <si>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</si>
  <si>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</si>
  <si>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</si>
  <si>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</si>
  <si>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</si>
  <si>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</si>
  <si>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</si>
  <si>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</si>
  <si>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</si>
  <si>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</si>
  <si>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</si>
  <si>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</si>
  <si>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</si>
  <si>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</si>
  <si>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</si>
  <si>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</si>
  <si>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</si>
  <si>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</si>
  <si>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</si>
  <si>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</si>
  <si>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</si>
  <si>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</si>
  <si>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</si>
  <si>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</si>
  <si>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</si>
  <si>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</si>
  <si>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</si>
  <si>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</si>
  <si>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</si>
  <si>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</si>
  <si>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</si>
  <si>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</si>
  <si>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</si>
  <si>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</si>
  <si>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</si>
  <si>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</si>
  <si>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</si>
  <si>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</si>
  <si>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</si>
  <si>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</si>
  <si>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</si>
  <si>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</si>
  <si>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</si>
  <si>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</si>
  <si>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</si>
  <si>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</si>
  <si>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</si>
  <si>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</si>
  <si>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</si>
  <si>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</si>
  <si>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</si>
  <si>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</si>
  <si>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</si>
  <si>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</si>
  <si>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</si>
  <si>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</si>
  <si>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</si>
  <si>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</si>
  <si>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</si>
  <si>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</si>
  <si>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</si>
  <si>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</si>
  <si>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</si>
  <si>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</si>
  <si>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</si>
  <si>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</si>
  <si>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</si>
  <si>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</si>
  <si>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</si>
  <si>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</si>
  <si>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</si>
  <si>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</si>
  <si>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</si>
  <si>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</si>
  <si>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</si>
  <si>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</si>
  <si>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</si>
  <si>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</si>
  <si>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</si>
  <si>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</si>
  <si>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</si>
  <si>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</si>
  <si>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</si>
  <si>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</si>
  <si>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</si>
  <si>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</si>
  <si>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</si>
  <si>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</si>
  <si>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</si>
  <si>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</si>
  <si>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</si>
  <si>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</si>
  <si>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</si>
  <si>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</si>
  <si>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</si>
  <si>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</si>
  <si>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</si>
  <si>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</si>
  <si>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</si>
  <si>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</si>
  <si>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</si>
  <si>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</si>
  <si>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</si>
  <si>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</si>
  <si>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</si>
  <si>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</si>
  <si>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</si>
  <si>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</si>
  <si>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</si>
  <si>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</si>
  <si>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</si>
  <si>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</si>
  <si>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</si>
  <si>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</si>
  <si>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</si>
  <si>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</si>
  <si>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</si>
  <si>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</si>
  <si>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</si>
  <si>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</si>
  <si>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</si>
  <si>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</si>
  <si>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</si>
  <si>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</si>
  <si>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</si>
  <si>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</si>
  <si>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</si>
  <si>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</si>
  <si>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</si>
  <si>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</si>
  <si>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</si>
  <si>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</si>
  <si>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</si>
  <si>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</si>
  <si>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</si>
  <si>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</si>
  <si>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</si>
  <si>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</si>
  <si>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</si>
  <si>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</si>
  <si>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</si>
  <si>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</si>
  <si>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</si>
  <si>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</si>
  <si>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</si>
  <si>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</si>
  <si>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</si>
  <si>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</si>
  <si>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</si>
  <si>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</si>
  <si>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</si>
  <si>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</si>
  <si>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</si>
  <si>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</si>
  <si>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</si>
  <si>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</si>
  <si>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</si>
  <si>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</si>
  <si>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</si>
  <si>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</si>
  <si>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</si>
  <si>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</si>
  <si>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</si>
  <si>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</si>
  <si>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</si>
  <si>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</si>
  <si>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</si>
  <si>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</si>
  <si>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</si>
  <si>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</si>
  <si>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</si>
  <si>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</si>
  <si>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</si>
  <si>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</si>
  <si>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</si>
  <si>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</si>
  <si>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</si>
  <si>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</si>
  <si>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</si>
  <si>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</si>
  <si>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</si>
  <si>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</si>
  <si>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</si>
  <si>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</si>
  <si>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</si>
  <si>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</si>
  <si>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</si>
  <si>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</si>
  <si>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</si>
  <si>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</si>
  <si>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</si>
  <si>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</si>
  <si>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</si>
  <si>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</si>
  <si>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</si>
  <si>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</si>
  <si>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</si>
  <si>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</si>
  <si>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</si>
  <si>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</si>
  <si>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</si>
  <si>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</si>
  <si>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</si>
  <si>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</si>
  <si>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</si>
  <si>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</si>
  <si>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</si>
  <si>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</si>
  <si>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</si>
  <si>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</si>
  <si>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</si>
  <si>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</si>
  <si>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</si>
  <si>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</si>
  <si>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</si>
  <si>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</si>
  <si>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</si>
  <si>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</si>
  <si>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</si>
  <si>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</si>
  <si>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</si>
  <si>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</si>
  <si>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</si>
  <si>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</si>
  <si>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</si>
  <si>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</si>
  <si>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</si>
  <si>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</si>
  <si>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</si>
  <si>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</si>
  <si>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</si>
  <si>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</si>
  <si>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</si>
  <si>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</si>
  <si>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</si>
  <si>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</si>
  <si>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</si>
  <si>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</si>
  <si>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</si>
  <si>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</si>
  <si>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</si>
  <si>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</si>
  <si>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</si>
  <si>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</si>
  <si>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</si>
  <si>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</si>
  <si>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</si>
  <si>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</si>
  <si>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</si>
  <si>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</si>
  <si>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</si>
  <si>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</si>
  <si>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</si>
  <si>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</si>
  <si>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</si>
  <si>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</si>
  <si>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</si>
  <si>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</si>
  <si>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</si>
  <si>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</si>
  <si>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</si>
  <si>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</si>
  <si>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</si>
  <si>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</si>
  <si>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</si>
  <si>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</si>
  <si>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</si>
  <si>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</si>
  <si>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</si>
  <si>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</si>
  <si>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</si>
  <si>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</si>
  <si>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</si>
  <si>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</si>
  <si>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</si>
  <si>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</si>
  <si>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</si>
  <si>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</si>
  <si>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</si>
  <si>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</si>
  <si>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</si>
  <si>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</si>
  <si>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</si>
  <si>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</si>
  <si>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</si>
  <si>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</si>
  <si>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</si>
  <si>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</si>
  <si>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</si>
  <si>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</si>
  <si>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</si>
  <si>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</si>
  <si>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</si>
  <si>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</si>
  <si>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</si>
  <si>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</si>
  <si>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</si>
  <si>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</si>
  <si>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</si>
  <si>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</si>
  <si>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</si>
  <si>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</si>
  <si>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</si>
  <si>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</si>
  <si>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</si>
  <si>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</si>
  <si>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</si>
  <si>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</si>
  <si>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</si>
  <si>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</si>
  <si>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</si>
  <si>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</si>
  <si>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</si>
  <si>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</si>
  <si>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</si>
  <si>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</si>
  <si>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</si>
  <si>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</si>
  <si>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</si>
  <si>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</si>
  <si>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</si>
  <si>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</si>
  <si>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</si>
  <si>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</si>
  <si>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</si>
  <si>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</si>
  <si>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</si>
  <si>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</si>
  <si>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</si>
  <si>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</si>
  <si>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</si>
  <si>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</si>
  <si>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</si>
  <si>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</si>
  <si>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</si>
  <si>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</si>
  <si>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</si>
  <si>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</si>
  <si>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</si>
  <si>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</si>
  <si>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</si>
  <si>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</si>
  <si>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</si>
  <si>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</si>
  <si>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</si>
  <si>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</si>
  <si>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</si>
  <si>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</si>
  <si>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</si>
  <si>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</si>
  <si>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</si>
  <si>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</si>
  <si>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</si>
  <si>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</si>
  <si>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</si>
  <si>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</si>
  <si>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</si>
  <si>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</si>
  <si>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</si>
  <si>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</si>
  <si>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</si>
  <si>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</si>
  <si>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Handle_WallFeatureClick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</si>
  <si>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</si>
  <si>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</si>
  <si>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</si>
  <si>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</si>
  <si>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</si>
  <si>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</si>
  <si>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</si>
  <si>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</si>
  <si>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</si>
  <si>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</si>
  <si>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</si>
  <si>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</si>
  <si>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</si>
  <si>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</si>
  <si>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</si>
  <si>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</si>
  <si>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</si>
  <si>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</si>
  <si>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</si>
  <si>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</si>
  <si>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</si>
  <si>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</si>
  <si>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</si>
  <si>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</si>
  <si>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</si>
  <si>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</si>
  <si>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</si>
  <si>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</si>
  <si>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</si>
  <si>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</si>
  <si>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</si>
  <si>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</si>
  <si>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</si>
  <si>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</si>
  <si>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</si>
  <si>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</si>
  <si>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</si>
  <si>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</si>
  <si>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</si>
  <si>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</si>
  <si>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</si>
  <si>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</si>
  <si>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</si>
  <si>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</si>
  <si>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</si>
  <si>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</si>
  <si>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</si>
  <si>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</si>
  <si>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</si>
  <si>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</si>
  <si>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</si>
  <si>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</si>
  <si>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</si>
  <si>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</si>
  <si>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</si>
  <si>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</si>
  <si>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</si>
  <si>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</si>
  <si>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</si>
  <si>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</si>
  <si>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</si>
  <si>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</si>
  <si>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</si>
  <si>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</si>
  <si>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</si>
  <si>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</si>
  <si>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</si>
  <si>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</si>
  <si>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</si>
  <si>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</si>
  <si>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</si>
  <si>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</si>
  <si>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</si>
  <si>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</si>
  <si>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</si>
  <si>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</si>
  <si>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</si>
  <si>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</si>
  <si>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</si>
  <si>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</si>
  <si>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</si>
  <si>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</si>
  <si>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</si>
  <si>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</si>
  <si>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</si>
  <si>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</si>
  <si>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</si>
  <si>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</si>
  <si>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</si>
  <si>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</si>
  <si>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</si>
  <si>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</si>
  <si>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</si>
  <si>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</si>
  <si>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</si>
  <si>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</si>
  <si>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</si>
  <si>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</si>
  <si>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</si>
  <si>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</si>
  <si>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</si>
  <si>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</si>
  <si>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</si>
  <si>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</si>
  <si>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</si>
  <si>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</si>
  <si>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</si>
  <si>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</si>
  <si>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</si>
  <si>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</si>
  <si>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</si>
  <si>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</si>
  <si>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</si>
  <si>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</si>
  <si>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</si>
  <si>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</si>
  <si>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</si>
  <si>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</si>
  <si>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</si>
  <si>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</si>
  <si>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</si>
  <si>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</si>
  <si>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</si>
  <si>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</si>
  <si>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</si>
  <si>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</si>
  <si>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</si>
  <si>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</si>
  <si>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</si>
  <si>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</si>
  <si>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</si>
  <si>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</si>
  <si>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</si>
  <si>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</si>
  <si>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</si>
  <si>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</si>
  <si>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</si>
  <si>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</si>
  <si>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</si>
  <si>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</si>
  <si>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</si>
  <si>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</si>
  <si>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</si>
  <si>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</si>
  <si>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</si>
  <si>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</si>
  <si>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</si>
  <si>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</si>
  <si>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</si>
  <si>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</si>
  <si>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</si>
  <si>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</si>
  <si>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</si>
  <si>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</si>
  <si>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</si>
  <si>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</si>
  <si>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</si>
  <si>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</si>
  <si>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</si>
  <si>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</si>
  <si>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</si>
  <si>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</si>
  <si>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</si>
  <si>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</si>
  <si>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</si>
  <si>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</si>
  <si>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</si>
  <si>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</si>
  <si>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</si>
  <si>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</si>
  <si>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</si>
  <si>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</si>
  <si>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</si>
  <si>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</si>
  <si>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</si>
  <si>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</si>
  <si>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</si>
  <si>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</si>
  <si>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</si>
  <si>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</si>
  <si>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</si>
  <si>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</si>
  <si>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</si>
  <si>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</si>
  <si>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</si>
  <si>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</si>
  <si>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</si>
  <si>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</si>
  <si>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</si>
  <si>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</si>
  <si>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</si>
  <si>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</si>
  <si>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</si>
  <si>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</si>
  <si>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</si>
  <si>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</si>
  <si>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</si>
  <si>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</si>
  <si>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</si>
  <si>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</si>
  <si>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</si>
  <si>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</si>
  <si>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</si>
  <si>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</si>
  <si>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</si>
  <si>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</si>
  <si>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</si>
  <si>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</si>
  <si>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</si>
  <si>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</si>
  <si>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</si>
  <si>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</si>
  <si>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</si>
  <si>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</si>
  <si>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</si>
  <si>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</si>
  <si>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</si>
  <si>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</si>
  <si>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</si>
  <si>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</si>
  <si>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</si>
  <si>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</si>
  <si>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</si>
  <si>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</si>
  <si>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</si>
  <si>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</si>
  <si>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</si>
  <si>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</si>
  <si>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</si>
  <si>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</si>
  <si>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</si>
  <si>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</si>
  <si>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</si>
  <si>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</si>
  <si>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</si>
  <si>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</si>
  <si>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</si>
  <si>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</si>
  <si>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</si>
  <si>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</si>
  <si>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</si>
  <si>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</si>
  <si>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</si>
  <si>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</si>
  <si>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</si>
  <si>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</si>
  <si>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</si>
  <si>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</si>
  <si>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</si>
  <si>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</si>
  <si>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</si>
  <si>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</si>
  <si>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</si>
  <si>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</si>
  <si>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</si>
  <si>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</si>
  <si>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</si>
  <si>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</si>
  <si>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</si>
  <si>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</si>
  <si>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</si>
  <si>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</si>
  <si>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</si>
  <si>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</si>
  <si>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</si>
  <si>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</si>
  <si>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</si>
  <si>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</si>
  <si>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</si>
  <si>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</si>
  <si>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</si>
  <si>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</si>
  <si>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</si>
  <si>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</si>
  <si>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</si>
  <si>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</si>
  <si>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</si>
  <si>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</si>
  <si>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</si>
  <si>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</si>
  <si>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</si>
  <si>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</si>
  <si>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</si>
  <si>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</si>
  <si>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</si>
  <si>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</si>
  <si>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</si>
  <si>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</si>
  <si>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</si>
  <si>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</si>
  <si>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</si>
  <si>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</si>
  <si>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</si>
  <si>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</si>
  <si>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</si>
  <si>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</si>
  <si>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</si>
  <si>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</si>
  <si>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</si>
  <si>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</si>
  <si>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</si>
  <si>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</si>
  <si>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</si>
  <si>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</si>
  <si>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</si>
  <si>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</si>
  <si>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</si>
  <si>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</si>
  <si>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</si>
  <si>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</si>
  <si>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</si>
  <si>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</si>
  <si>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</si>
  <si>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</si>
  <si>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</si>
  <si>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</si>
  <si>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</si>
  <si>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</si>
  <si>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</si>
  <si>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</si>
  <si>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</si>
  <si>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</si>
  <si>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</si>
  <si>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</si>
  <si>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</si>
  <si>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</si>
  <si>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</si>
  <si>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CheckMonsterHeldObjectByLevel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</si>
  <si>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</si>
  <si>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</si>
  <si>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</si>
  <si>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</si>
  <si>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</si>
  <si>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</si>
  <si>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</si>
  <si>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</si>
  <si>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</si>
  <si>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</si>
  <si>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</si>
  <si>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</si>
  <si>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</si>
  <si>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</si>
  <si>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</si>
  <si>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</si>
  <si>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</si>
  <si>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</si>
  <si>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</si>
  <si>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</si>
  <si>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</si>
  <si>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</si>
  <si>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</si>
  <si>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</si>
  <si>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</si>
  <si>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</si>
  <si>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</si>
  <si>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</si>
  <si>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</si>
  <si>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</si>
  <si>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</si>
  <si>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</si>
  <si>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</si>
  <si>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</si>
  <si>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</si>
  <si>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</si>
  <si>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</si>
  <si>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</si>
  <si>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</si>
  <si>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</si>
  <si>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</si>
  <si>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</si>
  <si>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</si>
  <si>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</si>
  <si>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</si>
  <si>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</si>
  <si>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</si>
  <si>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</si>
  <si>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</si>
  <si>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</si>
  <si>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</si>
  <si>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</si>
  <si>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</si>
  <si>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</si>
  <si>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</si>
  <si>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</si>
  <si>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</si>
  <si>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</si>
  <si>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</si>
  <si>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</si>
  <si>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</si>
  <si>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</si>
  <si>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</si>
  <si>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</si>
  <si>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</si>
  <si>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</si>
  <si>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</si>
  <si>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</si>
  <si>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</si>
  <si>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</si>
  <si>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</si>
  <si>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</si>
  <si>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</si>
  <si>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</si>
  <si>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</si>
  <si>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</si>
  <si>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</si>
  <si>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</si>
  <si>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</si>
  <si>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</si>
  <si>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</si>
  <si>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</si>
  <si>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</si>
  <si>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</si>
  <si>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</si>
  <si>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</si>
  <si>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</si>
  <si>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</si>
  <si>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</si>
  <si>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</si>
  <si>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</si>
  <si>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</si>
  <si>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</si>
  <si>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</si>
  <si>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</si>
  <si>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</si>
  <si>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</si>
  <si>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</si>
  <si>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</si>
  <si>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</si>
  <si>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</si>
  <si>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</si>
  <si>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</si>
  <si>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</si>
  <si>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</si>
  <si>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</si>
  <si>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</si>
  <si>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</si>
  <si>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</si>
  <si>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</si>
  <si>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</si>
  <si>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</si>
  <si>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</si>
  <si>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</si>
  <si>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</si>
  <si>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</si>
  <si>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</si>
  <si>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</si>
  <si>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</si>
  <si>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</si>
  <si>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</si>
  <si>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</si>
  <si>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</si>
  <si>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</si>
  <si>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</si>
  <si>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</si>
  <si>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</si>
  <si>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</si>
  <si>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</si>
  <si>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</si>
  <si>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</si>
  <si>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</si>
  <si>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</si>
  <si>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</si>
  <si>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</si>
  <si>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</si>
  <si>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</si>
  <si>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</si>
  <si>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</si>
  <si>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</si>
  <si>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</si>
  <si>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</si>
  <si>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</si>
  <si>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</si>
  <si>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</si>
  <si>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</si>
  <si>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</si>
  <si>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</si>
  <si>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</si>
  <si>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</si>
  <si>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</si>
  <si>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</si>
  <si>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</si>
  <si>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</si>
  <si>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</si>
  <si>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</si>
  <si>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</si>
  <si>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</si>
  <si>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</si>
  <si>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</si>
  <si>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</si>
  <si>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</si>
  <si>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</si>
  <si>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</si>
  <si>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</si>
  <si>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</si>
  <si>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</si>
  <si>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</si>
  <si>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</si>
  <si>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</si>
  <si>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</si>
  <si>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</si>
  <si>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</si>
  <si>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</si>
  <si>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</si>
  <si>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</si>
  <si>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</si>
  <si>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</si>
  <si>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</si>
  <si>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</si>
  <si>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</si>
  <si>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</si>
  <si>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</si>
  <si>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</si>
  <si>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</si>
  <si>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</si>
  <si>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</si>
  <si>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</si>
  <si>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</si>
  <si>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</si>
  <si>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</si>
  <si>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</si>
  <si>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</si>
  <si>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</si>
  <si>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</si>
  <si>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</si>
  <si>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</si>
  <si>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</si>
  <si>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</si>
  <si>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</si>
  <si>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</si>
  <si>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data/Interface_Hitboxes_Display.lookup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</si>
  <si>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</si>
  <si>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</si>
  <si>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</si>
  <si>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</si>
  <si>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</si>
  <si>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</si>
  <si>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</si>
  <si>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</si>
  <si>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</si>
  <si>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</si>
  <si>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</si>
  <si>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</si>
  <si>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</si>
  <si>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</si>
  <si>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</si>
  <si>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PlayerColourRampLookupBase_Exit</t>
  </si>
  <si>
    <t>$8864</t>
  </si>
  <si>
    <t>ChampionClassBarColours</t>
  </si>
  <si>
    <t>$7E46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</si>
  <si>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</si>
  <si>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</si>
  <si>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</si>
  <si>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</si>
  <si>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</si>
  <si>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</si>
  <si>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</si>
  <si>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</si>
  <si>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</si>
  <si>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</si>
  <si>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</si>
  <si>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</si>
  <si>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</si>
  <si>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</si>
  <si>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</si>
  <si>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</si>
  <si>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</si>
  <si>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</si>
  <si>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</si>
  <si>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</si>
  <si>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</si>
  <si>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</si>
  <si>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</si>
  <si>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</si>
  <si>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</si>
  <si>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</si>
  <si>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</si>
  <si>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</si>
  <si>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</si>
  <si>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</si>
  <si>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</si>
  <si>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</si>
  <si>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</si>
  <si>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</si>
  <si>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</si>
  <si>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</si>
  <si>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</si>
  <si>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</si>
  <si>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</si>
  <si>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</si>
  <si>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</si>
  <si>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</si>
  <si>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</si>
  <si>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</si>
  <si>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</si>
  <si>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</si>
  <si>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</si>
  <si>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</si>
  <si>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</si>
  <si>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</si>
  <si>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</si>
  <si>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</si>
  <si>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</si>
  <si>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</si>
  <si>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</si>
  <si>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</si>
  <si>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</si>
  <si>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</si>
  <si>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</si>
  <si>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</si>
  <si>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</si>
  <si>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</si>
  <si>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</si>
  <si>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</si>
  <si>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</si>
  <si>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</si>
  <si>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</si>
  <si>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</si>
  <si>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</si>
  <si>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</si>
  <si>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</si>
  <si>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</si>
  <si>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</si>
  <si>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</si>
  <si>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</si>
  <si>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</si>
  <si>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</si>
  <si>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</si>
  <si>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</si>
  <si>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</si>
  <si>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</si>
  <si>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</si>
  <si>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</si>
  <si>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</si>
  <si>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</si>
  <si>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</si>
  <si>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</si>
  <si>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</si>
  <si>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</si>
  <si>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</si>
  <si>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</si>
  <si>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</si>
  <si>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</si>
  <si>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</si>
  <si>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</si>
  <si>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</si>
  <si>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</si>
  <si>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</si>
  <si>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</si>
  <si>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</si>
  <si>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</si>
  <si>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</si>
  <si>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</si>
  <si>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</si>
  <si>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</si>
  <si>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</si>
  <si>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</si>
  <si>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</si>
  <si>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</si>
  <si>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</si>
  <si>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</si>
  <si>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</si>
  <si>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</si>
  <si>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</si>
  <si>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</si>
  <si>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</si>
  <si>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</si>
  <si>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</si>
  <si>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</si>
  <si>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</si>
  <si>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</si>
  <si>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</si>
  <si>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</si>
  <si>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</si>
  <si>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</si>
  <si>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</si>
  <si>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</si>
  <si>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</si>
  <si>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</si>
  <si>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</si>
  <si>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</si>
  <si>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</si>
  <si>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</si>
  <si>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</si>
  <si>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</si>
  <si>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</si>
  <si>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</si>
  <si>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</si>
  <si>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</si>
  <si>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</si>
  <si>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</si>
  <si>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</si>
  <si>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</si>
  <si>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</si>
  <si>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</si>
  <si>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</si>
  <si>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</si>
  <si>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</si>
  <si>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</si>
  <si>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</si>
  <si>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</si>
  <si>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</si>
  <si>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</si>
  <si>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</si>
  <si>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</si>
  <si>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</si>
  <si>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</si>
  <si>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</si>
  <si>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</si>
  <si>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</si>
  <si>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</si>
  <si>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Toggle_ChampionPresentation</t>
  </si>
  <si>
    <t>$3EA2</t>
  </si>
  <si>
    <t>Enter_PartyCommandInterface</t>
  </si>
  <si>
    <t>$3EB0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</si>
  <si>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</si>
  <si>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</si>
  <si>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</si>
  <si>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</si>
  <si>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</si>
  <si>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</si>
  <si>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</si>
  <si>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</si>
  <si>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</si>
  <si>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</si>
  <si>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</si>
  <si>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</si>
  <si>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</si>
  <si>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</si>
  <si>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</si>
  <si>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</si>
  <si>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</si>
  <si>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</si>
  <si>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</si>
  <si>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</si>
  <si>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</si>
  <si>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</si>
  <si>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</si>
  <si>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</si>
  <si>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</si>
  <si>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</si>
  <si>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</si>
  <si>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</si>
  <si>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</si>
  <si>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</si>
  <si>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Draw_PartyShieldStatusBars</t>
  </si>
  <si>
    <t>$7DD8</t>
  </si>
  <si>
    <t>Draw_PartyShieldStatusBarsLoop</t>
  </si>
  <si>
    <t>$7DE8</t>
  </si>
  <si>
    <t>Advance_PartyShieldStatusBarRow</t>
  </si>
  <si>
    <t>$7E3C</t>
  </si>
  <si>
    <t>$7E44</t>
  </si>
  <si>
    <t>Draw_SelectedSpellDetails</t>
  </si>
  <si>
    <t>$6314</t>
  </si>
  <si>
    <t>Draws selected spell stars, name, COST text, and the CAST display.</t>
  </si>
  <si>
    <t>Draw_SpellCastingBar</t>
  </si>
  <si>
    <t>$639C</t>
  </si>
  <si>
    <t>Converts signed casting quality into the five-pixel-high CAST bar.</t>
  </si>
  <si>
    <t>SpellCasting_CastBarPercentages</t>
  </si>
  <si>
    <t>SpellCasting_CastBarPercentages.lookup</t>
  </si>
  <si>
    <t>data/SpellCasting_CastBarPercentages.lookup</t>
  </si>
  <si>
    <t>$63DC</t>
  </si>
  <si>
    <t>Twenty percentages indexed by the clamped negated casting-quality score to scale the 52-pixel CAST bar.</t>
  </si>
  <si>
    <t>$63F4</t>
  </si>
  <si>
    <t>Existing mapping; calculates signed spell quality from class, practice, level, power, equipment, cooldown, and difficulty.</t>
  </si>
  <si>
    <t>SpellCasting_CostValues.lookup</t>
  </si>
  <si>
    <t>data/SpellCasting_CostValues.lookup</t>
  </si>
  <si>
    <t>$64DA</t>
  </si>
  <si>
    <t>Existing mapping; one base spell-cost value for each SPS 439 spell.</t>
  </si>
  <si>
    <t>SpellCasting_CastPowerCostAdjustments</t>
  </si>
  <si>
    <t>SpellCasting_CastPowerCostAdjustments.lookup</t>
  </si>
  <si>
    <t>data/SpellCasting_CastPowerCostAdjustments.lookup</t>
  </si>
  <si>
    <t>$64FA</t>
  </si>
  <si>
    <r>
      <t xml:space="preserve">Additional mana costs for non-negative prepared cast-power values </t>
    </r>
    <r>
      <rPr>
        <sz val="10"/>
        <color theme="1"/>
        <rFont val="Arial Unicode MS"/>
        <family val="2"/>
      </rPr>
      <t>$00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$0D</t>
    </r>
    <r>
      <rPr>
        <sz val="12"/>
        <color theme="1"/>
        <rFont val="Aptos Narrow"/>
        <family val="2"/>
        <scheme val="minor"/>
      </rPr>
      <t>.</t>
    </r>
  </si>
  <si>
    <t>Calculate_SpellPointCost</t>
  </si>
  <si>
    <t>$6508</t>
  </si>
  <si>
    <r>
      <t xml:space="preserve">Calculates COST, handles charged matching rings, and normalises byte </t>
    </r>
    <r>
      <rPr>
        <sz val="10"/>
        <color theme="1"/>
        <rFont val="Arial Unicode MS"/>
        <family val="2"/>
      </rPr>
      <t>$14</t>
    </r>
    <r>
      <rPr>
        <sz val="12"/>
        <color theme="1"/>
        <rFont val="Aptos Narrow"/>
        <family val="2"/>
        <scheme val="minor"/>
      </rPr>
      <t xml:space="preserve"> to costs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>–</t>
    </r>
    <r>
      <rPr>
        <sz val="10"/>
        <color theme="1"/>
        <rFont val="Arial Unicode MS"/>
        <family val="2"/>
      </rPr>
      <t>$63</t>
    </r>
    <r>
      <rPr>
        <sz val="12"/>
        <color theme="1"/>
        <rFont val="Aptos Narrow"/>
        <family val="2"/>
        <scheme val="minor"/>
      </rPr>
      <t>.</t>
    </r>
  </si>
  <si>
    <t>Select_SpellBookRune</t>
  </si>
  <si>
    <t>$BF28</t>
  </si>
  <si>
    <t>Tests the clicked ownership bit, loads an owned spell, or clears the queued spell.</t>
  </si>
  <si>
    <t>Get_SelectedSpellName</t>
  </si>
  <si>
    <t>$BF50</t>
  </si>
  <si>
    <r>
      <t xml:space="preserve">Resolves the selected spell’s fixed eight-character </t>
    </r>
    <r>
      <rPr>
        <sz val="10"/>
        <color theme="1"/>
        <rFont val="Arial Unicode MS"/>
        <family val="2"/>
      </rPr>
      <t>SpellNames</t>
    </r>
    <r>
      <rPr>
        <sz val="12"/>
        <color theme="1"/>
        <rFont val="Aptos Narrow"/>
        <family val="2"/>
        <scheme val="minor"/>
      </rPr>
      <t xml:space="preserve"> record.</t>
    </r>
  </si>
  <si>
    <t>Draw_SpellBookPageTurn</t>
  </si>
  <si>
    <t>$BF9E</t>
  </si>
  <si>
    <t>Redraws page content through the four-frame page-turn sequence.</t>
  </si>
  <si>
    <t>Build_SpellBookPageTurnColourMask</t>
  </si>
  <si>
    <t>$C022</t>
  </si>
  <si>
    <t>Builds the four rune-class inks used by the page-turn overlay.</t>
  </si>
  <si>
    <t>HitTest_SpellBookControls</t>
  </si>
  <si>
    <t>$C2CC</t>
  </si>
  <si>
    <t>Resolves the spell-book top controls and eight rune hit targets.</t>
  </si>
  <si>
    <t>Return_NoDisplayContextAction</t>
  </si>
  <si>
    <t>code</t>
  </si>
  <si>
    <t>data/MainWall_Action.lookup</t>
  </si>
  <si>
    <t>$6E3E</t>
  </si>
  <si>
    <t>$7A44</t>
  </si>
  <si>
    <t>$7AF4</t>
  </si>
  <si>
    <t>$7AF8</t>
  </si>
  <si>
    <t>Load_MapPositionAfterMultiFunction</t>
  </si>
  <si>
    <t>Check_FrontWallFeature</t>
  </si>
  <si>
    <t>Check_FrontWoodDoorEdge</t>
  </si>
  <si>
    <t>Return_NoWallFeatureToToggle</t>
  </si>
  <si>
    <t>Toggle_MapCellMagelockState</t>
  </si>
  <si>
    <t>Toggle_ValidatedWallFeatureState</t>
  </si>
  <si>
    <t>32 spell-indexed difficulty penalty bytes; spell indices 0–31.</t>
  </si>
  <si>
    <t>Proposed: no-op return used by unavailable display-context actions.</t>
  </si>
  <si>
    <t>Existing mapping: three inclusive X/Y display-context hitbox records for actions $22-$24.</t>
  </si>
  <si>
    <t>Existing mapping: clears the pending action and scans display-context hitbox records $22-$24.</t>
  </si>
  <si>
    <t>Existing mapping: broad dungeon-display action which performs the second-stage context hit test then dispatches it.</t>
  </si>
  <si>
    <t>Existing mapping: handles type-1 wall features; non-type-1 cells branch to adrJA0064D0.</t>
  </si>
  <si>
    <t>Existing mapping: return when a wall-feature click has no supported action.</t>
  </si>
  <si>
    <t>Proposed: four relative offsets for shelf, decoration, switch and socket click handlers.</t>
  </si>
  <si>
    <t>Proposed: shared continuation after multi-function or shelf interaction state is resolved.</t>
  </si>
  <si>
    <t>Proposed: resolves and validates the front map cell for a door or wooden-wall feature.</t>
  </si>
  <si>
    <t>Proposed: tests the opposite wooden-door edge before common state toggling.</t>
  </si>
  <si>
    <t>Proposed: return when the current/front cell has no usable wall feature or door.</t>
  </si>
  <si>
    <t>Proposed: toggles map byte 2 bit 4 before final wall-feature state validation.</t>
  </si>
  <si>
    <t>Proposed: toggles the validated wooden-edge or large-door state, plays the click, and refreshes lower UI.</t>
  </si>
  <si>
    <t>Existing mapping reference: loads DoorLockedMsg then enters WriteTimedText.</t>
  </si>
  <si>
    <t>Existing mapping reference: writes timed-text state $81 then enters the text writer.</t>
  </si>
  <si>
    <t>Existing mapping reference: highlights navigation, computes destination, then dispatches movement/collision.</t>
  </si>
  <si>
    <t>$6E3C</t>
  </si>
  <si>
    <t>$7AD8</t>
  </si>
  <si>
    <t>$7ADC</t>
  </si>
  <si>
    <t>$7ADE</t>
  </si>
  <si>
    <t>Return_CommsState</t>
  </si>
  <si>
    <t>$3E86</t>
  </si>
  <si>
    <t>Return from communication-state record selection; bit 0 has already selected the active record.</t>
  </si>
  <si>
    <t>Handles a lower champion shield click or the compact-stat command-region click.</t>
  </si>
  <si>
    <t>Toggles the selected champion presentation-state bit at PlayerData+$3E and redraws the interface.</t>
  </si>
  <si>
    <t>Opens the party command interface only when lower champion presentation bits 1-3 are all clear; otherwise returns without opening it.</t>
  </si>
  <si>
    <t>Pause_WaitForInput_Loop</t>
  </si>
  <si>
    <t>$3EF8</t>
  </si>
  <si>
    <t>Waits until either pause-input flag becomes negative before restoring display state.</t>
  </si>
  <si>
    <t>Return_PartyCommandEntry</t>
  </si>
  <si>
    <t>$3F34</t>
  </si>
  <si>
    <t>Return path used when the party-command entry gate is not satisfied.</t>
  </si>
  <si>
    <t>$7DC0</t>
  </si>
  <si>
    <t>Scales D0 against maximum D1 to a D2-pixel bar length; the caller retains the full-value terminal length separately.</t>
  </si>
  <si>
    <t>Return from bar-length scaling.</t>
  </si>
  <si>
    <t>Draws one vertical hit-point bar for each party slot. Suppressed entries skip drawing; full health uses the 21-pixel terminal height and other values scale against 21 pixels.</t>
  </si>
  <si>
    <t>Iterates party slots 3 down to 0, drawing or skipping each shield hit-point bar.</t>
  </si>
  <si>
    <t>Advances to the next shield status-bar column after a drawn or suppressed party slot.</t>
  </si>
  <si>
    <t>Return_PartyShieldStatusBars</t>
  </si>
  <si>
    <t>Return from the party shield hit-point bar renderer.</t>
  </si>
  <si>
    <t>ChampionClassBarColours.lookup</t>
  </si>
  <si>
    <t>gfx-data/ChampionClassBarColours.lookup</t>
  </si>
  <si>
    <t>Maps champion magic-alignment/class indices 0-3 to status-bar palette indices: $06, $0D, $0C, $07.</t>
  </si>
  <si>
    <t>Refresh_CurrentChampionMapPositionIcon</t>
  </si>
  <si>
    <t>$7E4A</t>
  </si>
  <si>
    <t>Selects and schedules the active champion's current map-position icon after movement or interface refresh.</t>
  </si>
  <si>
    <t>Return_PlayerMoveRejected</t>
  </si>
  <si>
    <t>Shared rejected-player-move return after destination entry fails or the resolved target is not a usable stair transition.</t>
  </si>
  <si>
    <t>Process_PlayerMoveDestination</t>
  </si>
  <si>
    <r>
      <t xml:space="preserve">Player-only continuation after </t>
    </r>
    <r>
      <rPr>
        <sz val="10"/>
        <color theme="1"/>
        <rFont val="Arial Unicode MS"/>
        <family val="2"/>
      </rPr>
      <t>Try_EnterMapCell</t>
    </r>
    <r>
      <rPr>
        <sz val="12"/>
        <color theme="1"/>
        <rFont val="Aptos Narrow"/>
        <family val="2"/>
        <scheme val="minor"/>
      </rPr>
      <t>; processes type-6/type-7 destination effects, stairs, trigger state, redraw/load work, then stores player position.</t>
    </r>
  </si>
  <si>
    <t>Refresh_AfterPlayerMove</t>
  </si>
  <si>
    <t>$6EA8</t>
  </si>
  <si>
    <t>Reloads the destination map position, handles stair setup where required, then continues to player-position storage.</t>
  </si>
  <si>
    <t>Store_PlayerMovePosition</t>
  </si>
  <si>
    <t>$6F38</t>
  </si>
  <si>
    <t>Stores the accepted player X/Y position and clears active avatar-presentation state when necessary.</t>
  </si>
  <si>
    <t>Check_PlayerMoveTeamPad</t>
  </si>
  <si>
    <t>$6F4A</t>
  </si>
  <si>
    <t>Checks the resulting player destination against the team-pad/party-avatar state before returning.</t>
  </si>
  <si>
    <t>Return_PlayerMoveProcessed</t>
  </si>
  <si>
    <t>$6F58</t>
  </si>
  <si>
    <t>Return after accepted player movement and destination processing.</t>
  </si>
  <si>
    <t>Try_EnterMapCell</t>
  </si>
  <si>
    <t>Shared traversal gate for player, monster and map-targeting callers: validates destination bounds/type/wood edge and commits source/destination occupancy bit 7 only on success.</t>
  </si>
  <si>
    <t>Evaluate_MapCellTraversalType</t>
  </si>
  <si>
    <t>$7A8E</t>
  </si>
  <si>
    <t>Uses the map-cell type dispatch value to accept, reject, or run direction-sensitive wooden traversal checks.</t>
  </si>
  <si>
    <t>Check_ReversedWoodTraversalEdge</t>
  </si>
  <si>
    <t>$7AB0</t>
  </si>
  <si>
    <t>Reverses direction before testing the destination wooden edge where traversal uses the opposite face.</t>
  </si>
  <si>
    <t>Check_WoodTraversalEdge</t>
  </si>
  <si>
    <t>$7ABC</t>
  </si>
  <si>
    <t>Tests the direction-selected wooden edge before accepting traversal.</t>
  </si>
  <si>
    <t>Finish_WoodTraversalCheck</t>
  </si>
  <si>
    <t>$7ABE</t>
  </si>
  <si>
    <t>Branch point which rejects entry when the selected wooden edge test fails.</t>
  </si>
  <si>
    <t>Commit_MapCellEntry</t>
  </si>
  <si>
    <t>$7AC0</t>
  </si>
  <si>
    <t>Clears map-byte-2 bit 7 on the source cell and sets it on the accepted destination cell.</t>
  </si>
  <si>
    <t>MapType_TraversalDispatch</t>
  </si>
  <si>
    <t>data/MapType_TraversalDispatch.lookup</t>
  </si>
  <si>
    <t>Reverse_TraversalDirectionAndReject</t>
  </si>
  <si>
    <t>Reverses the working direction before the common rejected-entry return.</t>
  </si>
  <si>
    <t>Reject_MapCellEntry</t>
  </si>
  <si>
    <t>Restores the original/current map index as the rejected traversal result.</t>
  </si>
  <si>
    <t>Restore_TraversalStateAndReturn</t>
  </si>
  <si>
    <t>Restores target coordinates and returns with the traversal result flags.</t>
  </si>
  <si>
    <t>Check_WoodCellTraversal</t>
  </si>
  <si>
    <t>Detects map type 2 and enters its direction-derived wooden-edge test; other map types return to the caller.</t>
  </si>
  <si>
    <t>Test_WoodTraversalEdge</t>
  </si>
  <si>
    <t>Converts direction to the two-bit wooden-edge selector before testing the map cell.</t>
  </si>
  <si>
    <t>Test_DirectedWoodEdge</t>
  </si>
  <si>
    <t>Tests the selected wooden-wall/door edge bit and returns the resulting traversal condition.</t>
  </si>
  <si>
    <t>Mark_CurrentTowerTrapCells</t>
  </si>
  <si>
    <t>Marks map cells referenced by the current tower’s trap list before monster unpacking.</t>
  </si>
  <si>
    <t>Mark_CurrentTowerTrapCellsLoop</t>
  </si>
  <si>
    <t>Iterates variable-length trap records and marks each referenced cell.</t>
  </si>
  <si>
    <t>Return_FromMarkCurrentTowerTrapCells</t>
  </si>
  <si>
    <t>Returns after all current-tower trap cells have been marked.</t>
  </si>
  <si>
    <t>Prepare_WoodenWallFaceIteration</t>
  </si>
  <si>
    <t>Selects wooden-wall handling before the candidate face loop.</t>
  </si>
  <si>
    <t>Test_NearWoodenWallFace</t>
  </si>
  <si>
    <t>Applies the nearest wooden-face visibility condition.</t>
  </si>
  <si>
    <t>Draw_Occupants_BeforeWoodenForegroundFace</t>
  </si>
  <si>
    <t>Calls the occupant compositor between rear wooden faces and the foreground face.</t>
  </si>
  <si>
    <t>Resolve_WoodenWallFaceState</t>
  </si>
  <si>
    <t>Decodes the selected wooden face state before drawing its components.</t>
  </si>
  <si>
    <t>Draw_WoodenWallFace</t>
  </si>
  <si>
    <t>Draws the selected wooden wall or door face.</t>
  </si>
  <si>
    <t>Draw_NextDungeonWallFace</t>
  </si>
  <si>
    <t>Advances the four-face dungeon-wall loop.</t>
  </si>
  <si>
    <t>Return_FromDungeonCellOccupants</t>
  </si>
  <si>
    <t>Common return when the centred occupant slot is unavailable or empty.</t>
  </si>
  <si>
    <t>Draw_MonsterTeamOccupants</t>
  </si>
  <si>
    <t>Resolves and draws the members of a live monster team.</t>
  </si>
  <si>
    <t>Draw_MonsterTeamMemberLoop</t>
  </si>
  <si>
    <t>Rotates and resolves one authored monster-team mini-space.</t>
  </si>
  <si>
    <t>Draw_NextMonsterTeamMember</t>
  </si>
  <si>
    <t>Advances the four-member live monster-team loop.</t>
  </si>
  <si>
    <t>Load_SingleMonsterRotationAndSpace</t>
  </si>
  <si>
    <t>Uses the live monster rotation-and-mini-space byte for a non-team monster.</t>
  </si>
  <si>
    <t>Prepare_MonsterOccupantRender</t>
  </si>
  <si>
    <t>Loads monster form and handles its render-specific special cases.</t>
  </si>
  <si>
    <t>Load_MonsterRenderState</t>
  </si>
  <si>
    <t>Loads monster animation state and current grade before rendering.</t>
  </si>
  <si>
    <t>Calculate_MonsterViewerRelativeFacing</t>
  </si>
  <si>
    <t>Converts live rotation into viewer-relative facing and mini-space.</t>
  </si>
  <si>
    <t>Draw_PlayerOccupant</t>
  </si>
  <si>
    <t>Resolves the active player occupant branch.</t>
  </si>
  <si>
    <t>Draw_PlayerPartyOccupants</t>
  </si>
  <si>
    <t>Draws party champions at an active player’s occupied dungeon cell.</t>
  </si>
  <si>
    <t>Count_VisiblePlayerPartySlots</t>
  </si>
  <si>
    <t>Counts present party slots before choosing the player-party render path.</t>
  </si>
  <si>
    <t>Count_NextVisiblePlayerPartySlot</t>
  </si>
  <si>
    <t>Advances the party-slot count loop.</t>
  </si>
  <si>
    <t>Draw_PlayerPartyMemberLoop</t>
  </si>
  <si>
    <t>Resolves and draws each present player-party member.</t>
  </si>
  <si>
    <t>Draw_NextPlayerPartyMember</t>
  </si>
  <si>
    <t>Advances the player-party member loop.</t>
  </si>
  <si>
    <t>Draw_PlayerPartyChampion</t>
  </si>
  <si>
    <t>Loads and draws one champion from the active player party.</t>
  </si>
  <si>
    <t>maps/mod0.monstercount</t>
  </si>
  <si>
    <t>Six DBRA terminal indices for packed monster records; $FFFF means no records.</t>
  </si>
  <si>
    <t>maps/mod0.monsters</t>
  </si>
  <si>
    <t>The Keep’s 128-slot packed monster block.</t>
  </si>
  <si>
    <t>data/champions.stats</t>
  </si>
  <si>
    <r>
      <t xml:space="preserve">Sixteen 32-byte champion-stat records, including original placement and facing byte </t>
    </r>
    <r>
      <rPr>
        <sz val="10"/>
        <color theme="1"/>
        <rFont val="Arial Unicode MS"/>
        <family val="2"/>
      </rPr>
      <t>$18</t>
    </r>
    <r>
      <rPr>
        <sz val="12"/>
        <color theme="1"/>
        <rFont val="Aptos Narrow"/>
        <family val="2"/>
        <scheme val="minor"/>
      </rPr>
      <t>.</t>
    </r>
  </si>
  <si>
    <t>gfx-data/Monster_SubPosition_DepthAdjustments.positions</t>
  </si>
  <si>
    <t>Adjusts monster team mini-spaces before distance selection.</t>
  </si>
  <si>
    <t>gfx-data/Monster_ViewCell_DepthSlots.lookup</t>
  </si>
  <si>
    <t>Maps dungeon view cells to monster depth slots.</t>
  </si>
  <si>
    <t>gfx-data/Monster_Depth_GfxSlots.lookup</t>
  </si>
  <si>
    <t>Maps projected depth slots to monster graphics-distance slots.</t>
  </si>
  <si>
    <t>gfx-data/Monster_RenderFlags.lookup</t>
  </si>
  <si>
    <t>Maps low render-state bits to arm/claw animation flags.</t>
  </si>
  <si>
    <t>gfx-data/Monster_Facing_GfxVariants.lookup</t>
  </si>
  <si>
    <t>Maps facing to front, side, back, or mirrored-side graphics.</t>
  </si>
  <si>
    <t>gfx-data/Monster_ViewCell_SubPosition_X.positions</t>
  </si>
  <si>
    <t>Provides screen X positions for view-cell and mini-space combinations.</t>
  </si>
  <si>
    <t>Resolve_WallFeatureContext</t>
  </si>
  <si>
    <t>Resolves the contextual wall-feature or door action, toggling valid targets or reporting a locked door.</t>
  </si>
  <si>
    <t>$5568</t>
  </si>
  <si>
    <t>$774C</t>
  </si>
  <si>
    <t>Eight signed dispatch values indexed by map-cell type during Try_EnterMapCell.</t>
  </si>
  <si>
    <t>Monster_StairDepthSlot_XAdjustments</t>
  </si>
  <si>
    <t>DATA</t>
  </si>
  <si>
    <t>Monster_StairDepthSlot_XAdjustments.positions</t>
  </si>
  <si>
    <t>gfx-data/Monster_StairDepthSlot_XAdjustments.positions</t>
  </si>
  <si>
    <t>$09648</t>
  </si>
  <si>
    <t>Eight signed X adjustments used when placing an occupant in a type-4 stair cell.</t>
  </si>
  <si>
    <t>Monster_StairDepthSlot_YPositions</t>
  </si>
  <si>
    <t>Monster_StairDepthSlot_YPositions.positions</t>
  </si>
  <si>
    <t>gfx-data/Monster_StairDepthSlot_YPositions.positions</t>
  </si>
  <si>
    <t>$09650</t>
  </si>
  <si>
    <t>Eight Y positions paired with the stair depth-slot X adjustments.</t>
  </si>
  <si>
    <t>A6/D0: clicked wall cell. Toggle its light, dispatch the current-tower record, then play sound 0; reference zero returns unchanged.</t>
  </si>
  <si>
    <t>No switch effect; return to caller. Also the base for Switches_LookupTable signed word displacements.</t>
  </si>
  <si>
    <t>Eight signed word displacements from Switch_00_s00_Null, indexed directly by the even action byte $00-$0E.</t>
  </si>
  <si>
    <t>Trigger_15_t1E_CreateWall_XY</t>
  </si>
  <si>
    <t>A1/D1: trigger record. Remove the target feature, then create a stone wall unless the retained flag blocks creation. Not switch action $00.</t>
  </si>
  <si>
    <t>Switch_02_s04_Trigger_23_t2E_ToggleWall_XY</t>
  </si>
  <si>
    <t>A1/D1: action record. Resolve CC/DD on the active floor; when second-byte bit 7 is clear, reset first-byte data and toggle space/stone wall.</t>
  </si>
  <si>
    <t>Return_WallToggle</t>
  </si>
  <si>
    <t>Return after the target-wall toggle or its flag check.</t>
  </si>
  <si>
    <t>A1/D1: action record. Clear the target type, also clearing decoration/facing if it was stone. A6/D0 returns the target; other flags survive.</t>
  </si>
  <si>
    <t>Clear_TargetMapCellType</t>
  </si>
  <si>
    <t>A6/D0: target cell. Clear second-byte type bits 0-2 and return; retain first-byte data and other flags.</t>
  </si>
  <si>
    <t>Resolve_ActionTargetXY</t>
  </si>
  <si>
    <t>A1: tower record block; D1: four-byte record offset. Read CC/DD; return D7=X:word/Y:word and A6/D0=target cell on the loaded floor. Clobbers A0.</t>
  </si>
  <si>
    <t>Process_PlayerMoveFloorFeature</t>
  </si>
  <si>
    <t>$6B0C</t>
  </si>
  <si>
    <t>A6/D0: type-6 destination. Subtype 0 clears living champions worn spells; subtype 1 skips trigger dispatch; subtypes 2/3 execute the pad.</t>
  </si>
  <si>
    <t>Dispatch_PlayerMoveTriggerPad</t>
  </si>
  <si>
    <t>$6B1C</t>
  </si>
  <si>
    <t>D1: nonzero floor subtype. Skip pit subtype 1; dispatch visible/invisible pads 2/3 using the destination in A6/D0.</t>
  </si>
  <si>
    <t>Clear_PartyWornSpells_NextSlot</t>
  </si>
  <si>
    <t>D7: party slot 3 down to 0. Skip dead/unavailable slots and clear the living champion worn-spell byte at stat record +$11.</t>
  </si>
  <si>
    <t>Clear_PartyWornSpells_Continue</t>
  </si>
  <si>
    <t>Continue the four-slot loop, redraw the party command panel, restore movement registers and return.</t>
  </si>
  <si>
    <t>Execute_FloorTrigger</t>
  </si>
  <si>
    <t>A5: party; A6/D0: pad cell; D7: movement X/Y. Choose default sound, dispatch the tower trigger record, then restore movement state, possibly rewritten by teleport.</t>
  </si>
  <si>
    <t>Resolve_FloorTriggerRecord</t>
  </si>
  <si>
    <t>A6/D0: pad cell. Return A1=current tower trigger block, D1=reference*4, D2=action byte. Select spell sound for actions $08/$0A/$2A.</t>
  </si>
  <si>
    <t>Select_TriggerSpellSound</t>
  </si>
  <si>
    <t>Set the pending trigger sound to the alternative spell effect before dispatch.</t>
  </si>
  <si>
    <t>Dispatch_TriggerAndPlaySound</t>
  </si>
  <si>
    <t>A1/D1: record; D2: even action byte. Call the signed-offset handler with D0/D7/A6 saved; play the returned nonnegative TriggerSound_ID.</t>
  </si>
  <si>
    <t>Restore_TriggerMovementState</t>
  </si>
  <si>
    <t>Pop dispatcher D0/D7/A6. Teleport and tower-entry handlers rewrite this saved frame so movement resumes at the destination.</t>
  </si>
  <si>
    <t>Return without an effect. Also the base for Triggers_LookupTable signed word displacements and a shared RTS for other routines.</t>
  </si>
  <si>
    <t>31 signed word displacements from Trigger_00_t00_Null; the action byte is the byte offset $00-$3C, not an ordinal to double again.</t>
  </si>
  <si>
    <t>Single-party return to the Keep: select the departing tower arrival floor/pair, store its midpoint, and replace saved dispatcher movement state.</t>
  </si>
  <si>
    <t>Two-party return to the Keep: require a player party at record CC/DD, then place both parties on the corresponding Keep arrival pair.</t>
  </si>
  <si>
    <t>Return_KeepEntrancePartnerMissing</t>
  </si>
  <si>
    <t>Discard the saved trigger-record pointer and return after the opposite-pad player check fails.</t>
  </si>
  <si>
    <t>Prepare_KeepEntranceArrivalPair</t>
  </si>
  <si>
    <t>A1: partner party; stack: trigger pointer. Save outgoing tower state; select Keep arrival floor and pair using the current tower.</t>
  </si>
  <si>
    <t>Single-party tower entrance: BB selects a four-byte arrival pair, floor is zero, and the party appears at the pair midpoint.</t>
  </si>
  <si>
    <t>Enter_TowerAtArrivalMidpoint</t>
  </si>
  <si>
    <t>A0/D0: arrival pair; D1: floor; A5: party. Store midpoint, select tower/map/floor, rewrite dispatcher D0/D7/A6, mark occupancy, unpack monsters.</t>
  </si>
  <si>
    <t>A1/D1: trigger record. Require a player party at CC/DD; BB selects an arrival side. Negative MultiPlayer values return immediately.</t>
  </si>
  <si>
    <t>Discard_TowerEntranceRecord</t>
  </si>
  <si>
    <t>Discard the saved trigger-record pointer after the opposite-pad player check fails.</t>
  </si>
  <si>
    <t>Return_TowerEntrance</t>
  </si>
  <si>
    <t>Return when the current game mode or opposite-pad occupancy prevents tower travel.</t>
  </si>
  <si>
    <t>Prepare_TowerEntranceArrivalPair</t>
  </si>
  <si>
    <t>A1: partner party; stack: trigger pointer. Save outgoing state; use BB*2 as arrival-side offset and floor zero.</t>
  </si>
  <si>
    <t>Enter_TowerAtPairedArrivals</t>
  </si>
  <si>
    <t>A1: partner; A5: active party; A0/D0: arrival side; D1: floor. Place both parties, replace saved dispatcher movement state and load tower monsters.</t>
  </si>
  <si>
    <t>Trigger_30_t3C_RemoveXY_IfPuzzleBitsSet</t>
  </si>
  <si>
    <t>Remove the record CC/DD target only when bit 0 is set in both first bytes at current tower map-cell offsets $14 and $1C.</t>
  </si>
  <si>
    <t>Trigger_29_t3A_GameCompletion</t>
  </si>
  <si>
    <t>Run the ending display for the player interface or interfaces, present it through both screen buffers, then wait for the completion flag to clear.</t>
  </si>
  <si>
    <t>Trigger_25_t32_Teleport_FXY</t>
  </si>
  <si>
    <t>BB: destination floor; CC/DD: X/Y. Try the target then one cell north, checking bit 7 only. On success update player and saved movement state; no flash.</t>
  </si>
  <si>
    <t>Commit_TeleportWithoutFlash</t>
  </si>
  <si>
    <t>D6: destination floor; D7: X/Y; A6/D0: destination cell. Call the shared commit helper and return without queueing a flash.</t>
  </si>
  <si>
    <t>Trigger_21_t2A_Flash_Teleport_FXY</t>
  </si>
  <si>
    <t>BB: destination floor; CC/DD: X/Y. Try target then one cell east, checking bit 7 only. Commit player/saved movement state and queue a flash.</t>
  </si>
  <si>
    <t>Commit_TeleportAndQueueFlash</t>
  </si>
  <si>
    <t>Commit destination D6/D7/A6/D0, then queue effect $10 at the arrival cell. Post-trigger sound remains selected by the dispatcher.</t>
  </si>
  <si>
    <t>A1/D1: record. Advance target second-byte facing bits 4-5 by one direction, preserving all other bits.</t>
  </si>
  <si>
    <t>On the loaded floor, set first-byte bit 2 at (13,12) and clear bit 6 at (14,12); record parameters are unused.</t>
  </si>
  <si>
    <t>On the loaded floor, clear first-byte bit 2 at (3,0) and set bit 6 at (4,0); record parameters are unused.</t>
  </si>
  <si>
    <t>A6/D0: trigger cell. Set the north-edge closed bit in the cell immediately west if its second-byte bit 7 is clear.</t>
  </si>
  <si>
    <t>Return_TraderDoorCloser</t>
  </si>
  <si>
    <t>Return after checking or closing the wooden door beside the trader pad.</t>
  </si>
  <si>
    <t>A5: party. XOR facing at +$20 with 2 to reverse direction; do not change position or read record parameters.</t>
  </si>
  <si>
    <t>A5: party. Mask a random value to 0-3 and store the new facing at +$20; position is unchanged.</t>
  </si>
  <si>
    <t>Trigger_24_t30_SpinnerRight90</t>
  </si>
  <si>
    <t>A5: party. Increment facing at +$20 modulo four, matching the normal right-turn control; record parameters are unused.</t>
  </si>
  <si>
    <t>A1/D1: record. Set target first-byte bit 0 and request sound 1; preserve lock data and do not test for a key.</t>
  </si>
  <si>
    <t>A1/D1: record. Clear target first-byte bit 0 and request sound 1; preserve lock data. Switch dispatch subsequently plays sound 0.</t>
  </si>
  <si>
    <t>A1/D1: record. Clear the target type, then fall through to set first byte 1 and type 3, preserving remaining flags.</t>
  </si>
  <si>
    <t>A1/D1: record. Set first byte 1 and XOR second byte with 3; normally toggles space/pillar but performs no type check.</t>
  </si>
  <si>
    <t>Trigger_14_t1C_SetFloorTypeBits_XY</t>
  </si>
  <si>
    <t>A1/D1: record. OR second byte with 6; retain first byte and other flags. Starting types with bit 0 set become type 7.</t>
  </si>
  <si>
    <t>Trigger_26_t34_ToggleFloorTypeBits_XY</t>
  </si>
  <si>
    <t>A1/D1: record. XOR second byte with 6 on the loaded floor; BB is unused and no teleport occurs.</t>
  </si>
  <si>
    <t>Trigger_16_t20_ToggleNeighbourFloorType</t>
  </si>
  <si>
    <t>BB: movement-vector index from the triggering cell. Toggle neighbour type bits with 6; if out of bounds, remove the record CC/DD target instead.</t>
  </si>
  <si>
    <t>Trigger_17_t22_MovePillar_NorthWestToNorth</t>
  </si>
  <si>
    <t>A6/D0: triggering cell. Create a pillar one cell north and clear the cell northwest; ignore BB/CC/DD and retain upper second-byte flags.</t>
  </si>
  <si>
    <t>A6/D0: external pad; A5: party. Close the eastern doorway if unoccupied; queue Vivify and search ground remains two cells east, then place/rejoin a champion.</t>
  </si>
  <si>
    <t>VivifyExternal_SearchRevivalCell</t>
  </si>
  <si>
    <t>A6/D0: revival cell. Queue effect $86; require an unoccupied cell with objects, then scan its four stack corners for remains.</t>
  </si>
  <si>
    <t>VivifyExternal_FindCornerStack</t>
  </si>
  <si>
    <t>D4: corner 3 down to 0. Find that corner object stack at A6/D0; matching stack returns A0/D7 for its record.</t>
  </si>
  <si>
    <t>VivifyExternal_NextCorner</t>
  </si>
  <si>
    <t>Continue the four-corner ground-stack search after a missing stack or no valid remains.</t>
  </si>
  <si>
    <t>Return_VivifyExternalNoRemains</t>
  </si>
  <si>
    <t>Return when the revival cell is occupied, has no objects, or contains no suitable champion remains.</t>
  </si>
  <si>
    <t>VivifyExternal_PrepareRemainsScan</t>
  </si>
  <si>
    <t>A0/D7: object stack. Set A1 to its object pairs and D3 to the last two-byte pair offset.</t>
  </si>
  <si>
    <t>VivifyExternal_CheckRemainsCode</t>
  </si>
  <si>
    <t>A1/D3: object pair. Accept codes $40-$4F and return their champion number 0-15 in D2.</t>
  </si>
  <si>
    <t>VivifyExternal_PreviousObject</t>
  </si>
  <si>
    <t>Step D3 back by two bytes; after the first pair, continue with the next ground-stack corner.</t>
  </si>
  <si>
    <t>VivifyExternal_ConsumeRemains</t>
  </si>
  <si>
    <t>Reserve the revival cell, remove the selected remains, recover its floor/X/Y, and find the champion party membership.</t>
  </si>
  <si>
    <t>VivifyExternal_ReplaceDeadLeader</t>
  </si>
  <si>
    <t>Move the former leader into the revived champion’s old slot and select the revived champion before installing the new leader.</t>
  </si>
  <si>
    <t>VivifyExternal_InstallRevivedLeader</t>
  </si>
  <si>
    <t>D0: champion; D2: X/Y; D3: floor; A5: party. Install and select the new leader, relocate the party and face west.</t>
  </si>
  <si>
    <t>VivifyExternal_RefreshParty</t>
  </si>
  <si>
    <t>Refresh the revived party interface, restore the activating party A5 from the stack and return.</t>
  </si>
  <si>
    <t>A6/D0: internal pad; A5: party. Close the western doorway, queue Vivify, play sound once and revive eligible dead party slots with five HP/vitality.</t>
  </si>
  <si>
    <t>VivifyInternal_ReviveNextSlot</t>
  </si>
  <si>
    <t>D0: slot 3 down to 0. Skip empty/unavailable/living slots; clear dead flag and restore five vitality and hit points for eligible champions.</t>
  </si>
  <si>
    <t>VivifyInternal_FindDisplaySlot</t>
  </si>
  <si>
    <t>D1: display slot 3 down to 0. Find a negative/free champion-order entry; fall back to slot zero if all are used.</t>
  </si>
  <si>
    <t>VivifyInternal_InsertDisplayChampion</t>
  </si>
  <si>
    <t>D0: revived party slot; D1: display slot. Keep champion-number bits only and copy the number into the display order.</t>
  </si>
  <si>
    <t>VivifyInternal_FinishParty</t>
  </si>
  <si>
    <t>Continue the party-slot loop, then reset party-command/presentation state and refresh the current interface.</t>
  </si>
  <si>
    <t>Column A</t>
  </si>
  <si>
    <t>Unlabelled</t>
  </si>
  <si>
    <t>Labelled</t>
  </si>
  <si>
    <t>Find_FreeOwnershipSlot</t>
  </si>
  <si>
    <t>Searches the ownership table for the first unused entry and returns its slot.</t>
  </si>
  <si>
    <t>Find_ChampionOwner</t>
  </si>
  <si>
    <t>Searches the ownership table for the player that currently owns the selected champion.</t>
  </si>
  <si>
    <t>Find_ChampionInPlayerSlots</t>
  </si>
  <si>
    <t>Searches a player's champion slots for the selected champion index.</t>
  </si>
  <si>
    <t>Find_ChampionFormationSlot</t>
  </si>
  <si>
    <t>Searches a player's four formation positions for the selected champion index.</t>
  </si>
  <si>
    <t>ForwardCellToMapOffset</t>
  </si>
  <si>
    <t>Applies the player's facing vector to the packed position and converts the forward cell to a map offset.</t>
  </si>
  <si>
    <t>PlayerPositionToMapOffset</t>
  </si>
  <si>
    <t>Converts the player's packed X and Y position to an offset in the selected floor map.</t>
  </si>
  <si>
    <t>Select_ActivePlayerFloorMap</t>
  </si>
  <si>
    <t>Selects the floor map identified by the active player's independent floor number.</t>
  </si>
  <si>
    <t>Select_FloorMapByIndex</t>
  </si>
  <si>
    <t>Selects a floor by index and caches its dimensions and map-data offset.</t>
  </si>
  <si>
    <t>Encode_MFMClockBits</t>
  </si>
  <si>
    <t>Adds legal MFM clock bits to the in-memory floppy data stream while preserving spacing across longword boundaries.</t>
  </si>
  <si>
    <t>Delay_FloppyControllerSettle</t>
  </si>
  <si>
    <t>Provides the fixed hardware delay used between floppy-controller CIA operations.</t>
  </si>
  <si>
    <t>Select_FloppyDrive0</t>
  </si>
  <si>
    <t>Programs CIAB port B to select floppy drive zero using its active-low select line.</t>
  </si>
  <si>
    <t>Swap_DisplayAndDrawBuffers</t>
  </si>
  <si>
    <t>Swaps the display and drawing screen buffers and updates all four Copper bitplane pointers.</t>
  </si>
  <si>
    <t>Blit_MaskedPocketsOverlayLoop</t>
  </si>
  <si>
    <t>Applies a row-based AND and OR mask while copying an overlay crop from the Pockets graphics sheet.</t>
  </si>
  <si>
    <t>Copy_DrawBufferToDisplayBuffer</t>
  </si>
  <si>
    <t>Copies the complete 320 by 200 four-plane drawing buffer to the display buffer.</t>
  </si>
  <si>
    <t>Clear_DrawBuffer</t>
  </si>
  <si>
    <t>Selects and clears the complete drawing screen buffer.</t>
  </si>
  <si>
    <t>Clear_DisplayBuffer</t>
  </si>
  <si>
    <t>Selects and clears the complete display screen buffer through the shared clearing loop.</t>
  </si>
  <si>
    <t>Calculate_ViewerObjectPerception</t>
  </si>
  <si>
    <t>Calculates the active viewer's nonzero perception value used when deciding whether concealed cell contents are visible.</t>
  </si>
  <si>
    <t>Draw_DungeonCellFeatureAndOccupants</t>
  </si>
  <si>
    <t>Dispatches a dungeon cell's structural feature and then draws its remaining occupants and contents.</t>
  </si>
  <si>
    <t>Draw_Type6CellFeatureBeforeFloorObjects</t>
  </si>
  <si>
    <t>Draws a type-six cell feature before resuming the ordinary floor-object pass so its items remain visible on top.</t>
  </si>
  <si>
    <t>Resolve_DiagonalCellAndFindOccupant</t>
  </si>
  <si>
    <t>Resolves the caller's diagonal cell coordinates and continues into the shared dungeon-cell occupant search.</t>
  </si>
  <si>
    <t>Draw_ChampionSelectionDetailsPanel</t>
  </si>
  <si>
    <t>Draws the portrait bevel, name strip, statistics scroll, and separators in the champion-selection details panel.</t>
  </si>
  <si>
    <t>Draw_ChampionSelectionCommandButtonFrames</t>
  </si>
  <si>
    <t>Draws the two nested outline frames for the champion-selection command buttons.</t>
  </si>
  <si>
    <t>Draw_ShieldPlanarGraphic</t>
  </si>
  <si>
    <t>Enters the generic template-colour planar renderer after preserving the packed shield width and height counts.</t>
  </si>
  <si>
    <t>Print_ChampionNamePanelGivenName</t>
  </si>
  <si>
    <t>Prints the champion's given name in the in-dungeon name panel using the active player's panel background colour.</t>
  </si>
  <si>
    <t>Print_SelectedSpellNameWarmOrange</t>
  </si>
  <si>
    <t>Positions and prints the selected spell name using warm-orange foreground ink.</t>
  </si>
  <si>
    <t>Print_ChampionSelectionFullName</t>
  </si>
  <si>
    <t>Prints the champion's given and second names on the champion-selection screen.</t>
  </si>
  <si>
    <t>.PrintLiteralCharacterToken</t>
  </si>
  <si>
    <t>Consumes the next text-stream byte as a literal glyph and resumes descriptor parsing after drawing it.</t>
  </si>
  <si>
    <t>.HandleCommandColumnSeparator</t>
  </si>
  <si>
    <t>Handles the command-menu column-separator token and records the alternate column geometry for following glyphs.</t>
  </si>
  <si>
    <t>Draw_TextGlyph</t>
  </si>
  <si>
    <t>Selects the five-row font glyph, draws it into the enabled colour planes, and advances the text cursor by one character cell.</t>
  </si>
  <si>
    <t>Print_GlyphRowsWithOptionalColumnShift</t>
  </si>
  <si>
    <t>Draws the glyph rows and applies the command-column horizontal shift when the separator flag is set.</t>
  </si>
  <si>
    <t>Queue_MapCellEffect</t>
  </si>
  <si>
    <t>Sets the pending-effect bit on a map cell and appends its map offset and encoded effect value to the cell-effect queue.</t>
  </si>
  <si>
    <t>Roll_AndStagePartyDamage</t>
  </si>
  <si>
    <t>Rolls damage from the supplied power, clamps it to $FD, and stages the resulting byte for all four party slots.</t>
  </si>
  <si>
    <t>Mark_NavigationFieldNeighbor</t>
  </si>
  <si>
    <t>If the neighbouring cell is traversable and unvisited, records its incoming direction and appends its packed coordinate to the navigation queue.</t>
  </si>
  <si>
    <t>Pack_CurrentTowerMonsterBlock</t>
  </si>
  <si>
    <t>Serialises the live monster records into the current tower's compact monster block and stores its last live-record index.</t>
  </si>
  <si>
    <t>Select_SpellRuneInk</t>
  </si>
  <si>
    <t>Returns the missing-rune ink, selected-rune ink, or spell-class ink for a spell-book rune glyph.</t>
  </si>
  <si>
    <t>Clear_LowerTextStrip</t>
  </si>
  <si>
    <t>Clears the active player's shared lower text area and marks its associated interface state for refresh.</t>
  </si>
  <si>
    <t>Test_LevelResistanceRoll_FromPointer</t>
  </si>
  <si>
    <t>Converts a monster or champion record pointer to the actor identifier expected by the shared level-resistance test.</t>
  </si>
  <si>
    <t>Refresh_ModeDependentChampionDisplay</t>
  </si>
  <si>
    <t>Refreshes the party-formation display in interface mode zero or the held-item display in mode three; other modes return unchanged.</t>
  </si>
  <si>
    <t>Calculate_ManhattanDistance</t>
  </si>
  <si>
    <t>Returns the sum of the absolute X and Y differences between two packed coordinates.</t>
  </si>
  <si>
    <t>Read_MonsterMovementTableEntry</t>
  </si>
  <si>
    <t>Remove_MonsterRecord</t>
  </si>
  <si>
    <t>Updates references to the selected monster, removes its live record, compacts the remaining array, and clears the vacated final record.</t>
  </si>
  <si>
    <t>Reset_PartyCommandStateAndRedrawMenu</t>
  </si>
  <si>
    <t>Clears the party-command state, substate, and selected target before restoring the command-menu graphics.</t>
  </si>
  <si>
    <t>Print_SelectedSpellListEntry</t>
  </si>
  <si>
    <t>Prints the selected spell name when the entry is valid and advances the destination to the next spell-list row.</t>
  </si>
  <si>
    <t>SocketActions_RestorePartyStatToMax</t>
  </si>
  <si>
    <t>Restores the stat selected by D4 to its maximum for every occupied party slot; the three crystal handlers select hit points, vitality, or spell points.</t>
  </si>
  <si>
    <t>AdjacentCoordToMapOffset</t>
  </si>
  <si>
    <t>Applies the direction-indexed movement vector to a packed coordinate and converts the adjacent cell to a map offset.</t>
  </si>
  <si>
    <t>FloppyDrive_StepPulse</t>
  </si>
  <si>
    <t>Issues the active-low floppy step pulse using the current driver state, waits for the controller, and resumes the floppy operation.</t>
  </si>
  <si>
    <t>Encode_HardwareSpritePositionWords</t>
  </si>
  <si>
    <t>Encodes the horizontal and vertical position and control bytes for a player pointer's Amiga hardware sprite data.</t>
  </si>
  <si>
    <t>Prepare_19CharacterPanelTextCursor</t>
  </si>
  <si>
    <t>Initialises the nineteen-character text budget, panel cursor, foreground ink, and player-coloured background used by names and item descriptions.</t>
  </si>
  <si>
    <t>Blit_MaskedByteAcrossPlanes</t>
  </si>
  <si>
    <t>Combines one masked source byte with the existing destination byte across all four screen bitplanes.</t>
  </si>
  <si>
    <t>Decay_CastingFatigue</t>
  </si>
  <si>
    <t>Decrements every champion's casting-fatigue byte once per eight engine subcycles and clamps it at zero.</t>
  </si>
  <si>
    <t>Maintain_MonsterGroupFormation</t>
  </si>
  <si>
    <t>Rebuilds live monster-team membership and dissolves a group when only one living member remains.</t>
  </si>
  <si>
    <t>Decay_LinkedMagicRecords</t>
  </si>
  <si>
    <t>Ages linked-magic records, removes expired entries, and applies periodic occupant damage for damaging records.</t>
  </si>
  <si>
    <t>Damage_LinkedMagicCellOccupant</t>
  </si>
  <si>
    <t>Resolves the occupant of a damaging linked-magic cell and applies the appropriate champion, party, or monster damage path.</t>
  </si>
  <si>
    <t>Remove_LinkedMagicRecord</t>
  </si>
  <si>
    <t>Clears a cell's linked-magic type, compacts the linked-record list, and decrements its count.</t>
  </si>
  <si>
    <t>Run_300TickPeriodicUpdates</t>
  </si>
  <si>
    <t>Reloads the 300-tick counter and runs linked-magic decay, floor-trigger checks, navigation rebuilds, and party maintenance.</t>
  </si>
  <si>
    <t>Decay_PartyShieldHighlightTimer</t>
  </si>
  <si>
    <t>Ages the four party-shield highlight timers and redraws any slot whose timer expires.</t>
  </si>
  <si>
    <t>Update_CharacterCooldownIfCurrentTower</t>
  </si>
  <si>
    <t>Updates a champion's attack cooldown only when their record belongs to the current tower, then continues actor activation.</t>
  </si>
  <si>
    <t>Age_CharacterAnimationTimer</t>
  </si>
  <si>
    <t>Decrements the animation timer while preserving Confuse and Terror bits, then continues actor activation.</t>
  </si>
  <si>
    <t>AttackType_ResolveForwardOccupant</t>
  </si>
  <si>
    <t>AttackType_MonsterMelee</t>
  </si>
  <si>
    <t>Runs monster melee through the shared physical-attack and damage pipeline with backstabbing disabled.</t>
  </si>
  <si>
    <t>AttackType_DroneBlockedTurn</t>
  </si>
  <si>
    <t>Chooses a random left or right quarter-turn when Drone movement is blocked.</t>
  </si>
  <si>
    <t>Store_MonsterRotationByte</t>
  </si>
  <si>
    <t>Resolve_AirborneSpellCellEntry</t>
  </si>
  <si>
    <t>Queues an airborne-spell impact, resolves eligible cell occupants, and handles the empty or blocked-cell sound path.</t>
  </si>
  <si>
    <t>Apply_SpelltapEffect</t>
  </si>
  <si>
    <t>Clears worn magic, rolls resistance, drains spell points, and adds the drain to casting fatigue with a cap of 100.</t>
  </si>
  <si>
    <t>Comms_ApplyThreatFear</t>
  </si>
  <si>
    <t>Applies the communications Threat status effect, converting an existing Confuse state into Terror.</t>
  </si>
  <si>
    <t>Apply_ParalyzeEffect</t>
  </si>
  <si>
    <t>Runs the target resistance roll and sets paralysis plus the maximum action-delay nibble when resistance fails.</t>
  </si>
  <si>
    <t>Seed_DisruptDamage</t>
  </si>
  <si>
    <t>Seeds Disrupt damage from the target's hit points and level before its tiered resistance passes.</t>
  </si>
  <si>
    <t>Apply_ConfuseEffect</t>
  </si>
  <si>
    <t>Resolves a champion or monster facing change and records the persistent Confuse flag.</t>
  </si>
  <si>
    <t>Resolve_ConfuseFacingRoll</t>
  </si>
  <si>
    <t>Uses up to two resistance rolls to determine which facing bits Confuse toggles.</t>
  </si>
  <si>
    <t>ResistanceCheckPower</t>
  </si>
  <si>
    <t>Scratch word holding the signed effect power used by the shared level-resistance calculation.</t>
  </si>
  <si>
    <t>Test_LevelResistanceRoll</t>
  </si>
  <si>
    <t>Initialises the pass/fail result and enters the shared level-versus-power resistance roll.</t>
  </si>
  <si>
    <t>Resolve_LevelResistanceRoll</t>
  </si>
  <si>
    <t>Resolves the shared champion, monster, or Antimage level-versus-power saving throw and adjusts the staged effect.</t>
  </si>
  <si>
    <t>Load_ChampionLevelForResistanceRoll</t>
  </si>
  <si>
    <t>Loads a champion level and joins the shared resistance-threshold and random-roll calculation.</t>
  </si>
  <si>
    <t>Run_AntimageResistancePass</t>
  </si>
  <si>
    <t>Runs one Antimage resistance pass across all four formation slots using the currently staged power.</t>
  </si>
  <si>
    <t>Award_MonsterDamageExperienceAndKillBonus</t>
  </si>
  <si>
    <t>Awards damage-derived progress before monster HP is reduced and, on a lethal hit, applies the surviving party's level-based bonus.</t>
  </si>
  <si>
    <t>Mark_PendingFairySpellOffer</t>
  </si>
  <si>
    <t>Marks an eligible champion for a pending fairy-spell offer after the level-progress threshold and profession checks pass.</t>
  </si>
  <si>
    <t>Apply_SpellImpactAtOccupant</t>
  </si>
  <si>
    <t>Finds the target-cell occupant and dispatches the staged spell impact to a champion, party, monster, or monster group.</t>
  </si>
  <si>
    <t>Apply_MonsterDamage</t>
  </si>
  <si>
    <t>Applies resistance when requested, awards attack progress, subtracts monster hit points, and enters the death path on underflow.</t>
  </si>
  <si>
    <t>Apply_PartyDamage</t>
  </si>
  <si>
    <t>Applies a staged byte-sized damage value across the four party formation slots, with the shared Antimage resistance path when requested.</t>
  </si>
  <si>
    <t>Externalise_WipedParty_Remains</t>
  </si>
  <si>
    <t>Clears the wiped party's map occupancy and converts each occupied champion slot into externally recoverable remains.</t>
  </si>
  <si>
    <t>Draw_ViewportMessageFrame</t>
  </si>
  <si>
    <t>Clears the dungeon viewport and draws the nested frame used for death, sleep, and completion messages.</t>
  </si>
  <si>
    <t>Purge_TransientSummonsBeforeAllocation</t>
  </si>
  <si>
    <t>Removes dormant or transient summon records on the target floor before a new spell entity is allocated.</t>
  </si>
  <si>
    <t>Despawn_MonsterAndClearMapCell</t>
  </si>
  <si>
    <t>Clears the monster's map occupancy and enters the shared record-compaction and reference-cleanup path.</t>
  </si>
  <si>
    <t>Adjust_PlayerTargetIndexAfterRemoval</t>
  </si>
  <si>
    <t>Clears or decrements a player's targeted-monster index after the live monster array is compacted.</t>
  </si>
  <si>
    <t>Cleanup_MonsterReferencesAfterRemoval</t>
  </si>
  <si>
    <t>Repairs both players' target indices and all monster-team member indices after a live monster record is removed.</t>
  </si>
  <si>
    <t>Adjust_MonsterTeamMemberIndexAfterRemoval</t>
  </si>
  <si>
    <t>Clears or decrements one monster team's member indices after the live monster array is compacted.</t>
  </si>
  <si>
    <t>Run_PlayerPeriodicMaintenance</t>
  </si>
  <si>
    <t>Conditionally redraws the casting bar, selects the player's floor, advances communications, and refreshes formation-member state.</t>
  </si>
  <si>
    <t>Record_BowAndArrowPocketCandidates</t>
  </si>
  <si>
    <t>Tests one pocket and records candidate bow and arrow slots for the ranged-attack setup.</t>
  </si>
  <si>
    <t>Comms_RunPeriodicTickIfActive</t>
  </si>
  <si>
    <t>Runs the communications periodic update only while the party-command state is Communication.</t>
  </si>
  <si>
    <t>Advance_CommsWaitIndicatorAndDraw</t>
  </si>
  <si>
    <t>Advances the communications response-wait animation divider, redraws its icons, and returns to the command menu.</t>
  </si>
  <si>
    <t>Draw_CommandPanelIconPair</t>
  </si>
  <si>
    <t>Draws the two command-panel pocket graphics packed into D7 at the active player's panel position.</t>
  </si>
  <si>
    <t>Comms_FinishTradeExchange</t>
  </si>
  <si>
    <t>Clears trading mode, selects the completion message, reduces attitude, and prints the NPC response.</t>
  </si>
  <si>
    <t>Draw_InitialGameInterface</t>
  </si>
  <si>
    <t>Initialises and draws each active player's interface and death state, then presents the completed frame.</t>
  </si>
  <si>
    <t>Show_LoadSaveDiskPrompt</t>
  </si>
  <si>
    <t>Shows the load/save disk prompt for each active player, presents it, and enters the keyboard-confirmation loop.</t>
  </si>
  <si>
    <t>LoadGame_ReadChampionDataFromDisk</t>
  </si>
  <si>
    <t>Performs the protected save-disk setup and reads the champion records through the raw floppy-track decoder.</t>
  </si>
  <si>
    <t>SaveGame_WriteChampionDataToDisk</t>
  </si>
  <si>
    <t>Performs the protected save-disk setup and writes the champion records through the raw floppy-track encoder.</t>
  </si>
  <si>
    <t>Calculate_SpellCastingCost</t>
  </si>
  <si>
    <t>Returns five times the selected spell's raw cost-table byte.</t>
  </si>
  <si>
    <t>Print_FormationSlotChampionName</t>
  </si>
  <si>
    <t>Resolves the selected formation slot's champion identifier and prints that champion's name.</t>
  </si>
  <si>
    <t>Advance_ChampionLevelAndGrowStats</t>
  </si>
  <si>
    <t>Increments champion level, reloads level progress, and applies the dice-based hit-point and vitality growth.</t>
  </si>
  <si>
    <t>Build_PartyNavigationField</t>
  </si>
  <si>
    <t>Builds the active party's breadth-first navigation or scent field with its range reduced by the strongest Vanish effect.</t>
  </si>
  <si>
    <t>Refresh_UIAfterSocketAction</t>
  </si>
  <si>
    <t>Refreshes the held-item panel or description after a crystal or gem socket action.</t>
  </si>
  <si>
    <t>HitTest_PickupDropQuadrant</t>
  </si>
  <si>
    <t>Converts the player-relative pointer position into one of four pickup or drop quadrants.</t>
  </si>
  <si>
    <t>Remove_FloorObjectStackEntry</t>
  </si>
  <si>
    <t>Removes one floor-object stack entry and compacts the following entries or enclosing record when necessary.</t>
  </si>
  <si>
    <t>ShiftDown_FloorObjectEntries</t>
  </si>
  <si>
    <t>Compacts the remaining floor-object bytes after an entry or record is removed.</t>
  </si>
  <si>
    <t>Resolve_PickupDropTargetCell</t>
  </si>
  <si>
    <t>Converts the selected quadrant and facing into a map cell and validates its wooden traversal edge.</t>
  </si>
  <si>
    <t>Add_FloorObjectToStack</t>
  </si>
  <si>
    <t>Finds or creates a floor-object stack entry and merges or appends the dropped object.</t>
  </si>
  <si>
    <t>Draw_CombatOutcomeProfessionGlyph</t>
  </si>
  <si>
    <t>Draws the profession-specific glyph used beside a combat-outcome message and applies its colour mask.</t>
  </si>
  <si>
    <t>Redraw_CombatOutcomeSlot</t>
  </si>
  <si>
    <t>Clears and redraws one formation slot's combat-outcome area when its display timer expires.</t>
  </si>
  <si>
    <t>Convert_ThreeDigitDecimalText</t>
  </si>
  <si>
    <t>Formats an unsigned value from 0 to 999 with an optional hundreds digit and two decimal digits.</t>
  </si>
  <si>
    <t>Select_SpellBookPageForSelectedSpell</t>
  </si>
  <si>
    <t>Selects the two-page spellbook spread containing the champion's currently selected spell.</t>
  </si>
  <si>
    <t>Show_SpellCastPrompt</t>
  </si>
  <si>
    <t>Prints the cast prompt, clears casting quality, and enters the casting-percentage bar renderer.</t>
  </si>
  <si>
    <t>Update_IdlePanelAnimation</t>
  </si>
  <si>
    <t>Ages the active player's idle timer and alternates the default-panel animation when it expires.</t>
  </si>
  <si>
    <t>Commit_PlayerTeleportDestination</t>
  </si>
  <si>
    <t>Updates map occupancy and writes the active player's teleported floor and packed coordinate.</t>
  </si>
  <si>
    <t>Restore_VivifiedExternalChampionAtTarget</t>
  </si>
  <si>
    <t>Restores an unowned champion record at the Vivify target coordinate, facing, floor, and current tower.</t>
  </si>
  <si>
    <t>Restore_VivifiedOwnedChampionToParty</t>
  </si>
  <si>
    <t>Clears the owned champion's dead state and either restores a party slot or promotes and relocates the player leader.</t>
  </si>
  <si>
    <t>VivifyInternal_ReviveOwnPartyMembers</t>
  </si>
  <si>
    <t>Queues the Vivify impact and sound, revives eligible dead members of the active party, and redraws the party interface.</t>
  </si>
  <si>
    <t>Redraw_GameInterfaceFromScratch</t>
  </si>
  <si>
    <t>Clears the display and reconstructs the active game interface before continuing into the player panel and viewport.</t>
  </si>
  <si>
    <t>Draw_PlayerInterfaceAndDungeonViewport</t>
  </si>
  <si>
    <t>Draws the champion name panel and party commands, then refreshes the active player's dungeon viewport.</t>
  </si>
  <si>
    <t>Build_EligibleCompanionList</t>
  </si>
  <si>
    <t>Builds the selectable companion list from present party members who are neither waiting nor dead.</t>
  </si>
  <si>
    <t>Reset_ActionSelectionScratchBuffer</t>
  </si>
  <si>
    <t>Resets the four action-selection entries and their row markers before an eligible-target list is built.</t>
  </si>
  <si>
    <t>Draw_SelectedLeaderChainStrip</t>
  </si>
  <si>
    <t>Draws one side of the chain surround used by the selected leader presentation.</t>
  </si>
  <si>
    <t>Draw_InventoryPanelChainStrip</t>
  </si>
  <si>
    <t>Draws the inventory panel's chain-strip artwork at the caller-supplied framebuffer offset.</t>
  </si>
  <si>
    <t>Draw_PartyProfessionIconGrid</t>
  </si>
  <si>
    <t>Draws the four-position profession-icon grid and frames the active lead champion's position.</t>
  </si>
  <si>
    <t>GridSlotColumnShiftTable</t>
  </si>
  <si>
    <t>Maps the four formation positions to the left or right column of the profession-icon grid.</t>
  </si>
  <si>
    <t>Draw_PartyMemberSlotIcon</t>
  </si>
  <si>
    <t>Draws a vacant, dead, or living profession icon for one party position.</t>
  </si>
  <si>
    <t>Select_NeutralProfessionIconMask</t>
  </si>
  <si>
    <t>Selects the neutral recolouring mask used for dead or pending-selected profession icons.</t>
  </si>
  <si>
    <t>Select_LivingMemberClassColour</t>
  </si>
  <si>
    <t>Selects the profession colour mask for a living party member's icon.</t>
  </si>
  <si>
    <t>Draw_RecolouredPartyProfessionIcon</t>
  </si>
  <si>
    <t>Draws the selected party profession icon with the prepared four-colour replacement mask.</t>
  </si>
  <si>
    <t>Draw_VacantPartySlotIcon</t>
  </si>
  <si>
    <t>Draws the fixed vacant-party-position icon.</t>
  </si>
  <si>
    <t>StepCoordForwardToMapOffset</t>
  </si>
  <si>
    <t>Steps the supplied packed coordinate in the active player's facing direction and converts it to a map offset.</t>
  </si>
  <si>
    <t>Calculate_MapOffsetFromPackedCoordinate</t>
  </si>
  <si>
    <t>Calculates the selected floor's byte offset for a packed X and Y coordinate, assuming the tower map base is already loaded.</t>
  </si>
  <si>
    <t>Encode_FloppyTrackForWrite</t>
  </si>
  <si>
    <t>Builds and MFM-encodes an eleven-sector raw floppy track, writes it through disk DMA, and waits for completion.</t>
  </si>
  <si>
    <t>FloppyDrive_OppositeDirectionStepPulse</t>
  </si>
  <si>
    <t>Issues a floppy head-step pulse in the direction opposite to the normal track-advance routine.</t>
  </si>
  <si>
    <t>Read_AndDecodeFloppyTrack</t>
  </si>
  <si>
    <t>Starts raw-track disk DMA, waits with a timeout, and decodes all eleven MFM sectors into the destination buffer.</t>
  </si>
  <si>
    <t>FloppyDrive_SeekToTrackZero</t>
  </si>
  <si>
    <t>Pulses the floppy head toward track zero until the track-zero sense line is asserted.</t>
  </si>
  <si>
    <t>Calculate_WrappedMouseCounterDelta</t>
  </si>
  <si>
    <t>Converts the difference between two eight-bit mouse counters into the signed wrapped movement delta.</t>
  </si>
  <si>
    <t>Update_JoystickCursorPosition</t>
  </si>
  <si>
    <t>Applies decoded joystick direction bits to a player's pointer, clamping vertical movement and wrapping horizontal movement.</t>
  </si>
  <si>
    <t>Decode_JoystickDirectionBits</t>
  </si>
  <si>
    <t>Converts the Amiga joystick quadrature bits into the four directional flags consumed by pointer movement.</t>
  </si>
  <si>
    <t>Clear_ViewportMessageBackground</t>
  </si>
  <si>
    <t>Clears the active player's framed viewport-message area before sleep, death, or completion text is drawn.</t>
  </si>
  <si>
    <t>Resolve_MonsterBodyPoseGeometry</t>
  </si>
  <si>
    <t>Resolves facing, mirroring, source offset, position, and dimensions for a monster body pose.</t>
  </si>
  <si>
    <t>Draw_BehemothClawStrip</t>
  </si>
  <si>
    <t>Selects and draws one Behemoth claw strip with its projected position and occlusion variant.</t>
  </si>
  <si>
    <t>Draw_Crab_DetailDispatch_Front</t>
  </si>
  <si>
    <t>Draws the Crab's front-view side detail or dispatches to the rear-view detail path.</t>
  </si>
  <si>
    <t>Draw_DragonSideDetail_Conditional</t>
  </si>
  <si>
    <t>Conditionally selects and draws the Dragon's second side-detail pass for eligible poses and facings.</t>
  </si>
  <si>
    <t>Select_DragonDetailVariant</t>
  </si>
  <si>
    <t>Selects the Dragon detail frame, mirroring state, and projected offsets from pose, facing, and occlusion.</t>
  </si>
  <si>
    <t>Draw_DragonSideDetail</t>
  </si>
  <si>
    <t>Selects and draws the Dragon's first table-driven side-detail pass.</t>
  </si>
  <si>
    <t>Resolve_CreatureLimbOffset</t>
  </si>
  <si>
    <t>Resolves a generic creature-limb source offset, projected position, dimensions, and mirrored variant.</t>
  </si>
  <si>
    <t>Draw_Monster_16PixelStrip_FromBodies</t>
  </si>
  <si>
    <t>Adds the Bodies graphics base to a relative source offset and enters the shared monster-strip blitter.</t>
  </si>
  <si>
    <t>Draw_ChampionSelectionDefaultPanel</t>
  </si>
  <si>
    <t>Resets champion selection to its default mode and draws the initial framed panel, armour bar, and scroll.</t>
  </si>
  <si>
    <t>HitTest_ChampionSelectionPanel</t>
  </si>
  <si>
    <t>Dispatches champion-selection clicks through roster, selection, object-view, spell-preview, and spellbook controls.</t>
  </si>
  <si>
    <t>Draw_ChampionSelectionModePanel</t>
  </si>
  <si>
    <t>Draws the current champion-selection mode icon and dispatches its inventory, spellbook, or statistics panel.</t>
  </si>
  <si>
    <t>Draw_ChampionSelectionButtonFrame</t>
  </si>
  <si>
    <t>Draws the nested outer and inner frames for one champion-selection command button.</t>
  </si>
  <si>
    <t>HitTest_SelectChampionRegion</t>
  </si>
  <si>
    <t>Tests the Select Champion button rectangle and records its action index on a hit.</t>
  </si>
  <si>
    <t>HitTest_ViewObjectRegion</t>
  </si>
  <si>
    <t>Tests the View Object button rectangle and records its action index on a hit.</t>
  </si>
  <si>
    <t>HitTest_PreviewSpellRegion</t>
  </si>
  <si>
    <t>Runs the spell-grid hit test only while champion selection is in spellbook mode.</t>
  </si>
  <si>
    <t>HitTest_SpellGridCell</t>
  </si>
  <si>
    <t>Tests the spell-rune grid and returns the selected row and column while recording the preview action.</t>
  </si>
  <si>
    <t>HitTest_ChampionRosterRow</t>
  </si>
  <si>
    <t>Resolves the champion roster row under the pointer and rejects gaps or positions outside the roster.</t>
  </si>
  <si>
    <t>Print_SpellPointsText</t>
  </si>
  <si>
    <t>Formats and prints the selected champion's current and maximum spell points.</t>
  </si>
  <si>
    <t>Draw_SpellBookPageSpread</t>
  </si>
  <si>
    <t>Draws both rune pages in the currently selected spellbook spread.</t>
  </si>
  <si>
    <t>Draw_SelectedChampionClickedShield</t>
  </si>
  <si>
    <t>Draws the opaque clicked-shield template for the newly selected champion.</t>
  </si>
  <si>
    <t>Clear_LowerTextBackground</t>
  </si>
  <si>
    <t>Clears the two lower-text background words across all four bitplanes and resets text state.</t>
  </si>
  <si>
    <t>Print_TextCharacterLoop</t>
  </si>
  <si>
    <t>Consumes text bytes, dispatches extension commands, and draws ordinary glyphs until termination or width exhaustion.</t>
  </si>
  <si>
    <t>Position_NameFieldTextCursor</t>
  </si>
  <si>
    <t>Positions the shared name-like text cursor and applies the panel width and player-coloured background.</t>
  </si>
  <si>
    <t>Select_WordsTextTable</t>
  </si>
  <si>
    <t>Selects the WordsText string table and enters the shared indexed-string lookup.</t>
  </si>
  <si>
    <t>Write_FloppyTrackSequence</t>
  </si>
  <si>
    <t>Encodes, writes, and advances across the requested sequence of raw floppy tracks.</t>
  </si>
  <si>
    <t>Read_FloppyTrackSequence</t>
  </si>
  <si>
    <t>Reads, decodes, and advances across the requested sequence of raw floppy tracks.</t>
  </si>
  <si>
    <t>Select_FloppySideSignalHigh</t>
  </si>
  <si>
    <t>Selects drive zero with the floppy side-control signal high and waits for the hardware to settle.</t>
  </si>
  <si>
    <t>Seek_FloppyToTrack</t>
  </si>
  <si>
    <t>Recalibrates to track zero and then steps the requested number of tracks.</t>
  </si>
  <si>
    <t>Update_CopperBitplanePointersForOppositeScreenBuffer</t>
  </si>
  <si>
    <t>Rewrites the four Copper bitplane pointers to the screen buffer opposite the current drawing buffer.</t>
  </si>
  <si>
    <t>Load_GamePaletteIntoColourRegisters</t>
  </si>
  <si>
    <t>Copies all 32 game palette words into the Amiga custom colour registers.</t>
  </si>
  <si>
    <t>Refresh_ActivePlayerDungeonViewport</t>
  </si>
  <si>
    <t>Skips unavailable player states, resolves the viewer record and perception, and redraws the active player's dungeon viewport.</t>
  </si>
  <si>
    <t>Run_SelectedCommsAction</t>
  </si>
  <si>
    <t>Shared communications response trampoline that enters Comms_RunAction with the action selected in D1.</t>
  </si>
  <si>
    <t>Draw_BlankCommandIconsAndMenu</t>
  </si>
  <si>
    <t>Draws the two blank command-panel icons and returns to the root party-command menu.</t>
  </si>
  <si>
    <t>Decrease_CommsAttitudeAndPrintMessage</t>
  </si>
  <si>
    <t>Decrements the NPC attitude with a zero clamp, stages the selected response text, and prints the NPC message.</t>
  </si>
  <si>
    <t>Finish_LoadSaveAndRedrawInterface</t>
  </si>
  <si>
    <t>Restores the saved periodic counter, clears the keyboard code, and redraws the initial game interface after load, save, or cancel.</t>
  </si>
  <si>
    <t>Validate_CommsTargetThenDispatchPlayerAction</t>
  </si>
  <si>
    <t>Cancels an invalid communications target when necessary, then dispatches the active player's pending interface action.</t>
  </si>
  <si>
    <t>Wait_ForFloppyDriveReady</t>
  </si>
  <si>
    <t>Polls the CIAA ready-sense bit until the selected floppy drive reports ready.</t>
  </si>
  <si>
    <t>Restore_PlayerDialogueTextColour</t>
  </si>
  <si>
    <t>Restores the active player's cached dialogue colour to hardware palette register 15.</t>
  </si>
  <si>
    <t>Commit_MonsterMovementAndRotation</t>
  </si>
  <si>
    <t>Prepare_RangedAttackFromPockets</t>
  </si>
  <si>
    <t>Calculates the attacker's level contribution, scans the relevant pockets for bow and arrow candidates, and prepares ranged-attack state.</t>
  </si>
  <si>
    <t>Init_CustomChipRegisters</t>
  </si>
  <si>
    <t>Programs the game palette and display-window, bitplane, Copper-list, and hardware-sprite state during display initialisation.</t>
  </si>
  <si>
    <t>Copper_SpriteOffsetTable</t>
  </si>
  <si>
    <t>Per-sprite offsets used while initialising Copper sprite-pointer words.</t>
  </si>
  <si>
    <t>Sprite_PositionPointerTable</t>
  </si>
  <si>
    <t>Pointers to the hardware sprite-position records installed into the Copper list.</t>
  </si>
  <si>
    <t>Level2Int_LastKeyScratch</t>
  </si>
  <si>
    <t>Scratch byte holding the raw key code captured by the level-two keyboard interrupt.</t>
  </si>
  <si>
    <t>Init_BitReverseTableAndSpellPracticeData</t>
  </si>
  <si>
    <t>Builds the 256-byte bit-reversal lookup and clears the 512-byte spell-practice table for a new game.</t>
  </si>
  <si>
    <t>NoChampions_DelayAndFallbackToLoadGame</t>
  </si>
  <si>
    <t>Handles an invalid no-champion setup by delaying, resetting shield-highlight timers, redrawing the interface, and opening Load Game.</t>
  </si>
  <si>
    <t>Flush_DirtyUIRegions_BothPlayers</t>
  </si>
  <si>
    <t>Flushes dirty interface regions for Player 1 and then Player 2 once per main-loop pass.</t>
  </si>
  <si>
    <t>Flush_DirtyUIRegions</t>
  </si>
  <si>
    <t>Copies only the player interface regions selected by the dirty-region byte from the draw buffer to the visible buffer.</t>
  </si>
  <si>
    <t>Copy_8RowScreenBand</t>
  </si>
  <si>
    <t>Copies a fixed eight-row, four-plane screen band from the draw buffer to the visible buffer.</t>
  </si>
  <si>
    <t>Copy_VariableHeightScreenBand</t>
  </si>
  <si>
    <t>Copies a dirty-region-selected variable-height screen band from the draw buffer to the visible buffer.</t>
  </si>
  <si>
    <t>Update_ChampionStatRegeneration</t>
  </si>
  <si>
    <t>Resolves a champion and owner, skips an ineligible dead record, and enters spell-point, hit-point, food, and vitality regeneration.</t>
  </si>
  <si>
    <t>Update_ChampionSpellPoints</t>
  </si>
  <si>
    <t>Increments current spell points toward the maximum, then continues into hit-point recovery.</t>
  </si>
  <si>
    <t>Update_ChampionHitPointRecovery</t>
  </si>
  <si>
    <t>Recovers hit points from champion level, doubles the rate when object $5B is in either leading pocket, and clamps to maximum.</t>
  </si>
  <si>
    <t>Apply_StarvationDamage</t>
  </si>
  <si>
    <t>Applies a random level-influenced hit-point loss when food exhaustion has already reduced vitality to zero.</t>
  </si>
  <si>
    <t>Update_ChampionFoodAndVitality</t>
  </si>
  <si>
    <t>Recovers vitality according to food level or decrements vitality while starving.</t>
  </si>
  <si>
    <t>Stat_UpdateLoop</t>
  </si>
  <si>
    <t>Runs the slow global cycle for champion regeneration, party food drain, and worn-spell decay.</t>
  </si>
  <si>
    <t>Drain_PartyFoodLevel</t>
  </si>
  <si>
    <t>Drains one food point from each eligible party member before entering the worn-spell decay pass.</t>
  </si>
  <si>
    <t>FloorTrigger_Handler</t>
  </si>
  <si>
    <t>Detects the forward regeneration floor feature and runs one or two stat-regeneration passes for each party slot.</t>
  </si>
  <si>
    <t>FloorTriggerDetectedFlag</t>
  </si>
  <si>
    <t>Set when the forward map cell is the regeneration floor feature and consumed by the same stat-update pulse.</t>
  </si>
  <si>
    <t>ActorScanRecordIndex</t>
  </si>
  <si>
    <t>Current live monster-record index during the actor scan; $FFFF marks no active record.</t>
  </si>
  <si>
    <t>PartyFormationActivationFlag</t>
  </si>
  <si>
    <t>Distinguishes activation through a party formation slot from activation during the ordinary monster scan.</t>
  </si>
  <si>
    <t>Gate_AirborneEntityFormRange</t>
  </si>
  <si>
    <t>Routes airborne entity forms $88-$8A to the special impact path and forms $8B or above to the alternate dispatch.</t>
  </si>
  <si>
    <t>AirborneSpellSplashFlag</t>
  </si>
  <si>
    <t>When nonzero, an airborne spell impact is spread across the target monster group instead of one occupant.</t>
  </si>
  <si>
    <t>Swap_FormationSlotEntries</t>
  </si>
  <si>
    <t>Swaps formation-slot scratch entries when party leader or survivor ordering changes.</t>
  </si>
  <si>
    <t>Loop_TeamAvatarSlots</t>
  </si>
  <si>
    <t>Scans all four formation slots and draws pending wound-flash numbers for flagged slots.</t>
  </si>
  <si>
    <t>FormationSlot_ScratchBytes</t>
  </si>
  <si>
    <t>Four reusable per-formation-slot scratch bytes shared by resistance, damage staging, leader swapping, and wound-flash paths.</t>
  </si>
  <si>
    <t>Draw_CombatWoundFlashNumber</t>
  </si>
  <si>
    <t>Draws the wound-flash backing sprite and one-to-three-digit hit count, then arms the slot highlight timer.</t>
  </si>
  <si>
    <t>WoundFlashPopup_XOffsetTable</t>
  </si>
  <si>
    <t>Alternate base into the interleaved wound-flash origin table; indexed by slot times four to read each X coordinate.</t>
  </si>
  <si>
    <t>WoundFlashPopup_YOffsetTable</t>
  </si>
  <si>
    <t>Alternate base into the interleaved wound-flash origin table; indexed by slot times four to read each Y coordinate.</t>
  </si>
  <si>
    <t>PostDoorToggle_Enter</t>
  </si>
  <si>
    <t>Checks the current and forward map cells for a facing-matched door during the multifunction action path.</t>
  </si>
  <si>
    <t>Comms_SmalltalkPatternIndexTable</t>
  </si>
  <si>
    <t>Maps the selected smalltalk probability band to the sentence-pattern index used by communications.</t>
  </si>
  <si>
    <t>SaveData_StartTrackNumber</t>
  </si>
  <si>
    <t>Starting floppy track for champion save data: $3C in one-player mode and $46 in two-player mode.</t>
  </si>
  <si>
    <t>adrEA00463E</t>
  </si>
  <si>
    <t>SpellShop_CandidateSpellBitTable</t>
  </si>
  <si>
    <t>Eight candidate spell-bit identifiers per class, scanned by the Fairy spell-shop to offer the first spell the champion does not know.</t>
  </si>
  <si>
    <t>SpellPurchasePromptTemplate</t>
  </si>
  <si>
    <t>Mutable spell-purchase prompt containing LEVEL, GOLD, and confirmation fields patched before display.</t>
  </si>
  <si>
    <t>SpellShop_ChampionIndexScratch</t>
  </si>
  <si>
    <t>Stores the selected spell-shop champion identifier and is read back by the level-growth continuation at $4AE8.</t>
  </si>
  <si>
    <t>LevelUpXPThresholdTable</t>
  </si>
  <si>
    <t>Byte-indexed experience thresholds reloaded on level-up and halved for Fairy spell-offer eligibility.</t>
  </si>
  <si>
    <t>ChampionLevelUp_StatGrowthDieTable</t>
  </si>
  <si>
    <t>Per-class, per-stat die selectors used when growing champion statistics on level-up.</t>
  </si>
  <si>
    <t>MainInterfacePanelModeJumpTable</t>
  </si>
  <si>
    <t>Five-entry dispatch table indexed by the active main-interface panel mode.</t>
  </si>
  <si>
    <t>RandomSeed</t>
  </si>
  <si>
    <t>Persistent byte seed updated by the game random-number generator.</t>
  </si>
  <si>
    <t>PartyNavigationField_CellPassabilityTable</t>
  </si>
  <si>
    <t>Maps the three-bit map-cell type to passable or blocked during party navigation-field expansion.</t>
  </si>
  <si>
    <t>ObjectSubpositionRotationTable</t>
  </si>
  <si>
    <t>Maps an absolute floor-object corner to its player-relative corner after facing rotation.</t>
  </si>
  <si>
    <t>ProfessionGlyphClassInkTable</t>
  </si>
  <si>
    <t>Maps champion profession class to the ink used for combat-outcome profession glyphs.</t>
  </si>
  <si>
    <t>ProfessionGlyphScreenOffsetTable</t>
  </si>
  <si>
    <t>Per-formation-slot framebuffer offsets for combat-outcome profession glyphs.</t>
  </si>
  <si>
    <t>CombatOutcomeSlotPositionTableX</t>
  </si>
  <si>
    <t>Per-formation-slot X positions for combat-outcome background redraws.</t>
  </si>
  <si>
    <t>CombatOutcomeSlotPositionTableY</t>
  </si>
  <si>
    <t>Per-formation-slot Y positions paired with the combat-outcome X table.</t>
  </si>
  <si>
    <t>CombatOutcomeText_ScreenOffsetTable</t>
  </si>
  <si>
    <t>Per-formation-slot framebuffer destinations for combat-outcome text.</t>
  </si>
  <si>
    <t>Double_SpellQualityThresholdAndAdvanceTier</t>
  </si>
  <si>
    <t>Doubles the current spell-practice threshold, advances its tier counter, and loops to the next quality comparison.</t>
  </si>
  <si>
    <t>Clear_PartyWornSpellsOnFloorTransition</t>
  </si>
  <si>
    <t>Clears worn spells from every present party member after stair or team-pad travel, then redraws the party commands.</t>
  </si>
  <si>
    <t>Trigger_WaitFlag</t>
  </si>
  <si>
    <t>Pending trigger delay word; $FFFF means no delayed action, while small positive values defer sound/effect completion.</t>
  </si>
  <si>
    <t>Trigger_Action38_ToggleCellTypeLowBits</t>
  </si>
  <si>
    <t>Trigger action $38 XORs bits 0-1 of the target map cell type while preserving the other cell bits.</t>
  </si>
  <si>
    <t>Trigger_Action36_RotateWoodEdges</t>
  </si>
  <si>
    <t>Trigger action $36 rotates the four two-bit wooden-edge fields in the target cell byte by one side.</t>
  </si>
  <si>
    <t>PartyCommandMenu_ModeJumpTable</t>
  </si>
  <si>
    <t>Mode-indexed pointer table selecting the party-command descriptor stream.</t>
  </si>
  <si>
    <t>ActivePartyChampionShieldDrawParameters_YField</t>
  </si>
  <si>
    <t>Interior alias for the Y field of each six-byte active-party shield draw-parameter record.</t>
  </si>
  <si>
    <t>ActivePartyChampionShieldDrawParameters_DistField</t>
  </si>
  <si>
    <t>Interior alias for the distance field of each six-byte active-party shield draw-parameter record.</t>
  </si>
  <si>
    <t>PocketIconCodeTable</t>
  </si>
  <si>
    <t>Maps a pocket-slot index to the icon code drawn for that slot.</t>
  </si>
  <si>
    <t>ProfessionIconGrid_ScreenOffsetTable</t>
  </si>
  <si>
    <t>Raw framebuffer byte offsets for the four profession-icon grid positions.</t>
  </si>
  <si>
    <t>PartyIcon_DeadMemberColourMask</t>
  </si>
  <si>
    <t>Four-colour replacement mask used for dead or neutral party profession icons.</t>
  </si>
  <si>
    <t>SavedScreenPointer</t>
  </si>
  <si>
    <t>Temporarily preserves screen_ptr while the screen buffer is reused for raw floppy-track transfers.</t>
  </si>
  <si>
    <t>FloppySideSelectFlag</t>
  </si>
  <si>
    <t>Selects which CIAB side-control pulse pattern the low-level floppy step and seek routines emit.</t>
  </si>
  <si>
    <t>MouseControl_PreviousJoyState</t>
  </si>
  <si>
    <t>Previous JOY0DAT sample retained so mouse counter movement can be decoded on the next poll.</t>
  </si>
  <si>
    <t>JoystickControl_PreviousButtonStateBase</t>
  </si>
  <si>
    <t>Base used by JoystickControl to index the per-player previous fire-button bytes.</t>
  </si>
  <si>
    <t>PreviousFireButtonState</t>
  </si>
  <si>
    <t>Per-player fire-button edge-latch bytes used by joystick and mouse control.</t>
  </si>
  <si>
    <t>FrameSyncFlag</t>
  </si>
  <si>
    <t>Frame-ready byte polled and cleared by render/raster paths; word writes at this address also modify the adjacent input-enable flag.</t>
  </si>
  <si>
    <t>InputProcessingEnabledFlag</t>
  </si>
  <si>
    <t>Enables per-frame input dispatch after champion selection reaches live play.</t>
  </si>
  <si>
    <t>SpritePosition_03</t>
  </si>
  <si>
    <t>Two-word hardware sprite-position record referenced as sprite channel 3 during Copper initialisation.</t>
  </si>
  <si>
    <t>DungeonViewportColumnInkTable</t>
  </si>
  <si>
    <t>Maps a dungeon-view column key to the player-state ink used before viewport drawing.</t>
  </si>
  <si>
    <t>CrabFarSideClaw_YOffsetTable</t>
  </si>
  <si>
    <t>Signed Y adjustments for the Crab far-side claw strip at the two far distance groups.</t>
  </si>
  <si>
    <t>CrabFarSideClaw_XOffsetTableA</t>
  </si>
  <si>
    <t>First alternate base for signed X adjustments used by the normal Crab far-side claw pass.</t>
  </si>
  <si>
    <t>CrabFarSideClaw_XOffsetTableB</t>
  </si>
  <si>
    <t>Second alternate base for signed X adjustments used by the mirrored Crab far-side claw pass.</t>
  </si>
  <si>
    <t>CrabFarSideClaw_StripHeightMinusOneTable</t>
  </si>
  <si>
    <t>DBRA height-minus-one values for the Crab far-side claw strip at the two far distance groups.</t>
  </si>
  <si>
    <t>BehemothClawStrip_YOffsetTable</t>
  </si>
  <si>
    <t>Signed Y adjustments used when drawing the reused Behemoth claw strips.</t>
  </si>
  <si>
    <t>BehemothClawStrip_XOffsetTable</t>
  </si>
  <si>
    <t>Signed X adjustments used when drawing the normal or mirrored Behemoth claw strips.</t>
  </si>
  <si>
    <t>CrabCloseFrontClaw_StripHeightMinusOneTable</t>
  </si>
  <si>
    <t>DBRA height-minus-one values for the closest front-facing Crab claw strip.</t>
  </si>
  <si>
    <t>CrabDetailDispatchFar_StripHeightMinusOneTable</t>
  </si>
  <si>
    <t>DBRA height-minus-one values used by the far-distance Crab detail strip.</t>
  </si>
  <si>
    <t>CrabDetailDispatchFront_StripHeightMinusOneTable</t>
  </si>
  <si>
    <t>DBRA height-minus-one values used by the front Crab detail strip.</t>
  </si>
  <si>
    <t>BeholderEye_XOffsetTable</t>
  </si>
  <si>
    <t>Signed X adjustments for either of the two optional Beholder eye components; also reused by the Crab rear-detail path.</t>
  </si>
  <si>
    <t>BeholderEye_YOffsetTable</t>
  </si>
  <si>
    <t>Signed Y adjustments for the optional Beholder eye-component strips; also reused by the Crab rear-detail path.</t>
  </si>
  <si>
    <t>CrabHiddenClaws_StripHeightMinusOneTable</t>
  </si>
  <si>
    <t>DBRA height-minus-one values for the Crab hidden-claw strips drawn through the shared Beholder component helper.</t>
  </si>
  <si>
    <t>CrabBody_XOffsetTableA</t>
  </si>
  <si>
    <t>Alternate base of the first-pass Crab body X-adjustment table.</t>
  </si>
  <si>
    <t>CrabBody_XOffsetTableB</t>
  </si>
  <si>
    <t>Alternate base of the mirrored second-pass Crab body X-adjustment table.</t>
  </si>
  <si>
    <t>CrabBody_DistanceRenderParameters</t>
  </si>
  <si>
    <t>Parallel per-distance Crab body Y-adjustment, width-minus-one, and height-minus-one values.</t>
  </si>
  <si>
    <t>GFX_Crab_BodySourceOffsets</t>
  </si>
  <si>
    <t>Source offsets within GFX_Crab used for the Crab body strips.</t>
  </si>
  <si>
    <t>GFX_Crab_FrontClawSourceOffsets</t>
  </si>
  <si>
    <t>Source offsets within GFX_Crab used for the front claw strips.</t>
  </si>
  <si>
    <t>GFX_Crab_HiddenClawSourceOffsets</t>
  </si>
  <si>
    <t>Source offsets within GFX_Crab used for the hidden claw strips.</t>
  </si>
  <si>
    <t>GFX_Crab_FarSideClaw_MirroredSourceOffsets</t>
  </si>
  <si>
    <t>Source offsets within GFX_Crab used for the mirrored far-side claw strips.</t>
  </si>
  <si>
    <t>GFX_Crab_DetailDispatchFar_SourceOffsets</t>
  </si>
  <si>
    <t>Source offsets within GFX_Crab used by the far-distance detail dispatcher.</t>
  </si>
  <si>
    <t>GFX_LittleDragon_SourceOffsets</t>
  </si>
  <si>
    <t>Source offsets within GFX_Dragon used by the Little Dragon renderer.</t>
  </si>
  <si>
    <t>DragonDetail_WidthMinusOneTable</t>
  </si>
  <si>
    <t>Width-minus-one values packed into the high word of D7 for Dragon detail bitmap draws.</t>
  </si>
  <si>
    <t>DragonDetail_HeightMinusOneTable</t>
  </si>
  <si>
    <t>Height-minus-one values packed into the low word of D7 for Dragon detail bitmap draws.</t>
  </si>
  <si>
    <t>DragonDetailYOffsetTable</t>
  </si>
  <si>
    <t>Signed Y adjustments for table-driven Dragon detail bitmap draws.</t>
  </si>
  <si>
    <t>DragonDetailXOffsetTable</t>
  </si>
  <si>
    <t>Signed X adjustments for normal and mirrored Dragon detail bitmap draws.</t>
  </si>
  <si>
    <t>DragonSideDetail_WidthMinusOneTable</t>
  </si>
  <si>
    <t>Width-minus-one values packed into the high word of D7 for Dragon side-detail bitmap draws.</t>
  </si>
  <si>
    <t>DragonSideDetailVariantOffsetTable</t>
  </si>
  <si>
    <t>Selects a Dragon side-detail variant and uses bit 7 to request the mirrored alternative.</t>
  </si>
  <si>
    <t>DragonSideDetail_HeightMinusOneTable</t>
  </si>
  <si>
    <t>Height-minus-one values packed into the low word of D7 for Dragon side-detail bitmap draws.</t>
  </si>
  <si>
    <t>GFX_Dragon_SideDetailSourceOffsets</t>
  </si>
  <si>
    <t>Source offsets within GFX_Dragon used by the first side-detail renderer.</t>
  </si>
  <si>
    <t>GFX_Dragon_DetailSourceOffsets</t>
  </si>
  <si>
    <t>Source offsets within GFX_Dragon used by the conditional detail renderer.</t>
  </si>
  <si>
    <t>CharacterPart_DefaultColourMaskTable</t>
  </si>
  <si>
    <t>Base of four-byte planar recolour masks; the wound-flash digit path uses its leading identity mask.</t>
  </si>
  <si>
    <t>DistantCharacter_FrontColourMaskTable</t>
  </si>
  <si>
    <t>Four-byte colour masks selected for distant front-facing character components before armour and race substitutions.</t>
  </si>
  <si>
    <t>DistantCharacter_SideColourMaskTable</t>
  </si>
  <si>
    <t>Four-byte colour masks selected for distant side-facing character components before armour and race substitutions.</t>
  </si>
  <si>
    <t>ChampionSelectionModeJumpTable</t>
  </si>
  <si>
    <t>Three-entry dispatch table for inventory, spellbook, and statistics champion-selection panels.</t>
  </si>
  <si>
    <t>ChampionSelectionHeaderEnabledFlag</t>
  </si>
  <si>
    <t>Nonzero makes Click_SelectChampion print the SELECT CHAMPION heading; multiplayer setup and a committed live selection clear it.</t>
  </si>
  <si>
    <t>SpellClassInkTable</t>
  </si>
  <si>
    <t>Four profession-class ink values used when drawing spellbook rune glyphs.</t>
  </si>
  <si>
    <t>NumericMessageScratchBuffer</t>
  </si>
  <si>
    <t>Small shared text buffer used for patched decimal output and short generated messages.</t>
  </si>
  <si>
    <t>IllegalTrap_RegisterSaveArea</t>
  </si>
  <si>
    <t>Register-save and working area used by the illegal-instruction copy-protection handler.</t>
  </si>
  <si>
    <t>TraceCipher_ActiveInstructionState</t>
  </si>
  <si>
    <t>Address and original-longword state for the trace-vector instruction decrypt/re-encrypt mechanism.</t>
  </si>
  <si>
    <t>CurrentTextInk</t>
  </si>
  <si>
    <t>Current text foreground ink word consumed by the text and glyph blitters.</t>
  </si>
  <si>
    <t>CurrentTextInk_LowByte</t>
  </si>
  <si>
    <t>Low-byte alias of the current text foreground ink word.</t>
  </si>
  <si>
    <t>CurrentTextBackgroundInk</t>
  </si>
  <si>
    <t>Current text background ink word set by the text-extension command stream.</t>
  </si>
  <si>
    <t>CurrentTextBackgroundInk_LowByte</t>
  </si>
  <si>
    <t>Low-byte alias of the current text background ink word.</t>
  </si>
  <si>
    <t>FoodStatusMessageTemplate</t>
  </si>
  <si>
    <t>Mutable colour-and-text stream used by the food-status display.</t>
  </si>
  <si>
    <t>SpellPointsMessageTemplate</t>
  </si>
  <si>
    <t>Mutable SP.PTS colour-and-text stream containing current and maximum spell-point fields.</t>
  </si>
  <si>
    <t>InventoryPanelHeaderTemplate</t>
  </si>
  <si>
    <t>Colour-and-text stream for the INVENTORY panel heading.</t>
  </si>
  <si>
    <t>ArmourHeaderMessageTemplate</t>
  </si>
  <si>
    <t>Colour-and-text stream for the ARMOUR heading and value field.</t>
  </si>
  <si>
    <t>CostMessageTemplate</t>
  </si>
  <si>
    <t>Mutable COST colour-and-text stream containing the patched two-digit value.</t>
  </si>
  <si>
    <t>CastQualityMessageTemplate</t>
  </si>
  <si>
    <t>Mutable CAST percentage colour-and-text stream containing the patched quality field.</t>
  </si>
  <si>
    <t>ChampionSelectionLiveActionFlag</t>
  </si>
  <si>
    <t>Distinguishes the champion-selection confirmation pass from the live action that exits into play.</t>
  </si>
  <si>
    <t>WorldTick_300UnitCountdown</t>
  </si>
  <si>
    <t>Reloaded to 300 to gate linked-magic decay, floor-trigger work, navigation rebuilds, and party maintenance.</t>
  </si>
  <si>
    <t>ActionSubcycleCountdown</t>
  </si>
  <si>
    <t>Seven-unit divider controlling party timers and the full unpacked-actor traversal.</t>
  </si>
  <si>
    <t>WornSpellDecayGraceCountdown</t>
  </si>
  <si>
    <t>Grace countdown that temporarily suppresses party food drain and worn-spell decay.</t>
  </si>
  <si>
    <t>CastingFatigueSubcycleCountdown</t>
  </si>
  <si>
    <t>Subcycle countdown controlling how often casting-fatigue recovery runs.</t>
  </si>
  <si>
    <t>StatUpdateLoop_AlternateTickGate</t>
  </si>
  <si>
    <t>Bit gate toggled by actor scans so the slow stat-update loop runs on alternate passes.</t>
  </si>
  <si>
    <t>Resolve_DiagonalPillarSourceCell_ScratchTable</t>
  </si>
  <si>
    <t>Indexed scratch words used by Resolve_DiagonalPillarSourceCell.</t>
  </si>
  <si>
    <t>Compute_StairAlignedDestination_ScratchTable</t>
  </si>
  <si>
    <t>Indexed scratch words used by Compute_StairAlignedDestination.</t>
  </si>
  <si>
    <t>CurrentFloorWidth</t>
  </si>
  <si>
    <t>Word-sized cached width of the currently selected floor.</t>
  </si>
  <si>
    <t>CurrentFloorWidth_LowByte</t>
  </si>
  <si>
    <t>Low-byte alias written when caching the selected floor width.</t>
  </si>
  <si>
    <t>CurrentFloorHeight</t>
  </si>
  <si>
    <t>Word-sized cached height of the currently selected floor.</t>
  </si>
  <si>
    <t>CurrentFloorHeight_LowByte</t>
  </si>
  <si>
    <t>Low-byte alias written when caching the selected floor height.</t>
  </si>
  <si>
    <t>Player1_PauseInputFlag</t>
  </si>
  <si>
    <t>Player 1 pause wake flag; bit 7 resumes the paused input loop.</t>
  </si>
  <si>
    <t>Player1_MousePosition</t>
  </si>
  <si>
    <t>Player 1 packed mouse position, with X in the high word and Y in the low word.</t>
  </si>
  <si>
    <t>Player1_CurrentChampionNumber</t>
  </si>
  <si>
    <t>Word-valued Player 1 active champion number; its low byte is reused as selection-stage count state.</t>
  </si>
  <si>
    <t>Player1_ChampionCount_PendingCommit</t>
  </si>
  <si>
    <t>Low byte staged during champion selection and copied to Player1_ChampionCount when setup completes.</t>
  </si>
  <si>
    <t>Player1_InterfacePanelYOffset</t>
  </si>
  <si>
    <t>Player 1 vertical panel offset added to interface drawing and hit-test coordinates.</t>
  </si>
  <si>
    <t>AttackTypeNoSpells_FixedOriginPosition</t>
  </si>
  <si>
    <t>Packed fixed-origin coordinate substituted by AttackType_NoSpells for the configured monster form.</t>
  </si>
  <si>
    <t>RasterInterruptCountdownA</t>
  </si>
  <si>
    <t>First raster-interrupt countdown, decremented and clamped at zero each Player 1 frame service.</t>
  </si>
  <si>
    <t>Player1_ControlledActorScanIndex</t>
  </si>
  <si>
    <t>Player 1 controlled-actor scan index; matching actor records skip their ordinary attack processing.</t>
  </si>
  <si>
    <t>Player1_MouseYClampBounds</t>
  </si>
  <si>
    <t>Player 1 packed maximum/minimum mouse-Y clamp bounds.</t>
  </si>
  <si>
    <t>Player1_DialogueFadeTimer</t>
  </si>
  <si>
    <t>Player 1 dialogue colour-ramp step countdown.</t>
  </si>
  <si>
    <t>Player1_DialogueRampColour</t>
  </si>
  <si>
    <t>Player 1 cached dialogue-ramp colour written to hardware palette register 15.</t>
  </si>
  <si>
    <t>Player1_DialogueFadeControl</t>
  </si>
  <si>
    <t>Player 1 dialogue-fade control byte; bit 7 disables the fade path.</t>
  </si>
  <si>
    <t>AttackTypeNoSpells_FixedOriginFormCode</t>
  </si>
  <si>
    <t>Monster form code that enables AttackType_NoSpells fixed-origin distance checks.</t>
  </si>
  <si>
    <t>Player1_ShieldHighlightCountdowns</t>
  </si>
  <si>
    <t>Base of Player 1 per-formation-slot shield-highlight countdown bytes.</t>
  </si>
  <si>
    <t>Player2_PauseInputFlag</t>
  </si>
  <si>
    <t>Player 2 pause wake flag; bit 7 resumes the paused input loop.</t>
  </si>
  <si>
    <t>Player2_MousePosition</t>
  </si>
  <si>
    <t>Player 2 packed mouse position, with X in the high word and Y in the low word.</t>
  </si>
  <si>
    <t>Player2_CurrentChampionNumber</t>
  </si>
  <si>
    <t>Word-valued Player 2 active champion number.</t>
  </si>
  <si>
    <t>Player2_SelectionUIMode</t>
  </si>
  <si>
    <t>Player 2 champion-selection panel mode word; -1 marks inactive or ready-to-exit.</t>
  </si>
  <si>
    <t>AttackTypeArcBoltMachine_FixedOriginPosition</t>
  </si>
  <si>
    <t>Packed fixed-origin coordinate substituted by AttackType_ArcBoltMachine for the configured monster form.</t>
  </si>
  <si>
    <t>RasterInterruptCountdownB</t>
  </si>
  <si>
    <t>Second raster-interrupt countdown, decremented and clamped at zero beside the first.</t>
  </si>
  <si>
    <t>Player2_ChampionRosterShadowCopy</t>
  </si>
  <si>
    <t>Shadow copy of the packed Player 2 champion roster written during normal and quick-start setup.</t>
  </si>
  <si>
    <t>Player2_ControlledActorScanIndex</t>
  </si>
  <si>
    <t>Player 2 controlled-actor scan index; matching actor records skip their ordinary attack processing.</t>
  </si>
  <si>
    <t>Player2_MouseYClampBounds</t>
  </si>
  <si>
    <t>Player 2 packed maximum/minimum mouse-Y clamp bounds.</t>
  </si>
  <si>
    <t>AttackTypeArcBoltMachine_FixedOriginFormCode</t>
  </si>
  <si>
    <t>Monster form code that enables AttackType_ArcBoltMachine fixed-origin distance checks.</t>
  </si>
  <si>
    <t>Player2_ShieldHighlightCountdowns</t>
  </si>
  <si>
    <t>Base of Player 2 per-formation-slot shield-highlight countdown bytes.</t>
  </si>
  <si>
    <t>PartyNavigationField_FrontierBufferA</t>
  </si>
  <si>
    <t>First breadth-first navigation frontier buffer, ping-ponged with the second buffer each expansion layer.</t>
  </si>
  <si>
    <t>PartyNavigationField_FrontierBufferB</t>
  </si>
  <si>
    <t>Second breadth-first navigation frontier buffer, ping-ponged with the first buffer each expansion layer.</t>
  </si>
  <si>
    <t>ProjectileImpact_MonsterRecordScratch</t>
  </si>
  <si>
    <t>Sixteen-byte projectile monster-record copy retained while the live record is removed and impact damage is resolved.</t>
  </si>
  <si>
    <t>LinkedMagicRecordListLength</t>
  </si>
  <si>
    <t>Active byte length of the four-byte linked-magic record list.</t>
  </si>
  <si>
    <t>LinkedMagicRecordList</t>
  </si>
  <si>
    <t>Four-byte linked-magic records containing map offset and lifetime or kind state.</t>
  </si>
  <si>
    <t>MapCellImpactList</t>
  </si>
  <si>
    <t>Spell and attack impact records allocated per map cell, aged by the engine, and rendered in phases 2, 1, and 0.</t>
  </si>
  <si>
    <t>Begin_MonsterAttackBehaviour</t>
  </si>
  <si>
    <t>Loads the live monster form and enters special-form or ordinary attack processing.</t>
  </si>
  <si>
    <t>Normalise_MonsterFacingState</t>
  </si>
  <si>
    <t>Copies the current facing into both nibbles of the live monster rotation/state byte when its form requires normalisation.</t>
  </si>
  <si>
    <t>Dispatch_MonsterActionState</t>
  </si>
  <si>
    <t>Checks the movement table, protected player actors, action state and level before choosing the monster attack behaviour.</t>
  </si>
  <si>
    <t>Select_MonsterAttackType</t>
  </si>
  <si>
    <t>Dispatches live monster type byte $0A through the five-entry attack-type table.</t>
  </si>
  <si>
    <t>Five signed displacements for No Spells, Spells, Drone, Drone Spells and Arc Bolt Machine behaviours.</t>
  </si>
  <si>
    <t>Gives a spellcasting drone a one-in-sixteen chance to enter spell selection; otherwise it uses Drone movement.</t>
  </si>
  <si>
    <t>monsters.spellbook.lookup</t>
  </si>
  <si>
    <t>data/monsters.spellbook.lookup</t>
  </si>
  <si>
    <t>Sixteen raw monster-spell selectors or complete airborne entity codes used by the spellcasting attack types.</t>
  </si>
  <si>
    <t>Allows a normal spellcasting monster to select a spell on two outcomes of the shared random test; all other outcomes use no-spells behaviour.</t>
  </si>
  <si>
    <t>Select_MonsterAttackSpell</t>
  </si>
  <si>
    <t>Selects one of sixteen monster spellbook entries, biasing lower-level monsters toward earlier entries.</t>
  </si>
  <si>
    <t>Create_MonsterAttackSpell</t>
  </si>
  <si>
    <t>Normalises the selected airborne code and calculates the projectile power from the supplied seed.</t>
  </si>
  <si>
    <t>Initialise_MonsterAttackSpellEntity</t>
  </si>
  <si>
    <t>Packs the live monster's facing, floor and X/Y position and calls the common live-entity constructor.</t>
  </si>
  <si>
    <t>Fixed type-4 attack entry: selects monster spellbook index $0B with base power $0C, producing Arc Bolt code $82 at final power $12.</t>
  </si>
  <si>
    <t>Begins pursuit logic by measuring the monster against the first fixed player origin when the floor matches.</t>
  </si>
  <si>
    <t>Check_SecondFixedMonsterOrigin</t>
  </si>
  <si>
    <t>Preserves the first fixed-origin distance and measures the second; this is shared logic, not the Arc Bolt machine entry.</t>
  </si>
  <si>
    <t>Choose_MonsterNavigationMap</t>
  </si>
  <si>
    <t>Adjusts a valid second-origin distance and prepares selection of the nearer fixed-origin navigation field.</t>
  </si>
  <si>
    <t>Select_MonsterNavigationMapByDistance</t>
  </si>
  <si>
    <t>Selects the navigation field associated with the nearer valid fixed player origin.</t>
  </si>
  <si>
    <t>Use_SelectedMonsterNavigationMap</t>
  </si>
  <si>
    <t>Reads the selected navigation direction and turns or advances the live monster accordingly.</t>
  </si>
  <si>
    <t>Handle_SpecialMonsterFormMovement</t>
  </si>
  <si>
    <t>Handles the special movement preparation used by airborne entity forms $84 and $88.</t>
  </si>
  <si>
    <t>Validate_SpecialMonsterDestination</t>
  </si>
  <si>
    <t>Accepts eligible empty or matching destination-cell states for special-form movement.</t>
  </si>
  <si>
    <t>Convert_SpecialMonsterCellToMagicFeature</t>
  </si>
  <si>
    <t>Marks the destination cell and derives its stored feature power from the live entity.</t>
  </si>
  <si>
    <t>Store_SpecialMonsterFeaturePower</t>
  </si>
  <si>
    <t>Clamps and stores special feature power before removing the source live entity.</t>
  </si>
  <si>
    <t>Attempts forward movement using the live monster facing and enters the blocked-turn path if movement fails.</t>
  </si>
  <si>
    <t>Writes the new packed coordinate, refreshes movement-table state and commits the resulting rotation byte.</t>
  </si>
  <si>
    <t>Resolve_MonsterEnteredCell</t>
  </si>
  <si>
    <t>Checks the entered cell for a linked feature record and dispatches its interaction.</t>
  </si>
  <si>
    <t>Find_MonsterLinkedFeatureLoop</t>
  </si>
  <si>
    <t>Scans linked feature records for the map offset of the monster's entered cell.</t>
  </si>
  <si>
    <t>Return_MonsterMovement</t>
  </si>
  <si>
    <t>Returns after the monster movement or entered-cell processing path.</t>
  </si>
  <si>
    <t>Handle_Form85BlockedMovement</t>
  </si>
  <si>
    <t>Handles form $85 movement when the first destination cannot accept it.</t>
  </si>
  <si>
    <t>Check_Form85AlternateCell</t>
  </si>
  <si>
    <t>Checks the alternate map cell and converts the form to $80 when it cannot move there.</t>
  </si>
  <si>
    <t>Swap_Form85CellOccupancy</t>
  </si>
  <si>
    <t>Moves form $85 occupancy between the two map cells and reverses its facing.</t>
  </si>
  <si>
    <t>Sixteen movement/rotation decisions indexed by current facing and the high nibble of the live movement byte.</t>
  </si>
  <si>
    <t>Builds a movement-table index from the live monster state and returns the corresponding movement value.</t>
  </si>
  <si>
    <t>Resolves the occupant of the monster's forward cell and dispatches attack, joining or blocked-turn handling.</t>
  </si>
  <si>
    <t>Resolve_MonsterTargetType</t>
  </si>
  <si>
    <t>Distinguishes ordinary monsters, grouped monsters and eligible airborne targets in the forward cell.</t>
  </si>
  <si>
    <t>Add_MonsterToTargetTeam</t>
  </si>
  <si>
    <t>Creates or extends a target monster team when the attacker can join it.</t>
  </si>
  <si>
    <t>Find_EmptyTargetTeamSlot</t>
  </si>
  <si>
    <t>Prepares the four-slot target-team record scan.</t>
  </si>
  <si>
    <t>Find_EmptyTargetTeamSlotLoop</t>
  </si>
  <si>
    <t>Scans the target monster team for an unused member slot.</t>
  </si>
  <si>
    <t>Move_MonsterIntoTargetTeam</t>
  </si>
  <si>
    <t>Stores the attacker in the target team, clears its map-cell occupancy and removes its standalone position.</t>
  </si>
  <si>
    <t>Preserves the resolved target identifier before checking whether the attacking entity can process it.</t>
  </si>
  <si>
    <t>Routes ordinary monsters to team/melee handling and airborne entities to held-object or worn-spell handling.</t>
  </si>
  <si>
    <t>Resolve_MonsterHeldObjectTarget</t>
  </si>
  <si>
    <t>Resolves a champion target through its party slot and substitutes an applicable held-object result.</t>
  </si>
  <si>
    <t>Restore_MonsterHeldObjectContext</t>
  </si>
  <si>
    <t>Restores target and player context after the held-object lookup fails.</t>
  </si>
  <si>
    <t>Check_TargetWornSpell</t>
  </si>
  <si>
    <t>Checks whether the target's worn-spell state launches an airborne entity back toward the attacker.</t>
  </si>
  <si>
    <t>Launch_MonsterHeldSpell</t>
  </si>
  <si>
    <t>Builds and launches the reflected or worn airborne spell from the target toward the attacker.</t>
  </si>
  <si>
    <t>Attack_TargetMonsterTeam</t>
  </si>
  <si>
    <t>Applies the attack to one or two live members of the target monster team.</t>
  </si>
  <si>
    <t>Attack_TargetMonsterTeamLoop</t>
  </si>
  <si>
    <t>Iterates the target team member slots selected for the attack.</t>
  </si>
  <si>
    <t>Advance_TargetMonsterTeamSlot</t>
  </si>
  <si>
    <t>Advances to the next selected target-team member.</t>
  </si>
  <si>
    <t>Resolve_PlayerTargetAttack</t>
  </si>
  <si>
    <t>Resolves the forward player target and clears its queued attack state before applying the monster or entity attack.</t>
  </si>
  <si>
    <t>Handle_MonsterMovementBlocked</t>
  </si>
  <si>
    <t>Handles blocked monster movement, party-member separation, doors, occupants and random turns.</t>
  </si>
  <si>
    <t>Find_FreePartyAvatarSlot</t>
  </si>
  <si>
    <t>Prepares the scan for a free separated-party-member slot.</t>
  </si>
  <si>
    <t>Find_FreePartyAvatarSlotLoop</t>
  </si>
  <si>
    <t>Scans the four separated-party-member slots for an unused entry.</t>
  </si>
  <si>
    <t>Store_SeparatedChampion</t>
  </si>
  <si>
    <t>Stores the separated champion index and removes its current live actor record.</t>
  </si>
  <si>
    <t>Handle_BlockedMonsterAtDoor</t>
  </si>
  <si>
    <t>Routes a blocked ordinary monster through door opening, actor collision or airborne collision handling.</t>
  </si>
  <si>
    <t>Check_BlockedDestinationOccupant</t>
  </si>
  <si>
    <t>Checks whether another occupant, rather than a closed door, caused the blocked move.</t>
  </si>
  <si>
    <t>Normalise_MonsterFacing</t>
  </si>
  <si>
    <t>Reduces the proposed facing to two bits before merging it into the live rotation byte.</t>
  </si>
  <si>
    <t>Merges the new facing with preserved rotation/state bits and stores the live monster rotation byte.</t>
  </si>
  <si>
    <t>Return_MonsterBehaviour</t>
  </si>
  <si>
    <t>Returns from the current monster behaviour without another action.</t>
  </si>
  <si>
    <t>Open_DoorForMonster</t>
  </si>
  <si>
    <t>Clears the relevant closed-door edge bit when the blocked monster is allowed to open the door.</t>
  </si>
  <si>
    <t>SpellEntity_CasterIndex</t>
  </si>
  <si>
    <t>Working caster index copied into byte $0C of newly allocated live entities; $FF denotes a monster or non-champion source.</t>
  </si>
  <si>
    <t>Apply_ChampionSelectionAndStartGame</t>
  </si>
  <si>
    <t>Copies the selected champion state into both player records before entering game setup.</t>
  </si>
  <si>
    <t>Start_GameAfterMainMenu</t>
  </si>
  <si>
    <t>Transfers control from the main-menu result to the common game-start path.</t>
  </si>
  <si>
    <t>Initialise_CopperSpritePointersLoop</t>
  </si>
  <si>
    <t>Writes eight sprite pointer pairs into the Copper list.</t>
  </si>
  <si>
    <t>Initialise_InterruptVectorsLoop</t>
  </si>
  <si>
    <t>Initialises the eight autovector entries before installing the game handlers.</t>
  </si>
  <si>
    <t>Build_BitReverseLookupLoop</t>
  </si>
  <si>
    <t>Builds one reversed-bit output byte for each input byte value.</t>
  </si>
  <si>
    <t>Reverse_ByteBitsLoop</t>
  </si>
  <si>
    <t>Shifts eight source bits into their reversed order.</t>
  </si>
  <si>
    <t>Clear_SpellPracticeTableLoop</t>
  </si>
  <si>
    <t>Clears the 512-byte spell-practice table after building the bit-reversal lookup.</t>
  </si>
  <si>
    <t>Wait_ForFrameSyncClear</t>
  </si>
  <si>
    <t>Waits for the interrupt-updated frame synchronisation byte to clear.</t>
  </si>
  <si>
    <t>MainGame_PlayerUpdateLoop</t>
  </si>
  <si>
    <t>Runs the per-frame input and interface update path for each active player.</t>
  </si>
  <si>
    <t>Finish_PlayerUpdatePass</t>
  </si>
  <si>
    <t>Finishes player drawing, requests the next frame and continues periodic game-state processing.</t>
  </si>
  <si>
    <t>Apply_MiddleViewportRefreshStrip</t>
  </si>
  <si>
    <t>Tests the next refresh-mask bit and copies the corresponding middle viewport strip when set.</t>
  </si>
  <si>
    <t>Apply_LowerViewportRefreshStrip</t>
  </si>
  <si>
    <t>Tests the final refresh-mask bit and selects the corresponding lower viewport copy region.</t>
  </si>
  <si>
    <t>Return_CharacterMaintenance</t>
  </si>
  <si>
    <t>Returns after completing the character and player status-maintenance pass.</t>
  </si>
  <si>
    <t>Process_ChampionWornSpellTimer</t>
  </si>
  <si>
    <t>Ages the champion's worn-spell timer and records shield-slot redraws when it expires.</t>
  </si>
  <si>
    <t>Redraw_FirstChampionShieldSlot</t>
  </si>
  <si>
    <t>Redraws an expired shield for the first party slot when the interface state permits it.</t>
  </si>
  <si>
    <t>Redraw_RemainingChampionShieldSlots</t>
  </si>
  <si>
    <t>Redraws expired shield slots two through four when any changed.</t>
  </si>
  <si>
    <t>Move_AirborneEntityAfterDeflection</t>
  </si>
  <si>
    <t>Turns an airborne entity, validates the new cell and commits its coordinate when clear.</t>
  </si>
  <si>
    <t>Reverse_HeadOnAirborneEntity</t>
  </si>
  <si>
    <t>Reverses the airborne entity when the collision is with its current destination cell.</t>
  </si>
  <si>
    <t>Resolve_AirborneEntityCollisionForm</t>
  </si>
  <si>
    <t>Converts form $84 to $85 with increased power or routes other airborne collision forms.</t>
  </si>
  <si>
    <t>Reverse_AirborneEntityDirection</t>
  </si>
  <si>
    <t>Reverses the live airborne entity's facing and returns.</t>
  </si>
  <si>
    <t>Resolve_AirborneEntityCollision</t>
  </si>
  <si>
    <t>Selects deflection, reversal or impact behaviour from the colliding entity form and cell.</t>
  </si>
  <si>
    <t>Validate_Form85CollisionCell</t>
  </si>
  <si>
    <t>Checks whether form $85 may persist in the collided map cell.</t>
  </si>
  <si>
    <t>Clear_AirborneDestinationOccupancy</t>
  </si>
  <si>
    <t>Clears the destination-cell occupancy bit before resolving the airborne entity impact.</t>
  </si>
  <si>
    <t>Pack_AirborneImpactCodeAndPower</t>
  </si>
  <si>
    <t>Packs live airborne power and form into the impact value, clearing power for non-airborne forms.</t>
  </si>
  <si>
    <t>Dispatch_AirborneEntityImpact</t>
  </si>
  <si>
    <t>Sets floor, caster and sound context before resolving the live airborne entity's cell impact.</t>
  </si>
  <si>
    <t>Advance_DepartedChampionSlotScan</t>
  </si>
  <si>
    <t>Advances the scan that marks champion slots affected by party-member departure.</t>
  </si>
  <si>
    <t>Choose_DepartedChampionReplacement</t>
  </si>
  <si>
    <t>Begins selection of a replacement when the active party slot departs.</t>
  </si>
  <si>
    <t>Find_ActiveChampionReplacementLoop</t>
  </si>
  <si>
    <t>Scans the four party slots for an eligible replacement active champion.</t>
  </si>
  <si>
    <t>Advance_ActiveChampionReplacementCandidate</t>
  </si>
  <si>
    <t>Advances or falls back after a party slot cannot replace the departed active champion.</t>
  </si>
  <si>
    <t>Continue_DepartedChampionSelectionScan</t>
  </si>
  <si>
    <t>Continues the fallback scan while the current slot remains unsuitable.</t>
  </si>
  <si>
    <t>Install_ActiveChampionReplacement</t>
  </si>
  <si>
    <t>Moves the selected champion into the active slot and transfers the associated party state.</t>
  </si>
  <si>
    <t>Handle_NoActiveChampionReplacement</t>
  </si>
  <si>
    <t>Externalises the remaining party members when no eligible active replacement exists.</t>
  </si>
  <si>
    <t>Reset_DepartedPartyState</t>
  </si>
  <si>
    <t>Clears transient party selection and interface state after departure handling.</t>
  </si>
  <si>
    <t>Finalise_DepartedPartyUpdate</t>
  </si>
  <si>
    <t>Resets selection words, redraws the interface and updates party hit-number displays.</t>
  </si>
  <si>
    <t>Advance_RemainsExternalisationLoop</t>
  </si>
  <si>
    <t>Advances the loop that converts departed champions into recoverable remains.</t>
  </si>
  <si>
    <t>Advance_PartyHitNumberLoop</t>
  </si>
  <si>
    <t>Advances the loop that redraws nonzero party damage counters.</t>
  </si>
  <si>
    <t>Reload_ChampionAttackTimer</t>
  </si>
  <si>
    <t>Reloads the champion's cyclic action timer and dispatches a queued attack when present.</t>
  </si>
  <si>
    <t>Restore_ChampionAttackRegisters</t>
  </si>
  <si>
    <t>Restores target, champion and party-slot registers after a rejected attack-clearance check.</t>
  </si>
  <si>
    <t>Handle_RejectedChampionAttack</t>
  </si>
  <si>
    <t>Cancels or returns from a champion attack that cannot proceed.</t>
  </si>
  <si>
    <t>Resolve_ChampionPhysicalAttack</t>
  </si>
  <si>
    <t>Runs a queued champion physical attack through the common combat and message paths.</t>
  </si>
  <si>
    <t>Check_ForwardAttackClearance</t>
  </si>
  <si>
    <t>Validates map bounds and the opposite door edge for an attack into the forward cell.</t>
  </si>
  <si>
    <t>Return_AttackClear</t>
  </si>
  <si>
    <t>Returns zero to report that the champion's forward attack path is clear.</t>
  </si>
  <si>
    <t>Return_AttackBlocked</t>
  </si>
  <si>
    <t>Returns minus one to report that the champion's forward attack path is blocked.</t>
  </si>
  <si>
    <t>Begin_PlayerStairTransition</t>
  </si>
  <si>
    <t>Clears the source stair occupancy and derives the destination floor from the stair direction.</t>
  </si>
  <si>
    <t>Resolve_PlayerStairDestination</t>
  </si>
  <si>
    <t>Calculates the paired stair coordinate and tests whether the destination is occupied.</t>
  </si>
  <si>
    <t>Commit_PlayerStairTransition</t>
  </si>
  <si>
    <t>Stores the new floor, occupancy, facing and packed player coordinate after stair movement.</t>
  </si>
  <si>
    <t>TextDoubleWidthFlag</t>
  </si>
  <si>
    <t>When set, the text blitter doubles the glyph column bit spacing; used by large hit numbers and the $FC text control.</t>
  </si>
  <si>
    <t>SpellEntity_BackgroundOriginFlag</t>
  </si>
  <si>
    <t>Low byte of the spell-creation context word; copied into live entity byte $03 and used to suppress interactive casting notices.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</si>
</sst>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1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0000"/>
      <name val="Carlito"/>
    </font>
    <font>
      <sz val="13"/>
      <color rgb="FF0C0D0E"/>
      <name val="Inherit"/>
    </font>
    <font>
      <sz val="2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left"/>
    </xf>
    <xf numFmtId="164" fontId="1" fillId="2" borderId="0" xfId="0" applyNumberFormat="1" applyFont="1" applyFill="1" applyAlignment="1">
      <alignment vertical="center" wrapText="1"/>
    </xf>
    <xf numFmtId="164" fontId="0" fillId="5" borderId="0" xfId="0" applyNumberFormat="1" applyFill="1"/>
    <xf numFmtId="0" fontId="6" fillId="8" borderId="0" xfId="0" applyFont="1" applyFill="1"/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left"/>
    </xf>
    <xf numFmtId="164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0" fontId="10" fillId="0" borderId="0" xfId="0" applyNumberFormat="1" applyFont="1"/>
  </cellXfs>
  <cellStyles count="2">
    <cellStyle name="Excel Built-in Normal" xfId="1" xr:uid="{ACE51F02-8306-284E-B6CB-6CB2D79D3F1F}"/>
    <cellStyle name="Normal" xfId="0" builtinId="0"/>
  </cellStyles>
  <dxfs count="120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F3181"/>
  <sheetViews>
    <sheetView tabSelected="1" zoomScale="135" zoomScaleNormal="120" workbookViewId="0">
      <pane xSplit="2" ySplit="1" topLeftCell="C2659" activePane="bottomRight" state="frozen"/>
      <selection pane="topRight" activeCell="C1" sqref="C1"/>
      <selection pane="bottomLeft" activeCell="A2" sqref="A2"/>
      <selection pane="bottomRight" activeCell="A2669" sqref="A2669"/>
    </sheetView>
  </sheetViews>
  <sheetFormatPr baseColWidth="10" defaultColWidth="10.83203125" defaultRowHeight="16"/>
  <cols>
    <col min="1" max="1" width="29" customWidth="1"/>
    <col min="2" max="2" width="54.5" customWidth="1"/>
    <col min="3" max="3" width="22.83203125" style="5" customWidth="1"/>
    <col min="4" max="4" width="31.66406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19" bestFit="1" customWidth="1"/>
    <col min="12" max="13" width="14.83203125" style="24" customWidth="1"/>
    <col min="14" max="14" width="70.83203125" customWidth="1"/>
  </cols>
  <sheetData>
    <row r="1" spans="1:14" ht="32" customHeight="1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3415</v>
      </c>
      <c r="K1" s="18" t="s">
        <v>3505</v>
      </c>
      <c r="L1" s="29" t="s">
        <v>3443</v>
      </c>
      <c r="M1" s="29" t="s">
        <v>3443</v>
      </c>
    </row>
    <row r="2" spans="1:14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65" si="1">IF(F2&lt;&gt;"",HEX2DEC(SUBSTITUTE(SUBSTITUTE(F2,"adrEA",""),"$","")),"")</f>
        <v>22390</v>
      </c>
      <c r="H2" s="5">
        <v>24</v>
      </c>
      <c r="I2" s="6" t="str">
        <f t="shared" ref="I2:I65" si="2">IFERROR(DEC2HEX(H2),"")</f>
        <v>18</v>
      </c>
    </row>
    <row r="3" spans="1:14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 t="shared" si="2"/>
        <v>18</v>
      </c>
    </row>
    <row r="4" spans="1:14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si="2"/>
        <v>40</v>
      </c>
    </row>
    <row r="5" spans="1:14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3060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3061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3062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3063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>
      <c r="A16" t="s">
        <v>1720</v>
      </c>
      <c r="B16" t="s">
        <v>3154</v>
      </c>
      <c r="C16" s="5" t="s">
        <v>8</v>
      </c>
      <c r="D16" t="s">
        <v>3153</v>
      </c>
      <c r="E16" t="str">
        <f t="shared" si="0"/>
        <v>maps/keep.floors</v>
      </c>
      <c r="F16" s="5" t="s">
        <v>47</v>
      </c>
      <c r="G16" s="5">
        <f t="shared" si="1"/>
        <v>28744</v>
      </c>
      <c r="H16" s="5">
        <v>2</v>
      </c>
      <c r="I16" s="6" t="str">
        <f t="shared" si="2"/>
        <v>2</v>
      </c>
    </row>
    <row r="17" spans="1:11">
      <c r="A17" t="s">
        <v>1721</v>
      </c>
      <c r="B17" t="s">
        <v>3155</v>
      </c>
      <c r="C17" s="5" t="s">
        <v>8</v>
      </c>
      <c r="D17" t="s">
        <v>46</v>
      </c>
      <c r="E17" t="str">
        <f t="shared" si="0"/>
        <v>maps/keep.entrances</v>
      </c>
      <c r="F17" s="5" t="s">
        <v>3157</v>
      </c>
      <c r="G17" s="5">
        <f t="shared" si="1"/>
        <v>28746</v>
      </c>
      <c r="H17" s="5">
        <v>24</v>
      </c>
      <c r="I17" s="6" t="str">
        <f t="shared" si="2"/>
        <v>18</v>
      </c>
    </row>
    <row r="18" spans="1:11">
      <c r="A18" t="s">
        <v>1729</v>
      </c>
      <c r="B18" t="s">
        <v>3156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1">
      <c r="A19" t="s">
        <v>2225</v>
      </c>
      <c r="B19" t="s">
        <v>3197</v>
      </c>
      <c r="C19" s="7" t="s">
        <v>51</v>
      </c>
      <c r="D19" t="s">
        <v>3207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1">
      <c r="A20" t="s">
        <v>2226</v>
      </c>
      <c r="B20" t="s">
        <v>3196</v>
      </c>
      <c r="C20" s="7" t="s">
        <v>51</v>
      </c>
      <c r="D20" t="s">
        <v>3206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1">
      <c r="A21" t="s">
        <v>2237</v>
      </c>
      <c r="B21" t="s">
        <v>3198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1">
      <c r="A22" t="s">
        <v>2290</v>
      </c>
      <c r="B22" t="s">
        <v>3199</v>
      </c>
      <c r="C22" s="5" t="s">
        <v>51</v>
      </c>
      <c r="D22" t="s">
        <v>56</v>
      </c>
      <c r="E22" t="str">
        <f t="shared" si="0"/>
        <v>monsters/beholder.colours</v>
      </c>
      <c r="F22" s="26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1">
      <c r="A23" t="s">
        <v>3069</v>
      </c>
      <c r="B23" t="s">
        <v>3200</v>
      </c>
      <c r="C23" s="5" t="s">
        <v>51</v>
      </c>
      <c r="D23" t="s">
        <v>3071</v>
      </c>
      <c r="E23" t="str">
        <f t="shared" si="0"/>
        <v>monsters/summon.colours</v>
      </c>
      <c r="F23" s="26" t="s">
        <v>3163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1">
      <c r="A24" t="s">
        <v>2326</v>
      </c>
      <c r="B24" t="s">
        <v>3201</v>
      </c>
      <c r="C24" s="5" t="s">
        <v>51</v>
      </c>
      <c r="D24" t="s">
        <v>3070</v>
      </c>
      <c r="E24" t="str">
        <f t="shared" si="0"/>
        <v>monsters/dragon.colours</v>
      </c>
      <c r="F24" s="26" t="s">
        <v>3164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1">
      <c r="A25" t="s">
        <v>2347</v>
      </c>
      <c r="B25" t="s">
        <v>3202</v>
      </c>
      <c r="C25" s="5" t="s">
        <v>51</v>
      </c>
      <c r="D25" t="s">
        <v>3072</v>
      </c>
      <c r="E25" t="str">
        <f t="shared" si="0"/>
        <v>monsters/behemoth.colours</v>
      </c>
      <c r="F25" s="26" t="s">
        <v>3165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1">
      <c r="A26" t="s">
        <v>2374</v>
      </c>
      <c r="B26" t="s">
        <v>2374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1">
      <c r="A27" t="s">
        <v>2382</v>
      </c>
      <c r="B27" t="s">
        <v>2382</v>
      </c>
      <c r="C27" s="5" t="s">
        <v>48</v>
      </c>
      <c r="D27" t="s">
        <v>60</v>
      </c>
      <c r="E27" t="str">
        <f t="shared" si="0"/>
        <v>data/characters.heads</v>
      </c>
      <c r="F27" s="5" t="s">
        <v>3167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1">
      <c r="A28" t="s">
        <v>2863</v>
      </c>
      <c r="B28" t="s">
        <v>3232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1">
      <c r="A29" t="s">
        <v>2857</v>
      </c>
      <c r="B29" t="s">
        <v>3194</v>
      </c>
      <c r="C29" s="5" t="s">
        <v>48</v>
      </c>
      <c r="D29" t="s">
        <v>63</v>
      </c>
      <c r="E29" t="str">
        <f t="shared" si="0"/>
        <v>data/objecttext.block</v>
      </c>
      <c r="F29" s="5" t="s">
        <v>64</v>
      </c>
      <c r="G29" s="5">
        <f t="shared" si="1"/>
        <v>56986</v>
      </c>
      <c r="H29" s="5">
        <v>610</v>
      </c>
      <c r="I29" s="6" t="str">
        <f t="shared" si="2"/>
        <v>262</v>
      </c>
    </row>
    <row r="30" spans="1:11" ht="17" customHeight="1">
      <c r="A30" t="s">
        <v>2865</v>
      </c>
      <c r="B30" t="s">
        <v>3203</v>
      </c>
      <c r="C30" s="5" t="s">
        <v>48</v>
      </c>
      <c r="D30" t="s">
        <v>3195</v>
      </c>
      <c r="E30" t="str">
        <f t="shared" si="0"/>
        <v>data/objectfloor.colours</v>
      </c>
      <c r="F30" s="5" t="s">
        <v>3236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1">
      <c r="A31" t="s">
        <v>2866</v>
      </c>
      <c r="B31" t="s">
        <v>3204</v>
      </c>
      <c r="C31" s="5" t="s">
        <v>48</v>
      </c>
      <c r="D31" t="s">
        <v>3205</v>
      </c>
      <c r="E31" t="str">
        <f t="shared" si="0"/>
        <v>data/objectfloor.palette</v>
      </c>
      <c r="F31" s="5" t="s">
        <v>3235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1">
      <c r="A32" t="s">
        <v>3016</v>
      </c>
      <c r="B32" t="s">
        <v>3016</v>
      </c>
      <c r="C32" s="5" t="s">
        <v>121</v>
      </c>
      <c r="D32" t="s">
        <v>163</v>
      </c>
      <c r="E32" t="s">
        <v>4549</v>
      </c>
      <c r="F32" s="5" t="s">
        <v>3242</v>
      </c>
      <c r="G32" s="5">
        <f t="shared" si="1"/>
        <v>207836</v>
      </c>
      <c r="H32" s="5">
        <v>6168</v>
      </c>
      <c r="I32" s="6" t="str">
        <f t="shared" si="2"/>
        <v>1818</v>
      </c>
      <c r="K32" s="19" t="s">
        <v>4550</v>
      </c>
    </row>
    <row r="33" spans="1:11">
      <c r="A33" t="s">
        <v>2867</v>
      </c>
      <c r="B33" t="s">
        <v>3148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s="5" t="s">
        <v>3234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>
      <c r="A34" t="s">
        <v>2864</v>
      </c>
      <c r="B34" t="s">
        <v>3149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s="5" t="s">
        <v>3233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>
      <c r="A35" t="s">
        <v>2880</v>
      </c>
      <c r="E35" t="str">
        <f>IF(D35&lt;&gt;"",C35&amp;"/"&amp;D35,"")</f>
        <v/>
      </c>
      <c r="G35" s="5" t="str">
        <f t="shared" si="1"/>
        <v/>
      </c>
      <c r="I35" s="6" t="str">
        <f t="shared" si="2"/>
        <v>0</v>
      </c>
    </row>
    <row r="36" spans="1:11" ht="17">
      <c r="A36" t="s">
        <v>2881</v>
      </c>
      <c r="B36" t="s">
        <v>3262</v>
      </c>
      <c r="C36" s="7" t="s">
        <v>48</v>
      </c>
      <c r="D36" t="s">
        <v>65</v>
      </c>
      <c r="E36" t="s">
        <v>5363</v>
      </c>
      <c r="F36" s="5" t="s">
        <v>66</v>
      </c>
      <c r="G36" s="5">
        <f t="shared" si="1"/>
        <v>59302</v>
      </c>
      <c r="H36" s="5">
        <v>512</v>
      </c>
      <c r="I36" s="6" t="str">
        <f t="shared" si="2"/>
        <v>200</v>
      </c>
      <c r="K36" s="19" t="s">
        <v>5364</v>
      </c>
    </row>
    <row r="37" spans="1:11">
      <c r="A37" s="8" t="s">
        <v>2885</v>
      </c>
      <c r="B37" t="s">
        <v>3263</v>
      </c>
      <c r="C37" s="5" t="s">
        <v>48</v>
      </c>
      <c r="D37" t="s">
        <v>67</v>
      </c>
      <c r="E37" t="str">
        <f t="shared" ref="E37:E53" si="4">IF(D37&lt;&gt;"",C37&amp;"/"&amp;D37,"")</f>
        <v>data/champions.pockets</v>
      </c>
      <c r="F37" s="5" t="s">
        <v>68</v>
      </c>
      <c r="G37" s="5">
        <f t="shared" si="1"/>
        <v>59814</v>
      </c>
      <c r="H37" s="5">
        <v>256</v>
      </c>
      <c r="I37" s="6" t="str">
        <f t="shared" si="2"/>
        <v>100</v>
      </c>
    </row>
    <row r="38" spans="1:11">
      <c r="A38" t="s">
        <v>2996</v>
      </c>
      <c r="B38" t="s">
        <v>3160</v>
      </c>
      <c r="C38" s="5" t="s">
        <v>48</v>
      </c>
      <c r="D38" t="s">
        <v>69</v>
      </c>
      <c r="E38" t="str">
        <f t="shared" si="4"/>
        <v>data/scrolls.text</v>
      </c>
      <c r="F38" s="5" t="s">
        <v>72</v>
      </c>
      <c r="G38" s="5">
        <f t="shared" si="1"/>
        <v>106538</v>
      </c>
      <c r="H38" s="5">
        <v>3234</v>
      </c>
      <c r="I38" s="6" t="str">
        <f t="shared" si="2"/>
        <v>CA2</v>
      </c>
    </row>
    <row r="39" spans="1:11">
      <c r="A39" t="s">
        <v>2995</v>
      </c>
      <c r="B39" t="s">
        <v>3159</v>
      </c>
      <c r="C39" s="5" t="s">
        <v>48</v>
      </c>
      <c r="D39" t="s">
        <v>71</v>
      </c>
      <c r="E39" t="str">
        <f t="shared" si="4"/>
        <v>data/scrolls.offsets</v>
      </c>
      <c r="F39" s="5" t="s">
        <v>70</v>
      </c>
      <c r="G39" s="5">
        <f t="shared" si="1"/>
        <v>106392</v>
      </c>
      <c r="H39" s="5">
        <v>146</v>
      </c>
      <c r="I39" s="6" t="str">
        <f t="shared" si="2"/>
        <v>92</v>
      </c>
    </row>
    <row r="40" spans="1:11">
      <c r="A40" t="s">
        <v>1400</v>
      </c>
      <c r="B40" t="s">
        <v>3158</v>
      </c>
      <c r="C40" s="5" t="s">
        <v>48</v>
      </c>
      <c r="D40" t="s">
        <v>3161</v>
      </c>
      <c r="E40" t="str">
        <f t="shared" si="4"/>
        <v>data/scrollstowers.data</v>
      </c>
      <c r="F40" s="5" t="s">
        <v>3162</v>
      </c>
      <c r="G40" s="5">
        <f t="shared" si="1"/>
        <v>21966</v>
      </c>
      <c r="H40" s="5">
        <v>6</v>
      </c>
      <c r="I40" s="6" t="str">
        <f t="shared" si="2"/>
        <v>6</v>
      </c>
    </row>
    <row r="41" spans="1:11">
      <c r="A41" t="s">
        <v>2944</v>
      </c>
      <c r="B41" t="s">
        <v>2944</v>
      </c>
      <c r="C41" s="5" t="s">
        <v>8</v>
      </c>
      <c r="D41" t="s">
        <v>73</v>
      </c>
      <c r="E41" t="str">
        <f t="shared" si="4"/>
        <v>maps/mod0.map</v>
      </c>
      <c r="F41" s="5" t="s">
        <v>74</v>
      </c>
      <c r="G41" s="5">
        <f t="shared" si="1"/>
        <v>60348</v>
      </c>
      <c r="H41" s="5">
        <v>4096</v>
      </c>
      <c r="I41" s="6" t="str">
        <f t="shared" si="2"/>
        <v>1000</v>
      </c>
    </row>
    <row r="42" spans="1:11">
      <c r="A42" t="s">
        <v>2945</v>
      </c>
      <c r="B42" t="s">
        <v>2945</v>
      </c>
      <c r="C42" s="5" t="s">
        <v>8</v>
      </c>
      <c r="D42" t="s">
        <v>75</v>
      </c>
      <c r="E42" t="str">
        <f t="shared" si="4"/>
        <v>maps/mod0.obj</v>
      </c>
      <c r="F42" s="5" t="s">
        <v>76</v>
      </c>
      <c r="G42" s="5">
        <f t="shared" si="1"/>
        <v>64444</v>
      </c>
      <c r="H42" s="5">
        <v>1026</v>
      </c>
      <c r="I42" s="6" t="str">
        <f t="shared" si="2"/>
        <v>402</v>
      </c>
    </row>
    <row r="43" spans="1:11">
      <c r="A43" t="s">
        <v>2948</v>
      </c>
      <c r="B43" t="s">
        <v>2948</v>
      </c>
      <c r="C43" s="5" t="s">
        <v>8</v>
      </c>
      <c r="D43" t="s">
        <v>77</v>
      </c>
      <c r="E43" t="str">
        <f t="shared" si="4"/>
        <v>maps/serp.map</v>
      </c>
      <c r="F43" s="5" t="s">
        <v>78</v>
      </c>
      <c r="G43" s="5">
        <f t="shared" si="1"/>
        <v>65470</v>
      </c>
      <c r="H43" s="5">
        <v>4096</v>
      </c>
      <c r="I43" s="6" t="str">
        <f t="shared" si="2"/>
        <v>1000</v>
      </c>
    </row>
    <row r="44" spans="1:11">
      <c r="A44" t="s">
        <v>2949</v>
      </c>
      <c r="B44" t="s">
        <v>2949</v>
      </c>
      <c r="C44" s="5" t="s">
        <v>8</v>
      </c>
      <c r="D44" t="s">
        <v>79</v>
      </c>
      <c r="E44" t="str">
        <f t="shared" si="4"/>
        <v>maps/serp.obj</v>
      </c>
      <c r="F44" s="5" t="s">
        <v>80</v>
      </c>
      <c r="G44" s="5">
        <f t="shared" si="1"/>
        <v>69566</v>
      </c>
      <c r="H44" s="5">
        <v>1026</v>
      </c>
      <c r="I44" s="6" t="str">
        <f t="shared" si="2"/>
        <v>402</v>
      </c>
    </row>
    <row r="45" spans="1:11">
      <c r="A45" t="s">
        <v>3268</v>
      </c>
      <c r="B45" t="s">
        <v>3068</v>
      </c>
      <c r="C45" s="5" t="s">
        <v>8</v>
      </c>
      <c r="D45" t="s">
        <v>81</v>
      </c>
      <c r="E45" t="str">
        <f t="shared" si="4"/>
        <v>maps/moon.map</v>
      </c>
      <c r="F45" s="5" t="s">
        <v>82</v>
      </c>
      <c r="G45" s="5">
        <f t="shared" si="1"/>
        <v>70592</v>
      </c>
      <c r="H45" s="5">
        <v>4096</v>
      </c>
      <c r="I45" s="6" t="str">
        <f t="shared" si="2"/>
        <v>1000</v>
      </c>
    </row>
    <row r="46" spans="1:11">
      <c r="A46" t="s">
        <v>2950</v>
      </c>
      <c r="B46" t="s">
        <v>2950</v>
      </c>
      <c r="C46" s="5" t="s">
        <v>8</v>
      </c>
      <c r="D46" t="s">
        <v>83</v>
      </c>
      <c r="E46" t="str">
        <f t="shared" si="4"/>
        <v>maps/moon.obj</v>
      </c>
      <c r="F46" s="5" t="s">
        <v>84</v>
      </c>
      <c r="G46" s="5">
        <f t="shared" si="1"/>
        <v>74688</v>
      </c>
      <c r="H46" s="5">
        <v>1026</v>
      </c>
      <c r="I46" s="6" t="str">
        <f t="shared" si="2"/>
        <v>402</v>
      </c>
    </row>
    <row r="47" spans="1:11">
      <c r="A47" t="s">
        <v>2951</v>
      </c>
      <c r="B47" t="s">
        <v>2951</v>
      </c>
      <c r="C47" s="5" t="s">
        <v>8</v>
      </c>
      <c r="D47" t="s">
        <v>85</v>
      </c>
      <c r="E47" t="str">
        <f t="shared" si="4"/>
        <v>maps/drag.map</v>
      </c>
      <c r="F47" s="5" t="s">
        <v>86</v>
      </c>
      <c r="G47" s="5">
        <f t="shared" si="1"/>
        <v>75714</v>
      </c>
      <c r="H47" s="5">
        <v>4096</v>
      </c>
      <c r="I47" s="6" t="str">
        <f t="shared" si="2"/>
        <v>1000</v>
      </c>
    </row>
    <row r="48" spans="1:11">
      <c r="A48" t="s">
        <v>2952</v>
      </c>
      <c r="B48" t="s">
        <v>2952</v>
      </c>
      <c r="C48" s="5" t="s">
        <v>8</v>
      </c>
      <c r="D48" t="s">
        <v>87</v>
      </c>
      <c r="E48" t="str">
        <f t="shared" si="4"/>
        <v>maps/drag.obj</v>
      </c>
      <c r="F48" s="5" t="s">
        <v>88</v>
      </c>
      <c r="G48" s="5">
        <f t="shared" si="1"/>
        <v>79810</v>
      </c>
      <c r="H48" s="5">
        <v>1026</v>
      </c>
      <c r="I48" s="6" t="str">
        <f t="shared" si="2"/>
        <v>402</v>
      </c>
    </row>
    <row r="49" spans="1:13">
      <c r="A49" t="s">
        <v>2953</v>
      </c>
      <c r="B49" t="s">
        <v>2953</v>
      </c>
      <c r="C49" s="5" t="s">
        <v>8</v>
      </c>
      <c r="D49" t="s">
        <v>89</v>
      </c>
      <c r="E49" t="str">
        <f t="shared" si="4"/>
        <v>maps/chaos.map</v>
      </c>
      <c r="F49" s="5" t="s">
        <v>90</v>
      </c>
      <c r="G49" s="5">
        <f t="shared" si="1"/>
        <v>80836</v>
      </c>
      <c r="H49" s="5">
        <v>4096</v>
      </c>
      <c r="I49" s="6" t="str">
        <f t="shared" si="2"/>
        <v>1000</v>
      </c>
    </row>
    <row r="50" spans="1:13">
      <c r="A50" t="s">
        <v>2954</v>
      </c>
      <c r="B50" t="s">
        <v>2954</v>
      </c>
      <c r="C50" s="5" t="s">
        <v>8</v>
      </c>
      <c r="D50" t="s">
        <v>91</v>
      </c>
      <c r="E50" t="str">
        <f t="shared" si="4"/>
        <v>maps/chaos.obj</v>
      </c>
      <c r="F50" s="5" t="s">
        <v>92</v>
      </c>
      <c r="G50" s="5">
        <f t="shared" si="1"/>
        <v>84932</v>
      </c>
      <c r="H50" s="5">
        <v>1026</v>
      </c>
      <c r="I50" s="6" t="str">
        <f t="shared" si="2"/>
        <v>402</v>
      </c>
    </row>
    <row r="51" spans="1:13">
      <c r="A51" t="s">
        <v>2955</v>
      </c>
      <c r="B51" t="s">
        <v>2955</v>
      </c>
      <c r="C51" s="5" t="s">
        <v>8</v>
      </c>
      <c r="D51" t="s">
        <v>93</v>
      </c>
      <c r="E51" t="str">
        <f t="shared" si="4"/>
        <v>maps/zendik.map</v>
      </c>
      <c r="F51" s="5" t="s">
        <v>94</v>
      </c>
      <c r="G51" s="5">
        <f t="shared" si="1"/>
        <v>85958</v>
      </c>
      <c r="H51" s="5">
        <v>4096</v>
      </c>
      <c r="I51" s="6" t="str">
        <f t="shared" si="2"/>
        <v>1000</v>
      </c>
    </row>
    <row r="52" spans="1:13">
      <c r="A52" t="s">
        <v>2956</v>
      </c>
      <c r="B52" t="s">
        <v>2956</v>
      </c>
      <c r="C52" s="5" t="s">
        <v>8</v>
      </c>
      <c r="D52" t="s">
        <v>95</v>
      </c>
      <c r="E52" t="str">
        <f t="shared" si="4"/>
        <v>maps/zendik.obj</v>
      </c>
      <c r="F52" s="5" t="s">
        <v>96</v>
      </c>
      <c r="G52" s="5">
        <f t="shared" si="1"/>
        <v>90054</v>
      </c>
      <c r="H52" s="5">
        <v>1026</v>
      </c>
      <c r="I52" s="6" t="str">
        <f t="shared" si="2"/>
        <v>402</v>
      </c>
    </row>
    <row r="53" spans="1:13">
      <c r="A53" t="s">
        <v>2971</v>
      </c>
      <c r="B53" s="22" t="s">
        <v>2971</v>
      </c>
      <c r="C53" s="23" t="s">
        <v>8</v>
      </c>
      <c r="D53" s="22" t="s">
        <v>97</v>
      </c>
      <c r="E53" s="22" t="str">
        <f t="shared" si="4"/>
        <v>maps/monsters.totals</v>
      </c>
      <c r="F53" s="23" t="s">
        <v>98</v>
      </c>
      <c r="G53" s="5">
        <f t="shared" si="1"/>
        <v>94708</v>
      </c>
      <c r="H53" s="23">
        <v>12</v>
      </c>
      <c r="I53" s="6" t="str">
        <f t="shared" si="2"/>
        <v>C</v>
      </c>
      <c r="J53" s="6" t="s">
        <v>3424</v>
      </c>
    </row>
    <row r="54" spans="1:13">
      <c r="A54" t="s">
        <v>2971</v>
      </c>
      <c r="B54" t="s">
        <v>3425</v>
      </c>
      <c r="C54" s="7" t="s">
        <v>8</v>
      </c>
      <c r="D54" t="s">
        <v>99</v>
      </c>
      <c r="E54" t="s">
        <v>5359</v>
      </c>
      <c r="F54" s="5" t="s">
        <v>98</v>
      </c>
      <c r="G54" s="5">
        <f t="shared" si="1"/>
        <v>94708</v>
      </c>
      <c r="H54" s="5">
        <v>2</v>
      </c>
      <c r="I54" s="6" t="str">
        <f t="shared" si="2"/>
        <v>2</v>
      </c>
      <c r="J54" s="6" t="s">
        <v>3414</v>
      </c>
      <c r="K54" s="19" t="s">
        <v>5360</v>
      </c>
    </row>
    <row r="55" spans="1:13" ht="17">
      <c r="A55" s="11" t="s">
        <v>2971</v>
      </c>
      <c r="B55" s="8" t="s">
        <v>3426</v>
      </c>
      <c r="C55" s="5" t="s">
        <v>8</v>
      </c>
      <c r="D55" t="s">
        <v>100</v>
      </c>
      <c r="E55" t="str">
        <f t="shared" ref="E55:E60" si="5">IF(D55&lt;&gt;"",C55&amp;"/"&amp;D55,"")</f>
        <v>maps/serp.monstercount</v>
      </c>
      <c r="F55" s="5" t="s">
        <v>101</v>
      </c>
      <c r="G55" s="5">
        <f t="shared" si="1"/>
        <v>94710</v>
      </c>
      <c r="H55" s="5">
        <v>2</v>
      </c>
      <c r="I55" s="6" t="str">
        <f t="shared" si="2"/>
        <v>2</v>
      </c>
      <c r="J55" s="16" t="s">
        <v>3419</v>
      </c>
      <c r="K55" s="21"/>
      <c r="L55" s="17"/>
      <c r="M55" s="17"/>
    </row>
    <row r="56" spans="1:13" ht="17">
      <c r="A56" s="11" t="s">
        <v>2971</v>
      </c>
      <c r="B56" s="8" t="s">
        <v>3427</v>
      </c>
      <c r="C56" s="5" t="s">
        <v>8</v>
      </c>
      <c r="D56" t="s">
        <v>102</v>
      </c>
      <c r="E56" t="str">
        <f t="shared" si="5"/>
        <v>maps/moon.monstercount</v>
      </c>
      <c r="F56" s="5" t="s">
        <v>103</v>
      </c>
      <c r="G56" s="5">
        <f t="shared" si="1"/>
        <v>94712</v>
      </c>
      <c r="H56" s="5">
        <v>2</v>
      </c>
      <c r="I56" s="6" t="str">
        <f t="shared" si="2"/>
        <v>2</v>
      </c>
      <c r="J56" s="16" t="s">
        <v>3419</v>
      </c>
      <c r="K56" s="21"/>
      <c r="L56" s="17"/>
      <c r="M56" s="17"/>
    </row>
    <row r="57" spans="1:13" ht="17">
      <c r="A57" s="11" t="s">
        <v>2971</v>
      </c>
      <c r="B57" s="8" t="s">
        <v>3428</v>
      </c>
      <c r="C57" s="5" t="s">
        <v>8</v>
      </c>
      <c r="D57" t="s">
        <v>104</v>
      </c>
      <c r="E57" t="str">
        <f t="shared" si="5"/>
        <v>maps/drag.monstercount</v>
      </c>
      <c r="F57" s="5" t="s">
        <v>105</v>
      </c>
      <c r="G57" s="5">
        <f t="shared" si="1"/>
        <v>94714</v>
      </c>
      <c r="H57" s="5">
        <v>2</v>
      </c>
      <c r="I57" s="6" t="str">
        <f t="shared" si="2"/>
        <v>2</v>
      </c>
      <c r="J57" s="16" t="s">
        <v>3419</v>
      </c>
      <c r="K57" s="21"/>
      <c r="L57" s="17"/>
      <c r="M57" s="17"/>
    </row>
    <row r="58" spans="1:13" ht="17">
      <c r="A58" s="11" t="s">
        <v>2971</v>
      </c>
      <c r="B58" s="8" t="s">
        <v>3429</v>
      </c>
      <c r="C58" s="5" t="s">
        <v>8</v>
      </c>
      <c r="D58" t="s">
        <v>106</v>
      </c>
      <c r="E58" t="str">
        <f t="shared" si="5"/>
        <v>maps/chaos.monstercount</v>
      </c>
      <c r="F58" s="5" t="s">
        <v>107</v>
      </c>
      <c r="G58" s="5">
        <f t="shared" si="1"/>
        <v>94716</v>
      </c>
      <c r="H58" s="5">
        <v>2</v>
      </c>
      <c r="I58" s="6" t="str">
        <f t="shared" si="2"/>
        <v>2</v>
      </c>
      <c r="J58" s="16" t="s">
        <v>3419</v>
      </c>
      <c r="K58" s="21"/>
      <c r="L58" s="17"/>
      <c r="M58" s="17"/>
    </row>
    <row r="59" spans="1:13" ht="17">
      <c r="A59" s="11" t="s">
        <v>2971</v>
      </c>
      <c r="B59" s="8" t="s">
        <v>3430</v>
      </c>
      <c r="C59" s="5" t="s">
        <v>8</v>
      </c>
      <c r="D59" t="s">
        <v>108</v>
      </c>
      <c r="E59" t="str">
        <f t="shared" si="5"/>
        <v>maps/zendik.monstercount</v>
      </c>
      <c r="F59" s="5" t="s">
        <v>109</v>
      </c>
      <c r="G59" s="5">
        <f t="shared" si="1"/>
        <v>94718</v>
      </c>
      <c r="H59" s="5">
        <v>2</v>
      </c>
      <c r="I59" s="6" t="str">
        <f t="shared" si="2"/>
        <v>2</v>
      </c>
      <c r="J59" s="16" t="s">
        <v>3419</v>
      </c>
      <c r="K59" s="21"/>
      <c r="L59" s="17"/>
      <c r="M59" s="17"/>
    </row>
    <row r="60" spans="1:13" ht="17">
      <c r="A60" t="s">
        <v>2972</v>
      </c>
      <c r="B60" s="8"/>
      <c r="E60" t="str">
        <f t="shared" si="5"/>
        <v/>
      </c>
      <c r="G60" s="5" t="str">
        <f t="shared" si="1"/>
        <v/>
      </c>
      <c r="I60" s="6" t="str">
        <f t="shared" si="2"/>
        <v>0</v>
      </c>
      <c r="J60" s="16"/>
      <c r="K60" s="21"/>
      <c r="L60" s="17"/>
      <c r="M60" s="17"/>
    </row>
    <row r="61" spans="1:13">
      <c r="A61" t="s">
        <v>2972</v>
      </c>
      <c r="B61" t="s">
        <v>3695</v>
      </c>
      <c r="C61" s="7" t="s">
        <v>8</v>
      </c>
      <c r="D61" t="s">
        <v>110</v>
      </c>
      <c r="E61" t="s">
        <v>5361</v>
      </c>
      <c r="F61" s="5" t="s">
        <v>111</v>
      </c>
      <c r="G61" s="5">
        <f t="shared" si="1"/>
        <v>94720</v>
      </c>
      <c r="H61" s="27">
        <v>768</v>
      </c>
      <c r="I61" s="6" t="str">
        <f t="shared" si="2"/>
        <v>300</v>
      </c>
      <c r="J61" s="6" t="s">
        <v>3414</v>
      </c>
      <c r="K61" s="19" t="s">
        <v>5362</v>
      </c>
    </row>
    <row r="62" spans="1:13" ht="17">
      <c r="A62" t="s">
        <v>2972</v>
      </c>
      <c r="B62" s="8" t="s">
        <v>3696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 t="shared" si="1"/>
        <v>95488</v>
      </c>
      <c r="H62" s="5">
        <v>768</v>
      </c>
      <c r="I62" s="6" t="str">
        <f t="shared" si="2"/>
        <v>300</v>
      </c>
      <c r="J62" s="16" t="s">
        <v>3419</v>
      </c>
    </row>
    <row r="63" spans="1:13" ht="17">
      <c r="A63" t="s">
        <v>2972</v>
      </c>
      <c r="B63" s="8" t="s">
        <v>3697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 t="shared" si="1"/>
        <v>96256</v>
      </c>
      <c r="H63" s="5">
        <v>768</v>
      </c>
      <c r="I63" s="6" t="str">
        <f t="shared" si="2"/>
        <v>300</v>
      </c>
      <c r="J63" s="16" t="s">
        <v>3419</v>
      </c>
    </row>
    <row r="64" spans="1:13" ht="17">
      <c r="A64" t="s">
        <v>2972</v>
      </c>
      <c r="B64" s="8" t="s">
        <v>3698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 t="shared" si="1"/>
        <v>97024</v>
      </c>
      <c r="H64" s="5">
        <v>768</v>
      </c>
      <c r="I64" s="6" t="str">
        <f t="shared" si="2"/>
        <v>300</v>
      </c>
      <c r="J64" s="16" t="s">
        <v>3419</v>
      </c>
    </row>
    <row r="65" spans="1:16" ht="17">
      <c r="A65" t="s">
        <v>2972</v>
      </c>
      <c r="B65" s="8" t="s">
        <v>3699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 t="shared" si="1"/>
        <v>97792</v>
      </c>
      <c r="H65" s="5">
        <v>768</v>
      </c>
      <c r="I65" s="6" t="str">
        <f t="shared" si="2"/>
        <v>300</v>
      </c>
      <c r="J65" s="16" t="s">
        <v>3419</v>
      </c>
    </row>
    <row r="66" spans="1:16" ht="17">
      <c r="A66" t="s">
        <v>2972</v>
      </c>
      <c r="B66" s="8" t="s">
        <v>3700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3720</v>
      </c>
      <c r="G66" s="5">
        <f t="shared" ref="G66:G129" si="6">IF(F66&lt;&gt;"",HEX2DEC(SUBSTITUTE(SUBSTITUTE(F66,"adrEA",""),"$","")),"")</f>
        <v>98560</v>
      </c>
      <c r="H66" s="5">
        <v>768</v>
      </c>
      <c r="I66" s="6" t="str">
        <f t="shared" ref="I66:I129" si="7">IFERROR(DEC2HEX(H66),"")</f>
        <v>300</v>
      </c>
      <c r="J66" s="16" t="s">
        <v>3419</v>
      </c>
    </row>
    <row r="67" spans="1:16">
      <c r="A67" t="s">
        <v>302</v>
      </c>
      <c r="B67" t="s">
        <v>122</v>
      </c>
      <c r="C67" s="5" t="s">
        <v>121</v>
      </c>
      <c r="D67" t="s">
        <v>122</v>
      </c>
      <c r="E67" t="s">
        <v>4551</v>
      </c>
      <c r="F67" s="5" t="s">
        <v>303</v>
      </c>
      <c r="G67" s="5">
        <f t="shared" si="6"/>
        <v>100602</v>
      </c>
      <c r="H67" s="5">
        <v>640</v>
      </c>
      <c r="I67" s="6" t="str">
        <f t="shared" si="7"/>
        <v>280</v>
      </c>
      <c r="K67" s="19" t="s">
        <v>4552</v>
      </c>
    </row>
    <row r="68" spans="1:16">
      <c r="A68" t="s">
        <v>2985</v>
      </c>
      <c r="B68" t="s">
        <v>3142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3169</v>
      </c>
      <c r="G68" s="5">
        <f t="shared" si="6"/>
        <v>101242</v>
      </c>
      <c r="H68" s="5" t="s">
        <v>124</v>
      </c>
      <c r="I68" s="6" t="str">
        <f t="shared" si="7"/>
        <v>2C0</v>
      </c>
      <c r="N68" t="e">
        <f>DEC2HEX(#REF!+#REF!)</f>
        <v>#REF!</v>
      </c>
      <c r="O68" t="e">
        <f>DEC2HEX(#REF!+#REF!)</f>
        <v>#REF!</v>
      </c>
      <c r="P68" t="s">
        <v>3168</v>
      </c>
    </row>
    <row r="69" spans="1:16">
      <c r="A69" t="s">
        <v>2986</v>
      </c>
      <c r="B69" t="s">
        <v>3143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3170</v>
      </c>
      <c r="G69" s="5">
        <f t="shared" si="6"/>
        <v>101946</v>
      </c>
      <c r="H69" s="5" t="s">
        <v>126</v>
      </c>
      <c r="I69" s="6" t="str">
        <f t="shared" si="7"/>
        <v>2D0</v>
      </c>
      <c r="N69" t="str">
        <f>DEC2HEX(G68+H68)</f>
        <v>18E3A</v>
      </c>
      <c r="O69" t="e">
        <f>DEC2HEX(#REF!+#REF!)</f>
        <v>#REF!</v>
      </c>
    </row>
    <row r="70" spans="1:16">
      <c r="A70" t="s">
        <v>2987</v>
      </c>
      <c r="B70" t="s">
        <v>3145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3171</v>
      </c>
      <c r="G70" s="5">
        <f t="shared" si="6"/>
        <v>102666</v>
      </c>
      <c r="H70" s="5" t="s">
        <v>126</v>
      </c>
      <c r="I70" s="6" t="str">
        <f t="shared" si="7"/>
        <v>2D0</v>
      </c>
      <c r="N70" t="str">
        <f>DEC2HEX(G69+H69)</f>
        <v>1910A</v>
      </c>
      <c r="O70" t="e">
        <f>DEC2HEX(#REF!+#REF!)</f>
        <v>#REF!</v>
      </c>
    </row>
    <row r="71" spans="1:16">
      <c r="A71" t="s">
        <v>2988</v>
      </c>
      <c r="B71" t="s">
        <v>3144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3172</v>
      </c>
      <c r="G71" s="5">
        <f t="shared" si="6"/>
        <v>103386</v>
      </c>
      <c r="H71" s="5" t="s">
        <v>129</v>
      </c>
      <c r="I71" s="6" t="str">
        <f t="shared" si="7"/>
        <v>1D0</v>
      </c>
      <c r="N71" t="str">
        <f>DEC2HEX(G70+H70)</f>
        <v>193DA</v>
      </c>
      <c r="O71" t="e">
        <f>DEC2HEX(#REF!+#REF!)</f>
        <v>#REF!</v>
      </c>
    </row>
    <row r="72" spans="1:16" ht="17">
      <c r="A72" t="s">
        <v>2989</v>
      </c>
      <c r="B72" s="17" t="s">
        <v>3146</v>
      </c>
      <c r="C72" s="5" t="s">
        <v>121</v>
      </c>
      <c r="D72" s="17" t="s">
        <v>130</v>
      </c>
      <c r="E72" t="s">
        <v>3769</v>
      </c>
      <c r="F72" s="16" t="s">
        <v>3173</v>
      </c>
      <c r="G72" s="5">
        <f t="shared" si="6"/>
        <v>103850</v>
      </c>
      <c r="H72" s="5">
        <v>464</v>
      </c>
      <c r="I72" s="6" t="str">
        <f t="shared" si="7"/>
        <v>1D0</v>
      </c>
    </row>
    <row r="73" spans="1:16">
      <c r="A73" t="s">
        <v>2990</v>
      </c>
      <c r="B73" t="s">
        <v>3147</v>
      </c>
      <c r="C73" s="5" t="s">
        <v>121</v>
      </c>
      <c r="D73" t="s">
        <v>131</v>
      </c>
      <c r="E73" t="str">
        <f t="shared" ref="E73:E88" si="8">IF(D73&lt;&gt;"",C73&amp;"/"&amp;D73,"")</f>
        <v>gfx/Shield_Clicked.gfx</v>
      </c>
      <c r="F73" s="5" t="s">
        <v>3174</v>
      </c>
      <c r="G73" s="5">
        <f t="shared" si="6"/>
        <v>104570</v>
      </c>
      <c r="H73" s="5" t="s">
        <v>132</v>
      </c>
      <c r="I73" s="6" t="str">
        <f t="shared" si="7"/>
        <v>290</v>
      </c>
      <c r="N73" t="e">
        <f>DEC2HEX(#REF!+#REF!)</f>
        <v>#REF!</v>
      </c>
      <c r="O73" t="e">
        <f>DEC2HEX(#REF!+#REF!)</f>
        <v>#REF!</v>
      </c>
    </row>
    <row r="74" spans="1:16">
      <c r="A74" t="s">
        <v>2997</v>
      </c>
      <c r="B74" t="s">
        <v>3116</v>
      </c>
      <c r="C74" s="5" t="s">
        <v>121</v>
      </c>
      <c r="D74" t="s">
        <v>133</v>
      </c>
      <c r="E74" t="str">
        <f t="shared" si="8"/>
        <v>gfx/Main_Walls.gfx</v>
      </c>
      <c r="F74" s="5" t="s">
        <v>134</v>
      </c>
      <c r="G74" s="5">
        <f t="shared" si="6"/>
        <v>109772</v>
      </c>
      <c r="H74" s="5">
        <v>18736</v>
      </c>
      <c r="I74" s="6" t="str">
        <f t="shared" si="7"/>
        <v>4930</v>
      </c>
      <c r="N74" t="str">
        <f>RIGHT(A74,5)</f>
        <v>1B050</v>
      </c>
    </row>
    <row r="75" spans="1:16">
      <c r="A75" t="s">
        <v>2998</v>
      </c>
      <c r="B75" t="s">
        <v>3136</v>
      </c>
      <c r="C75" s="5" t="s">
        <v>121</v>
      </c>
      <c r="D75" t="s">
        <v>135</v>
      </c>
      <c r="E75" t="str">
        <f t="shared" si="8"/>
        <v>gfx/Wooden_Wall.gfx</v>
      </c>
      <c r="F75" s="5" t="s">
        <v>136</v>
      </c>
      <c r="G75" s="5">
        <f t="shared" si="6"/>
        <v>128508</v>
      </c>
      <c r="H75" s="5">
        <v>18736</v>
      </c>
      <c r="I75" s="6" t="str">
        <f t="shared" si="7"/>
        <v>4930</v>
      </c>
    </row>
    <row r="76" spans="1:16">
      <c r="A76" t="s">
        <v>2999</v>
      </c>
      <c r="B76" t="s">
        <v>3117</v>
      </c>
      <c r="C76" s="5" t="s">
        <v>121</v>
      </c>
      <c r="D76" t="s">
        <v>137</v>
      </c>
      <c r="E76" t="str">
        <f t="shared" si="8"/>
        <v>gfx/Wooden_Doors.gfx</v>
      </c>
      <c r="F76" s="5" t="s">
        <v>138</v>
      </c>
      <c r="G76" s="5">
        <f t="shared" si="6"/>
        <v>147244</v>
      </c>
      <c r="H76" s="5">
        <v>4576</v>
      </c>
      <c r="I76" s="6" t="str">
        <f t="shared" si="7"/>
        <v>11E0</v>
      </c>
    </row>
    <row r="77" spans="1:16">
      <c r="A77" t="s">
        <v>3000</v>
      </c>
      <c r="B77" t="s">
        <v>3124</v>
      </c>
      <c r="C77" s="5" t="s">
        <v>121</v>
      </c>
      <c r="D77" t="s">
        <v>139</v>
      </c>
      <c r="E77" t="str">
        <f t="shared" si="8"/>
        <v>gfx/Main_Shelf.gfx</v>
      </c>
      <c r="F77" s="5" t="s">
        <v>140</v>
      </c>
      <c r="G77" s="5">
        <f t="shared" si="6"/>
        <v>151820</v>
      </c>
      <c r="H77" s="5">
        <v>2120</v>
      </c>
      <c r="I77" s="6" t="str">
        <f t="shared" si="7"/>
        <v>848</v>
      </c>
    </row>
    <row r="78" spans="1:16">
      <c r="A78" t="s">
        <v>3001</v>
      </c>
      <c r="B78" t="s">
        <v>3125</v>
      </c>
      <c r="C78" s="5" t="s">
        <v>121</v>
      </c>
      <c r="D78" t="s">
        <v>141</v>
      </c>
      <c r="E78" t="str">
        <f t="shared" si="8"/>
        <v>gfx/Main_Sign.gfx</v>
      </c>
      <c r="F78" s="5" t="s">
        <v>142</v>
      </c>
      <c r="G78" s="5">
        <f t="shared" si="6"/>
        <v>153940</v>
      </c>
      <c r="H78" s="5">
        <v>4048</v>
      </c>
      <c r="I78" s="6" t="str">
        <f t="shared" si="7"/>
        <v>FD0</v>
      </c>
    </row>
    <row r="79" spans="1:16">
      <c r="A79" t="s">
        <v>3002</v>
      </c>
      <c r="B79" t="s">
        <v>3126</v>
      </c>
      <c r="C79" s="5" t="s">
        <v>121</v>
      </c>
      <c r="D79" t="s">
        <v>143</v>
      </c>
      <c r="E79" t="str">
        <f t="shared" si="8"/>
        <v>gfx/Main_SignOverlay.gfx</v>
      </c>
      <c r="F79" s="5" t="s">
        <v>144</v>
      </c>
      <c r="G79" s="5">
        <f t="shared" si="6"/>
        <v>157988</v>
      </c>
      <c r="H79" s="5">
        <v>6208</v>
      </c>
      <c r="I79" s="6" t="str">
        <f t="shared" si="7"/>
        <v>1840</v>
      </c>
    </row>
    <row r="80" spans="1:16">
      <c r="A80" t="s">
        <v>3003</v>
      </c>
      <c r="B80" t="s">
        <v>3127</v>
      </c>
      <c r="C80" s="5" t="s">
        <v>121</v>
      </c>
      <c r="D80" t="s">
        <v>145</v>
      </c>
      <c r="E80" t="str">
        <f t="shared" si="8"/>
        <v>gfx/Main_Switches.gfx</v>
      </c>
      <c r="F80" s="5" t="s">
        <v>146</v>
      </c>
      <c r="G80" s="5">
        <f t="shared" si="6"/>
        <v>164196</v>
      </c>
      <c r="H80" s="5">
        <v>696</v>
      </c>
      <c r="I80" s="6" t="str">
        <f t="shared" si="7"/>
        <v>2B8</v>
      </c>
    </row>
    <row r="81" spans="1:15">
      <c r="A81" t="s">
        <v>3004</v>
      </c>
      <c r="B81" t="s">
        <v>3128</v>
      </c>
      <c r="C81" s="5" t="s">
        <v>121</v>
      </c>
      <c r="D81" t="s">
        <v>147</v>
      </c>
      <c r="E81" t="str">
        <f t="shared" si="8"/>
        <v>gfx/Main_Slots.gfx</v>
      </c>
      <c r="F81" s="5" t="s">
        <v>148</v>
      </c>
      <c r="G81" s="5">
        <f t="shared" si="6"/>
        <v>164892</v>
      </c>
      <c r="H81" s="5">
        <v>1160</v>
      </c>
      <c r="I81" s="6" t="str">
        <f t="shared" si="7"/>
        <v>488</v>
      </c>
      <c r="K81" s="19" t="s">
        <v>3686</v>
      </c>
    </row>
    <row r="82" spans="1:15">
      <c r="A82" t="s">
        <v>3005</v>
      </c>
      <c r="B82" t="s">
        <v>3129</v>
      </c>
      <c r="C82" s="5" t="s">
        <v>121</v>
      </c>
      <c r="D82" t="s">
        <v>149</v>
      </c>
      <c r="E82" t="str">
        <f t="shared" si="8"/>
        <v>gfx/Misc_Bed.gfx</v>
      </c>
      <c r="F82" s="5" t="s">
        <v>150</v>
      </c>
      <c r="G82" s="5">
        <f t="shared" si="6"/>
        <v>166052</v>
      </c>
      <c r="H82" s="5">
        <v>2680</v>
      </c>
      <c r="I82" s="6" t="str">
        <f t="shared" si="7"/>
        <v>A78</v>
      </c>
    </row>
    <row r="83" spans="1:15">
      <c r="A83" t="s">
        <v>3006</v>
      </c>
      <c r="B83" t="s">
        <v>3130</v>
      </c>
      <c r="C83" s="5" t="s">
        <v>121</v>
      </c>
      <c r="D83" t="s">
        <v>151</v>
      </c>
      <c r="E83" t="str">
        <f t="shared" si="8"/>
        <v>gfx/Misc_Pillar.gfx</v>
      </c>
      <c r="F83" s="5" t="s">
        <v>152</v>
      </c>
      <c r="G83" s="5">
        <f t="shared" si="6"/>
        <v>168732</v>
      </c>
      <c r="H83" s="5">
        <v>5272</v>
      </c>
      <c r="I83" s="6" t="str">
        <f t="shared" si="7"/>
        <v>1498</v>
      </c>
    </row>
    <row r="84" spans="1:15">
      <c r="A84" t="s">
        <v>3007</v>
      </c>
      <c r="B84" t="s">
        <v>3131</v>
      </c>
      <c r="C84" s="5" t="s">
        <v>121</v>
      </c>
      <c r="D84" t="s">
        <v>153</v>
      </c>
      <c r="E84" t="str">
        <f t="shared" si="8"/>
        <v>gfx/Stairs_Up.gfx</v>
      </c>
      <c r="F84" s="5" t="s">
        <v>3175</v>
      </c>
      <c r="G84" s="5">
        <f t="shared" si="6"/>
        <v>174004</v>
      </c>
      <c r="H84" s="5">
        <v>7848</v>
      </c>
      <c r="I84" s="6" t="str">
        <f t="shared" si="7"/>
        <v>1EA8</v>
      </c>
    </row>
    <row r="85" spans="1:15">
      <c r="A85" t="s">
        <v>3008</v>
      </c>
      <c r="B85" t="s">
        <v>3132</v>
      </c>
      <c r="C85" s="5" t="s">
        <v>121</v>
      </c>
      <c r="D85" t="s">
        <v>154</v>
      </c>
      <c r="E85" t="str">
        <f t="shared" si="8"/>
        <v>gfx/Stairs_Down.gfx</v>
      </c>
      <c r="F85" s="5" t="s">
        <v>155</v>
      </c>
      <c r="G85" s="5">
        <f t="shared" si="6"/>
        <v>181852</v>
      </c>
      <c r="H85" s="5">
        <v>3200</v>
      </c>
      <c r="I85" s="6" t="str">
        <f t="shared" si="7"/>
        <v>C80</v>
      </c>
      <c r="O85" t="e">
        <f>#REF!-#REF!</f>
        <v>#REF!</v>
      </c>
    </row>
    <row r="86" spans="1:15">
      <c r="A86" t="s">
        <v>3009</v>
      </c>
      <c r="B86" t="s">
        <v>3133</v>
      </c>
      <c r="C86" s="5" t="s">
        <v>121</v>
      </c>
      <c r="D86" t="s">
        <v>156</v>
      </c>
      <c r="E86" t="str">
        <f t="shared" si="8"/>
        <v>gfx/Door_Open.gfx</v>
      </c>
      <c r="F86" s="5" t="s">
        <v>157</v>
      </c>
      <c r="G86" s="5">
        <f t="shared" si="6"/>
        <v>185052</v>
      </c>
      <c r="H86" s="5">
        <v>7016</v>
      </c>
      <c r="I86" s="6" t="str">
        <f t="shared" si="7"/>
        <v>1B68</v>
      </c>
    </row>
    <row r="87" spans="1:15">
      <c r="A87" t="s">
        <v>3010</v>
      </c>
      <c r="B87" t="s">
        <v>3134</v>
      </c>
      <c r="C87" s="5" t="s">
        <v>121</v>
      </c>
      <c r="D87" t="s">
        <v>158</v>
      </c>
      <c r="E87" t="str">
        <f t="shared" si="8"/>
        <v>gfx/Door_Metal.gfx</v>
      </c>
      <c r="F87" s="5" t="s">
        <v>159</v>
      </c>
      <c r="G87" s="5">
        <f t="shared" si="6"/>
        <v>192068</v>
      </c>
      <c r="H87" s="5">
        <v>5256</v>
      </c>
      <c r="I87" s="6" t="str">
        <f t="shared" si="7"/>
        <v>1488</v>
      </c>
    </row>
    <row r="88" spans="1:15">
      <c r="A88" t="s">
        <v>3011</v>
      </c>
      <c r="B88" t="s">
        <v>3135</v>
      </c>
      <c r="C88" s="5" t="s">
        <v>121</v>
      </c>
      <c r="D88" t="s">
        <v>160</v>
      </c>
      <c r="E88" t="str">
        <f t="shared" si="8"/>
        <v>gfx/Door_PortCullis.gfx</v>
      </c>
      <c r="F88" s="5" t="s">
        <v>161</v>
      </c>
      <c r="G88" s="5">
        <f t="shared" si="6"/>
        <v>197324</v>
      </c>
      <c r="H88" s="5">
        <v>5256</v>
      </c>
      <c r="I88" s="6" t="str">
        <f t="shared" si="7"/>
        <v>1488</v>
      </c>
    </row>
    <row r="89" spans="1:15">
      <c r="A89" t="s">
        <v>3012</v>
      </c>
      <c r="B89" t="s">
        <v>3721</v>
      </c>
      <c r="C89" s="5" t="s">
        <v>121</v>
      </c>
      <c r="D89" t="s">
        <v>3722</v>
      </c>
      <c r="E89" t="s">
        <v>3723</v>
      </c>
      <c r="F89" s="5" t="s">
        <v>3239</v>
      </c>
      <c r="G89" s="5">
        <f t="shared" si="6"/>
        <v>202580</v>
      </c>
      <c r="H89" s="5">
        <v>584</v>
      </c>
      <c r="I89" s="6" t="str">
        <f t="shared" si="7"/>
        <v>248</v>
      </c>
      <c r="K89" s="19" t="s">
        <v>3724</v>
      </c>
    </row>
    <row r="90" spans="1:15">
      <c r="A90" t="s">
        <v>3013</v>
      </c>
      <c r="B90" t="s">
        <v>3725</v>
      </c>
      <c r="C90" s="5" t="s">
        <v>121</v>
      </c>
      <c r="D90" t="s">
        <v>3726</v>
      </c>
      <c r="E90" t="s">
        <v>3727</v>
      </c>
      <c r="F90" s="5" t="s">
        <v>3240</v>
      </c>
      <c r="G90" s="5">
        <f t="shared" si="6"/>
        <v>203164</v>
      </c>
      <c r="H90" s="5">
        <v>584</v>
      </c>
      <c r="I90" s="6" t="str">
        <f t="shared" si="7"/>
        <v>248</v>
      </c>
      <c r="K90" s="19" t="s">
        <v>3728</v>
      </c>
    </row>
    <row r="91" spans="1:15" ht="18" customHeight="1">
      <c r="A91" t="s">
        <v>3014</v>
      </c>
      <c r="B91" t="s">
        <v>3729</v>
      </c>
      <c r="C91" s="5" t="s">
        <v>121</v>
      </c>
      <c r="D91" t="s">
        <v>3730</v>
      </c>
      <c r="E91" t="s">
        <v>3731</v>
      </c>
      <c r="F91" s="5" t="s">
        <v>3241</v>
      </c>
      <c r="G91" s="5">
        <f t="shared" si="6"/>
        <v>203748</v>
      </c>
      <c r="H91" s="5">
        <v>440</v>
      </c>
      <c r="I91" s="6" t="str">
        <f t="shared" si="7"/>
        <v>1B8</v>
      </c>
      <c r="K91" s="19" t="s">
        <v>3732</v>
      </c>
    </row>
    <row r="92" spans="1:15">
      <c r="A92" t="s">
        <v>3015</v>
      </c>
      <c r="B92" t="s">
        <v>3015</v>
      </c>
      <c r="C92" s="5" t="s">
        <v>121</v>
      </c>
      <c r="D92" t="s">
        <v>162</v>
      </c>
      <c r="E92" t="s">
        <v>4553</v>
      </c>
      <c r="F92" s="5" t="s">
        <v>3166</v>
      </c>
      <c r="G92" s="5">
        <f t="shared" si="6"/>
        <v>204188</v>
      </c>
      <c r="H92" s="5">
        <v>3648</v>
      </c>
      <c r="I92" s="6" t="str">
        <f t="shared" si="7"/>
        <v>E40</v>
      </c>
      <c r="K92" s="19" t="s">
        <v>4554</v>
      </c>
    </row>
    <row r="93" spans="1:15">
      <c r="A93" t="s">
        <v>3017</v>
      </c>
      <c r="B93" t="s">
        <v>3017</v>
      </c>
      <c r="C93" s="5" t="s">
        <v>121</v>
      </c>
      <c r="D93" t="s">
        <v>166</v>
      </c>
      <c r="E93" t="s">
        <v>4555</v>
      </c>
      <c r="F93" s="5" t="s">
        <v>3434</v>
      </c>
      <c r="G93" s="5">
        <f t="shared" si="6"/>
        <v>214004</v>
      </c>
      <c r="H93" s="5">
        <v>696</v>
      </c>
      <c r="I93" s="6" t="str">
        <f t="shared" si="7"/>
        <v>2B8</v>
      </c>
      <c r="K93" s="19" t="s">
        <v>4556</v>
      </c>
    </row>
    <row r="94" spans="1:15">
      <c r="A94" t="s">
        <v>3018</v>
      </c>
      <c r="B94" t="s">
        <v>3018</v>
      </c>
      <c r="C94" s="5" t="s">
        <v>121</v>
      </c>
      <c r="D94" t="s">
        <v>167</v>
      </c>
      <c r="E94" t="s">
        <v>4557</v>
      </c>
      <c r="F94" s="5" t="s">
        <v>3435</v>
      </c>
      <c r="G94" s="5">
        <f t="shared" si="6"/>
        <v>214700</v>
      </c>
      <c r="H94" s="5">
        <v>1944</v>
      </c>
      <c r="I94" s="6" t="str">
        <f t="shared" si="7"/>
        <v>798</v>
      </c>
      <c r="K94" s="19" t="s">
        <v>4558</v>
      </c>
    </row>
    <row r="95" spans="1:15">
      <c r="A95" t="s">
        <v>3019</v>
      </c>
      <c r="B95" t="s">
        <v>3019</v>
      </c>
      <c r="C95" s="5" t="s">
        <v>48</v>
      </c>
      <c r="D95" t="s">
        <v>168</v>
      </c>
      <c r="E95" t="str">
        <f t="shared" ref="E95:E128" si="9">IF(D95&lt;&gt;"",C95&amp;"/"&amp;D95,"")</f>
        <v>data/characters.colours</v>
      </c>
      <c r="F95" s="27" t="s">
        <v>3436</v>
      </c>
      <c r="G95" s="5">
        <f t="shared" si="6"/>
        <v>216644</v>
      </c>
      <c r="H95" s="5">
        <v>1720</v>
      </c>
      <c r="I95" s="6" t="str">
        <f t="shared" si="7"/>
        <v>6B8</v>
      </c>
    </row>
    <row r="96" spans="1:15">
      <c r="A96" t="s">
        <v>3021</v>
      </c>
      <c r="B96" t="s">
        <v>3095</v>
      </c>
      <c r="C96" s="5" t="s">
        <v>121</v>
      </c>
      <c r="D96" t="s">
        <v>169</v>
      </c>
      <c r="E96" t="str">
        <f t="shared" si="9"/>
        <v>gfx/HeadParts.gfx</v>
      </c>
      <c r="F96" s="5" t="s">
        <v>3437</v>
      </c>
      <c r="G96" s="5">
        <f t="shared" si="6"/>
        <v>218364</v>
      </c>
      <c r="H96" s="5">
        <v>15984</v>
      </c>
      <c r="I96" s="6" t="str">
        <f t="shared" si="7"/>
        <v>3E70</v>
      </c>
    </row>
    <row r="97" spans="1:21">
      <c r="A97" t="s">
        <v>3022</v>
      </c>
      <c r="B97" t="s">
        <v>3123</v>
      </c>
      <c r="C97" s="5" t="s">
        <v>121</v>
      </c>
      <c r="D97" t="s">
        <v>170</v>
      </c>
      <c r="E97" t="str">
        <f t="shared" si="9"/>
        <v>gfx/BodyParts.gfx</v>
      </c>
      <c r="F97" s="5" t="s">
        <v>3438</v>
      </c>
      <c r="G97" s="5">
        <f t="shared" si="6"/>
        <v>234348</v>
      </c>
      <c r="H97" s="5">
        <v>34368</v>
      </c>
      <c r="I97" s="6" t="str">
        <f t="shared" si="7"/>
        <v>8640</v>
      </c>
    </row>
    <row r="98" spans="1:21">
      <c r="A98" t="s">
        <v>3024</v>
      </c>
      <c r="B98" t="s">
        <v>3122</v>
      </c>
      <c r="C98" s="5" t="s">
        <v>121</v>
      </c>
      <c r="D98" t="s">
        <v>3113</v>
      </c>
      <c r="E98" t="str">
        <f t="shared" si="9"/>
        <v>gfx/Avatars_Large.gfx</v>
      </c>
      <c r="F98" s="5" t="s">
        <v>3439</v>
      </c>
      <c r="G98" s="5">
        <f t="shared" si="6"/>
        <v>268716</v>
      </c>
      <c r="H98" s="5">
        <v>7680</v>
      </c>
      <c r="I98" s="6" t="str">
        <f t="shared" si="7"/>
        <v>1E00</v>
      </c>
    </row>
    <row r="99" spans="1:21">
      <c r="A99" t="s">
        <v>3025</v>
      </c>
      <c r="B99" t="s">
        <v>3121</v>
      </c>
      <c r="C99" s="5" t="s">
        <v>121</v>
      </c>
      <c r="D99" t="s">
        <v>171</v>
      </c>
      <c r="E99" t="str">
        <f t="shared" si="9"/>
        <v>gfx/Shield_Avatars.gfx</v>
      </c>
      <c r="F99" s="5" t="s">
        <v>3440</v>
      </c>
      <c r="G99" s="5">
        <f t="shared" si="6"/>
        <v>276396</v>
      </c>
      <c r="H99" s="5">
        <v>4096</v>
      </c>
      <c r="I99" s="6" t="str">
        <f t="shared" si="7"/>
        <v>1000</v>
      </c>
    </row>
    <row r="100" spans="1:21">
      <c r="A100" t="s">
        <v>3026</v>
      </c>
      <c r="B100" t="s">
        <v>3120</v>
      </c>
      <c r="C100" s="5" t="s">
        <v>121</v>
      </c>
      <c r="D100" t="s">
        <v>172</v>
      </c>
      <c r="E100" t="str">
        <f t="shared" si="9"/>
        <v>gfx/ShieldTop.gfx</v>
      </c>
      <c r="F100" s="5" t="s">
        <v>3441</v>
      </c>
      <c r="G100" s="5">
        <f t="shared" si="6"/>
        <v>280492</v>
      </c>
      <c r="H100" s="5" t="s">
        <v>173</v>
      </c>
      <c r="I100" s="6" t="str">
        <f t="shared" si="7"/>
        <v>50</v>
      </c>
    </row>
    <row r="101" spans="1:21">
      <c r="A101" t="s">
        <v>3027</v>
      </c>
      <c r="B101" t="s">
        <v>3119</v>
      </c>
      <c r="C101" s="5" t="s">
        <v>121</v>
      </c>
      <c r="D101" t="s">
        <v>174</v>
      </c>
      <c r="E101" t="str">
        <f t="shared" si="9"/>
        <v>gfx/ShieldBottom.gfx</v>
      </c>
      <c r="F101" s="5" t="s">
        <v>3442</v>
      </c>
      <c r="G101" s="5">
        <f t="shared" si="6"/>
        <v>280572</v>
      </c>
      <c r="H101" s="5" t="s">
        <v>175</v>
      </c>
      <c r="I101" s="6" t="str">
        <f t="shared" si="7"/>
        <v>90</v>
      </c>
    </row>
    <row r="102" spans="1:21">
      <c r="A102" t="s">
        <v>3028</v>
      </c>
      <c r="B102" t="s">
        <v>3118</v>
      </c>
      <c r="C102" s="5" t="s">
        <v>121</v>
      </c>
      <c r="D102" t="s">
        <v>176</v>
      </c>
      <c r="E102" t="str">
        <f t="shared" si="9"/>
        <v>gfx/ShieldClasses.gfx</v>
      </c>
      <c r="F102" s="5" t="s">
        <v>3243</v>
      </c>
      <c r="G102" s="5">
        <f t="shared" si="6"/>
        <v>280716</v>
      </c>
      <c r="H102" s="5">
        <v>704</v>
      </c>
      <c r="I102" s="6" t="str">
        <f t="shared" si="7"/>
        <v>2C0</v>
      </c>
    </row>
    <row r="103" spans="1:21">
      <c r="A103" t="s">
        <v>3029</v>
      </c>
      <c r="B103" t="s">
        <v>3096</v>
      </c>
      <c r="C103" s="5" t="s">
        <v>121</v>
      </c>
      <c r="D103" t="s">
        <v>177</v>
      </c>
      <c r="E103" t="str">
        <f t="shared" si="9"/>
        <v>gfx/Fairy.gfx</v>
      </c>
      <c r="F103" s="5" t="s">
        <v>3244</v>
      </c>
      <c r="G103" s="5">
        <f t="shared" si="6"/>
        <v>281420</v>
      </c>
      <c r="H103" s="5" t="s">
        <v>178</v>
      </c>
      <c r="I103" s="6" t="str">
        <f t="shared" si="7"/>
        <v>148</v>
      </c>
    </row>
    <row r="104" spans="1:21">
      <c r="A104" t="s">
        <v>3267</v>
      </c>
      <c r="C104" s="7" t="s">
        <v>51</v>
      </c>
      <c r="D104" t="s">
        <v>289</v>
      </c>
      <c r="E104" t="str">
        <f t="shared" si="9"/>
        <v>monsters/behemoth.gradeoffset</v>
      </c>
      <c r="G104" s="5" t="str">
        <f t="shared" si="6"/>
        <v/>
      </c>
      <c r="H104" s="5">
        <v>1</v>
      </c>
      <c r="I104" s="6" t="str">
        <f t="shared" si="7"/>
        <v>1</v>
      </c>
    </row>
    <row r="105" spans="1:21">
      <c r="A105" t="s">
        <v>3037</v>
      </c>
      <c r="B105" s="15" t="s">
        <v>3326</v>
      </c>
      <c r="E105" t="str">
        <f t="shared" si="9"/>
        <v/>
      </c>
      <c r="F105" s="5" t="str">
        <f t="shared" ref="F105:F117" si="10">"$"&amp;RIGHT(A105,5)</f>
        <v>$50302</v>
      </c>
      <c r="G105" s="5">
        <f t="shared" si="6"/>
        <v>328450</v>
      </c>
      <c r="I105" s="6" t="str">
        <f t="shared" si="7"/>
        <v>0</v>
      </c>
      <c r="N105" t="e">
        <f>#REF!-#REF!</f>
        <v>#REF!</v>
      </c>
      <c r="O105" t="e">
        <f>HEX2DEC(#REF!)-HEX2DEC(#REF!)</f>
        <v>#REF!</v>
      </c>
      <c r="S105" s="14" t="s">
        <v>3176</v>
      </c>
      <c r="U105" t="str">
        <f t="shared" ref="U105:U117" si="11">RIGHT(S105,4)</f>
        <v>3C00</v>
      </c>
    </row>
    <row r="106" spans="1:21">
      <c r="A106" t="s">
        <v>3038</v>
      </c>
      <c r="B106" s="15" t="s">
        <v>3327</v>
      </c>
      <c r="E106" t="str">
        <f t="shared" si="9"/>
        <v/>
      </c>
      <c r="F106" s="5" t="str">
        <f t="shared" si="10"/>
        <v>$50332</v>
      </c>
      <c r="G106" s="5">
        <f t="shared" si="6"/>
        <v>328498</v>
      </c>
      <c r="I106" s="6" t="str">
        <f t="shared" si="7"/>
        <v>0</v>
      </c>
      <c r="N106" t="e">
        <f>#REF!-#REF!</f>
        <v>#REF!</v>
      </c>
      <c r="O106" t="e">
        <f>HEX2DEC(#REF!)-HEX2DEC(#REF!)</f>
        <v>#REF!</v>
      </c>
      <c r="S106" s="14" t="s">
        <v>3177</v>
      </c>
      <c r="U106" t="str">
        <f t="shared" si="11"/>
        <v>3C30</v>
      </c>
    </row>
    <row r="107" spans="1:21">
      <c r="A107" t="s">
        <v>3039</v>
      </c>
      <c r="B107" s="15" t="s">
        <v>3328</v>
      </c>
      <c r="E107" t="str">
        <f t="shared" si="9"/>
        <v/>
      </c>
      <c r="F107" s="5" t="str">
        <f t="shared" si="10"/>
        <v>$50362</v>
      </c>
      <c r="G107" s="5">
        <f t="shared" si="6"/>
        <v>328546</v>
      </c>
      <c r="I107" s="6" t="str">
        <f t="shared" si="7"/>
        <v>0</v>
      </c>
      <c r="N107" t="e">
        <f>#REF!-#REF!</f>
        <v>#REF!</v>
      </c>
      <c r="O107" t="e">
        <f>HEX2DEC(#REF!)-HEX2DEC(#REF!)</f>
        <v>#REF!</v>
      </c>
      <c r="S107" s="14" t="s">
        <v>3178</v>
      </c>
      <c r="U107" t="str">
        <f t="shared" si="11"/>
        <v>3C60</v>
      </c>
    </row>
    <row r="108" spans="1:21">
      <c r="A108" t="s">
        <v>3040</v>
      </c>
      <c r="B108" s="15" t="s">
        <v>3329</v>
      </c>
      <c r="E108" t="str">
        <f t="shared" si="9"/>
        <v/>
      </c>
      <c r="F108" s="5" t="str">
        <f t="shared" si="10"/>
        <v>$50802</v>
      </c>
      <c r="G108" s="5">
        <f t="shared" si="6"/>
        <v>329730</v>
      </c>
      <c r="I108" s="6" t="str">
        <f t="shared" si="7"/>
        <v>0</v>
      </c>
      <c r="N108" t="e">
        <f>#REF!-#REF!</f>
        <v>#REF!</v>
      </c>
      <c r="O108" t="e">
        <f>HEX2DEC(#REF!)-HEX2DEC(#REF!)</f>
        <v>#REF!</v>
      </c>
      <c r="S108" s="14" t="s">
        <v>3179</v>
      </c>
      <c r="U108" t="str">
        <f t="shared" si="11"/>
        <v>4100</v>
      </c>
    </row>
    <row r="109" spans="1:21">
      <c r="A109" t="s">
        <v>3041</v>
      </c>
      <c r="B109" s="15" t="s">
        <v>3330</v>
      </c>
      <c r="E109" t="str">
        <f t="shared" si="9"/>
        <v/>
      </c>
      <c r="F109" s="5" t="str">
        <f t="shared" si="10"/>
        <v>$50832</v>
      </c>
      <c r="G109" s="5">
        <f t="shared" si="6"/>
        <v>329778</v>
      </c>
      <c r="I109" s="6" t="str">
        <f t="shared" si="7"/>
        <v>0</v>
      </c>
      <c r="N109" t="e">
        <f>#REF!-#REF!</f>
        <v>#REF!</v>
      </c>
      <c r="O109" t="e">
        <f>HEX2DEC(#REF!)-HEX2DEC(#REF!)</f>
        <v>#REF!</v>
      </c>
      <c r="S109" s="14" t="s">
        <v>3180</v>
      </c>
      <c r="U109" t="str">
        <f t="shared" si="11"/>
        <v>4130</v>
      </c>
    </row>
    <row r="110" spans="1:21">
      <c r="A110" t="s">
        <v>3042</v>
      </c>
      <c r="B110" s="15" t="s">
        <v>3331</v>
      </c>
      <c r="E110" t="str">
        <f t="shared" si="9"/>
        <v/>
      </c>
      <c r="F110" s="5" t="str">
        <f t="shared" si="10"/>
        <v>$51772</v>
      </c>
      <c r="G110" s="5">
        <f t="shared" si="6"/>
        <v>333682</v>
      </c>
      <c r="I110" s="6" t="str">
        <f t="shared" si="7"/>
        <v>0</v>
      </c>
      <c r="N110" t="e">
        <f>#REF!-#REF!</f>
        <v>#REF!</v>
      </c>
      <c r="O110" t="e">
        <f>HEX2DEC(#REF!)-HEX2DEC(#REF!)</f>
        <v>#REF!</v>
      </c>
      <c r="S110" s="14" t="s">
        <v>3181</v>
      </c>
      <c r="U110" t="str">
        <f t="shared" si="11"/>
        <v>5070</v>
      </c>
    </row>
    <row r="111" spans="1:21">
      <c r="A111" t="s">
        <v>3043</v>
      </c>
      <c r="B111" s="15" t="s">
        <v>3332</v>
      </c>
      <c r="E111" t="str">
        <f t="shared" si="9"/>
        <v/>
      </c>
      <c r="F111" s="5" t="str">
        <f t="shared" si="10"/>
        <v>$52C02</v>
      </c>
      <c r="G111" s="5">
        <f t="shared" si="6"/>
        <v>338946</v>
      </c>
      <c r="I111" s="6" t="str">
        <f t="shared" si="7"/>
        <v>0</v>
      </c>
      <c r="N111" t="e">
        <f>#REF!-#REF!</f>
        <v>#REF!</v>
      </c>
      <c r="O111" t="e">
        <f>HEX2DEC(#REF!)-HEX2DEC(#REF!)</f>
        <v>#REF!</v>
      </c>
      <c r="S111" s="14" t="s">
        <v>3182</v>
      </c>
      <c r="U111" t="str">
        <f t="shared" si="11"/>
        <v>6500</v>
      </c>
    </row>
    <row r="112" spans="1:21">
      <c r="A112" t="s">
        <v>3044</v>
      </c>
      <c r="B112" s="15" t="s">
        <v>3333</v>
      </c>
      <c r="E112" t="str">
        <f t="shared" si="9"/>
        <v/>
      </c>
      <c r="F112" s="5" t="str">
        <f t="shared" si="10"/>
        <v>$52C0A</v>
      </c>
      <c r="G112" s="5">
        <f t="shared" si="6"/>
        <v>338954</v>
      </c>
      <c r="I112" s="6" t="str">
        <f t="shared" si="7"/>
        <v>0</v>
      </c>
      <c r="N112" t="e">
        <f>#REF!-#REF!</f>
        <v>#REF!</v>
      </c>
      <c r="O112" t="e">
        <f>HEX2DEC(#REF!)-HEX2DEC(#REF!)</f>
        <v>#REF!</v>
      </c>
      <c r="S112" s="14" t="s">
        <v>3183</v>
      </c>
      <c r="U112" t="str">
        <f t="shared" si="11"/>
        <v>6508</v>
      </c>
    </row>
    <row r="113" spans="1:21">
      <c r="A113" t="s">
        <v>3045</v>
      </c>
      <c r="B113" s="15" t="s">
        <v>3334</v>
      </c>
      <c r="E113" t="str">
        <f t="shared" si="9"/>
        <v/>
      </c>
      <c r="F113" s="5" t="str">
        <f t="shared" si="10"/>
        <v>$52EC2</v>
      </c>
      <c r="G113" s="5">
        <f t="shared" si="6"/>
        <v>339650</v>
      </c>
      <c r="I113" s="6" t="str">
        <f t="shared" si="7"/>
        <v>0</v>
      </c>
      <c r="N113" t="e">
        <f>#REF!-#REF!</f>
        <v>#REF!</v>
      </c>
      <c r="O113" t="e">
        <f>HEX2DEC(#REF!)-HEX2DEC(#REF!)</f>
        <v>#REF!</v>
      </c>
      <c r="S113" s="14" t="s">
        <v>3184</v>
      </c>
      <c r="U113" t="str">
        <f t="shared" si="11"/>
        <v>67C0</v>
      </c>
    </row>
    <row r="114" spans="1:21">
      <c r="A114" t="s">
        <v>3046</v>
      </c>
      <c r="B114" s="15" t="s">
        <v>3335</v>
      </c>
      <c r="E114" t="str">
        <f t="shared" si="9"/>
        <v/>
      </c>
      <c r="F114" s="5" t="str">
        <f t="shared" si="10"/>
        <v>$52EE2</v>
      </c>
      <c r="G114" s="5">
        <f t="shared" si="6"/>
        <v>339682</v>
      </c>
      <c r="I114" s="6" t="str">
        <f t="shared" si="7"/>
        <v>0</v>
      </c>
      <c r="N114" t="e">
        <f>#REF!-#REF!</f>
        <v>#REF!</v>
      </c>
      <c r="O114" t="e">
        <f>HEX2DEC(#REF!)-HEX2DEC(#REF!)</f>
        <v>#REF!</v>
      </c>
      <c r="S114" s="14" t="s">
        <v>3185</v>
      </c>
      <c r="U114" t="str">
        <f t="shared" si="11"/>
        <v>67E0</v>
      </c>
    </row>
    <row r="115" spans="1:21">
      <c r="A115" t="s">
        <v>3047</v>
      </c>
      <c r="B115" s="15" t="s">
        <v>3336</v>
      </c>
      <c r="E115" t="str">
        <f t="shared" si="9"/>
        <v/>
      </c>
      <c r="F115" s="5" t="str">
        <f t="shared" si="10"/>
        <v>$53162</v>
      </c>
      <c r="G115" s="5">
        <f t="shared" si="6"/>
        <v>340322</v>
      </c>
      <c r="I115" s="6" t="str">
        <f t="shared" si="7"/>
        <v>0</v>
      </c>
      <c r="N115" t="e">
        <f>#REF!-#REF!</f>
        <v>#REF!</v>
      </c>
      <c r="O115" t="e">
        <f>HEX2DEC(#REF!)-HEX2DEC(#REF!)</f>
        <v>#REF!</v>
      </c>
      <c r="S115" s="14" t="s">
        <v>3186</v>
      </c>
      <c r="U115" t="str">
        <f t="shared" si="11"/>
        <v>6A60</v>
      </c>
    </row>
    <row r="116" spans="1:21">
      <c r="A116" t="s">
        <v>3048</v>
      </c>
      <c r="B116" s="15" t="s">
        <v>3337</v>
      </c>
      <c r="E116" t="str">
        <f t="shared" si="9"/>
        <v/>
      </c>
      <c r="F116" s="5" t="str">
        <f t="shared" si="10"/>
        <v>$53C82</v>
      </c>
      <c r="G116" s="5">
        <f t="shared" si="6"/>
        <v>343170</v>
      </c>
      <c r="I116" s="6" t="str">
        <f t="shared" si="7"/>
        <v>0</v>
      </c>
      <c r="N116" t="e">
        <f>#REF!-#REF!</f>
        <v>#REF!</v>
      </c>
      <c r="O116" t="e">
        <f>HEX2DEC(#REF!)-HEX2DEC(#REF!)</f>
        <v>#REF!</v>
      </c>
      <c r="S116" s="14" t="s">
        <v>3187</v>
      </c>
      <c r="U116" t="str">
        <f t="shared" si="11"/>
        <v>7580</v>
      </c>
    </row>
    <row r="117" spans="1:21">
      <c r="A117" t="s">
        <v>3049</v>
      </c>
      <c r="B117" s="15" t="s">
        <v>3338</v>
      </c>
      <c r="E117" t="str">
        <f t="shared" si="9"/>
        <v/>
      </c>
      <c r="F117" s="5" t="str">
        <f t="shared" si="10"/>
        <v>$53D8A</v>
      </c>
      <c r="G117" s="5">
        <f t="shared" si="6"/>
        <v>343434</v>
      </c>
      <c r="I117" s="6" t="str">
        <f t="shared" si="7"/>
        <v>0</v>
      </c>
      <c r="N117" t="e">
        <f>#REF!-#REF!</f>
        <v>#REF!</v>
      </c>
      <c r="O117" t="e">
        <f>HEX2DEC(#REF!)-HEX2DEC(#REF!)</f>
        <v>#REF!</v>
      </c>
      <c r="S117" s="14" t="s">
        <v>3188</v>
      </c>
      <c r="U117" t="str">
        <f t="shared" si="11"/>
        <v>7688</v>
      </c>
    </row>
    <row r="118" spans="1:21">
      <c r="A118" t="s">
        <v>204</v>
      </c>
      <c r="B118" t="s">
        <v>3152</v>
      </c>
      <c r="C118" s="5" t="s">
        <v>121</v>
      </c>
      <c r="D118" t="s">
        <v>202</v>
      </c>
      <c r="E118" t="str">
        <f t="shared" si="9"/>
        <v>gfx/Main_Walls.offsets</v>
      </c>
      <c r="F118" s="5" t="s">
        <v>203</v>
      </c>
      <c r="G118" s="5">
        <f t="shared" si="6"/>
        <v>100186</v>
      </c>
      <c r="H118" s="5">
        <v>56</v>
      </c>
      <c r="I118" s="6" t="str">
        <f t="shared" si="7"/>
        <v>38</v>
      </c>
    </row>
    <row r="119" spans="1:21">
      <c r="A119" t="s">
        <v>207</v>
      </c>
      <c r="B119" t="s">
        <v>3151</v>
      </c>
      <c r="C119" s="5" t="s">
        <v>121</v>
      </c>
      <c r="D119" t="s">
        <v>205</v>
      </c>
      <c r="E119" t="str">
        <f t="shared" si="9"/>
        <v>gfx/Misc_Pillar.offsets</v>
      </c>
      <c r="F119" s="5" t="s">
        <v>206</v>
      </c>
      <c r="G119" s="5">
        <f t="shared" si="6"/>
        <v>100242</v>
      </c>
      <c r="H119" s="5">
        <v>22</v>
      </c>
      <c r="I119" s="6" t="str">
        <f t="shared" si="7"/>
        <v>16</v>
      </c>
    </row>
    <row r="120" spans="1:21">
      <c r="A120" t="s">
        <v>210</v>
      </c>
      <c r="B120" t="s">
        <v>3150</v>
      </c>
      <c r="C120" s="5" t="s">
        <v>121</v>
      </c>
      <c r="D120" t="s">
        <v>208</v>
      </c>
      <c r="E120" t="str">
        <f t="shared" si="9"/>
        <v>gfx/Misc_Bed.offsets</v>
      </c>
      <c r="F120" s="5" t="s">
        <v>209</v>
      </c>
      <c r="G120" s="5">
        <f t="shared" si="6"/>
        <v>100264</v>
      </c>
      <c r="H120" s="5">
        <v>36</v>
      </c>
      <c r="I120" s="6" t="str">
        <f t="shared" si="7"/>
        <v>24</v>
      </c>
    </row>
    <row r="121" spans="1:21">
      <c r="A121" t="s">
        <v>213</v>
      </c>
      <c r="B121" t="s">
        <v>3230</v>
      </c>
      <c r="C121" s="5" t="s">
        <v>121</v>
      </c>
      <c r="D121" t="s">
        <v>211</v>
      </c>
      <c r="E121" t="str">
        <f t="shared" si="9"/>
        <v>gfx/Wooden_Doors.offsets</v>
      </c>
      <c r="F121" s="5" t="s">
        <v>212</v>
      </c>
      <c r="G121" s="5">
        <f t="shared" si="6"/>
        <v>100300</v>
      </c>
      <c r="H121" s="5">
        <v>32</v>
      </c>
      <c r="I121" s="6" t="str">
        <f t="shared" si="7"/>
        <v>20</v>
      </c>
    </row>
    <row r="122" spans="1:21">
      <c r="A122" t="s">
        <v>216</v>
      </c>
      <c r="B122" t="s">
        <v>3208</v>
      </c>
      <c r="C122" s="5" t="s">
        <v>121</v>
      </c>
      <c r="D122" t="s">
        <v>214</v>
      </c>
      <c r="E122" t="str">
        <f t="shared" si="9"/>
        <v>gfx/Wooden_Wall.offsets</v>
      </c>
      <c r="F122" s="5" t="s">
        <v>215</v>
      </c>
      <c r="G122" s="5">
        <f t="shared" si="6"/>
        <v>100332</v>
      </c>
      <c r="H122" s="5">
        <v>32</v>
      </c>
      <c r="I122" s="6" t="str">
        <f t="shared" si="7"/>
        <v>20</v>
      </c>
    </row>
    <row r="123" spans="1:21">
      <c r="A123" t="s">
        <v>219</v>
      </c>
      <c r="B123" t="s">
        <v>3209</v>
      </c>
      <c r="C123" s="5" t="s">
        <v>121</v>
      </c>
      <c r="D123" t="s">
        <v>217</v>
      </c>
      <c r="E123" t="str">
        <f t="shared" si="9"/>
        <v>gfx/Main_Shelf.offsets</v>
      </c>
      <c r="F123" s="5" t="s">
        <v>218</v>
      </c>
      <c r="G123" s="5">
        <f t="shared" si="6"/>
        <v>100364</v>
      </c>
      <c r="H123" s="5">
        <v>32</v>
      </c>
      <c r="I123" s="6" t="str">
        <f t="shared" si="7"/>
        <v>20</v>
      </c>
    </row>
    <row r="124" spans="1:21">
      <c r="A124" t="s">
        <v>222</v>
      </c>
      <c r="B124" t="s">
        <v>3210</v>
      </c>
      <c r="C124" s="5" t="s">
        <v>121</v>
      </c>
      <c r="D124" t="s">
        <v>220</v>
      </c>
      <c r="E124" t="str">
        <f t="shared" si="9"/>
        <v>gfx/Main_Sign.offsets</v>
      </c>
      <c r="F124" s="5" t="s">
        <v>221</v>
      </c>
      <c r="G124" s="5">
        <f t="shared" si="6"/>
        <v>100396</v>
      </c>
      <c r="H124" s="5">
        <v>32</v>
      </c>
      <c r="I124" s="6" t="str">
        <f t="shared" si="7"/>
        <v>20</v>
      </c>
    </row>
    <row r="125" spans="1:21">
      <c r="A125" t="s">
        <v>225</v>
      </c>
      <c r="B125" t="s">
        <v>3211</v>
      </c>
      <c r="C125" s="5" t="s">
        <v>121</v>
      </c>
      <c r="D125" t="s">
        <v>223</v>
      </c>
      <c r="E125" t="str">
        <f t="shared" si="9"/>
        <v>gfx/Stairs_Up.offsets</v>
      </c>
      <c r="F125" s="5" t="s">
        <v>224</v>
      </c>
      <c r="G125" s="5">
        <f t="shared" si="6"/>
        <v>100428</v>
      </c>
      <c r="H125" s="5">
        <v>34</v>
      </c>
      <c r="I125" s="6" t="str">
        <f t="shared" si="7"/>
        <v>22</v>
      </c>
    </row>
    <row r="126" spans="1:21">
      <c r="A126" t="s">
        <v>228</v>
      </c>
      <c r="B126" t="s">
        <v>3212</v>
      </c>
      <c r="C126" s="5" t="s">
        <v>121</v>
      </c>
      <c r="D126" t="s">
        <v>226</v>
      </c>
      <c r="E126" t="str">
        <f t="shared" si="9"/>
        <v>gfx/Stairs_Down.offsets</v>
      </c>
      <c r="F126" s="5" t="s">
        <v>227</v>
      </c>
      <c r="G126" s="5">
        <f t="shared" si="6"/>
        <v>100462</v>
      </c>
      <c r="H126" s="5">
        <v>34</v>
      </c>
      <c r="I126" s="6" t="str">
        <f t="shared" si="7"/>
        <v>22</v>
      </c>
    </row>
    <row r="127" spans="1:21">
      <c r="A127" t="s">
        <v>231</v>
      </c>
      <c r="B127" t="s">
        <v>3213</v>
      </c>
      <c r="C127" s="5" t="s">
        <v>121</v>
      </c>
      <c r="D127" t="s">
        <v>229</v>
      </c>
      <c r="E127" t="str">
        <f t="shared" si="9"/>
        <v>gfx/Door.offsets</v>
      </c>
      <c r="F127" s="5" t="s">
        <v>230</v>
      </c>
      <c r="G127" s="5">
        <f t="shared" si="6"/>
        <v>100496</v>
      </c>
      <c r="H127" s="5">
        <v>26</v>
      </c>
      <c r="I127" s="6" t="str">
        <f t="shared" si="7"/>
        <v>1A</v>
      </c>
    </row>
    <row r="128" spans="1:21">
      <c r="A128" t="s">
        <v>234</v>
      </c>
      <c r="B128" t="s">
        <v>3214</v>
      </c>
      <c r="C128" s="5" t="s">
        <v>121</v>
      </c>
      <c r="D128" t="s">
        <v>232</v>
      </c>
      <c r="E128" t="str">
        <f t="shared" si="9"/>
        <v>gfx/Main_Switches.offsets</v>
      </c>
      <c r="F128" s="5" t="s">
        <v>233</v>
      </c>
      <c r="G128" s="5">
        <f t="shared" si="6"/>
        <v>100522</v>
      </c>
      <c r="H128" s="5">
        <v>32</v>
      </c>
      <c r="I128" s="6" t="str">
        <f t="shared" si="7"/>
        <v>20</v>
      </c>
    </row>
    <row r="129" spans="1:11">
      <c r="A129" t="s">
        <v>236</v>
      </c>
      <c r="B129" t="s">
        <v>3733</v>
      </c>
      <c r="C129" s="5" t="s">
        <v>121</v>
      </c>
      <c r="D129" t="s">
        <v>3734</v>
      </c>
      <c r="E129" t="s">
        <v>3735</v>
      </c>
      <c r="F129" s="5" t="s">
        <v>235</v>
      </c>
      <c r="G129" s="5">
        <f t="shared" si="6"/>
        <v>100554</v>
      </c>
      <c r="H129" s="5">
        <v>24</v>
      </c>
      <c r="I129" s="6" t="str">
        <f t="shared" si="7"/>
        <v>18</v>
      </c>
      <c r="K129" s="19" t="s">
        <v>3736</v>
      </c>
    </row>
    <row r="130" spans="1:11">
      <c r="A130" t="s">
        <v>238</v>
      </c>
      <c r="B130" t="s">
        <v>3737</v>
      </c>
      <c r="C130" s="5" t="s">
        <v>121</v>
      </c>
      <c r="D130" t="s">
        <v>3738</v>
      </c>
      <c r="E130" t="s">
        <v>3739</v>
      </c>
      <c r="F130" s="5" t="s">
        <v>237</v>
      </c>
      <c r="G130" s="5">
        <f t="shared" ref="G130:G193" si="12">IF(F130&lt;&gt;"",HEX2DEC(SUBSTITUTE(SUBSTITUTE(F130,"adrEA",""),"$","")),"")</f>
        <v>100578</v>
      </c>
      <c r="H130" s="5">
        <v>24</v>
      </c>
      <c r="I130" s="6" t="str">
        <f t="shared" ref="I130:I193" si="13">IFERROR(DEC2HEX(H130),"")</f>
        <v>18</v>
      </c>
      <c r="K130" s="19" t="s">
        <v>3740</v>
      </c>
    </row>
    <row r="131" spans="1:11">
      <c r="A131" t="s">
        <v>241</v>
      </c>
      <c r="B131" t="s">
        <v>3215</v>
      </c>
      <c r="C131" s="5" t="s">
        <v>121</v>
      </c>
      <c r="D131" t="s">
        <v>239</v>
      </c>
      <c r="E131" t="str">
        <f t="shared" ref="E131:E140" si="14">IF(D131&lt;&gt;"",C131&amp;"/"&amp;D131,"")</f>
        <v>gfx/Main_Walls.positions</v>
      </c>
      <c r="F131" s="5" t="s">
        <v>240</v>
      </c>
      <c r="G131" s="5">
        <f t="shared" si="12"/>
        <v>46778</v>
      </c>
      <c r="H131" s="5">
        <v>112</v>
      </c>
      <c r="I131" s="6" t="str">
        <f t="shared" si="13"/>
        <v>70</v>
      </c>
    </row>
    <row r="132" spans="1:11">
      <c r="A132" t="s">
        <v>244</v>
      </c>
      <c r="B132" t="s">
        <v>3216</v>
      </c>
      <c r="C132" s="5" t="s">
        <v>121</v>
      </c>
      <c r="D132" t="s">
        <v>242</v>
      </c>
      <c r="E132" t="str">
        <f t="shared" si="14"/>
        <v>gfx/Wooden_Wall.positions</v>
      </c>
      <c r="F132" s="5" t="s">
        <v>243</v>
      </c>
      <c r="G132" s="5">
        <f t="shared" si="12"/>
        <v>46890</v>
      </c>
      <c r="H132" s="5">
        <v>112</v>
      </c>
      <c r="I132" s="6" t="str">
        <f t="shared" si="13"/>
        <v>70</v>
      </c>
    </row>
    <row r="133" spans="1:11">
      <c r="A133" t="s">
        <v>247</v>
      </c>
      <c r="B133" t="s">
        <v>3217</v>
      </c>
      <c r="C133" s="5" t="s">
        <v>121</v>
      </c>
      <c r="D133" t="s">
        <v>245</v>
      </c>
      <c r="E133" t="str">
        <f t="shared" si="14"/>
        <v>gfx/Stairs_Up.positions</v>
      </c>
      <c r="F133" s="5" t="s">
        <v>246</v>
      </c>
      <c r="G133" s="5">
        <f t="shared" si="12"/>
        <v>47002</v>
      </c>
      <c r="H133" s="5">
        <v>116</v>
      </c>
      <c r="I133" s="6" t="str">
        <f t="shared" si="13"/>
        <v>74</v>
      </c>
    </row>
    <row r="134" spans="1:11">
      <c r="A134" t="s">
        <v>250</v>
      </c>
      <c r="B134" t="s">
        <v>3218</v>
      </c>
      <c r="C134" s="5" t="s">
        <v>121</v>
      </c>
      <c r="D134" t="s">
        <v>248</v>
      </c>
      <c r="E134" t="str">
        <f t="shared" si="14"/>
        <v>gfx/Stairs_Down.positions</v>
      </c>
      <c r="F134" s="5" t="s">
        <v>249</v>
      </c>
      <c r="G134" s="5">
        <f t="shared" si="12"/>
        <v>47118</v>
      </c>
      <c r="H134" s="5">
        <v>116</v>
      </c>
      <c r="I134" s="6" t="str">
        <f t="shared" si="13"/>
        <v>74</v>
      </c>
    </row>
    <row r="135" spans="1:11">
      <c r="A135" t="s">
        <v>253</v>
      </c>
      <c r="B135" t="s">
        <v>3219</v>
      </c>
      <c r="C135" s="5" t="s">
        <v>121</v>
      </c>
      <c r="D135" t="s">
        <v>251</v>
      </c>
      <c r="E135" t="str">
        <f t="shared" si="14"/>
        <v>gfx/Misc_Pillar.positions</v>
      </c>
      <c r="F135" s="5" t="s">
        <v>252</v>
      </c>
      <c r="G135" s="5">
        <f t="shared" si="12"/>
        <v>47234</v>
      </c>
      <c r="H135" s="5">
        <v>72</v>
      </c>
      <c r="I135" s="6" t="str">
        <f t="shared" si="13"/>
        <v>48</v>
      </c>
    </row>
    <row r="136" spans="1:11">
      <c r="A136" t="s">
        <v>256</v>
      </c>
      <c r="B136" t="s">
        <v>3220</v>
      </c>
      <c r="C136" s="5" t="s">
        <v>121</v>
      </c>
      <c r="D136" t="s">
        <v>254</v>
      </c>
      <c r="E136" t="str">
        <f t="shared" si="14"/>
        <v>gfx/Door.Positions</v>
      </c>
      <c r="F136" s="5" t="s">
        <v>255</v>
      </c>
      <c r="G136" s="5">
        <f t="shared" si="12"/>
        <v>47306</v>
      </c>
      <c r="H136" s="5">
        <v>80</v>
      </c>
      <c r="I136" s="6" t="str">
        <f t="shared" si="13"/>
        <v>50</v>
      </c>
    </row>
    <row r="137" spans="1:11">
      <c r="A137" t="s">
        <v>259</v>
      </c>
      <c r="B137" t="s">
        <v>3221</v>
      </c>
      <c r="C137" s="5" t="s">
        <v>121</v>
      </c>
      <c r="D137" t="s">
        <v>257</v>
      </c>
      <c r="E137" t="str">
        <f t="shared" si="14"/>
        <v>gfx/Misc_Bed.positions</v>
      </c>
      <c r="F137" s="5" t="s">
        <v>258</v>
      </c>
      <c r="G137" s="5">
        <f t="shared" si="12"/>
        <v>47386</v>
      </c>
      <c r="H137" s="5">
        <v>72</v>
      </c>
      <c r="I137" s="6" t="str">
        <f t="shared" si="13"/>
        <v>48</v>
      </c>
    </row>
    <row r="138" spans="1:11">
      <c r="A138" t="s">
        <v>262</v>
      </c>
      <c r="B138" t="s">
        <v>3222</v>
      </c>
      <c r="C138" s="5" t="s">
        <v>121</v>
      </c>
      <c r="D138" t="s">
        <v>260</v>
      </c>
      <c r="E138" t="str">
        <f t="shared" si="14"/>
        <v>gfx/Main_Shelf.positions</v>
      </c>
      <c r="F138" s="5" t="s">
        <v>261</v>
      </c>
      <c r="G138" s="5">
        <f t="shared" si="12"/>
        <v>47458</v>
      </c>
      <c r="H138" s="5">
        <v>112</v>
      </c>
      <c r="I138" s="6" t="str">
        <f t="shared" si="13"/>
        <v>70</v>
      </c>
    </row>
    <row r="139" spans="1:11">
      <c r="A139" t="s">
        <v>265</v>
      </c>
      <c r="B139" t="s">
        <v>3223</v>
      </c>
      <c r="C139" s="5" t="s">
        <v>121</v>
      </c>
      <c r="D139" t="s">
        <v>263</v>
      </c>
      <c r="E139" t="str">
        <f t="shared" si="14"/>
        <v>gfx/Main_Sign.positions</v>
      </c>
      <c r="F139" s="5" t="s">
        <v>264</v>
      </c>
      <c r="G139" s="5">
        <f t="shared" si="12"/>
        <v>47570</v>
      </c>
      <c r="H139" s="5">
        <v>112</v>
      </c>
      <c r="I139" s="6" t="str">
        <f t="shared" si="13"/>
        <v>70</v>
      </c>
    </row>
    <row r="140" spans="1:11">
      <c r="A140" t="s">
        <v>268</v>
      </c>
      <c r="B140" t="s">
        <v>3224</v>
      </c>
      <c r="C140" s="5" t="s">
        <v>121</v>
      </c>
      <c r="D140" t="s">
        <v>266</v>
      </c>
      <c r="E140" t="str">
        <f t="shared" si="14"/>
        <v>gfx/Main_SignOverlay.positions</v>
      </c>
      <c r="F140" s="5" t="s">
        <v>267</v>
      </c>
      <c r="G140" s="5">
        <f t="shared" si="12"/>
        <v>47682</v>
      </c>
      <c r="H140" s="5">
        <v>112</v>
      </c>
      <c r="I140" s="6" t="str">
        <f t="shared" si="13"/>
        <v>70</v>
      </c>
    </row>
    <row r="141" spans="1:11">
      <c r="A141" t="s">
        <v>271</v>
      </c>
      <c r="B141" t="s">
        <v>3225</v>
      </c>
      <c r="C141" s="5" t="s">
        <v>121</v>
      </c>
      <c r="D141" t="s">
        <v>269</v>
      </c>
      <c r="E141" t="s">
        <v>4531</v>
      </c>
      <c r="F141" s="5" t="s">
        <v>270</v>
      </c>
      <c r="G141" s="5">
        <f t="shared" si="12"/>
        <v>44800</v>
      </c>
      <c r="H141" s="5">
        <v>32</v>
      </c>
      <c r="I141" s="6" t="str">
        <f t="shared" si="13"/>
        <v>20</v>
      </c>
      <c r="K141" s="19" t="s">
        <v>4532</v>
      </c>
    </row>
    <row r="142" spans="1:11">
      <c r="A142" t="s">
        <v>274</v>
      </c>
      <c r="B142" t="s">
        <v>3226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12"/>
        <v>47794</v>
      </c>
      <c r="H142" s="5">
        <v>112</v>
      </c>
      <c r="I142" s="6" t="str">
        <f t="shared" si="13"/>
        <v>70</v>
      </c>
      <c r="K142" s="19" t="s">
        <v>3688</v>
      </c>
    </row>
    <row r="143" spans="1:11">
      <c r="A143" t="s">
        <v>277</v>
      </c>
      <c r="B143" t="s">
        <v>3227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12"/>
        <v>47906</v>
      </c>
      <c r="H143" s="5">
        <v>112</v>
      </c>
      <c r="I143" s="6" t="str">
        <f t="shared" si="13"/>
        <v>70</v>
      </c>
    </row>
    <row r="144" spans="1:11">
      <c r="A144" t="s">
        <v>279</v>
      </c>
      <c r="B144" t="s">
        <v>3741</v>
      </c>
      <c r="C144" s="5" t="s">
        <v>121</v>
      </c>
      <c r="D144" t="s">
        <v>3742</v>
      </c>
      <c r="E144" t="s">
        <v>3743</v>
      </c>
      <c r="F144" s="5" t="s">
        <v>278</v>
      </c>
      <c r="G144" s="5">
        <f t="shared" si="12"/>
        <v>48018</v>
      </c>
      <c r="H144" s="5">
        <v>76</v>
      </c>
      <c r="I144" s="6" t="str">
        <f t="shared" si="13"/>
        <v>4C</v>
      </c>
      <c r="K144" s="19" t="s">
        <v>3744</v>
      </c>
    </row>
    <row r="145" spans="1:14">
      <c r="A145" t="s">
        <v>281</v>
      </c>
      <c r="B145" t="s">
        <v>3745</v>
      </c>
      <c r="C145" s="5" t="s">
        <v>121</v>
      </c>
      <c r="D145" t="s">
        <v>3746</v>
      </c>
      <c r="E145" t="s">
        <v>3747</v>
      </c>
      <c r="F145" s="5" t="s">
        <v>280</v>
      </c>
      <c r="G145" s="5">
        <f t="shared" si="12"/>
        <v>48094</v>
      </c>
      <c r="H145" s="5">
        <v>76</v>
      </c>
      <c r="I145" s="6" t="str">
        <f t="shared" si="13"/>
        <v>4C</v>
      </c>
      <c r="K145" s="19" t="s">
        <v>3748</v>
      </c>
    </row>
    <row r="146" spans="1:14">
      <c r="A146" t="s">
        <v>284</v>
      </c>
      <c r="B146" t="s">
        <v>3228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12"/>
        <v>48170</v>
      </c>
      <c r="H146" s="5">
        <v>112</v>
      </c>
      <c r="I146" s="6" t="str">
        <f t="shared" si="13"/>
        <v>70</v>
      </c>
    </row>
    <row r="147" spans="1:14">
      <c r="A147" t="s">
        <v>286</v>
      </c>
      <c r="B147" t="s">
        <v>3229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3245</v>
      </c>
      <c r="G147" s="5">
        <f t="shared" si="12"/>
        <v>44704</v>
      </c>
      <c r="H147" s="5">
        <v>32</v>
      </c>
      <c r="I147" s="6" t="str">
        <f t="shared" si="13"/>
        <v>20</v>
      </c>
      <c r="K147" s="19" t="s">
        <v>3687</v>
      </c>
    </row>
    <row r="148" spans="1:14">
      <c r="A148" t="s">
        <v>287</v>
      </c>
      <c r="B148" t="s">
        <v>3137</v>
      </c>
      <c r="C148" s="5" t="s">
        <v>121</v>
      </c>
      <c r="D148" t="s">
        <v>3138</v>
      </c>
      <c r="E148" t="s">
        <v>4527</v>
      </c>
      <c r="F148" s="5" t="s">
        <v>3246</v>
      </c>
      <c r="G148" s="5">
        <f t="shared" si="12"/>
        <v>44736</v>
      </c>
      <c r="H148" s="5">
        <v>32</v>
      </c>
      <c r="I148" s="6" t="str">
        <f t="shared" si="13"/>
        <v>20</v>
      </c>
      <c r="K148" s="19" t="s">
        <v>4528</v>
      </c>
    </row>
    <row r="149" spans="1:14">
      <c r="A149" t="s">
        <v>288</v>
      </c>
      <c r="B149" t="s">
        <v>3231</v>
      </c>
      <c r="C149" s="5" t="s">
        <v>121</v>
      </c>
      <c r="D149" t="s">
        <v>3065</v>
      </c>
      <c r="E149" t="s">
        <v>4529</v>
      </c>
      <c r="F149" s="5" t="s">
        <v>3247</v>
      </c>
      <c r="G149" s="5">
        <f t="shared" si="12"/>
        <v>44768</v>
      </c>
      <c r="H149" s="5">
        <v>32</v>
      </c>
      <c r="I149" s="6" t="str">
        <f t="shared" si="13"/>
        <v>20</v>
      </c>
      <c r="K149" s="19" t="s">
        <v>4530</v>
      </c>
    </row>
    <row r="150" spans="1:14">
      <c r="A150" t="s">
        <v>3020</v>
      </c>
      <c r="B150" t="s">
        <v>3083</v>
      </c>
      <c r="C150" s="5" t="s">
        <v>121</v>
      </c>
      <c r="E150" t="str">
        <f>IF(D150&lt;&gt;"",C150&amp;"/"&amp;D150,"")</f>
        <v/>
      </c>
      <c r="G150" s="5" t="str">
        <f t="shared" si="12"/>
        <v/>
      </c>
      <c r="I150" s="6" t="str">
        <f t="shared" si="13"/>
        <v>0</v>
      </c>
    </row>
    <row r="151" spans="1:14" s="11" customFormat="1">
      <c r="A151" s="11" t="s">
        <v>3023</v>
      </c>
      <c r="B151" s="11" t="s">
        <v>3110</v>
      </c>
      <c r="C151" s="12"/>
      <c r="E151" t="str">
        <f>IF(D151&lt;&gt;"",C151&amp;"/"&amp;D151,"")</f>
        <v/>
      </c>
      <c r="F151" s="12"/>
      <c r="G151" s="5" t="str">
        <f t="shared" si="12"/>
        <v/>
      </c>
      <c r="H151" s="12"/>
      <c r="I151" s="6" t="str">
        <f t="shared" si="13"/>
        <v>0</v>
      </c>
      <c r="J151" s="13"/>
      <c r="K151" s="20"/>
      <c r="L151" s="30"/>
      <c r="M151" s="30"/>
    </row>
    <row r="152" spans="1:14">
      <c r="A152" t="s">
        <v>3030</v>
      </c>
      <c r="B152" t="s">
        <v>3100</v>
      </c>
      <c r="C152" s="5" t="s">
        <v>51</v>
      </c>
      <c r="D152" t="s">
        <v>179</v>
      </c>
      <c r="E152" t="s">
        <v>4561</v>
      </c>
      <c r="F152" s="5" t="s">
        <v>3252</v>
      </c>
      <c r="G152" s="5">
        <f t="shared" si="12"/>
        <v>281748</v>
      </c>
      <c r="H152" s="5">
        <v>5816</v>
      </c>
      <c r="I152" s="6" t="str">
        <f t="shared" si="13"/>
        <v>16B8</v>
      </c>
      <c r="K152" s="19" t="s">
        <v>4562</v>
      </c>
    </row>
    <row r="153" spans="1:14">
      <c r="A153" t="s">
        <v>3031</v>
      </c>
      <c r="B153" t="s">
        <v>3097</v>
      </c>
      <c r="C153" s="5" t="s">
        <v>51</v>
      </c>
      <c r="D153" t="s">
        <v>180</v>
      </c>
      <c r="E153" t="s">
        <v>4563</v>
      </c>
      <c r="F153" s="5" t="s">
        <v>3253</v>
      </c>
      <c r="G153" s="5">
        <f t="shared" si="12"/>
        <v>287564</v>
      </c>
      <c r="H153" s="5">
        <v>5096</v>
      </c>
      <c r="I153" s="6" t="str">
        <f t="shared" si="13"/>
        <v>13E8</v>
      </c>
      <c r="K153" s="19" t="s">
        <v>4564</v>
      </c>
    </row>
    <row r="154" spans="1:14">
      <c r="A154" t="s">
        <v>3032</v>
      </c>
      <c r="B154" t="s">
        <v>3098</v>
      </c>
      <c r="C154" s="5" t="s">
        <v>51</v>
      </c>
      <c r="D154" t="s">
        <v>181</v>
      </c>
      <c r="E154" t="s">
        <v>4565</v>
      </c>
      <c r="F154" s="5" t="s">
        <v>3254</v>
      </c>
      <c r="G154" s="5">
        <f t="shared" si="12"/>
        <v>292660</v>
      </c>
      <c r="H154" s="5">
        <v>1112</v>
      </c>
      <c r="I154" s="6" t="str">
        <f t="shared" si="13"/>
        <v>458</v>
      </c>
      <c r="K154" s="19" t="s">
        <v>4566</v>
      </c>
    </row>
    <row r="155" spans="1:14">
      <c r="A155" t="s">
        <v>3033</v>
      </c>
      <c r="B155" t="s">
        <v>3099</v>
      </c>
      <c r="C155" s="7" t="s">
        <v>51</v>
      </c>
      <c r="D155" t="s">
        <v>182</v>
      </c>
      <c r="E155" t="str">
        <f t="shared" ref="E155:E184" si="15">IF(D155&lt;&gt;"",C155&amp;"/"&amp;D155,"")</f>
        <v>monsters/CrabClaw.gfx</v>
      </c>
      <c r="F155" s="5" t="s">
        <v>3255</v>
      </c>
      <c r="G155" s="5">
        <f t="shared" si="12"/>
        <v>293772</v>
      </c>
      <c r="H155" s="5" t="s">
        <v>183</v>
      </c>
      <c r="I155" s="6" t="str">
        <f t="shared" si="13"/>
        <v>350</v>
      </c>
      <c r="N155" t="e">
        <f>#REF!+#REF!</f>
        <v>#REF!</v>
      </c>
    </row>
    <row r="156" spans="1:14">
      <c r="A156" t="s">
        <v>2312</v>
      </c>
      <c r="B156" t="s">
        <v>3339</v>
      </c>
      <c r="C156" s="7" t="s">
        <v>51</v>
      </c>
      <c r="D156" t="s">
        <v>3340</v>
      </c>
      <c r="E156" t="str">
        <f t="shared" si="15"/>
        <v>monsters/Beholder_Body.offsets</v>
      </c>
      <c r="F156" s="5" t="s">
        <v>3347</v>
      </c>
      <c r="G156" s="5">
        <f t="shared" si="12"/>
        <v>40816</v>
      </c>
      <c r="H156" s="5">
        <v>12</v>
      </c>
      <c r="I156" s="6" t="str">
        <f t="shared" si="13"/>
        <v>C</v>
      </c>
      <c r="N156">
        <f>G155+H155</f>
        <v>294620</v>
      </c>
    </row>
    <row r="157" spans="1:14">
      <c r="A157" t="s">
        <v>2313</v>
      </c>
      <c r="B157" t="s">
        <v>3390</v>
      </c>
      <c r="C157" s="7" t="s">
        <v>51</v>
      </c>
      <c r="D157" t="s">
        <v>3391</v>
      </c>
      <c r="E157" t="str">
        <f t="shared" si="15"/>
        <v>monsters/Beholder_UpperEyes.offsets</v>
      </c>
      <c r="F157" s="5" t="s">
        <v>3348</v>
      </c>
      <c r="G157" s="5">
        <f t="shared" si="12"/>
        <v>40828</v>
      </c>
      <c r="H157" s="5">
        <v>8</v>
      </c>
      <c r="I157" s="6" t="str">
        <f t="shared" si="13"/>
        <v>8</v>
      </c>
    </row>
    <row r="158" spans="1:14">
      <c r="A158" t="s">
        <v>2314</v>
      </c>
      <c r="B158" t="s">
        <v>3341</v>
      </c>
      <c r="C158" s="7" t="s">
        <v>51</v>
      </c>
      <c r="D158" t="s">
        <v>3344</v>
      </c>
      <c r="E158" t="str">
        <f t="shared" si="15"/>
        <v>monsters/Beholder_CentralEye_Near.offsets</v>
      </c>
      <c r="F158" s="5" t="s">
        <v>3349</v>
      </c>
      <c r="G158" s="5">
        <f t="shared" si="12"/>
        <v>40836</v>
      </c>
      <c r="H158" s="5">
        <v>32</v>
      </c>
      <c r="I158" s="6" t="str">
        <f t="shared" si="13"/>
        <v>20</v>
      </c>
    </row>
    <row r="159" spans="1:14">
      <c r="A159" t="s">
        <v>2315</v>
      </c>
      <c r="B159" t="s">
        <v>3342</v>
      </c>
      <c r="C159" s="7" t="s">
        <v>51</v>
      </c>
      <c r="D159" t="s">
        <v>3343</v>
      </c>
      <c r="E159" t="str">
        <f t="shared" si="15"/>
        <v>monsters/Beholder_CentralEye_Far.offsets</v>
      </c>
      <c r="F159" s="5" t="s">
        <v>3350</v>
      </c>
      <c r="G159" s="5">
        <f t="shared" si="12"/>
        <v>40868</v>
      </c>
      <c r="H159" s="5">
        <v>8</v>
      </c>
      <c r="I159" s="6" t="str">
        <f t="shared" si="13"/>
        <v>8</v>
      </c>
    </row>
    <row r="160" spans="1:14">
      <c r="A160" t="s">
        <v>2291</v>
      </c>
      <c r="B160" t="s">
        <v>3351</v>
      </c>
      <c r="C160" s="7" t="s">
        <v>51</v>
      </c>
      <c r="D160" t="s">
        <v>3392</v>
      </c>
      <c r="E160" t="str">
        <f t="shared" si="15"/>
        <v>monsters/Beholder_CentralEye_Near_Front.heights</v>
      </c>
      <c r="F160" s="5" t="s">
        <v>3352</v>
      </c>
      <c r="G160" s="5">
        <f t="shared" si="12"/>
        <v>40496</v>
      </c>
      <c r="H160" s="5">
        <v>4</v>
      </c>
      <c r="I160" s="6" t="str">
        <f t="shared" si="13"/>
        <v>4</v>
      </c>
      <c r="K160" t="s">
        <v>3353</v>
      </c>
    </row>
    <row r="161" spans="1:14">
      <c r="A161" t="s">
        <v>2292</v>
      </c>
      <c r="B161" t="s">
        <v>3393</v>
      </c>
      <c r="C161" s="7" t="s">
        <v>51</v>
      </c>
      <c r="D161" t="s">
        <v>3394</v>
      </c>
      <c r="E161" t="str">
        <f t="shared" si="15"/>
        <v>monsters/Beholder_CentralEye_Near_Y.positions</v>
      </c>
      <c r="F161" s="5" t="s">
        <v>3354</v>
      </c>
      <c r="G161" s="5">
        <f t="shared" si="12"/>
        <v>40500</v>
      </c>
      <c r="H161" s="5">
        <v>4</v>
      </c>
      <c r="I161" s="6" t="str">
        <f t="shared" si="13"/>
        <v>4</v>
      </c>
      <c r="K161" t="s">
        <v>3355</v>
      </c>
    </row>
    <row r="162" spans="1:14">
      <c r="A162" t="s">
        <v>2295</v>
      </c>
      <c r="B162" t="s">
        <v>3356</v>
      </c>
      <c r="C162" s="7" t="s">
        <v>51</v>
      </c>
      <c r="D162" t="s">
        <v>3395</v>
      </c>
      <c r="E162" t="str">
        <f t="shared" si="15"/>
        <v>monsters/Beholder_CentralEye_Near_Side.heights</v>
      </c>
      <c r="F162" s="5" t="s">
        <v>3357</v>
      </c>
      <c r="G162" s="5">
        <f t="shared" si="12"/>
        <v>40560</v>
      </c>
      <c r="H162" s="5">
        <v>4</v>
      </c>
      <c r="I162" s="6" t="str">
        <f t="shared" si="13"/>
        <v>4</v>
      </c>
      <c r="K162" t="s">
        <v>3358</v>
      </c>
    </row>
    <row r="163" spans="1:14">
      <c r="A163" t="s">
        <v>2296</v>
      </c>
      <c r="B163" t="s">
        <v>3396</v>
      </c>
      <c r="C163" s="7" t="s">
        <v>51</v>
      </c>
      <c r="D163" t="s">
        <v>3397</v>
      </c>
      <c r="E163" t="str">
        <f t="shared" si="15"/>
        <v>monsters/Beholder_CentralEye_Near_Side_Mirrored_X.positions</v>
      </c>
      <c r="F163" s="5" t="s">
        <v>3359</v>
      </c>
      <c r="G163" s="5">
        <f t="shared" si="12"/>
        <v>40564</v>
      </c>
      <c r="H163" s="5">
        <v>4</v>
      </c>
      <c r="I163" s="6" t="str">
        <f t="shared" si="13"/>
        <v>4</v>
      </c>
      <c r="K163" t="s">
        <v>3360</v>
      </c>
    </row>
    <row r="164" spans="1:14">
      <c r="A164" t="s">
        <v>2297</v>
      </c>
      <c r="B164" t="s">
        <v>3398</v>
      </c>
      <c r="C164" s="7" t="s">
        <v>51</v>
      </c>
      <c r="D164" t="s">
        <v>3399</v>
      </c>
      <c r="E164" t="str">
        <f t="shared" si="15"/>
        <v>monsters/Beholder_CentralEye_Near_Side_Y.positions</v>
      </c>
      <c r="F164" s="5" t="s">
        <v>3361</v>
      </c>
      <c r="G164" s="5">
        <f t="shared" si="12"/>
        <v>40568</v>
      </c>
      <c r="H164" s="5">
        <v>4</v>
      </c>
      <c r="I164" s="6" t="str">
        <f t="shared" si="13"/>
        <v>4</v>
      </c>
      <c r="K164" t="s">
        <v>3362</v>
      </c>
    </row>
    <row r="165" spans="1:14">
      <c r="A165" t="s">
        <v>2299</v>
      </c>
      <c r="B165" t="s">
        <v>3400</v>
      </c>
      <c r="C165" s="7" t="s">
        <v>51</v>
      </c>
      <c r="D165" t="s">
        <v>3401</v>
      </c>
      <c r="E165" t="str">
        <f t="shared" si="15"/>
        <v>monsters/Beholder_CentralEye_Far_Y.positions</v>
      </c>
      <c r="F165" s="5" t="s">
        <v>3363</v>
      </c>
      <c r="G165" s="5">
        <f t="shared" si="12"/>
        <v>40606</v>
      </c>
      <c r="H165" s="5">
        <v>2</v>
      </c>
      <c r="I165" s="6" t="str">
        <f t="shared" si="13"/>
        <v>2</v>
      </c>
      <c r="K165" t="s">
        <v>3364</v>
      </c>
    </row>
    <row r="166" spans="1:14">
      <c r="A166" t="s">
        <v>2300</v>
      </c>
      <c r="B166" t="s">
        <v>3402</v>
      </c>
      <c r="C166" s="7" t="s">
        <v>51</v>
      </c>
      <c r="D166" t="s">
        <v>3403</v>
      </c>
      <c r="E166" t="str">
        <f t="shared" si="15"/>
        <v>monsters/Beholder_CentralEye_Far_Side_Mirrored_X.positions</v>
      </c>
      <c r="F166" s="5" t="s">
        <v>3365</v>
      </c>
      <c r="G166" s="5">
        <f t="shared" si="12"/>
        <v>40608</v>
      </c>
      <c r="H166" s="5">
        <v>2</v>
      </c>
      <c r="I166" s="6" t="str">
        <f t="shared" si="13"/>
        <v>2</v>
      </c>
      <c r="K166" t="s">
        <v>3366</v>
      </c>
    </row>
    <row r="167" spans="1:14">
      <c r="A167" t="s">
        <v>2303</v>
      </c>
      <c r="B167" t="s">
        <v>3367</v>
      </c>
      <c r="C167" s="7" t="s">
        <v>51</v>
      </c>
      <c r="D167" t="s">
        <v>3404</v>
      </c>
      <c r="E167" t="str">
        <f t="shared" si="15"/>
        <v>monsters/Beholder_Body.heights</v>
      </c>
      <c r="F167" s="5" t="s">
        <v>3368</v>
      </c>
      <c r="G167" s="5">
        <f t="shared" si="12"/>
        <v>40660</v>
      </c>
      <c r="H167" s="5">
        <v>6</v>
      </c>
      <c r="I167" s="6" t="str">
        <f t="shared" si="13"/>
        <v>6</v>
      </c>
      <c r="K167" t="s">
        <v>3369</v>
      </c>
    </row>
    <row r="168" spans="1:14">
      <c r="A168" t="s">
        <v>2304</v>
      </c>
      <c r="B168" t="s">
        <v>3405</v>
      </c>
      <c r="C168" s="7" t="s">
        <v>51</v>
      </c>
      <c r="D168" t="s">
        <v>3406</v>
      </c>
      <c r="E168" t="str">
        <f t="shared" si="15"/>
        <v>monsters/Beholder_Composite_X.positions</v>
      </c>
      <c r="F168" s="5" t="s">
        <v>3370</v>
      </c>
      <c r="G168" s="5">
        <f t="shared" si="12"/>
        <v>40666</v>
      </c>
      <c r="H168" s="5">
        <v>6</v>
      </c>
      <c r="I168" s="6" t="str">
        <f t="shared" si="13"/>
        <v>6</v>
      </c>
      <c r="K168" t="s">
        <v>3371</v>
      </c>
    </row>
    <row r="169" spans="1:14">
      <c r="A169" t="s">
        <v>2305</v>
      </c>
      <c r="B169" t="s">
        <v>3407</v>
      </c>
      <c r="C169" s="7" t="s">
        <v>51</v>
      </c>
      <c r="D169" t="s">
        <v>3408</v>
      </c>
      <c r="E169" t="str">
        <f t="shared" si="15"/>
        <v>monsters/Beholder_Composite_Y.positions</v>
      </c>
      <c r="F169" s="5" t="s">
        <v>3372</v>
      </c>
      <c r="G169" s="5">
        <f t="shared" si="12"/>
        <v>40672</v>
      </c>
      <c r="H169" s="5">
        <v>6</v>
      </c>
      <c r="I169" s="6" t="str">
        <f t="shared" si="13"/>
        <v>6</v>
      </c>
      <c r="K169" t="s">
        <v>3373</v>
      </c>
    </row>
    <row r="170" spans="1:14">
      <c r="A170" t="s">
        <v>2306</v>
      </c>
      <c r="B170" t="s">
        <v>3374</v>
      </c>
      <c r="C170" s="7" t="s">
        <v>51</v>
      </c>
      <c r="D170" t="s">
        <v>3409</v>
      </c>
      <c r="E170" t="str">
        <f t="shared" si="15"/>
        <v>monsters/Beholder_UpperEyes.heights</v>
      </c>
      <c r="F170" s="5" t="s">
        <v>3375</v>
      </c>
      <c r="G170" s="5">
        <f t="shared" si="12"/>
        <v>40678</v>
      </c>
      <c r="H170" s="5">
        <v>4</v>
      </c>
      <c r="I170" s="6" t="str">
        <f t="shared" si="13"/>
        <v>4</v>
      </c>
      <c r="K170" t="s">
        <v>3376</v>
      </c>
    </row>
    <row r="171" spans="1:14">
      <c r="A171" t="s">
        <v>2310</v>
      </c>
      <c r="B171" t="s">
        <v>3410</v>
      </c>
      <c r="C171" s="7" t="s">
        <v>51</v>
      </c>
      <c r="D171" t="s">
        <v>3411</v>
      </c>
      <c r="E171" t="str">
        <f t="shared" si="15"/>
        <v>monsters/Beholder_Near_MirroredHalf_X.positions</v>
      </c>
      <c r="F171" s="5" t="s">
        <v>3377</v>
      </c>
      <c r="G171" s="5">
        <f t="shared" si="12"/>
        <v>40798</v>
      </c>
      <c r="H171" s="5">
        <v>2</v>
      </c>
      <c r="I171" s="6" t="str">
        <f t="shared" si="13"/>
        <v>2</v>
      </c>
      <c r="K171" t="s">
        <v>3378</v>
      </c>
    </row>
    <row r="172" spans="1:14">
      <c r="A172" t="s">
        <v>3082</v>
      </c>
      <c r="B172" t="s">
        <v>3412</v>
      </c>
      <c r="C172" s="7" t="s">
        <v>51</v>
      </c>
      <c r="D172" t="s">
        <v>3413</v>
      </c>
      <c r="E172" t="str">
        <f t="shared" si="15"/>
        <v>monsters/Beholder_Body.gfx</v>
      </c>
      <c r="F172" s="5" t="s">
        <v>3256</v>
      </c>
      <c r="G172" s="5">
        <f t="shared" si="12"/>
        <v>294620</v>
      </c>
      <c r="H172" s="5">
        <v>672</v>
      </c>
      <c r="I172" s="6" t="str">
        <f t="shared" si="13"/>
        <v>2A0</v>
      </c>
      <c r="J172" s="6" t="s">
        <v>3414</v>
      </c>
    </row>
    <row r="173" spans="1:14">
      <c r="A173" t="s">
        <v>3082</v>
      </c>
      <c r="B173" t="s">
        <v>3416</v>
      </c>
      <c r="C173" s="7" t="s">
        <v>51</v>
      </c>
      <c r="D173" t="s">
        <v>3418</v>
      </c>
      <c r="E173" t="str">
        <f t="shared" si="15"/>
        <v>monsters/Beholder_UpperEyes.gfx</v>
      </c>
      <c r="F173" s="5" t="s">
        <v>3257</v>
      </c>
      <c r="G173" s="5">
        <f t="shared" si="12"/>
        <v>295292</v>
      </c>
      <c r="H173" s="5">
        <v>160</v>
      </c>
      <c r="I173" s="6" t="str">
        <f t="shared" si="13"/>
        <v>A0</v>
      </c>
      <c r="J173" s="6" t="s">
        <v>3419</v>
      </c>
    </row>
    <row r="174" spans="1:14">
      <c r="A174" t="s">
        <v>3082</v>
      </c>
      <c r="B174" t="s">
        <v>3417</v>
      </c>
      <c r="C174" s="7" t="s">
        <v>51</v>
      </c>
      <c r="D174" t="s">
        <v>3420</v>
      </c>
      <c r="E174" t="str">
        <f t="shared" si="15"/>
        <v>monsters/Beholder_CentralEye_Near.gfx</v>
      </c>
      <c r="F174" s="5" t="s">
        <v>3421</v>
      </c>
      <c r="G174" s="5">
        <f t="shared" si="12"/>
        <v>295452</v>
      </c>
      <c r="H174" s="5">
        <v>864</v>
      </c>
      <c r="I174" s="6" t="str">
        <f t="shared" si="13"/>
        <v>360</v>
      </c>
      <c r="J174" s="6" t="s">
        <v>3419</v>
      </c>
    </row>
    <row r="175" spans="1:14">
      <c r="A175" t="s">
        <v>3082</v>
      </c>
      <c r="B175" t="s">
        <v>3422</v>
      </c>
      <c r="C175" s="7" t="s">
        <v>51</v>
      </c>
      <c r="D175" t="s">
        <v>3423</v>
      </c>
      <c r="E175" t="str">
        <f t="shared" si="15"/>
        <v>monsters/Beholder_CentralEye_Far.gfx</v>
      </c>
      <c r="F175" s="5" t="s">
        <v>3346</v>
      </c>
      <c r="G175" s="5">
        <f t="shared" si="12"/>
        <v>296316</v>
      </c>
      <c r="H175" s="5">
        <v>96</v>
      </c>
      <c r="I175" s="6" t="str">
        <f t="shared" si="13"/>
        <v>60</v>
      </c>
      <c r="J175" s="6" t="s">
        <v>3419</v>
      </c>
    </row>
    <row r="176" spans="1:14">
      <c r="A176" t="s">
        <v>3073</v>
      </c>
      <c r="C176" s="7"/>
      <c r="E176" t="str">
        <f t="shared" si="15"/>
        <v/>
      </c>
      <c r="G176" s="5" t="str">
        <f t="shared" si="12"/>
        <v/>
      </c>
      <c r="I176" s="6" t="str">
        <f t="shared" si="13"/>
        <v>0</v>
      </c>
      <c r="N176">
        <f>G172+H172</f>
        <v>295292</v>
      </c>
    </row>
    <row r="177" spans="1:14">
      <c r="A177" t="s">
        <v>3074</v>
      </c>
      <c r="C177" s="7"/>
      <c r="E177" t="str">
        <f t="shared" si="15"/>
        <v/>
      </c>
      <c r="G177" s="5" t="str">
        <f t="shared" si="12"/>
        <v/>
      </c>
      <c r="I177" s="6" t="str">
        <f t="shared" si="13"/>
        <v>0</v>
      </c>
      <c r="N177">
        <f t="shared" ref="N177:N184" si="16">N176+H176</f>
        <v>295292</v>
      </c>
    </row>
    <row r="178" spans="1:14">
      <c r="A178" t="s">
        <v>3075</v>
      </c>
      <c r="C178" s="7"/>
      <c r="E178" t="str">
        <f t="shared" si="15"/>
        <v/>
      </c>
      <c r="G178" s="5" t="str">
        <f t="shared" si="12"/>
        <v/>
      </c>
      <c r="I178" s="6" t="str">
        <f t="shared" si="13"/>
        <v>0</v>
      </c>
      <c r="N178">
        <f t="shared" si="16"/>
        <v>295292</v>
      </c>
    </row>
    <row r="179" spans="1:14">
      <c r="A179" t="s">
        <v>3076</v>
      </c>
      <c r="C179" s="7"/>
      <c r="E179" t="str">
        <f t="shared" si="15"/>
        <v/>
      </c>
      <c r="G179" s="5" t="str">
        <f t="shared" si="12"/>
        <v/>
      </c>
      <c r="I179" s="6" t="str">
        <f t="shared" si="13"/>
        <v>0</v>
      </c>
      <c r="N179">
        <f t="shared" si="16"/>
        <v>295292</v>
      </c>
    </row>
    <row r="180" spans="1:14">
      <c r="A180" t="s">
        <v>3077</v>
      </c>
      <c r="C180" s="7"/>
      <c r="E180" t="str">
        <f t="shared" si="15"/>
        <v/>
      </c>
      <c r="G180" s="5" t="str">
        <f t="shared" si="12"/>
        <v/>
      </c>
      <c r="I180" s="6" t="str">
        <f t="shared" si="13"/>
        <v>0</v>
      </c>
      <c r="N180">
        <f t="shared" si="16"/>
        <v>295292</v>
      </c>
    </row>
    <row r="181" spans="1:14">
      <c r="A181" t="s">
        <v>3078</v>
      </c>
      <c r="C181" s="7"/>
      <c r="E181" t="str">
        <f t="shared" si="15"/>
        <v/>
      </c>
      <c r="G181" s="5" t="str">
        <f t="shared" si="12"/>
        <v/>
      </c>
      <c r="I181" s="6" t="str">
        <f t="shared" si="13"/>
        <v>0</v>
      </c>
      <c r="N181">
        <f t="shared" si="16"/>
        <v>295292</v>
      </c>
    </row>
    <row r="182" spans="1:14">
      <c r="A182" t="s">
        <v>3079</v>
      </c>
      <c r="C182" s="7"/>
      <c r="E182" t="str">
        <f t="shared" si="15"/>
        <v/>
      </c>
      <c r="G182" s="5" t="str">
        <f t="shared" si="12"/>
        <v/>
      </c>
      <c r="I182" s="6" t="str">
        <f t="shared" si="13"/>
        <v>0</v>
      </c>
      <c r="N182">
        <f t="shared" si="16"/>
        <v>295292</v>
      </c>
    </row>
    <row r="183" spans="1:14">
      <c r="A183" t="s">
        <v>3080</v>
      </c>
      <c r="C183" s="7"/>
      <c r="E183" t="str">
        <f t="shared" si="15"/>
        <v/>
      </c>
      <c r="G183" s="5" t="str">
        <f t="shared" si="12"/>
        <v/>
      </c>
      <c r="I183" s="6" t="str">
        <f t="shared" si="13"/>
        <v>0</v>
      </c>
      <c r="N183">
        <f t="shared" si="16"/>
        <v>295292</v>
      </c>
    </row>
    <row r="184" spans="1:14">
      <c r="A184" t="s">
        <v>3081</v>
      </c>
      <c r="C184" s="7"/>
      <c r="E184" t="str">
        <f t="shared" si="15"/>
        <v/>
      </c>
      <c r="G184" s="5" t="str">
        <f t="shared" si="12"/>
        <v/>
      </c>
      <c r="I184" s="6" t="str">
        <f t="shared" si="13"/>
        <v>0</v>
      </c>
      <c r="N184">
        <f t="shared" si="16"/>
        <v>295292</v>
      </c>
    </row>
    <row r="185" spans="1:14">
      <c r="A185" t="s">
        <v>3034</v>
      </c>
      <c r="B185" t="s">
        <v>3101</v>
      </c>
      <c r="C185" s="5" t="s">
        <v>51</v>
      </c>
      <c r="D185" t="s">
        <v>184</v>
      </c>
      <c r="E185" t="s">
        <v>4567</v>
      </c>
      <c r="F185" s="5" t="s">
        <v>3345</v>
      </c>
      <c r="G185" s="5">
        <f t="shared" si="12"/>
        <v>296412</v>
      </c>
      <c r="H185" s="5">
        <v>10544</v>
      </c>
      <c r="I185" s="6" t="str">
        <f t="shared" si="13"/>
        <v>2930</v>
      </c>
      <c r="K185" s="19" t="s">
        <v>4568</v>
      </c>
    </row>
    <row r="186" spans="1:14">
      <c r="A186" t="s">
        <v>3035</v>
      </c>
      <c r="B186" t="s">
        <v>3102</v>
      </c>
      <c r="C186" s="5" t="s">
        <v>51</v>
      </c>
      <c r="D186" t="s">
        <v>185</v>
      </c>
      <c r="E186" t="s">
        <v>4569</v>
      </c>
      <c r="F186" s="5" t="s">
        <v>3431</v>
      </c>
      <c r="G186" s="5">
        <f t="shared" si="12"/>
        <v>306956</v>
      </c>
      <c r="H186" s="5">
        <v>5234</v>
      </c>
      <c r="I186" s="6" t="str">
        <f t="shared" si="13"/>
        <v>1472</v>
      </c>
      <c r="K186" s="19" t="s">
        <v>4570</v>
      </c>
    </row>
    <row r="187" spans="1:14">
      <c r="A187" t="s">
        <v>3036</v>
      </c>
      <c r="B187" t="s">
        <v>3094</v>
      </c>
      <c r="C187" s="5" t="s">
        <v>121</v>
      </c>
      <c r="D187" t="s">
        <v>186</v>
      </c>
      <c r="E187" t="s">
        <v>4559</v>
      </c>
      <c r="F187" s="5" t="s">
        <v>3189</v>
      </c>
      <c r="G187" s="5">
        <f t="shared" si="12"/>
        <v>312190</v>
      </c>
      <c r="H187" s="5">
        <v>32032</v>
      </c>
      <c r="I187" s="6" t="str">
        <f t="shared" si="13"/>
        <v>7D20</v>
      </c>
      <c r="K187" s="19" t="s">
        <v>4560</v>
      </c>
    </row>
    <row r="188" spans="1:14">
      <c r="A188" t="s">
        <v>2169</v>
      </c>
      <c r="B188" t="s">
        <v>3444</v>
      </c>
      <c r="C188" s="7" t="s">
        <v>3114</v>
      </c>
      <c r="D188" t="s">
        <v>3445</v>
      </c>
      <c r="E188" t="s">
        <v>5365</v>
      </c>
      <c r="F188" s="5" t="s">
        <v>3446</v>
      </c>
      <c r="G188" s="5">
        <f t="shared" si="12"/>
        <v>38322</v>
      </c>
      <c r="H188" s="5">
        <v>5</v>
      </c>
      <c r="I188" s="6" t="str">
        <f t="shared" si="13"/>
        <v>5</v>
      </c>
      <c r="K188" s="19" t="s">
        <v>5366</v>
      </c>
    </row>
    <row r="189" spans="1:14">
      <c r="A189" t="s">
        <v>2170</v>
      </c>
      <c r="B189" t="s">
        <v>3447</v>
      </c>
      <c r="C189" s="7" t="s">
        <v>3114</v>
      </c>
      <c r="D189" t="s">
        <v>3448</v>
      </c>
      <c r="E189" t="s">
        <v>5367</v>
      </c>
      <c r="F189" s="5" t="s">
        <v>3449</v>
      </c>
      <c r="G189" s="5">
        <f t="shared" si="12"/>
        <v>38327</v>
      </c>
      <c r="H189" s="5">
        <v>19</v>
      </c>
      <c r="I189" s="6" t="str">
        <f t="shared" si="13"/>
        <v>13</v>
      </c>
      <c r="K189" s="19" t="s">
        <v>5368</v>
      </c>
    </row>
    <row r="190" spans="1:14">
      <c r="A190" t="s">
        <v>2171</v>
      </c>
      <c r="B190" t="s">
        <v>3450</v>
      </c>
      <c r="C190" s="7" t="s">
        <v>3114</v>
      </c>
      <c r="D190" t="s">
        <v>3451</v>
      </c>
      <c r="E190" t="s">
        <v>5369</v>
      </c>
      <c r="F190" s="5" t="s">
        <v>3452</v>
      </c>
      <c r="G190" s="5">
        <f t="shared" si="12"/>
        <v>38346</v>
      </c>
      <c r="H190" s="5">
        <v>8</v>
      </c>
      <c r="I190" s="6" t="str">
        <f t="shared" si="13"/>
        <v>8</v>
      </c>
      <c r="K190" s="19" t="s">
        <v>5370</v>
      </c>
    </row>
    <row r="191" spans="1:14" ht="17">
      <c r="A191" t="s">
        <v>2172</v>
      </c>
      <c r="B191" t="s">
        <v>3453</v>
      </c>
      <c r="C191" s="16" t="s">
        <v>3114</v>
      </c>
      <c r="D191" s="17" t="s">
        <v>3454</v>
      </c>
      <c r="E191" t="str">
        <f>IF(D191&lt;&gt;"",C191&amp;"/"&amp;D191,"")</f>
        <v>gfx-data/Monster_GfxSlot_Y.positions</v>
      </c>
      <c r="F191" s="5" t="s">
        <v>3455</v>
      </c>
      <c r="G191" s="5">
        <f t="shared" si="12"/>
        <v>38354</v>
      </c>
      <c r="H191" s="5">
        <v>6</v>
      </c>
      <c r="I191" s="6" t="str">
        <f t="shared" si="13"/>
        <v>6</v>
      </c>
      <c r="K191" s="15" t="s">
        <v>3521</v>
      </c>
    </row>
    <row r="192" spans="1:14">
      <c r="A192" t="s">
        <v>2983</v>
      </c>
      <c r="B192" t="s">
        <v>3456</v>
      </c>
      <c r="C192" s="7" t="s">
        <v>3114</v>
      </c>
      <c r="D192" t="s">
        <v>3457</v>
      </c>
      <c r="E192" t="s">
        <v>5375</v>
      </c>
      <c r="F192" s="5" t="s">
        <v>3458</v>
      </c>
      <c r="G192" s="5">
        <f t="shared" si="12"/>
        <v>100096</v>
      </c>
      <c r="H192" s="5">
        <v>90</v>
      </c>
      <c r="I192" s="6" t="str">
        <f t="shared" si="13"/>
        <v>5A</v>
      </c>
      <c r="K192" s="19" t="s">
        <v>5376</v>
      </c>
    </row>
    <row r="193" spans="1:11">
      <c r="A193" t="s">
        <v>2173</v>
      </c>
      <c r="B193" t="s">
        <v>3506</v>
      </c>
      <c r="E193" t="str">
        <f t="shared" ref="E193:E199" si="17">IF(D193&lt;&gt;"",C193&amp;"/"&amp;D193,"")</f>
        <v/>
      </c>
      <c r="G193" s="5" t="str">
        <f t="shared" si="12"/>
        <v/>
      </c>
      <c r="I193" s="6" t="str">
        <f t="shared" si="13"/>
        <v>0</v>
      </c>
      <c r="K193" s="15" t="s">
        <v>3522</v>
      </c>
    </row>
    <row r="194" spans="1:11">
      <c r="A194" t="s">
        <v>2534</v>
      </c>
      <c r="B194" t="s">
        <v>3459</v>
      </c>
      <c r="E194" t="str">
        <f t="shared" si="17"/>
        <v/>
      </c>
      <c r="G194" s="5" t="str">
        <f t="shared" ref="G194:G257" si="18">IF(F194&lt;&gt;"",HEX2DEC(SUBSTITUTE(SUBSTITUTE(F194,"adrEA",""),"$","")),"")</f>
        <v/>
      </c>
      <c r="I194" s="6" t="str">
        <f t="shared" ref="I194:I257" si="19">IFERROR(DEC2HEX(H194),"")</f>
        <v>0</v>
      </c>
      <c r="K194" s="15" t="s">
        <v>3704</v>
      </c>
    </row>
    <row r="195" spans="1:11">
      <c r="A195" t="s">
        <v>2535</v>
      </c>
      <c r="B195" t="s">
        <v>3460</v>
      </c>
      <c r="E195" t="str">
        <f t="shared" si="17"/>
        <v/>
      </c>
      <c r="G195" s="5" t="str">
        <f t="shared" si="18"/>
        <v/>
      </c>
      <c r="I195" s="6" t="str">
        <f t="shared" si="19"/>
        <v>0</v>
      </c>
      <c r="K195" s="15" t="s">
        <v>3705</v>
      </c>
    </row>
    <row r="196" spans="1:11">
      <c r="A196" t="s">
        <v>2537</v>
      </c>
      <c r="B196" t="s">
        <v>3461</v>
      </c>
      <c r="E196" t="str">
        <f t="shared" si="17"/>
        <v/>
      </c>
      <c r="G196" s="5" t="str">
        <f t="shared" si="18"/>
        <v/>
      </c>
      <c r="I196" s="6" t="str">
        <f t="shared" si="19"/>
        <v>0</v>
      </c>
      <c r="K196" s="15" t="s">
        <v>3706</v>
      </c>
    </row>
    <row r="197" spans="1:11">
      <c r="A197" t="s">
        <v>2539</v>
      </c>
      <c r="B197" t="s">
        <v>3462</v>
      </c>
      <c r="E197" t="str">
        <f t="shared" si="17"/>
        <v/>
      </c>
      <c r="G197" s="5" t="str">
        <f t="shared" si="18"/>
        <v/>
      </c>
      <c r="I197" s="6" t="str">
        <f t="shared" si="19"/>
        <v>0</v>
      </c>
      <c r="K197" s="15" t="s">
        <v>3707</v>
      </c>
    </row>
    <row r="198" spans="1:11">
      <c r="A198" t="s">
        <v>2540</v>
      </c>
      <c r="B198" t="s">
        <v>3463</v>
      </c>
      <c r="E198" t="str">
        <f t="shared" si="17"/>
        <v/>
      </c>
      <c r="G198" s="5" t="str">
        <f t="shared" si="18"/>
        <v/>
      </c>
      <c r="I198" s="6" t="str">
        <f t="shared" si="19"/>
        <v>0</v>
      </c>
      <c r="K198" s="15" t="s">
        <v>3708</v>
      </c>
    </row>
    <row r="199" spans="1:11">
      <c r="A199" t="s">
        <v>2959</v>
      </c>
      <c r="B199" t="s">
        <v>3464</v>
      </c>
      <c r="E199" t="str">
        <f t="shared" si="17"/>
        <v/>
      </c>
      <c r="G199" s="5" t="str">
        <f t="shared" si="18"/>
        <v/>
      </c>
      <c r="I199" s="6" t="str">
        <f t="shared" si="19"/>
        <v>0</v>
      </c>
      <c r="K199" s="15" t="s">
        <v>3523</v>
      </c>
    </row>
    <row r="200" spans="1:11">
      <c r="A200" t="s">
        <v>2201</v>
      </c>
      <c r="B200" t="s">
        <v>3465</v>
      </c>
      <c r="C200" s="7" t="s">
        <v>3114</v>
      </c>
      <c r="D200" t="s">
        <v>3466</v>
      </c>
      <c r="E200" t="s">
        <v>5371</v>
      </c>
      <c r="F200" s="5" t="s">
        <v>3467</v>
      </c>
      <c r="G200" s="5">
        <f t="shared" si="18"/>
        <v>38988</v>
      </c>
      <c r="H200" s="5">
        <v>32</v>
      </c>
      <c r="I200" s="6" t="str">
        <f t="shared" si="19"/>
        <v>20</v>
      </c>
      <c r="K200" s="19" t="s">
        <v>5372</v>
      </c>
    </row>
    <row r="201" spans="1:11">
      <c r="A201" t="s">
        <v>2207</v>
      </c>
      <c r="B201" t="s">
        <v>3507</v>
      </c>
      <c r="C201" s="7" t="s">
        <v>3114</v>
      </c>
      <c r="D201" t="s">
        <v>3468</v>
      </c>
      <c r="E201" t="s">
        <v>5373</v>
      </c>
      <c r="F201" s="5" t="s">
        <v>3469</v>
      </c>
      <c r="G201" s="5">
        <f t="shared" si="18"/>
        <v>39194</v>
      </c>
      <c r="H201" s="5">
        <v>4</v>
      </c>
      <c r="I201" s="6" t="str">
        <f t="shared" si="19"/>
        <v>4</v>
      </c>
      <c r="K201" s="19" t="s">
        <v>5374</v>
      </c>
    </row>
    <row r="202" spans="1:11" ht="17">
      <c r="A202" t="s">
        <v>2348</v>
      </c>
      <c r="B202" s="17" t="s">
        <v>3508</v>
      </c>
      <c r="C202" s="16" t="s">
        <v>3114</v>
      </c>
      <c r="D202" t="s">
        <v>3470</v>
      </c>
      <c r="E202" t="str">
        <f t="shared" ref="E202:E233" si="20">IF(D202&lt;&gt;"",C202&amp;"/"&amp;D202,"")</f>
        <v>gfx-data/Monster_DistanceGroups.lookup</v>
      </c>
      <c r="F202" s="5" t="s">
        <v>3471</v>
      </c>
      <c r="G202" s="5">
        <f t="shared" si="18"/>
        <v>41394</v>
      </c>
      <c r="H202" s="5">
        <v>6</v>
      </c>
      <c r="I202" s="6" t="str">
        <f t="shared" si="19"/>
        <v>6</v>
      </c>
      <c r="K202" s="15" t="s">
        <v>3524</v>
      </c>
    </row>
    <row r="203" spans="1:11" ht="17">
      <c r="A203" t="s">
        <v>2220</v>
      </c>
      <c r="B203" s="17" t="s">
        <v>3509</v>
      </c>
      <c r="C203" s="5" t="s">
        <v>51</v>
      </c>
      <c r="D203" s="17" t="s">
        <v>3511</v>
      </c>
      <c r="E203" t="str">
        <f t="shared" si="20"/>
        <v>monsters/Summon_Body.layout</v>
      </c>
      <c r="F203" s="5" t="s">
        <v>3472</v>
      </c>
      <c r="G203" s="5">
        <f t="shared" si="18"/>
        <v>39484</v>
      </c>
      <c r="H203" s="5">
        <v>12</v>
      </c>
      <c r="I203" s="6" t="str">
        <f t="shared" si="19"/>
        <v>C</v>
      </c>
      <c r="K203" s="15" t="s">
        <v>3525</v>
      </c>
    </row>
    <row r="204" spans="1:11" ht="17">
      <c r="A204" t="s">
        <v>2221</v>
      </c>
      <c r="B204" s="17" t="s">
        <v>3510</v>
      </c>
      <c r="C204" s="5" t="s">
        <v>51</v>
      </c>
      <c r="D204" s="17" t="s">
        <v>3512</v>
      </c>
      <c r="E204" t="str">
        <f t="shared" si="20"/>
        <v>monsters/Summon_ArmVariants.lookup</v>
      </c>
      <c r="F204" s="5" t="s">
        <v>3473</v>
      </c>
      <c r="G204" s="5">
        <f t="shared" si="18"/>
        <v>39496</v>
      </c>
      <c r="H204" s="5">
        <v>4</v>
      </c>
      <c r="I204" s="6" t="str">
        <f t="shared" si="19"/>
        <v>4</v>
      </c>
      <c r="K204" s="15" t="s">
        <v>3526</v>
      </c>
    </row>
    <row r="205" spans="1:11">
      <c r="A205" t="s">
        <v>2222</v>
      </c>
      <c r="B205" t="s">
        <v>3474</v>
      </c>
      <c r="C205" s="5" t="s">
        <v>51</v>
      </c>
      <c r="D205" t="s">
        <v>3475</v>
      </c>
      <c r="E205" t="str">
        <f t="shared" si="20"/>
        <v>monsters/Summon_Arms.heights</v>
      </c>
      <c r="F205" s="5" t="s">
        <v>3476</v>
      </c>
      <c r="G205" s="5">
        <f t="shared" si="18"/>
        <v>39500</v>
      </c>
      <c r="H205" s="5">
        <v>12</v>
      </c>
      <c r="I205" s="6" t="str">
        <f t="shared" si="19"/>
        <v>C</v>
      </c>
      <c r="K205" s="15" t="s">
        <v>3527</v>
      </c>
    </row>
    <row r="206" spans="1:11">
      <c r="A206" t="s">
        <v>2223</v>
      </c>
      <c r="B206" t="s">
        <v>3477</v>
      </c>
      <c r="C206" s="5" t="s">
        <v>51</v>
      </c>
      <c r="D206" t="s">
        <v>3478</v>
      </c>
      <c r="E206" t="str">
        <f t="shared" si="20"/>
        <v>monsters/Summon_PrimaryArm.positions</v>
      </c>
      <c r="F206" s="5" t="s">
        <v>3479</v>
      </c>
      <c r="G206" s="5">
        <f t="shared" si="18"/>
        <v>39512</v>
      </c>
      <c r="H206" s="5">
        <v>32</v>
      </c>
      <c r="I206" s="6" t="str">
        <f t="shared" si="19"/>
        <v>20</v>
      </c>
      <c r="K206" s="15" t="s">
        <v>3528</v>
      </c>
    </row>
    <row r="207" spans="1:11">
      <c r="A207" t="s">
        <v>2224</v>
      </c>
      <c r="B207" t="s">
        <v>3480</v>
      </c>
      <c r="C207" s="5" t="s">
        <v>51</v>
      </c>
      <c r="D207" t="s">
        <v>3481</v>
      </c>
      <c r="E207" t="str">
        <f t="shared" si="20"/>
        <v>monsters/Summon_SecondaryArm.positions</v>
      </c>
      <c r="F207" s="5" t="s">
        <v>3482</v>
      </c>
      <c r="G207" s="5">
        <f t="shared" si="18"/>
        <v>39544</v>
      </c>
      <c r="H207" s="5">
        <v>96</v>
      </c>
      <c r="I207" s="6" t="str">
        <f t="shared" si="19"/>
        <v>60</v>
      </c>
      <c r="K207" s="15" t="s">
        <v>3529</v>
      </c>
    </row>
    <row r="208" spans="1:11">
      <c r="A208" t="s">
        <v>2233</v>
      </c>
      <c r="B208" t="s">
        <v>3269</v>
      </c>
      <c r="C208" s="5" t="s">
        <v>51</v>
      </c>
      <c r="D208" t="s">
        <v>3483</v>
      </c>
      <c r="E208" t="str">
        <f t="shared" si="20"/>
        <v>monsters/Summon.offsets</v>
      </c>
      <c r="F208" s="5" t="s">
        <v>3484</v>
      </c>
      <c r="G208" s="5">
        <f t="shared" si="18"/>
        <v>39738</v>
      </c>
      <c r="H208" s="5">
        <v>36</v>
      </c>
      <c r="I208" s="6" t="str">
        <f t="shared" si="19"/>
        <v>24</v>
      </c>
      <c r="K208" s="15" t="s">
        <v>3530</v>
      </c>
    </row>
    <row r="209" spans="1:11">
      <c r="A209" t="s">
        <v>2234</v>
      </c>
      <c r="B209" t="s">
        <v>3270</v>
      </c>
      <c r="C209" s="5" t="s">
        <v>51</v>
      </c>
      <c r="D209" t="s">
        <v>3485</v>
      </c>
      <c r="E209" t="str">
        <f t="shared" si="20"/>
        <v>monsters/Summon_Arms.offsets</v>
      </c>
      <c r="F209" s="5" t="s">
        <v>3486</v>
      </c>
      <c r="G209" s="5">
        <f t="shared" si="18"/>
        <v>39774</v>
      </c>
      <c r="H209" s="5">
        <v>24</v>
      </c>
      <c r="I209" s="6" t="str">
        <f t="shared" si="19"/>
        <v>18</v>
      </c>
      <c r="K209" s="15" t="s">
        <v>3531</v>
      </c>
    </row>
    <row r="210" spans="1:11" ht="17">
      <c r="A210" t="s">
        <v>3267</v>
      </c>
      <c r="C210" s="5" t="s">
        <v>51</v>
      </c>
      <c r="D210" t="s">
        <v>3513</v>
      </c>
      <c r="E210" t="str">
        <f t="shared" si="20"/>
        <v>monsters/Entropy_LimbMirroring.flags</v>
      </c>
      <c r="F210" s="5" t="s">
        <v>3487</v>
      </c>
      <c r="G210" s="5">
        <f t="shared" si="18"/>
        <v>41598</v>
      </c>
      <c r="H210" s="5">
        <v>2</v>
      </c>
      <c r="I210" s="6" t="str">
        <f t="shared" si="19"/>
        <v>2</v>
      </c>
      <c r="J210" s="6" t="s">
        <v>3424</v>
      </c>
      <c r="K210" s="21" t="s">
        <v>3532</v>
      </c>
    </row>
    <row r="211" spans="1:11">
      <c r="A211" t="s">
        <v>2360</v>
      </c>
      <c r="B211" t="s">
        <v>3514</v>
      </c>
      <c r="C211" s="5" t="s">
        <v>51</v>
      </c>
      <c r="D211" t="s">
        <v>3515</v>
      </c>
      <c r="E211" t="str">
        <f t="shared" si="20"/>
        <v>monsters/Entropy.layout</v>
      </c>
      <c r="F211" s="5" t="s">
        <v>3488</v>
      </c>
      <c r="G211" s="5">
        <f t="shared" si="18"/>
        <v>41600</v>
      </c>
      <c r="H211" s="5">
        <v>62</v>
      </c>
      <c r="I211" s="6" t="str">
        <f t="shared" si="19"/>
        <v>3E</v>
      </c>
      <c r="K211" s="15" t="s">
        <v>3533</v>
      </c>
    </row>
    <row r="212" spans="1:11">
      <c r="A212" t="s">
        <v>3267</v>
      </c>
      <c r="C212" s="5" t="s">
        <v>51</v>
      </c>
      <c r="D212" t="s">
        <v>3489</v>
      </c>
      <c r="E212" t="str">
        <f t="shared" si="20"/>
        <v>monsters/Entropy.offsets</v>
      </c>
      <c r="F212" s="5" t="s">
        <v>3490</v>
      </c>
      <c r="G212" s="5">
        <f t="shared" si="18"/>
        <v>41666</v>
      </c>
      <c r="H212" s="5">
        <v>32</v>
      </c>
      <c r="I212" s="6" t="str">
        <f t="shared" si="19"/>
        <v>20</v>
      </c>
      <c r="J212" s="6" t="s">
        <v>3424</v>
      </c>
      <c r="K212" s="15" t="s">
        <v>3534</v>
      </c>
    </row>
    <row r="213" spans="1:11">
      <c r="A213" t="s">
        <v>3267</v>
      </c>
      <c r="C213" s="5" t="s">
        <v>51</v>
      </c>
      <c r="D213" t="s">
        <v>3516</v>
      </c>
      <c r="E213" t="str">
        <f t="shared" si="20"/>
        <v>monsters/Behemoth_LimbMirroring.flags</v>
      </c>
      <c r="F213" s="5" t="s">
        <v>3491</v>
      </c>
      <c r="G213" s="5">
        <f t="shared" si="18"/>
        <v>41698</v>
      </c>
      <c r="H213" s="5">
        <v>2</v>
      </c>
      <c r="I213" s="6" t="str">
        <f t="shared" si="19"/>
        <v>2</v>
      </c>
      <c r="J213" s="6" t="s">
        <v>3424</v>
      </c>
      <c r="K213" s="15" t="s">
        <v>3535</v>
      </c>
    </row>
    <row r="214" spans="1:11">
      <c r="A214" t="s">
        <v>2361</v>
      </c>
      <c r="B214" t="s">
        <v>3517</v>
      </c>
      <c r="C214" s="5" t="s">
        <v>51</v>
      </c>
      <c r="D214" t="s">
        <v>3518</v>
      </c>
      <c r="E214" t="str">
        <f t="shared" si="20"/>
        <v>monsters/Behemoth.layout</v>
      </c>
      <c r="F214" s="5" t="s">
        <v>3492</v>
      </c>
      <c r="G214" s="5">
        <f t="shared" si="18"/>
        <v>41700</v>
      </c>
      <c r="H214" s="5">
        <v>62</v>
      </c>
      <c r="I214" s="6" t="str">
        <f t="shared" si="19"/>
        <v>3E</v>
      </c>
      <c r="K214" s="15" t="s">
        <v>3536</v>
      </c>
    </row>
    <row r="215" spans="1:11">
      <c r="A215" t="s">
        <v>3267</v>
      </c>
      <c r="C215" s="5" t="s">
        <v>51</v>
      </c>
      <c r="D215" t="s">
        <v>3493</v>
      </c>
      <c r="E215" t="str">
        <f t="shared" si="20"/>
        <v>monsters/Behemoth.offsets</v>
      </c>
      <c r="F215" s="5" t="s">
        <v>3494</v>
      </c>
      <c r="G215" s="5">
        <f t="shared" si="18"/>
        <v>41766</v>
      </c>
      <c r="H215" s="5">
        <v>24</v>
      </c>
      <c r="I215" s="6" t="str">
        <f t="shared" si="19"/>
        <v>18</v>
      </c>
      <c r="J215" s="6" t="s">
        <v>3424</v>
      </c>
      <c r="K215" s="15" t="s">
        <v>3537</v>
      </c>
    </row>
    <row r="216" spans="1:11">
      <c r="A216" t="s">
        <v>2362</v>
      </c>
      <c r="B216" t="s">
        <v>3495</v>
      </c>
      <c r="C216" s="5" t="s">
        <v>51</v>
      </c>
      <c r="D216" t="s">
        <v>3496</v>
      </c>
      <c r="E216" t="str">
        <f t="shared" si="20"/>
        <v>monsters/Behemoth_Claws.offsets</v>
      </c>
      <c r="F216" s="5" t="s">
        <v>3497</v>
      </c>
      <c r="G216" s="5">
        <f t="shared" si="18"/>
        <v>41790</v>
      </c>
      <c r="H216" s="5">
        <v>8</v>
      </c>
      <c r="I216" s="6" t="str">
        <f t="shared" si="19"/>
        <v>8</v>
      </c>
      <c r="K216" s="15" t="s">
        <v>3538</v>
      </c>
    </row>
    <row r="217" spans="1:11">
      <c r="A217" t="s">
        <v>2318</v>
      </c>
      <c r="B217" t="s">
        <v>6043</v>
      </c>
      <c r="G217" s="5" t="str">
        <f t="shared" si="18"/>
        <v/>
      </c>
      <c r="I217" s="6" t="str">
        <f t="shared" si="19"/>
        <v>0</v>
      </c>
      <c r="K217" s="19" t="s">
        <v>6044</v>
      </c>
    </row>
    <row r="218" spans="1:11">
      <c r="A218" t="s">
        <v>2325</v>
      </c>
      <c r="B218" t="s">
        <v>3498</v>
      </c>
      <c r="C218" s="5" t="s">
        <v>51</v>
      </c>
      <c r="D218" t="s">
        <v>3499</v>
      </c>
      <c r="E218" t="str">
        <f t="shared" si="20"/>
        <v>monsters/Dragon_Side_X.positions</v>
      </c>
      <c r="F218" s="5" t="s">
        <v>3500</v>
      </c>
      <c r="G218" s="5">
        <f t="shared" si="18"/>
        <v>40984</v>
      </c>
      <c r="H218" s="5">
        <v>10</v>
      </c>
      <c r="I218" s="6" t="str">
        <f t="shared" si="19"/>
        <v>A</v>
      </c>
      <c r="K218" s="15" t="s">
        <v>3539</v>
      </c>
    </row>
    <row r="219" spans="1:11">
      <c r="A219" t="s">
        <v>2332</v>
      </c>
      <c r="B219" t="s">
        <v>6045</v>
      </c>
      <c r="G219" s="5" t="str">
        <f t="shared" si="18"/>
        <v/>
      </c>
      <c r="I219" s="6" t="str">
        <f t="shared" si="19"/>
        <v>0</v>
      </c>
      <c r="K219" s="19" t="s">
        <v>6046</v>
      </c>
    </row>
    <row r="220" spans="1:11">
      <c r="A220" t="s">
        <v>2336</v>
      </c>
      <c r="B220" t="s">
        <v>6053</v>
      </c>
      <c r="G220" s="5" t="str">
        <f t="shared" si="18"/>
        <v/>
      </c>
      <c r="I220" s="6" t="str">
        <f t="shared" si="19"/>
        <v>0</v>
      </c>
      <c r="K220" s="19" t="s">
        <v>6054</v>
      </c>
    </row>
    <row r="221" spans="1:11">
      <c r="A221" t="s">
        <v>2342</v>
      </c>
      <c r="B221" t="s">
        <v>3501</v>
      </c>
      <c r="C221" s="5" t="s">
        <v>51</v>
      </c>
      <c r="D221" t="s">
        <v>3502</v>
      </c>
      <c r="E221" t="str">
        <f t="shared" si="20"/>
        <v>monsters/Dragon_MirroredHalf_X.positions</v>
      </c>
      <c r="F221" s="5" t="s">
        <v>3503</v>
      </c>
      <c r="G221" s="5">
        <f t="shared" si="18"/>
        <v>41290</v>
      </c>
      <c r="H221" s="5">
        <v>6</v>
      </c>
      <c r="I221" s="6" t="str">
        <f t="shared" si="19"/>
        <v>6</v>
      </c>
      <c r="K221" s="15" t="s">
        <v>3540</v>
      </c>
    </row>
    <row r="222" spans="1:11">
      <c r="A222" t="s">
        <v>2343</v>
      </c>
      <c r="B222" t="s">
        <v>6059</v>
      </c>
      <c r="G222" s="5" t="str">
        <f t="shared" si="18"/>
        <v/>
      </c>
      <c r="I222" s="6" t="str">
        <f t="shared" si="19"/>
        <v>0</v>
      </c>
      <c r="K222" s="19" t="s">
        <v>6060</v>
      </c>
    </row>
    <row r="223" spans="1:11">
      <c r="A223" t="s">
        <v>2241</v>
      </c>
      <c r="B223" t="s">
        <v>6003</v>
      </c>
      <c r="G223" s="5" t="str">
        <f t="shared" si="18"/>
        <v/>
      </c>
      <c r="I223" s="6" t="str">
        <f t="shared" si="19"/>
        <v>0</v>
      </c>
      <c r="K223" s="19" t="s">
        <v>6004</v>
      </c>
    </row>
    <row r="224" spans="1:11" ht="17">
      <c r="A224" t="s">
        <v>2251</v>
      </c>
      <c r="B224" s="17" t="s">
        <v>3519</v>
      </c>
      <c r="C224" s="5" t="s">
        <v>51</v>
      </c>
      <c r="D224" s="17" t="s">
        <v>3520</v>
      </c>
      <c r="E224" t="str">
        <f t="shared" si="20"/>
        <v>monsters/Crab_SideNear.layout</v>
      </c>
      <c r="F224" s="5" t="s">
        <v>3504</v>
      </c>
      <c r="G224" s="5">
        <f t="shared" si="18"/>
        <v>40020</v>
      </c>
      <c r="H224" s="5">
        <v>16</v>
      </c>
      <c r="I224" s="6" t="str">
        <f t="shared" si="19"/>
        <v>10</v>
      </c>
      <c r="J224" s="6" t="s">
        <v>3424</v>
      </c>
      <c r="K224" s="15" t="s">
        <v>3541</v>
      </c>
    </row>
    <row r="225" spans="1:11">
      <c r="A225" t="s">
        <v>2257</v>
      </c>
      <c r="B225" t="s">
        <v>6017</v>
      </c>
      <c r="G225" s="5" t="str">
        <f t="shared" si="18"/>
        <v/>
      </c>
      <c r="I225" s="6" t="str">
        <f t="shared" si="19"/>
        <v>0</v>
      </c>
      <c r="K225" s="19" t="s">
        <v>6018</v>
      </c>
    </row>
    <row r="226" spans="1:11">
      <c r="A226" t="s">
        <v>2262</v>
      </c>
      <c r="B226" t="s">
        <v>6019</v>
      </c>
      <c r="G226" s="5" t="str">
        <f t="shared" si="18"/>
        <v/>
      </c>
      <c r="I226" s="6" t="str">
        <f t="shared" si="19"/>
        <v>0</v>
      </c>
      <c r="K226" s="19" t="s">
        <v>6020</v>
      </c>
    </row>
    <row r="227" spans="1:11">
      <c r="A227" t="s">
        <v>2270</v>
      </c>
      <c r="B227" t="s">
        <v>6021</v>
      </c>
      <c r="G227" s="5" t="str">
        <f t="shared" si="18"/>
        <v/>
      </c>
      <c r="I227" s="6" t="str">
        <f t="shared" si="19"/>
        <v>0</v>
      </c>
      <c r="K227" s="19" t="s">
        <v>6022</v>
      </c>
    </row>
    <row r="228" spans="1:11">
      <c r="A228" t="s">
        <v>2278</v>
      </c>
      <c r="B228" t="s">
        <v>6027</v>
      </c>
      <c r="G228" s="5" t="str">
        <f t="shared" si="18"/>
        <v/>
      </c>
      <c r="I228" s="6" t="str">
        <f t="shared" si="19"/>
        <v>0</v>
      </c>
      <c r="K228" s="19" t="s">
        <v>6028</v>
      </c>
    </row>
    <row r="229" spans="1:11">
      <c r="A229" t="s">
        <v>2281</v>
      </c>
      <c r="B229" t="s">
        <v>6033</v>
      </c>
      <c r="G229" s="5" t="str">
        <f t="shared" si="18"/>
        <v/>
      </c>
      <c r="I229" s="6" t="str">
        <f t="shared" si="19"/>
        <v>0</v>
      </c>
      <c r="K229" s="19" t="s">
        <v>6034</v>
      </c>
    </row>
    <row r="230" spans="1:11">
      <c r="A230" t="s">
        <v>3050</v>
      </c>
      <c r="B230" t="s">
        <v>3103</v>
      </c>
      <c r="C230" s="5" t="s">
        <v>187</v>
      </c>
      <c r="D230" t="s">
        <v>188</v>
      </c>
      <c r="E230" t="str">
        <f t="shared" si="20"/>
        <v>sfx/sample1.sound</v>
      </c>
      <c r="F230" s="5" t="s">
        <v>189</v>
      </c>
      <c r="G230" s="5">
        <f t="shared" si="18"/>
        <v>344222</v>
      </c>
      <c r="H230" s="5">
        <v>132</v>
      </c>
      <c r="I230" s="6" t="str">
        <f t="shared" si="19"/>
        <v>84</v>
      </c>
      <c r="K230" s="24" t="s">
        <v>4685</v>
      </c>
    </row>
    <row r="231" spans="1:11">
      <c r="A231" t="s">
        <v>3108</v>
      </c>
      <c r="B231" t="s">
        <v>3110</v>
      </c>
      <c r="E231" t="str">
        <f t="shared" si="20"/>
        <v/>
      </c>
      <c r="G231" s="5" t="str">
        <f t="shared" si="18"/>
        <v/>
      </c>
      <c r="I231" s="6" t="str">
        <f t="shared" si="19"/>
        <v>0</v>
      </c>
      <c r="K231" s="24"/>
    </row>
    <row r="232" spans="1:11">
      <c r="A232" t="s">
        <v>3109</v>
      </c>
      <c r="B232" t="s">
        <v>3110</v>
      </c>
      <c r="E232" t="str">
        <f t="shared" si="20"/>
        <v/>
      </c>
      <c r="G232" s="5" t="str">
        <f t="shared" si="18"/>
        <v/>
      </c>
      <c r="I232" s="6" t="str">
        <f t="shared" si="19"/>
        <v>0</v>
      </c>
      <c r="K232" s="24"/>
    </row>
    <row r="233" spans="1:11">
      <c r="A233" t="s">
        <v>3111</v>
      </c>
      <c r="B233" t="s">
        <v>3110</v>
      </c>
      <c r="E233" t="str">
        <f t="shared" si="20"/>
        <v/>
      </c>
      <c r="G233" s="5" t="str">
        <f t="shared" si="18"/>
        <v/>
      </c>
      <c r="I233" s="6" t="str">
        <f t="shared" si="19"/>
        <v>0</v>
      </c>
      <c r="K233" s="24"/>
    </row>
    <row r="234" spans="1:11">
      <c r="A234" t="s">
        <v>3112</v>
      </c>
      <c r="B234" t="s">
        <v>3110</v>
      </c>
      <c r="E234" t="str">
        <f t="shared" ref="E234:E265" si="21">IF(D234&lt;&gt;"",C234&amp;"/"&amp;D234,"")</f>
        <v/>
      </c>
      <c r="G234" s="5" t="str">
        <f t="shared" si="18"/>
        <v/>
      </c>
      <c r="I234" s="6" t="str">
        <f t="shared" si="19"/>
        <v>0</v>
      </c>
      <c r="K234" s="24"/>
    </row>
    <row r="235" spans="1:11">
      <c r="A235" t="s">
        <v>3051</v>
      </c>
      <c r="B235" t="s">
        <v>3104</v>
      </c>
      <c r="C235" s="5" t="s">
        <v>187</v>
      </c>
      <c r="D235" t="s">
        <v>190</v>
      </c>
      <c r="E235" t="str">
        <f t="shared" si="21"/>
        <v>sfx/sample2.sound</v>
      </c>
      <c r="F235" s="5" t="s">
        <v>191</v>
      </c>
      <c r="G235" s="5">
        <f t="shared" si="18"/>
        <v>344354</v>
      </c>
      <c r="H235" s="5">
        <v>1474</v>
      </c>
      <c r="I235" s="6" t="str">
        <f t="shared" si="19"/>
        <v>5C2</v>
      </c>
      <c r="K235" s="24" t="s">
        <v>4686</v>
      </c>
    </row>
    <row r="236" spans="1:11">
      <c r="A236" t="s">
        <v>3052</v>
      </c>
      <c r="B236" t="s">
        <v>3105</v>
      </c>
      <c r="C236" s="5" t="s">
        <v>187</v>
      </c>
      <c r="D236" t="s">
        <v>192</v>
      </c>
      <c r="E236" t="str">
        <f t="shared" si="21"/>
        <v>sfx/sample3.sound</v>
      </c>
      <c r="F236" s="5" t="s">
        <v>193</v>
      </c>
      <c r="G236" s="5">
        <f t="shared" si="18"/>
        <v>345828</v>
      </c>
      <c r="H236" s="5">
        <v>6280</v>
      </c>
      <c r="I236" s="6" t="str">
        <f t="shared" si="19"/>
        <v>1888</v>
      </c>
      <c r="K236" s="24" t="s">
        <v>4687</v>
      </c>
    </row>
    <row r="237" spans="1:11">
      <c r="A237" t="s">
        <v>3053</v>
      </c>
      <c r="B237" t="s">
        <v>3106</v>
      </c>
      <c r="C237" s="5" t="s">
        <v>187</v>
      </c>
      <c r="D237" t="s">
        <v>194</v>
      </c>
      <c r="E237" t="str">
        <f t="shared" si="21"/>
        <v>sfx/sample4.sound</v>
      </c>
      <c r="F237" s="5" t="s">
        <v>195</v>
      </c>
      <c r="G237" s="5">
        <f t="shared" si="18"/>
        <v>352108</v>
      </c>
      <c r="H237" s="5">
        <v>6070</v>
      </c>
      <c r="I237" s="6" t="str">
        <f t="shared" si="19"/>
        <v>17B6</v>
      </c>
      <c r="K237" s="24" t="s">
        <v>4688</v>
      </c>
    </row>
    <row r="238" spans="1:11">
      <c r="A238" t="s">
        <v>3054</v>
      </c>
      <c r="B238" t="s">
        <v>3107</v>
      </c>
      <c r="C238" s="5" t="s">
        <v>187</v>
      </c>
      <c r="D238" t="s">
        <v>196</v>
      </c>
      <c r="E238" t="str">
        <f t="shared" si="21"/>
        <v>sfx/sample5.sound</v>
      </c>
      <c r="F238" s="5" t="s">
        <v>197</v>
      </c>
      <c r="G238" s="5">
        <f t="shared" si="18"/>
        <v>358178</v>
      </c>
      <c r="H238" s="5">
        <v>3458</v>
      </c>
      <c r="I238" s="6" t="str">
        <f t="shared" si="19"/>
        <v>D82</v>
      </c>
      <c r="K238" s="24" t="s">
        <v>4689</v>
      </c>
    </row>
    <row r="239" spans="1:11">
      <c r="A239" t="s">
        <v>3055</v>
      </c>
      <c r="B239" t="s">
        <v>3056</v>
      </c>
      <c r="C239" s="5" t="s">
        <v>48</v>
      </c>
      <c r="D239" t="s">
        <v>198</v>
      </c>
      <c r="E239" t="str">
        <f t="shared" si="21"/>
        <v>data/reservespace1.block</v>
      </c>
      <c r="F239" s="5" t="s">
        <v>199</v>
      </c>
      <c r="G239" s="5">
        <f t="shared" si="18"/>
        <v>362636</v>
      </c>
      <c r="H239" s="5">
        <v>1000</v>
      </c>
      <c r="I239" s="6" t="str">
        <f t="shared" si="19"/>
        <v>3E8</v>
      </c>
      <c r="K239" s="24"/>
    </row>
    <row r="240" spans="1:11">
      <c r="A240" t="s">
        <v>3057</v>
      </c>
      <c r="B240" t="s">
        <v>3058</v>
      </c>
      <c r="C240" s="5" t="s">
        <v>48</v>
      </c>
      <c r="D240" t="s">
        <v>200</v>
      </c>
      <c r="E240" t="str">
        <f t="shared" si="21"/>
        <v>data/reservespace2.block</v>
      </c>
      <c r="F240" s="5" t="s">
        <v>201</v>
      </c>
      <c r="G240" s="5">
        <f t="shared" si="18"/>
        <v>361636</v>
      </c>
      <c r="H240" s="5">
        <v>1000</v>
      </c>
      <c r="I240" s="6" t="str">
        <f t="shared" si="19"/>
        <v>3E8</v>
      </c>
      <c r="K240" s="24"/>
    </row>
    <row r="241" spans="1:11">
      <c r="A241" t="s">
        <v>292</v>
      </c>
      <c r="B241" t="s">
        <v>293</v>
      </c>
      <c r="E241" t="str">
        <f t="shared" si="21"/>
        <v/>
      </c>
      <c r="G241" s="5" t="str">
        <f t="shared" si="18"/>
        <v/>
      </c>
      <c r="I241" s="6" t="str">
        <f t="shared" si="19"/>
        <v>0</v>
      </c>
      <c r="K241" s="24"/>
    </row>
    <row r="242" spans="1:11">
      <c r="A242" t="s">
        <v>294</v>
      </c>
      <c r="B242" t="s">
        <v>297</v>
      </c>
      <c r="E242" t="str">
        <f t="shared" si="21"/>
        <v/>
      </c>
      <c r="G242" s="5" t="str">
        <f t="shared" si="18"/>
        <v/>
      </c>
      <c r="I242" s="6" t="str">
        <f t="shared" si="19"/>
        <v>0</v>
      </c>
      <c r="K242" s="24"/>
    </row>
    <row r="243" spans="1:11">
      <c r="A243" t="s">
        <v>295</v>
      </c>
      <c r="B243" t="s">
        <v>296</v>
      </c>
      <c r="E243" t="str">
        <f t="shared" si="21"/>
        <v/>
      </c>
      <c r="G243" s="5" t="str">
        <f t="shared" si="18"/>
        <v/>
      </c>
      <c r="I243" s="6" t="str">
        <f t="shared" si="19"/>
        <v>0</v>
      </c>
      <c r="K243" s="24"/>
    </row>
    <row r="244" spans="1:11">
      <c r="A244" t="s">
        <v>298</v>
      </c>
      <c r="B244" t="s">
        <v>3059</v>
      </c>
      <c r="E244" t="str">
        <f t="shared" si="21"/>
        <v/>
      </c>
      <c r="G244" s="5" t="str">
        <f t="shared" si="18"/>
        <v/>
      </c>
      <c r="I244" s="6" t="str">
        <f t="shared" si="19"/>
        <v>0</v>
      </c>
      <c r="K244" s="24"/>
    </row>
    <row r="245" spans="1:11">
      <c r="A245" t="s">
        <v>299</v>
      </c>
      <c r="B245" t="s">
        <v>300</v>
      </c>
      <c r="E245" t="str">
        <f t="shared" si="21"/>
        <v/>
      </c>
      <c r="G245" s="5" t="str">
        <f t="shared" si="18"/>
        <v/>
      </c>
      <c r="I245" s="6" t="str">
        <f t="shared" si="19"/>
        <v>0</v>
      </c>
      <c r="K245" s="24"/>
    </row>
    <row r="246" spans="1:11">
      <c r="A246" t="s">
        <v>301</v>
      </c>
      <c r="B246" t="s">
        <v>309</v>
      </c>
      <c r="E246" t="str">
        <f t="shared" si="21"/>
        <v/>
      </c>
      <c r="G246" s="5" t="str">
        <f t="shared" si="18"/>
        <v/>
      </c>
      <c r="I246" s="6" t="str">
        <f t="shared" si="19"/>
        <v>0</v>
      </c>
      <c r="K246" s="24"/>
    </row>
    <row r="247" spans="1:11">
      <c r="A247" t="s">
        <v>304</v>
      </c>
      <c r="B247" t="s">
        <v>304</v>
      </c>
      <c r="E247" t="str">
        <f t="shared" si="21"/>
        <v/>
      </c>
      <c r="G247" s="5" t="str">
        <f t="shared" si="18"/>
        <v/>
      </c>
      <c r="I247" s="6" t="str">
        <f t="shared" si="19"/>
        <v>0</v>
      </c>
    </row>
    <row r="248" spans="1:11">
      <c r="A248" t="s">
        <v>305</v>
      </c>
      <c r="B248" t="s">
        <v>305</v>
      </c>
      <c r="E248" t="str">
        <f t="shared" si="21"/>
        <v/>
      </c>
      <c r="G248" s="5" t="str">
        <f t="shared" si="18"/>
        <v/>
      </c>
      <c r="I248" s="6" t="str">
        <f t="shared" si="19"/>
        <v>0</v>
      </c>
    </row>
    <row r="249" spans="1:11">
      <c r="A249" t="s">
        <v>306</v>
      </c>
      <c r="B249" t="s">
        <v>306</v>
      </c>
      <c r="E249" t="str">
        <f t="shared" si="21"/>
        <v/>
      </c>
      <c r="G249" s="5" t="str">
        <f t="shared" si="18"/>
        <v/>
      </c>
      <c r="I249" s="6" t="str">
        <f t="shared" si="19"/>
        <v>0</v>
      </c>
    </row>
    <row r="250" spans="1:11">
      <c r="A250" t="s">
        <v>305</v>
      </c>
      <c r="B250" t="s">
        <v>305</v>
      </c>
      <c r="E250" t="str">
        <f t="shared" si="21"/>
        <v/>
      </c>
      <c r="G250" s="5" t="str">
        <f t="shared" si="18"/>
        <v/>
      </c>
      <c r="I250" s="6" t="str">
        <f t="shared" si="19"/>
        <v>0</v>
      </c>
    </row>
    <row r="251" spans="1:11">
      <c r="A251" t="s">
        <v>307</v>
      </c>
      <c r="B251" t="s">
        <v>307</v>
      </c>
      <c r="E251" t="str">
        <f t="shared" si="21"/>
        <v/>
      </c>
      <c r="G251" s="5" t="str">
        <f t="shared" si="18"/>
        <v/>
      </c>
      <c r="I251" s="6" t="str">
        <f t="shared" si="19"/>
        <v>0</v>
      </c>
    </row>
    <row r="252" spans="1:11">
      <c r="A252" t="s">
        <v>308</v>
      </c>
      <c r="B252" t="s">
        <v>6291</v>
      </c>
      <c r="K252" s="19" t="s">
        <v>6292</v>
      </c>
    </row>
    <row r="253" spans="1:11">
      <c r="A253" t="s">
        <v>310</v>
      </c>
      <c r="B253" t="s">
        <v>311</v>
      </c>
      <c r="E253" t="str">
        <f t="shared" si="21"/>
        <v/>
      </c>
      <c r="G253" s="5" t="str">
        <f t="shared" si="18"/>
        <v/>
      </c>
      <c r="I253" s="6" t="str">
        <f t="shared" si="19"/>
        <v>0</v>
      </c>
    </row>
    <row r="254" spans="1:11">
      <c r="A254" t="s">
        <v>312</v>
      </c>
      <c r="B254" t="s">
        <v>6293</v>
      </c>
      <c r="K254" s="19" t="s">
        <v>6294</v>
      </c>
    </row>
    <row r="255" spans="1:11">
      <c r="A255" t="s">
        <v>313</v>
      </c>
      <c r="B255" t="s">
        <v>5870</v>
      </c>
      <c r="G255" s="5" t="str">
        <f t="shared" si="18"/>
        <v/>
      </c>
      <c r="I255" s="6" t="str">
        <f t="shared" si="19"/>
        <v>0</v>
      </c>
      <c r="K255" s="19" t="s">
        <v>5871</v>
      </c>
    </row>
    <row r="256" spans="1:11">
      <c r="A256" t="s">
        <v>314</v>
      </c>
      <c r="B256" t="s">
        <v>6295</v>
      </c>
      <c r="K256" s="19" t="s">
        <v>6296</v>
      </c>
    </row>
    <row r="257" spans="1:11">
      <c r="A257" t="s">
        <v>315</v>
      </c>
      <c r="B257" t="s">
        <v>6297</v>
      </c>
      <c r="K257" s="19" t="s">
        <v>6298</v>
      </c>
    </row>
    <row r="258" spans="1:11">
      <c r="A258" t="s">
        <v>316</v>
      </c>
      <c r="B258" t="s">
        <v>5872</v>
      </c>
      <c r="G258" s="5" t="str">
        <f t="shared" ref="G258:G321" si="22">IF(F258&lt;&gt;"",HEX2DEC(SUBSTITUTE(SUBSTITUTE(F258,"adrEA",""),"$","")),"")</f>
        <v/>
      </c>
      <c r="I258" s="6" t="str">
        <f t="shared" ref="I258:I321" si="23">IFERROR(DEC2HEX(H258),"")</f>
        <v>0</v>
      </c>
      <c r="K258" s="19" t="s">
        <v>5873</v>
      </c>
    </row>
    <row r="259" spans="1:11">
      <c r="A259" t="s">
        <v>317</v>
      </c>
      <c r="B259" t="s">
        <v>5874</v>
      </c>
      <c r="G259" s="5" t="str">
        <f t="shared" si="22"/>
        <v/>
      </c>
      <c r="I259" s="6" t="str">
        <f t="shared" si="23"/>
        <v>0</v>
      </c>
      <c r="K259" s="19" t="s">
        <v>5875</v>
      </c>
    </row>
    <row r="260" spans="1:11">
      <c r="A260" t="s">
        <v>318</v>
      </c>
      <c r="B260" t="s">
        <v>5876</v>
      </c>
      <c r="G260" s="5" t="str">
        <f t="shared" si="22"/>
        <v/>
      </c>
      <c r="I260" s="6" t="str">
        <f t="shared" si="23"/>
        <v>0</v>
      </c>
      <c r="K260" s="19" t="s">
        <v>5877</v>
      </c>
    </row>
    <row r="261" spans="1:11">
      <c r="A261" t="s">
        <v>319</v>
      </c>
      <c r="B261" t="s">
        <v>320</v>
      </c>
      <c r="E261" t="str">
        <f t="shared" si="21"/>
        <v/>
      </c>
      <c r="G261" s="5" t="str">
        <f t="shared" si="22"/>
        <v/>
      </c>
      <c r="I261" s="6" t="str">
        <f t="shared" si="23"/>
        <v>0</v>
      </c>
    </row>
    <row r="262" spans="1:11">
      <c r="A262" t="s">
        <v>321</v>
      </c>
      <c r="B262" t="s">
        <v>322</v>
      </c>
      <c r="E262" t="str">
        <f t="shared" si="21"/>
        <v/>
      </c>
      <c r="G262" s="5" t="str">
        <f t="shared" si="22"/>
        <v/>
      </c>
      <c r="I262" s="6" t="str">
        <f t="shared" si="23"/>
        <v>0</v>
      </c>
    </row>
    <row r="263" spans="1:11">
      <c r="A263" t="s">
        <v>323</v>
      </c>
      <c r="B263" t="s">
        <v>324</v>
      </c>
      <c r="E263" t="str">
        <f t="shared" si="21"/>
        <v/>
      </c>
      <c r="G263" s="5" t="str">
        <f t="shared" si="22"/>
        <v/>
      </c>
      <c r="I263" s="6" t="str">
        <f t="shared" si="23"/>
        <v>0</v>
      </c>
    </row>
    <row r="264" spans="1:11">
      <c r="A264" t="s">
        <v>325</v>
      </c>
      <c r="B264" t="s">
        <v>326</v>
      </c>
      <c r="E264" t="str">
        <f t="shared" si="21"/>
        <v/>
      </c>
      <c r="G264" s="5" t="str">
        <f t="shared" si="22"/>
        <v/>
      </c>
      <c r="I264" s="6" t="str">
        <f t="shared" si="23"/>
        <v>0</v>
      </c>
    </row>
    <row r="265" spans="1:11">
      <c r="A265" t="s">
        <v>327</v>
      </c>
      <c r="B265" t="s">
        <v>328</v>
      </c>
      <c r="E265" t="str">
        <f t="shared" si="21"/>
        <v/>
      </c>
      <c r="G265" s="5" t="str">
        <f t="shared" si="22"/>
        <v/>
      </c>
      <c r="I265" s="6" t="str">
        <f t="shared" si="23"/>
        <v>0</v>
      </c>
    </row>
    <row r="266" spans="1:11">
      <c r="A266" t="s">
        <v>329</v>
      </c>
      <c r="B266" t="s">
        <v>330</v>
      </c>
      <c r="E266" t="str">
        <f t="shared" ref="E266:E284" si="24">IF(D266&lt;&gt;"",C266&amp;"/"&amp;D266,"")</f>
        <v/>
      </c>
      <c r="G266" s="5" t="str">
        <f t="shared" si="22"/>
        <v/>
      </c>
      <c r="I266" s="6" t="str">
        <f t="shared" si="23"/>
        <v>0</v>
      </c>
    </row>
    <row r="267" spans="1:11">
      <c r="A267" t="s">
        <v>331</v>
      </c>
      <c r="B267" t="s">
        <v>332</v>
      </c>
      <c r="E267" t="str">
        <f t="shared" si="24"/>
        <v/>
      </c>
      <c r="G267" s="5" t="str">
        <f t="shared" si="22"/>
        <v/>
      </c>
      <c r="I267" s="6" t="str">
        <f t="shared" si="23"/>
        <v>0</v>
      </c>
    </row>
    <row r="268" spans="1:11">
      <c r="A268" t="s">
        <v>333</v>
      </c>
      <c r="B268" t="s">
        <v>333</v>
      </c>
      <c r="E268" t="str">
        <f t="shared" si="24"/>
        <v/>
      </c>
      <c r="G268" s="5" t="str">
        <f t="shared" si="22"/>
        <v/>
      </c>
      <c r="I268" s="6" t="str">
        <f t="shared" si="23"/>
        <v>0</v>
      </c>
    </row>
    <row r="269" spans="1:11">
      <c r="A269" t="s">
        <v>334</v>
      </c>
      <c r="B269" t="s">
        <v>335</v>
      </c>
      <c r="E269" t="str">
        <f t="shared" si="24"/>
        <v/>
      </c>
      <c r="G269" s="5" t="str">
        <f t="shared" si="22"/>
        <v/>
      </c>
      <c r="I269" s="6" t="str">
        <f t="shared" si="23"/>
        <v>0</v>
      </c>
    </row>
    <row r="270" spans="1:11">
      <c r="A270" t="s">
        <v>336</v>
      </c>
      <c r="B270" t="s">
        <v>337</v>
      </c>
      <c r="E270" t="str">
        <f t="shared" si="24"/>
        <v/>
      </c>
      <c r="G270" s="5" t="str">
        <f t="shared" si="22"/>
        <v/>
      </c>
      <c r="I270" s="6" t="str">
        <f t="shared" si="23"/>
        <v>0</v>
      </c>
    </row>
    <row r="271" spans="1:11">
      <c r="A271" t="s">
        <v>338</v>
      </c>
      <c r="B271" t="s">
        <v>334</v>
      </c>
      <c r="E271" t="str">
        <f t="shared" si="24"/>
        <v/>
      </c>
      <c r="G271" s="5" t="str">
        <f t="shared" si="22"/>
        <v/>
      </c>
      <c r="I271" s="6" t="str">
        <f t="shared" si="23"/>
        <v>0</v>
      </c>
    </row>
    <row r="272" spans="1:11">
      <c r="A272" t="s">
        <v>339</v>
      </c>
      <c r="B272" t="s">
        <v>340</v>
      </c>
      <c r="E272" t="str">
        <f t="shared" si="24"/>
        <v/>
      </c>
      <c r="G272" s="5" t="str">
        <f t="shared" si="22"/>
        <v/>
      </c>
      <c r="I272" s="6" t="str">
        <f t="shared" si="23"/>
        <v>0</v>
      </c>
    </row>
    <row r="273" spans="1:11">
      <c r="A273" t="s">
        <v>341</v>
      </c>
      <c r="B273" t="s">
        <v>342</v>
      </c>
      <c r="E273" t="str">
        <f t="shared" si="24"/>
        <v/>
      </c>
      <c r="G273" s="5" t="str">
        <f t="shared" si="22"/>
        <v/>
      </c>
      <c r="I273" s="6" t="str">
        <f t="shared" si="23"/>
        <v>0</v>
      </c>
    </row>
    <row r="274" spans="1:11">
      <c r="A274" t="s">
        <v>343</v>
      </c>
      <c r="B274" t="s">
        <v>343</v>
      </c>
      <c r="E274" t="str">
        <f t="shared" si="24"/>
        <v/>
      </c>
      <c r="G274" s="5" t="str">
        <f t="shared" si="22"/>
        <v/>
      </c>
      <c r="I274" s="6" t="str">
        <f t="shared" si="23"/>
        <v>0</v>
      </c>
    </row>
    <row r="275" spans="1:11">
      <c r="A275" t="s">
        <v>344</v>
      </c>
      <c r="B275" t="s">
        <v>345</v>
      </c>
      <c r="E275" t="str">
        <f t="shared" si="24"/>
        <v/>
      </c>
      <c r="G275" s="5" t="str">
        <f t="shared" si="22"/>
        <v/>
      </c>
      <c r="I275" s="6" t="str">
        <f t="shared" si="23"/>
        <v>0</v>
      </c>
    </row>
    <row r="276" spans="1:11">
      <c r="A276" t="s">
        <v>346</v>
      </c>
      <c r="B276" t="s">
        <v>346</v>
      </c>
      <c r="E276" t="str">
        <f t="shared" si="24"/>
        <v/>
      </c>
      <c r="G276" s="5" t="str">
        <f t="shared" si="22"/>
        <v/>
      </c>
      <c r="I276" s="6" t="str">
        <f t="shared" si="23"/>
        <v>0</v>
      </c>
    </row>
    <row r="277" spans="1:11">
      <c r="A277" t="s">
        <v>347</v>
      </c>
      <c r="B277" t="s">
        <v>347</v>
      </c>
      <c r="E277" t="str">
        <f t="shared" si="24"/>
        <v/>
      </c>
      <c r="G277" s="5" t="str">
        <f t="shared" si="22"/>
        <v/>
      </c>
      <c r="I277" s="6" t="str">
        <f t="shared" si="23"/>
        <v>0</v>
      </c>
    </row>
    <row r="278" spans="1:11">
      <c r="A278" t="s">
        <v>348</v>
      </c>
      <c r="B278" t="s">
        <v>348</v>
      </c>
      <c r="E278" t="str">
        <f t="shared" si="24"/>
        <v/>
      </c>
      <c r="G278" s="5" t="str">
        <f t="shared" si="22"/>
        <v/>
      </c>
      <c r="I278" s="6" t="str">
        <f t="shared" si="23"/>
        <v>0</v>
      </c>
    </row>
    <row r="279" spans="1:11">
      <c r="A279" t="s">
        <v>349</v>
      </c>
      <c r="B279" t="s">
        <v>349</v>
      </c>
      <c r="E279" t="str">
        <f t="shared" si="24"/>
        <v/>
      </c>
      <c r="G279" s="5" t="str">
        <f t="shared" si="22"/>
        <v/>
      </c>
      <c r="I279" s="6" t="str">
        <f t="shared" si="23"/>
        <v>0</v>
      </c>
    </row>
    <row r="280" spans="1:11">
      <c r="A280" t="s">
        <v>350</v>
      </c>
      <c r="B280" t="s">
        <v>350</v>
      </c>
      <c r="E280" t="str">
        <f t="shared" si="24"/>
        <v/>
      </c>
      <c r="G280" s="5" t="str">
        <f t="shared" si="22"/>
        <v/>
      </c>
      <c r="I280" s="6" t="str">
        <f t="shared" si="23"/>
        <v>0</v>
      </c>
    </row>
    <row r="281" spans="1:11">
      <c r="A281" t="s">
        <v>351</v>
      </c>
      <c r="B281" t="s">
        <v>5878</v>
      </c>
      <c r="G281" s="5" t="str">
        <f t="shared" si="22"/>
        <v/>
      </c>
      <c r="I281" s="6" t="str">
        <f t="shared" si="23"/>
        <v>0</v>
      </c>
      <c r="K281" s="19" t="s">
        <v>5879</v>
      </c>
    </row>
    <row r="282" spans="1:11">
      <c r="A282" t="s">
        <v>352</v>
      </c>
      <c r="B282" t="s">
        <v>6299</v>
      </c>
      <c r="K282" s="19" t="s">
        <v>6300</v>
      </c>
    </row>
    <row r="283" spans="1:11">
      <c r="A283" t="s">
        <v>353</v>
      </c>
      <c r="B283" t="s">
        <v>6301</v>
      </c>
      <c r="K283" s="19" t="s">
        <v>6302</v>
      </c>
    </row>
    <row r="284" spans="1:11">
      <c r="A284" t="s">
        <v>354</v>
      </c>
      <c r="B284" t="s">
        <v>6303</v>
      </c>
      <c r="K284" s="19" t="s">
        <v>6304</v>
      </c>
    </row>
    <row r="285" spans="1:11">
      <c r="A285" t="s">
        <v>366</v>
      </c>
      <c r="B285" t="s">
        <v>5311</v>
      </c>
      <c r="C285" s="7"/>
      <c r="G285" s="5" t="str">
        <f t="shared" si="22"/>
        <v/>
      </c>
      <c r="I285" s="6" t="str">
        <f t="shared" si="23"/>
        <v>0</v>
      </c>
      <c r="K285" s="19" t="s">
        <v>5312</v>
      </c>
    </row>
    <row r="286" spans="1:11">
      <c r="A286" t="s">
        <v>367</v>
      </c>
      <c r="B286" t="s">
        <v>5313</v>
      </c>
      <c r="C286" s="7"/>
      <c r="G286" s="5" t="str">
        <f t="shared" si="22"/>
        <v/>
      </c>
      <c r="I286" s="6" t="str">
        <f t="shared" si="23"/>
        <v>0</v>
      </c>
      <c r="K286" s="19" t="s">
        <v>5314</v>
      </c>
    </row>
    <row r="287" spans="1:11">
      <c r="A287" t="s">
        <v>368</v>
      </c>
      <c r="B287" t="s">
        <v>5315</v>
      </c>
      <c r="C287" s="7"/>
      <c r="G287" s="5" t="str">
        <f t="shared" si="22"/>
        <v/>
      </c>
      <c r="I287" s="6" t="str">
        <f t="shared" si="23"/>
        <v>0</v>
      </c>
      <c r="K287" s="19" t="s">
        <v>5316</v>
      </c>
    </row>
    <row r="288" spans="1:11" ht="20" customHeight="1">
      <c r="A288" t="s">
        <v>388</v>
      </c>
      <c r="B288" t="s">
        <v>4371</v>
      </c>
      <c r="G288" s="5" t="str">
        <f t="shared" si="22"/>
        <v/>
      </c>
      <c r="I288" s="6" t="str">
        <f t="shared" si="23"/>
        <v>0</v>
      </c>
      <c r="K288" s="25" t="s">
        <v>4475</v>
      </c>
    </row>
    <row r="289" spans="1:11">
      <c r="A289" t="s">
        <v>389</v>
      </c>
      <c r="B289" t="s">
        <v>4729</v>
      </c>
      <c r="G289" s="5" t="str">
        <f t="shared" si="22"/>
        <v/>
      </c>
      <c r="I289" s="6" t="str">
        <f t="shared" si="23"/>
        <v>0</v>
      </c>
      <c r="K289" s="19" t="s">
        <v>4730</v>
      </c>
    </row>
    <row r="290" spans="1:11">
      <c r="A290" t="s">
        <v>390</v>
      </c>
      <c r="B290" t="s">
        <v>4731</v>
      </c>
      <c r="G290" s="5" t="str">
        <f t="shared" si="22"/>
        <v/>
      </c>
      <c r="I290" s="6" t="str">
        <f t="shared" si="23"/>
        <v>0</v>
      </c>
      <c r="K290" s="19" t="s">
        <v>4732</v>
      </c>
    </row>
    <row r="291" spans="1:11">
      <c r="A291" t="s">
        <v>391</v>
      </c>
      <c r="B291" t="s">
        <v>4733</v>
      </c>
      <c r="G291" s="5" t="str">
        <f t="shared" si="22"/>
        <v/>
      </c>
      <c r="I291" s="6" t="str">
        <f t="shared" si="23"/>
        <v>0</v>
      </c>
      <c r="K291" s="19" t="s">
        <v>4734</v>
      </c>
    </row>
    <row r="292" spans="1:11">
      <c r="A292" t="s">
        <v>392</v>
      </c>
      <c r="B292" t="s">
        <v>4735</v>
      </c>
      <c r="G292" s="5" t="str">
        <f t="shared" si="22"/>
        <v/>
      </c>
      <c r="I292" s="6" t="str">
        <f t="shared" si="23"/>
        <v>0</v>
      </c>
      <c r="K292" s="19" t="s">
        <v>4736</v>
      </c>
    </row>
    <row r="293" spans="1:11">
      <c r="A293" t="s">
        <v>393</v>
      </c>
      <c r="B293" t="s">
        <v>6305</v>
      </c>
      <c r="K293" s="19" t="s">
        <v>6306</v>
      </c>
    </row>
    <row r="294" spans="1:11">
      <c r="A294" t="s">
        <v>394</v>
      </c>
      <c r="B294" t="s">
        <v>6307</v>
      </c>
      <c r="K294" s="19" t="s">
        <v>6308</v>
      </c>
    </row>
    <row r="295" spans="1:11">
      <c r="A295" t="s">
        <v>395</v>
      </c>
      <c r="B295" t="s">
        <v>6309</v>
      </c>
      <c r="K295" s="19" t="s">
        <v>6310</v>
      </c>
    </row>
    <row r="296" spans="1:11">
      <c r="A296" t="s">
        <v>396</v>
      </c>
      <c r="B296" t="s">
        <v>309</v>
      </c>
      <c r="E296" t="str">
        <f t="shared" ref="E293:E324" si="25">IF(D296&lt;&gt;"",C296&amp;"/"&amp;D296,"")</f>
        <v/>
      </c>
      <c r="G296" s="5" t="str">
        <f t="shared" si="22"/>
        <v/>
      </c>
      <c r="I296" s="6" t="str">
        <f t="shared" si="23"/>
        <v>0</v>
      </c>
    </row>
    <row r="297" spans="1:11">
      <c r="A297" t="s">
        <v>397</v>
      </c>
      <c r="B297" t="s">
        <v>309</v>
      </c>
      <c r="E297" t="str">
        <f t="shared" si="25"/>
        <v/>
      </c>
      <c r="G297" s="5" t="str">
        <f t="shared" si="22"/>
        <v/>
      </c>
      <c r="I297" s="6" t="str">
        <f t="shared" si="23"/>
        <v>0</v>
      </c>
    </row>
    <row r="298" spans="1:11">
      <c r="A298" t="s">
        <v>398</v>
      </c>
      <c r="B298" t="s">
        <v>5880</v>
      </c>
      <c r="G298" s="5" t="str">
        <f t="shared" si="22"/>
        <v/>
      </c>
      <c r="I298" s="6" t="str">
        <f t="shared" si="23"/>
        <v>0</v>
      </c>
      <c r="K298" s="19" t="s">
        <v>5881</v>
      </c>
    </row>
    <row r="299" spans="1:11">
      <c r="A299" t="s">
        <v>399</v>
      </c>
      <c r="B299" t="s">
        <v>400</v>
      </c>
      <c r="E299" t="str">
        <f t="shared" si="25"/>
        <v/>
      </c>
      <c r="G299" s="5" t="str">
        <f t="shared" si="22"/>
        <v/>
      </c>
      <c r="I299" s="6" t="str">
        <f t="shared" si="23"/>
        <v>0</v>
      </c>
    </row>
    <row r="300" spans="1:11">
      <c r="A300" t="s">
        <v>401</v>
      </c>
      <c r="B300" t="s">
        <v>402</v>
      </c>
      <c r="E300" t="str">
        <f t="shared" si="25"/>
        <v/>
      </c>
      <c r="G300" s="5" t="str">
        <f t="shared" si="22"/>
        <v/>
      </c>
      <c r="I300" s="6" t="str">
        <f t="shared" si="23"/>
        <v>0</v>
      </c>
    </row>
    <row r="301" spans="1:11">
      <c r="A301" t="s">
        <v>403</v>
      </c>
      <c r="B301" t="s">
        <v>5882</v>
      </c>
      <c r="G301" s="5" t="str">
        <f t="shared" si="22"/>
        <v/>
      </c>
      <c r="I301" s="6" t="str">
        <f t="shared" si="23"/>
        <v>0</v>
      </c>
      <c r="K301" s="19" t="s">
        <v>5883</v>
      </c>
    </row>
    <row r="302" spans="1:11">
      <c r="A302" t="s">
        <v>404</v>
      </c>
      <c r="B302" t="s">
        <v>5884</v>
      </c>
      <c r="G302" s="5" t="str">
        <f t="shared" si="22"/>
        <v/>
      </c>
      <c r="I302" s="6" t="str">
        <f t="shared" si="23"/>
        <v>0</v>
      </c>
      <c r="K302" s="19" t="s">
        <v>5885</v>
      </c>
    </row>
    <row r="303" spans="1:11">
      <c r="A303" t="s">
        <v>405</v>
      </c>
      <c r="B303" t="s">
        <v>6311</v>
      </c>
      <c r="K303" s="19" t="s">
        <v>6312</v>
      </c>
    </row>
    <row r="304" spans="1:11">
      <c r="A304" t="s">
        <v>406</v>
      </c>
      <c r="B304" t="s">
        <v>6313</v>
      </c>
      <c r="K304" s="19" t="s">
        <v>6314</v>
      </c>
    </row>
    <row r="305" spans="1:11">
      <c r="A305" t="s">
        <v>407</v>
      </c>
      <c r="B305" t="s">
        <v>5886</v>
      </c>
      <c r="G305" s="5" t="str">
        <f t="shared" si="22"/>
        <v/>
      </c>
      <c r="I305" s="6" t="str">
        <f t="shared" si="23"/>
        <v>0</v>
      </c>
      <c r="K305" s="19" t="s">
        <v>5887</v>
      </c>
    </row>
    <row r="306" spans="1:11">
      <c r="A306" t="s">
        <v>408</v>
      </c>
      <c r="B306" t="s">
        <v>5888</v>
      </c>
      <c r="G306" s="5" t="str">
        <f t="shared" si="22"/>
        <v/>
      </c>
      <c r="I306" s="6" t="str">
        <f t="shared" si="23"/>
        <v>0</v>
      </c>
      <c r="K306" s="19" t="s">
        <v>5889</v>
      </c>
    </row>
    <row r="307" spans="1:11">
      <c r="A307" t="s">
        <v>409</v>
      </c>
      <c r="B307" t="s">
        <v>309</v>
      </c>
      <c r="E307" t="str">
        <f t="shared" si="25"/>
        <v/>
      </c>
      <c r="G307" s="5" t="str">
        <f t="shared" si="22"/>
        <v/>
      </c>
      <c r="I307" s="6" t="str">
        <f t="shared" si="23"/>
        <v>0</v>
      </c>
    </row>
    <row r="308" spans="1:11">
      <c r="A308" t="s">
        <v>410</v>
      </c>
      <c r="B308" t="s">
        <v>309</v>
      </c>
      <c r="E308" t="str">
        <f t="shared" si="25"/>
        <v/>
      </c>
      <c r="G308" s="5" t="str">
        <f t="shared" si="22"/>
        <v/>
      </c>
      <c r="I308" s="6" t="str">
        <f t="shared" si="23"/>
        <v>0</v>
      </c>
    </row>
    <row r="309" spans="1:11">
      <c r="A309" t="s">
        <v>411</v>
      </c>
      <c r="B309" t="s">
        <v>309</v>
      </c>
      <c r="E309" t="str">
        <f t="shared" si="25"/>
        <v/>
      </c>
      <c r="G309" s="5" t="str">
        <f t="shared" si="22"/>
        <v/>
      </c>
      <c r="I309" s="6" t="str">
        <f t="shared" si="23"/>
        <v>0</v>
      </c>
    </row>
    <row r="310" spans="1:11">
      <c r="A310" t="s">
        <v>412</v>
      </c>
      <c r="B310" t="s">
        <v>309</v>
      </c>
      <c r="E310" t="str">
        <f t="shared" si="25"/>
        <v/>
      </c>
      <c r="G310" s="5" t="str">
        <f t="shared" si="22"/>
        <v/>
      </c>
      <c r="I310" s="6" t="str">
        <f t="shared" si="23"/>
        <v>0</v>
      </c>
    </row>
    <row r="311" spans="1:11">
      <c r="A311" t="s">
        <v>413</v>
      </c>
      <c r="B311" t="s">
        <v>309</v>
      </c>
      <c r="E311" t="str">
        <f t="shared" si="25"/>
        <v/>
      </c>
      <c r="G311" s="5" t="str">
        <f t="shared" si="22"/>
        <v/>
      </c>
      <c r="I311" s="6" t="str">
        <f t="shared" si="23"/>
        <v>0</v>
      </c>
    </row>
    <row r="312" spans="1:11">
      <c r="A312" t="s">
        <v>414</v>
      </c>
      <c r="B312" t="s">
        <v>309</v>
      </c>
      <c r="E312" t="str">
        <f t="shared" si="25"/>
        <v/>
      </c>
      <c r="G312" s="5" t="str">
        <f t="shared" si="22"/>
        <v/>
      </c>
      <c r="I312" s="6" t="str">
        <f t="shared" si="23"/>
        <v>0</v>
      </c>
    </row>
    <row r="313" spans="1:11">
      <c r="A313" t="s">
        <v>415</v>
      </c>
      <c r="B313" t="s">
        <v>309</v>
      </c>
      <c r="E313" t="str">
        <f t="shared" si="25"/>
        <v/>
      </c>
      <c r="G313" s="5" t="str">
        <f t="shared" si="22"/>
        <v/>
      </c>
      <c r="I313" s="6" t="str">
        <f t="shared" si="23"/>
        <v>0</v>
      </c>
    </row>
    <row r="314" spans="1:11">
      <c r="A314" t="s">
        <v>416</v>
      </c>
      <c r="B314" t="s">
        <v>5890</v>
      </c>
      <c r="G314" s="5" t="str">
        <f t="shared" si="22"/>
        <v/>
      </c>
      <c r="I314" s="6" t="str">
        <f t="shared" si="23"/>
        <v>0</v>
      </c>
      <c r="K314" s="19" t="s">
        <v>5891</v>
      </c>
    </row>
    <row r="315" spans="1:11">
      <c r="A315" t="s">
        <v>417</v>
      </c>
      <c r="B315" t="s">
        <v>5892</v>
      </c>
      <c r="G315" s="5" t="str">
        <f t="shared" si="22"/>
        <v/>
      </c>
      <c r="I315" s="6" t="str">
        <f t="shared" si="23"/>
        <v>0</v>
      </c>
      <c r="K315" s="19" t="s">
        <v>5893</v>
      </c>
    </row>
    <row r="316" spans="1:11">
      <c r="A316" t="s">
        <v>418</v>
      </c>
      <c r="B316" t="s">
        <v>5894</v>
      </c>
      <c r="G316" s="5" t="str">
        <f t="shared" si="22"/>
        <v/>
      </c>
      <c r="I316" s="6" t="str">
        <f t="shared" si="23"/>
        <v>0</v>
      </c>
      <c r="K316" s="19" t="s">
        <v>5895</v>
      </c>
    </row>
    <row r="317" spans="1:11">
      <c r="A317" t="s">
        <v>419</v>
      </c>
      <c r="B317" t="s">
        <v>309</v>
      </c>
      <c r="E317" t="str">
        <f t="shared" si="25"/>
        <v/>
      </c>
      <c r="G317" s="5" t="str">
        <f t="shared" si="22"/>
        <v/>
      </c>
      <c r="I317" s="6" t="str">
        <f t="shared" si="23"/>
        <v>0</v>
      </c>
    </row>
    <row r="318" spans="1:11">
      <c r="A318" t="s">
        <v>420</v>
      </c>
      <c r="B318" t="s">
        <v>309</v>
      </c>
      <c r="E318" t="str">
        <f t="shared" si="25"/>
        <v/>
      </c>
      <c r="G318" s="5" t="str">
        <f t="shared" si="22"/>
        <v/>
      </c>
      <c r="I318" s="6" t="str">
        <f t="shared" si="23"/>
        <v>0</v>
      </c>
    </row>
    <row r="319" spans="1:11">
      <c r="A319" t="s">
        <v>421</v>
      </c>
      <c r="B319" t="s">
        <v>309</v>
      </c>
      <c r="E319" t="str">
        <f t="shared" si="25"/>
        <v/>
      </c>
      <c r="G319" s="5" t="str">
        <f t="shared" si="22"/>
        <v/>
      </c>
      <c r="I319" s="6" t="str">
        <f t="shared" si="23"/>
        <v>0</v>
      </c>
    </row>
    <row r="320" spans="1:11">
      <c r="A320" t="s">
        <v>422</v>
      </c>
      <c r="B320" t="s">
        <v>5896</v>
      </c>
      <c r="G320" s="5" t="str">
        <f t="shared" si="22"/>
        <v/>
      </c>
      <c r="I320" s="6" t="str">
        <f t="shared" si="23"/>
        <v>0</v>
      </c>
      <c r="K320" s="19" t="s">
        <v>5897</v>
      </c>
    </row>
    <row r="321" spans="1:11">
      <c r="A321" t="s">
        <v>423</v>
      </c>
      <c r="B321" t="s">
        <v>309</v>
      </c>
      <c r="E321" t="str">
        <f t="shared" si="25"/>
        <v/>
      </c>
      <c r="G321" s="5" t="str">
        <f t="shared" si="22"/>
        <v/>
      </c>
      <c r="I321" s="6" t="str">
        <f t="shared" si="23"/>
        <v>0</v>
      </c>
    </row>
    <row r="322" spans="1:11">
      <c r="A322" t="s">
        <v>424</v>
      </c>
      <c r="B322" t="s">
        <v>5898</v>
      </c>
      <c r="G322" s="5" t="str">
        <f t="shared" ref="G322:G385" si="26">IF(F322&lt;&gt;"",HEX2DEC(SUBSTITUTE(SUBSTITUTE(F322,"adrEA",""),"$","")),"")</f>
        <v/>
      </c>
      <c r="I322" s="6" t="str">
        <f t="shared" ref="I322:I385" si="27">IFERROR(DEC2HEX(H322),"")</f>
        <v>0</v>
      </c>
      <c r="K322" s="19" t="s">
        <v>5899</v>
      </c>
    </row>
    <row r="323" spans="1:11">
      <c r="A323" t="s">
        <v>425</v>
      </c>
      <c r="B323" t="s">
        <v>309</v>
      </c>
      <c r="E323" t="str">
        <f t="shared" si="25"/>
        <v/>
      </c>
      <c r="G323" s="5" t="str">
        <f t="shared" si="26"/>
        <v/>
      </c>
      <c r="I323" s="6" t="str">
        <f t="shared" si="27"/>
        <v>0</v>
      </c>
    </row>
    <row r="324" spans="1:11">
      <c r="A324" t="s">
        <v>426</v>
      </c>
      <c r="B324" t="s">
        <v>309</v>
      </c>
      <c r="E324" t="str">
        <f t="shared" si="25"/>
        <v/>
      </c>
      <c r="G324" s="5" t="str">
        <f t="shared" si="26"/>
        <v/>
      </c>
      <c r="I324" s="6" t="str">
        <f t="shared" si="27"/>
        <v>0</v>
      </c>
    </row>
    <row r="325" spans="1:11">
      <c r="A325" t="s">
        <v>427</v>
      </c>
      <c r="B325" t="s">
        <v>309</v>
      </c>
      <c r="E325" t="str">
        <f t="shared" ref="E325:E356" si="28">IF(D325&lt;&gt;"",C325&amp;"/"&amp;D325,"")</f>
        <v/>
      </c>
      <c r="G325" s="5" t="str">
        <f t="shared" si="26"/>
        <v/>
      </c>
      <c r="I325" s="6" t="str">
        <f t="shared" si="27"/>
        <v>0</v>
      </c>
    </row>
    <row r="326" spans="1:11">
      <c r="A326" t="s">
        <v>428</v>
      </c>
      <c r="B326" t="s">
        <v>5900</v>
      </c>
      <c r="G326" s="5" t="str">
        <f t="shared" si="26"/>
        <v/>
      </c>
      <c r="I326" s="6" t="str">
        <f t="shared" si="27"/>
        <v>0</v>
      </c>
      <c r="K326" s="19" t="s">
        <v>5901</v>
      </c>
    </row>
    <row r="327" spans="1:11">
      <c r="A327" t="s">
        <v>429</v>
      </c>
      <c r="B327" t="s">
        <v>309</v>
      </c>
      <c r="E327" t="str">
        <f t="shared" si="28"/>
        <v/>
      </c>
      <c r="G327" s="5" t="str">
        <f t="shared" si="26"/>
        <v/>
      </c>
      <c r="I327" s="6" t="str">
        <f t="shared" si="27"/>
        <v>0</v>
      </c>
    </row>
    <row r="328" spans="1:11">
      <c r="A328" t="s">
        <v>430</v>
      </c>
      <c r="B328" t="s">
        <v>6315</v>
      </c>
      <c r="K328" s="19" t="s">
        <v>6316</v>
      </c>
    </row>
    <row r="329" spans="1:11">
      <c r="A329" t="s">
        <v>431</v>
      </c>
      <c r="B329" t="s">
        <v>5902</v>
      </c>
      <c r="G329" s="5" t="str">
        <f t="shared" si="26"/>
        <v/>
      </c>
      <c r="I329" s="6" t="str">
        <f t="shared" si="27"/>
        <v>0</v>
      </c>
      <c r="K329" s="19" t="s">
        <v>5903</v>
      </c>
    </row>
    <row r="330" spans="1:11">
      <c r="A330" t="s">
        <v>432</v>
      </c>
      <c r="B330" t="s">
        <v>309</v>
      </c>
      <c r="E330" t="str">
        <f t="shared" si="28"/>
        <v/>
      </c>
      <c r="G330" s="5" t="str">
        <f t="shared" si="26"/>
        <v/>
      </c>
      <c r="I330" s="6" t="str">
        <f t="shared" si="27"/>
        <v>0</v>
      </c>
    </row>
    <row r="331" spans="1:11">
      <c r="A331" t="s">
        <v>433</v>
      </c>
      <c r="B331" t="s">
        <v>6317</v>
      </c>
      <c r="K331" s="19" t="s">
        <v>6318</v>
      </c>
    </row>
    <row r="332" spans="1:11">
      <c r="A332" t="s">
        <v>434</v>
      </c>
      <c r="B332" t="s">
        <v>309</v>
      </c>
      <c r="E332" t="str">
        <f t="shared" si="28"/>
        <v/>
      </c>
      <c r="G332" s="5" t="str">
        <f t="shared" si="26"/>
        <v/>
      </c>
      <c r="I332" s="6" t="str">
        <f t="shared" si="27"/>
        <v>0</v>
      </c>
    </row>
    <row r="333" spans="1:11">
      <c r="A333" t="s">
        <v>435</v>
      </c>
      <c r="B333" t="s">
        <v>6319</v>
      </c>
      <c r="K333" s="19" t="s">
        <v>6320</v>
      </c>
    </row>
    <row r="334" spans="1:11">
      <c r="A334" t="s">
        <v>436</v>
      </c>
      <c r="B334" t="s">
        <v>309</v>
      </c>
      <c r="E334" t="str">
        <f t="shared" si="28"/>
        <v/>
      </c>
      <c r="G334" s="5" t="str">
        <f t="shared" si="26"/>
        <v/>
      </c>
      <c r="I334" s="6" t="str">
        <f t="shared" si="27"/>
        <v>0</v>
      </c>
    </row>
    <row r="335" spans="1:11">
      <c r="A335" t="s">
        <v>437</v>
      </c>
      <c r="B335" t="s">
        <v>6321</v>
      </c>
      <c r="K335" s="19" t="s">
        <v>6322</v>
      </c>
    </row>
    <row r="336" spans="1:11">
      <c r="A336" t="s">
        <v>438</v>
      </c>
      <c r="B336" t="s">
        <v>5904</v>
      </c>
      <c r="G336" s="5" t="str">
        <f t="shared" si="26"/>
        <v/>
      </c>
      <c r="I336" s="6" t="str">
        <f t="shared" si="27"/>
        <v>0</v>
      </c>
      <c r="K336" s="19" t="s">
        <v>5905</v>
      </c>
    </row>
    <row r="337" spans="1:11">
      <c r="A337" t="s">
        <v>439</v>
      </c>
      <c r="B337" t="s">
        <v>309</v>
      </c>
      <c r="E337" t="str">
        <f t="shared" si="28"/>
        <v/>
      </c>
      <c r="G337" s="5" t="str">
        <f t="shared" si="26"/>
        <v/>
      </c>
      <c r="I337" s="6" t="str">
        <f t="shared" si="27"/>
        <v>0</v>
      </c>
    </row>
    <row r="338" spans="1:11">
      <c r="A338" t="s">
        <v>440</v>
      </c>
      <c r="B338" t="s">
        <v>309</v>
      </c>
      <c r="E338" t="str">
        <f t="shared" si="28"/>
        <v/>
      </c>
      <c r="G338" s="5" t="str">
        <f t="shared" si="26"/>
        <v/>
      </c>
      <c r="I338" s="6" t="str">
        <f t="shared" si="27"/>
        <v>0</v>
      </c>
    </row>
    <row r="339" spans="1:11">
      <c r="A339" t="s">
        <v>441</v>
      </c>
      <c r="B339" t="s">
        <v>309</v>
      </c>
      <c r="E339" t="str">
        <f t="shared" si="28"/>
        <v/>
      </c>
      <c r="G339" s="5" t="str">
        <f t="shared" si="26"/>
        <v/>
      </c>
      <c r="I339" s="6" t="str">
        <f t="shared" si="27"/>
        <v>0</v>
      </c>
    </row>
    <row r="340" spans="1:11">
      <c r="A340" t="s">
        <v>442</v>
      </c>
      <c r="B340" t="s">
        <v>309</v>
      </c>
      <c r="E340" t="str">
        <f t="shared" si="28"/>
        <v/>
      </c>
      <c r="G340" s="5" t="str">
        <f t="shared" si="26"/>
        <v/>
      </c>
      <c r="I340" s="6" t="str">
        <f t="shared" si="27"/>
        <v>0</v>
      </c>
    </row>
    <row r="341" spans="1:11">
      <c r="A341" t="s">
        <v>443</v>
      </c>
      <c r="B341" t="s">
        <v>309</v>
      </c>
      <c r="E341" t="str">
        <f t="shared" si="28"/>
        <v/>
      </c>
      <c r="G341" s="5" t="str">
        <f t="shared" si="26"/>
        <v/>
      </c>
      <c r="I341" s="6" t="str">
        <f t="shared" si="27"/>
        <v>0</v>
      </c>
    </row>
    <row r="342" spans="1:11">
      <c r="A342" t="s">
        <v>444</v>
      </c>
      <c r="B342" t="s">
        <v>309</v>
      </c>
      <c r="E342" t="str">
        <f t="shared" si="28"/>
        <v/>
      </c>
      <c r="G342" s="5" t="str">
        <f t="shared" si="26"/>
        <v/>
      </c>
      <c r="I342" s="6" t="str">
        <f t="shared" si="27"/>
        <v>0</v>
      </c>
    </row>
    <row r="343" spans="1:11">
      <c r="A343" t="s">
        <v>445</v>
      </c>
      <c r="B343" t="s">
        <v>5906</v>
      </c>
      <c r="G343" s="5" t="str">
        <f t="shared" si="26"/>
        <v/>
      </c>
      <c r="I343" s="6" t="str">
        <f t="shared" si="27"/>
        <v>0</v>
      </c>
      <c r="K343" s="19" t="s">
        <v>5907</v>
      </c>
    </row>
    <row r="344" spans="1:11">
      <c r="A344" t="s">
        <v>446</v>
      </c>
      <c r="B344" t="s">
        <v>5613</v>
      </c>
      <c r="G344" s="5" t="str">
        <f t="shared" si="26"/>
        <v/>
      </c>
      <c r="I344" s="6" t="str">
        <f t="shared" si="27"/>
        <v>0</v>
      </c>
      <c r="K344" s="19" t="s">
        <v>5614</v>
      </c>
    </row>
    <row r="345" spans="1:11">
      <c r="A345" t="s">
        <v>447</v>
      </c>
      <c r="B345" t="s">
        <v>309</v>
      </c>
      <c r="E345" t="str">
        <f t="shared" si="28"/>
        <v/>
      </c>
      <c r="G345" s="5" t="str">
        <f t="shared" si="26"/>
        <v/>
      </c>
      <c r="I345" s="6" t="str">
        <f t="shared" si="27"/>
        <v>0</v>
      </c>
    </row>
    <row r="346" spans="1:11">
      <c r="A346" t="s">
        <v>448</v>
      </c>
      <c r="B346" t="s">
        <v>309</v>
      </c>
      <c r="E346" t="str">
        <f t="shared" si="28"/>
        <v/>
      </c>
      <c r="G346" s="5" t="str">
        <f t="shared" si="26"/>
        <v/>
      </c>
      <c r="I346" s="6" t="str">
        <f t="shared" si="27"/>
        <v>0</v>
      </c>
    </row>
    <row r="347" spans="1:11">
      <c r="A347" t="s">
        <v>449</v>
      </c>
      <c r="B347" t="s">
        <v>309</v>
      </c>
      <c r="E347" t="str">
        <f t="shared" si="28"/>
        <v/>
      </c>
      <c r="G347" s="5" t="str">
        <f t="shared" si="26"/>
        <v/>
      </c>
      <c r="I347" s="6" t="str">
        <f t="shared" si="27"/>
        <v>0</v>
      </c>
    </row>
    <row r="348" spans="1:11">
      <c r="A348" t="s">
        <v>450</v>
      </c>
      <c r="B348" t="s">
        <v>5615</v>
      </c>
      <c r="G348" s="5" t="str">
        <f t="shared" si="26"/>
        <v/>
      </c>
      <c r="I348" s="6" t="str">
        <f t="shared" si="27"/>
        <v>0</v>
      </c>
      <c r="K348" s="19" t="s">
        <v>5616</v>
      </c>
    </row>
    <row r="349" spans="1:11">
      <c r="A349" t="s">
        <v>451</v>
      </c>
      <c r="B349" t="s">
        <v>309</v>
      </c>
      <c r="E349" t="str">
        <f t="shared" si="28"/>
        <v/>
      </c>
      <c r="G349" s="5" t="str">
        <f t="shared" si="26"/>
        <v/>
      </c>
      <c r="I349" s="6" t="str">
        <f t="shared" si="27"/>
        <v>0</v>
      </c>
    </row>
    <row r="350" spans="1:11">
      <c r="A350" t="s">
        <v>452</v>
      </c>
      <c r="B350" t="s">
        <v>309</v>
      </c>
      <c r="E350" t="str">
        <f t="shared" si="28"/>
        <v/>
      </c>
      <c r="G350" s="5" t="str">
        <f t="shared" si="26"/>
        <v/>
      </c>
      <c r="I350" s="6" t="str">
        <f t="shared" si="27"/>
        <v>0</v>
      </c>
    </row>
    <row r="351" spans="1:11">
      <c r="A351" t="s">
        <v>453</v>
      </c>
      <c r="B351" t="s">
        <v>309</v>
      </c>
      <c r="E351" t="str">
        <f t="shared" si="28"/>
        <v/>
      </c>
      <c r="G351" s="5" t="str">
        <f t="shared" si="26"/>
        <v/>
      </c>
      <c r="I351" s="6" t="str">
        <f t="shared" si="27"/>
        <v>0</v>
      </c>
    </row>
    <row r="352" spans="1:11">
      <c r="A352" t="s">
        <v>454</v>
      </c>
      <c r="B352" t="s">
        <v>309</v>
      </c>
      <c r="E352" t="str">
        <f t="shared" si="28"/>
        <v/>
      </c>
      <c r="G352" s="5" t="str">
        <f t="shared" si="26"/>
        <v/>
      </c>
      <c r="I352" s="6" t="str">
        <f t="shared" si="27"/>
        <v>0</v>
      </c>
    </row>
    <row r="353" spans="1:11">
      <c r="A353" t="s">
        <v>455</v>
      </c>
      <c r="B353" t="s">
        <v>309</v>
      </c>
      <c r="E353" t="str">
        <f t="shared" si="28"/>
        <v/>
      </c>
      <c r="G353" s="5" t="str">
        <f t="shared" si="26"/>
        <v/>
      </c>
      <c r="I353" s="6" t="str">
        <f t="shared" si="27"/>
        <v>0</v>
      </c>
    </row>
    <row r="354" spans="1:11">
      <c r="A354" t="s">
        <v>456</v>
      </c>
      <c r="B354" t="s">
        <v>309</v>
      </c>
      <c r="E354" t="str">
        <f t="shared" si="28"/>
        <v/>
      </c>
      <c r="G354" s="5" t="str">
        <f t="shared" si="26"/>
        <v/>
      </c>
      <c r="I354" s="6" t="str">
        <f t="shared" si="27"/>
        <v>0</v>
      </c>
    </row>
    <row r="355" spans="1:11">
      <c r="A355" t="s">
        <v>457</v>
      </c>
      <c r="B355" t="s">
        <v>309</v>
      </c>
      <c r="E355" t="str">
        <f t="shared" si="28"/>
        <v/>
      </c>
      <c r="G355" s="5" t="str">
        <f t="shared" si="26"/>
        <v/>
      </c>
      <c r="I355" s="6" t="str">
        <f t="shared" si="27"/>
        <v>0</v>
      </c>
    </row>
    <row r="356" spans="1:11">
      <c r="A356" t="s">
        <v>458</v>
      </c>
      <c r="B356" t="s">
        <v>309</v>
      </c>
      <c r="E356" t="str">
        <f t="shared" si="28"/>
        <v/>
      </c>
      <c r="G356" s="5" t="str">
        <f t="shared" si="26"/>
        <v/>
      </c>
      <c r="I356" s="6" t="str">
        <f t="shared" si="27"/>
        <v>0</v>
      </c>
    </row>
    <row r="357" spans="1:11">
      <c r="A357" t="s">
        <v>459</v>
      </c>
      <c r="B357" t="s">
        <v>309</v>
      </c>
      <c r="E357" t="str">
        <f t="shared" ref="E357:E388" si="29">IF(D357&lt;&gt;"",C357&amp;"/"&amp;D357,"")</f>
        <v/>
      </c>
      <c r="G357" s="5" t="str">
        <f t="shared" si="26"/>
        <v/>
      </c>
      <c r="I357" s="6" t="str">
        <f t="shared" si="27"/>
        <v>0</v>
      </c>
    </row>
    <row r="358" spans="1:11">
      <c r="A358" t="s">
        <v>460</v>
      </c>
      <c r="B358" t="s">
        <v>309</v>
      </c>
      <c r="E358" t="str">
        <f t="shared" si="29"/>
        <v/>
      </c>
      <c r="G358" s="5" t="str">
        <f t="shared" si="26"/>
        <v/>
      </c>
      <c r="I358" s="6" t="str">
        <f t="shared" si="27"/>
        <v>0</v>
      </c>
    </row>
    <row r="359" spans="1:11">
      <c r="A359" t="s">
        <v>461</v>
      </c>
      <c r="B359" t="s">
        <v>309</v>
      </c>
      <c r="E359" t="str">
        <f t="shared" si="29"/>
        <v/>
      </c>
      <c r="G359" s="5" t="str">
        <f t="shared" si="26"/>
        <v/>
      </c>
      <c r="I359" s="6" t="str">
        <f t="shared" si="27"/>
        <v>0</v>
      </c>
    </row>
    <row r="360" spans="1:11">
      <c r="A360" t="s">
        <v>462</v>
      </c>
      <c r="B360" t="s">
        <v>309</v>
      </c>
      <c r="E360" t="str">
        <f t="shared" si="29"/>
        <v/>
      </c>
      <c r="G360" s="5" t="str">
        <f t="shared" si="26"/>
        <v/>
      </c>
      <c r="I360" s="6" t="str">
        <f t="shared" si="27"/>
        <v>0</v>
      </c>
    </row>
    <row r="361" spans="1:11">
      <c r="A361" t="s">
        <v>463</v>
      </c>
      <c r="B361" t="s">
        <v>5617</v>
      </c>
      <c r="G361" s="5" t="str">
        <f t="shared" si="26"/>
        <v/>
      </c>
      <c r="I361" s="6" t="str">
        <f t="shared" si="27"/>
        <v>0</v>
      </c>
      <c r="K361" s="19" t="s">
        <v>5618</v>
      </c>
    </row>
    <row r="362" spans="1:11">
      <c r="A362" t="s">
        <v>464</v>
      </c>
      <c r="B362" t="s">
        <v>309</v>
      </c>
      <c r="E362" t="str">
        <f t="shared" si="29"/>
        <v/>
      </c>
      <c r="G362" s="5" t="str">
        <f t="shared" si="26"/>
        <v/>
      </c>
      <c r="I362" s="6" t="str">
        <f t="shared" si="27"/>
        <v>0</v>
      </c>
    </row>
    <row r="363" spans="1:11">
      <c r="A363" t="s">
        <v>465</v>
      </c>
      <c r="B363" t="s">
        <v>309</v>
      </c>
      <c r="E363" t="str">
        <f t="shared" si="29"/>
        <v/>
      </c>
      <c r="G363" s="5" t="str">
        <f t="shared" si="26"/>
        <v/>
      </c>
      <c r="I363" s="6" t="str">
        <f t="shared" si="27"/>
        <v>0</v>
      </c>
    </row>
    <row r="364" spans="1:11">
      <c r="A364" t="s">
        <v>466</v>
      </c>
      <c r="B364" t="s">
        <v>309</v>
      </c>
      <c r="E364" t="str">
        <f t="shared" si="29"/>
        <v/>
      </c>
      <c r="G364" s="5" t="str">
        <f t="shared" si="26"/>
        <v/>
      </c>
      <c r="I364" s="6" t="str">
        <f t="shared" si="27"/>
        <v>0</v>
      </c>
    </row>
    <row r="365" spans="1:11">
      <c r="A365" t="s">
        <v>467</v>
      </c>
      <c r="B365" t="s">
        <v>309</v>
      </c>
      <c r="E365" t="str">
        <f t="shared" si="29"/>
        <v/>
      </c>
      <c r="G365" s="5" t="str">
        <f t="shared" si="26"/>
        <v/>
      </c>
      <c r="I365" s="6" t="str">
        <f t="shared" si="27"/>
        <v>0</v>
      </c>
    </row>
    <row r="366" spans="1:11">
      <c r="A366" t="s">
        <v>468</v>
      </c>
      <c r="B366" t="s">
        <v>5619</v>
      </c>
      <c r="G366" s="5" t="str">
        <f t="shared" si="26"/>
        <v/>
      </c>
      <c r="I366" s="6" t="str">
        <f t="shared" si="27"/>
        <v>0</v>
      </c>
      <c r="K366" s="19" t="s">
        <v>5620</v>
      </c>
    </row>
    <row r="367" spans="1:11">
      <c r="A367" t="s">
        <v>469</v>
      </c>
      <c r="B367" t="s">
        <v>309</v>
      </c>
      <c r="E367" t="str">
        <f t="shared" si="29"/>
        <v/>
      </c>
      <c r="G367" s="5" t="str">
        <f t="shared" si="26"/>
        <v/>
      </c>
      <c r="I367" s="6" t="str">
        <f t="shared" si="27"/>
        <v>0</v>
      </c>
    </row>
    <row r="368" spans="1:11">
      <c r="A368" t="s">
        <v>470</v>
      </c>
      <c r="B368" t="s">
        <v>309</v>
      </c>
      <c r="E368" t="str">
        <f t="shared" si="29"/>
        <v/>
      </c>
      <c r="G368" s="5" t="str">
        <f t="shared" si="26"/>
        <v/>
      </c>
      <c r="I368" s="6" t="str">
        <f t="shared" si="27"/>
        <v>0</v>
      </c>
    </row>
    <row r="369" spans="1:11">
      <c r="A369" t="s">
        <v>471</v>
      </c>
      <c r="B369" t="s">
        <v>309</v>
      </c>
      <c r="E369" t="str">
        <f t="shared" si="29"/>
        <v/>
      </c>
      <c r="G369" s="5" t="str">
        <f t="shared" si="26"/>
        <v/>
      </c>
      <c r="I369" s="6" t="str">
        <f t="shared" si="27"/>
        <v>0</v>
      </c>
    </row>
    <row r="370" spans="1:11">
      <c r="A370" t="s">
        <v>472</v>
      </c>
      <c r="B370" t="s">
        <v>5621</v>
      </c>
      <c r="G370" s="5" t="str">
        <f t="shared" si="26"/>
        <v/>
      </c>
      <c r="I370" s="6" t="str">
        <f t="shared" si="27"/>
        <v>0</v>
      </c>
      <c r="K370" s="19" t="s">
        <v>5622</v>
      </c>
    </row>
    <row r="371" spans="1:11">
      <c r="A371" t="s">
        <v>473</v>
      </c>
      <c r="B371" t="s">
        <v>309</v>
      </c>
      <c r="E371" t="str">
        <f t="shared" si="29"/>
        <v/>
      </c>
      <c r="G371" s="5" t="str">
        <f t="shared" si="26"/>
        <v/>
      </c>
      <c r="I371" s="6" t="str">
        <f t="shared" si="27"/>
        <v>0</v>
      </c>
    </row>
    <row r="372" spans="1:11">
      <c r="A372" t="s">
        <v>474</v>
      </c>
      <c r="B372" t="s">
        <v>309</v>
      </c>
      <c r="E372" t="str">
        <f t="shared" si="29"/>
        <v/>
      </c>
      <c r="G372" s="5" t="str">
        <f t="shared" si="26"/>
        <v/>
      </c>
      <c r="I372" s="6" t="str">
        <f t="shared" si="27"/>
        <v>0</v>
      </c>
    </row>
    <row r="373" spans="1:11">
      <c r="A373" t="s">
        <v>475</v>
      </c>
      <c r="B373" t="s">
        <v>5623</v>
      </c>
      <c r="G373" s="5" t="str">
        <f t="shared" si="26"/>
        <v/>
      </c>
      <c r="I373" s="6" t="str">
        <f t="shared" si="27"/>
        <v>0</v>
      </c>
      <c r="K373" s="19" t="s">
        <v>5624</v>
      </c>
    </row>
    <row r="374" spans="1:11">
      <c r="A374" t="s">
        <v>476</v>
      </c>
      <c r="B374" t="s">
        <v>309</v>
      </c>
      <c r="E374" t="str">
        <f t="shared" si="29"/>
        <v/>
      </c>
      <c r="G374" s="5" t="str">
        <f t="shared" si="26"/>
        <v/>
      </c>
      <c r="I374" s="6" t="str">
        <f t="shared" si="27"/>
        <v>0</v>
      </c>
    </row>
    <row r="375" spans="1:11">
      <c r="A375" t="s">
        <v>477</v>
      </c>
      <c r="B375" t="s">
        <v>309</v>
      </c>
      <c r="E375" t="str">
        <f t="shared" si="29"/>
        <v/>
      </c>
      <c r="G375" s="5" t="str">
        <f t="shared" si="26"/>
        <v/>
      </c>
      <c r="I375" s="6" t="str">
        <f t="shared" si="27"/>
        <v>0</v>
      </c>
    </row>
    <row r="376" spans="1:11">
      <c r="A376" t="s">
        <v>478</v>
      </c>
      <c r="B376" t="s">
        <v>309</v>
      </c>
      <c r="E376" t="str">
        <f t="shared" si="29"/>
        <v/>
      </c>
      <c r="G376" s="5" t="str">
        <f t="shared" si="26"/>
        <v/>
      </c>
      <c r="I376" s="6" t="str">
        <f t="shared" si="27"/>
        <v>0</v>
      </c>
    </row>
    <row r="377" spans="1:11">
      <c r="A377" t="s">
        <v>479</v>
      </c>
      <c r="B377" t="s">
        <v>309</v>
      </c>
      <c r="E377" t="str">
        <f t="shared" si="29"/>
        <v/>
      </c>
      <c r="G377" s="5" t="str">
        <f t="shared" si="26"/>
        <v/>
      </c>
      <c r="I377" s="6" t="str">
        <f t="shared" si="27"/>
        <v>0</v>
      </c>
    </row>
    <row r="378" spans="1:11">
      <c r="A378" t="s">
        <v>480</v>
      </c>
      <c r="B378" t="s">
        <v>309</v>
      </c>
      <c r="E378" t="str">
        <f t="shared" si="29"/>
        <v/>
      </c>
      <c r="G378" s="5" t="str">
        <f t="shared" si="26"/>
        <v/>
      </c>
      <c r="I378" s="6" t="str">
        <f t="shared" si="27"/>
        <v>0</v>
      </c>
    </row>
    <row r="379" spans="1:11">
      <c r="A379" t="s">
        <v>481</v>
      </c>
      <c r="B379" t="s">
        <v>309</v>
      </c>
      <c r="E379" t="str">
        <f t="shared" si="29"/>
        <v/>
      </c>
      <c r="G379" s="5" t="str">
        <f t="shared" si="26"/>
        <v/>
      </c>
      <c r="I379" s="6" t="str">
        <f t="shared" si="27"/>
        <v>0</v>
      </c>
    </row>
    <row r="380" spans="1:11">
      <c r="A380" t="s">
        <v>482</v>
      </c>
      <c r="B380" t="s">
        <v>309</v>
      </c>
      <c r="E380" t="str">
        <f t="shared" si="29"/>
        <v/>
      </c>
      <c r="G380" s="5" t="str">
        <f t="shared" si="26"/>
        <v/>
      </c>
      <c r="I380" s="6" t="str">
        <f t="shared" si="27"/>
        <v>0</v>
      </c>
    </row>
    <row r="381" spans="1:11">
      <c r="A381" t="s">
        <v>483</v>
      </c>
      <c r="B381" t="s">
        <v>309</v>
      </c>
      <c r="E381" t="str">
        <f t="shared" si="29"/>
        <v/>
      </c>
      <c r="G381" s="5" t="str">
        <f t="shared" si="26"/>
        <v/>
      </c>
      <c r="I381" s="6" t="str">
        <f t="shared" si="27"/>
        <v>0</v>
      </c>
    </row>
    <row r="382" spans="1:11">
      <c r="A382" t="s">
        <v>484</v>
      </c>
      <c r="B382" t="s">
        <v>309</v>
      </c>
      <c r="E382" t="str">
        <f t="shared" si="29"/>
        <v/>
      </c>
      <c r="G382" s="5" t="str">
        <f t="shared" si="26"/>
        <v/>
      </c>
      <c r="I382" s="6" t="str">
        <f t="shared" si="27"/>
        <v>0</v>
      </c>
    </row>
    <row r="383" spans="1:11">
      <c r="A383" t="s">
        <v>485</v>
      </c>
      <c r="B383" t="s">
        <v>5625</v>
      </c>
      <c r="G383" s="5" t="str">
        <f t="shared" si="26"/>
        <v/>
      </c>
      <c r="I383" s="6" t="str">
        <f t="shared" si="27"/>
        <v>0</v>
      </c>
      <c r="K383" s="19" t="s">
        <v>5626</v>
      </c>
    </row>
    <row r="384" spans="1:11">
      <c r="A384" t="s">
        <v>486</v>
      </c>
      <c r="B384" t="s">
        <v>309</v>
      </c>
      <c r="E384" t="str">
        <f t="shared" si="29"/>
        <v/>
      </c>
      <c r="G384" s="5" t="str">
        <f t="shared" si="26"/>
        <v/>
      </c>
      <c r="I384" s="6" t="str">
        <f t="shared" si="27"/>
        <v>0</v>
      </c>
    </row>
    <row r="385" spans="1:11">
      <c r="A385" t="s">
        <v>487</v>
      </c>
      <c r="B385" t="s">
        <v>309</v>
      </c>
      <c r="E385" t="str">
        <f t="shared" si="29"/>
        <v/>
      </c>
      <c r="G385" s="5" t="str">
        <f t="shared" si="26"/>
        <v/>
      </c>
      <c r="I385" s="6" t="str">
        <f t="shared" si="27"/>
        <v>0</v>
      </c>
    </row>
    <row r="386" spans="1:11">
      <c r="A386" t="s">
        <v>488</v>
      </c>
      <c r="B386" t="s">
        <v>309</v>
      </c>
      <c r="E386" t="str">
        <f t="shared" si="29"/>
        <v/>
      </c>
      <c r="G386" s="5" t="str">
        <f t="shared" ref="G386:G449" si="30">IF(F386&lt;&gt;"",HEX2DEC(SUBSTITUTE(SUBSTITUTE(F386,"adrEA",""),"$","")),"")</f>
        <v/>
      </c>
      <c r="I386" s="6" t="str">
        <f t="shared" ref="I386:I449" si="31">IFERROR(DEC2HEX(H386),"")</f>
        <v>0</v>
      </c>
    </row>
    <row r="387" spans="1:11">
      <c r="A387" t="s">
        <v>489</v>
      </c>
      <c r="B387" t="s">
        <v>309</v>
      </c>
      <c r="E387" t="str">
        <f t="shared" si="29"/>
        <v/>
      </c>
      <c r="G387" s="5" t="str">
        <f t="shared" si="30"/>
        <v/>
      </c>
      <c r="I387" s="6" t="str">
        <f t="shared" si="31"/>
        <v>0</v>
      </c>
    </row>
    <row r="388" spans="1:11">
      <c r="A388" t="s">
        <v>490</v>
      </c>
      <c r="B388" t="s">
        <v>309</v>
      </c>
      <c r="E388" t="str">
        <f t="shared" si="29"/>
        <v/>
      </c>
      <c r="G388" s="5" t="str">
        <f t="shared" si="30"/>
        <v/>
      </c>
      <c r="I388" s="6" t="str">
        <f t="shared" si="31"/>
        <v>0</v>
      </c>
    </row>
    <row r="389" spans="1:11">
      <c r="A389" t="s">
        <v>491</v>
      </c>
      <c r="B389" t="s">
        <v>5592</v>
      </c>
      <c r="G389" s="5" t="str">
        <f t="shared" si="30"/>
        <v/>
      </c>
      <c r="I389" s="6" t="str">
        <f t="shared" si="31"/>
        <v>0</v>
      </c>
      <c r="K389" s="19" t="s">
        <v>5593</v>
      </c>
    </row>
    <row r="390" spans="1:11">
      <c r="A390" t="s">
        <v>492</v>
      </c>
      <c r="B390" t="s">
        <v>309</v>
      </c>
      <c r="E390" t="str">
        <f t="shared" ref="E390:E420" si="32">IF(D390&lt;&gt;"",C390&amp;"/"&amp;D390,"")</f>
        <v/>
      </c>
      <c r="G390" s="5" t="str">
        <f t="shared" si="30"/>
        <v/>
      </c>
      <c r="I390" s="6" t="str">
        <f t="shared" si="31"/>
        <v>0</v>
      </c>
    </row>
    <row r="391" spans="1:11">
      <c r="A391" t="s">
        <v>493</v>
      </c>
      <c r="B391" t="s">
        <v>309</v>
      </c>
      <c r="E391" t="str">
        <f t="shared" si="32"/>
        <v/>
      </c>
      <c r="G391" s="5" t="str">
        <f t="shared" si="30"/>
        <v/>
      </c>
      <c r="I391" s="6" t="str">
        <f t="shared" si="31"/>
        <v>0</v>
      </c>
    </row>
    <row r="392" spans="1:11">
      <c r="A392" t="s">
        <v>494</v>
      </c>
      <c r="B392" t="s">
        <v>309</v>
      </c>
      <c r="E392" t="str">
        <f t="shared" si="32"/>
        <v/>
      </c>
      <c r="G392" s="5" t="str">
        <f t="shared" si="30"/>
        <v/>
      </c>
      <c r="I392" s="6" t="str">
        <f t="shared" si="31"/>
        <v>0</v>
      </c>
    </row>
    <row r="393" spans="1:11">
      <c r="A393" t="s">
        <v>495</v>
      </c>
      <c r="B393" t="s">
        <v>5908</v>
      </c>
      <c r="G393" s="5" t="str">
        <f t="shared" si="30"/>
        <v/>
      </c>
      <c r="I393" s="6" t="str">
        <f t="shared" si="31"/>
        <v>0</v>
      </c>
      <c r="K393" s="19" t="s">
        <v>5909</v>
      </c>
    </row>
    <row r="394" spans="1:11">
      <c r="A394" t="s">
        <v>496</v>
      </c>
      <c r="B394" t="s">
        <v>5910</v>
      </c>
      <c r="G394" s="5" t="str">
        <f t="shared" si="30"/>
        <v/>
      </c>
      <c r="I394" s="6" t="str">
        <f t="shared" si="31"/>
        <v>0</v>
      </c>
      <c r="K394" s="19" t="s">
        <v>5911</v>
      </c>
    </row>
    <row r="395" spans="1:11">
      <c r="A395" t="s">
        <v>497</v>
      </c>
      <c r="B395" t="s">
        <v>5627</v>
      </c>
      <c r="G395" s="5" t="str">
        <f t="shared" si="30"/>
        <v/>
      </c>
      <c r="I395" s="6" t="str">
        <f t="shared" si="31"/>
        <v>0</v>
      </c>
      <c r="K395" s="19" t="s">
        <v>5628</v>
      </c>
    </row>
    <row r="396" spans="1:11">
      <c r="A396" t="s">
        <v>498</v>
      </c>
      <c r="B396" t="s">
        <v>5629</v>
      </c>
      <c r="G396" s="5" t="str">
        <f t="shared" si="30"/>
        <v/>
      </c>
      <c r="I396" s="6" t="str">
        <f t="shared" si="31"/>
        <v>0</v>
      </c>
      <c r="K396" s="19" t="s">
        <v>5630</v>
      </c>
    </row>
    <row r="397" spans="1:11">
      <c r="A397" t="s">
        <v>499</v>
      </c>
      <c r="B397" t="s">
        <v>309</v>
      </c>
      <c r="E397" t="str">
        <f t="shared" si="32"/>
        <v/>
      </c>
      <c r="G397" s="5" t="str">
        <f t="shared" si="30"/>
        <v/>
      </c>
      <c r="I397" s="6" t="str">
        <f t="shared" si="31"/>
        <v>0</v>
      </c>
    </row>
    <row r="398" spans="1:11">
      <c r="A398" t="s">
        <v>500</v>
      </c>
      <c r="B398" t="s">
        <v>309</v>
      </c>
      <c r="E398" t="str">
        <f t="shared" si="32"/>
        <v/>
      </c>
      <c r="G398" s="5" t="str">
        <f t="shared" si="30"/>
        <v/>
      </c>
      <c r="I398" s="6" t="str">
        <f t="shared" si="31"/>
        <v>0</v>
      </c>
    </row>
    <row r="399" spans="1:11">
      <c r="A399" t="s">
        <v>501</v>
      </c>
      <c r="B399" t="s">
        <v>309</v>
      </c>
      <c r="E399" t="str">
        <f t="shared" si="32"/>
        <v/>
      </c>
      <c r="G399" s="5" t="str">
        <f t="shared" si="30"/>
        <v/>
      </c>
      <c r="I399" s="6" t="str">
        <f t="shared" si="31"/>
        <v>0</v>
      </c>
    </row>
    <row r="400" spans="1:11">
      <c r="A400" t="s">
        <v>502</v>
      </c>
      <c r="B400" t="s">
        <v>309</v>
      </c>
      <c r="E400" t="str">
        <f t="shared" si="32"/>
        <v/>
      </c>
      <c r="G400" s="5" t="str">
        <f t="shared" si="30"/>
        <v/>
      </c>
      <c r="I400" s="6" t="str">
        <f t="shared" si="31"/>
        <v>0</v>
      </c>
    </row>
    <row r="401" spans="1:11">
      <c r="A401" t="s">
        <v>503</v>
      </c>
      <c r="B401" t="s">
        <v>309</v>
      </c>
      <c r="E401" t="str">
        <f t="shared" si="32"/>
        <v/>
      </c>
      <c r="G401" s="5" t="str">
        <f t="shared" si="30"/>
        <v/>
      </c>
      <c r="I401" s="6" t="str">
        <f t="shared" si="31"/>
        <v>0</v>
      </c>
    </row>
    <row r="402" spans="1:11">
      <c r="A402" t="s">
        <v>504</v>
      </c>
      <c r="B402" t="s">
        <v>309</v>
      </c>
      <c r="E402" t="str">
        <f t="shared" si="32"/>
        <v/>
      </c>
      <c r="G402" s="5" t="str">
        <f t="shared" si="30"/>
        <v/>
      </c>
      <c r="I402" s="6" t="str">
        <f t="shared" si="31"/>
        <v>0</v>
      </c>
    </row>
    <row r="403" spans="1:11">
      <c r="A403" t="s">
        <v>505</v>
      </c>
      <c r="B403" t="s">
        <v>309</v>
      </c>
      <c r="E403" t="str">
        <f t="shared" si="32"/>
        <v/>
      </c>
      <c r="G403" s="5" t="str">
        <f t="shared" si="30"/>
        <v/>
      </c>
      <c r="I403" s="6" t="str">
        <f t="shared" si="31"/>
        <v>0</v>
      </c>
    </row>
    <row r="404" spans="1:11">
      <c r="A404" t="s">
        <v>506</v>
      </c>
      <c r="B404" t="s">
        <v>309</v>
      </c>
      <c r="E404" t="str">
        <f t="shared" si="32"/>
        <v/>
      </c>
      <c r="G404" s="5" t="str">
        <f t="shared" si="30"/>
        <v/>
      </c>
      <c r="I404" s="6" t="str">
        <f t="shared" si="31"/>
        <v>0</v>
      </c>
    </row>
    <row r="405" spans="1:11">
      <c r="A405" t="s">
        <v>507</v>
      </c>
      <c r="B405" t="s">
        <v>309</v>
      </c>
      <c r="E405" t="str">
        <f t="shared" si="32"/>
        <v/>
      </c>
      <c r="G405" s="5" t="str">
        <f t="shared" si="30"/>
        <v/>
      </c>
      <c r="I405" s="6" t="str">
        <f t="shared" si="31"/>
        <v>0</v>
      </c>
    </row>
    <row r="406" spans="1:11">
      <c r="A406" t="s">
        <v>508</v>
      </c>
      <c r="B406" t="s">
        <v>5588</v>
      </c>
      <c r="G406" s="5" t="str">
        <f t="shared" si="30"/>
        <v/>
      </c>
      <c r="I406" s="6" t="str">
        <f t="shared" si="31"/>
        <v>0</v>
      </c>
      <c r="K406" s="19" t="s">
        <v>5589</v>
      </c>
    </row>
    <row r="407" spans="1:11">
      <c r="A407" t="s">
        <v>509</v>
      </c>
      <c r="B407" t="s">
        <v>309</v>
      </c>
      <c r="E407" t="str">
        <f t="shared" si="32"/>
        <v/>
      </c>
      <c r="G407" s="5" t="str">
        <f t="shared" si="30"/>
        <v/>
      </c>
      <c r="I407" s="6" t="str">
        <f t="shared" si="31"/>
        <v>0</v>
      </c>
    </row>
    <row r="408" spans="1:11">
      <c r="A408" t="s">
        <v>510</v>
      </c>
      <c r="B408" t="s">
        <v>309</v>
      </c>
      <c r="E408" t="str">
        <f t="shared" si="32"/>
        <v/>
      </c>
      <c r="G408" s="5" t="str">
        <f t="shared" si="30"/>
        <v/>
      </c>
      <c r="I408" s="6" t="str">
        <f t="shared" si="31"/>
        <v>0</v>
      </c>
    </row>
    <row r="409" spans="1:11">
      <c r="A409" t="s">
        <v>511</v>
      </c>
      <c r="B409" t="s">
        <v>6187</v>
      </c>
      <c r="K409" s="19" t="s">
        <v>6188</v>
      </c>
    </row>
    <row r="410" spans="1:11">
      <c r="A410" t="s">
        <v>512</v>
      </c>
      <c r="B410" t="s">
        <v>6189</v>
      </c>
      <c r="K410" s="19" t="s">
        <v>6190</v>
      </c>
    </row>
    <row r="411" spans="1:11">
      <c r="A411" t="s">
        <v>513</v>
      </c>
      <c r="B411" t="s">
        <v>6191</v>
      </c>
      <c r="K411" s="19" t="s">
        <v>6192</v>
      </c>
    </row>
    <row r="412" spans="1:11">
      <c r="A412" t="s">
        <v>514</v>
      </c>
      <c r="B412" t="s">
        <v>6193</v>
      </c>
      <c r="K412" s="19" t="s">
        <v>6194</v>
      </c>
    </row>
    <row r="413" spans="1:11">
      <c r="A413" t="s">
        <v>515</v>
      </c>
      <c r="B413" t="s">
        <v>3288</v>
      </c>
      <c r="K413" s="19" t="s">
        <v>6195</v>
      </c>
    </row>
    <row r="414" spans="1:11">
      <c r="A414" t="s">
        <v>516</v>
      </c>
      <c r="B414" t="s">
        <v>3292</v>
      </c>
      <c r="K414" s="19" t="s">
        <v>6196</v>
      </c>
    </row>
    <row r="415" spans="1:11">
      <c r="A415" t="s">
        <v>517</v>
      </c>
      <c r="B415" t="s">
        <v>3264</v>
      </c>
      <c r="C415" s="5" t="s">
        <v>48</v>
      </c>
      <c r="D415" t="s">
        <v>6197</v>
      </c>
      <c r="E415" t="s">
        <v>6198</v>
      </c>
      <c r="F415" s="5" t="s">
        <v>3265</v>
      </c>
      <c r="G415" s="5">
        <v>4674</v>
      </c>
      <c r="H415" s="5">
        <v>16</v>
      </c>
      <c r="I415" s="6">
        <v>10</v>
      </c>
      <c r="J415" s="6" t="s">
        <v>3414</v>
      </c>
      <c r="K415" s="19" t="s">
        <v>6199</v>
      </c>
    </row>
    <row r="416" spans="1:11">
      <c r="A416" t="s">
        <v>518</v>
      </c>
      <c r="B416" t="s">
        <v>3290</v>
      </c>
      <c r="K416" s="19" t="s">
        <v>6200</v>
      </c>
    </row>
    <row r="417" spans="1:11">
      <c r="A417" t="s">
        <v>519</v>
      </c>
      <c r="B417" t="s">
        <v>6201</v>
      </c>
      <c r="K417" s="19" t="s">
        <v>6202</v>
      </c>
    </row>
    <row r="418" spans="1:11">
      <c r="A418" t="s">
        <v>520</v>
      </c>
      <c r="B418" t="s">
        <v>6203</v>
      </c>
      <c r="K418" s="19" t="s">
        <v>6204</v>
      </c>
    </row>
    <row r="419" spans="1:11">
      <c r="A419" t="s">
        <v>521</v>
      </c>
      <c r="B419" t="s">
        <v>6205</v>
      </c>
      <c r="K419" s="19" t="s">
        <v>6206</v>
      </c>
    </row>
    <row r="420" spans="1:11">
      <c r="A420" t="s">
        <v>522</v>
      </c>
      <c r="B420" t="s">
        <v>3293</v>
      </c>
      <c r="K420" s="19" t="s">
        <v>6207</v>
      </c>
    </row>
    <row r="421" spans="1:11">
      <c r="A421" t="s">
        <v>523</v>
      </c>
      <c r="B421" t="s">
        <v>3289</v>
      </c>
      <c r="K421" s="19" t="s">
        <v>6208</v>
      </c>
    </row>
    <row r="422" spans="1:11">
      <c r="A422" t="s">
        <v>524</v>
      </c>
      <c r="B422" t="s">
        <v>6209</v>
      </c>
      <c r="K422" s="19" t="s">
        <v>6210</v>
      </c>
    </row>
    <row r="423" spans="1:11">
      <c r="A423" t="s">
        <v>525</v>
      </c>
      <c r="B423" t="s">
        <v>6211</v>
      </c>
      <c r="K423" s="19" t="s">
        <v>6212</v>
      </c>
    </row>
    <row r="424" spans="1:11">
      <c r="A424" t="s">
        <v>526</v>
      </c>
      <c r="B424" t="s">
        <v>6213</v>
      </c>
      <c r="K424" s="19" t="s">
        <v>6214</v>
      </c>
    </row>
    <row r="425" spans="1:11">
      <c r="A425" t="s">
        <v>527</v>
      </c>
      <c r="B425" t="s">
        <v>6215</v>
      </c>
      <c r="K425" s="19" t="s">
        <v>6216</v>
      </c>
    </row>
    <row r="426" spans="1:11">
      <c r="A426" t="s">
        <v>528</v>
      </c>
      <c r="B426" t="s">
        <v>6217</v>
      </c>
      <c r="K426" s="19" t="s">
        <v>6218</v>
      </c>
    </row>
    <row r="427" spans="1:11">
      <c r="A427" t="s">
        <v>529</v>
      </c>
      <c r="B427" t="s">
        <v>6219</v>
      </c>
      <c r="K427" s="19" t="s">
        <v>6220</v>
      </c>
    </row>
    <row r="428" spans="1:11">
      <c r="A428" t="s">
        <v>530</v>
      </c>
      <c r="B428" t="s">
        <v>6221</v>
      </c>
      <c r="K428" s="19" t="s">
        <v>6222</v>
      </c>
    </row>
    <row r="429" spans="1:11">
      <c r="A429" t="s">
        <v>531</v>
      </c>
      <c r="B429" t="s">
        <v>6223</v>
      </c>
      <c r="K429" s="19" t="s">
        <v>6224</v>
      </c>
    </row>
    <row r="430" spans="1:11">
      <c r="A430" t="s">
        <v>532</v>
      </c>
      <c r="B430" t="s">
        <v>3291</v>
      </c>
      <c r="K430" s="19" t="s">
        <v>6225</v>
      </c>
    </row>
    <row r="431" spans="1:11">
      <c r="A431" t="s">
        <v>533</v>
      </c>
      <c r="B431" t="s">
        <v>5867</v>
      </c>
      <c r="K431" s="19" t="s">
        <v>6226</v>
      </c>
    </row>
    <row r="432" spans="1:11">
      <c r="A432" t="s">
        <v>534</v>
      </c>
      <c r="B432" t="s">
        <v>6227</v>
      </c>
      <c r="K432" s="19" t="s">
        <v>6228</v>
      </c>
    </row>
    <row r="433" spans="1:11">
      <c r="A433" t="s">
        <v>535</v>
      </c>
      <c r="B433" t="s">
        <v>6229</v>
      </c>
      <c r="K433" s="19" t="s">
        <v>6230</v>
      </c>
    </row>
    <row r="434" spans="1:11">
      <c r="A434" t="s">
        <v>536</v>
      </c>
      <c r="B434" t="s">
        <v>6231</v>
      </c>
      <c r="K434" s="19" t="s">
        <v>6232</v>
      </c>
    </row>
    <row r="435" spans="1:11">
      <c r="A435" t="s">
        <v>537</v>
      </c>
      <c r="B435" t="s">
        <v>6233</v>
      </c>
      <c r="K435" s="19" t="s">
        <v>6234</v>
      </c>
    </row>
    <row r="436" spans="1:11">
      <c r="A436" t="s">
        <v>538</v>
      </c>
      <c r="B436" t="s">
        <v>6235</v>
      </c>
      <c r="K436" s="19" t="s">
        <v>6236</v>
      </c>
    </row>
    <row r="437" spans="1:11">
      <c r="A437" t="s">
        <v>539</v>
      </c>
      <c r="B437" t="s">
        <v>6237</v>
      </c>
      <c r="K437" s="19" t="s">
        <v>6238</v>
      </c>
    </row>
    <row r="438" spans="1:11">
      <c r="A438" t="s">
        <v>540</v>
      </c>
      <c r="B438" t="s">
        <v>3294</v>
      </c>
      <c r="K438" s="19" t="s">
        <v>6239</v>
      </c>
    </row>
    <row r="439" spans="1:11">
      <c r="A439" t="s">
        <v>541</v>
      </c>
      <c r="B439" t="s">
        <v>5594</v>
      </c>
      <c r="K439" s="19" t="s">
        <v>6240</v>
      </c>
    </row>
    <row r="440" spans="1:11">
      <c r="A440" t="s">
        <v>542</v>
      </c>
      <c r="B440" t="s">
        <v>5631</v>
      </c>
      <c r="K440" s="19" t="s">
        <v>6241</v>
      </c>
    </row>
    <row r="441" spans="1:11">
      <c r="A441" t="s">
        <v>543</v>
      </c>
      <c r="B441" t="s">
        <v>6242</v>
      </c>
      <c r="K441" s="19" t="s">
        <v>6243</v>
      </c>
    </row>
    <row r="442" spans="1:11">
      <c r="A442" t="s">
        <v>544</v>
      </c>
      <c r="B442" t="s">
        <v>6244</v>
      </c>
      <c r="K442" s="19" t="s">
        <v>6245</v>
      </c>
    </row>
    <row r="443" spans="1:11">
      <c r="A443" t="s">
        <v>545</v>
      </c>
      <c r="B443" t="s">
        <v>6246</v>
      </c>
      <c r="K443" s="19" t="s">
        <v>6247</v>
      </c>
    </row>
    <row r="444" spans="1:11">
      <c r="A444" t="s">
        <v>546</v>
      </c>
      <c r="B444" t="s">
        <v>6248</v>
      </c>
      <c r="K444" s="19" t="s">
        <v>6249</v>
      </c>
    </row>
    <row r="445" spans="1:11">
      <c r="A445" t="s">
        <v>547</v>
      </c>
      <c r="B445" t="s">
        <v>6250</v>
      </c>
      <c r="K445" s="19" t="s">
        <v>6251</v>
      </c>
    </row>
    <row r="446" spans="1:11">
      <c r="A446" t="s">
        <v>548</v>
      </c>
      <c r="B446" t="s">
        <v>4739</v>
      </c>
      <c r="K446" s="19" t="s">
        <v>6252</v>
      </c>
    </row>
    <row r="447" spans="1:11">
      <c r="A447" t="s">
        <v>549</v>
      </c>
      <c r="B447" t="s">
        <v>4740</v>
      </c>
      <c r="K447" s="19" t="s">
        <v>6253</v>
      </c>
    </row>
    <row r="448" spans="1:11">
      <c r="A448" t="s">
        <v>550</v>
      </c>
      <c r="B448" t="s">
        <v>6254</v>
      </c>
      <c r="K448" s="19" t="s">
        <v>6255</v>
      </c>
    </row>
    <row r="449" spans="1:11">
      <c r="A449" t="s">
        <v>551</v>
      </c>
      <c r="B449" t="s">
        <v>6256</v>
      </c>
      <c r="K449" s="19" t="s">
        <v>6257</v>
      </c>
    </row>
    <row r="450" spans="1:11">
      <c r="A450" t="s">
        <v>552</v>
      </c>
      <c r="B450" t="s">
        <v>6258</v>
      </c>
      <c r="K450" s="19" t="s">
        <v>6259</v>
      </c>
    </row>
    <row r="451" spans="1:11">
      <c r="A451" t="s">
        <v>553</v>
      </c>
      <c r="B451" t="s">
        <v>6260</v>
      </c>
      <c r="K451" s="19" t="s">
        <v>6261</v>
      </c>
    </row>
    <row r="452" spans="1:11">
      <c r="A452" t="s">
        <v>554</v>
      </c>
      <c r="B452" t="s">
        <v>6262</v>
      </c>
      <c r="K452" s="19" t="s">
        <v>6263</v>
      </c>
    </row>
    <row r="453" spans="1:11">
      <c r="A453" t="s">
        <v>555</v>
      </c>
      <c r="B453" t="s">
        <v>6264</v>
      </c>
      <c r="K453" s="19" t="s">
        <v>6265</v>
      </c>
    </row>
    <row r="454" spans="1:11">
      <c r="A454" t="s">
        <v>556</v>
      </c>
      <c r="B454" t="s">
        <v>6266</v>
      </c>
      <c r="K454" s="19" t="s">
        <v>6267</v>
      </c>
    </row>
    <row r="455" spans="1:11">
      <c r="A455" t="s">
        <v>557</v>
      </c>
      <c r="B455" t="s">
        <v>5632</v>
      </c>
      <c r="K455" s="19" t="s">
        <v>5633</v>
      </c>
    </row>
    <row r="456" spans="1:11">
      <c r="A456" t="s">
        <v>558</v>
      </c>
      <c r="B456" t="s">
        <v>6268</v>
      </c>
      <c r="K456" s="19" t="s">
        <v>6269</v>
      </c>
    </row>
    <row r="457" spans="1:11">
      <c r="A457" t="s">
        <v>559</v>
      </c>
      <c r="B457" t="s">
        <v>6270</v>
      </c>
      <c r="K457" s="19" t="s">
        <v>6271</v>
      </c>
    </row>
    <row r="458" spans="1:11">
      <c r="A458" t="s">
        <v>560</v>
      </c>
      <c r="B458" t="s">
        <v>6272</v>
      </c>
      <c r="K458" s="19" t="s">
        <v>6273</v>
      </c>
    </row>
    <row r="459" spans="1:11">
      <c r="A459" t="s">
        <v>561</v>
      </c>
      <c r="B459" t="s">
        <v>6274</v>
      </c>
      <c r="K459" s="19" t="s">
        <v>6275</v>
      </c>
    </row>
    <row r="460" spans="1:11">
      <c r="A460" t="s">
        <v>562</v>
      </c>
      <c r="B460" t="s">
        <v>6276</v>
      </c>
      <c r="K460" s="19" t="s">
        <v>6277</v>
      </c>
    </row>
    <row r="461" spans="1:11">
      <c r="A461" t="s">
        <v>563</v>
      </c>
      <c r="B461" t="s">
        <v>6278</v>
      </c>
      <c r="K461" s="19" t="s">
        <v>6279</v>
      </c>
    </row>
    <row r="462" spans="1:11">
      <c r="A462" t="s">
        <v>564</v>
      </c>
      <c r="B462" t="s">
        <v>6280</v>
      </c>
      <c r="K462" s="19" t="s">
        <v>6281</v>
      </c>
    </row>
    <row r="463" spans="1:11">
      <c r="A463" t="s">
        <v>565</v>
      </c>
      <c r="B463" t="s">
        <v>5634</v>
      </c>
      <c r="K463" s="19" t="s">
        <v>5635</v>
      </c>
    </row>
    <row r="464" spans="1:11">
      <c r="A464" t="s">
        <v>566</v>
      </c>
      <c r="B464" t="s">
        <v>6282</v>
      </c>
      <c r="K464" s="19" t="s">
        <v>6283</v>
      </c>
    </row>
    <row r="465" spans="1:11">
      <c r="A465" t="s">
        <v>567</v>
      </c>
      <c r="B465" t="s">
        <v>5636</v>
      </c>
      <c r="K465" s="19" t="s">
        <v>6284</v>
      </c>
    </row>
    <row r="466" spans="1:11">
      <c r="A466" t="s">
        <v>568</v>
      </c>
      <c r="B466" t="s">
        <v>6285</v>
      </c>
      <c r="K466" s="19" t="s">
        <v>6286</v>
      </c>
    </row>
    <row r="467" spans="1:11">
      <c r="A467" t="s">
        <v>569</v>
      </c>
      <c r="B467" t="s">
        <v>6287</v>
      </c>
      <c r="K467" s="19" t="s">
        <v>6288</v>
      </c>
    </row>
    <row r="468" spans="1:11">
      <c r="A468" t="s">
        <v>570</v>
      </c>
      <c r="B468" t="s">
        <v>309</v>
      </c>
      <c r="E468" t="str">
        <f t="shared" ref="E448:E479" si="33">IF(D468&lt;&gt;"",C468&amp;"/"&amp;D468,"")</f>
        <v/>
      </c>
      <c r="G468" s="5" t="str">
        <f t="shared" ref="G450:G513" si="34">IF(F468&lt;&gt;"",HEX2DEC(SUBSTITUTE(SUBSTITUTE(F468,"adrEA",""),"$","")),"")</f>
        <v/>
      </c>
      <c r="I468" s="6" t="str">
        <f t="shared" ref="I450:I513" si="35">IFERROR(DEC2HEX(H468),"")</f>
        <v>0</v>
      </c>
    </row>
    <row r="469" spans="1:11">
      <c r="A469" t="s">
        <v>571</v>
      </c>
      <c r="B469" t="s">
        <v>309</v>
      </c>
      <c r="E469" t="str">
        <f t="shared" si="33"/>
        <v/>
      </c>
      <c r="G469" s="5" t="str">
        <f t="shared" si="34"/>
        <v/>
      </c>
      <c r="I469" s="6" t="str">
        <f t="shared" si="35"/>
        <v>0</v>
      </c>
    </row>
    <row r="470" spans="1:11">
      <c r="A470" t="s">
        <v>572</v>
      </c>
      <c r="B470" t="s">
        <v>309</v>
      </c>
      <c r="E470" t="str">
        <f t="shared" si="33"/>
        <v/>
      </c>
      <c r="G470" s="5" t="str">
        <f t="shared" si="34"/>
        <v/>
      </c>
      <c r="I470" s="6" t="str">
        <f t="shared" si="35"/>
        <v>0</v>
      </c>
    </row>
    <row r="471" spans="1:11">
      <c r="A471" t="s">
        <v>573</v>
      </c>
      <c r="B471" t="s">
        <v>309</v>
      </c>
      <c r="E471" t="str">
        <f t="shared" si="33"/>
        <v/>
      </c>
      <c r="G471" s="5" t="str">
        <f t="shared" si="34"/>
        <v/>
      </c>
      <c r="I471" s="6" t="str">
        <f t="shared" si="35"/>
        <v>0</v>
      </c>
    </row>
    <row r="472" spans="1:11">
      <c r="A472" t="s">
        <v>574</v>
      </c>
      <c r="B472" t="s">
        <v>309</v>
      </c>
      <c r="E472" t="str">
        <f t="shared" si="33"/>
        <v/>
      </c>
      <c r="G472" s="5" t="str">
        <f t="shared" si="34"/>
        <v/>
      </c>
      <c r="I472" s="6" t="str">
        <f t="shared" si="35"/>
        <v>0</v>
      </c>
    </row>
    <row r="473" spans="1:11">
      <c r="A473" t="s">
        <v>575</v>
      </c>
      <c r="B473" t="s">
        <v>309</v>
      </c>
      <c r="E473" t="str">
        <f t="shared" si="33"/>
        <v/>
      </c>
      <c r="G473" s="5" t="str">
        <f t="shared" si="34"/>
        <v/>
      </c>
      <c r="I473" s="6" t="str">
        <f t="shared" si="35"/>
        <v>0</v>
      </c>
    </row>
    <row r="474" spans="1:11">
      <c r="A474" t="s">
        <v>576</v>
      </c>
      <c r="B474" t="s">
        <v>309</v>
      </c>
      <c r="E474" t="str">
        <f t="shared" si="33"/>
        <v/>
      </c>
      <c r="G474" s="5" t="str">
        <f t="shared" si="34"/>
        <v/>
      </c>
      <c r="I474" s="6" t="str">
        <f t="shared" si="35"/>
        <v>0</v>
      </c>
    </row>
    <row r="475" spans="1:11">
      <c r="A475" t="s">
        <v>577</v>
      </c>
      <c r="B475" t="s">
        <v>309</v>
      </c>
      <c r="E475" t="str">
        <f t="shared" si="33"/>
        <v/>
      </c>
      <c r="G475" s="5" t="str">
        <f t="shared" si="34"/>
        <v/>
      </c>
      <c r="I475" s="6" t="str">
        <f t="shared" si="35"/>
        <v>0</v>
      </c>
    </row>
    <row r="476" spans="1:11">
      <c r="A476" t="s">
        <v>578</v>
      </c>
      <c r="B476" t="s">
        <v>6323</v>
      </c>
      <c r="K476" s="19" t="s">
        <v>6324</v>
      </c>
    </row>
    <row r="477" spans="1:11">
      <c r="A477" t="s">
        <v>579</v>
      </c>
      <c r="B477" t="s">
        <v>6325</v>
      </c>
      <c r="K477" s="19" t="s">
        <v>6326</v>
      </c>
    </row>
    <row r="478" spans="1:11">
      <c r="A478" t="s">
        <v>580</v>
      </c>
      <c r="B478" t="s">
        <v>6327</v>
      </c>
      <c r="K478" s="19" t="s">
        <v>6328</v>
      </c>
    </row>
    <row r="479" spans="1:11">
      <c r="A479" t="s">
        <v>581</v>
      </c>
      <c r="B479" t="s">
        <v>6329</v>
      </c>
      <c r="K479" s="19" t="s">
        <v>6330</v>
      </c>
    </row>
    <row r="480" spans="1:11">
      <c r="A480" t="s">
        <v>582</v>
      </c>
      <c r="B480" t="s">
        <v>6331</v>
      </c>
      <c r="K480" s="19" t="s">
        <v>6332</v>
      </c>
    </row>
    <row r="481" spans="1:11">
      <c r="A481" t="s">
        <v>583</v>
      </c>
      <c r="B481" t="s">
        <v>6333</v>
      </c>
      <c r="K481" s="19" t="s">
        <v>6334</v>
      </c>
    </row>
    <row r="482" spans="1:11">
      <c r="A482" t="s">
        <v>584</v>
      </c>
      <c r="B482" t="s">
        <v>6335</v>
      </c>
      <c r="K482" s="19" t="s">
        <v>6336</v>
      </c>
    </row>
    <row r="483" spans="1:11">
      <c r="A483" t="s">
        <v>585</v>
      </c>
      <c r="B483" t="s">
        <v>5912</v>
      </c>
      <c r="G483" s="5" t="str">
        <f t="shared" si="34"/>
        <v/>
      </c>
      <c r="I483" s="6" t="str">
        <f t="shared" si="35"/>
        <v>0</v>
      </c>
      <c r="K483" s="19" t="s">
        <v>5913</v>
      </c>
    </row>
    <row r="484" spans="1:11">
      <c r="A484" t="s">
        <v>586</v>
      </c>
      <c r="B484" t="s">
        <v>6337</v>
      </c>
      <c r="K484" s="19" t="s">
        <v>6338</v>
      </c>
    </row>
    <row r="485" spans="1:11">
      <c r="A485" t="s">
        <v>587</v>
      </c>
      <c r="B485" t="s">
        <v>6339</v>
      </c>
      <c r="K485" s="19" t="s">
        <v>6340</v>
      </c>
    </row>
    <row r="486" spans="1:11">
      <c r="A486" t="s">
        <v>588</v>
      </c>
      <c r="B486" t="s">
        <v>309</v>
      </c>
      <c r="E486" t="str">
        <f t="shared" ref="E480:E511" si="36">IF(D486&lt;&gt;"",C486&amp;"/"&amp;D486,"")</f>
        <v/>
      </c>
      <c r="G486" s="5" t="str">
        <f t="shared" si="34"/>
        <v/>
      </c>
      <c r="I486" s="6" t="str">
        <f t="shared" si="35"/>
        <v>0</v>
      </c>
    </row>
    <row r="487" spans="1:11">
      <c r="A487" t="s">
        <v>589</v>
      </c>
      <c r="B487" t="s">
        <v>309</v>
      </c>
      <c r="E487" t="str">
        <f t="shared" si="36"/>
        <v/>
      </c>
      <c r="G487" s="5" t="str">
        <f t="shared" si="34"/>
        <v/>
      </c>
      <c r="I487" s="6" t="str">
        <f t="shared" si="35"/>
        <v>0</v>
      </c>
    </row>
    <row r="488" spans="1:11">
      <c r="A488" t="s">
        <v>590</v>
      </c>
      <c r="B488" t="s">
        <v>309</v>
      </c>
      <c r="E488" t="str">
        <f t="shared" si="36"/>
        <v/>
      </c>
      <c r="G488" s="5" t="str">
        <f t="shared" si="34"/>
        <v/>
      </c>
      <c r="I488" s="6" t="str">
        <f t="shared" si="35"/>
        <v>0</v>
      </c>
    </row>
    <row r="489" spans="1:11">
      <c r="A489" t="s">
        <v>591</v>
      </c>
      <c r="B489" t="s">
        <v>309</v>
      </c>
      <c r="E489" t="str">
        <f t="shared" si="36"/>
        <v/>
      </c>
      <c r="G489" s="5" t="str">
        <f t="shared" si="34"/>
        <v/>
      </c>
      <c r="I489" s="6" t="str">
        <f t="shared" si="35"/>
        <v>0</v>
      </c>
    </row>
    <row r="490" spans="1:11">
      <c r="A490" t="s">
        <v>592</v>
      </c>
      <c r="B490" t="s">
        <v>5576</v>
      </c>
      <c r="G490" s="5" t="str">
        <f t="shared" si="34"/>
        <v/>
      </c>
      <c r="I490" s="6" t="str">
        <f t="shared" si="35"/>
        <v>0</v>
      </c>
      <c r="K490" s="19" t="s">
        <v>5577</v>
      </c>
    </row>
    <row r="491" spans="1:11">
      <c r="A491" t="s">
        <v>593</v>
      </c>
      <c r="B491" t="s">
        <v>5637</v>
      </c>
      <c r="G491" s="5" t="str">
        <f t="shared" si="34"/>
        <v/>
      </c>
      <c r="I491" s="6" t="str">
        <f t="shared" si="35"/>
        <v>0</v>
      </c>
      <c r="K491" s="19" t="s">
        <v>5638</v>
      </c>
    </row>
    <row r="492" spans="1:11">
      <c r="A492" t="s">
        <v>594</v>
      </c>
      <c r="B492" t="s">
        <v>309</v>
      </c>
      <c r="E492" t="str">
        <f t="shared" si="36"/>
        <v/>
      </c>
      <c r="G492" s="5" t="str">
        <f t="shared" si="34"/>
        <v/>
      </c>
      <c r="I492" s="6" t="str">
        <f t="shared" si="35"/>
        <v>0</v>
      </c>
    </row>
    <row r="493" spans="1:11">
      <c r="A493" t="s">
        <v>595</v>
      </c>
      <c r="B493" t="s">
        <v>309</v>
      </c>
      <c r="E493" t="str">
        <f t="shared" si="36"/>
        <v/>
      </c>
      <c r="G493" s="5" t="str">
        <f t="shared" si="34"/>
        <v/>
      </c>
      <c r="I493" s="6" t="str">
        <f t="shared" si="35"/>
        <v>0</v>
      </c>
    </row>
    <row r="494" spans="1:11">
      <c r="A494" t="s">
        <v>596</v>
      </c>
      <c r="B494" t="s">
        <v>5578</v>
      </c>
      <c r="G494" s="5" t="str">
        <f t="shared" si="34"/>
        <v/>
      </c>
      <c r="I494" s="6" t="str">
        <f t="shared" si="35"/>
        <v>0</v>
      </c>
      <c r="K494" s="19" t="s">
        <v>5579</v>
      </c>
    </row>
    <row r="495" spans="1:11">
      <c r="A495" t="s">
        <v>597</v>
      </c>
      <c r="B495" t="s">
        <v>309</v>
      </c>
      <c r="E495" t="str">
        <f t="shared" si="36"/>
        <v/>
      </c>
      <c r="G495" s="5" t="str">
        <f t="shared" si="34"/>
        <v/>
      </c>
      <c r="I495" s="6" t="str">
        <f t="shared" si="35"/>
        <v>0</v>
      </c>
    </row>
    <row r="496" spans="1:11">
      <c r="A496" t="s">
        <v>598</v>
      </c>
      <c r="B496" t="s">
        <v>309</v>
      </c>
      <c r="E496" t="str">
        <f t="shared" si="36"/>
        <v/>
      </c>
      <c r="G496" s="5" t="str">
        <f t="shared" si="34"/>
        <v/>
      </c>
      <c r="I496" s="6" t="str">
        <f t="shared" si="35"/>
        <v>0</v>
      </c>
    </row>
    <row r="497" spans="1:11">
      <c r="A497" t="s">
        <v>599</v>
      </c>
      <c r="B497" t="s">
        <v>309</v>
      </c>
      <c r="E497" t="str">
        <f t="shared" si="36"/>
        <v/>
      </c>
      <c r="G497" s="5" t="str">
        <f t="shared" si="34"/>
        <v/>
      </c>
      <c r="I497" s="6" t="str">
        <f t="shared" si="35"/>
        <v>0</v>
      </c>
    </row>
    <row r="498" spans="1:11">
      <c r="A498" t="s">
        <v>600</v>
      </c>
      <c r="B498" t="s">
        <v>309</v>
      </c>
      <c r="E498" t="str">
        <f t="shared" si="36"/>
        <v/>
      </c>
      <c r="G498" s="5" t="str">
        <f t="shared" si="34"/>
        <v/>
      </c>
      <c r="I498" s="6" t="str">
        <f t="shared" si="35"/>
        <v>0</v>
      </c>
    </row>
    <row r="499" spans="1:11">
      <c r="A499" t="s">
        <v>601</v>
      </c>
      <c r="B499" t="s">
        <v>309</v>
      </c>
      <c r="E499" t="str">
        <f t="shared" si="36"/>
        <v/>
      </c>
      <c r="G499" s="5" t="str">
        <f t="shared" si="34"/>
        <v/>
      </c>
      <c r="I499" s="6" t="str">
        <f t="shared" si="35"/>
        <v>0</v>
      </c>
    </row>
    <row r="500" spans="1:11">
      <c r="A500" t="s">
        <v>602</v>
      </c>
      <c r="B500" t="s">
        <v>309</v>
      </c>
      <c r="E500" t="str">
        <f t="shared" si="36"/>
        <v/>
      </c>
      <c r="G500" s="5" t="str">
        <f t="shared" si="34"/>
        <v/>
      </c>
      <c r="I500" s="6" t="str">
        <f t="shared" si="35"/>
        <v>0</v>
      </c>
    </row>
    <row r="501" spans="1:11">
      <c r="A501" t="s">
        <v>603</v>
      </c>
      <c r="B501" t="s">
        <v>5639</v>
      </c>
      <c r="G501" s="5" t="str">
        <f t="shared" si="34"/>
        <v/>
      </c>
      <c r="I501" s="6" t="str">
        <f t="shared" si="35"/>
        <v>0</v>
      </c>
      <c r="K501" s="19" t="s">
        <v>5640</v>
      </c>
    </row>
    <row r="502" spans="1:11">
      <c r="A502" t="s">
        <v>604</v>
      </c>
      <c r="B502" t="s">
        <v>309</v>
      </c>
      <c r="E502" t="str">
        <f t="shared" si="36"/>
        <v/>
      </c>
      <c r="G502" s="5" t="str">
        <f t="shared" si="34"/>
        <v/>
      </c>
      <c r="I502" s="6" t="str">
        <f t="shared" si="35"/>
        <v>0</v>
      </c>
    </row>
    <row r="503" spans="1:11">
      <c r="A503" t="s">
        <v>605</v>
      </c>
      <c r="B503" t="s">
        <v>309</v>
      </c>
      <c r="E503" t="str">
        <f t="shared" si="36"/>
        <v/>
      </c>
      <c r="G503" s="5" t="str">
        <f t="shared" si="34"/>
        <v/>
      </c>
      <c r="I503" s="6" t="str">
        <f t="shared" si="35"/>
        <v>0</v>
      </c>
    </row>
    <row r="504" spans="1:11">
      <c r="A504" t="s">
        <v>606</v>
      </c>
      <c r="B504" t="s">
        <v>309</v>
      </c>
      <c r="E504" t="str">
        <f t="shared" si="36"/>
        <v/>
      </c>
      <c r="G504" s="5" t="str">
        <f t="shared" si="34"/>
        <v/>
      </c>
      <c r="I504" s="6" t="str">
        <f t="shared" si="35"/>
        <v>0</v>
      </c>
    </row>
    <row r="505" spans="1:11">
      <c r="A505" t="s">
        <v>607</v>
      </c>
      <c r="B505" t="s">
        <v>309</v>
      </c>
      <c r="E505" t="str">
        <f t="shared" si="36"/>
        <v/>
      </c>
      <c r="G505" s="5" t="str">
        <f t="shared" si="34"/>
        <v/>
      </c>
      <c r="I505" s="6" t="str">
        <f t="shared" si="35"/>
        <v>0</v>
      </c>
    </row>
    <row r="506" spans="1:11">
      <c r="A506" t="s">
        <v>608</v>
      </c>
      <c r="B506" t="s">
        <v>309</v>
      </c>
      <c r="E506" t="str">
        <f t="shared" si="36"/>
        <v/>
      </c>
      <c r="G506" s="5" t="str">
        <f t="shared" si="34"/>
        <v/>
      </c>
      <c r="I506" s="6" t="str">
        <f t="shared" si="35"/>
        <v>0</v>
      </c>
    </row>
    <row r="507" spans="1:11">
      <c r="A507" t="s">
        <v>609</v>
      </c>
      <c r="B507" t="s">
        <v>309</v>
      </c>
      <c r="E507" t="str">
        <f t="shared" si="36"/>
        <v/>
      </c>
      <c r="G507" s="5" t="str">
        <f t="shared" si="34"/>
        <v/>
      </c>
      <c r="I507" s="6" t="str">
        <f t="shared" si="35"/>
        <v>0</v>
      </c>
    </row>
    <row r="508" spans="1:11">
      <c r="A508" t="s">
        <v>610</v>
      </c>
      <c r="B508" t="s">
        <v>5641</v>
      </c>
      <c r="G508" s="5" t="str">
        <f t="shared" si="34"/>
        <v/>
      </c>
      <c r="I508" s="6" t="str">
        <f t="shared" si="35"/>
        <v>0</v>
      </c>
      <c r="K508" s="19" t="s">
        <v>5642</v>
      </c>
    </row>
    <row r="509" spans="1:11">
      <c r="A509" t="s">
        <v>611</v>
      </c>
      <c r="B509" t="s">
        <v>309</v>
      </c>
      <c r="E509" t="str">
        <f t="shared" si="36"/>
        <v/>
      </c>
      <c r="G509" s="5" t="str">
        <f t="shared" si="34"/>
        <v/>
      </c>
      <c r="I509" s="6" t="str">
        <f t="shared" si="35"/>
        <v>0</v>
      </c>
    </row>
    <row r="510" spans="1:11">
      <c r="A510" t="s">
        <v>612</v>
      </c>
      <c r="B510" t="s">
        <v>309</v>
      </c>
      <c r="E510" t="str">
        <f t="shared" si="36"/>
        <v/>
      </c>
      <c r="G510" s="5" t="str">
        <f t="shared" si="34"/>
        <v/>
      </c>
      <c r="I510" s="6" t="str">
        <f t="shared" si="35"/>
        <v>0</v>
      </c>
    </row>
    <row r="511" spans="1:11">
      <c r="A511" t="s">
        <v>613</v>
      </c>
      <c r="B511" t="s">
        <v>309</v>
      </c>
      <c r="E511" t="str">
        <f t="shared" si="36"/>
        <v/>
      </c>
      <c r="G511" s="5" t="str">
        <f t="shared" si="34"/>
        <v/>
      </c>
      <c r="I511" s="6" t="str">
        <f t="shared" si="35"/>
        <v>0</v>
      </c>
    </row>
    <row r="512" spans="1:11">
      <c r="A512" t="s">
        <v>614</v>
      </c>
      <c r="B512" t="s">
        <v>5643</v>
      </c>
      <c r="G512" s="5" t="str">
        <f t="shared" si="34"/>
        <v/>
      </c>
      <c r="I512" s="6" t="str">
        <f t="shared" si="35"/>
        <v>0</v>
      </c>
      <c r="K512" s="19" t="s">
        <v>5644</v>
      </c>
    </row>
    <row r="513" spans="1:11">
      <c r="A513" t="s">
        <v>615</v>
      </c>
      <c r="B513" t="s">
        <v>309</v>
      </c>
      <c r="E513" t="str">
        <f t="shared" ref="E513:E542" si="37">IF(D513&lt;&gt;"",C513&amp;"/"&amp;D513,"")</f>
        <v/>
      </c>
      <c r="G513" s="5" t="str">
        <f t="shared" si="34"/>
        <v/>
      </c>
      <c r="I513" s="6" t="str">
        <f t="shared" si="35"/>
        <v>0</v>
      </c>
    </row>
    <row r="514" spans="1:11">
      <c r="A514" t="s">
        <v>616</v>
      </c>
      <c r="B514" t="s">
        <v>309</v>
      </c>
      <c r="E514" t="str">
        <f t="shared" si="37"/>
        <v/>
      </c>
      <c r="G514" s="5" t="str">
        <f t="shared" ref="G514:G577" si="38">IF(F514&lt;&gt;"",HEX2DEC(SUBSTITUTE(SUBSTITUTE(F514,"adrEA",""),"$","")),"")</f>
        <v/>
      </c>
      <c r="I514" s="6" t="str">
        <f t="shared" ref="I514:I577" si="39">IFERROR(DEC2HEX(H514),"")</f>
        <v>0</v>
      </c>
    </row>
    <row r="515" spans="1:11">
      <c r="A515" t="s">
        <v>617</v>
      </c>
      <c r="B515" t="s">
        <v>309</v>
      </c>
      <c r="E515" t="str">
        <f t="shared" si="37"/>
        <v/>
      </c>
      <c r="G515" s="5" t="str">
        <f t="shared" si="38"/>
        <v/>
      </c>
      <c r="I515" s="6" t="str">
        <f t="shared" si="39"/>
        <v>0</v>
      </c>
    </row>
    <row r="516" spans="1:11">
      <c r="A516" t="s">
        <v>618</v>
      </c>
      <c r="B516" t="s">
        <v>309</v>
      </c>
      <c r="E516" t="str">
        <f t="shared" si="37"/>
        <v/>
      </c>
      <c r="G516" s="5" t="str">
        <f t="shared" si="38"/>
        <v/>
      </c>
      <c r="I516" s="6" t="str">
        <f t="shared" si="39"/>
        <v>0</v>
      </c>
    </row>
    <row r="517" spans="1:11">
      <c r="A517" t="s">
        <v>619</v>
      </c>
      <c r="B517" t="s">
        <v>309</v>
      </c>
      <c r="E517" t="str">
        <f t="shared" si="37"/>
        <v/>
      </c>
      <c r="G517" s="5" t="str">
        <f t="shared" si="38"/>
        <v/>
      </c>
      <c r="I517" s="6" t="str">
        <f t="shared" si="39"/>
        <v>0</v>
      </c>
    </row>
    <row r="518" spans="1:11">
      <c r="A518" t="s">
        <v>620</v>
      </c>
      <c r="B518" t="s">
        <v>309</v>
      </c>
      <c r="E518" t="str">
        <f t="shared" si="37"/>
        <v/>
      </c>
      <c r="G518" s="5" t="str">
        <f t="shared" si="38"/>
        <v/>
      </c>
      <c r="I518" s="6" t="str">
        <f t="shared" si="39"/>
        <v>0</v>
      </c>
    </row>
    <row r="519" spans="1:11">
      <c r="A519" t="s">
        <v>621</v>
      </c>
      <c r="B519" t="s">
        <v>309</v>
      </c>
      <c r="E519" t="str">
        <f t="shared" si="37"/>
        <v/>
      </c>
      <c r="G519" s="5" t="str">
        <f t="shared" si="38"/>
        <v/>
      </c>
      <c r="I519" s="6" t="str">
        <f t="shared" si="39"/>
        <v>0</v>
      </c>
    </row>
    <row r="520" spans="1:11">
      <c r="A520" t="s">
        <v>622</v>
      </c>
      <c r="B520" t="s">
        <v>309</v>
      </c>
      <c r="E520" t="str">
        <f t="shared" si="37"/>
        <v/>
      </c>
      <c r="G520" s="5" t="str">
        <f t="shared" si="38"/>
        <v/>
      </c>
      <c r="I520" s="6" t="str">
        <f t="shared" si="39"/>
        <v>0</v>
      </c>
    </row>
    <row r="521" spans="1:11">
      <c r="A521" t="s">
        <v>623</v>
      </c>
      <c r="B521" t="s">
        <v>5645</v>
      </c>
      <c r="G521" s="5" t="str">
        <f t="shared" si="38"/>
        <v/>
      </c>
      <c r="I521" s="6" t="str">
        <f t="shared" si="39"/>
        <v>0</v>
      </c>
      <c r="K521" s="19" t="s">
        <v>5646</v>
      </c>
    </row>
    <row r="522" spans="1:11">
      <c r="A522" t="s">
        <v>624</v>
      </c>
      <c r="B522" t="s">
        <v>309</v>
      </c>
      <c r="E522" t="str">
        <f t="shared" si="37"/>
        <v/>
      </c>
      <c r="G522" s="5" t="str">
        <f t="shared" si="38"/>
        <v/>
      </c>
      <c r="I522" s="6" t="str">
        <f t="shared" si="39"/>
        <v>0</v>
      </c>
    </row>
    <row r="523" spans="1:11">
      <c r="A523" t="s">
        <v>625</v>
      </c>
      <c r="B523" t="s">
        <v>309</v>
      </c>
      <c r="E523" t="str">
        <f t="shared" si="37"/>
        <v/>
      </c>
      <c r="G523" s="5" t="str">
        <f t="shared" si="38"/>
        <v/>
      </c>
      <c r="I523" s="6" t="str">
        <f t="shared" si="39"/>
        <v>0</v>
      </c>
    </row>
    <row r="524" spans="1:11">
      <c r="A524" t="s">
        <v>626</v>
      </c>
      <c r="B524" t="s">
        <v>309</v>
      </c>
      <c r="E524" t="str">
        <f t="shared" si="37"/>
        <v/>
      </c>
      <c r="G524" s="5" t="str">
        <f t="shared" si="38"/>
        <v/>
      </c>
      <c r="I524" s="6" t="str">
        <f t="shared" si="39"/>
        <v>0</v>
      </c>
    </row>
    <row r="525" spans="1:11">
      <c r="A525" t="s">
        <v>627</v>
      </c>
      <c r="B525" t="s">
        <v>309</v>
      </c>
      <c r="E525" t="str">
        <f t="shared" si="37"/>
        <v/>
      </c>
      <c r="G525" s="5" t="str">
        <f t="shared" si="38"/>
        <v/>
      </c>
      <c r="I525" s="6" t="str">
        <f t="shared" si="39"/>
        <v>0</v>
      </c>
    </row>
    <row r="526" spans="1:11">
      <c r="A526" t="s">
        <v>628</v>
      </c>
      <c r="B526" t="s">
        <v>309</v>
      </c>
      <c r="E526" t="str">
        <f t="shared" si="37"/>
        <v/>
      </c>
      <c r="G526" s="5" t="str">
        <f t="shared" si="38"/>
        <v/>
      </c>
      <c r="I526" s="6" t="str">
        <f t="shared" si="39"/>
        <v>0</v>
      </c>
    </row>
    <row r="527" spans="1:11">
      <c r="A527" t="s">
        <v>629</v>
      </c>
      <c r="B527" t="s">
        <v>309</v>
      </c>
      <c r="E527" t="str">
        <f t="shared" si="37"/>
        <v/>
      </c>
      <c r="G527" s="5" t="str">
        <f t="shared" si="38"/>
        <v/>
      </c>
      <c r="I527" s="6" t="str">
        <f t="shared" si="39"/>
        <v>0</v>
      </c>
    </row>
    <row r="528" spans="1:11">
      <c r="A528" t="s">
        <v>630</v>
      </c>
      <c r="B528" t="s">
        <v>309</v>
      </c>
      <c r="E528" t="str">
        <f t="shared" si="37"/>
        <v/>
      </c>
      <c r="G528" s="5" t="str">
        <f t="shared" si="38"/>
        <v/>
      </c>
      <c r="I528" s="6" t="str">
        <f t="shared" si="39"/>
        <v>0</v>
      </c>
    </row>
    <row r="529" spans="1:11">
      <c r="A529" t="s">
        <v>631</v>
      </c>
      <c r="B529" t="s">
        <v>5647</v>
      </c>
      <c r="G529" s="5" t="str">
        <f t="shared" si="38"/>
        <v/>
      </c>
      <c r="I529" s="6" t="str">
        <f t="shared" si="39"/>
        <v>0</v>
      </c>
      <c r="K529" s="19" t="s">
        <v>5648</v>
      </c>
    </row>
    <row r="530" spans="1:11">
      <c r="A530" t="s">
        <v>632</v>
      </c>
      <c r="B530" t="s">
        <v>309</v>
      </c>
      <c r="E530" t="str">
        <f t="shared" si="37"/>
        <v/>
      </c>
      <c r="G530" s="5" t="str">
        <f t="shared" si="38"/>
        <v/>
      </c>
      <c r="I530" s="6" t="str">
        <f t="shared" si="39"/>
        <v>0</v>
      </c>
    </row>
    <row r="531" spans="1:11">
      <c r="A531" t="s">
        <v>633</v>
      </c>
      <c r="B531" t="s">
        <v>5649</v>
      </c>
      <c r="G531" s="5" t="str">
        <f t="shared" si="38"/>
        <v/>
      </c>
      <c r="I531" s="6" t="str">
        <f t="shared" si="39"/>
        <v>0</v>
      </c>
      <c r="K531" s="19" t="s">
        <v>5650</v>
      </c>
    </row>
    <row r="532" spans="1:11">
      <c r="A532" t="s">
        <v>634</v>
      </c>
      <c r="B532" t="s">
        <v>309</v>
      </c>
      <c r="E532" t="str">
        <f t="shared" si="37"/>
        <v/>
      </c>
      <c r="G532" s="5" t="str">
        <f t="shared" si="38"/>
        <v/>
      </c>
      <c r="I532" s="6" t="str">
        <f t="shared" si="39"/>
        <v>0</v>
      </c>
    </row>
    <row r="533" spans="1:11">
      <c r="A533" t="s">
        <v>635</v>
      </c>
      <c r="B533" t="s">
        <v>309</v>
      </c>
      <c r="E533" t="str">
        <f t="shared" si="37"/>
        <v/>
      </c>
      <c r="G533" s="5" t="str">
        <f t="shared" si="38"/>
        <v/>
      </c>
      <c r="I533" s="6" t="str">
        <f t="shared" si="39"/>
        <v>0</v>
      </c>
    </row>
    <row r="534" spans="1:11">
      <c r="A534" t="s">
        <v>636</v>
      </c>
      <c r="B534" t="s">
        <v>5651</v>
      </c>
      <c r="G534" s="5" t="str">
        <f t="shared" si="38"/>
        <v/>
      </c>
      <c r="I534" s="6" t="str">
        <f t="shared" si="39"/>
        <v>0</v>
      </c>
      <c r="K534" s="19" t="s">
        <v>5652</v>
      </c>
    </row>
    <row r="535" spans="1:11">
      <c r="A535" t="s">
        <v>637</v>
      </c>
      <c r="B535" t="s">
        <v>5653</v>
      </c>
      <c r="G535" s="5" t="str">
        <f t="shared" si="38"/>
        <v/>
      </c>
      <c r="I535" s="6" t="str">
        <f t="shared" si="39"/>
        <v>0</v>
      </c>
      <c r="K535" s="19" t="s">
        <v>5654</v>
      </c>
    </row>
    <row r="536" spans="1:11">
      <c r="A536" t="s">
        <v>638</v>
      </c>
      <c r="B536" t="s">
        <v>5655</v>
      </c>
      <c r="G536" s="5" t="str">
        <f t="shared" si="38"/>
        <v/>
      </c>
      <c r="I536" s="6" t="str">
        <f t="shared" si="39"/>
        <v>0</v>
      </c>
      <c r="K536" s="19" t="s">
        <v>5656</v>
      </c>
    </row>
    <row r="537" spans="1:11">
      <c r="A537" t="s">
        <v>639</v>
      </c>
      <c r="B537" t="s">
        <v>309</v>
      </c>
      <c r="E537" t="str">
        <f t="shared" si="37"/>
        <v/>
      </c>
      <c r="G537" s="5" t="str">
        <f t="shared" si="38"/>
        <v/>
      </c>
      <c r="I537" s="6" t="str">
        <f t="shared" si="39"/>
        <v>0</v>
      </c>
    </row>
    <row r="538" spans="1:11">
      <c r="A538" t="s">
        <v>640</v>
      </c>
      <c r="B538" t="s">
        <v>309</v>
      </c>
      <c r="E538" t="str">
        <f t="shared" si="37"/>
        <v/>
      </c>
      <c r="G538" s="5" t="str">
        <f t="shared" si="38"/>
        <v/>
      </c>
      <c r="I538" s="6" t="str">
        <f t="shared" si="39"/>
        <v>0</v>
      </c>
    </row>
    <row r="539" spans="1:11">
      <c r="A539" t="s">
        <v>641</v>
      </c>
      <c r="B539" t="s">
        <v>309</v>
      </c>
      <c r="E539" t="str">
        <f t="shared" si="37"/>
        <v/>
      </c>
      <c r="G539" s="5" t="str">
        <f t="shared" si="38"/>
        <v/>
      </c>
      <c r="I539" s="6" t="str">
        <f t="shared" si="39"/>
        <v>0</v>
      </c>
    </row>
    <row r="540" spans="1:11">
      <c r="A540" t="s">
        <v>642</v>
      </c>
      <c r="B540" t="s">
        <v>5657</v>
      </c>
      <c r="G540" s="5" t="str">
        <f t="shared" si="38"/>
        <v/>
      </c>
      <c r="I540" s="6" t="str">
        <f t="shared" si="39"/>
        <v>0</v>
      </c>
      <c r="K540" s="19" t="s">
        <v>5658</v>
      </c>
    </row>
    <row r="541" spans="1:11">
      <c r="A541" t="s">
        <v>643</v>
      </c>
      <c r="B541" t="s">
        <v>309</v>
      </c>
      <c r="E541" t="str">
        <f t="shared" si="37"/>
        <v/>
      </c>
      <c r="G541" s="5" t="str">
        <f t="shared" si="38"/>
        <v/>
      </c>
      <c r="I541" s="6" t="str">
        <f t="shared" si="39"/>
        <v>0</v>
      </c>
    </row>
    <row r="542" spans="1:11">
      <c r="A542" t="s">
        <v>644</v>
      </c>
      <c r="B542" t="s">
        <v>309</v>
      </c>
      <c r="E542" t="str">
        <f t="shared" si="37"/>
        <v/>
      </c>
      <c r="G542" s="5" t="str">
        <f t="shared" si="38"/>
        <v/>
      </c>
      <c r="I542" s="6" t="str">
        <f t="shared" si="39"/>
        <v>0</v>
      </c>
    </row>
    <row r="543" spans="1:11">
      <c r="A543" t="s">
        <v>645</v>
      </c>
      <c r="B543" t="s">
        <v>5659</v>
      </c>
      <c r="G543" s="5" t="str">
        <f t="shared" si="38"/>
        <v/>
      </c>
      <c r="I543" s="6" t="str">
        <f t="shared" si="39"/>
        <v>0</v>
      </c>
      <c r="K543" s="19" t="s">
        <v>5660</v>
      </c>
    </row>
    <row r="544" spans="1:11">
      <c r="A544" t="s">
        <v>646</v>
      </c>
      <c r="B544" t="s">
        <v>309</v>
      </c>
      <c r="E544" t="str">
        <f t="shared" ref="E544:E575" si="40">IF(D544&lt;&gt;"",C544&amp;"/"&amp;D544,"")</f>
        <v/>
      </c>
      <c r="G544" s="5" t="str">
        <f t="shared" si="38"/>
        <v/>
      </c>
      <c r="I544" s="6" t="str">
        <f t="shared" si="39"/>
        <v>0</v>
      </c>
    </row>
    <row r="545" spans="1:11">
      <c r="A545" t="s">
        <v>647</v>
      </c>
      <c r="B545" t="s">
        <v>309</v>
      </c>
      <c r="E545" t="str">
        <f t="shared" si="40"/>
        <v/>
      </c>
      <c r="G545" s="5" t="str">
        <f t="shared" si="38"/>
        <v/>
      </c>
      <c r="I545" s="6" t="str">
        <f t="shared" si="39"/>
        <v>0</v>
      </c>
    </row>
    <row r="546" spans="1:11">
      <c r="A546" t="s">
        <v>648</v>
      </c>
      <c r="B546" t="s">
        <v>5661</v>
      </c>
      <c r="G546" s="5" t="str">
        <f t="shared" si="38"/>
        <v/>
      </c>
      <c r="I546" s="6" t="str">
        <f t="shared" si="39"/>
        <v>0</v>
      </c>
      <c r="K546" s="19" t="s">
        <v>5662</v>
      </c>
    </row>
    <row r="547" spans="1:11">
      <c r="A547" t="s">
        <v>649</v>
      </c>
      <c r="B547" t="s">
        <v>309</v>
      </c>
      <c r="E547" t="str">
        <f t="shared" si="40"/>
        <v/>
      </c>
      <c r="G547" s="5" t="str">
        <f t="shared" si="38"/>
        <v/>
      </c>
      <c r="I547" s="6" t="str">
        <f t="shared" si="39"/>
        <v>0</v>
      </c>
    </row>
    <row r="548" spans="1:11">
      <c r="A548" t="s">
        <v>650</v>
      </c>
      <c r="B548" t="s">
        <v>309</v>
      </c>
      <c r="E548" t="str">
        <f t="shared" si="40"/>
        <v/>
      </c>
      <c r="G548" s="5" t="str">
        <f t="shared" si="38"/>
        <v/>
      </c>
      <c r="I548" s="6" t="str">
        <f t="shared" si="39"/>
        <v>0</v>
      </c>
    </row>
    <row r="549" spans="1:11">
      <c r="A549" t="s">
        <v>651</v>
      </c>
      <c r="B549" t="s">
        <v>309</v>
      </c>
      <c r="E549" t="str">
        <f t="shared" si="40"/>
        <v/>
      </c>
      <c r="G549" s="5" t="str">
        <f t="shared" si="38"/>
        <v/>
      </c>
      <c r="I549" s="6" t="str">
        <f t="shared" si="39"/>
        <v>0</v>
      </c>
    </row>
    <row r="550" spans="1:11">
      <c r="A550" t="s">
        <v>652</v>
      </c>
      <c r="B550" t="s">
        <v>309</v>
      </c>
      <c r="E550" t="str">
        <f t="shared" si="40"/>
        <v/>
      </c>
      <c r="G550" s="5" t="str">
        <f t="shared" si="38"/>
        <v/>
      </c>
      <c r="I550" s="6" t="str">
        <f t="shared" si="39"/>
        <v>0</v>
      </c>
    </row>
    <row r="551" spans="1:11">
      <c r="A551" t="s">
        <v>653</v>
      </c>
      <c r="B551" t="s">
        <v>309</v>
      </c>
      <c r="E551" t="str">
        <f t="shared" si="40"/>
        <v/>
      </c>
      <c r="G551" s="5" t="str">
        <f t="shared" si="38"/>
        <v/>
      </c>
      <c r="I551" s="6" t="str">
        <f t="shared" si="39"/>
        <v>0</v>
      </c>
    </row>
    <row r="552" spans="1:11">
      <c r="A552" t="s">
        <v>654</v>
      </c>
      <c r="B552" t="s">
        <v>309</v>
      </c>
      <c r="E552" t="str">
        <f t="shared" si="40"/>
        <v/>
      </c>
      <c r="G552" s="5" t="str">
        <f t="shared" si="38"/>
        <v/>
      </c>
      <c r="I552" s="6" t="str">
        <f t="shared" si="39"/>
        <v>0</v>
      </c>
    </row>
    <row r="553" spans="1:11">
      <c r="A553" t="s">
        <v>655</v>
      </c>
      <c r="B553" t="s">
        <v>309</v>
      </c>
      <c r="E553" t="str">
        <f t="shared" si="40"/>
        <v/>
      </c>
      <c r="G553" s="5" t="str">
        <f t="shared" si="38"/>
        <v/>
      </c>
      <c r="I553" s="6" t="str">
        <f t="shared" si="39"/>
        <v>0</v>
      </c>
    </row>
    <row r="554" spans="1:11">
      <c r="A554" t="s">
        <v>656</v>
      </c>
      <c r="B554" t="s">
        <v>309</v>
      </c>
      <c r="E554" t="str">
        <f t="shared" si="40"/>
        <v/>
      </c>
      <c r="G554" s="5" t="str">
        <f t="shared" si="38"/>
        <v/>
      </c>
      <c r="I554" s="6" t="str">
        <f t="shared" si="39"/>
        <v>0</v>
      </c>
    </row>
    <row r="555" spans="1:11">
      <c r="A555" t="s">
        <v>657</v>
      </c>
      <c r="B555" t="s">
        <v>5663</v>
      </c>
      <c r="G555" s="5" t="str">
        <f t="shared" si="38"/>
        <v/>
      </c>
      <c r="I555" s="6" t="str">
        <f t="shared" si="39"/>
        <v>0</v>
      </c>
      <c r="K555" s="19" t="s">
        <v>5664</v>
      </c>
    </row>
    <row r="556" spans="1:11">
      <c r="A556" t="s">
        <v>658</v>
      </c>
      <c r="B556" t="s">
        <v>309</v>
      </c>
      <c r="E556" t="str">
        <f t="shared" si="40"/>
        <v/>
      </c>
      <c r="G556" s="5" t="str">
        <f t="shared" si="38"/>
        <v/>
      </c>
      <c r="I556" s="6" t="str">
        <f t="shared" si="39"/>
        <v>0</v>
      </c>
    </row>
    <row r="557" spans="1:11">
      <c r="A557" t="s">
        <v>659</v>
      </c>
      <c r="B557" t="s">
        <v>309</v>
      </c>
      <c r="E557" t="str">
        <f t="shared" si="40"/>
        <v/>
      </c>
      <c r="G557" s="5" t="str">
        <f t="shared" si="38"/>
        <v/>
      </c>
      <c r="I557" s="6" t="str">
        <f t="shared" si="39"/>
        <v>0</v>
      </c>
    </row>
    <row r="558" spans="1:11">
      <c r="A558" t="s">
        <v>660</v>
      </c>
      <c r="B558" t="s">
        <v>309</v>
      </c>
      <c r="E558" t="str">
        <f t="shared" si="40"/>
        <v/>
      </c>
      <c r="G558" s="5" t="str">
        <f t="shared" si="38"/>
        <v/>
      </c>
      <c r="I558" s="6" t="str">
        <f t="shared" si="39"/>
        <v>0</v>
      </c>
    </row>
    <row r="559" spans="1:11">
      <c r="A559" t="s">
        <v>661</v>
      </c>
      <c r="B559" t="s">
        <v>309</v>
      </c>
      <c r="E559" t="str">
        <f t="shared" si="40"/>
        <v/>
      </c>
      <c r="G559" s="5" t="str">
        <f t="shared" si="38"/>
        <v/>
      </c>
      <c r="I559" s="6" t="str">
        <f t="shared" si="39"/>
        <v>0</v>
      </c>
    </row>
    <row r="560" spans="1:11">
      <c r="A560" t="s">
        <v>662</v>
      </c>
      <c r="B560" t="s">
        <v>309</v>
      </c>
      <c r="E560" t="str">
        <f t="shared" si="40"/>
        <v/>
      </c>
      <c r="G560" s="5" t="str">
        <f t="shared" si="38"/>
        <v/>
      </c>
      <c r="I560" s="6" t="str">
        <f t="shared" si="39"/>
        <v>0</v>
      </c>
    </row>
    <row r="561" spans="1:11">
      <c r="A561" t="s">
        <v>663</v>
      </c>
      <c r="B561" t="s">
        <v>309</v>
      </c>
      <c r="E561" t="str">
        <f t="shared" si="40"/>
        <v/>
      </c>
      <c r="G561" s="5" t="str">
        <f t="shared" si="38"/>
        <v/>
      </c>
      <c r="I561" s="6" t="str">
        <f t="shared" si="39"/>
        <v>0</v>
      </c>
    </row>
    <row r="562" spans="1:11">
      <c r="A562" t="s">
        <v>664</v>
      </c>
      <c r="B562" t="s">
        <v>5914</v>
      </c>
      <c r="G562" s="5" t="str">
        <f t="shared" si="38"/>
        <v/>
      </c>
      <c r="I562" s="6" t="str">
        <f t="shared" si="39"/>
        <v>0</v>
      </c>
      <c r="K562" s="19" t="s">
        <v>5915</v>
      </c>
    </row>
    <row r="563" spans="1:11">
      <c r="A563" t="s">
        <v>665</v>
      </c>
      <c r="B563" t="s">
        <v>5665</v>
      </c>
      <c r="G563" s="5" t="str">
        <f t="shared" si="38"/>
        <v/>
      </c>
      <c r="I563" s="6" t="str">
        <f t="shared" si="39"/>
        <v>0</v>
      </c>
      <c r="K563" s="19" t="s">
        <v>5666</v>
      </c>
    </row>
    <row r="564" spans="1:11">
      <c r="A564" t="s">
        <v>666</v>
      </c>
      <c r="B564" t="s">
        <v>309</v>
      </c>
      <c r="E564" t="str">
        <f t="shared" si="40"/>
        <v/>
      </c>
      <c r="G564" s="5" t="str">
        <f t="shared" si="38"/>
        <v/>
      </c>
      <c r="I564" s="6" t="str">
        <f t="shared" si="39"/>
        <v>0</v>
      </c>
    </row>
    <row r="565" spans="1:11">
      <c r="A565" t="s">
        <v>667</v>
      </c>
      <c r="B565" t="s">
        <v>309</v>
      </c>
      <c r="E565" t="str">
        <f t="shared" si="40"/>
        <v/>
      </c>
      <c r="G565" s="5" t="str">
        <f t="shared" si="38"/>
        <v/>
      </c>
      <c r="I565" s="6" t="str">
        <f t="shared" si="39"/>
        <v>0</v>
      </c>
    </row>
    <row r="566" spans="1:11">
      <c r="A566" t="s">
        <v>668</v>
      </c>
      <c r="B566" t="s">
        <v>309</v>
      </c>
      <c r="E566" t="str">
        <f t="shared" si="40"/>
        <v/>
      </c>
      <c r="G566" s="5" t="str">
        <f t="shared" si="38"/>
        <v/>
      </c>
      <c r="I566" s="6" t="str">
        <f t="shared" si="39"/>
        <v>0</v>
      </c>
    </row>
    <row r="567" spans="1:11">
      <c r="A567" t="s">
        <v>669</v>
      </c>
      <c r="B567" t="s">
        <v>309</v>
      </c>
      <c r="E567" t="str">
        <f t="shared" si="40"/>
        <v/>
      </c>
      <c r="G567" s="5" t="str">
        <f t="shared" si="38"/>
        <v/>
      </c>
      <c r="I567" s="6" t="str">
        <f t="shared" si="39"/>
        <v>0</v>
      </c>
    </row>
    <row r="568" spans="1:11">
      <c r="A568" t="s">
        <v>670</v>
      </c>
      <c r="B568" t="s">
        <v>5667</v>
      </c>
      <c r="G568" s="5" t="str">
        <f t="shared" si="38"/>
        <v/>
      </c>
      <c r="I568" s="6" t="str">
        <f t="shared" si="39"/>
        <v>0</v>
      </c>
      <c r="K568" s="19" t="s">
        <v>5668</v>
      </c>
    </row>
    <row r="569" spans="1:11">
      <c r="A569" t="s">
        <v>671</v>
      </c>
      <c r="B569" t="s">
        <v>309</v>
      </c>
      <c r="E569" t="str">
        <f t="shared" si="40"/>
        <v/>
      </c>
      <c r="G569" s="5" t="str">
        <f t="shared" si="38"/>
        <v/>
      </c>
      <c r="I569" s="6" t="str">
        <f t="shared" si="39"/>
        <v>0</v>
      </c>
    </row>
    <row r="570" spans="1:11">
      <c r="A570" t="s">
        <v>672</v>
      </c>
      <c r="B570" t="s">
        <v>309</v>
      </c>
      <c r="E570" t="str">
        <f t="shared" si="40"/>
        <v/>
      </c>
      <c r="G570" s="5" t="str">
        <f t="shared" si="38"/>
        <v/>
      </c>
      <c r="I570" s="6" t="str">
        <f t="shared" si="39"/>
        <v>0</v>
      </c>
    </row>
    <row r="571" spans="1:11">
      <c r="A571" t="s">
        <v>673</v>
      </c>
      <c r="B571" t="s">
        <v>309</v>
      </c>
      <c r="E571" t="str">
        <f t="shared" si="40"/>
        <v/>
      </c>
      <c r="G571" s="5" t="str">
        <f t="shared" si="38"/>
        <v/>
      </c>
      <c r="I571" s="6" t="str">
        <f t="shared" si="39"/>
        <v>0</v>
      </c>
    </row>
    <row r="572" spans="1:11">
      <c r="A572" t="s">
        <v>674</v>
      </c>
      <c r="B572" t="s">
        <v>309</v>
      </c>
      <c r="E572" t="str">
        <f t="shared" si="40"/>
        <v/>
      </c>
      <c r="G572" s="5" t="str">
        <f t="shared" si="38"/>
        <v/>
      </c>
      <c r="I572" s="6" t="str">
        <f t="shared" si="39"/>
        <v>0</v>
      </c>
    </row>
    <row r="573" spans="1:11">
      <c r="A573" t="s">
        <v>675</v>
      </c>
      <c r="B573" t="s">
        <v>3432</v>
      </c>
      <c r="E573" t="str">
        <f t="shared" si="40"/>
        <v/>
      </c>
      <c r="G573" s="5" t="str">
        <f t="shared" si="38"/>
        <v/>
      </c>
      <c r="I573" s="6" t="str">
        <f t="shared" si="39"/>
        <v>0</v>
      </c>
    </row>
    <row r="574" spans="1:11">
      <c r="A574" t="s">
        <v>676</v>
      </c>
      <c r="B574" t="s">
        <v>3295</v>
      </c>
      <c r="E574" t="str">
        <f t="shared" si="40"/>
        <v/>
      </c>
      <c r="G574" s="5" t="str">
        <f t="shared" si="38"/>
        <v/>
      </c>
      <c r="I574" s="6" t="str">
        <f t="shared" si="39"/>
        <v>0</v>
      </c>
    </row>
    <row r="575" spans="1:11">
      <c r="A575" t="s">
        <v>677</v>
      </c>
      <c r="B575" t="s">
        <v>309</v>
      </c>
      <c r="E575" t="str">
        <f t="shared" si="40"/>
        <v/>
      </c>
      <c r="G575" s="5" t="str">
        <f t="shared" si="38"/>
        <v/>
      </c>
      <c r="I575" s="6" t="str">
        <f t="shared" si="39"/>
        <v>0</v>
      </c>
    </row>
    <row r="576" spans="1:11">
      <c r="A576" t="s">
        <v>678</v>
      </c>
      <c r="B576" t="s">
        <v>309</v>
      </c>
      <c r="E576" t="str">
        <f t="shared" ref="E576:E607" si="41">IF(D576&lt;&gt;"",C576&amp;"/"&amp;D576,"")</f>
        <v/>
      </c>
      <c r="G576" s="5" t="str">
        <f t="shared" si="38"/>
        <v/>
      </c>
      <c r="I576" s="6" t="str">
        <f t="shared" si="39"/>
        <v>0</v>
      </c>
    </row>
    <row r="577" spans="1:11">
      <c r="A577" t="s">
        <v>679</v>
      </c>
      <c r="B577" t="s">
        <v>309</v>
      </c>
      <c r="E577" t="str">
        <f t="shared" si="41"/>
        <v/>
      </c>
      <c r="G577" s="5" t="str">
        <f t="shared" si="38"/>
        <v/>
      </c>
      <c r="I577" s="6" t="str">
        <f t="shared" si="39"/>
        <v>0</v>
      </c>
    </row>
    <row r="578" spans="1:11">
      <c r="A578" t="s">
        <v>680</v>
      </c>
      <c r="B578" t="s">
        <v>309</v>
      </c>
      <c r="E578" t="str">
        <f t="shared" si="41"/>
        <v/>
      </c>
      <c r="G578" s="5" t="str">
        <f t="shared" ref="G578:G641" si="42">IF(F578&lt;&gt;"",HEX2DEC(SUBSTITUTE(SUBSTITUTE(F578,"adrEA",""),"$","")),"")</f>
        <v/>
      </c>
      <c r="I578" s="6" t="str">
        <f t="shared" ref="I578:I641" si="43">IFERROR(DEC2HEX(H578),"")</f>
        <v>0</v>
      </c>
    </row>
    <row r="579" spans="1:11">
      <c r="A579" t="s">
        <v>681</v>
      </c>
      <c r="B579" t="s">
        <v>5669</v>
      </c>
      <c r="G579" s="5" t="str">
        <f t="shared" si="42"/>
        <v/>
      </c>
      <c r="I579" s="6" t="str">
        <f t="shared" si="43"/>
        <v>0</v>
      </c>
      <c r="K579" s="19" t="s">
        <v>5670</v>
      </c>
    </row>
    <row r="580" spans="1:11">
      <c r="A580" t="s">
        <v>682</v>
      </c>
      <c r="B580" t="s">
        <v>309</v>
      </c>
      <c r="E580" t="str">
        <f t="shared" si="41"/>
        <v/>
      </c>
      <c r="G580" s="5" t="str">
        <f t="shared" si="42"/>
        <v/>
      </c>
      <c r="I580" s="6" t="str">
        <f t="shared" si="43"/>
        <v>0</v>
      </c>
    </row>
    <row r="581" spans="1:11">
      <c r="A581" t="s">
        <v>683</v>
      </c>
      <c r="B581" t="s">
        <v>309</v>
      </c>
      <c r="E581" t="str">
        <f t="shared" si="41"/>
        <v/>
      </c>
      <c r="G581" s="5" t="str">
        <f t="shared" si="42"/>
        <v/>
      </c>
      <c r="I581" s="6" t="str">
        <f t="shared" si="43"/>
        <v>0</v>
      </c>
    </row>
    <row r="582" spans="1:11">
      <c r="A582" t="s">
        <v>684</v>
      </c>
      <c r="B582" t="s">
        <v>309</v>
      </c>
      <c r="E582" t="str">
        <f t="shared" si="41"/>
        <v/>
      </c>
      <c r="G582" s="5" t="str">
        <f t="shared" si="42"/>
        <v/>
      </c>
      <c r="I582" s="6" t="str">
        <f t="shared" si="43"/>
        <v>0</v>
      </c>
    </row>
    <row r="583" spans="1:11">
      <c r="A583" t="s">
        <v>685</v>
      </c>
      <c r="B583" t="s">
        <v>309</v>
      </c>
      <c r="E583" t="str">
        <f t="shared" si="41"/>
        <v/>
      </c>
      <c r="G583" s="5" t="str">
        <f t="shared" si="42"/>
        <v/>
      </c>
      <c r="I583" s="6" t="str">
        <f t="shared" si="43"/>
        <v>0</v>
      </c>
    </row>
    <row r="584" spans="1:11">
      <c r="A584" t="s">
        <v>686</v>
      </c>
      <c r="B584" t="s">
        <v>309</v>
      </c>
      <c r="E584" t="str">
        <f t="shared" si="41"/>
        <v/>
      </c>
      <c r="G584" s="5" t="str">
        <f t="shared" si="42"/>
        <v/>
      </c>
      <c r="I584" s="6" t="str">
        <f t="shared" si="43"/>
        <v>0</v>
      </c>
    </row>
    <row r="585" spans="1:11">
      <c r="A585" t="s">
        <v>687</v>
      </c>
      <c r="B585" t="s">
        <v>309</v>
      </c>
      <c r="E585" t="str">
        <f t="shared" si="41"/>
        <v/>
      </c>
      <c r="G585" s="5" t="str">
        <f t="shared" si="42"/>
        <v/>
      </c>
      <c r="I585" s="6" t="str">
        <f t="shared" si="43"/>
        <v>0</v>
      </c>
    </row>
    <row r="586" spans="1:11">
      <c r="A586" t="s">
        <v>688</v>
      </c>
      <c r="B586" t="s">
        <v>309</v>
      </c>
      <c r="E586" t="str">
        <f t="shared" si="41"/>
        <v/>
      </c>
      <c r="G586" s="5" t="str">
        <f t="shared" si="42"/>
        <v/>
      </c>
      <c r="I586" s="6" t="str">
        <f t="shared" si="43"/>
        <v>0</v>
      </c>
    </row>
    <row r="587" spans="1:11">
      <c r="A587" t="s">
        <v>689</v>
      </c>
      <c r="B587" t="s">
        <v>6341</v>
      </c>
      <c r="K587" s="19" t="s">
        <v>6342</v>
      </c>
    </row>
    <row r="588" spans="1:11">
      <c r="A588" t="s">
        <v>690</v>
      </c>
      <c r="B588" t="s">
        <v>6343</v>
      </c>
      <c r="K588" s="19" t="s">
        <v>6344</v>
      </c>
    </row>
    <row r="589" spans="1:11">
      <c r="A589" t="s">
        <v>691</v>
      </c>
      <c r="B589" t="s">
        <v>6345</v>
      </c>
      <c r="K589" s="19" t="s">
        <v>6346</v>
      </c>
    </row>
    <row r="590" spans="1:11">
      <c r="A590" t="s">
        <v>692</v>
      </c>
      <c r="B590" t="s">
        <v>5916</v>
      </c>
      <c r="G590" s="5" t="str">
        <f t="shared" si="42"/>
        <v/>
      </c>
      <c r="I590" s="6" t="str">
        <f t="shared" si="43"/>
        <v>0</v>
      </c>
      <c r="K590" s="19" t="s">
        <v>5917</v>
      </c>
    </row>
    <row r="591" spans="1:11">
      <c r="A591" t="s">
        <v>693</v>
      </c>
      <c r="B591" t="s">
        <v>6347</v>
      </c>
      <c r="K591" s="19" t="s">
        <v>6348</v>
      </c>
    </row>
    <row r="592" spans="1:11">
      <c r="A592" t="s">
        <v>694</v>
      </c>
      <c r="B592" t="s">
        <v>309</v>
      </c>
      <c r="E592" t="str">
        <f t="shared" si="41"/>
        <v/>
      </c>
      <c r="G592" s="5" t="str">
        <f t="shared" si="42"/>
        <v/>
      </c>
      <c r="I592" s="6" t="str">
        <f t="shared" si="43"/>
        <v>0</v>
      </c>
    </row>
    <row r="593" spans="1:11">
      <c r="A593" t="s">
        <v>695</v>
      </c>
      <c r="B593" t="s">
        <v>6349</v>
      </c>
      <c r="K593" s="19" t="s">
        <v>6350</v>
      </c>
    </row>
    <row r="594" spans="1:11">
      <c r="A594" t="s">
        <v>696</v>
      </c>
      <c r="B594" t="s">
        <v>6351</v>
      </c>
      <c r="K594" s="19" t="s">
        <v>6352</v>
      </c>
    </row>
    <row r="595" spans="1:11">
      <c r="A595" t="s">
        <v>697</v>
      </c>
      <c r="B595" t="s">
        <v>6353</v>
      </c>
      <c r="K595" s="19" t="s">
        <v>6354</v>
      </c>
    </row>
    <row r="596" spans="1:11">
      <c r="A596" t="s">
        <v>698</v>
      </c>
      <c r="B596" t="s">
        <v>6355</v>
      </c>
      <c r="K596" s="19" t="s">
        <v>6356</v>
      </c>
    </row>
    <row r="597" spans="1:11">
      <c r="A597" t="s">
        <v>699</v>
      </c>
      <c r="B597" t="s">
        <v>6357</v>
      </c>
      <c r="K597" s="19" t="s">
        <v>6358</v>
      </c>
    </row>
    <row r="598" spans="1:11">
      <c r="A598" t="s">
        <v>700</v>
      </c>
      <c r="B598" t="s">
        <v>5671</v>
      </c>
      <c r="G598" s="5" t="str">
        <f t="shared" si="42"/>
        <v/>
      </c>
      <c r="I598" s="6" t="str">
        <f t="shared" si="43"/>
        <v>0</v>
      </c>
      <c r="K598" s="19" t="s">
        <v>5672</v>
      </c>
    </row>
    <row r="599" spans="1:11">
      <c r="A599" t="s">
        <v>701</v>
      </c>
      <c r="B599" t="s">
        <v>309</v>
      </c>
      <c r="E599" t="str">
        <f t="shared" si="41"/>
        <v/>
      </c>
      <c r="G599" s="5" t="str">
        <f t="shared" si="42"/>
        <v/>
      </c>
      <c r="I599" s="6" t="str">
        <f t="shared" si="43"/>
        <v>0</v>
      </c>
    </row>
    <row r="600" spans="1:11">
      <c r="A600" t="s">
        <v>702</v>
      </c>
      <c r="B600" t="s">
        <v>6359</v>
      </c>
      <c r="K600" s="19" t="s">
        <v>6360</v>
      </c>
    </row>
    <row r="601" spans="1:11">
      <c r="A601" t="s">
        <v>703</v>
      </c>
      <c r="B601" t="s">
        <v>5918</v>
      </c>
      <c r="G601" s="5" t="str">
        <f t="shared" si="42"/>
        <v/>
      </c>
      <c r="I601" s="6" t="str">
        <f t="shared" si="43"/>
        <v>0</v>
      </c>
      <c r="K601" s="19" t="s">
        <v>5919</v>
      </c>
    </row>
    <row r="602" spans="1:11">
      <c r="A602" t="s">
        <v>704</v>
      </c>
      <c r="B602" t="s">
        <v>309</v>
      </c>
      <c r="E602" t="str">
        <f t="shared" si="41"/>
        <v/>
      </c>
      <c r="G602" s="5" t="str">
        <f t="shared" si="42"/>
        <v/>
      </c>
      <c r="I602" s="6" t="str">
        <f t="shared" si="43"/>
        <v>0</v>
      </c>
    </row>
    <row r="603" spans="1:11">
      <c r="A603" t="s">
        <v>705</v>
      </c>
      <c r="B603" t="s">
        <v>6361</v>
      </c>
      <c r="K603" s="19" t="s">
        <v>6362</v>
      </c>
    </row>
    <row r="604" spans="1:11">
      <c r="A604" t="s">
        <v>706</v>
      </c>
      <c r="B604" t="s">
        <v>5920</v>
      </c>
      <c r="G604" s="5" t="str">
        <f t="shared" si="42"/>
        <v/>
      </c>
      <c r="I604" s="6" t="str">
        <f t="shared" si="43"/>
        <v>0</v>
      </c>
      <c r="K604" s="19" t="s">
        <v>5921</v>
      </c>
    </row>
    <row r="605" spans="1:11">
      <c r="A605" t="s">
        <v>707</v>
      </c>
      <c r="B605" t="s">
        <v>5922</v>
      </c>
      <c r="G605" s="5" t="str">
        <f t="shared" si="42"/>
        <v/>
      </c>
      <c r="I605" s="6" t="str">
        <f t="shared" si="43"/>
        <v>0</v>
      </c>
      <c r="K605" s="19" t="s">
        <v>5923</v>
      </c>
    </row>
    <row r="606" spans="1:11">
      <c r="A606" t="s">
        <v>708</v>
      </c>
      <c r="B606" t="s">
        <v>309</v>
      </c>
      <c r="E606" t="str">
        <f t="shared" si="41"/>
        <v/>
      </c>
      <c r="G606" s="5" t="str">
        <f t="shared" si="42"/>
        <v/>
      </c>
      <c r="I606" s="6" t="str">
        <f t="shared" si="43"/>
        <v>0</v>
      </c>
    </row>
    <row r="607" spans="1:11">
      <c r="A607" t="s">
        <v>709</v>
      </c>
      <c r="B607" t="s">
        <v>309</v>
      </c>
      <c r="E607" t="str">
        <f t="shared" si="41"/>
        <v/>
      </c>
      <c r="G607" s="5" t="str">
        <f t="shared" si="42"/>
        <v/>
      </c>
      <c r="I607" s="6" t="str">
        <f t="shared" si="43"/>
        <v>0</v>
      </c>
    </row>
    <row r="608" spans="1:11">
      <c r="A608" t="s">
        <v>710</v>
      </c>
      <c r="B608" t="s">
        <v>5924</v>
      </c>
      <c r="G608" s="5" t="str">
        <f t="shared" si="42"/>
        <v/>
      </c>
      <c r="I608" s="6" t="str">
        <f t="shared" si="43"/>
        <v>0</v>
      </c>
      <c r="K608" s="19" t="s">
        <v>5925</v>
      </c>
    </row>
    <row r="609" spans="1:11">
      <c r="A609" t="s">
        <v>711</v>
      </c>
      <c r="B609" t="s">
        <v>5926</v>
      </c>
      <c r="G609" s="5" t="str">
        <f t="shared" si="42"/>
        <v/>
      </c>
      <c r="I609" s="6" t="str">
        <f t="shared" si="43"/>
        <v>0</v>
      </c>
      <c r="K609" s="19" t="s">
        <v>5927</v>
      </c>
    </row>
    <row r="610" spans="1:11">
      <c r="A610" t="s">
        <v>712</v>
      </c>
      <c r="B610" t="s">
        <v>309</v>
      </c>
      <c r="E610" t="str">
        <f t="shared" ref="E610:E639" si="44">IF(D610&lt;&gt;"",C610&amp;"/"&amp;D610,"")</f>
        <v/>
      </c>
      <c r="G610" s="5" t="str">
        <f t="shared" si="42"/>
        <v/>
      </c>
      <c r="I610" s="6" t="str">
        <f t="shared" si="43"/>
        <v>0</v>
      </c>
    </row>
    <row r="611" spans="1:11">
      <c r="A611" t="s">
        <v>713</v>
      </c>
      <c r="B611" t="s">
        <v>714</v>
      </c>
      <c r="E611" t="str">
        <f t="shared" si="44"/>
        <v/>
      </c>
      <c r="G611" s="5" t="str">
        <f t="shared" si="42"/>
        <v/>
      </c>
      <c r="I611" s="6" t="str">
        <f t="shared" si="43"/>
        <v>0</v>
      </c>
    </row>
    <row r="612" spans="1:11">
      <c r="A612" t="s">
        <v>715</v>
      </c>
      <c r="B612" t="s">
        <v>5673</v>
      </c>
      <c r="G612" s="5" t="str">
        <f t="shared" si="42"/>
        <v/>
      </c>
      <c r="I612" s="6" t="str">
        <f t="shared" si="43"/>
        <v>0</v>
      </c>
      <c r="K612" s="19" t="s">
        <v>5674</v>
      </c>
    </row>
    <row r="613" spans="1:11">
      <c r="A613" t="s">
        <v>716</v>
      </c>
      <c r="B613" t="s">
        <v>309</v>
      </c>
      <c r="E613" t="str">
        <f t="shared" si="44"/>
        <v/>
      </c>
      <c r="G613" s="5" t="str">
        <f t="shared" si="42"/>
        <v/>
      </c>
      <c r="I613" s="6" t="str">
        <f t="shared" si="43"/>
        <v>0</v>
      </c>
    </row>
    <row r="614" spans="1:11">
      <c r="A614" t="s">
        <v>717</v>
      </c>
      <c r="B614" t="s">
        <v>309</v>
      </c>
      <c r="E614" t="str">
        <f t="shared" si="44"/>
        <v/>
      </c>
      <c r="G614" s="5" t="str">
        <f t="shared" si="42"/>
        <v/>
      </c>
      <c r="I614" s="6" t="str">
        <f t="shared" si="43"/>
        <v>0</v>
      </c>
    </row>
    <row r="615" spans="1:11">
      <c r="A615" t="s">
        <v>718</v>
      </c>
      <c r="B615" t="s">
        <v>5675</v>
      </c>
      <c r="G615" s="5" t="str">
        <f t="shared" si="42"/>
        <v/>
      </c>
      <c r="I615" s="6" t="str">
        <f t="shared" si="43"/>
        <v>0</v>
      </c>
      <c r="K615" s="19" t="s">
        <v>5676</v>
      </c>
    </row>
    <row r="616" spans="1:11">
      <c r="A616" t="s">
        <v>719</v>
      </c>
      <c r="B616" t="s">
        <v>309</v>
      </c>
      <c r="E616" t="str">
        <f t="shared" si="44"/>
        <v/>
      </c>
      <c r="G616" s="5" t="str">
        <f t="shared" si="42"/>
        <v/>
      </c>
      <c r="I616" s="6" t="str">
        <f t="shared" si="43"/>
        <v>0</v>
      </c>
    </row>
    <row r="617" spans="1:11">
      <c r="A617" t="s">
        <v>720</v>
      </c>
      <c r="B617" t="s">
        <v>309</v>
      </c>
      <c r="E617" t="str">
        <f t="shared" si="44"/>
        <v/>
      </c>
      <c r="G617" s="5" t="str">
        <f t="shared" si="42"/>
        <v/>
      </c>
      <c r="I617" s="6" t="str">
        <f t="shared" si="43"/>
        <v>0</v>
      </c>
    </row>
    <row r="618" spans="1:11">
      <c r="A618" t="s">
        <v>721</v>
      </c>
      <c r="B618" t="s">
        <v>309</v>
      </c>
      <c r="E618" t="str">
        <f t="shared" si="44"/>
        <v/>
      </c>
      <c r="G618" s="5" t="str">
        <f t="shared" si="42"/>
        <v/>
      </c>
      <c r="I618" s="6" t="str">
        <f t="shared" si="43"/>
        <v>0</v>
      </c>
    </row>
    <row r="619" spans="1:11">
      <c r="A619" t="s">
        <v>722</v>
      </c>
      <c r="B619" t="s">
        <v>5595</v>
      </c>
      <c r="G619" s="5" t="str">
        <f t="shared" si="42"/>
        <v/>
      </c>
      <c r="I619" s="6" t="str">
        <f t="shared" si="43"/>
        <v>0</v>
      </c>
      <c r="K619" s="19" t="s">
        <v>5596</v>
      </c>
    </row>
    <row r="620" spans="1:11">
      <c r="A620" t="s">
        <v>723</v>
      </c>
      <c r="B620" t="s">
        <v>5677</v>
      </c>
      <c r="G620" s="5" t="str">
        <f t="shared" si="42"/>
        <v/>
      </c>
      <c r="I620" s="6" t="str">
        <f t="shared" si="43"/>
        <v>0</v>
      </c>
      <c r="K620" s="19" t="s">
        <v>5678</v>
      </c>
    </row>
    <row r="621" spans="1:11">
      <c r="A621" t="s">
        <v>724</v>
      </c>
      <c r="B621" t="s">
        <v>309</v>
      </c>
      <c r="E621" t="str">
        <f t="shared" si="44"/>
        <v/>
      </c>
      <c r="G621" s="5" t="str">
        <f t="shared" si="42"/>
        <v/>
      </c>
      <c r="I621" s="6" t="str">
        <f t="shared" si="43"/>
        <v>0</v>
      </c>
    </row>
    <row r="622" spans="1:11">
      <c r="A622" t="s">
        <v>725</v>
      </c>
      <c r="B622" t="s">
        <v>309</v>
      </c>
      <c r="E622" t="str">
        <f t="shared" si="44"/>
        <v/>
      </c>
      <c r="G622" s="5" t="str">
        <f t="shared" si="42"/>
        <v/>
      </c>
      <c r="I622" s="6" t="str">
        <f t="shared" si="43"/>
        <v>0</v>
      </c>
    </row>
    <row r="623" spans="1:11">
      <c r="A623" t="s">
        <v>726</v>
      </c>
      <c r="B623" t="s">
        <v>309</v>
      </c>
      <c r="E623" t="str">
        <f t="shared" si="44"/>
        <v/>
      </c>
      <c r="G623" s="5" t="str">
        <f t="shared" si="42"/>
        <v/>
      </c>
      <c r="I623" s="6" t="str">
        <f t="shared" si="43"/>
        <v>0</v>
      </c>
    </row>
    <row r="624" spans="1:11">
      <c r="A624" t="s">
        <v>727</v>
      </c>
      <c r="B624" t="s">
        <v>309</v>
      </c>
      <c r="E624" t="str">
        <f t="shared" si="44"/>
        <v/>
      </c>
      <c r="G624" s="5" t="str">
        <f t="shared" si="42"/>
        <v/>
      </c>
      <c r="I624" s="6" t="str">
        <f t="shared" si="43"/>
        <v>0</v>
      </c>
    </row>
    <row r="625" spans="1:11">
      <c r="A625" t="s">
        <v>728</v>
      </c>
      <c r="B625" t="s">
        <v>5679</v>
      </c>
      <c r="G625" s="5" t="str">
        <f t="shared" si="42"/>
        <v/>
      </c>
      <c r="I625" s="6" t="str">
        <f t="shared" si="43"/>
        <v>0</v>
      </c>
      <c r="K625" s="19" t="s">
        <v>5680</v>
      </c>
    </row>
    <row r="626" spans="1:11">
      <c r="A626" t="s">
        <v>729</v>
      </c>
      <c r="B626" t="s">
        <v>309</v>
      </c>
      <c r="E626" t="str">
        <f t="shared" si="44"/>
        <v/>
      </c>
      <c r="G626" s="5" t="str">
        <f t="shared" si="42"/>
        <v/>
      </c>
      <c r="I626" s="6" t="str">
        <f t="shared" si="43"/>
        <v>0</v>
      </c>
    </row>
    <row r="627" spans="1:11">
      <c r="A627" t="s">
        <v>730</v>
      </c>
      <c r="B627" t="s">
        <v>5681</v>
      </c>
      <c r="G627" s="5" t="str">
        <f t="shared" si="42"/>
        <v/>
      </c>
      <c r="I627" s="6" t="str">
        <f t="shared" si="43"/>
        <v>0</v>
      </c>
      <c r="K627" s="19" t="s">
        <v>5682</v>
      </c>
    </row>
    <row r="628" spans="1:11">
      <c r="A628" t="s">
        <v>731</v>
      </c>
      <c r="B628" t="s">
        <v>309</v>
      </c>
      <c r="E628" t="str">
        <f t="shared" si="44"/>
        <v/>
      </c>
      <c r="G628" s="5" t="str">
        <f t="shared" si="42"/>
        <v/>
      </c>
      <c r="I628" s="6" t="str">
        <f t="shared" si="43"/>
        <v>0</v>
      </c>
    </row>
    <row r="629" spans="1:11">
      <c r="A629" t="s">
        <v>732</v>
      </c>
      <c r="B629" t="s">
        <v>5683</v>
      </c>
      <c r="G629" s="5" t="str">
        <f t="shared" si="42"/>
        <v/>
      </c>
      <c r="I629" s="6" t="str">
        <f t="shared" si="43"/>
        <v>0</v>
      </c>
      <c r="K629" s="19" t="s">
        <v>5684</v>
      </c>
    </row>
    <row r="630" spans="1:11">
      <c r="A630" t="s">
        <v>733</v>
      </c>
      <c r="B630" t="s">
        <v>309</v>
      </c>
      <c r="E630" t="str">
        <f t="shared" si="44"/>
        <v/>
      </c>
      <c r="G630" s="5" t="str">
        <f t="shared" si="42"/>
        <v/>
      </c>
      <c r="I630" s="6" t="str">
        <f t="shared" si="43"/>
        <v>0</v>
      </c>
    </row>
    <row r="631" spans="1:11">
      <c r="A631" t="s">
        <v>734</v>
      </c>
      <c r="B631" t="s">
        <v>309</v>
      </c>
      <c r="E631" t="str">
        <f t="shared" si="44"/>
        <v/>
      </c>
      <c r="G631" s="5" t="str">
        <f t="shared" si="42"/>
        <v/>
      </c>
      <c r="I631" s="6" t="str">
        <f t="shared" si="43"/>
        <v>0</v>
      </c>
    </row>
    <row r="632" spans="1:11">
      <c r="A632" t="s">
        <v>735</v>
      </c>
      <c r="B632" t="s">
        <v>309</v>
      </c>
      <c r="E632" t="str">
        <f t="shared" si="44"/>
        <v/>
      </c>
      <c r="G632" s="5" t="str">
        <f t="shared" si="42"/>
        <v/>
      </c>
      <c r="I632" s="6" t="str">
        <f t="shared" si="43"/>
        <v>0</v>
      </c>
    </row>
    <row r="633" spans="1:11">
      <c r="A633" t="s">
        <v>736</v>
      </c>
      <c r="B633" t="s">
        <v>309</v>
      </c>
      <c r="E633" t="str">
        <f t="shared" si="44"/>
        <v/>
      </c>
      <c r="G633" s="5" t="str">
        <f t="shared" si="42"/>
        <v/>
      </c>
      <c r="I633" s="6" t="str">
        <f t="shared" si="43"/>
        <v>0</v>
      </c>
    </row>
    <row r="634" spans="1:11">
      <c r="A634" t="s">
        <v>737</v>
      </c>
      <c r="B634" t="s">
        <v>309</v>
      </c>
      <c r="E634" t="str">
        <f t="shared" si="44"/>
        <v/>
      </c>
      <c r="G634" s="5" t="str">
        <f t="shared" si="42"/>
        <v/>
      </c>
      <c r="I634" s="6" t="str">
        <f t="shared" si="43"/>
        <v>0</v>
      </c>
    </row>
    <row r="635" spans="1:11">
      <c r="A635" t="s">
        <v>738</v>
      </c>
      <c r="B635" t="s">
        <v>309</v>
      </c>
      <c r="E635" t="str">
        <f t="shared" si="44"/>
        <v/>
      </c>
      <c r="G635" s="5" t="str">
        <f t="shared" si="42"/>
        <v/>
      </c>
      <c r="I635" s="6" t="str">
        <f t="shared" si="43"/>
        <v>0</v>
      </c>
    </row>
    <row r="636" spans="1:11">
      <c r="A636" t="s">
        <v>739</v>
      </c>
      <c r="B636" t="s">
        <v>309</v>
      </c>
      <c r="E636" t="str">
        <f t="shared" si="44"/>
        <v/>
      </c>
      <c r="G636" s="5" t="str">
        <f t="shared" si="42"/>
        <v/>
      </c>
      <c r="I636" s="6" t="str">
        <f t="shared" si="43"/>
        <v>0</v>
      </c>
    </row>
    <row r="637" spans="1:11">
      <c r="A637" t="s">
        <v>740</v>
      </c>
      <c r="B637" t="s">
        <v>5685</v>
      </c>
      <c r="G637" s="5" t="str">
        <f t="shared" si="42"/>
        <v/>
      </c>
      <c r="I637" s="6" t="str">
        <f t="shared" si="43"/>
        <v>0</v>
      </c>
      <c r="K637" s="19" t="s">
        <v>5686</v>
      </c>
    </row>
    <row r="638" spans="1:11">
      <c r="A638" t="s">
        <v>741</v>
      </c>
      <c r="B638" t="s">
        <v>309</v>
      </c>
      <c r="E638" t="str">
        <f t="shared" si="44"/>
        <v/>
      </c>
      <c r="G638" s="5" t="str">
        <f t="shared" si="42"/>
        <v/>
      </c>
      <c r="I638" s="6" t="str">
        <f t="shared" si="43"/>
        <v>0</v>
      </c>
    </row>
    <row r="639" spans="1:11">
      <c r="A639" t="s">
        <v>742</v>
      </c>
      <c r="B639" t="s">
        <v>309</v>
      </c>
      <c r="E639" t="str">
        <f t="shared" si="44"/>
        <v/>
      </c>
      <c r="G639" s="5" t="str">
        <f t="shared" si="42"/>
        <v/>
      </c>
      <c r="I639" s="6" t="str">
        <f t="shared" si="43"/>
        <v>0</v>
      </c>
    </row>
    <row r="640" spans="1:11">
      <c r="A640" t="s">
        <v>743</v>
      </c>
      <c r="B640" t="s">
        <v>309</v>
      </c>
      <c r="E640" t="str">
        <f t="shared" ref="E640:E641" si="45">IF(D640&lt;&gt;"",C640&amp;"/"&amp;D640,"")</f>
        <v/>
      </c>
      <c r="G640" s="5" t="str">
        <f t="shared" si="42"/>
        <v/>
      </c>
      <c r="I640" s="6" t="str">
        <f t="shared" si="43"/>
        <v>0</v>
      </c>
    </row>
    <row r="641" spans="1:11">
      <c r="A641" t="s">
        <v>744</v>
      </c>
      <c r="B641" t="s">
        <v>309</v>
      </c>
      <c r="E641" t="str">
        <f t="shared" si="45"/>
        <v/>
      </c>
      <c r="G641" s="5" t="str">
        <f t="shared" si="42"/>
        <v/>
      </c>
      <c r="I641" s="6" t="str">
        <f t="shared" si="43"/>
        <v>0</v>
      </c>
    </row>
    <row r="642" spans="1:11">
      <c r="A642" t="s">
        <v>745</v>
      </c>
      <c r="B642" t="s">
        <v>3896</v>
      </c>
      <c r="G642" s="5" t="str">
        <f t="shared" ref="G642:G705" si="46">IF(F642&lt;&gt;"",HEX2DEC(SUBSTITUTE(SUBSTITUTE(F642,"adrEA",""),"$","")),"")</f>
        <v/>
      </c>
      <c r="I642" s="6" t="str">
        <f t="shared" ref="I642:I705" si="47">IFERROR(DEC2HEX(H642),"")</f>
        <v>0</v>
      </c>
      <c r="K642" s="19" t="s">
        <v>3897</v>
      </c>
    </row>
    <row r="643" spans="1:11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46"/>
        <v/>
      </c>
      <c r="I643" s="6" t="str">
        <f t="shared" si="47"/>
        <v>0</v>
      </c>
    </row>
    <row r="644" spans="1:11">
      <c r="A644" t="s">
        <v>747</v>
      </c>
      <c r="B644" t="s">
        <v>3898</v>
      </c>
      <c r="G644" s="5" t="str">
        <f t="shared" si="46"/>
        <v/>
      </c>
      <c r="I644" s="6" t="str">
        <f t="shared" si="47"/>
        <v>0</v>
      </c>
      <c r="K644" s="19" t="s">
        <v>3899</v>
      </c>
    </row>
    <row r="645" spans="1:11">
      <c r="A645" t="s">
        <v>748</v>
      </c>
      <c r="B645" t="s">
        <v>3900</v>
      </c>
      <c r="G645" s="5" t="str">
        <f t="shared" si="46"/>
        <v/>
      </c>
      <c r="I645" s="6" t="str">
        <f t="shared" si="47"/>
        <v>0</v>
      </c>
      <c r="K645" s="19" t="s">
        <v>3901</v>
      </c>
    </row>
    <row r="646" spans="1:11">
      <c r="A646" t="s">
        <v>749</v>
      </c>
      <c r="B646" t="s">
        <v>309</v>
      </c>
      <c r="E646" t="str">
        <f t="shared" ref="E646:E658" si="48">IF(D646&lt;&gt;"",C646&amp;"/"&amp;D646,"")</f>
        <v/>
      </c>
      <c r="G646" s="5" t="str">
        <f t="shared" si="46"/>
        <v/>
      </c>
      <c r="I646" s="6" t="str">
        <f t="shared" si="47"/>
        <v>0</v>
      </c>
    </row>
    <row r="647" spans="1:11">
      <c r="A647" t="s">
        <v>750</v>
      </c>
      <c r="B647" t="s">
        <v>6363</v>
      </c>
      <c r="K647" s="19" t="s">
        <v>6364</v>
      </c>
    </row>
    <row r="648" spans="1:11">
      <c r="A648" t="s">
        <v>751</v>
      </c>
      <c r="B648" t="s">
        <v>309</v>
      </c>
      <c r="E648" t="str">
        <f t="shared" si="48"/>
        <v/>
      </c>
      <c r="G648" s="5" t="str">
        <f t="shared" si="46"/>
        <v/>
      </c>
      <c r="I648" s="6" t="str">
        <f t="shared" si="47"/>
        <v>0</v>
      </c>
    </row>
    <row r="649" spans="1:11">
      <c r="A649" t="s">
        <v>752</v>
      </c>
      <c r="B649" t="s">
        <v>6365</v>
      </c>
      <c r="K649" s="19" t="s">
        <v>6366</v>
      </c>
    </row>
    <row r="650" spans="1:11">
      <c r="A650" t="s">
        <v>753</v>
      </c>
      <c r="B650" t="s">
        <v>6367</v>
      </c>
      <c r="K650" s="19" t="s">
        <v>6368</v>
      </c>
    </row>
    <row r="651" spans="1:11">
      <c r="A651" t="s">
        <v>754</v>
      </c>
      <c r="B651" t="s">
        <v>309</v>
      </c>
      <c r="E651" t="str">
        <f t="shared" si="48"/>
        <v/>
      </c>
      <c r="G651" s="5" t="str">
        <f t="shared" si="46"/>
        <v/>
      </c>
      <c r="I651" s="6" t="str">
        <f t="shared" si="47"/>
        <v>0</v>
      </c>
    </row>
    <row r="652" spans="1:11">
      <c r="A652" t="s">
        <v>755</v>
      </c>
      <c r="B652" t="s">
        <v>309</v>
      </c>
      <c r="E652" t="str">
        <f t="shared" si="48"/>
        <v/>
      </c>
      <c r="G652" s="5" t="str">
        <f t="shared" si="46"/>
        <v/>
      </c>
      <c r="I652" s="6" t="str">
        <f t="shared" si="47"/>
        <v>0</v>
      </c>
    </row>
    <row r="653" spans="1:11">
      <c r="A653" t="s">
        <v>756</v>
      </c>
      <c r="B653" t="s">
        <v>6369</v>
      </c>
      <c r="K653" s="19" t="s">
        <v>6370</v>
      </c>
    </row>
    <row r="654" spans="1:11">
      <c r="A654" t="s">
        <v>757</v>
      </c>
      <c r="B654" t="s">
        <v>309</v>
      </c>
      <c r="E654" t="str">
        <f t="shared" si="48"/>
        <v/>
      </c>
      <c r="G654" s="5" t="str">
        <f t="shared" si="46"/>
        <v/>
      </c>
      <c r="I654" s="6" t="str">
        <f t="shared" si="47"/>
        <v>0</v>
      </c>
    </row>
    <row r="655" spans="1:11">
      <c r="A655" t="s">
        <v>758</v>
      </c>
      <c r="B655" t="s">
        <v>5928</v>
      </c>
      <c r="G655" s="5" t="str">
        <f t="shared" si="46"/>
        <v/>
      </c>
      <c r="I655" s="6" t="str">
        <f t="shared" si="47"/>
        <v>0</v>
      </c>
      <c r="K655" s="19" t="s">
        <v>5929</v>
      </c>
    </row>
    <row r="656" spans="1:11">
      <c r="A656" t="s">
        <v>759</v>
      </c>
      <c r="B656" t="s">
        <v>6371</v>
      </c>
      <c r="K656" s="19" t="s">
        <v>6372</v>
      </c>
    </row>
    <row r="657" spans="1:11">
      <c r="A657" t="s">
        <v>760</v>
      </c>
      <c r="B657" t="s">
        <v>6373</v>
      </c>
      <c r="K657" s="19" t="s">
        <v>6374</v>
      </c>
    </row>
    <row r="658" spans="1:11">
      <c r="A658" t="s">
        <v>761</v>
      </c>
      <c r="B658" t="s">
        <v>6375</v>
      </c>
      <c r="K658" s="19" t="s">
        <v>6376</v>
      </c>
    </row>
    <row r="659" spans="1:11">
      <c r="A659" t="s">
        <v>762</v>
      </c>
      <c r="B659" t="s">
        <v>3902</v>
      </c>
      <c r="G659" s="5" t="str">
        <f t="shared" si="46"/>
        <v/>
      </c>
      <c r="I659" s="6" t="str">
        <f t="shared" si="47"/>
        <v>0</v>
      </c>
      <c r="K659" s="19" t="s">
        <v>3903</v>
      </c>
    </row>
    <row r="660" spans="1:11">
      <c r="A660" t="s">
        <v>763</v>
      </c>
      <c r="B660" t="s">
        <v>3904</v>
      </c>
      <c r="G660" s="5" t="str">
        <f t="shared" si="46"/>
        <v/>
      </c>
      <c r="I660" s="6" t="str">
        <f t="shared" si="47"/>
        <v>0</v>
      </c>
      <c r="K660" s="19" t="s">
        <v>3905</v>
      </c>
    </row>
    <row r="661" spans="1:11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46"/>
        <v/>
      </c>
      <c r="I661" s="6" t="str">
        <f t="shared" si="47"/>
        <v>0</v>
      </c>
    </row>
    <row r="662" spans="1:11">
      <c r="A662" t="s">
        <v>765</v>
      </c>
      <c r="B662" t="s">
        <v>3906</v>
      </c>
      <c r="G662" s="5" t="str">
        <f t="shared" si="46"/>
        <v/>
      </c>
      <c r="I662" s="6" t="str">
        <f t="shared" si="47"/>
        <v>0</v>
      </c>
      <c r="K662" s="19" t="s">
        <v>3907</v>
      </c>
    </row>
    <row r="663" spans="1:11">
      <c r="A663" t="s">
        <v>766</v>
      </c>
      <c r="B663" t="s">
        <v>3908</v>
      </c>
      <c r="G663" s="5" t="str">
        <f t="shared" si="46"/>
        <v/>
      </c>
      <c r="I663" s="6" t="str">
        <f t="shared" si="47"/>
        <v>0</v>
      </c>
      <c r="K663" s="19" t="s">
        <v>3909</v>
      </c>
    </row>
    <row r="664" spans="1:11">
      <c r="A664" t="s">
        <v>767</v>
      </c>
      <c r="B664" t="s">
        <v>5868</v>
      </c>
      <c r="G664" s="5" t="str">
        <f t="shared" si="46"/>
        <v/>
      </c>
      <c r="I664" s="6" t="str">
        <f t="shared" si="47"/>
        <v>0</v>
      </c>
      <c r="K664" s="19" t="s">
        <v>5869</v>
      </c>
    </row>
    <row r="665" spans="1:11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46"/>
        <v/>
      </c>
      <c r="I665" s="6" t="str">
        <f t="shared" si="47"/>
        <v>0</v>
      </c>
    </row>
    <row r="666" spans="1:11" ht="17">
      <c r="A666" t="s">
        <v>769</v>
      </c>
      <c r="B666" s="17" t="s">
        <v>3812</v>
      </c>
      <c r="C666" s="5" t="s">
        <v>48</v>
      </c>
      <c r="D666" s="17" t="s">
        <v>3813</v>
      </c>
      <c r="E666" t="s">
        <v>3814</v>
      </c>
      <c r="F666" s="16" t="s">
        <v>3815</v>
      </c>
      <c r="G666" s="5">
        <f t="shared" si="46"/>
        <v>10236</v>
      </c>
      <c r="H666" s="5">
        <v>3</v>
      </c>
      <c r="I666" s="6" t="str">
        <f t="shared" si="47"/>
        <v>3</v>
      </c>
      <c r="J666" s="6" t="s">
        <v>3414</v>
      </c>
      <c r="K666" s="19" t="s">
        <v>3816</v>
      </c>
    </row>
    <row r="667" spans="1:11" ht="17">
      <c r="A667" t="s">
        <v>770</v>
      </c>
      <c r="B667" s="17" t="s">
        <v>3817</v>
      </c>
      <c r="C667" s="5" t="s">
        <v>48</v>
      </c>
      <c r="D667" s="17" t="s">
        <v>3818</v>
      </c>
      <c r="E667" t="s">
        <v>3819</v>
      </c>
      <c r="F667" s="16" t="s">
        <v>3820</v>
      </c>
      <c r="G667" s="5">
        <f t="shared" si="46"/>
        <v>10239</v>
      </c>
      <c r="H667" s="5">
        <v>3</v>
      </c>
      <c r="I667" s="6" t="str">
        <f t="shared" si="47"/>
        <v>3</v>
      </c>
      <c r="J667" s="6" t="s">
        <v>3419</v>
      </c>
      <c r="K667" s="19" t="s">
        <v>3821</v>
      </c>
    </row>
    <row r="668" spans="1:11">
      <c r="A668" t="s">
        <v>771</v>
      </c>
      <c r="B668" t="s">
        <v>309</v>
      </c>
      <c r="E668" t="str">
        <f t="shared" ref="E668:E699" si="49">IF(D668&lt;&gt;"",C668&amp;"/"&amp;D668,"")</f>
        <v/>
      </c>
      <c r="G668" s="5" t="str">
        <f t="shared" si="46"/>
        <v/>
      </c>
      <c r="I668" s="6" t="str">
        <f t="shared" si="47"/>
        <v>0</v>
      </c>
    </row>
    <row r="669" spans="1:11">
      <c r="A669" t="s">
        <v>772</v>
      </c>
      <c r="B669" t="s">
        <v>5687</v>
      </c>
      <c r="G669" s="5" t="str">
        <f t="shared" si="46"/>
        <v/>
      </c>
      <c r="I669" s="6" t="str">
        <f t="shared" si="47"/>
        <v>0</v>
      </c>
      <c r="K669" s="19" t="s">
        <v>5688</v>
      </c>
    </row>
    <row r="670" spans="1:11">
      <c r="A670" t="s">
        <v>773</v>
      </c>
      <c r="B670" t="s">
        <v>309</v>
      </c>
      <c r="E670" t="str">
        <f t="shared" si="49"/>
        <v/>
      </c>
      <c r="G670" s="5" t="str">
        <f t="shared" si="46"/>
        <v/>
      </c>
      <c r="I670" s="6" t="str">
        <f t="shared" si="47"/>
        <v>0</v>
      </c>
    </row>
    <row r="671" spans="1:11">
      <c r="A671" t="s">
        <v>774</v>
      </c>
      <c r="B671" t="s">
        <v>309</v>
      </c>
      <c r="E671" t="str">
        <f t="shared" si="49"/>
        <v/>
      </c>
      <c r="G671" s="5" t="str">
        <f t="shared" si="46"/>
        <v/>
      </c>
      <c r="I671" s="6" t="str">
        <f t="shared" si="47"/>
        <v>0</v>
      </c>
    </row>
    <row r="672" spans="1:11">
      <c r="A672" t="s">
        <v>775</v>
      </c>
      <c r="B672" t="s">
        <v>309</v>
      </c>
      <c r="E672" t="str">
        <f t="shared" si="49"/>
        <v/>
      </c>
      <c r="G672" s="5" t="str">
        <f t="shared" si="46"/>
        <v/>
      </c>
      <c r="I672" s="6" t="str">
        <f t="shared" si="47"/>
        <v>0</v>
      </c>
    </row>
    <row r="673" spans="1:11">
      <c r="A673" t="s">
        <v>776</v>
      </c>
      <c r="B673" t="s">
        <v>5689</v>
      </c>
      <c r="G673" s="5" t="str">
        <f t="shared" si="46"/>
        <v/>
      </c>
      <c r="I673" s="6" t="str">
        <f t="shared" si="47"/>
        <v>0</v>
      </c>
      <c r="K673" s="19" t="s">
        <v>5690</v>
      </c>
    </row>
    <row r="674" spans="1:11">
      <c r="A674" t="s">
        <v>777</v>
      </c>
      <c r="B674" t="s">
        <v>309</v>
      </c>
      <c r="E674" t="str">
        <f t="shared" si="49"/>
        <v/>
      </c>
      <c r="G674" s="5" t="str">
        <f t="shared" si="46"/>
        <v/>
      </c>
      <c r="I674" s="6" t="str">
        <f t="shared" si="47"/>
        <v>0</v>
      </c>
    </row>
    <row r="675" spans="1:11">
      <c r="A675" t="s">
        <v>778</v>
      </c>
      <c r="B675" t="s">
        <v>309</v>
      </c>
      <c r="E675" t="str">
        <f t="shared" si="49"/>
        <v/>
      </c>
      <c r="G675" s="5" t="str">
        <f t="shared" si="46"/>
        <v/>
      </c>
      <c r="I675" s="6" t="str">
        <f t="shared" si="47"/>
        <v>0</v>
      </c>
    </row>
    <row r="676" spans="1:11">
      <c r="A676" t="s">
        <v>779</v>
      </c>
      <c r="B676" t="s">
        <v>309</v>
      </c>
      <c r="E676" t="str">
        <f t="shared" si="49"/>
        <v/>
      </c>
      <c r="G676" s="5" t="str">
        <f t="shared" si="46"/>
        <v/>
      </c>
      <c r="I676" s="6" t="str">
        <f t="shared" si="47"/>
        <v>0</v>
      </c>
    </row>
    <row r="677" spans="1:11">
      <c r="A677" t="s">
        <v>780</v>
      </c>
      <c r="B677" t="s">
        <v>309</v>
      </c>
      <c r="E677" t="str">
        <f t="shared" si="49"/>
        <v/>
      </c>
      <c r="G677" s="5" t="str">
        <f t="shared" si="46"/>
        <v/>
      </c>
      <c r="I677" s="6" t="str">
        <f t="shared" si="47"/>
        <v>0</v>
      </c>
    </row>
    <row r="678" spans="1:11">
      <c r="A678" t="s">
        <v>781</v>
      </c>
      <c r="B678" t="s">
        <v>309</v>
      </c>
      <c r="E678" t="str">
        <f t="shared" si="49"/>
        <v/>
      </c>
      <c r="G678" s="5" t="str">
        <f t="shared" si="46"/>
        <v/>
      </c>
      <c r="I678" s="6" t="str">
        <f t="shared" si="47"/>
        <v>0</v>
      </c>
    </row>
    <row r="679" spans="1:11">
      <c r="A679" t="s">
        <v>782</v>
      </c>
      <c r="B679" t="s">
        <v>309</v>
      </c>
      <c r="E679" t="str">
        <f t="shared" si="49"/>
        <v/>
      </c>
      <c r="G679" s="5" t="str">
        <f t="shared" si="46"/>
        <v/>
      </c>
      <c r="I679" s="6" t="str">
        <f t="shared" si="47"/>
        <v>0</v>
      </c>
    </row>
    <row r="680" spans="1:11">
      <c r="A680" t="s">
        <v>785</v>
      </c>
      <c r="B680" t="s">
        <v>309</v>
      </c>
      <c r="E680" t="str">
        <f t="shared" si="49"/>
        <v/>
      </c>
      <c r="G680" s="5" t="str">
        <f t="shared" si="46"/>
        <v/>
      </c>
      <c r="I680" s="6" t="str">
        <f t="shared" si="47"/>
        <v>0</v>
      </c>
    </row>
    <row r="681" spans="1:11">
      <c r="A681" t="s">
        <v>786</v>
      </c>
      <c r="B681" t="s">
        <v>309</v>
      </c>
      <c r="E681" t="str">
        <f t="shared" si="49"/>
        <v/>
      </c>
      <c r="G681" s="5" t="str">
        <f t="shared" si="46"/>
        <v/>
      </c>
      <c r="I681" s="6" t="str">
        <f t="shared" si="47"/>
        <v>0</v>
      </c>
    </row>
    <row r="682" spans="1:11">
      <c r="A682" t="s">
        <v>787</v>
      </c>
      <c r="B682" t="s">
        <v>309</v>
      </c>
      <c r="E682" t="str">
        <f t="shared" si="49"/>
        <v/>
      </c>
      <c r="G682" s="5" t="str">
        <f t="shared" si="46"/>
        <v/>
      </c>
      <c r="I682" s="6" t="str">
        <f t="shared" si="47"/>
        <v>0</v>
      </c>
    </row>
    <row r="683" spans="1:11">
      <c r="A683" t="s">
        <v>788</v>
      </c>
      <c r="B683" t="s">
        <v>309</v>
      </c>
      <c r="E683" t="str">
        <f t="shared" si="49"/>
        <v/>
      </c>
      <c r="G683" s="5" t="str">
        <f t="shared" si="46"/>
        <v/>
      </c>
      <c r="I683" s="6" t="str">
        <f t="shared" si="47"/>
        <v>0</v>
      </c>
    </row>
    <row r="684" spans="1:11">
      <c r="A684" t="s">
        <v>789</v>
      </c>
      <c r="B684" t="s">
        <v>309</v>
      </c>
      <c r="E684" t="str">
        <f t="shared" si="49"/>
        <v/>
      </c>
      <c r="G684" s="5" t="str">
        <f t="shared" si="46"/>
        <v/>
      </c>
      <c r="I684" s="6" t="str">
        <f t="shared" si="47"/>
        <v>0</v>
      </c>
    </row>
    <row r="685" spans="1:11">
      <c r="A685" t="s">
        <v>790</v>
      </c>
      <c r="B685" t="s">
        <v>309</v>
      </c>
      <c r="E685" t="str">
        <f t="shared" si="49"/>
        <v/>
      </c>
      <c r="G685" s="5" t="str">
        <f t="shared" si="46"/>
        <v/>
      </c>
      <c r="I685" s="6" t="str">
        <f t="shared" si="47"/>
        <v>0</v>
      </c>
    </row>
    <row r="686" spans="1:11">
      <c r="A686" t="s">
        <v>791</v>
      </c>
      <c r="B686" t="s">
        <v>309</v>
      </c>
      <c r="E686" t="str">
        <f t="shared" si="49"/>
        <v/>
      </c>
      <c r="G686" s="5" t="str">
        <f t="shared" si="46"/>
        <v/>
      </c>
      <c r="I686" s="6" t="str">
        <f t="shared" si="47"/>
        <v>0</v>
      </c>
    </row>
    <row r="687" spans="1:11">
      <c r="A687" t="s">
        <v>792</v>
      </c>
      <c r="B687" t="s">
        <v>309</v>
      </c>
      <c r="E687" t="str">
        <f t="shared" si="49"/>
        <v/>
      </c>
      <c r="G687" s="5" t="str">
        <f t="shared" si="46"/>
        <v/>
      </c>
      <c r="I687" s="6" t="str">
        <f t="shared" si="47"/>
        <v>0</v>
      </c>
    </row>
    <row r="688" spans="1:11">
      <c r="A688" t="s">
        <v>793</v>
      </c>
      <c r="B688" t="s">
        <v>5853</v>
      </c>
      <c r="G688" s="5" t="str">
        <f t="shared" si="46"/>
        <v/>
      </c>
      <c r="I688" s="6" t="str">
        <f t="shared" si="47"/>
        <v>0</v>
      </c>
      <c r="K688" s="19" t="s">
        <v>5854</v>
      </c>
    </row>
    <row r="689" spans="1:9">
      <c r="A689" t="s">
        <v>796</v>
      </c>
      <c r="B689" t="s">
        <v>796</v>
      </c>
      <c r="E689" t="str">
        <f t="shared" si="49"/>
        <v/>
      </c>
      <c r="G689" s="5" t="str">
        <f t="shared" si="46"/>
        <v/>
      </c>
      <c r="I689" s="6" t="str">
        <f t="shared" si="47"/>
        <v>0</v>
      </c>
    </row>
    <row r="690" spans="1:9">
      <c r="A690" t="s">
        <v>797</v>
      </c>
      <c r="B690" t="s">
        <v>797</v>
      </c>
      <c r="E690" t="str">
        <f t="shared" si="49"/>
        <v/>
      </c>
      <c r="G690" s="5" t="str">
        <f t="shared" si="46"/>
        <v/>
      </c>
      <c r="I690" s="6" t="str">
        <f t="shared" si="47"/>
        <v>0</v>
      </c>
    </row>
    <row r="691" spans="1:9">
      <c r="A691" t="s">
        <v>800</v>
      </c>
      <c r="B691" t="s">
        <v>309</v>
      </c>
      <c r="E691" t="str">
        <f t="shared" si="49"/>
        <v/>
      </c>
      <c r="G691" s="5" t="str">
        <f t="shared" si="46"/>
        <v/>
      </c>
      <c r="I691" s="6" t="str">
        <f t="shared" si="47"/>
        <v>0</v>
      </c>
    </row>
    <row r="692" spans="1:9">
      <c r="A692" t="s">
        <v>802</v>
      </c>
      <c r="B692" t="s">
        <v>309</v>
      </c>
      <c r="E692" t="str">
        <f t="shared" si="49"/>
        <v/>
      </c>
      <c r="G692" s="5" t="str">
        <f t="shared" si="46"/>
        <v/>
      </c>
      <c r="I692" s="6" t="str">
        <f t="shared" si="47"/>
        <v>0</v>
      </c>
    </row>
    <row r="693" spans="1:9">
      <c r="A693" t="s">
        <v>804</v>
      </c>
      <c r="B693" t="s">
        <v>309</v>
      </c>
      <c r="E693" t="str">
        <f t="shared" si="49"/>
        <v/>
      </c>
      <c r="G693" s="5" t="str">
        <f t="shared" si="46"/>
        <v/>
      </c>
      <c r="I693" s="6" t="str">
        <f t="shared" si="47"/>
        <v>0</v>
      </c>
    </row>
    <row r="694" spans="1:9">
      <c r="A694" t="s">
        <v>806</v>
      </c>
      <c r="B694" t="s">
        <v>309</v>
      </c>
      <c r="E694" t="str">
        <f t="shared" si="49"/>
        <v/>
      </c>
      <c r="G694" s="5" t="str">
        <f t="shared" si="46"/>
        <v/>
      </c>
      <c r="I694" s="6" t="str">
        <f t="shared" si="47"/>
        <v>0</v>
      </c>
    </row>
    <row r="695" spans="1:9">
      <c r="A695" t="s">
        <v>807</v>
      </c>
      <c r="B695" t="s">
        <v>309</v>
      </c>
      <c r="E695" t="str">
        <f t="shared" si="49"/>
        <v/>
      </c>
      <c r="G695" s="5" t="str">
        <f t="shared" si="46"/>
        <v/>
      </c>
      <c r="I695" s="6" t="str">
        <f t="shared" si="47"/>
        <v>0</v>
      </c>
    </row>
    <row r="696" spans="1:9">
      <c r="A696" t="s">
        <v>809</v>
      </c>
      <c r="B696" t="s">
        <v>309</v>
      </c>
      <c r="E696" t="str">
        <f t="shared" si="49"/>
        <v/>
      </c>
      <c r="G696" s="5" t="str">
        <f t="shared" si="46"/>
        <v/>
      </c>
      <c r="I696" s="6" t="str">
        <f t="shared" si="47"/>
        <v>0</v>
      </c>
    </row>
    <row r="697" spans="1:9">
      <c r="A697" t="s">
        <v>810</v>
      </c>
      <c r="B697" t="s">
        <v>309</v>
      </c>
      <c r="E697" t="str">
        <f t="shared" si="49"/>
        <v/>
      </c>
      <c r="G697" s="5" t="str">
        <f t="shared" si="46"/>
        <v/>
      </c>
      <c r="I697" s="6" t="str">
        <f t="shared" si="47"/>
        <v>0</v>
      </c>
    </row>
    <row r="698" spans="1:9">
      <c r="A698" t="s">
        <v>811</v>
      </c>
      <c r="B698" t="s">
        <v>309</v>
      </c>
      <c r="E698" t="str">
        <f t="shared" si="49"/>
        <v/>
      </c>
      <c r="G698" s="5" t="str">
        <f t="shared" si="46"/>
        <v/>
      </c>
      <c r="I698" s="6" t="str">
        <f t="shared" si="47"/>
        <v>0</v>
      </c>
    </row>
    <row r="699" spans="1:9">
      <c r="A699" t="s">
        <v>812</v>
      </c>
      <c r="B699" t="s">
        <v>309</v>
      </c>
      <c r="E699" t="str">
        <f t="shared" si="49"/>
        <v/>
      </c>
      <c r="G699" s="5" t="str">
        <f t="shared" si="46"/>
        <v/>
      </c>
      <c r="I699" s="6" t="str">
        <f t="shared" si="47"/>
        <v>0</v>
      </c>
    </row>
    <row r="700" spans="1:9">
      <c r="A700" t="s">
        <v>813</v>
      </c>
      <c r="B700" t="s">
        <v>309</v>
      </c>
      <c r="E700" t="str">
        <f t="shared" ref="E700:E730" si="50">IF(D700&lt;&gt;"",C700&amp;"/"&amp;D700,"")</f>
        <v/>
      </c>
      <c r="G700" s="5" t="str">
        <f t="shared" si="46"/>
        <v/>
      </c>
      <c r="I700" s="6" t="str">
        <f t="shared" si="47"/>
        <v>0</v>
      </c>
    </row>
    <row r="701" spans="1:9">
      <c r="A701" t="s">
        <v>815</v>
      </c>
      <c r="B701" t="s">
        <v>309</v>
      </c>
      <c r="E701" t="str">
        <f t="shared" si="50"/>
        <v/>
      </c>
      <c r="G701" s="5" t="str">
        <f t="shared" si="46"/>
        <v/>
      </c>
      <c r="I701" s="6" t="str">
        <f t="shared" si="47"/>
        <v>0</v>
      </c>
    </row>
    <row r="702" spans="1:9">
      <c r="A702" t="s">
        <v>816</v>
      </c>
      <c r="B702" t="s">
        <v>309</v>
      </c>
      <c r="E702" t="str">
        <f t="shared" si="50"/>
        <v/>
      </c>
      <c r="G702" s="5" t="str">
        <f t="shared" si="46"/>
        <v/>
      </c>
      <c r="I702" s="6" t="str">
        <f t="shared" si="47"/>
        <v>0</v>
      </c>
    </row>
    <row r="703" spans="1:9">
      <c r="A703" t="s">
        <v>817</v>
      </c>
      <c r="B703" t="s">
        <v>309</v>
      </c>
      <c r="E703" t="str">
        <f t="shared" si="50"/>
        <v/>
      </c>
      <c r="G703" s="5" t="str">
        <f t="shared" si="46"/>
        <v/>
      </c>
      <c r="I703" s="6" t="str">
        <f t="shared" si="47"/>
        <v>0</v>
      </c>
    </row>
    <row r="704" spans="1:9">
      <c r="A704" t="s">
        <v>819</v>
      </c>
      <c r="B704" t="s">
        <v>3298</v>
      </c>
      <c r="E704" t="str">
        <f t="shared" si="50"/>
        <v/>
      </c>
      <c r="G704" s="5" t="str">
        <f t="shared" si="46"/>
        <v/>
      </c>
      <c r="I704" s="6" t="str">
        <f t="shared" si="47"/>
        <v>0</v>
      </c>
    </row>
    <row r="705" spans="1:9">
      <c r="A705" t="s">
        <v>820</v>
      </c>
      <c r="B705" t="s">
        <v>309</v>
      </c>
      <c r="E705" t="str">
        <f t="shared" si="50"/>
        <v/>
      </c>
      <c r="G705" s="5" t="str">
        <f t="shared" si="46"/>
        <v/>
      </c>
      <c r="I705" s="6" t="str">
        <f t="shared" si="47"/>
        <v>0</v>
      </c>
    </row>
    <row r="706" spans="1:9">
      <c r="A706" t="s">
        <v>821</v>
      </c>
      <c r="B706" t="s">
        <v>309</v>
      </c>
      <c r="E706" t="str">
        <f t="shared" si="50"/>
        <v/>
      </c>
      <c r="G706" s="5" t="str">
        <f t="shared" ref="G706:G769" si="51">IF(F706&lt;&gt;"",HEX2DEC(SUBSTITUTE(SUBSTITUTE(F706,"adrEA",""),"$","")),"")</f>
        <v/>
      </c>
      <c r="I706" s="6" t="str">
        <f t="shared" ref="I706:I769" si="52">IFERROR(DEC2HEX(H706),"")</f>
        <v>0</v>
      </c>
    </row>
    <row r="707" spans="1:9">
      <c r="A707" t="s">
        <v>822</v>
      </c>
      <c r="B707" t="s">
        <v>309</v>
      </c>
      <c r="E707" t="str">
        <f t="shared" si="50"/>
        <v/>
      </c>
      <c r="G707" s="5" t="str">
        <f t="shared" si="51"/>
        <v/>
      </c>
      <c r="I707" s="6" t="str">
        <f t="shared" si="52"/>
        <v>0</v>
      </c>
    </row>
    <row r="708" spans="1:9">
      <c r="A708" t="s">
        <v>824</v>
      </c>
      <c r="B708" t="s">
        <v>309</v>
      </c>
      <c r="E708" t="str">
        <f t="shared" si="50"/>
        <v/>
      </c>
      <c r="G708" s="5" t="str">
        <f t="shared" si="51"/>
        <v/>
      </c>
      <c r="I708" s="6" t="str">
        <f t="shared" si="52"/>
        <v>0</v>
      </c>
    </row>
    <row r="709" spans="1:9">
      <c r="A709" t="s">
        <v>825</v>
      </c>
      <c r="B709" t="s">
        <v>309</v>
      </c>
      <c r="E709" t="str">
        <f t="shared" si="50"/>
        <v/>
      </c>
      <c r="G709" s="5" t="str">
        <f t="shared" si="51"/>
        <v/>
      </c>
      <c r="I709" s="6" t="str">
        <f t="shared" si="52"/>
        <v>0</v>
      </c>
    </row>
    <row r="710" spans="1:9">
      <c r="A710" t="s">
        <v>826</v>
      </c>
      <c r="B710" t="s">
        <v>309</v>
      </c>
      <c r="E710" t="str">
        <f t="shared" si="50"/>
        <v/>
      </c>
      <c r="G710" s="5" t="str">
        <f t="shared" si="51"/>
        <v/>
      </c>
      <c r="I710" s="6" t="str">
        <f t="shared" si="52"/>
        <v>0</v>
      </c>
    </row>
    <row r="711" spans="1:9">
      <c r="A711" t="s">
        <v>827</v>
      </c>
      <c r="B711" t="s">
        <v>309</v>
      </c>
      <c r="E711" t="str">
        <f t="shared" si="50"/>
        <v/>
      </c>
      <c r="G711" s="5" t="str">
        <f t="shared" si="51"/>
        <v/>
      </c>
      <c r="I711" s="6" t="str">
        <f t="shared" si="52"/>
        <v>0</v>
      </c>
    </row>
    <row r="712" spans="1:9">
      <c r="A712" t="s">
        <v>828</v>
      </c>
      <c r="B712" t="s">
        <v>309</v>
      </c>
      <c r="E712" t="str">
        <f t="shared" si="50"/>
        <v/>
      </c>
      <c r="G712" s="5" t="str">
        <f t="shared" si="51"/>
        <v/>
      </c>
      <c r="I712" s="6" t="str">
        <f t="shared" si="52"/>
        <v>0</v>
      </c>
    </row>
    <row r="713" spans="1:9">
      <c r="A713" t="s">
        <v>829</v>
      </c>
      <c r="B713" t="s">
        <v>309</v>
      </c>
      <c r="E713" t="str">
        <f t="shared" si="50"/>
        <v/>
      </c>
      <c r="G713" s="5" t="str">
        <f t="shared" si="51"/>
        <v/>
      </c>
      <c r="I713" s="6" t="str">
        <f t="shared" si="52"/>
        <v>0</v>
      </c>
    </row>
    <row r="714" spans="1:9">
      <c r="A714" t="s">
        <v>830</v>
      </c>
      <c r="B714" t="s">
        <v>309</v>
      </c>
      <c r="E714" t="str">
        <f t="shared" si="50"/>
        <v/>
      </c>
      <c r="G714" s="5" t="str">
        <f t="shared" si="51"/>
        <v/>
      </c>
      <c r="I714" s="6" t="str">
        <f t="shared" si="52"/>
        <v>0</v>
      </c>
    </row>
    <row r="715" spans="1:9">
      <c r="A715" t="s">
        <v>831</v>
      </c>
      <c r="B715" t="s">
        <v>309</v>
      </c>
      <c r="E715" t="str">
        <f t="shared" si="50"/>
        <v/>
      </c>
      <c r="G715" s="5" t="str">
        <f t="shared" si="51"/>
        <v/>
      </c>
      <c r="I715" s="6" t="str">
        <f t="shared" si="52"/>
        <v>0</v>
      </c>
    </row>
    <row r="716" spans="1:9">
      <c r="A716" t="s">
        <v>832</v>
      </c>
      <c r="B716" t="s">
        <v>309</v>
      </c>
      <c r="E716" t="str">
        <f t="shared" si="50"/>
        <v/>
      </c>
      <c r="G716" s="5" t="str">
        <f t="shared" si="51"/>
        <v/>
      </c>
      <c r="I716" s="6" t="str">
        <f t="shared" si="52"/>
        <v>0</v>
      </c>
    </row>
    <row r="717" spans="1:9">
      <c r="A717" t="s">
        <v>835</v>
      </c>
      <c r="B717" t="s">
        <v>309</v>
      </c>
      <c r="E717" t="str">
        <f t="shared" si="50"/>
        <v/>
      </c>
      <c r="G717" s="5" t="str">
        <f t="shared" si="51"/>
        <v/>
      </c>
      <c r="I717" s="6" t="str">
        <f t="shared" si="52"/>
        <v>0</v>
      </c>
    </row>
    <row r="718" spans="1:9">
      <c r="A718" t="s">
        <v>849</v>
      </c>
      <c r="B718" t="s">
        <v>3297</v>
      </c>
      <c r="E718" t="str">
        <f t="shared" si="50"/>
        <v/>
      </c>
      <c r="G718" s="5" t="str">
        <f t="shared" si="51"/>
        <v/>
      </c>
      <c r="I718" s="6" t="str">
        <f t="shared" si="52"/>
        <v>0</v>
      </c>
    </row>
    <row r="719" spans="1:9">
      <c r="A719" t="s">
        <v>851</v>
      </c>
      <c r="B719" t="s">
        <v>3299</v>
      </c>
      <c r="E719" t="str">
        <f t="shared" si="50"/>
        <v/>
      </c>
      <c r="G719" s="5" t="str">
        <f t="shared" si="51"/>
        <v/>
      </c>
      <c r="I719" s="6" t="str">
        <f t="shared" si="52"/>
        <v>0</v>
      </c>
    </row>
    <row r="720" spans="1:9">
      <c r="A720" t="s">
        <v>852</v>
      </c>
      <c r="B720" t="s">
        <v>309</v>
      </c>
      <c r="E720" t="str">
        <f t="shared" si="50"/>
        <v/>
      </c>
      <c r="G720" s="5" t="str">
        <f t="shared" si="51"/>
        <v/>
      </c>
      <c r="I720" s="6" t="str">
        <f t="shared" si="52"/>
        <v>0</v>
      </c>
    </row>
    <row r="721" spans="1:11">
      <c r="A721" t="s">
        <v>853</v>
      </c>
      <c r="B721" t="s">
        <v>3296</v>
      </c>
      <c r="E721" t="str">
        <f t="shared" si="50"/>
        <v/>
      </c>
      <c r="G721" s="5" t="str">
        <f t="shared" si="51"/>
        <v/>
      </c>
      <c r="I721" s="6" t="str">
        <f t="shared" si="52"/>
        <v>0</v>
      </c>
    </row>
    <row r="722" spans="1:11">
      <c r="A722" t="s">
        <v>854</v>
      </c>
      <c r="B722" t="s">
        <v>3300</v>
      </c>
      <c r="E722" t="str">
        <f t="shared" si="50"/>
        <v/>
      </c>
      <c r="G722" s="5" t="str">
        <f t="shared" si="51"/>
        <v/>
      </c>
      <c r="I722" s="6" t="str">
        <f t="shared" si="52"/>
        <v>0</v>
      </c>
    </row>
    <row r="723" spans="1:11">
      <c r="A723" t="s">
        <v>855</v>
      </c>
      <c r="B723" t="s">
        <v>309</v>
      </c>
      <c r="E723" t="str">
        <f t="shared" si="50"/>
        <v/>
      </c>
      <c r="G723" s="5" t="str">
        <f t="shared" si="51"/>
        <v/>
      </c>
      <c r="I723" s="6" t="str">
        <f t="shared" si="52"/>
        <v>0</v>
      </c>
    </row>
    <row r="724" spans="1:11">
      <c r="A724" t="s">
        <v>856</v>
      </c>
      <c r="B724" t="s">
        <v>857</v>
      </c>
      <c r="E724" t="str">
        <f t="shared" si="50"/>
        <v/>
      </c>
      <c r="G724" s="5" t="str">
        <f t="shared" si="51"/>
        <v/>
      </c>
      <c r="I724" s="6" t="str">
        <f t="shared" si="52"/>
        <v>0</v>
      </c>
    </row>
    <row r="725" spans="1:11">
      <c r="A725" t="s">
        <v>858</v>
      </c>
      <c r="B725" t="s">
        <v>309</v>
      </c>
      <c r="E725" t="str">
        <f t="shared" si="50"/>
        <v/>
      </c>
      <c r="G725" s="5" t="str">
        <f t="shared" si="51"/>
        <v/>
      </c>
      <c r="I725" s="6" t="str">
        <f t="shared" si="52"/>
        <v>0</v>
      </c>
    </row>
    <row r="726" spans="1:11">
      <c r="A726" t="s">
        <v>859</v>
      </c>
      <c r="B726" t="s">
        <v>309</v>
      </c>
      <c r="E726" t="str">
        <f t="shared" si="50"/>
        <v/>
      </c>
      <c r="G726" s="5" t="str">
        <f t="shared" si="51"/>
        <v/>
      </c>
      <c r="I726" s="6" t="str">
        <f t="shared" si="52"/>
        <v>0</v>
      </c>
    </row>
    <row r="727" spans="1:11" ht="17" customHeight="1">
      <c r="A727" t="s">
        <v>860</v>
      </c>
      <c r="B727" t="s">
        <v>5691</v>
      </c>
      <c r="G727" s="5" t="str">
        <f t="shared" si="51"/>
        <v/>
      </c>
      <c r="I727" s="6" t="str">
        <f t="shared" si="52"/>
        <v>0</v>
      </c>
      <c r="K727" s="19" t="s">
        <v>5692</v>
      </c>
    </row>
    <row r="728" spans="1:11">
      <c r="A728" t="s">
        <v>861</v>
      </c>
      <c r="B728" t="s">
        <v>5597</v>
      </c>
      <c r="G728" s="5" t="str">
        <f t="shared" si="51"/>
        <v/>
      </c>
      <c r="I728" s="6" t="str">
        <f t="shared" si="52"/>
        <v>0</v>
      </c>
      <c r="K728" s="19" t="s">
        <v>5598</v>
      </c>
    </row>
    <row r="729" spans="1:11">
      <c r="A729" t="s">
        <v>862</v>
      </c>
      <c r="B729" t="s">
        <v>5855</v>
      </c>
      <c r="G729" s="5" t="str">
        <f t="shared" si="51"/>
        <v/>
      </c>
      <c r="I729" s="6" t="str">
        <f t="shared" si="52"/>
        <v>0</v>
      </c>
      <c r="K729" s="19" t="s">
        <v>5856</v>
      </c>
    </row>
    <row r="730" spans="1:11">
      <c r="A730" t="s">
        <v>863</v>
      </c>
      <c r="B730" t="s">
        <v>309</v>
      </c>
      <c r="E730" t="str">
        <f t="shared" si="50"/>
        <v/>
      </c>
      <c r="G730" s="5" t="str">
        <f t="shared" si="51"/>
        <v/>
      </c>
      <c r="I730" s="6" t="str">
        <f t="shared" si="52"/>
        <v>0</v>
      </c>
    </row>
    <row r="731" spans="1:11">
      <c r="A731" t="s">
        <v>864</v>
      </c>
      <c r="B731" t="s">
        <v>5693</v>
      </c>
      <c r="G731" s="5" t="str">
        <f t="shared" si="51"/>
        <v/>
      </c>
      <c r="I731" s="6" t="str">
        <f t="shared" si="52"/>
        <v>0</v>
      </c>
      <c r="K731" s="19" t="s">
        <v>5694</v>
      </c>
    </row>
    <row r="732" spans="1:11">
      <c r="A732" t="s">
        <v>866</v>
      </c>
      <c r="B732" t="s">
        <v>309</v>
      </c>
      <c r="E732" t="str">
        <f t="shared" ref="E732:E763" si="53">IF(D732&lt;&gt;"",C732&amp;"/"&amp;D732,"")</f>
        <v/>
      </c>
      <c r="G732" s="5" t="str">
        <f t="shared" si="51"/>
        <v/>
      </c>
      <c r="I732" s="6" t="str">
        <f t="shared" si="52"/>
        <v>0</v>
      </c>
    </row>
    <row r="733" spans="1:11">
      <c r="A733" t="s">
        <v>867</v>
      </c>
      <c r="B733" t="s">
        <v>309</v>
      </c>
      <c r="E733" t="str">
        <f t="shared" si="53"/>
        <v/>
      </c>
      <c r="G733" s="5" t="str">
        <f t="shared" si="51"/>
        <v/>
      </c>
      <c r="I733" s="6" t="str">
        <f t="shared" si="52"/>
        <v>0</v>
      </c>
    </row>
    <row r="734" spans="1:11">
      <c r="A734" t="s">
        <v>868</v>
      </c>
      <c r="B734" t="s">
        <v>309</v>
      </c>
      <c r="E734" t="str">
        <f t="shared" si="53"/>
        <v/>
      </c>
      <c r="G734" s="5" t="str">
        <f t="shared" si="51"/>
        <v/>
      </c>
      <c r="I734" s="6" t="str">
        <f t="shared" si="52"/>
        <v>0</v>
      </c>
    </row>
    <row r="735" spans="1:11">
      <c r="A735" t="s">
        <v>873</v>
      </c>
      <c r="B735" t="s">
        <v>309</v>
      </c>
      <c r="E735" t="str">
        <f t="shared" si="53"/>
        <v/>
      </c>
      <c r="G735" s="5" t="str">
        <f t="shared" si="51"/>
        <v/>
      </c>
      <c r="I735" s="6" t="str">
        <f t="shared" si="52"/>
        <v>0</v>
      </c>
    </row>
    <row r="736" spans="1:11">
      <c r="A736" t="s">
        <v>877</v>
      </c>
      <c r="B736" t="s">
        <v>309</v>
      </c>
      <c r="E736" t="str">
        <f t="shared" si="53"/>
        <v/>
      </c>
      <c r="G736" s="5" t="str">
        <f t="shared" si="51"/>
        <v/>
      </c>
      <c r="I736" s="6" t="str">
        <f t="shared" si="52"/>
        <v>0</v>
      </c>
    </row>
    <row r="737" spans="1:11">
      <c r="A737" t="s">
        <v>878</v>
      </c>
      <c r="B737" t="s">
        <v>309</v>
      </c>
      <c r="E737" t="str">
        <f t="shared" si="53"/>
        <v/>
      </c>
      <c r="G737" s="5" t="str">
        <f t="shared" si="51"/>
        <v/>
      </c>
      <c r="I737" s="6" t="str">
        <f t="shared" si="52"/>
        <v>0</v>
      </c>
    </row>
    <row r="738" spans="1:11">
      <c r="A738" t="s">
        <v>879</v>
      </c>
      <c r="B738" t="s">
        <v>309</v>
      </c>
      <c r="E738" t="str">
        <f t="shared" si="53"/>
        <v/>
      </c>
      <c r="G738" s="5" t="str">
        <f t="shared" si="51"/>
        <v/>
      </c>
      <c r="I738" s="6" t="str">
        <f t="shared" si="52"/>
        <v>0</v>
      </c>
    </row>
    <row r="739" spans="1:11">
      <c r="A739" t="s">
        <v>880</v>
      </c>
      <c r="B739" t="s">
        <v>309</v>
      </c>
      <c r="E739" t="str">
        <f t="shared" si="53"/>
        <v/>
      </c>
      <c r="G739" s="5" t="str">
        <f t="shared" si="51"/>
        <v/>
      </c>
      <c r="I739" s="6" t="str">
        <f t="shared" si="52"/>
        <v>0</v>
      </c>
    </row>
    <row r="740" spans="1:11">
      <c r="A740" t="s">
        <v>881</v>
      </c>
      <c r="B740" t="s">
        <v>309</v>
      </c>
      <c r="E740" t="str">
        <f t="shared" si="53"/>
        <v/>
      </c>
      <c r="G740" s="5" t="str">
        <f t="shared" si="51"/>
        <v/>
      </c>
      <c r="I740" s="6" t="str">
        <f t="shared" si="52"/>
        <v>0</v>
      </c>
    </row>
    <row r="741" spans="1:11">
      <c r="A741" t="s">
        <v>883</v>
      </c>
      <c r="B741" t="s">
        <v>309</v>
      </c>
      <c r="E741" t="str">
        <f t="shared" si="53"/>
        <v/>
      </c>
      <c r="G741" s="5" t="str">
        <f t="shared" si="51"/>
        <v/>
      </c>
      <c r="I741" s="6" t="str">
        <f t="shared" si="52"/>
        <v>0</v>
      </c>
    </row>
    <row r="742" spans="1:11">
      <c r="A742" t="s">
        <v>884</v>
      </c>
      <c r="B742" t="s">
        <v>309</v>
      </c>
      <c r="E742" t="str">
        <f t="shared" si="53"/>
        <v/>
      </c>
      <c r="G742" s="5" t="str">
        <f t="shared" si="51"/>
        <v/>
      </c>
      <c r="I742" s="6" t="str">
        <f t="shared" si="52"/>
        <v>0</v>
      </c>
    </row>
    <row r="743" spans="1:11">
      <c r="A743" t="s">
        <v>885</v>
      </c>
      <c r="B743" t="s">
        <v>309</v>
      </c>
      <c r="E743" t="str">
        <f t="shared" si="53"/>
        <v/>
      </c>
      <c r="G743" s="5" t="str">
        <f t="shared" si="51"/>
        <v/>
      </c>
      <c r="I743" s="6" t="str">
        <f t="shared" si="52"/>
        <v>0</v>
      </c>
    </row>
    <row r="744" spans="1:11">
      <c r="A744" t="s">
        <v>896</v>
      </c>
      <c r="B744" t="s">
        <v>309</v>
      </c>
      <c r="E744" t="str">
        <f t="shared" si="53"/>
        <v/>
      </c>
      <c r="G744" s="5" t="str">
        <f t="shared" si="51"/>
        <v/>
      </c>
      <c r="I744" s="6" t="str">
        <f t="shared" si="52"/>
        <v>0</v>
      </c>
    </row>
    <row r="745" spans="1:11">
      <c r="A745" t="s">
        <v>897</v>
      </c>
      <c r="B745" t="s">
        <v>309</v>
      </c>
      <c r="E745" t="str">
        <f t="shared" si="53"/>
        <v/>
      </c>
      <c r="G745" s="5" t="str">
        <f t="shared" si="51"/>
        <v/>
      </c>
      <c r="I745" s="6" t="str">
        <f t="shared" si="52"/>
        <v>0</v>
      </c>
    </row>
    <row r="746" spans="1:11">
      <c r="A746" t="s">
        <v>898</v>
      </c>
      <c r="B746" t="s">
        <v>5695</v>
      </c>
      <c r="G746" s="5" t="str">
        <f t="shared" si="51"/>
        <v/>
      </c>
      <c r="I746" s="6" t="str">
        <f t="shared" si="52"/>
        <v>0</v>
      </c>
      <c r="K746" s="19" t="s">
        <v>5696</v>
      </c>
    </row>
    <row r="747" spans="1:11">
      <c r="A747" t="s">
        <v>899</v>
      </c>
      <c r="B747" t="s">
        <v>309</v>
      </c>
      <c r="E747" t="str">
        <f t="shared" si="53"/>
        <v/>
      </c>
      <c r="G747" s="5" t="str">
        <f t="shared" si="51"/>
        <v/>
      </c>
      <c r="I747" s="6" t="str">
        <f t="shared" si="52"/>
        <v>0</v>
      </c>
    </row>
    <row r="748" spans="1:11">
      <c r="A748" t="s">
        <v>901</v>
      </c>
      <c r="B748" t="s">
        <v>5857</v>
      </c>
      <c r="G748" s="5" t="str">
        <f t="shared" si="51"/>
        <v/>
      </c>
      <c r="I748" s="6" t="str">
        <f t="shared" si="52"/>
        <v>0</v>
      </c>
      <c r="K748" s="19" t="s">
        <v>5858</v>
      </c>
    </row>
    <row r="749" spans="1:11">
      <c r="A749" t="s">
        <v>902</v>
      </c>
      <c r="B749" t="s">
        <v>309</v>
      </c>
      <c r="E749" t="str">
        <f t="shared" si="53"/>
        <v/>
      </c>
      <c r="G749" s="5" t="str">
        <f t="shared" si="51"/>
        <v/>
      </c>
      <c r="I749" s="6" t="str">
        <f t="shared" si="52"/>
        <v>0</v>
      </c>
    </row>
    <row r="750" spans="1:11">
      <c r="A750" t="s">
        <v>905</v>
      </c>
      <c r="B750" t="s">
        <v>309</v>
      </c>
      <c r="E750" t="str">
        <f t="shared" si="53"/>
        <v/>
      </c>
      <c r="G750" s="5" t="str">
        <f t="shared" si="51"/>
        <v/>
      </c>
      <c r="I750" s="6" t="str">
        <f t="shared" si="52"/>
        <v>0</v>
      </c>
    </row>
    <row r="751" spans="1:11">
      <c r="A751" t="s">
        <v>906</v>
      </c>
      <c r="B751" t="s">
        <v>309</v>
      </c>
      <c r="E751" t="str">
        <f t="shared" si="53"/>
        <v/>
      </c>
      <c r="G751" s="5" t="str">
        <f t="shared" si="51"/>
        <v/>
      </c>
      <c r="I751" s="6" t="str">
        <f t="shared" si="52"/>
        <v>0</v>
      </c>
    </row>
    <row r="752" spans="1:11">
      <c r="A752" t="s">
        <v>907</v>
      </c>
      <c r="B752" t="s">
        <v>309</v>
      </c>
      <c r="E752" t="str">
        <f t="shared" si="53"/>
        <v/>
      </c>
      <c r="G752" s="5" t="str">
        <f t="shared" si="51"/>
        <v/>
      </c>
      <c r="I752" s="6" t="str">
        <f t="shared" si="52"/>
        <v>0</v>
      </c>
    </row>
    <row r="753" spans="1:9">
      <c r="A753" t="s">
        <v>908</v>
      </c>
      <c r="B753" t="s">
        <v>309</v>
      </c>
      <c r="E753" t="str">
        <f t="shared" si="53"/>
        <v/>
      </c>
      <c r="G753" s="5" t="str">
        <f t="shared" si="51"/>
        <v/>
      </c>
      <c r="I753" s="6" t="str">
        <f t="shared" si="52"/>
        <v>0</v>
      </c>
    </row>
    <row r="754" spans="1:9">
      <c r="A754" t="s">
        <v>909</v>
      </c>
      <c r="B754" t="s">
        <v>309</v>
      </c>
      <c r="E754" t="str">
        <f t="shared" si="53"/>
        <v/>
      </c>
      <c r="G754" s="5" t="str">
        <f t="shared" si="51"/>
        <v/>
      </c>
      <c r="I754" s="6" t="str">
        <f t="shared" si="52"/>
        <v>0</v>
      </c>
    </row>
    <row r="755" spans="1:9">
      <c r="A755" t="s">
        <v>910</v>
      </c>
      <c r="B755" t="s">
        <v>309</v>
      </c>
      <c r="E755" t="str">
        <f t="shared" si="53"/>
        <v/>
      </c>
      <c r="G755" s="5" t="str">
        <f t="shared" si="51"/>
        <v/>
      </c>
      <c r="I755" s="6" t="str">
        <f t="shared" si="52"/>
        <v>0</v>
      </c>
    </row>
    <row r="756" spans="1:9">
      <c r="A756" t="s">
        <v>912</v>
      </c>
      <c r="B756" t="s">
        <v>309</v>
      </c>
      <c r="E756" t="str">
        <f t="shared" si="53"/>
        <v/>
      </c>
      <c r="G756" s="5" t="str">
        <f t="shared" si="51"/>
        <v/>
      </c>
      <c r="I756" s="6" t="str">
        <f t="shared" si="52"/>
        <v>0</v>
      </c>
    </row>
    <row r="757" spans="1:9">
      <c r="A757" t="s">
        <v>918</v>
      </c>
      <c r="B757" t="s">
        <v>309</v>
      </c>
      <c r="E757" t="str">
        <f t="shared" si="53"/>
        <v/>
      </c>
      <c r="G757" s="5" t="str">
        <f t="shared" si="51"/>
        <v/>
      </c>
      <c r="I757" s="6" t="str">
        <f t="shared" si="52"/>
        <v>0</v>
      </c>
    </row>
    <row r="758" spans="1:9">
      <c r="A758" t="s">
        <v>928</v>
      </c>
      <c r="B758" t="s">
        <v>309</v>
      </c>
      <c r="E758" t="str">
        <f t="shared" si="53"/>
        <v/>
      </c>
      <c r="G758" s="5" t="str">
        <f t="shared" si="51"/>
        <v/>
      </c>
      <c r="I758" s="6" t="str">
        <f t="shared" si="52"/>
        <v>0</v>
      </c>
    </row>
    <row r="759" spans="1:9">
      <c r="A759" t="s">
        <v>929</v>
      </c>
      <c r="B759" t="s">
        <v>309</v>
      </c>
      <c r="E759" t="str">
        <f t="shared" si="53"/>
        <v/>
      </c>
      <c r="G759" s="5" t="str">
        <f t="shared" si="51"/>
        <v/>
      </c>
      <c r="I759" s="6" t="str">
        <f t="shared" si="52"/>
        <v>0</v>
      </c>
    </row>
    <row r="760" spans="1:9">
      <c r="A760" t="s">
        <v>930</v>
      </c>
      <c r="B760" t="s">
        <v>309</v>
      </c>
      <c r="E760" t="str">
        <f t="shared" si="53"/>
        <v/>
      </c>
      <c r="G760" s="5" t="str">
        <f t="shared" si="51"/>
        <v/>
      </c>
      <c r="I760" s="6" t="str">
        <f t="shared" si="52"/>
        <v>0</v>
      </c>
    </row>
    <row r="761" spans="1:9">
      <c r="A761" t="s">
        <v>932</v>
      </c>
      <c r="B761" t="s">
        <v>309</v>
      </c>
      <c r="E761" t="str">
        <f t="shared" si="53"/>
        <v/>
      </c>
      <c r="G761" s="5" t="str">
        <f t="shared" si="51"/>
        <v/>
      </c>
      <c r="I761" s="6" t="str">
        <f t="shared" si="52"/>
        <v>0</v>
      </c>
    </row>
    <row r="762" spans="1:9">
      <c r="A762" t="s">
        <v>933</v>
      </c>
      <c r="B762" t="s">
        <v>309</v>
      </c>
      <c r="E762" t="str">
        <f t="shared" si="53"/>
        <v/>
      </c>
      <c r="G762" s="5" t="str">
        <f t="shared" si="51"/>
        <v/>
      </c>
      <c r="I762" s="6" t="str">
        <f t="shared" si="52"/>
        <v>0</v>
      </c>
    </row>
    <row r="763" spans="1:9">
      <c r="A763" t="s">
        <v>936</v>
      </c>
      <c r="B763" t="s">
        <v>309</v>
      </c>
      <c r="E763" t="str">
        <f t="shared" si="53"/>
        <v/>
      </c>
      <c r="G763" s="5" t="str">
        <f t="shared" si="51"/>
        <v/>
      </c>
      <c r="I763" s="6" t="str">
        <f t="shared" si="52"/>
        <v>0</v>
      </c>
    </row>
    <row r="764" spans="1:9">
      <c r="A764" t="s">
        <v>937</v>
      </c>
      <c r="B764" t="s">
        <v>309</v>
      </c>
      <c r="E764" t="str">
        <f t="shared" ref="E764:E794" si="54">IF(D764&lt;&gt;"",C764&amp;"/"&amp;D764,"")</f>
        <v/>
      </c>
      <c r="G764" s="5" t="str">
        <f t="shared" si="51"/>
        <v/>
      </c>
      <c r="I764" s="6" t="str">
        <f t="shared" si="52"/>
        <v>0</v>
      </c>
    </row>
    <row r="765" spans="1:9">
      <c r="A765" t="s">
        <v>938</v>
      </c>
      <c r="B765" t="s">
        <v>309</v>
      </c>
      <c r="E765" t="str">
        <f t="shared" si="54"/>
        <v/>
      </c>
      <c r="G765" s="5" t="str">
        <f t="shared" si="51"/>
        <v/>
      </c>
      <c r="I765" s="6" t="str">
        <f t="shared" si="52"/>
        <v>0</v>
      </c>
    </row>
    <row r="766" spans="1:9">
      <c r="A766" t="s">
        <v>940</v>
      </c>
      <c r="B766" t="s">
        <v>309</v>
      </c>
      <c r="E766" t="str">
        <f t="shared" si="54"/>
        <v/>
      </c>
      <c r="G766" s="5" t="str">
        <f t="shared" si="51"/>
        <v/>
      </c>
      <c r="I766" s="6" t="str">
        <f t="shared" si="52"/>
        <v>0</v>
      </c>
    </row>
    <row r="767" spans="1:9">
      <c r="A767" t="s">
        <v>943</v>
      </c>
      <c r="B767" t="s">
        <v>309</v>
      </c>
      <c r="E767" t="str">
        <f t="shared" si="54"/>
        <v/>
      </c>
      <c r="G767" s="5" t="str">
        <f t="shared" si="51"/>
        <v/>
      </c>
      <c r="I767" s="6" t="str">
        <f t="shared" si="52"/>
        <v>0</v>
      </c>
    </row>
    <row r="768" spans="1:9">
      <c r="A768" t="s">
        <v>944</v>
      </c>
      <c r="B768" t="s">
        <v>309</v>
      </c>
      <c r="E768" t="str">
        <f t="shared" si="54"/>
        <v/>
      </c>
      <c r="G768" s="5" t="str">
        <f t="shared" si="51"/>
        <v/>
      </c>
      <c r="I768" s="6" t="str">
        <f t="shared" si="52"/>
        <v>0</v>
      </c>
    </row>
    <row r="769" spans="1:11">
      <c r="A769" t="s">
        <v>945</v>
      </c>
      <c r="B769" t="s">
        <v>309</v>
      </c>
      <c r="E769" t="str">
        <f t="shared" si="54"/>
        <v/>
      </c>
      <c r="G769" s="5" t="str">
        <f t="shared" si="51"/>
        <v/>
      </c>
      <c r="I769" s="6" t="str">
        <f t="shared" si="52"/>
        <v>0</v>
      </c>
    </row>
    <row r="770" spans="1:11">
      <c r="A770" t="s">
        <v>946</v>
      </c>
      <c r="B770" t="s">
        <v>309</v>
      </c>
      <c r="E770" t="str">
        <f t="shared" si="54"/>
        <v/>
      </c>
      <c r="G770" s="5" t="str">
        <f t="shared" ref="G770:G833" si="55">IF(F770&lt;&gt;"",HEX2DEC(SUBSTITUTE(SUBSTITUTE(F770,"adrEA",""),"$","")),"")</f>
        <v/>
      </c>
      <c r="I770" s="6" t="str">
        <f t="shared" ref="I770:I833" si="56">IFERROR(DEC2HEX(H770),"")</f>
        <v>0</v>
      </c>
    </row>
    <row r="771" spans="1:11">
      <c r="A771" t="s">
        <v>948</v>
      </c>
      <c r="B771" t="s">
        <v>309</v>
      </c>
      <c r="E771" t="str">
        <f t="shared" si="54"/>
        <v/>
      </c>
      <c r="G771" s="5" t="str">
        <f t="shared" si="55"/>
        <v/>
      </c>
      <c r="I771" s="6" t="str">
        <f t="shared" si="56"/>
        <v>0</v>
      </c>
    </row>
    <row r="772" spans="1:11">
      <c r="A772" t="s">
        <v>949</v>
      </c>
      <c r="B772" t="s">
        <v>309</v>
      </c>
      <c r="E772" t="str">
        <f t="shared" si="54"/>
        <v/>
      </c>
      <c r="G772" s="5" t="str">
        <f t="shared" si="55"/>
        <v/>
      </c>
      <c r="I772" s="6" t="str">
        <f t="shared" si="56"/>
        <v>0</v>
      </c>
    </row>
    <row r="773" spans="1:11">
      <c r="A773" t="s">
        <v>951</v>
      </c>
      <c r="B773" t="s">
        <v>309</v>
      </c>
      <c r="E773" t="str">
        <f t="shared" si="54"/>
        <v/>
      </c>
      <c r="G773" s="5" t="str">
        <f t="shared" si="55"/>
        <v/>
      </c>
      <c r="I773" s="6" t="str">
        <f t="shared" si="56"/>
        <v>0</v>
      </c>
    </row>
    <row r="774" spans="1:11">
      <c r="A774" t="s">
        <v>952</v>
      </c>
      <c r="B774" t="s">
        <v>309</v>
      </c>
      <c r="E774" t="str">
        <f t="shared" si="54"/>
        <v/>
      </c>
      <c r="G774" s="5" t="str">
        <f t="shared" si="55"/>
        <v/>
      </c>
      <c r="I774" s="6" t="str">
        <f t="shared" si="56"/>
        <v>0</v>
      </c>
    </row>
    <row r="775" spans="1:11">
      <c r="A775" t="s">
        <v>953</v>
      </c>
      <c r="B775" t="s">
        <v>309</v>
      </c>
      <c r="E775" t="str">
        <f t="shared" si="54"/>
        <v/>
      </c>
      <c r="G775" s="5" t="str">
        <f t="shared" si="55"/>
        <v/>
      </c>
      <c r="I775" s="6" t="str">
        <f t="shared" si="56"/>
        <v>0</v>
      </c>
    </row>
    <row r="776" spans="1:11">
      <c r="A776" t="s">
        <v>954</v>
      </c>
      <c r="B776" t="s">
        <v>309</v>
      </c>
      <c r="E776" t="str">
        <f t="shared" si="54"/>
        <v/>
      </c>
      <c r="G776" s="5" t="str">
        <f t="shared" si="55"/>
        <v/>
      </c>
      <c r="I776" s="6" t="str">
        <f t="shared" si="56"/>
        <v>0</v>
      </c>
    </row>
    <row r="777" spans="1:11">
      <c r="A777" t="s">
        <v>955</v>
      </c>
      <c r="B777" t="s">
        <v>309</v>
      </c>
      <c r="E777" t="str">
        <f t="shared" si="54"/>
        <v/>
      </c>
      <c r="G777" s="5" t="str">
        <f t="shared" si="55"/>
        <v/>
      </c>
      <c r="I777" s="6" t="str">
        <f t="shared" si="56"/>
        <v>0</v>
      </c>
    </row>
    <row r="778" spans="1:11">
      <c r="A778" t="s">
        <v>956</v>
      </c>
      <c r="B778" t="s">
        <v>309</v>
      </c>
      <c r="E778" t="str">
        <f t="shared" si="54"/>
        <v/>
      </c>
      <c r="G778" s="5" t="str">
        <f t="shared" si="55"/>
        <v/>
      </c>
      <c r="I778" s="6" t="str">
        <f t="shared" si="56"/>
        <v>0</v>
      </c>
    </row>
    <row r="779" spans="1:11">
      <c r="A779" t="s">
        <v>957</v>
      </c>
      <c r="B779" t="s">
        <v>309</v>
      </c>
      <c r="E779" t="str">
        <f t="shared" si="54"/>
        <v/>
      </c>
      <c r="G779" s="5" t="str">
        <f t="shared" si="55"/>
        <v/>
      </c>
      <c r="I779" s="6" t="str">
        <f t="shared" si="56"/>
        <v>0</v>
      </c>
    </row>
    <row r="780" spans="1:11">
      <c r="A780" t="s">
        <v>959</v>
      </c>
      <c r="B780" t="s">
        <v>5930</v>
      </c>
      <c r="G780" s="5" t="str">
        <f t="shared" si="55"/>
        <v/>
      </c>
      <c r="I780" s="6" t="str">
        <f t="shared" si="56"/>
        <v>0</v>
      </c>
      <c r="K780" s="19" t="s">
        <v>5931</v>
      </c>
    </row>
    <row r="781" spans="1:11">
      <c r="A781" t="s">
        <v>994</v>
      </c>
      <c r="B781" t="s">
        <v>309</v>
      </c>
      <c r="E781" t="str">
        <f t="shared" si="54"/>
        <v/>
      </c>
      <c r="G781" s="5" t="str">
        <f t="shared" si="55"/>
        <v/>
      </c>
      <c r="I781" s="6" t="str">
        <f t="shared" si="56"/>
        <v>0</v>
      </c>
    </row>
    <row r="782" spans="1:11">
      <c r="A782" t="s">
        <v>995</v>
      </c>
      <c r="B782" t="s">
        <v>309</v>
      </c>
      <c r="E782" t="str">
        <f t="shared" si="54"/>
        <v/>
      </c>
      <c r="G782" s="5" t="str">
        <f t="shared" si="55"/>
        <v/>
      </c>
      <c r="I782" s="6" t="str">
        <f t="shared" si="56"/>
        <v>0</v>
      </c>
    </row>
    <row r="783" spans="1:11">
      <c r="A783" t="s">
        <v>996</v>
      </c>
      <c r="B783" t="s">
        <v>309</v>
      </c>
      <c r="E783" t="str">
        <f t="shared" si="54"/>
        <v/>
      </c>
      <c r="G783" s="5" t="str">
        <f t="shared" si="55"/>
        <v/>
      </c>
      <c r="I783" s="6" t="str">
        <f t="shared" si="56"/>
        <v>0</v>
      </c>
    </row>
    <row r="784" spans="1:11">
      <c r="A784" t="s">
        <v>1015</v>
      </c>
      <c r="B784" t="s">
        <v>309</v>
      </c>
      <c r="E784" t="str">
        <f t="shared" si="54"/>
        <v/>
      </c>
      <c r="G784" s="5" t="str">
        <f t="shared" si="55"/>
        <v/>
      </c>
      <c r="I784" s="6" t="str">
        <f t="shared" si="56"/>
        <v>0</v>
      </c>
    </row>
    <row r="785" spans="1:11">
      <c r="A785" t="s">
        <v>1016</v>
      </c>
      <c r="B785" t="s">
        <v>309</v>
      </c>
      <c r="E785" t="str">
        <f t="shared" si="54"/>
        <v/>
      </c>
      <c r="G785" s="5" t="str">
        <f t="shared" si="55"/>
        <v/>
      </c>
      <c r="I785" s="6" t="str">
        <f t="shared" si="56"/>
        <v>0</v>
      </c>
    </row>
    <row r="786" spans="1:11">
      <c r="A786" t="s">
        <v>1017</v>
      </c>
      <c r="B786" t="s">
        <v>309</v>
      </c>
      <c r="E786" t="str">
        <f t="shared" si="54"/>
        <v/>
      </c>
      <c r="G786" s="5" t="str">
        <f t="shared" si="55"/>
        <v/>
      </c>
      <c r="I786" s="6" t="str">
        <f t="shared" si="56"/>
        <v>0</v>
      </c>
    </row>
    <row r="787" spans="1:11">
      <c r="A787" t="s">
        <v>1018</v>
      </c>
      <c r="B787" t="s">
        <v>309</v>
      </c>
      <c r="E787" t="str">
        <f t="shared" si="54"/>
        <v/>
      </c>
      <c r="G787" s="5" t="str">
        <f t="shared" si="55"/>
        <v/>
      </c>
      <c r="I787" s="6" t="str">
        <f t="shared" si="56"/>
        <v>0</v>
      </c>
    </row>
    <row r="788" spans="1:11">
      <c r="A788" t="s">
        <v>1019</v>
      </c>
      <c r="B788" t="s">
        <v>309</v>
      </c>
      <c r="E788" t="str">
        <f t="shared" si="54"/>
        <v/>
      </c>
      <c r="G788" s="5" t="str">
        <f t="shared" si="55"/>
        <v/>
      </c>
      <c r="I788" s="6" t="str">
        <f t="shared" si="56"/>
        <v>0</v>
      </c>
    </row>
    <row r="789" spans="1:11">
      <c r="A789" t="s">
        <v>1020</v>
      </c>
      <c r="B789" t="s">
        <v>309</v>
      </c>
      <c r="E789" t="str">
        <f t="shared" si="54"/>
        <v/>
      </c>
      <c r="G789" s="5" t="str">
        <f t="shared" si="55"/>
        <v/>
      </c>
      <c r="I789" s="6" t="str">
        <f t="shared" si="56"/>
        <v>0</v>
      </c>
    </row>
    <row r="790" spans="1:11">
      <c r="A790" t="s">
        <v>1025</v>
      </c>
      <c r="B790" t="s">
        <v>309</v>
      </c>
      <c r="E790" t="str">
        <f t="shared" si="54"/>
        <v/>
      </c>
      <c r="G790" s="5" t="str">
        <f t="shared" si="55"/>
        <v/>
      </c>
      <c r="I790" s="6" t="str">
        <f t="shared" si="56"/>
        <v>0</v>
      </c>
    </row>
    <row r="791" spans="1:11">
      <c r="A791" t="s">
        <v>1027</v>
      </c>
      <c r="B791" t="s">
        <v>309</v>
      </c>
      <c r="E791" t="str">
        <f t="shared" si="54"/>
        <v/>
      </c>
      <c r="G791" s="5" t="str">
        <f t="shared" si="55"/>
        <v/>
      </c>
      <c r="I791" s="6" t="str">
        <f t="shared" si="56"/>
        <v>0</v>
      </c>
    </row>
    <row r="792" spans="1:11">
      <c r="A792" t="s">
        <v>1028</v>
      </c>
      <c r="B792" t="s">
        <v>309</v>
      </c>
      <c r="E792" t="str">
        <f t="shared" si="54"/>
        <v/>
      </c>
      <c r="G792" s="5" t="str">
        <f t="shared" si="55"/>
        <v/>
      </c>
      <c r="I792" s="6" t="str">
        <f t="shared" si="56"/>
        <v>0</v>
      </c>
    </row>
    <row r="793" spans="1:11">
      <c r="A793" t="s">
        <v>1029</v>
      </c>
      <c r="B793" t="s">
        <v>309</v>
      </c>
      <c r="E793" t="str">
        <f t="shared" si="54"/>
        <v/>
      </c>
      <c r="G793" s="5" t="str">
        <f t="shared" si="55"/>
        <v/>
      </c>
      <c r="I793" s="6" t="str">
        <f t="shared" si="56"/>
        <v>0</v>
      </c>
    </row>
    <row r="794" spans="1:11">
      <c r="A794" t="s">
        <v>1030</v>
      </c>
      <c r="B794" t="s">
        <v>309</v>
      </c>
      <c r="E794" t="str">
        <f t="shared" si="54"/>
        <v/>
      </c>
      <c r="G794" s="5" t="str">
        <f t="shared" si="55"/>
        <v/>
      </c>
      <c r="I794" s="6" t="str">
        <f t="shared" si="56"/>
        <v>0</v>
      </c>
    </row>
    <row r="795" spans="1:11">
      <c r="A795" t="s">
        <v>1031</v>
      </c>
      <c r="B795" t="s">
        <v>5516</v>
      </c>
      <c r="G795" s="5" t="str">
        <f t="shared" si="55"/>
        <v/>
      </c>
      <c r="I795" s="6" t="str">
        <f t="shared" si="56"/>
        <v>0</v>
      </c>
      <c r="K795" s="19" t="s">
        <v>5517</v>
      </c>
    </row>
    <row r="796" spans="1:11">
      <c r="A796" t="s">
        <v>1032</v>
      </c>
      <c r="B796" t="s">
        <v>309</v>
      </c>
      <c r="E796" t="str">
        <f t="shared" ref="E796:E808" si="57">IF(D796&lt;&gt;"",C796&amp;"/"&amp;D796,"")</f>
        <v/>
      </c>
      <c r="G796" s="5" t="str">
        <f t="shared" si="55"/>
        <v/>
      </c>
      <c r="I796" s="6" t="str">
        <f t="shared" si="56"/>
        <v>0</v>
      </c>
    </row>
    <row r="797" spans="1:11">
      <c r="A797" t="s">
        <v>1033</v>
      </c>
      <c r="B797" t="s">
        <v>309</v>
      </c>
      <c r="E797" t="str">
        <f t="shared" si="57"/>
        <v/>
      </c>
      <c r="G797" s="5" t="str">
        <f t="shared" si="55"/>
        <v/>
      </c>
      <c r="I797" s="6" t="str">
        <f t="shared" si="56"/>
        <v>0</v>
      </c>
    </row>
    <row r="798" spans="1:11">
      <c r="A798" t="s">
        <v>1034</v>
      </c>
      <c r="B798" t="s">
        <v>5518</v>
      </c>
      <c r="G798" s="5" t="str">
        <f t="shared" si="55"/>
        <v/>
      </c>
      <c r="I798" s="6" t="str">
        <f t="shared" si="56"/>
        <v>0</v>
      </c>
      <c r="K798" s="19" t="s">
        <v>5519</v>
      </c>
    </row>
    <row r="799" spans="1:11">
      <c r="A799" t="s">
        <v>1035</v>
      </c>
      <c r="B799" t="s">
        <v>5520</v>
      </c>
      <c r="G799" s="5" t="str">
        <f t="shared" si="55"/>
        <v/>
      </c>
      <c r="I799" s="6" t="str">
        <f t="shared" si="56"/>
        <v>0</v>
      </c>
      <c r="K799" s="19" t="s">
        <v>5521</v>
      </c>
    </row>
    <row r="800" spans="1:11">
      <c r="A800" t="s">
        <v>1036</v>
      </c>
      <c r="B800" t="s">
        <v>309</v>
      </c>
      <c r="E800" t="str">
        <f t="shared" si="57"/>
        <v/>
      </c>
      <c r="G800" s="5" t="str">
        <f t="shared" si="55"/>
        <v/>
      </c>
      <c r="I800" s="6" t="str">
        <f t="shared" si="56"/>
        <v>0</v>
      </c>
    </row>
    <row r="801" spans="1:11">
      <c r="A801" t="s">
        <v>1037</v>
      </c>
      <c r="B801" t="s">
        <v>309</v>
      </c>
      <c r="E801" t="str">
        <f t="shared" si="57"/>
        <v/>
      </c>
      <c r="G801" s="5" t="str">
        <f t="shared" si="55"/>
        <v/>
      </c>
      <c r="I801" s="6" t="str">
        <f t="shared" si="56"/>
        <v>0</v>
      </c>
    </row>
    <row r="802" spans="1:11">
      <c r="A802" t="s">
        <v>1038</v>
      </c>
      <c r="B802" t="s">
        <v>309</v>
      </c>
      <c r="E802" t="str">
        <f t="shared" si="57"/>
        <v/>
      </c>
      <c r="G802" s="5" t="str">
        <f t="shared" si="55"/>
        <v/>
      </c>
      <c r="I802" s="6" t="str">
        <f t="shared" si="56"/>
        <v>0</v>
      </c>
    </row>
    <row r="803" spans="1:11">
      <c r="A803" t="s">
        <v>1039</v>
      </c>
      <c r="B803" t="s">
        <v>5522</v>
      </c>
      <c r="G803" s="5" t="str">
        <f t="shared" si="55"/>
        <v/>
      </c>
      <c r="I803" s="6" t="str">
        <f t="shared" si="56"/>
        <v>0</v>
      </c>
      <c r="K803" s="19" t="s">
        <v>5523</v>
      </c>
    </row>
    <row r="804" spans="1:11">
      <c r="A804" t="s">
        <v>1040</v>
      </c>
      <c r="B804" t="s">
        <v>309</v>
      </c>
      <c r="E804" t="str">
        <f t="shared" si="57"/>
        <v/>
      </c>
      <c r="G804" s="5" t="str">
        <f t="shared" si="55"/>
        <v/>
      </c>
      <c r="I804" s="6" t="str">
        <f t="shared" si="56"/>
        <v>0</v>
      </c>
    </row>
    <row r="805" spans="1:11">
      <c r="A805" t="s">
        <v>1041</v>
      </c>
      <c r="B805" t="s">
        <v>309</v>
      </c>
      <c r="E805" t="str">
        <f t="shared" si="57"/>
        <v/>
      </c>
      <c r="G805" s="5" t="str">
        <f t="shared" si="55"/>
        <v/>
      </c>
      <c r="I805" s="6" t="str">
        <f t="shared" si="56"/>
        <v>0</v>
      </c>
    </row>
    <row r="806" spans="1:11">
      <c r="A806" t="s">
        <v>1044</v>
      </c>
      <c r="B806" t="s">
        <v>309</v>
      </c>
      <c r="E806" t="str">
        <f t="shared" si="57"/>
        <v/>
      </c>
      <c r="G806" s="5" t="str">
        <f t="shared" si="55"/>
        <v/>
      </c>
      <c r="I806" s="6" t="str">
        <f t="shared" si="56"/>
        <v>0</v>
      </c>
    </row>
    <row r="807" spans="1:11">
      <c r="A807" t="s">
        <v>1048</v>
      </c>
      <c r="B807" t="s">
        <v>309</v>
      </c>
      <c r="E807" t="str">
        <f t="shared" si="57"/>
        <v/>
      </c>
      <c r="G807" s="5" t="str">
        <f t="shared" si="55"/>
        <v/>
      </c>
      <c r="I807" s="6" t="str">
        <f t="shared" si="56"/>
        <v>0</v>
      </c>
    </row>
    <row r="808" spans="1:11">
      <c r="A808" t="s">
        <v>1049</v>
      </c>
      <c r="B808" t="s">
        <v>309</v>
      </c>
      <c r="E808" t="str">
        <f t="shared" si="57"/>
        <v/>
      </c>
      <c r="G808" s="5" t="str">
        <f t="shared" si="55"/>
        <v/>
      </c>
      <c r="I808" s="6" t="str">
        <f t="shared" si="56"/>
        <v>0</v>
      </c>
    </row>
    <row r="809" spans="1:11">
      <c r="A809" t="s">
        <v>1070</v>
      </c>
      <c r="B809" t="s">
        <v>5238</v>
      </c>
      <c r="C809" s="5" t="s">
        <v>7</v>
      </c>
      <c r="F809" s="5" t="s">
        <v>5239</v>
      </c>
      <c r="G809" s="5">
        <f t="shared" si="55"/>
        <v>16006</v>
      </c>
      <c r="I809" s="6" t="str">
        <f t="shared" si="56"/>
        <v>0</v>
      </c>
      <c r="K809" s="28" t="s">
        <v>5240</v>
      </c>
    </row>
    <row r="810" spans="1:11">
      <c r="A810" t="s">
        <v>1071</v>
      </c>
      <c r="B810" t="s">
        <v>5121</v>
      </c>
      <c r="C810" s="5" t="s">
        <v>7</v>
      </c>
      <c r="F810" s="5" t="s">
        <v>5122</v>
      </c>
      <c r="G810" s="5">
        <f t="shared" si="55"/>
        <v>16008</v>
      </c>
      <c r="I810" s="6" t="str">
        <f t="shared" si="56"/>
        <v>0</v>
      </c>
      <c r="K810" s="28" t="s">
        <v>5241</v>
      </c>
    </row>
    <row r="811" spans="1:11">
      <c r="A811" t="s">
        <v>1072</v>
      </c>
      <c r="B811" t="s">
        <v>5123</v>
      </c>
      <c r="C811" s="5" t="s">
        <v>7</v>
      </c>
      <c r="F811" s="5" t="s">
        <v>5124</v>
      </c>
      <c r="G811" s="5">
        <f t="shared" si="55"/>
        <v>16034</v>
      </c>
      <c r="I811" s="6" t="str">
        <f t="shared" si="56"/>
        <v>0</v>
      </c>
      <c r="K811" s="28" t="s">
        <v>5242</v>
      </c>
    </row>
    <row r="812" spans="1:11">
      <c r="A812" t="s">
        <v>1074</v>
      </c>
      <c r="B812" t="s">
        <v>1075</v>
      </c>
      <c r="E812" t="str">
        <f>IF(D812&lt;&gt;"",C812&amp;"/"&amp;D812,"")</f>
        <v/>
      </c>
      <c r="G812" s="5" t="str">
        <f t="shared" si="55"/>
        <v/>
      </c>
      <c r="I812" s="6" t="str">
        <f t="shared" si="56"/>
        <v>0</v>
      </c>
    </row>
    <row r="813" spans="1:11">
      <c r="A813" t="s">
        <v>1076</v>
      </c>
      <c r="B813" t="s">
        <v>5244</v>
      </c>
      <c r="C813" s="5" t="s">
        <v>7</v>
      </c>
      <c r="F813" s="5" t="s">
        <v>5245</v>
      </c>
      <c r="G813" s="5">
        <f t="shared" si="55"/>
        <v>16120</v>
      </c>
      <c r="I813" s="6" t="str">
        <f t="shared" si="56"/>
        <v>0</v>
      </c>
      <c r="K813" s="28" t="s">
        <v>5246</v>
      </c>
    </row>
    <row r="814" spans="1:11">
      <c r="A814" t="s">
        <v>1077</v>
      </c>
      <c r="B814" t="s">
        <v>5247</v>
      </c>
      <c r="C814" s="5" t="s">
        <v>7</v>
      </c>
      <c r="F814" s="5" t="s">
        <v>5248</v>
      </c>
      <c r="G814" s="5">
        <f t="shared" si="55"/>
        <v>16180</v>
      </c>
      <c r="I814" s="6" t="str">
        <f t="shared" si="56"/>
        <v>0</v>
      </c>
      <c r="K814" s="28" t="s">
        <v>5249</v>
      </c>
    </row>
    <row r="815" spans="1:11">
      <c r="A815" t="s">
        <v>1078</v>
      </c>
      <c r="B815" t="s">
        <v>5697</v>
      </c>
      <c r="G815" s="5" t="str">
        <f t="shared" si="55"/>
        <v/>
      </c>
      <c r="I815" s="6" t="str">
        <f t="shared" si="56"/>
        <v>0</v>
      </c>
      <c r="K815" s="19" t="s">
        <v>5698</v>
      </c>
    </row>
    <row r="816" spans="1:11">
      <c r="A816" t="s">
        <v>1079</v>
      </c>
      <c r="B816" t="s">
        <v>309</v>
      </c>
      <c r="E816" t="str">
        <f t="shared" ref="E816:E846" si="58">IF(D816&lt;&gt;"",C816&amp;"/"&amp;D816,"")</f>
        <v/>
      </c>
      <c r="G816" s="5" t="str">
        <f t="shared" si="55"/>
        <v/>
      </c>
      <c r="I816" s="6" t="str">
        <f t="shared" si="56"/>
        <v>0</v>
      </c>
    </row>
    <row r="817" spans="1:11">
      <c r="A817" t="s">
        <v>1080</v>
      </c>
      <c r="B817" t="s">
        <v>309</v>
      </c>
      <c r="E817" t="str">
        <f t="shared" si="58"/>
        <v/>
      </c>
      <c r="G817" s="5" t="str">
        <f t="shared" si="55"/>
        <v/>
      </c>
      <c r="I817" s="6" t="str">
        <f t="shared" si="56"/>
        <v>0</v>
      </c>
    </row>
    <row r="818" spans="1:11">
      <c r="A818" t="s">
        <v>1082</v>
      </c>
      <c r="B818" t="s">
        <v>1083</v>
      </c>
      <c r="E818" t="str">
        <f t="shared" si="58"/>
        <v/>
      </c>
      <c r="G818" s="5" t="str">
        <f t="shared" si="55"/>
        <v/>
      </c>
      <c r="I818" s="6" t="str">
        <f t="shared" si="56"/>
        <v>0</v>
      </c>
    </row>
    <row r="819" spans="1:11">
      <c r="A819" t="s">
        <v>1084</v>
      </c>
      <c r="B819" t="s">
        <v>332</v>
      </c>
      <c r="E819" t="str">
        <f t="shared" si="58"/>
        <v/>
      </c>
      <c r="G819" s="5" t="str">
        <f t="shared" si="55"/>
        <v/>
      </c>
      <c r="I819" s="6" t="str">
        <f t="shared" si="56"/>
        <v>0</v>
      </c>
    </row>
    <row r="820" spans="1:11">
      <c r="A820" t="s">
        <v>1085</v>
      </c>
      <c r="B820" t="s">
        <v>1086</v>
      </c>
      <c r="E820" t="str">
        <f t="shared" si="58"/>
        <v/>
      </c>
      <c r="G820" s="5" t="str">
        <f t="shared" si="55"/>
        <v/>
      </c>
      <c r="I820" s="6" t="str">
        <f t="shared" si="56"/>
        <v>0</v>
      </c>
    </row>
    <row r="821" spans="1:11">
      <c r="A821" t="s">
        <v>1087</v>
      </c>
      <c r="B821" t="s">
        <v>5859</v>
      </c>
      <c r="G821" s="5" t="str">
        <f t="shared" si="55"/>
        <v/>
      </c>
      <c r="I821" s="6" t="str">
        <f t="shared" si="56"/>
        <v>0</v>
      </c>
      <c r="K821" s="19" t="s">
        <v>5860</v>
      </c>
    </row>
    <row r="822" spans="1:11">
      <c r="A822" t="s">
        <v>1088</v>
      </c>
      <c r="B822" t="s">
        <v>1089</v>
      </c>
      <c r="E822" t="str">
        <f t="shared" si="58"/>
        <v/>
      </c>
      <c r="G822" s="5" t="str">
        <f t="shared" si="55"/>
        <v/>
      </c>
      <c r="I822" s="6" t="str">
        <f t="shared" si="56"/>
        <v>0</v>
      </c>
    </row>
    <row r="823" spans="1:11">
      <c r="A823" t="s">
        <v>1090</v>
      </c>
      <c r="B823" t="s">
        <v>1091</v>
      </c>
      <c r="E823" t="str">
        <f t="shared" si="58"/>
        <v/>
      </c>
      <c r="G823" s="5" t="str">
        <f t="shared" si="55"/>
        <v/>
      </c>
      <c r="I823" s="6" t="str">
        <f t="shared" si="56"/>
        <v>0</v>
      </c>
    </row>
    <row r="824" spans="1:11">
      <c r="A824" t="s">
        <v>1092</v>
      </c>
      <c r="B824" t="s">
        <v>1093</v>
      </c>
      <c r="E824" t="str">
        <f t="shared" si="58"/>
        <v/>
      </c>
      <c r="G824" s="5" t="str">
        <f t="shared" si="55"/>
        <v/>
      </c>
      <c r="I824" s="6" t="str">
        <f t="shared" si="56"/>
        <v>0</v>
      </c>
    </row>
    <row r="825" spans="1:11">
      <c r="A825" t="s">
        <v>1094</v>
      </c>
      <c r="B825" t="s">
        <v>1095</v>
      </c>
      <c r="E825" t="str">
        <f t="shared" si="58"/>
        <v/>
      </c>
      <c r="G825" s="5" t="str">
        <f t="shared" si="55"/>
        <v/>
      </c>
      <c r="I825" s="6" t="str">
        <f t="shared" si="56"/>
        <v>0</v>
      </c>
    </row>
    <row r="826" spans="1:11">
      <c r="A826" t="s">
        <v>1096</v>
      </c>
      <c r="B826" t="s">
        <v>5699</v>
      </c>
      <c r="G826" s="5" t="str">
        <f t="shared" si="55"/>
        <v/>
      </c>
      <c r="I826" s="6" t="str">
        <f t="shared" si="56"/>
        <v>0</v>
      </c>
      <c r="K826" s="19" t="s">
        <v>5700</v>
      </c>
    </row>
    <row r="827" spans="1:11">
      <c r="A827" t="s">
        <v>1097</v>
      </c>
      <c r="B827" t="s">
        <v>332</v>
      </c>
      <c r="E827" t="str">
        <f t="shared" si="58"/>
        <v/>
      </c>
      <c r="G827" s="5" t="str">
        <f t="shared" si="55"/>
        <v/>
      </c>
      <c r="I827" s="6" t="str">
        <f t="shared" si="56"/>
        <v>0</v>
      </c>
    </row>
    <row r="828" spans="1:11">
      <c r="A828" t="s">
        <v>1098</v>
      </c>
      <c r="B828" t="s">
        <v>1099</v>
      </c>
      <c r="E828" t="str">
        <f t="shared" si="58"/>
        <v/>
      </c>
      <c r="G828" s="5" t="str">
        <f t="shared" si="55"/>
        <v/>
      </c>
      <c r="I828" s="6" t="str">
        <f t="shared" si="56"/>
        <v>0</v>
      </c>
    </row>
    <row r="829" spans="1:11">
      <c r="A829" t="s">
        <v>1100</v>
      </c>
      <c r="B829" t="s">
        <v>1101</v>
      </c>
      <c r="E829" t="str">
        <f t="shared" si="58"/>
        <v/>
      </c>
      <c r="G829" s="5" t="str">
        <f t="shared" si="55"/>
        <v/>
      </c>
      <c r="I829" s="6" t="str">
        <f t="shared" si="56"/>
        <v>0</v>
      </c>
    </row>
    <row r="830" spans="1:11">
      <c r="A830" t="s">
        <v>1102</v>
      </c>
      <c r="B830" t="s">
        <v>309</v>
      </c>
      <c r="E830" t="str">
        <f t="shared" si="58"/>
        <v/>
      </c>
      <c r="G830" s="5" t="str">
        <f t="shared" si="55"/>
        <v/>
      </c>
      <c r="I830" s="6" t="str">
        <f t="shared" si="56"/>
        <v>0</v>
      </c>
    </row>
    <row r="831" spans="1:11">
      <c r="A831" t="s">
        <v>1103</v>
      </c>
      <c r="B831" t="s">
        <v>309</v>
      </c>
      <c r="E831" t="str">
        <f t="shared" si="58"/>
        <v/>
      </c>
      <c r="G831" s="5" t="str">
        <f t="shared" si="55"/>
        <v/>
      </c>
      <c r="I831" s="6" t="str">
        <f t="shared" si="56"/>
        <v>0</v>
      </c>
    </row>
    <row r="832" spans="1:11">
      <c r="A832" t="s">
        <v>1104</v>
      </c>
      <c r="B832" t="s">
        <v>5701</v>
      </c>
      <c r="G832" s="5" t="str">
        <f t="shared" si="55"/>
        <v/>
      </c>
      <c r="I832" s="6" t="str">
        <f t="shared" si="56"/>
        <v>0</v>
      </c>
      <c r="K832" s="19" t="s">
        <v>5702</v>
      </c>
    </row>
    <row r="833" spans="1:11">
      <c r="A833" t="s">
        <v>1105</v>
      </c>
      <c r="B833" t="s">
        <v>5932</v>
      </c>
      <c r="G833" s="5" t="str">
        <f t="shared" si="55"/>
        <v/>
      </c>
      <c r="I833" s="6" t="str">
        <f t="shared" si="56"/>
        <v>0</v>
      </c>
      <c r="K833" s="19" t="s">
        <v>5933</v>
      </c>
    </row>
    <row r="834" spans="1:11">
      <c r="A834" t="s">
        <v>1106</v>
      </c>
      <c r="B834" t="s">
        <v>5703</v>
      </c>
      <c r="G834" s="5" t="str">
        <f t="shared" ref="G834:G897" si="59">IF(F834&lt;&gt;"",HEX2DEC(SUBSTITUTE(SUBSTITUTE(F834,"adrEA",""),"$","")),"")</f>
        <v/>
      </c>
      <c r="I834" s="6" t="str">
        <f t="shared" ref="I834:I897" si="60">IFERROR(DEC2HEX(H834),"")</f>
        <v>0</v>
      </c>
      <c r="K834" s="19" t="s">
        <v>5704</v>
      </c>
    </row>
    <row r="835" spans="1:11">
      <c r="A835" t="s">
        <v>1107</v>
      </c>
      <c r="B835" t="s">
        <v>3940</v>
      </c>
      <c r="E835" t="str">
        <f t="shared" si="58"/>
        <v/>
      </c>
      <c r="G835" s="5" t="str">
        <f t="shared" si="59"/>
        <v/>
      </c>
      <c r="I835" s="6" t="str">
        <f t="shared" si="60"/>
        <v>0</v>
      </c>
    </row>
    <row r="836" spans="1:11">
      <c r="A836" t="s">
        <v>1108</v>
      </c>
      <c r="B836" t="s">
        <v>3938</v>
      </c>
      <c r="E836" t="str">
        <f t="shared" si="58"/>
        <v/>
      </c>
      <c r="G836" s="5" t="str">
        <f t="shared" si="59"/>
        <v/>
      </c>
      <c r="I836" s="6" t="str">
        <f t="shared" si="60"/>
        <v>0</v>
      </c>
    </row>
    <row r="837" spans="1:11">
      <c r="A837" t="s">
        <v>1109</v>
      </c>
      <c r="B837" t="s">
        <v>3939</v>
      </c>
      <c r="E837" t="str">
        <f t="shared" si="58"/>
        <v/>
      </c>
      <c r="G837" s="5" t="str">
        <f t="shared" si="59"/>
        <v/>
      </c>
      <c r="I837" s="6" t="str">
        <f t="shared" si="60"/>
        <v>0</v>
      </c>
    </row>
    <row r="838" spans="1:11">
      <c r="A838" t="s">
        <v>1110</v>
      </c>
      <c r="B838" t="s">
        <v>1111</v>
      </c>
      <c r="E838" t="str">
        <f t="shared" si="58"/>
        <v/>
      </c>
      <c r="G838" s="5" t="str">
        <f t="shared" si="59"/>
        <v/>
      </c>
      <c r="I838" s="6" t="str">
        <f t="shared" si="60"/>
        <v>0</v>
      </c>
    </row>
    <row r="839" spans="1:11">
      <c r="A839" t="s">
        <v>1112</v>
      </c>
      <c r="B839" t="s">
        <v>309</v>
      </c>
      <c r="E839" t="str">
        <f t="shared" si="58"/>
        <v/>
      </c>
      <c r="G839" s="5" t="str">
        <f t="shared" si="59"/>
        <v/>
      </c>
      <c r="I839" s="6" t="str">
        <f t="shared" si="60"/>
        <v>0</v>
      </c>
    </row>
    <row r="840" spans="1:11">
      <c r="A840" t="s">
        <v>1113</v>
      </c>
      <c r="B840" t="s">
        <v>309</v>
      </c>
      <c r="E840" t="str">
        <f t="shared" si="58"/>
        <v/>
      </c>
      <c r="G840" s="5" t="str">
        <f t="shared" si="59"/>
        <v/>
      </c>
      <c r="I840" s="6" t="str">
        <f t="shared" si="60"/>
        <v>0</v>
      </c>
    </row>
    <row r="841" spans="1:11">
      <c r="A841" t="s">
        <v>1114</v>
      </c>
      <c r="B841" t="s">
        <v>309</v>
      </c>
      <c r="E841" t="str">
        <f t="shared" si="58"/>
        <v/>
      </c>
      <c r="G841" s="5" t="str">
        <f t="shared" si="59"/>
        <v/>
      </c>
      <c r="I841" s="6" t="str">
        <f t="shared" si="60"/>
        <v>0</v>
      </c>
    </row>
    <row r="842" spans="1:11">
      <c r="A842" t="s">
        <v>1115</v>
      </c>
      <c r="B842" t="s">
        <v>309</v>
      </c>
      <c r="E842" t="str">
        <f t="shared" si="58"/>
        <v/>
      </c>
      <c r="G842" s="5" t="str">
        <f t="shared" si="59"/>
        <v/>
      </c>
      <c r="I842" s="6" t="str">
        <f t="shared" si="60"/>
        <v>0</v>
      </c>
    </row>
    <row r="843" spans="1:11">
      <c r="A843" t="s">
        <v>1116</v>
      </c>
      <c r="B843" t="s">
        <v>1117</v>
      </c>
      <c r="E843" t="str">
        <f t="shared" si="58"/>
        <v/>
      </c>
      <c r="G843" s="5" t="str">
        <f t="shared" si="59"/>
        <v/>
      </c>
      <c r="I843" s="6" t="str">
        <f t="shared" si="60"/>
        <v>0</v>
      </c>
    </row>
    <row r="844" spans="1:11">
      <c r="A844" t="s">
        <v>1118</v>
      </c>
      <c r="B844" t="s">
        <v>309</v>
      </c>
      <c r="E844" t="str">
        <f t="shared" si="58"/>
        <v/>
      </c>
      <c r="G844" s="5" t="str">
        <f t="shared" si="59"/>
        <v/>
      </c>
      <c r="I844" s="6" t="str">
        <f t="shared" si="60"/>
        <v>0</v>
      </c>
    </row>
    <row r="845" spans="1:11">
      <c r="A845" t="s">
        <v>1119</v>
      </c>
      <c r="B845" t="s">
        <v>309</v>
      </c>
      <c r="E845" t="str">
        <f t="shared" si="58"/>
        <v/>
      </c>
      <c r="G845" s="5" t="str">
        <f t="shared" si="59"/>
        <v/>
      </c>
      <c r="I845" s="6" t="str">
        <f t="shared" si="60"/>
        <v>0</v>
      </c>
    </row>
    <row r="846" spans="1:11">
      <c r="A846" t="s">
        <v>1120</v>
      </c>
      <c r="B846" t="s">
        <v>309</v>
      </c>
      <c r="E846" t="str">
        <f t="shared" si="58"/>
        <v/>
      </c>
      <c r="G846" s="5" t="str">
        <f t="shared" si="59"/>
        <v/>
      </c>
      <c r="I846" s="6" t="str">
        <f t="shared" si="60"/>
        <v>0</v>
      </c>
    </row>
    <row r="847" spans="1:11">
      <c r="A847" t="s">
        <v>1121</v>
      </c>
      <c r="B847" t="s">
        <v>309</v>
      </c>
      <c r="E847" t="str">
        <f t="shared" ref="E847:E877" si="61">IF(D847&lt;&gt;"",C847&amp;"/"&amp;D847,"")</f>
        <v/>
      </c>
      <c r="G847" s="5" t="str">
        <f t="shared" si="59"/>
        <v/>
      </c>
      <c r="I847" s="6" t="str">
        <f t="shared" si="60"/>
        <v>0</v>
      </c>
    </row>
    <row r="848" spans="1:11">
      <c r="A848" t="s">
        <v>1122</v>
      </c>
      <c r="B848" t="s">
        <v>309</v>
      </c>
      <c r="E848" t="str">
        <f t="shared" si="61"/>
        <v/>
      </c>
      <c r="G848" s="5" t="str">
        <f t="shared" si="59"/>
        <v/>
      </c>
      <c r="I848" s="6" t="str">
        <f t="shared" si="60"/>
        <v>0</v>
      </c>
    </row>
    <row r="849" spans="1:11">
      <c r="A849" t="s">
        <v>1123</v>
      </c>
      <c r="B849" t="s">
        <v>309</v>
      </c>
      <c r="E849" t="str">
        <f t="shared" si="61"/>
        <v/>
      </c>
      <c r="G849" s="5" t="str">
        <f t="shared" si="59"/>
        <v/>
      </c>
      <c r="I849" s="6" t="str">
        <f t="shared" si="60"/>
        <v>0</v>
      </c>
    </row>
    <row r="850" spans="1:11">
      <c r="A850" t="s">
        <v>1124</v>
      </c>
      <c r="B850" t="s">
        <v>309</v>
      </c>
      <c r="E850" t="str">
        <f t="shared" si="61"/>
        <v/>
      </c>
      <c r="G850" s="5" t="str">
        <f t="shared" si="59"/>
        <v/>
      </c>
      <c r="I850" s="6" t="str">
        <f t="shared" si="60"/>
        <v>0</v>
      </c>
    </row>
    <row r="851" spans="1:11">
      <c r="A851" t="s">
        <v>1125</v>
      </c>
      <c r="B851" t="s">
        <v>309</v>
      </c>
      <c r="E851" t="str">
        <f t="shared" si="61"/>
        <v/>
      </c>
      <c r="G851" s="5" t="str">
        <f t="shared" si="59"/>
        <v/>
      </c>
      <c r="I851" s="6" t="str">
        <f t="shared" si="60"/>
        <v>0</v>
      </c>
    </row>
    <row r="852" spans="1:11">
      <c r="A852" t="s">
        <v>1126</v>
      </c>
      <c r="B852" t="s">
        <v>309</v>
      </c>
      <c r="E852" t="str">
        <f t="shared" si="61"/>
        <v/>
      </c>
      <c r="G852" s="5" t="str">
        <f t="shared" si="59"/>
        <v/>
      </c>
      <c r="I852" s="6" t="str">
        <f t="shared" si="60"/>
        <v>0</v>
      </c>
    </row>
    <row r="853" spans="1:11">
      <c r="A853" t="s">
        <v>1127</v>
      </c>
      <c r="B853" t="s">
        <v>309</v>
      </c>
      <c r="E853" t="str">
        <f t="shared" si="61"/>
        <v/>
      </c>
      <c r="G853" s="5" t="str">
        <f t="shared" si="59"/>
        <v/>
      </c>
      <c r="I853" s="6" t="str">
        <f t="shared" si="60"/>
        <v>0</v>
      </c>
    </row>
    <row r="854" spans="1:11">
      <c r="A854" t="s">
        <v>1128</v>
      </c>
      <c r="B854" t="s">
        <v>309</v>
      </c>
      <c r="E854" t="str">
        <f t="shared" si="61"/>
        <v/>
      </c>
      <c r="G854" s="5" t="str">
        <f t="shared" si="59"/>
        <v/>
      </c>
      <c r="I854" s="6" t="str">
        <f t="shared" si="60"/>
        <v>0</v>
      </c>
    </row>
    <row r="855" spans="1:11">
      <c r="A855" t="s">
        <v>1129</v>
      </c>
      <c r="B855" t="s">
        <v>309</v>
      </c>
      <c r="E855" t="str">
        <f t="shared" si="61"/>
        <v/>
      </c>
      <c r="G855" s="5" t="str">
        <f t="shared" si="59"/>
        <v/>
      </c>
      <c r="I855" s="6" t="str">
        <f t="shared" si="60"/>
        <v>0</v>
      </c>
    </row>
    <row r="856" spans="1:11">
      <c r="A856" t="s">
        <v>1130</v>
      </c>
      <c r="B856" t="s">
        <v>309</v>
      </c>
      <c r="E856" t="str">
        <f t="shared" si="61"/>
        <v/>
      </c>
      <c r="G856" s="5" t="str">
        <f t="shared" si="59"/>
        <v/>
      </c>
      <c r="I856" s="6" t="str">
        <f t="shared" si="60"/>
        <v>0</v>
      </c>
    </row>
    <row r="857" spans="1:11">
      <c r="A857" t="s">
        <v>1131</v>
      </c>
      <c r="B857" t="s">
        <v>309</v>
      </c>
      <c r="E857" t="str">
        <f t="shared" si="61"/>
        <v/>
      </c>
      <c r="G857" s="5" t="str">
        <f t="shared" si="59"/>
        <v/>
      </c>
      <c r="I857" s="6" t="str">
        <f t="shared" si="60"/>
        <v>0</v>
      </c>
    </row>
    <row r="858" spans="1:11">
      <c r="A858" t="s">
        <v>1132</v>
      </c>
      <c r="B858" t="s">
        <v>309</v>
      </c>
      <c r="E858" t="str">
        <f t="shared" si="61"/>
        <v/>
      </c>
      <c r="G858" s="5" t="str">
        <f t="shared" si="59"/>
        <v/>
      </c>
      <c r="I858" s="6" t="str">
        <f t="shared" si="60"/>
        <v>0</v>
      </c>
    </row>
    <row r="859" spans="1:11">
      <c r="A859" t="s">
        <v>1133</v>
      </c>
      <c r="B859" t="s">
        <v>309</v>
      </c>
      <c r="E859" t="str">
        <f t="shared" si="61"/>
        <v/>
      </c>
      <c r="G859" s="5" t="str">
        <f t="shared" si="59"/>
        <v/>
      </c>
      <c r="I859" s="6" t="str">
        <f t="shared" si="60"/>
        <v>0</v>
      </c>
    </row>
    <row r="860" spans="1:11">
      <c r="A860" t="s">
        <v>1134</v>
      </c>
      <c r="B860" t="s">
        <v>5599</v>
      </c>
      <c r="G860" s="5" t="str">
        <f t="shared" si="59"/>
        <v/>
      </c>
      <c r="I860" s="6" t="str">
        <f t="shared" si="60"/>
        <v>0</v>
      </c>
      <c r="K860" s="19" t="s">
        <v>5600</v>
      </c>
    </row>
    <row r="861" spans="1:11">
      <c r="A861" t="s">
        <v>1135</v>
      </c>
      <c r="B861" t="s">
        <v>309</v>
      </c>
      <c r="E861" t="str">
        <f t="shared" si="61"/>
        <v/>
      </c>
      <c r="G861" s="5" t="str">
        <f t="shared" si="59"/>
        <v/>
      </c>
      <c r="I861" s="6" t="str">
        <f t="shared" si="60"/>
        <v>0</v>
      </c>
    </row>
    <row r="862" spans="1:11">
      <c r="A862" t="s">
        <v>1136</v>
      </c>
      <c r="B862" t="s">
        <v>309</v>
      </c>
      <c r="E862" t="str">
        <f t="shared" si="61"/>
        <v/>
      </c>
      <c r="G862" s="5" t="str">
        <f t="shared" si="59"/>
        <v/>
      </c>
      <c r="I862" s="6" t="str">
        <f t="shared" si="60"/>
        <v>0</v>
      </c>
    </row>
    <row r="863" spans="1:11">
      <c r="A863" t="s">
        <v>1137</v>
      </c>
      <c r="B863" t="s">
        <v>309</v>
      </c>
      <c r="E863" t="str">
        <f t="shared" si="61"/>
        <v/>
      </c>
      <c r="G863" s="5" t="str">
        <f t="shared" si="59"/>
        <v/>
      </c>
      <c r="I863" s="6" t="str">
        <f t="shared" si="60"/>
        <v>0</v>
      </c>
    </row>
    <row r="864" spans="1:11">
      <c r="A864" t="s">
        <v>1138</v>
      </c>
      <c r="B864" t="s">
        <v>309</v>
      </c>
      <c r="E864" t="str">
        <f t="shared" si="61"/>
        <v/>
      </c>
      <c r="G864" s="5" t="str">
        <f t="shared" si="59"/>
        <v/>
      </c>
      <c r="I864" s="6" t="str">
        <f t="shared" si="60"/>
        <v>0</v>
      </c>
    </row>
    <row r="865" spans="1:11">
      <c r="A865" t="s">
        <v>1139</v>
      </c>
      <c r="B865" t="s">
        <v>5705</v>
      </c>
      <c r="G865" s="5" t="str">
        <f t="shared" si="59"/>
        <v/>
      </c>
      <c r="I865" s="6" t="str">
        <f t="shared" si="60"/>
        <v>0</v>
      </c>
      <c r="K865" s="19" t="s">
        <v>5706</v>
      </c>
    </row>
    <row r="866" spans="1:11">
      <c r="A866" t="s">
        <v>1140</v>
      </c>
      <c r="B866" t="s">
        <v>5707</v>
      </c>
      <c r="G866" s="5" t="str">
        <f t="shared" si="59"/>
        <v/>
      </c>
      <c r="I866" s="6" t="str">
        <f t="shared" si="60"/>
        <v>0</v>
      </c>
      <c r="K866" s="19" t="s">
        <v>5708</v>
      </c>
    </row>
    <row r="867" spans="1:11">
      <c r="A867" t="s">
        <v>1141</v>
      </c>
      <c r="B867" t="s">
        <v>309</v>
      </c>
      <c r="E867" t="str">
        <f t="shared" si="61"/>
        <v/>
      </c>
      <c r="G867" s="5" t="str">
        <f t="shared" si="59"/>
        <v/>
      </c>
      <c r="I867" s="6" t="str">
        <f t="shared" si="60"/>
        <v>0</v>
      </c>
    </row>
    <row r="868" spans="1:11">
      <c r="A868" t="s">
        <v>1142</v>
      </c>
      <c r="B868" t="s">
        <v>309</v>
      </c>
      <c r="E868" t="str">
        <f t="shared" si="61"/>
        <v/>
      </c>
      <c r="G868" s="5" t="str">
        <f t="shared" si="59"/>
        <v/>
      </c>
      <c r="I868" s="6" t="str">
        <f t="shared" si="60"/>
        <v>0</v>
      </c>
    </row>
    <row r="869" spans="1:11">
      <c r="A869" t="s">
        <v>1143</v>
      </c>
      <c r="B869" t="s">
        <v>309</v>
      </c>
      <c r="E869" t="str">
        <f t="shared" si="61"/>
        <v/>
      </c>
      <c r="G869" s="5" t="str">
        <f t="shared" si="59"/>
        <v/>
      </c>
      <c r="I869" s="6" t="str">
        <f t="shared" si="60"/>
        <v>0</v>
      </c>
    </row>
    <row r="870" spans="1:11">
      <c r="A870" t="s">
        <v>1144</v>
      </c>
      <c r="B870" t="s">
        <v>5937</v>
      </c>
      <c r="G870" s="5" t="str">
        <f t="shared" si="59"/>
        <v/>
      </c>
      <c r="I870" s="6" t="str">
        <f t="shared" si="60"/>
        <v>0</v>
      </c>
      <c r="K870" s="19" t="s">
        <v>5938</v>
      </c>
    </row>
    <row r="871" spans="1:11">
      <c r="A871" t="s">
        <v>1145</v>
      </c>
      <c r="B871" t="s">
        <v>1145</v>
      </c>
      <c r="E871" t="str">
        <f t="shared" si="61"/>
        <v/>
      </c>
      <c r="G871" s="5" t="str">
        <f t="shared" si="59"/>
        <v/>
      </c>
      <c r="I871" s="6" t="str">
        <f t="shared" si="60"/>
        <v>0</v>
      </c>
    </row>
    <row r="872" spans="1:11">
      <c r="A872" t="s">
        <v>1146</v>
      </c>
      <c r="B872" t="s">
        <v>1146</v>
      </c>
      <c r="E872" t="str">
        <f t="shared" si="61"/>
        <v/>
      </c>
      <c r="G872" s="5" t="str">
        <f t="shared" si="59"/>
        <v/>
      </c>
      <c r="I872" s="6" t="str">
        <f t="shared" si="60"/>
        <v>0</v>
      </c>
    </row>
    <row r="873" spans="1:11">
      <c r="A873" t="s">
        <v>1147</v>
      </c>
      <c r="B873" t="s">
        <v>1147</v>
      </c>
      <c r="E873" t="str">
        <f t="shared" si="61"/>
        <v/>
      </c>
      <c r="G873" s="5" t="str">
        <f t="shared" si="59"/>
        <v/>
      </c>
      <c r="I873" s="6" t="str">
        <f t="shared" si="60"/>
        <v>0</v>
      </c>
    </row>
    <row r="874" spans="1:11">
      <c r="A874" t="s">
        <v>1148</v>
      </c>
      <c r="B874" t="s">
        <v>1148</v>
      </c>
      <c r="E874" t="str">
        <f t="shared" si="61"/>
        <v/>
      </c>
      <c r="G874" s="5" t="str">
        <f t="shared" si="59"/>
        <v/>
      </c>
      <c r="I874" s="6" t="str">
        <f t="shared" si="60"/>
        <v>0</v>
      </c>
    </row>
    <row r="875" spans="1:11">
      <c r="A875" t="s">
        <v>1149</v>
      </c>
      <c r="B875" t="s">
        <v>309</v>
      </c>
      <c r="E875" t="str">
        <f t="shared" si="61"/>
        <v/>
      </c>
      <c r="G875" s="5" t="str">
        <f t="shared" si="59"/>
        <v/>
      </c>
      <c r="I875" s="6" t="str">
        <f t="shared" si="60"/>
        <v>0</v>
      </c>
    </row>
    <row r="876" spans="1:11">
      <c r="A876" t="s">
        <v>1150</v>
      </c>
      <c r="B876" t="s">
        <v>309</v>
      </c>
      <c r="E876" t="str">
        <f t="shared" si="61"/>
        <v/>
      </c>
      <c r="G876" s="5" t="str">
        <f t="shared" si="59"/>
        <v/>
      </c>
      <c r="I876" s="6" t="str">
        <f t="shared" si="60"/>
        <v>0</v>
      </c>
    </row>
    <row r="877" spans="1:11">
      <c r="A877" t="s">
        <v>1151</v>
      </c>
      <c r="B877" t="s">
        <v>309</v>
      </c>
      <c r="E877" t="str">
        <f t="shared" si="61"/>
        <v/>
      </c>
      <c r="G877" s="5" t="str">
        <f t="shared" si="59"/>
        <v/>
      </c>
      <c r="I877" s="6" t="str">
        <f t="shared" si="60"/>
        <v>0</v>
      </c>
    </row>
    <row r="878" spans="1:11">
      <c r="A878" t="s">
        <v>1152</v>
      </c>
      <c r="B878" t="s">
        <v>5939</v>
      </c>
      <c r="G878" s="5" t="str">
        <f t="shared" si="59"/>
        <v/>
      </c>
      <c r="I878" s="6" t="str">
        <f t="shared" si="60"/>
        <v>0</v>
      </c>
      <c r="K878" s="19" t="s">
        <v>5940</v>
      </c>
    </row>
    <row r="879" spans="1:11">
      <c r="A879" t="s">
        <v>1153</v>
      </c>
      <c r="B879" t="s">
        <v>5941</v>
      </c>
      <c r="G879" s="5" t="str">
        <f t="shared" si="59"/>
        <v/>
      </c>
      <c r="I879" s="6" t="str">
        <f t="shared" si="60"/>
        <v>0</v>
      </c>
      <c r="K879" s="19" t="s">
        <v>5942</v>
      </c>
    </row>
    <row r="880" spans="1:11">
      <c r="A880" t="s">
        <v>1154</v>
      </c>
      <c r="B880" t="s">
        <v>5709</v>
      </c>
      <c r="G880" s="5" t="str">
        <f t="shared" si="59"/>
        <v/>
      </c>
      <c r="I880" s="6" t="str">
        <f t="shared" si="60"/>
        <v>0</v>
      </c>
      <c r="K880" s="19" t="s">
        <v>5710</v>
      </c>
    </row>
    <row r="881" spans="1:11">
      <c r="A881" t="s">
        <v>1155</v>
      </c>
      <c r="B881" t="s">
        <v>309</v>
      </c>
      <c r="E881" t="str">
        <f t="shared" ref="E881:E887" si="62">IF(D881&lt;&gt;"",C881&amp;"/"&amp;D881,"")</f>
        <v/>
      </c>
      <c r="G881" s="5" t="str">
        <f t="shared" si="59"/>
        <v/>
      </c>
      <c r="I881" s="6" t="str">
        <f t="shared" si="60"/>
        <v>0</v>
      </c>
    </row>
    <row r="882" spans="1:11">
      <c r="A882" t="s">
        <v>1156</v>
      </c>
      <c r="B882" t="s">
        <v>309</v>
      </c>
      <c r="E882" t="str">
        <f t="shared" si="62"/>
        <v/>
      </c>
      <c r="G882" s="5" t="str">
        <f t="shared" si="59"/>
        <v/>
      </c>
      <c r="I882" s="6" t="str">
        <f t="shared" si="60"/>
        <v>0</v>
      </c>
    </row>
    <row r="883" spans="1:11">
      <c r="A883" t="s">
        <v>1157</v>
      </c>
      <c r="B883" t="s">
        <v>309</v>
      </c>
      <c r="E883" t="str">
        <f t="shared" si="62"/>
        <v/>
      </c>
      <c r="G883" s="5" t="str">
        <f t="shared" si="59"/>
        <v/>
      </c>
      <c r="I883" s="6" t="str">
        <f t="shared" si="60"/>
        <v>0</v>
      </c>
    </row>
    <row r="884" spans="1:11">
      <c r="A884" t="s">
        <v>1158</v>
      </c>
      <c r="B884" t="s">
        <v>309</v>
      </c>
      <c r="E884" t="str">
        <f t="shared" si="62"/>
        <v/>
      </c>
      <c r="G884" s="5" t="str">
        <f t="shared" si="59"/>
        <v/>
      </c>
      <c r="I884" s="6" t="str">
        <f t="shared" si="60"/>
        <v>0</v>
      </c>
    </row>
    <row r="885" spans="1:11">
      <c r="A885" t="s">
        <v>1159</v>
      </c>
      <c r="B885" t="s">
        <v>309</v>
      </c>
      <c r="E885" t="str">
        <f t="shared" si="62"/>
        <v/>
      </c>
      <c r="G885" s="5" t="str">
        <f t="shared" si="59"/>
        <v/>
      </c>
      <c r="I885" s="6" t="str">
        <f t="shared" si="60"/>
        <v>0</v>
      </c>
    </row>
    <row r="886" spans="1:11">
      <c r="A886" t="s">
        <v>1160</v>
      </c>
      <c r="B886" t="s">
        <v>309</v>
      </c>
      <c r="E886" t="str">
        <f t="shared" si="62"/>
        <v/>
      </c>
      <c r="G886" s="5" t="str">
        <f t="shared" si="59"/>
        <v/>
      </c>
      <c r="I886" s="6" t="str">
        <f t="shared" si="60"/>
        <v>0</v>
      </c>
    </row>
    <row r="887" spans="1:11">
      <c r="A887" t="s">
        <v>1161</v>
      </c>
      <c r="B887" t="s">
        <v>309</v>
      </c>
      <c r="E887" t="str">
        <f t="shared" si="62"/>
        <v/>
      </c>
      <c r="G887" s="5" t="str">
        <f t="shared" si="59"/>
        <v/>
      </c>
      <c r="I887" s="6" t="str">
        <f t="shared" si="60"/>
        <v>0</v>
      </c>
    </row>
    <row r="888" spans="1:11">
      <c r="A888" t="s">
        <v>1162</v>
      </c>
      <c r="B888" t="s">
        <v>3910</v>
      </c>
      <c r="G888" s="5" t="str">
        <f t="shared" si="59"/>
        <v/>
      </c>
      <c r="I888" s="6" t="str">
        <f t="shared" si="60"/>
        <v>0</v>
      </c>
      <c r="K888" s="24" t="s">
        <v>3911</v>
      </c>
    </row>
    <row r="889" spans="1:11">
      <c r="A889" t="s">
        <v>1163</v>
      </c>
      <c r="B889" t="s">
        <v>309</v>
      </c>
      <c r="E889" t="str">
        <f>IF(D889&lt;&gt;"",C889&amp;"/"&amp;D889,"")</f>
        <v/>
      </c>
      <c r="G889" s="5" t="str">
        <f t="shared" si="59"/>
        <v/>
      </c>
      <c r="I889" s="6" t="str">
        <f t="shared" si="60"/>
        <v>0</v>
      </c>
    </row>
    <row r="890" spans="1:11">
      <c r="A890" t="s">
        <v>1164</v>
      </c>
      <c r="B890" t="s">
        <v>5943</v>
      </c>
      <c r="G890" s="5" t="str">
        <f t="shared" si="59"/>
        <v/>
      </c>
      <c r="I890" s="6" t="str">
        <f t="shared" si="60"/>
        <v>0</v>
      </c>
      <c r="K890" s="19" t="s">
        <v>5944</v>
      </c>
    </row>
    <row r="891" spans="1:11">
      <c r="A891" t="s">
        <v>1165</v>
      </c>
      <c r="B891" t="s">
        <v>4991</v>
      </c>
      <c r="C891" s="5" t="s">
        <v>7</v>
      </c>
      <c r="F891" s="5" t="s">
        <v>4992</v>
      </c>
      <c r="G891" s="5">
        <f t="shared" si="59"/>
        <v>18572</v>
      </c>
      <c r="I891" s="6" t="str">
        <f t="shared" si="60"/>
        <v>0</v>
      </c>
      <c r="K891" s="19" t="s">
        <v>4993</v>
      </c>
    </row>
    <row r="892" spans="1:11">
      <c r="A892" t="s">
        <v>1166</v>
      </c>
      <c r="B892" t="s">
        <v>309</v>
      </c>
      <c r="E892" t="str">
        <f t="shared" ref="E892:E905" si="63">IF(D892&lt;&gt;"",C892&amp;"/"&amp;D892,"")</f>
        <v/>
      </c>
      <c r="G892" s="5" t="str">
        <f t="shared" si="59"/>
        <v/>
      </c>
      <c r="I892" s="6" t="str">
        <f t="shared" si="60"/>
        <v>0</v>
      </c>
    </row>
    <row r="893" spans="1:11">
      <c r="A893" t="s">
        <v>1167</v>
      </c>
      <c r="B893" t="s">
        <v>309</v>
      </c>
      <c r="E893" t="str">
        <f t="shared" si="63"/>
        <v/>
      </c>
      <c r="G893" s="5" t="str">
        <f t="shared" si="59"/>
        <v/>
      </c>
      <c r="I893" s="6" t="str">
        <f t="shared" si="60"/>
        <v>0</v>
      </c>
    </row>
    <row r="894" spans="1:11">
      <c r="A894" t="s">
        <v>1168</v>
      </c>
      <c r="B894" t="s">
        <v>309</v>
      </c>
      <c r="E894" t="str">
        <f t="shared" si="63"/>
        <v/>
      </c>
      <c r="G894" s="5" t="str">
        <f t="shared" si="59"/>
        <v/>
      </c>
      <c r="I894" s="6" t="str">
        <f t="shared" si="60"/>
        <v>0</v>
      </c>
    </row>
    <row r="895" spans="1:11">
      <c r="A895" t="s">
        <v>1169</v>
      </c>
      <c r="B895" t="s">
        <v>309</v>
      </c>
      <c r="E895" t="str">
        <f t="shared" si="63"/>
        <v/>
      </c>
      <c r="G895" s="5" t="str">
        <f t="shared" si="59"/>
        <v/>
      </c>
      <c r="I895" s="6" t="str">
        <f t="shared" si="60"/>
        <v>0</v>
      </c>
    </row>
    <row r="896" spans="1:11">
      <c r="A896" t="s">
        <v>1170</v>
      </c>
      <c r="B896" t="s">
        <v>309</v>
      </c>
      <c r="E896" t="str">
        <f t="shared" si="63"/>
        <v/>
      </c>
      <c r="G896" s="5" t="str">
        <f t="shared" si="59"/>
        <v/>
      </c>
      <c r="I896" s="6" t="str">
        <f t="shared" si="60"/>
        <v>0</v>
      </c>
    </row>
    <row r="897" spans="1:11">
      <c r="A897" t="s">
        <v>1171</v>
      </c>
      <c r="B897" t="s">
        <v>309</v>
      </c>
      <c r="E897" t="str">
        <f t="shared" si="63"/>
        <v/>
      </c>
      <c r="G897" s="5" t="str">
        <f t="shared" si="59"/>
        <v/>
      </c>
      <c r="I897" s="6" t="str">
        <f t="shared" si="60"/>
        <v>0</v>
      </c>
    </row>
    <row r="898" spans="1:11">
      <c r="A898" t="s">
        <v>1172</v>
      </c>
      <c r="B898" t="s">
        <v>309</v>
      </c>
      <c r="E898" t="str">
        <f t="shared" si="63"/>
        <v/>
      </c>
      <c r="G898" s="5" t="str">
        <f t="shared" ref="G898:G961" si="64">IF(F898&lt;&gt;"",HEX2DEC(SUBSTITUTE(SUBSTITUTE(F898,"adrEA",""),"$","")),"")</f>
        <v/>
      </c>
      <c r="I898" s="6" t="str">
        <f t="shared" ref="I898:I961" si="65">IFERROR(DEC2HEX(H898),"")</f>
        <v>0</v>
      </c>
    </row>
    <row r="899" spans="1:11">
      <c r="A899" t="s">
        <v>1174</v>
      </c>
      <c r="B899" t="s">
        <v>309</v>
      </c>
      <c r="E899" t="str">
        <f t="shared" si="63"/>
        <v/>
      </c>
      <c r="G899" s="5" t="str">
        <f t="shared" si="64"/>
        <v/>
      </c>
      <c r="I899" s="6" t="str">
        <f t="shared" si="65"/>
        <v>0</v>
      </c>
    </row>
    <row r="900" spans="1:11">
      <c r="A900" t="s">
        <v>1175</v>
      </c>
      <c r="B900" t="s">
        <v>5861</v>
      </c>
      <c r="G900" s="5" t="str">
        <f t="shared" si="64"/>
        <v/>
      </c>
      <c r="I900" s="6" t="str">
        <f t="shared" si="65"/>
        <v>0</v>
      </c>
      <c r="K900" s="19" t="s">
        <v>5862</v>
      </c>
    </row>
    <row r="901" spans="1:11">
      <c r="A901" t="s">
        <v>1176</v>
      </c>
      <c r="B901" t="s">
        <v>309</v>
      </c>
      <c r="E901" t="str">
        <f t="shared" si="63"/>
        <v/>
      </c>
      <c r="G901" s="5" t="str">
        <f t="shared" si="64"/>
        <v/>
      </c>
      <c r="I901" s="6" t="str">
        <f t="shared" si="65"/>
        <v>0</v>
      </c>
    </row>
    <row r="902" spans="1:11">
      <c r="A902" t="s">
        <v>1178</v>
      </c>
      <c r="B902" t="s">
        <v>309</v>
      </c>
      <c r="E902" t="str">
        <f t="shared" si="63"/>
        <v/>
      </c>
      <c r="G902" s="5" t="str">
        <f t="shared" si="64"/>
        <v/>
      </c>
      <c r="I902" s="6" t="str">
        <f t="shared" si="65"/>
        <v>0</v>
      </c>
    </row>
    <row r="903" spans="1:11">
      <c r="A903" t="s">
        <v>1179</v>
      </c>
      <c r="B903" t="s">
        <v>5945</v>
      </c>
      <c r="G903" s="5" t="str">
        <f t="shared" si="64"/>
        <v/>
      </c>
      <c r="I903" s="6" t="str">
        <f t="shared" si="65"/>
        <v>0</v>
      </c>
      <c r="K903" s="19" t="s">
        <v>5946</v>
      </c>
    </row>
    <row r="904" spans="1:11">
      <c r="A904" t="s">
        <v>1180</v>
      </c>
      <c r="B904" t="s">
        <v>309</v>
      </c>
      <c r="E904" t="str">
        <f t="shared" si="63"/>
        <v/>
      </c>
      <c r="G904" s="5" t="str">
        <f t="shared" si="64"/>
        <v/>
      </c>
      <c r="I904" s="6" t="str">
        <f t="shared" si="65"/>
        <v>0</v>
      </c>
    </row>
    <row r="905" spans="1:11">
      <c r="A905" t="s">
        <v>1181</v>
      </c>
      <c r="B905" t="s">
        <v>309</v>
      </c>
      <c r="E905" t="str">
        <f t="shared" si="63"/>
        <v/>
      </c>
      <c r="G905" s="5" t="str">
        <f t="shared" si="64"/>
        <v/>
      </c>
      <c r="I905" s="6" t="str">
        <f t="shared" si="65"/>
        <v>0</v>
      </c>
    </row>
    <row r="906" spans="1:11">
      <c r="A906" t="s">
        <v>1182</v>
      </c>
      <c r="B906" t="s">
        <v>4962</v>
      </c>
      <c r="C906" s="5" t="s">
        <v>7</v>
      </c>
      <c r="F906" s="5" t="s">
        <v>4963</v>
      </c>
      <c r="G906" s="5">
        <f t="shared" si="64"/>
        <v>18982</v>
      </c>
      <c r="I906" s="6" t="str">
        <f t="shared" si="65"/>
        <v>0</v>
      </c>
      <c r="K906" s="19" t="s">
        <v>4964</v>
      </c>
    </row>
    <row r="907" spans="1:11">
      <c r="A907" t="s">
        <v>1184</v>
      </c>
      <c r="B907" t="s">
        <v>309</v>
      </c>
      <c r="E907" t="str">
        <f t="shared" ref="E907:E919" si="66">IF(D907&lt;&gt;"",C907&amp;"/"&amp;D907,"")</f>
        <v/>
      </c>
      <c r="G907" s="5" t="str">
        <f t="shared" si="64"/>
        <v/>
      </c>
      <c r="I907" s="6" t="str">
        <f t="shared" si="65"/>
        <v>0</v>
      </c>
    </row>
    <row r="908" spans="1:11">
      <c r="A908" t="s">
        <v>1185</v>
      </c>
      <c r="B908" t="s">
        <v>309</v>
      </c>
      <c r="E908" t="str">
        <f t="shared" si="66"/>
        <v/>
      </c>
      <c r="G908" s="5" t="str">
        <f t="shared" si="64"/>
        <v/>
      </c>
      <c r="I908" s="6" t="str">
        <f t="shared" si="65"/>
        <v>0</v>
      </c>
    </row>
    <row r="909" spans="1:11">
      <c r="A909" t="s">
        <v>1187</v>
      </c>
      <c r="B909" t="s">
        <v>309</v>
      </c>
      <c r="E909" t="str">
        <f t="shared" si="66"/>
        <v/>
      </c>
      <c r="G909" s="5" t="str">
        <f t="shared" si="64"/>
        <v/>
      </c>
      <c r="I909" s="6" t="str">
        <f t="shared" si="65"/>
        <v>0</v>
      </c>
    </row>
    <row r="910" spans="1:11">
      <c r="A910" t="s">
        <v>1188</v>
      </c>
      <c r="B910" t="s">
        <v>309</v>
      </c>
      <c r="E910" t="str">
        <f t="shared" si="66"/>
        <v/>
      </c>
      <c r="G910" s="5" t="str">
        <f t="shared" si="64"/>
        <v/>
      </c>
      <c r="I910" s="6" t="str">
        <f t="shared" si="65"/>
        <v>0</v>
      </c>
    </row>
    <row r="911" spans="1:11">
      <c r="A911" t="s">
        <v>1190</v>
      </c>
      <c r="B911" t="s">
        <v>309</v>
      </c>
      <c r="E911" t="str">
        <f t="shared" si="66"/>
        <v/>
      </c>
      <c r="G911" s="5" t="str">
        <f t="shared" si="64"/>
        <v/>
      </c>
      <c r="I911" s="6" t="str">
        <f t="shared" si="65"/>
        <v>0</v>
      </c>
    </row>
    <row r="912" spans="1:11">
      <c r="A912" t="s">
        <v>1191</v>
      </c>
      <c r="B912" t="s">
        <v>309</v>
      </c>
      <c r="E912" t="str">
        <f t="shared" si="66"/>
        <v/>
      </c>
      <c r="G912" s="5" t="str">
        <f t="shared" si="64"/>
        <v/>
      </c>
      <c r="I912" s="6" t="str">
        <f t="shared" si="65"/>
        <v>0</v>
      </c>
    </row>
    <row r="913" spans="1:11">
      <c r="A913" t="s">
        <v>1192</v>
      </c>
      <c r="B913" t="s">
        <v>309</v>
      </c>
      <c r="E913" t="str">
        <f t="shared" si="66"/>
        <v/>
      </c>
      <c r="G913" s="5" t="str">
        <f t="shared" si="64"/>
        <v/>
      </c>
      <c r="I913" s="6" t="str">
        <f t="shared" si="65"/>
        <v>0</v>
      </c>
    </row>
    <row r="914" spans="1:11">
      <c r="A914" t="s">
        <v>1193</v>
      </c>
      <c r="B914" t="s">
        <v>309</v>
      </c>
      <c r="E914" t="str">
        <f t="shared" si="66"/>
        <v/>
      </c>
      <c r="G914" s="5" t="str">
        <f t="shared" si="64"/>
        <v/>
      </c>
      <c r="I914" s="6" t="str">
        <f t="shared" si="65"/>
        <v>0</v>
      </c>
    </row>
    <row r="915" spans="1:11">
      <c r="A915" t="s">
        <v>1194</v>
      </c>
      <c r="B915" t="s">
        <v>309</v>
      </c>
      <c r="E915" t="str">
        <f t="shared" si="66"/>
        <v/>
      </c>
      <c r="G915" s="5" t="str">
        <f t="shared" si="64"/>
        <v/>
      </c>
      <c r="I915" s="6" t="str">
        <f t="shared" si="65"/>
        <v>0</v>
      </c>
    </row>
    <row r="916" spans="1:11">
      <c r="A916" t="s">
        <v>1195</v>
      </c>
      <c r="B916" t="s">
        <v>309</v>
      </c>
      <c r="E916" t="str">
        <f t="shared" si="66"/>
        <v/>
      </c>
      <c r="G916" s="5" t="str">
        <f t="shared" si="64"/>
        <v/>
      </c>
      <c r="I916" s="6" t="str">
        <f t="shared" si="65"/>
        <v>0</v>
      </c>
    </row>
    <row r="917" spans="1:11">
      <c r="A917" t="s">
        <v>1196</v>
      </c>
      <c r="B917" t="s">
        <v>1197</v>
      </c>
      <c r="E917" t="str">
        <f t="shared" si="66"/>
        <v/>
      </c>
      <c r="G917" s="5" t="str">
        <f t="shared" si="64"/>
        <v/>
      </c>
      <c r="I917" s="6" t="str">
        <f t="shared" si="65"/>
        <v>0</v>
      </c>
    </row>
    <row r="918" spans="1:11">
      <c r="A918" t="s">
        <v>1198</v>
      </c>
      <c r="B918" t="s">
        <v>309</v>
      </c>
      <c r="E918" t="str">
        <f t="shared" si="66"/>
        <v/>
      </c>
      <c r="G918" s="5" t="str">
        <f t="shared" si="64"/>
        <v/>
      </c>
      <c r="I918" s="6" t="str">
        <f t="shared" si="65"/>
        <v>0</v>
      </c>
    </row>
    <row r="919" spans="1:11">
      <c r="A919" t="s">
        <v>1199</v>
      </c>
      <c r="B919" t="s">
        <v>309</v>
      </c>
      <c r="E919" t="str">
        <f t="shared" si="66"/>
        <v/>
      </c>
      <c r="G919" s="5" t="str">
        <f t="shared" si="64"/>
        <v/>
      </c>
      <c r="I919" s="6" t="str">
        <f t="shared" si="65"/>
        <v>0</v>
      </c>
    </row>
    <row r="920" spans="1:11">
      <c r="A920" t="s">
        <v>1201</v>
      </c>
      <c r="B920" t="s">
        <v>4743</v>
      </c>
      <c r="C920" s="5" t="s">
        <v>7</v>
      </c>
      <c r="F920" s="5" t="s">
        <v>4744</v>
      </c>
      <c r="G920" s="5">
        <f t="shared" si="64"/>
        <v>20128</v>
      </c>
      <c r="I920" s="6" t="str">
        <f t="shared" si="65"/>
        <v>0</v>
      </c>
      <c r="K920" s="19" t="s">
        <v>4745</v>
      </c>
    </row>
    <row r="921" spans="1:11">
      <c r="A921" t="s">
        <v>1202</v>
      </c>
      <c r="B921" t="s">
        <v>4746</v>
      </c>
      <c r="C921" s="5" t="s">
        <v>7</v>
      </c>
      <c r="F921" s="5" t="s">
        <v>4747</v>
      </c>
      <c r="G921" s="5">
        <f t="shared" si="64"/>
        <v>20158</v>
      </c>
      <c r="I921" s="6" t="str">
        <f t="shared" si="65"/>
        <v>0</v>
      </c>
      <c r="K921" s="19" t="s">
        <v>4748</v>
      </c>
    </row>
    <row r="922" spans="1:11">
      <c r="A922" t="s">
        <v>1203</v>
      </c>
      <c r="B922" t="s">
        <v>4749</v>
      </c>
      <c r="C922" s="5" t="s">
        <v>7</v>
      </c>
      <c r="F922" s="5" t="s">
        <v>4750</v>
      </c>
      <c r="G922" s="5">
        <f t="shared" si="64"/>
        <v>20168</v>
      </c>
      <c r="I922" s="6" t="str">
        <f t="shared" si="65"/>
        <v>0</v>
      </c>
      <c r="K922" s="19" t="s">
        <v>4751</v>
      </c>
    </row>
    <row r="923" spans="1:11">
      <c r="A923" t="s">
        <v>1204</v>
      </c>
      <c r="B923" t="s">
        <v>4752</v>
      </c>
      <c r="C923" s="5" t="s">
        <v>7</v>
      </c>
      <c r="F923" s="5" t="s">
        <v>4753</v>
      </c>
      <c r="G923" s="5">
        <f t="shared" si="64"/>
        <v>20218</v>
      </c>
      <c r="I923" s="6" t="str">
        <f t="shared" si="65"/>
        <v>0</v>
      </c>
      <c r="K923" s="19" t="s">
        <v>4754</v>
      </c>
    </row>
    <row r="924" spans="1:11">
      <c r="A924" t="s">
        <v>1205</v>
      </c>
      <c r="B924" t="s">
        <v>4755</v>
      </c>
      <c r="C924" s="5" t="s">
        <v>7</v>
      </c>
      <c r="F924" s="5" t="s">
        <v>4756</v>
      </c>
      <c r="G924" s="5">
        <f t="shared" si="64"/>
        <v>20256</v>
      </c>
      <c r="I924" s="6" t="str">
        <f t="shared" si="65"/>
        <v>0</v>
      </c>
      <c r="K924" s="19" t="s">
        <v>4757</v>
      </c>
    </row>
    <row r="925" spans="1:11">
      <c r="A925" t="s">
        <v>1206</v>
      </c>
      <c r="B925" t="s">
        <v>4758</v>
      </c>
      <c r="C925" s="5" t="s">
        <v>7</v>
      </c>
      <c r="F925" s="5" t="s">
        <v>4759</v>
      </c>
      <c r="G925" s="5">
        <f t="shared" si="64"/>
        <v>20318</v>
      </c>
      <c r="I925" s="6" t="str">
        <f t="shared" si="65"/>
        <v>0</v>
      </c>
      <c r="K925" s="19" t="s">
        <v>4760</v>
      </c>
    </row>
    <row r="926" spans="1:11">
      <c r="A926" t="s">
        <v>1207</v>
      </c>
      <c r="B926" t="s">
        <v>4761</v>
      </c>
      <c r="C926" s="5" t="s">
        <v>7</v>
      </c>
      <c r="F926" s="5" t="s">
        <v>4762</v>
      </c>
      <c r="G926" s="5">
        <f t="shared" si="64"/>
        <v>20358</v>
      </c>
      <c r="I926" s="6" t="str">
        <f t="shared" si="65"/>
        <v>0</v>
      </c>
      <c r="K926" s="19" t="s">
        <v>4763</v>
      </c>
    </row>
    <row r="927" spans="1:11">
      <c r="A927" t="s">
        <v>1208</v>
      </c>
      <c r="B927" t="s">
        <v>4764</v>
      </c>
      <c r="C927" s="5" t="s">
        <v>7</v>
      </c>
      <c r="F927" s="5" t="s">
        <v>4765</v>
      </c>
      <c r="G927" s="5">
        <f t="shared" si="64"/>
        <v>20366</v>
      </c>
      <c r="I927" s="6" t="str">
        <f t="shared" si="65"/>
        <v>0</v>
      </c>
      <c r="K927" s="19" t="s">
        <v>4766</v>
      </c>
    </row>
    <row r="928" spans="1:11">
      <c r="A928" t="s">
        <v>1209</v>
      </c>
      <c r="B928" t="s">
        <v>4767</v>
      </c>
      <c r="C928" s="5" t="s">
        <v>7</v>
      </c>
      <c r="F928" s="5" t="s">
        <v>4768</v>
      </c>
      <c r="G928" s="5">
        <f t="shared" si="64"/>
        <v>20392</v>
      </c>
      <c r="I928" s="6" t="str">
        <f t="shared" si="65"/>
        <v>0</v>
      </c>
      <c r="K928" s="19" t="s">
        <v>4769</v>
      </c>
    </row>
    <row r="929" spans="1:11">
      <c r="A929" t="s">
        <v>1210</v>
      </c>
      <c r="B929" t="s">
        <v>4770</v>
      </c>
      <c r="C929" s="5" t="s">
        <v>7</v>
      </c>
      <c r="F929" s="5" t="s">
        <v>4771</v>
      </c>
      <c r="G929" s="5">
        <f t="shared" si="64"/>
        <v>20400</v>
      </c>
      <c r="I929" s="6" t="str">
        <f t="shared" si="65"/>
        <v>0</v>
      </c>
      <c r="K929" s="19" t="s">
        <v>4772</v>
      </c>
    </row>
    <row r="930" spans="1:11">
      <c r="A930" t="s">
        <v>1211</v>
      </c>
      <c r="B930" t="s">
        <v>4773</v>
      </c>
      <c r="C930" s="5" t="s">
        <v>7</v>
      </c>
      <c r="F930" s="5" t="s">
        <v>4774</v>
      </c>
      <c r="G930" s="5">
        <f t="shared" si="64"/>
        <v>20414</v>
      </c>
      <c r="I930" s="6" t="str">
        <f t="shared" si="65"/>
        <v>0</v>
      </c>
      <c r="K930" s="19" t="s">
        <v>4775</v>
      </c>
    </row>
    <row r="931" spans="1:11">
      <c r="A931" t="s">
        <v>1212</v>
      </c>
      <c r="B931" t="s">
        <v>4776</v>
      </c>
      <c r="C931" s="5" t="s">
        <v>7</v>
      </c>
      <c r="F931" s="5" t="s">
        <v>4777</v>
      </c>
      <c r="G931" s="5">
        <f t="shared" si="64"/>
        <v>20436</v>
      </c>
      <c r="I931" s="6" t="str">
        <f t="shared" si="65"/>
        <v>0</v>
      </c>
      <c r="K931" s="19" t="s">
        <v>4778</v>
      </c>
    </row>
    <row r="932" spans="1:11">
      <c r="A932" t="s">
        <v>1213</v>
      </c>
      <c r="B932" t="s">
        <v>4779</v>
      </c>
      <c r="C932" s="5" t="s">
        <v>7</v>
      </c>
      <c r="F932" s="5" t="s">
        <v>4780</v>
      </c>
      <c r="G932" s="5">
        <f t="shared" si="64"/>
        <v>20438</v>
      </c>
      <c r="I932" s="6" t="str">
        <f t="shared" si="65"/>
        <v>0</v>
      </c>
      <c r="K932" s="19" t="s">
        <v>4781</v>
      </c>
    </row>
    <row r="933" spans="1:11">
      <c r="A933" t="s">
        <v>1214</v>
      </c>
      <c r="B933" t="s">
        <v>4782</v>
      </c>
      <c r="C933" s="5" t="s">
        <v>7</v>
      </c>
      <c r="F933" s="5" t="s">
        <v>4783</v>
      </c>
      <c r="G933" s="5">
        <f t="shared" si="64"/>
        <v>20462</v>
      </c>
      <c r="I933" s="6" t="str">
        <f t="shared" si="65"/>
        <v>0</v>
      </c>
      <c r="K933" s="19" t="s">
        <v>4784</v>
      </c>
    </row>
    <row r="934" spans="1:11">
      <c r="A934" t="s">
        <v>1215</v>
      </c>
      <c r="B934" t="s">
        <v>3936</v>
      </c>
      <c r="E934" t="str">
        <f>IF(D934&lt;&gt;"",C934&amp;"/"&amp;D934,"")</f>
        <v/>
      </c>
      <c r="G934" s="5" t="str">
        <f t="shared" si="64"/>
        <v/>
      </c>
      <c r="I934" s="6" t="str">
        <f t="shared" si="65"/>
        <v>0</v>
      </c>
    </row>
    <row r="935" spans="1:11">
      <c r="A935" t="s">
        <v>1216</v>
      </c>
      <c r="B935" t="s">
        <v>1217</v>
      </c>
      <c r="E935" t="str">
        <f>IF(D935&lt;&gt;"",C935&amp;"/"&amp;D935,"")</f>
        <v/>
      </c>
      <c r="G935" s="5" t="str">
        <f t="shared" si="64"/>
        <v/>
      </c>
      <c r="I935" s="6" t="str">
        <f t="shared" si="65"/>
        <v>0</v>
      </c>
    </row>
    <row r="936" spans="1:11">
      <c r="A936" t="s">
        <v>1218</v>
      </c>
      <c r="B936" t="s">
        <v>3937</v>
      </c>
      <c r="E936" t="str">
        <f>IF(D936&lt;&gt;"",C936&amp;"/"&amp;D936,"")</f>
        <v/>
      </c>
      <c r="G936" s="5" t="str">
        <f t="shared" si="64"/>
        <v/>
      </c>
      <c r="I936" s="6" t="str">
        <f t="shared" si="65"/>
        <v>0</v>
      </c>
    </row>
    <row r="937" spans="1:11">
      <c r="A937" t="s">
        <v>1219</v>
      </c>
      <c r="B937" t="s">
        <v>4785</v>
      </c>
      <c r="C937" s="5" t="s">
        <v>7</v>
      </c>
      <c r="F937" s="5" t="s">
        <v>4786</v>
      </c>
      <c r="G937" s="5">
        <f t="shared" si="64"/>
        <v>20570</v>
      </c>
      <c r="I937" s="6" t="str">
        <f t="shared" si="65"/>
        <v>0</v>
      </c>
      <c r="K937" s="19" t="s">
        <v>4787</v>
      </c>
    </row>
    <row r="938" spans="1:11">
      <c r="A938" t="s">
        <v>1220</v>
      </c>
      <c r="B938" t="s">
        <v>6385</v>
      </c>
      <c r="K938" s="19" t="s">
        <v>6386</v>
      </c>
    </row>
    <row r="939" spans="1:11">
      <c r="A939" t="s">
        <v>1221</v>
      </c>
      <c r="B939" t="s">
        <v>1222</v>
      </c>
      <c r="E939" t="str">
        <f>IF(D939&lt;&gt;"",C939&amp;"/"&amp;D939,"")</f>
        <v/>
      </c>
      <c r="G939" s="5" t="str">
        <f t="shared" si="64"/>
        <v/>
      </c>
      <c r="I939" s="6" t="str">
        <f t="shared" si="65"/>
        <v>0</v>
      </c>
    </row>
    <row r="940" spans="1:11">
      <c r="A940" t="s">
        <v>1223</v>
      </c>
      <c r="B940" t="s">
        <v>4788</v>
      </c>
      <c r="C940" s="5" t="s">
        <v>7</v>
      </c>
      <c r="F940" s="5" t="s">
        <v>4789</v>
      </c>
      <c r="G940" s="5">
        <f t="shared" si="64"/>
        <v>20576</v>
      </c>
      <c r="I940" s="6" t="str">
        <f t="shared" si="65"/>
        <v>0</v>
      </c>
      <c r="K940" s="19" t="s">
        <v>4790</v>
      </c>
    </row>
    <row r="941" spans="1:11">
      <c r="A941" t="s">
        <v>1224</v>
      </c>
      <c r="B941" t="s">
        <v>4791</v>
      </c>
      <c r="C941" s="5" t="s">
        <v>7</v>
      </c>
      <c r="F941" s="5" t="s">
        <v>4792</v>
      </c>
      <c r="G941" s="5">
        <f t="shared" si="64"/>
        <v>20584</v>
      </c>
      <c r="I941" s="6" t="str">
        <f t="shared" si="65"/>
        <v>0</v>
      </c>
      <c r="K941" s="19" t="s">
        <v>4793</v>
      </c>
    </row>
    <row r="942" spans="1:11">
      <c r="A942" t="s">
        <v>1225</v>
      </c>
      <c r="B942" t="s">
        <v>1226</v>
      </c>
      <c r="E942" t="str">
        <f>IF(D942&lt;&gt;"",C942&amp;"/"&amp;D942,"")</f>
        <v/>
      </c>
      <c r="G942" s="5" t="str">
        <f t="shared" si="64"/>
        <v/>
      </c>
      <c r="I942" s="6" t="str">
        <f t="shared" si="65"/>
        <v>0</v>
      </c>
    </row>
    <row r="943" spans="1:11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64"/>
        <v/>
      </c>
      <c r="I943" s="6" t="str">
        <f t="shared" si="65"/>
        <v>0</v>
      </c>
    </row>
    <row r="944" spans="1:11">
      <c r="A944" t="s">
        <v>1230</v>
      </c>
      <c r="B944" t="s">
        <v>4794</v>
      </c>
      <c r="C944" s="5" t="s">
        <v>7</v>
      </c>
      <c r="F944" s="5" t="s">
        <v>4795</v>
      </c>
      <c r="G944" s="5">
        <f t="shared" si="64"/>
        <v>20668</v>
      </c>
      <c r="I944" s="6" t="str">
        <f t="shared" si="65"/>
        <v>0</v>
      </c>
      <c r="K944" s="19" t="s">
        <v>4796</v>
      </c>
    </row>
    <row r="945" spans="1:11">
      <c r="A945" t="s">
        <v>1231</v>
      </c>
      <c r="B945" t="s">
        <v>1232</v>
      </c>
      <c r="E945" t="str">
        <f>IF(D945&lt;&gt;"",C945&amp;"/"&amp;D945,"")</f>
        <v/>
      </c>
      <c r="G945" s="5" t="str">
        <f t="shared" si="64"/>
        <v/>
      </c>
      <c r="I945" s="6" t="str">
        <f t="shared" si="65"/>
        <v>0</v>
      </c>
    </row>
    <row r="946" spans="1:11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64"/>
        <v/>
      </c>
      <c r="I946" s="6" t="str">
        <f t="shared" si="65"/>
        <v>0</v>
      </c>
    </row>
    <row r="947" spans="1:11">
      <c r="A947" t="s">
        <v>1235</v>
      </c>
      <c r="B947" t="s">
        <v>4797</v>
      </c>
      <c r="C947" s="5" t="s">
        <v>7</v>
      </c>
      <c r="F947" s="5" t="s">
        <v>4798</v>
      </c>
      <c r="G947" s="5">
        <f t="shared" si="64"/>
        <v>20712</v>
      </c>
      <c r="I947" s="6" t="str">
        <f t="shared" si="65"/>
        <v>0</v>
      </c>
      <c r="K947" s="19" t="s">
        <v>4799</v>
      </c>
    </row>
    <row r="948" spans="1:11">
      <c r="A948" t="s">
        <v>1236</v>
      </c>
      <c r="B948" t="s">
        <v>4800</v>
      </c>
      <c r="C948" s="5" t="s">
        <v>7</v>
      </c>
      <c r="F948" s="5" t="s">
        <v>4801</v>
      </c>
      <c r="G948" s="5">
        <f t="shared" si="64"/>
        <v>20764</v>
      </c>
      <c r="I948" s="6" t="str">
        <f t="shared" si="65"/>
        <v>0</v>
      </c>
      <c r="K948" s="19" t="s">
        <v>4802</v>
      </c>
    </row>
    <row r="949" spans="1:11">
      <c r="A949" t="s">
        <v>1237</v>
      </c>
      <c r="B949" t="s">
        <v>4803</v>
      </c>
      <c r="C949" s="5" t="s">
        <v>7</v>
      </c>
      <c r="F949" s="5" t="s">
        <v>4804</v>
      </c>
      <c r="G949" s="5">
        <f t="shared" si="64"/>
        <v>20782</v>
      </c>
      <c r="I949" s="6" t="str">
        <f t="shared" si="65"/>
        <v>0</v>
      </c>
      <c r="K949" s="19" t="s">
        <v>4805</v>
      </c>
    </row>
    <row r="950" spans="1:11">
      <c r="A950" t="s">
        <v>1238</v>
      </c>
      <c r="B950" t="s">
        <v>4806</v>
      </c>
      <c r="C950" s="5" t="s">
        <v>7</v>
      </c>
      <c r="F950" s="5" t="s">
        <v>4807</v>
      </c>
      <c r="G950" s="5">
        <f t="shared" si="64"/>
        <v>20788</v>
      </c>
      <c r="I950" s="6" t="str">
        <f t="shared" si="65"/>
        <v>0</v>
      </c>
      <c r="K950" s="19" t="s">
        <v>4808</v>
      </c>
    </row>
    <row r="951" spans="1:11">
      <c r="A951" t="s">
        <v>1239</v>
      </c>
      <c r="B951" t="s">
        <v>1240</v>
      </c>
      <c r="E951" t="str">
        <f t="shared" ref="E951:E957" si="67">IF(D951&lt;&gt;"",C951&amp;"/"&amp;D951,"")</f>
        <v/>
      </c>
      <c r="G951" s="5" t="str">
        <f t="shared" si="64"/>
        <v/>
      </c>
      <c r="I951" s="6" t="str">
        <f t="shared" si="65"/>
        <v>0</v>
      </c>
    </row>
    <row r="952" spans="1:11">
      <c r="A952" t="s">
        <v>1241</v>
      </c>
      <c r="B952" t="s">
        <v>309</v>
      </c>
      <c r="E952" t="str">
        <f t="shared" si="67"/>
        <v/>
      </c>
      <c r="G952" s="5" t="str">
        <f t="shared" si="64"/>
        <v/>
      </c>
      <c r="I952" s="6" t="str">
        <f t="shared" si="65"/>
        <v>0</v>
      </c>
    </row>
    <row r="953" spans="1:11">
      <c r="A953" t="s">
        <v>1242</v>
      </c>
      <c r="B953" t="s">
        <v>1243</v>
      </c>
      <c r="E953" t="str">
        <f t="shared" si="67"/>
        <v/>
      </c>
      <c r="G953" s="5" t="str">
        <f t="shared" si="64"/>
        <v/>
      </c>
      <c r="I953" s="6" t="str">
        <f t="shared" si="65"/>
        <v>0</v>
      </c>
    </row>
    <row r="954" spans="1:11">
      <c r="A954" t="s">
        <v>1244</v>
      </c>
      <c r="B954" t="s">
        <v>1245</v>
      </c>
      <c r="E954" t="str">
        <f t="shared" si="67"/>
        <v/>
      </c>
      <c r="G954" s="5" t="str">
        <f t="shared" si="64"/>
        <v/>
      </c>
      <c r="I954" s="6" t="str">
        <f t="shared" si="65"/>
        <v>0</v>
      </c>
    </row>
    <row r="955" spans="1:11">
      <c r="A955" t="s">
        <v>1246</v>
      </c>
      <c r="B955" t="s">
        <v>1247</v>
      </c>
      <c r="E955" t="str">
        <f t="shared" si="67"/>
        <v/>
      </c>
      <c r="G955" s="5" t="str">
        <f t="shared" si="64"/>
        <v/>
      </c>
      <c r="I955" s="6" t="str">
        <f t="shared" si="65"/>
        <v>0</v>
      </c>
    </row>
    <row r="956" spans="1:11">
      <c r="A956" t="s">
        <v>1248</v>
      </c>
      <c r="B956" t="s">
        <v>1249</v>
      </c>
      <c r="E956" t="str">
        <f t="shared" si="67"/>
        <v/>
      </c>
      <c r="G956" s="5" t="str">
        <f t="shared" si="64"/>
        <v/>
      </c>
      <c r="I956" s="6" t="str">
        <f t="shared" si="65"/>
        <v>0</v>
      </c>
    </row>
    <row r="957" spans="1:11">
      <c r="A957" t="s">
        <v>1250</v>
      </c>
      <c r="B957" t="s">
        <v>1251</v>
      </c>
      <c r="E957" t="str">
        <f t="shared" si="67"/>
        <v/>
      </c>
      <c r="G957" s="5" t="str">
        <f t="shared" si="64"/>
        <v/>
      </c>
      <c r="I957" s="6" t="str">
        <f t="shared" si="65"/>
        <v>0</v>
      </c>
    </row>
    <row r="958" spans="1:11">
      <c r="A958" t="s">
        <v>1252</v>
      </c>
      <c r="B958" t="s">
        <v>4809</v>
      </c>
      <c r="C958" s="5" t="s">
        <v>7</v>
      </c>
      <c r="F958" s="5" t="s">
        <v>4810</v>
      </c>
      <c r="G958" s="5">
        <f t="shared" si="64"/>
        <v>20882</v>
      </c>
      <c r="I958" s="6" t="str">
        <f t="shared" si="65"/>
        <v>0</v>
      </c>
      <c r="K958" s="19" t="s">
        <v>4811</v>
      </c>
    </row>
    <row r="959" spans="1:11">
      <c r="A959" t="s">
        <v>1253</v>
      </c>
      <c r="B959" t="s">
        <v>4812</v>
      </c>
      <c r="C959" s="5" t="s">
        <v>7</v>
      </c>
      <c r="F959" s="5" t="s">
        <v>4813</v>
      </c>
      <c r="G959" s="5">
        <f t="shared" si="64"/>
        <v>20900</v>
      </c>
      <c r="I959" s="6" t="str">
        <f t="shared" si="65"/>
        <v>0</v>
      </c>
      <c r="K959" s="19" t="s">
        <v>4814</v>
      </c>
    </row>
    <row r="960" spans="1:11">
      <c r="A960" t="s">
        <v>1254</v>
      </c>
      <c r="B960" t="s">
        <v>4815</v>
      </c>
      <c r="C960" s="5" t="s">
        <v>7</v>
      </c>
      <c r="F960" s="5" t="s">
        <v>4816</v>
      </c>
      <c r="G960" s="5">
        <f t="shared" si="64"/>
        <v>20914</v>
      </c>
      <c r="I960" s="6" t="str">
        <f t="shared" si="65"/>
        <v>0</v>
      </c>
      <c r="K960" s="19" t="s">
        <v>4817</v>
      </c>
    </row>
    <row r="961" spans="1:11">
      <c r="A961" t="s">
        <v>1255</v>
      </c>
      <c r="B961" t="s">
        <v>4818</v>
      </c>
      <c r="C961" s="5" t="s">
        <v>7</v>
      </c>
      <c r="F961" s="5" t="s">
        <v>4819</v>
      </c>
      <c r="G961" s="5">
        <f t="shared" si="64"/>
        <v>20920</v>
      </c>
      <c r="I961" s="6" t="str">
        <f t="shared" si="65"/>
        <v>0</v>
      </c>
      <c r="K961" s="19" t="s">
        <v>4820</v>
      </c>
    </row>
    <row r="962" spans="1:11">
      <c r="A962" t="s">
        <v>1256</v>
      </c>
      <c r="B962" t="s">
        <v>309</v>
      </c>
      <c r="E962" t="str">
        <f>IF(D962&lt;&gt;"",C962&amp;"/"&amp;D962,"")</f>
        <v/>
      </c>
      <c r="G962" s="5" t="str">
        <f t="shared" ref="G962:G1025" si="68">IF(F962&lt;&gt;"",HEX2DEC(SUBSTITUTE(SUBSTITUTE(F962,"adrEA",""),"$","")),"")</f>
        <v/>
      </c>
      <c r="I962" s="6" t="str">
        <f t="shared" ref="I962:I1025" si="69">IFERROR(DEC2HEX(H962),"")</f>
        <v>0</v>
      </c>
    </row>
    <row r="963" spans="1:11">
      <c r="A963" t="s">
        <v>1257</v>
      </c>
      <c r="B963" t="s">
        <v>4821</v>
      </c>
      <c r="C963" s="5" t="s">
        <v>7</v>
      </c>
      <c r="F963" s="5" t="s">
        <v>4822</v>
      </c>
      <c r="G963" s="5">
        <f t="shared" si="68"/>
        <v>20942</v>
      </c>
      <c r="I963" s="6" t="str">
        <f t="shared" si="69"/>
        <v>0</v>
      </c>
      <c r="K963" s="19" t="s">
        <v>4823</v>
      </c>
    </row>
    <row r="964" spans="1:11">
      <c r="A964" t="s">
        <v>1258</v>
      </c>
      <c r="B964" t="s">
        <v>1259</v>
      </c>
      <c r="E964" t="str">
        <f>IF(D964&lt;&gt;"",C964&amp;"/"&amp;D964,"")</f>
        <v/>
      </c>
      <c r="G964" s="5" t="str">
        <f t="shared" si="68"/>
        <v/>
      </c>
      <c r="I964" s="6" t="str">
        <f t="shared" si="69"/>
        <v>0</v>
      </c>
    </row>
    <row r="965" spans="1:11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68"/>
        <v/>
      </c>
      <c r="I965" s="6" t="str">
        <f t="shared" si="69"/>
        <v>0</v>
      </c>
    </row>
    <row r="966" spans="1:11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68"/>
        <v/>
      </c>
      <c r="I966" s="6" t="str">
        <f t="shared" si="69"/>
        <v>0</v>
      </c>
    </row>
    <row r="967" spans="1:11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68"/>
        <v/>
      </c>
      <c r="I967" s="6" t="str">
        <f t="shared" si="69"/>
        <v>0</v>
      </c>
    </row>
    <row r="968" spans="1:11">
      <c r="A968" t="s">
        <v>1266</v>
      </c>
      <c r="B968" t="s">
        <v>4824</v>
      </c>
      <c r="C968" s="5" t="s">
        <v>7</v>
      </c>
      <c r="F968" s="5" t="s">
        <v>4825</v>
      </c>
      <c r="G968" s="5">
        <f t="shared" si="68"/>
        <v>20996</v>
      </c>
      <c r="I968" s="6" t="str">
        <f t="shared" si="69"/>
        <v>0</v>
      </c>
      <c r="K968" s="19" t="s">
        <v>4826</v>
      </c>
    </row>
    <row r="969" spans="1:11">
      <c r="A969" t="s">
        <v>1267</v>
      </c>
      <c r="B969" t="s">
        <v>4827</v>
      </c>
      <c r="C969" s="5" t="s">
        <v>7</v>
      </c>
      <c r="F969" s="5" t="s">
        <v>4828</v>
      </c>
      <c r="G969" s="5">
        <f t="shared" si="68"/>
        <v>21012</v>
      </c>
      <c r="I969" s="6" t="str">
        <f t="shared" si="69"/>
        <v>0</v>
      </c>
      <c r="K969" s="19" t="s">
        <v>4829</v>
      </c>
    </row>
    <row r="970" spans="1:11">
      <c r="A970" t="s">
        <v>1268</v>
      </c>
      <c r="B970" t="s">
        <v>4830</v>
      </c>
      <c r="C970" s="5" t="s">
        <v>7</v>
      </c>
      <c r="F970" s="5" t="s">
        <v>4831</v>
      </c>
      <c r="G970" s="5">
        <f t="shared" si="68"/>
        <v>21028</v>
      </c>
      <c r="I970" s="6" t="str">
        <f t="shared" si="69"/>
        <v>0</v>
      </c>
      <c r="K970" s="19" t="s">
        <v>4832</v>
      </c>
    </row>
    <row r="971" spans="1:11">
      <c r="A971" t="s">
        <v>1269</v>
      </c>
      <c r="B971" t="s">
        <v>1270</v>
      </c>
      <c r="E971" t="str">
        <f>IF(D971&lt;&gt;"",C971&amp;"/"&amp;D971,"")</f>
        <v/>
      </c>
      <c r="G971" s="5" t="str">
        <f t="shared" si="68"/>
        <v/>
      </c>
      <c r="I971" s="6" t="str">
        <f t="shared" si="69"/>
        <v>0</v>
      </c>
    </row>
    <row r="972" spans="1:11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68"/>
        <v/>
      </c>
      <c r="I972" s="6" t="str">
        <f t="shared" si="69"/>
        <v>0</v>
      </c>
    </row>
    <row r="973" spans="1:11">
      <c r="A973" t="s">
        <v>1273</v>
      </c>
      <c r="B973" t="s">
        <v>4833</v>
      </c>
      <c r="C973" s="5" t="s">
        <v>7</v>
      </c>
      <c r="F973" s="5" t="s">
        <v>4834</v>
      </c>
      <c r="G973" s="5">
        <f t="shared" si="68"/>
        <v>21046</v>
      </c>
      <c r="I973" s="6" t="str">
        <f t="shared" si="69"/>
        <v>0</v>
      </c>
      <c r="K973" s="19" t="s">
        <v>4835</v>
      </c>
    </row>
    <row r="974" spans="1:11">
      <c r="A974" t="s">
        <v>1274</v>
      </c>
      <c r="B974" t="s">
        <v>4836</v>
      </c>
      <c r="C974" s="5" t="s">
        <v>7</v>
      </c>
      <c r="F974" s="5" t="s">
        <v>4837</v>
      </c>
      <c r="G974" s="5">
        <f t="shared" si="68"/>
        <v>21048</v>
      </c>
      <c r="I974" s="6" t="str">
        <f t="shared" si="69"/>
        <v>0</v>
      </c>
      <c r="K974" s="19" t="s">
        <v>4838</v>
      </c>
    </row>
    <row r="975" spans="1:11">
      <c r="A975" t="s">
        <v>1275</v>
      </c>
      <c r="B975" t="s">
        <v>4839</v>
      </c>
      <c r="C975" s="5" t="s">
        <v>7</v>
      </c>
      <c r="F975" s="5" t="s">
        <v>4840</v>
      </c>
      <c r="G975" s="5">
        <f t="shared" si="68"/>
        <v>21066</v>
      </c>
      <c r="I975" s="6" t="str">
        <f t="shared" si="69"/>
        <v>0</v>
      </c>
      <c r="K975" s="19" t="s">
        <v>4841</v>
      </c>
    </row>
    <row r="976" spans="1:11">
      <c r="A976" t="s">
        <v>1276</v>
      </c>
      <c r="B976" t="s">
        <v>4842</v>
      </c>
      <c r="C976" s="5" t="s">
        <v>7</v>
      </c>
      <c r="F976" s="5" t="s">
        <v>4843</v>
      </c>
      <c r="G976" s="5">
        <f t="shared" si="68"/>
        <v>21068</v>
      </c>
      <c r="I976" s="6" t="str">
        <f t="shared" si="69"/>
        <v>0</v>
      </c>
      <c r="K976" s="19" t="s">
        <v>4844</v>
      </c>
    </row>
    <row r="977" spans="1:11">
      <c r="A977" t="s">
        <v>1277</v>
      </c>
      <c r="B977" t="s">
        <v>4845</v>
      </c>
      <c r="C977" s="5" t="s">
        <v>7</v>
      </c>
      <c r="F977" s="5" t="s">
        <v>4846</v>
      </c>
      <c r="G977" s="5">
        <f t="shared" si="68"/>
        <v>21096</v>
      </c>
      <c r="I977" s="6" t="str">
        <f t="shared" si="69"/>
        <v>0</v>
      </c>
      <c r="K977" s="19" t="s">
        <v>4847</v>
      </c>
    </row>
    <row r="978" spans="1:11">
      <c r="A978" t="s">
        <v>1278</v>
      </c>
      <c r="B978" t="s">
        <v>4848</v>
      </c>
      <c r="C978" s="5" t="s">
        <v>7</v>
      </c>
      <c r="F978" s="5" t="s">
        <v>4849</v>
      </c>
      <c r="G978" s="5">
        <f t="shared" si="68"/>
        <v>21106</v>
      </c>
      <c r="I978" s="6" t="str">
        <f t="shared" si="69"/>
        <v>0</v>
      </c>
      <c r="K978" s="19" t="s">
        <v>4850</v>
      </c>
    </row>
    <row r="979" spans="1:11">
      <c r="A979" t="s">
        <v>1279</v>
      </c>
      <c r="B979" t="s">
        <v>4851</v>
      </c>
      <c r="C979" s="5" t="s">
        <v>7</v>
      </c>
      <c r="F979" s="5" t="s">
        <v>4852</v>
      </c>
      <c r="G979" s="5">
        <f t="shared" si="68"/>
        <v>21110</v>
      </c>
      <c r="I979" s="6" t="str">
        <f t="shared" si="69"/>
        <v>0</v>
      </c>
      <c r="K979" s="19" t="s">
        <v>4853</v>
      </c>
    </row>
    <row r="980" spans="1:11">
      <c r="A980" t="s">
        <v>1280</v>
      </c>
      <c r="B980" t="s">
        <v>1281</v>
      </c>
      <c r="E980" t="str">
        <f>IF(D980&lt;&gt;"",C980&amp;"/"&amp;D980,"")</f>
        <v/>
      </c>
      <c r="G980" s="5" t="str">
        <f t="shared" si="68"/>
        <v/>
      </c>
      <c r="I980" s="6" t="str">
        <f t="shared" si="69"/>
        <v>0</v>
      </c>
    </row>
    <row r="981" spans="1:11">
      <c r="A981" t="s">
        <v>1282</v>
      </c>
      <c r="B981" t="s">
        <v>4854</v>
      </c>
      <c r="C981" s="5" t="s">
        <v>7</v>
      </c>
      <c r="F981" s="5" t="s">
        <v>4855</v>
      </c>
      <c r="G981" s="5">
        <f t="shared" si="68"/>
        <v>21150</v>
      </c>
      <c r="I981" s="6" t="str">
        <f t="shared" si="69"/>
        <v>0</v>
      </c>
      <c r="K981" s="19" t="s">
        <v>4856</v>
      </c>
    </row>
    <row r="982" spans="1:11">
      <c r="A982" t="s">
        <v>1283</v>
      </c>
      <c r="B982" t="s">
        <v>4857</v>
      </c>
      <c r="C982" s="5" t="s">
        <v>7</v>
      </c>
      <c r="F982" s="5" t="s">
        <v>4858</v>
      </c>
      <c r="G982" s="5">
        <f t="shared" si="68"/>
        <v>21152</v>
      </c>
      <c r="I982" s="6" t="str">
        <f t="shared" si="69"/>
        <v>0</v>
      </c>
      <c r="K982" s="19" t="s">
        <v>4859</v>
      </c>
    </row>
    <row r="983" spans="1:11">
      <c r="A983" t="s">
        <v>1284</v>
      </c>
      <c r="B983" t="s">
        <v>1285</v>
      </c>
      <c r="E983" t="str">
        <f>IF(D983&lt;&gt;"",C983&amp;"/"&amp;D983,"")</f>
        <v/>
      </c>
      <c r="G983" s="5" t="str">
        <f t="shared" si="68"/>
        <v/>
      </c>
      <c r="I983" s="6" t="str">
        <f t="shared" si="69"/>
        <v>0</v>
      </c>
    </row>
    <row r="984" spans="1:11">
      <c r="A984" t="s">
        <v>1286</v>
      </c>
      <c r="B984" t="s">
        <v>4860</v>
      </c>
      <c r="C984" s="5" t="s">
        <v>7</v>
      </c>
      <c r="F984" s="5" t="s">
        <v>4861</v>
      </c>
      <c r="G984" s="5">
        <f t="shared" si="68"/>
        <v>21202</v>
      </c>
      <c r="I984" s="6" t="str">
        <f t="shared" si="69"/>
        <v>0</v>
      </c>
      <c r="K984" s="19" t="s">
        <v>4862</v>
      </c>
    </row>
    <row r="985" spans="1:11">
      <c r="A985" t="s">
        <v>1287</v>
      </c>
      <c r="B985" t="s">
        <v>4863</v>
      </c>
      <c r="C985" s="5" t="s">
        <v>7</v>
      </c>
      <c r="F985" s="5" t="s">
        <v>4864</v>
      </c>
      <c r="G985" s="5">
        <f t="shared" si="68"/>
        <v>21208</v>
      </c>
      <c r="I985" s="6" t="str">
        <f t="shared" si="69"/>
        <v>0</v>
      </c>
      <c r="K985" s="19" t="s">
        <v>4865</v>
      </c>
    </row>
    <row r="986" spans="1:11">
      <c r="A986" t="s">
        <v>1288</v>
      </c>
      <c r="B986" t="s">
        <v>4866</v>
      </c>
      <c r="C986" s="5" t="s">
        <v>7</v>
      </c>
      <c r="F986" s="5" t="s">
        <v>4867</v>
      </c>
      <c r="G986" s="5">
        <f t="shared" si="68"/>
        <v>21210</v>
      </c>
      <c r="I986" s="6" t="str">
        <f t="shared" si="69"/>
        <v>0</v>
      </c>
      <c r="K986" s="19" t="s">
        <v>4868</v>
      </c>
    </row>
    <row r="987" spans="1:11">
      <c r="A987" t="s">
        <v>1289</v>
      </c>
      <c r="B987" t="s">
        <v>4869</v>
      </c>
      <c r="C987" s="5" t="s">
        <v>7</v>
      </c>
      <c r="F987" s="5" t="s">
        <v>4870</v>
      </c>
      <c r="G987" s="5">
        <f t="shared" si="68"/>
        <v>21218</v>
      </c>
      <c r="I987" s="6" t="str">
        <f t="shared" si="69"/>
        <v>0</v>
      </c>
      <c r="K987" s="19" t="s">
        <v>4871</v>
      </c>
    </row>
    <row r="988" spans="1:11">
      <c r="A988" t="s">
        <v>1290</v>
      </c>
      <c r="B988" t="s">
        <v>1291</v>
      </c>
      <c r="E988" t="str">
        <f>IF(D988&lt;&gt;"",C988&amp;"/"&amp;D988,"")</f>
        <v/>
      </c>
      <c r="G988" s="5" t="str">
        <f t="shared" si="68"/>
        <v/>
      </c>
      <c r="I988" s="6" t="str">
        <f t="shared" si="69"/>
        <v>0</v>
      </c>
    </row>
    <row r="989" spans="1:11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68"/>
        <v/>
      </c>
      <c r="I989" s="6" t="str">
        <f t="shared" si="69"/>
        <v>0</v>
      </c>
    </row>
    <row r="990" spans="1:11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68"/>
        <v/>
      </c>
      <c r="I990" s="6" t="str">
        <f t="shared" si="69"/>
        <v>0</v>
      </c>
    </row>
    <row r="991" spans="1:11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68"/>
        <v/>
      </c>
      <c r="I991" s="6" t="str">
        <f t="shared" si="69"/>
        <v>0</v>
      </c>
    </row>
    <row r="992" spans="1:11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si="68"/>
        <v/>
      </c>
      <c r="I992" s="6" t="str">
        <f t="shared" si="69"/>
        <v>0</v>
      </c>
    </row>
    <row r="993" spans="1:11">
      <c r="A993" t="s">
        <v>1300</v>
      </c>
      <c r="B993" t="s">
        <v>4872</v>
      </c>
      <c r="C993" s="5" t="s">
        <v>7</v>
      </c>
      <c r="F993" s="5" t="s">
        <v>4873</v>
      </c>
      <c r="G993" s="5">
        <f t="shared" si="68"/>
        <v>21270</v>
      </c>
      <c r="I993" s="6" t="str">
        <f t="shared" si="69"/>
        <v>0</v>
      </c>
      <c r="K993" s="19" t="s">
        <v>4874</v>
      </c>
    </row>
    <row r="994" spans="1:11">
      <c r="A994" t="s">
        <v>1301</v>
      </c>
      <c r="B994" t="s">
        <v>1302</v>
      </c>
      <c r="E994" t="str">
        <f>IF(D994&lt;&gt;"",C994&amp;"/"&amp;D994,"")</f>
        <v/>
      </c>
      <c r="G994" s="5" t="str">
        <f t="shared" si="68"/>
        <v/>
      </c>
      <c r="I994" s="6" t="str">
        <f t="shared" si="69"/>
        <v>0</v>
      </c>
    </row>
    <row r="995" spans="1:11">
      <c r="A995" t="s">
        <v>1303</v>
      </c>
      <c r="B995" t="s">
        <v>4875</v>
      </c>
      <c r="C995" s="5" t="s">
        <v>7</v>
      </c>
      <c r="F995" s="5" t="s">
        <v>4876</v>
      </c>
      <c r="G995" s="5">
        <f t="shared" si="68"/>
        <v>21280</v>
      </c>
      <c r="I995" s="6" t="str">
        <f t="shared" si="69"/>
        <v>0</v>
      </c>
      <c r="K995" s="19" t="s">
        <v>4877</v>
      </c>
    </row>
    <row r="996" spans="1:11">
      <c r="A996" t="s">
        <v>1304</v>
      </c>
      <c r="B996" t="s">
        <v>4878</v>
      </c>
      <c r="C996" s="5" t="s">
        <v>7</v>
      </c>
      <c r="F996" s="5" t="s">
        <v>4879</v>
      </c>
      <c r="G996" s="5">
        <f t="shared" si="68"/>
        <v>21288</v>
      </c>
      <c r="I996" s="6" t="str">
        <f t="shared" si="69"/>
        <v>0</v>
      </c>
      <c r="K996" s="19" t="s">
        <v>4880</v>
      </c>
    </row>
    <row r="997" spans="1:11">
      <c r="A997" t="s">
        <v>1305</v>
      </c>
      <c r="B997" t="s">
        <v>4881</v>
      </c>
      <c r="C997" s="5" t="s">
        <v>7</v>
      </c>
      <c r="F997" s="5" t="s">
        <v>4882</v>
      </c>
      <c r="G997" s="5">
        <f t="shared" si="68"/>
        <v>21298</v>
      </c>
      <c r="I997" s="6" t="str">
        <f t="shared" si="69"/>
        <v>0</v>
      </c>
      <c r="K997" s="19" t="s">
        <v>4883</v>
      </c>
    </row>
    <row r="998" spans="1:11">
      <c r="A998" t="s">
        <v>1306</v>
      </c>
      <c r="B998" t="s">
        <v>4884</v>
      </c>
      <c r="C998" s="5" t="s">
        <v>7</v>
      </c>
      <c r="F998" s="5" t="s">
        <v>4885</v>
      </c>
      <c r="G998" s="5">
        <f t="shared" si="68"/>
        <v>21308</v>
      </c>
      <c r="I998" s="6" t="str">
        <f t="shared" si="69"/>
        <v>0</v>
      </c>
      <c r="K998" s="19" t="s">
        <v>4886</v>
      </c>
    </row>
    <row r="999" spans="1:11">
      <c r="A999" t="s">
        <v>1307</v>
      </c>
      <c r="B999" t="s">
        <v>4887</v>
      </c>
      <c r="C999" s="5" t="s">
        <v>7</v>
      </c>
      <c r="F999" s="5" t="s">
        <v>4888</v>
      </c>
      <c r="G999" s="5">
        <f t="shared" si="68"/>
        <v>21330</v>
      </c>
      <c r="I999" s="6" t="str">
        <f t="shared" si="69"/>
        <v>0</v>
      </c>
      <c r="K999" s="19" t="s">
        <v>4889</v>
      </c>
    </row>
    <row r="1000" spans="1:11">
      <c r="A1000" t="s">
        <v>1308</v>
      </c>
      <c r="B1000" t="s">
        <v>4890</v>
      </c>
      <c r="C1000" s="5" t="s">
        <v>7</v>
      </c>
      <c r="F1000" s="5" t="s">
        <v>4891</v>
      </c>
      <c r="G1000" s="5">
        <f t="shared" si="68"/>
        <v>21336</v>
      </c>
      <c r="I1000" s="6" t="str">
        <f t="shared" si="69"/>
        <v>0</v>
      </c>
      <c r="K1000" s="19" t="s">
        <v>4892</v>
      </c>
    </row>
    <row r="1001" spans="1:11">
      <c r="A1001" t="s">
        <v>1309</v>
      </c>
      <c r="B1001" t="s">
        <v>4893</v>
      </c>
      <c r="C1001" s="5" t="s">
        <v>7</v>
      </c>
      <c r="F1001" s="5" t="s">
        <v>4894</v>
      </c>
      <c r="G1001" s="5">
        <f t="shared" si="68"/>
        <v>21342</v>
      </c>
      <c r="I1001" s="6" t="str">
        <f t="shared" si="69"/>
        <v>0</v>
      </c>
      <c r="K1001" s="19" t="s">
        <v>4895</v>
      </c>
    </row>
    <row r="1002" spans="1:11">
      <c r="A1002" t="s">
        <v>1310</v>
      </c>
      <c r="B1002" t="s">
        <v>4896</v>
      </c>
      <c r="C1002" s="5" t="s">
        <v>7</v>
      </c>
      <c r="F1002" s="5" t="s">
        <v>4897</v>
      </c>
      <c r="G1002" s="5">
        <f t="shared" si="68"/>
        <v>21372</v>
      </c>
      <c r="I1002" s="6" t="str">
        <f t="shared" si="69"/>
        <v>0</v>
      </c>
      <c r="K1002" s="19" t="s">
        <v>4898</v>
      </c>
    </row>
    <row r="1003" spans="1:11">
      <c r="A1003" t="s">
        <v>1311</v>
      </c>
      <c r="B1003" t="s">
        <v>4899</v>
      </c>
      <c r="C1003" s="5" t="s">
        <v>7</v>
      </c>
      <c r="F1003" s="5" t="s">
        <v>4900</v>
      </c>
      <c r="G1003" s="5">
        <f t="shared" si="68"/>
        <v>21462</v>
      </c>
      <c r="I1003" s="6" t="str">
        <f t="shared" si="69"/>
        <v>0</v>
      </c>
      <c r="K1003" s="19" t="s">
        <v>4901</v>
      </c>
    </row>
    <row r="1004" spans="1:11">
      <c r="A1004" t="s">
        <v>1312</v>
      </c>
      <c r="B1004" t="s">
        <v>4902</v>
      </c>
      <c r="C1004" s="5" t="s">
        <v>7</v>
      </c>
      <c r="F1004" s="5" t="s">
        <v>4903</v>
      </c>
      <c r="G1004" s="5">
        <f t="shared" si="68"/>
        <v>21474</v>
      </c>
      <c r="I1004" s="6" t="str">
        <f t="shared" si="69"/>
        <v>0</v>
      </c>
      <c r="K1004" s="19" t="s">
        <v>4904</v>
      </c>
    </row>
    <row r="1005" spans="1:11">
      <c r="A1005" t="s">
        <v>1313</v>
      </c>
      <c r="B1005" t="s">
        <v>4905</v>
      </c>
      <c r="C1005" s="5" t="s">
        <v>7</v>
      </c>
      <c r="F1005" s="5" t="s">
        <v>4906</v>
      </c>
      <c r="G1005" s="5">
        <f t="shared" si="68"/>
        <v>21502</v>
      </c>
      <c r="I1005" s="6" t="str">
        <f t="shared" si="69"/>
        <v>0</v>
      </c>
      <c r="K1005" s="19" t="s">
        <v>4907</v>
      </c>
    </row>
    <row r="1006" spans="1:11">
      <c r="A1006" t="s">
        <v>1314</v>
      </c>
      <c r="B1006" t="s">
        <v>4908</v>
      </c>
      <c r="C1006" s="5" t="s">
        <v>7</v>
      </c>
      <c r="F1006" s="5" t="s">
        <v>4909</v>
      </c>
      <c r="G1006" s="5">
        <f t="shared" si="68"/>
        <v>21522</v>
      </c>
      <c r="I1006" s="6" t="str">
        <f t="shared" si="69"/>
        <v>0</v>
      </c>
      <c r="K1006" s="19" t="s">
        <v>4910</v>
      </c>
    </row>
    <row r="1007" spans="1:11">
      <c r="A1007" t="s">
        <v>1315</v>
      </c>
      <c r="B1007" t="s">
        <v>1316</v>
      </c>
      <c r="E1007" t="str">
        <f>IF(D1007&lt;&gt;"",C1007&amp;"/"&amp;D1007,"")</f>
        <v/>
      </c>
      <c r="G1007" s="5" t="str">
        <f t="shared" si="68"/>
        <v/>
      </c>
      <c r="I1007" s="6" t="str">
        <f t="shared" si="69"/>
        <v>0</v>
      </c>
    </row>
    <row r="1008" spans="1:11">
      <c r="A1008" t="s">
        <v>1317</v>
      </c>
      <c r="B1008" t="s">
        <v>4937</v>
      </c>
      <c r="C1008" s="5" t="s">
        <v>7</v>
      </c>
      <c r="F1008" s="5" t="s">
        <v>4911</v>
      </c>
      <c r="G1008" s="5">
        <f t="shared" si="68"/>
        <v>21540</v>
      </c>
      <c r="I1008" s="6" t="str">
        <f t="shared" si="69"/>
        <v>0</v>
      </c>
      <c r="K1008" s="19" t="s">
        <v>4912</v>
      </c>
    </row>
    <row r="1009" spans="1:11">
      <c r="A1009" t="s">
        <v>1318</v>
      </c>
      <c r="B1009" t="s">
        <v>4938</v>
      </c>
      <c r="C1009" s="5" t="s">
        <v>7</v>
      </c>
      <c r="F1009" s="5" t="s">
        <v>4913</v>
      </c>
      <c r="G1009" s="5">
        <f t="shared" si="68"/>
        <v>21580</v>
      </c>
      <c r="I1009" s="6" t="str">
        <f t="shared" si="69"/>
        <v>0</v>
      </c>
      <c r="K1009" s="19" t="s">
        <v>4914</v>
      </c>
    </row>
    <row r="1010" spans="1:11">
      <c r="A1010" t="s">
        <v>1319</v>
      </c>
      <c r="B1010" t="s">
        <v>4939</v>
      </c>
      <c r="C1010" s="5" t="s">
        <v>7</v>
      </c>
      <c r="F1010" s="5" t="s">
        <v>4915</v>
      </c>
      <c r="G1010" s="5">
        <f t="shared" si="68"/>
        <v>21592</v>
      </c>
      <c r="I1010" s="6" t="str">
        <f t="shared" si="69"/>
        <v>0</v>
      </c>
      <c r="K1010" s="19" t="s">
        <v>4916</v>
      </c>
    </row>
    <row r="1011" spans="1:11">
      <c r="A1011" t="s">
        <v>1320</v>
      </c>
      <c r="B1011" t="s">
        <v>4940</v>
      </c>
      <c r="C1011" s="5" t="s">
        <v>7</v>
      </c>
      <c r="F1011" s="5" t="s">
        <v>4917</v>
      </c>
      <c r="G1011" s="5">
        <f t="shared" si="68"/>
        <v>21606</v>
      </c>
      <c r="I1011" s="6" t="str">
        <f t="shared" si="69"/>
        <v>0</v>
      </c>
      <c r="K1011" s="19" t="s">
        <v>4918</v>
      </c>
    </row>
    <row r="1012" spans="1:11">
      <c r="A1012" t="s">
        <v>1321</v>
      </c>
      <c r="B1012" t="s">
        <v>1322</v>
      </c>
      <c r="E1012" t="str">
        <f>IF(D1012&lt;&gt;"",C1012&amp;"/"&amp;D1012,"")</f>
        <v/>
      </c>
      <c r="G1012" s="5" t="str">
        <f t="shared" si="68"/>
        <v/>
      </c>
      <c r="I1012" s="6" t="str">
        <f t="shared" si="69"/>
        <v>0</v>
      </c>
    </row>
    <row r="1013" spans="1:11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68"/>
        <v/>
      </c>
      <c r="I1013" s="6" t="str">
        <f t="shared" si="69"/>
        <v>0</v>
      </c>
    </row>
    <row r="1014" spans="1:11">
      <c r="A1014" t="s">
        <v>1325</v>
      </c>
      <c r="B1014" t="s">
        <v>4919</v>
      </c>
      <c r="C1014" s="5" t="s">
        <v>7</v>
      </c>
      <c r="F1014" s="5" t="s">
        <v>4920</v>
      </c>
      <c r="G1014" s="5">
        <f t="shared" si="68"/>
        <v>21624</v>
      </c>
      <c r="I1014" s="6" t="str">
        <f t="shared" si="69"/>
        <v>0</v>
      </c>
      <c r="K1014" s="19" t="s">
        <v>4921</v>
      </c>
    </row>
    <row r="1015" spans="1:11">
      <c r="A1015" t="s">
        <v>1326</v>
      </c>
      <c r="B1015" t="s">
        <v>4922</v>
      </c>
      <c r="C1015" s="5" t="s">
        <v>7</v>
      </c>
      <c r="F1015" s="5" t="s">
        <v>4923</v>
      </c>
      <c r="G1015" s="5">
        <f t="shared" si="68"/>
        <v>21694</v>
      </c>
      <c r="I1015" s="6" t="str">
        <f t="shared" si="69"/>
        <v>0</v>
      </c>
      <c r="K1015" s="19" t="s">
        <v>4924</v>
      </c>
    </row>
    <row r="1016" spans="1:11">
      <c r="A1016" t="s">
        <v>1327</v>
      </c>
      <c r="B1016" t="s">
        <v>4925</v>
      </c>
      <c r="C1016" s="5" t="s">
        <v>7</v>
      </c>
      <c r="F1016" s="5" t="s">
        <v>4926</v>
      </c>
      <c r="G1016" s="5">
        <f t="shared" si="68"/>
        <v>21708</v>
      </c>
      <c r="I1016" s="6" t="str">
        <f t="shared" si="69"/>
        <v>0</v>
      </c>
      <c r="K1016" s="19" t="s">
        <v>4927</v>
      </c>
    </row>
    <row r="1017" spans="1:11">
      <c r="A1017" t="s">
        <v>1328</v>
      </c>
      <c r="B1017" t="s">
        <v>4928</v>
      </c>
      <c r="C1017" s="5" t="s">
        <v>7</v>
      </c>
      <c r="F1017" s="5" t="s">
        <v>4929</v>
      </c>
      <c r="G1017" s="5">
        <f t="shared" si="68"/>
        <v>21724</v>
      </c>
      <c r="I1017" s="6" t="str">
        <f t="shared" si="69"/>
        <v>0</v>
      </c>
      <c r="K1017" s="19" t="s">
        <v>4930</v>
      </c>
    </row>
    <row r="1018" spans="1:11">
      <c r="A1018" t="s">
        <v>1329</v>
      </c>
      <c r="B1018" t="s">
        <v>4931</v>
      </c>
      <c r="C1018" s="5" t="s">
        <v>7</v>
      </c>
      <c r="F1018" s="5" t="s">
        <v>4932</v>
      </c>
      <c r="G1018" s="5">
        <f t="shared" si="68"/>
        <v>21728</v>
      </c>
      <c r="I1018" s="6" t="str">
        <f t="shared" si="69"/>
        <v>0</v>
      </c>
      <c r="K1018" s="19" t="s">
        <v>4933</v>
      </c>
    </row>
    <row r="1019" spans="1:11">
      <c r="A1019" t="s">
        <v>1330</v>
      </c>
      <c r="B1019" t="s">
        <v>4934</v>
      </c>
      <c r="C1019" s="5" t="s">
        <v>7</v>
      </c>
      <c r="F1019" s="5" t="s">
        <v>4935</v>
      </c>
      <c r="G1019" s="5">
        <f t="shared" si="68"/>
        <v>21732</v>
      </c>
      <c r="I1019" s="6" t="str">
        <f t="shared" si="69"/>
        <v>0</v>
      </c>
      <c r="K1019" s="19" t="s">
        <v>4936</v>
      </c>
    </row>
    <row r="1020" spans="1:11">
      <c r="A1020" t="s">
        <v>1331</v>
      </c>
      <c r="B1020" t="s">
        <v>1332</v>
      </c>
      <c r="E1020" t="str">
        <f t="shared" ref="E1020:E1065" si="70">IF(D1020&lt;&gt;"",C1020&amp;"/"&amp;D1020,"")</f>
        <v/>
      </c>
      <c r="G1020" s="5" t="str">
        <f t="shared" si="68"/>
        <v/>
      </c>
      <c r="I1020" s="6" t="str">
        <f t="shared" si="69"/>
        <v>0</v>
      </c>
    </row>
    <row r="1021" spans="1:11">
      <c r="A1021" t="s">
        <v>1333</v>
      </c>
      <c r="B1021" t="s">
        <v>1334</v>
      </c>
      <c r="E1021" t="str">
        <f t="shared" si="70"/>
        <v/>
      </c>
      <c r="G1021" s="5" t="str">
        <f t="shared" si="68"/>
        <v/>
      </c>
      <c r="I1021" s="6" t="str">
        <f t="shared" si="69"/>
        <v>0</v>
      </c>
    </row>
    <row r="1022" spans="1:11">
      <c r="A1022" t="s">
        <v>1335</v>
      </c>
      <c r="B1022" t="s">
        <v>1336</v>
      </c>
      <c r="E1022" t="str">
        <f t="shared" si="70"/>
        <v/>
      </c>
      <c r="G1022" s="5" t="str">
        <f t="shared" si="68"/>
        <v/>
      </c>
      <c r="I1022" s="6" t="str">
        <f t="shared" si="69"/>
        <v>0</v>
      </c>
    </row>
    <row r="1023" spans="1:11">
      <c r="A1023" t="s">
        <v>1337</v>
      </c>
      <c r="B1023" t="s">
        <v>309</v>
      </c>
      <c r="E1023" t="str">
        <f t="shared" si="70"/>
        <v/>
      </c>
      <c r="G1023" s="5" t="str">
        <f t="shared" si="68"/>
        <v/>
      </c>
      <c r="I1023" s="6" t="str">
        <f t="shared" si="69"/>
        <v>0</v>
      </c>
    </row>
    <row r="1024" spans="1:11">
      <c r="A1024" t="s">
        <v>1338</v>
      </c>
      <c r="B1024" t="s">
        <v>309</v>
      </c>
      <c r="E1024" t="str">
        <f t="shared" si="70"/>
        <v/>
      </c>
      <c r="G1024" s="5" t="str">
        <f t="shared" si="68"/>
        <v/>
      </c>
      <c r="I1024" s="6" t="str">
        <f t="shared" si="69"/>
        <v>0</v>
      </c>
    </row>
    <row r="1025" spans="1:11">
      <c r="A1025" t="s">
        <v>1339</v>
      </c>
      <c r="B1025" t="s">
        <v>309</v>
      </c>
      <c r="E1025" t="str">
        <f t="shared" si="70"/>
        <v/>
      </c>
      <c r="G1025" s="5" t="str">
        <f t="shared" si="68"/>
        <v/>
      </c>
      <c r="I1025" s="6" t="str">
        <f t="shared" si="69"/>
        <v>0</v>
      </c>
    </row>
    <row r="1026" spans="1:11">
      <c r="A1026" t="s">
        <v>1340</v>
      </c>
      <c r="B1026" t="s">
        <v>309</v>
      </c>
      <c r="E1026" t="str">
        <f t="shared" si="70"/>
        <v/>
      </c>
      <c r="G1026" s="5" t="str">
        <f t="shared" ref="G1026:G1089" si="71">IF(F1026&lt;&gt;"",HEX2DEC(SUBSTITUTE(SUBSTITUTE(F1026,"adrEA",""),"$","")),"")</f>
        <v/>
      </c>
      <c r="I1026" s="6" t="str">
        <f t="shared" ref="I1026:I1089" si="72">IFERROR(DEC2HEX(H1026),"")</f>
        <v>0</v>
      </c>
    </row>
    <row r="1027" spans="1:11">
      <c r="A1027" t="s">
        <v>1341</v>
      </c>
      <c r="B1027" t="s">
        <v>309</v>
      </c>
      <c r="E1027" t="str">
        <f t="shared" si="70"/>
        <v/>
      </c>
      <c r="G1027" s="5" t="str">
        <f t="shared" si="71"/>
        <v/>
      </c>
      <c r="I1027" s="6" t="str">
        <f t="shared" si="72"/>
        <v>0</v>
      </c>
    </row>
    <row r="1028" spans="1:11">
      <c r="A1028" t="s">
        <v>1342</v>
      </c>
      <c r="B1028" t="s">
        <v>309</v>
      </c>
      <c r="E1028" t="str">
        <f t="shared" si="70"/>
        <v/>
      </c>
      <c r="G1028" s="5" t="str">
        <f t="shared" si="71"/>
        <v/>
      </c>
      <c r="I1028" s="6" t="str">
        <f t="shared" si="72"/>
        <v>0</v>
      </c>
    </row>
    <row r="1029" spans="1:11">
      <c r="A1029" t="s">
        <v>1343</v>
      </c>
      <c r="B1029" t="s">
        <v>309</v>
      </c>
      <c r="E1029" t="str">
        <f t="shared" si="70"/>
        <v/>
      </c>
      <c r="G1029" s="5" t="str">
        <f t="shared" si="71"/>
        <v/>
      </c>
      <c r="I1029" s="6" t="str">
        <f t="shared" si="72"/>
        <v>0</v>
      </c>
    </row>
    <row r="1030" spans="1:11">
      <c r="A1030" t="s">
        <v>1344</v>
      </c>
      <c r="B1030" t="s">
        <v>309</v>
      </c>
      <c r="E1030" t="str">
        <f t="shared" si="70"/>
        <v/>
      </c>
      <c r="G1030" s="5" t="str">
        <f t="shared" si="71"/>
        <v/>
      </c>
      <c r="I1030" s="6" t="str">
        <f t="shared" si="72"/>
        <v>0</v>
      </c>
    </row>
    <row r="1031" spans="1:11">
      <c r="A1031" t="s">
        <v>1345</v>
      </c>
      <c r="B1031" t="s">
        <v>309</v>
      </c>
      <c r="E1031" t="str">
        <f t="shared" si="70"/>
        <v/>
      </c>
      <c r="G1031" s="5" t="str">
        <f t="shared" si="71"/>
        <v/>
      </c>
      <c r="I1031" s="6" t="str">
        <f t="shared" si="72"/>
        <v>0</v>
      </c>
    </row>
    <row r="1032" spans="1:11">
      <c r="A1032" t="s">
        <v>1346</v>
      </c>
      <c r="B1032" t="s">
        <v>309</v>
      </c>
      <c r="E1032" t="str">
        <f t="shared" si="70"/>
        <v/>
      </c>
      <c r="G1032" s="5" t="str">
        <f t="shared" si="71"/>
        <v/>
      </c>
      <c r="I1032" s="6" t="str">
        <f t="shared" si="72"/>
        <v>0</v>
      </c>
    </row>
    <row r="1033" spans="1:11">
      <c r="A1033" t="s">
        <v>1347</v>
      </c>
      <c r="B1033" t="s">
        <v>309</v>
      </c>
      <c r="E1033" t="str">
        <f t="shared" si="70"/>
        <v/>
      </c>
      <c r="G1033" s="5" t="str">
        <f t="shared" si="71"/>
        <v/>
      </c>
      <c r="I1033" s="6" t="str">
        <f t="shared" si="72"/>
        <v>0</v>
      </c>
    </row>
    <row r="1034" spans="1:11">
      <c r="A1034" t="s">
        <v>1348</v>
      </c>
      <c r="B1034" t="s">
        <v>309</v>
      </c>
      <c r="E1034" t="str">
        <f t="shared" si="70"/>
        <v/>
      </c>
      <c r="G1034" s="5" t="str">
        <f t="shared" si="71"/>
        <v/>
      </c>
      <c r="I1034" s="6" t="str">
        <f t="shared" si="72"/>
        <v>0</v>
      </c>
    </row>
    <row r="1035" spans="1:11">
      <c r="A1035" t="s">
        <v>1349</v>
      </c>
      <c r="B1035" t="s">
        <v>1350</v>
      </c>
      <c r="E1035" t="str">
        <f t="shared" si="70"/>
        <v/>
      </c>
      <c r="G1035" s="5" t="str">
        <f t="shared" si="71"/>
        <v/>
      </c>
      <c r="I1035" s="6" t="str">
        <f t="shared" si="72"/>
        <v>0</v>
      </c>
    </row>
    <row r="1036" spans="1:11">
      <c r="A1036" t="s">
        <v>1351</v>
      </c>
      <c r="B1036" t="s">
        <v>1352</v>
      </c>
      <c r="E1036" t="str">
        <f t="shared" si="70"/>
        <v/>
      </c>
      <c r="G1036" s="5" t="str">
        <f t="shared" si="71"/>
        <v/>
      </c>
      <c r="I1036" s="6" t="str">
        <f t="shared" si="72"/>
        <v>0</v>
      </c>
    </row>
    <row r="1037" spans="1:11">
      <c r="A1037" t="s">
        <v>1353</v>
      </c>
      <c r="B1037" t="s">
        <v>1354</v>
      </c>
      <c r="E1037" t="str">
        <f t="shared" si="70"/>
        <v/>
      </c>
      <c r="G1037" s="5" t="str">
        <f t="shared" si="71"/>
        <v/>
      </c>
      <c r="I1037" s="6" t="str">
        <f t="shared" si="72"/>
        <v>0</v>
      </c>
    </row>
    <row r="1038" spans="1:11">
      <c r="A1038" t="s">
        <v>1355</v>
      </c>
      <c r="B1038" t="s">
        <v>1356</v>
      </c>
      <c r="E1038" t="str">
        <f t="shared" si="70"/>
        <v/>
      </c>
      <c r="G1038" s="5" t="str">
        <f t="shared" si="71"/>
        <v/>
      </c>
      <c r="I1038" s="6" t="str">
        <f t="shared" si="72"/>
        <v>0</v>
      </c>
    </row>
    <row r="1039" spans="1:11">
      <c r="A1039" t="s">
        <v>1357</v>
      </c>
      <c r="B1039" t="s">
        <v>5947</v>
      </c>
      <c r="G1039" s="5" t="str">
        <f t="shared" si="71"/>
        <v/>
      </c>
      <c r="I1039" s="6" t="str">
        <f t="shared" si="72"/>
        <v>0</v>
      </c>
      <c r="K1039" s="19" t="s">
        <v>5948</v>
      </c>
    </row>
    <row r="1040" spans="1:11">
      <c r="A1040" t="s">
        <v>1358</v>
      </c>
      <c r="B1040" t="s">
        <v>1359</v>
      </c>
      <c r="E1040" t="str">
        <f t="shared" si="70"/>
        <v/>
      </c>
      <c r="G1040" s="5" t="str">
        <f t="shared" si="71"/>
        <v/>
      </c>
      <c r="I1040" s="6" t="str">
        <f t="shared" si="72"/>
        <v>0</v>
      </c>
    </row>
    <row r="1041" spans="1:11">
      <c r="A1041" t="s">
        <v>1360</v>
      </c>
      <c r="B1041" t="s">
        <v>309</v>
      </c>
      <c r="E1041" t="str">
        <f t="shared" si="70"/>
        <v/>
      </c>
      <c r="G1041" s="5" t="str">
        <f t="shared" si="71"/>
        <v/>
      </c>
      <c r="I1041" s="6" t="str">
        <f t="shared" si="72"/>
        <v>0</v>
      </c>
    </row>
    <row r="1042" spans="1:11">
      <c r="A1042" t="s">
        <v>1361</v>
      </c>
      <c r="B1042" t="s">
        <v>309</v>
      </c>
      <c r="E1042" t="str">
        <f t="shared" si="70"/>
        <v/>
      </c>
      <c r="G1042" s="5" t="str">
        <f t="shared" si="71"/>
        <v/>
      </c>
      <c r="I1042" s="6" t="str">
        <f t="shared" si="72"/>
        <v>0</v>
      </c>
    </row>
    <row r="1043" spans="1:11">
      <c r="A1043" t="s">
        <v>1362</v>
      </c>
      <c r="B1043" t="s">
        <v>309</v>
      </c>
      <c r="E1043" t="str">
        <f t="shared" si="70"/>
        <v/>
      </c>
      <c r="G1043" s="5" t="str">
        <f t="shared" si="71"/>
        <v/>
      </c>
      <c r="I1043" s="6" t="str">
        <f t="shared" si="72"/>
        <v>0</v>
      </c>
    </row>
    <row r="1044" spans="1:11">
      <c r="A1044" t="s">
        <v>1363</v>
      </c>
      <c r="B1044" t="s">
        <v>309</v>
      </c>
      <c r="E1044" t="str">
        <f t="shared" si="70"/>
        <v/>
      </c>
      <c r="G1044" s="5" t="str">
        <f t="shared" si="71"/>
        <v/>
      </c>
      <c r="I1044" s="6" t="str">
        <f t="shared" si="72"/>
        <v>0</v>
      </c>
    </row>
    <row r="1045" spans="1:11">
      <c r="A1045" t="s">
        <v>1364</v>
      </c>
      <c r="B1045" t="s">
        <v>309</v>
      </c>
      <c r="E1045" t="str">
        <f t="shared" si="70"/>
        <v/>
      </c>
      <c r="G1045" s="5" t="str">
        <f t="shared" si="71"/>
        <v/>
      </c>
      <c r="I1045" s="6" t="str">
        <f t="shared" si="72"/>
        <v>0</v>
      </c>
    </row>
    <row r="1046" spans="1:11">
      <c r="A1046" t="s">
        <v>1365</v>
      </c>
      <c r="B1046" t="s">
        <v>309</v>
      </c>
      <c r="E1046" t="str">
        <f t="shared" si="70"/>
        <v/>
      </c>
      <c r="G1046" s="5" t="str">
        <f t="shared" si="71"/>
        <v/>
      </c>
      <c r="I1046" s="6" t="str">
        <f t="shared" si="72"/>
        <v>0</v>
      </c>
    </row>
    <row r="1047" spans="1:11">
      <c r="A1047" t="s">
        <v>1366</v>
      </c>
      <c r="B1047" t="s">
        <v>309</v>
      </c>
      <c r="E1047" t="str">
        <f t="shared" si="70"/>
        <v/>
      </c>
      <c r="G1047" s="5" t="str">
        <f t="shared" si="71"/>
        <v/>
      </c>
      <c r="I1047" s="6" t="str">
        <f t="shared" si="72"/>
        <v>0</v>
      </c>
    </row>
    <row r="1048" spans="1:11">
      <c r="A1048" t="s">
        <v>1367</v>
      </c>
      <c r="B1048" t="s">
        <v>309</v>
      </c>
      <c r="E1048" t="str">
        <f t="shared" si="70"/>
        <v/>
      </c>
      <c r="G1048" s="5" t="str">
        <f t="shared" si="71"/>
        <v/>
      </c>
      <c r="I1048" s="6" t="str">
        <f t="shared" si="72"/>
        <v>0</v>
      </c>
    </row>
    <row r="1049" spans="1:11">
      <c r="A1049" t="s">
        <v>1368</v>
      </c>
      <c r="B1049" t="s">
        <v>5949</v>
      </c>
      <c r="G1049" s="5" t="str">
        <f t="shared" si="71"/>
        <v/>
      </c>
      <c r="I1049" s="6" t="str">
        <f t="shared" si="72"/>
        <v>0</v>
      </c>
      <c r="K1049" s="19" t="s">
        <v>5950</v>
      </c>
    </row>
    <row r="1050" spans="1:11">
      <c r="A1050" t="s">
        <v>1369</v>
      </c>
      <c r="B1050" t="s">
        <v>5711</v>
      </c>
      <c r="G1050" s="5" t="str">
        <f t="shared" si="71"/>
        <v/>
      </c>
      <c r="I1050" s="6" t="str">
        <f t="shared" si="72"/>
        <v>0</v>
      </c>
      <c r="K1050" s="19" t="s">
        <v>5712</v>
      </c>
    </row>
    <row r="1051" spans="1:11">
      <c r="A1051" t="s">
        <v>1370</v>
      </c>
      <c r="B1051" t="s">
        <v>309</v>
      </c>
      <c r="E1051" t="str">
        <f t="shared" si="70"/>
        <v/>
      </c>
      <c r="G1051" s="5" t="str">
        <f t="shared" si="71"/>
        <v/>
      </c>
      <c r="I1051" s="6" t="str">
        <f t="shared" si="72"/>
        <v>0</v>
      </c>
    </row>
    <row r="1052" spans="1:11">
      <c r="A1052" t="s">
        <v>1371</v>
      </c>
      <c r="B1052" t="s">
        <v>309</v>
      </c>
      <c r="E1052" t="str">
        <f t="shared" si="70"/>
        <v/>
      </c>
      <c r="G1052" s="5" t="str">
        <f t="shared" si="71"/>
        <v/>
      </c>
      <c r="I1052" s="6" t="str">
        <f t="shared" si="72"/>
        <v>0</v>
      </c>
    </row>
    <row r="1053" spans="1:11">
      <c r="A1053" t="s">
        <v>1372</v>
      </c>
      <c r="B1053" t="s">
        <v>309</v>
      </c>
      <c r="E1053" t="str">
        <f t="shared" si="70"/>
        <v/>
      </c>
      <c r="G1053" s="5" t="str">
        <f t="shared" si="71"/>
        <v/>
      </c>
      <c r="I1053" s="6" t="str">
        <f t="shared" si="72"/>
        <v>0</v>
      </c>
    </row>
    <row r="1054" spans="1:11">
      <c r="A1054" t="s">
        <v>1373</v>
      </c>
      <c r="B1054" t="s">
        <v>309</v>
      </c>
      <c r="E1054" t="str">
        <f t="shared" si="70"/>
        <v/>
      </c>
      <c r="G1054" s="5" t="str">
        <f t="shared" si="71"/>
        <v/>
      </c>
      <c r="I1054" s="6" t="str">
        <f t="shared" si="72"/>
        <v>0</v>
      </c>
    </row>
    <row r="1055" spans="1:11">
      <c r="A1055" t="s">
        <v>1374</v>
      </c>
      <c r="B1055" t="s">
        <v>309</v>
      </c>
      <c r="E1055" t="str">
        <f t="shared" si="70"/>
        <v/>
      </c>
      <c r="G1055" s="5" t="str">
        <f t="shared" si="71"/>
        <v/>
      </c>
      <c r="I1055" s="6" t="str">
        <f t="shared" si="72"/>
        <v>0</v>
      </c>
    </row>
    <row r="1056" spans="1:11">
      <c r="A1056" t="s">
        <v>1375</v>
      </c>
      <c r="B1056" t="s">
        <v>309</v>
      </c>
      <c r="E1056" t="str">
        <f t="shared" si="70"/>
        <v/>
      </c>
      <c r="G1056" s="5" t="str">
        <f t="shared" si="71"/>
        <v/>
      </c>
      <c r="I1056" s="6" t="str">
        <f t="shared" si="72"/>
        <v>0</v>
      </c>
    </row>
    <row r="1057" spans="1:12">
      <c r="A1057" t="s">
        <v>1376</v>
      </c>
      <c r="B1057" t="s">
        <v>309</v>
      </c>
      <c r="E1057" t="str">
        <f t="shared" si="70"/>
        <v/>
      </c>
      <c r="G1057" s="5" t="str">
        <f t="shared" si="71"/>
        <v/>
      </c>
      <c r="I1057" s="6" t="str">
        <f t="shared" si="72"/>
        <v>0</v>
      </c>
    </row>
    <row r="1058" spans="1:12">
      <c r="A1058" t="s">
        <v>1377</v>
      </c>
      <c r="B1058" t="s">
        <v>309</v>
      </c>
      <c r="E1058" t="str">
        <f t="shared" si="70"/>
        <v/>
      </c>
      <c r="G1058" s="5" t="str">
        <f t="shared" si="71"/>
        <v/>
      </c>
      <c r="I1058" s="6" t="str">
        <f t="shared" si="72"/>
        <v>0</v>
      </c>
    </row>
    <row r="1059" spans="1:12">
      <c r="A1059" t="s">
        <v>1378</v>
      </c>
      <c r="B1059" t="s">
        <v>309</v>
      </c>
      <c r="E1059" t="str">
        <f t="shared" si="70"/>
        <v/>
      </c>
      <c r="G1059" s="5" t="str">
        <f t="shared" si="71"/>
        <v/>
      </c>
      <c r="I1059" s="6" t="str">
        <f t="shared" si="72"/>
        <v>0</v>
      </c>
    </row>
    <row r="1060" spans="1:12">
      <c r="A1060" t="s">
        <v>1379</v>
      </c>
      <c r="B1060" t="s">
        <v>309</v>
      </c>
      <c r="E1060" t="str">
        <f t="shared" si="70"/>
        <v/>
      </c>
      <c r="G1060" s="5" t="str">
        <f t="shared" si="71"/>
        <v/>
      </c>
      <c r="I1060" s="6" t="str">
        <f t="shared" si="72"/>
        <v>0</v>
      </c>
    </row>
    <row r="1061" spans="1:12">
      <c r="A1061" t="s">
        <v>1380</v>
      </c>
      <c r="B1061" t="s">
        <v>309</v>
      </c>
      <c r="E1061" t="str">
        <f t="shared" si="70"/>
        <v/>
      </c>
      <c r="G1061" s="5" t="str">
        <f t="shared" si="71"/>
        <v/>
      </c>
      <c r="I1061" s="6" t="str">
        <f t="shared" si="72"/>
        <v>0</v>
      </c>
    </row>
    <row r="1062" spans="1:12">
      <c r="A1062" t="s">
        <v>1381</v>
      </c>
      <c r="B1062" t="s">
        <v>5580</v>
      </c>
      <c r="G1062" s="5" t="str">
        <f t="shared" si="71"/>
        <v/>
      </c>
      <c r="I1062" s="6" t="str">
        <f t="shared" si="72"/>
        <v>0</v>
      </c>
      <c r="K1062" s="19" t="s">
        <v>5581</v>
      </c>
    </row>
    <row r="1063" spans="1:12">
      <c r="A1063" t="s">
        <v>1382</v>
      </c>
      <c r="B1063" t="s">
        <v>309</v>
      </c>
      <c r="E1063" t="str">
        <f t="shared" si="70"/>
        <v/>
      </c>
      <c r="G1063" s="5" t="str">
        <f t="shared" si="71"/>
        <v/>
      </c>
      <c r="I1063" s="6" t="str">
        <f t="shared" si="72"/>
        <v>0</v>
      </c>
    </row>
    <row r="1064" spans="1:12">
      <c r="A1064" t="s">
        <v>1384</v>
      </c>
      <c r="B1064" t="s">
        <v>3311</v>
      </c>
      <c r="E1064" t="str">
        <f t="shared" si="70"/>
        <v/>
      </c>
      <c r="G1064" s="5" t="str">
        <f t="shared" si="71"/>
        <v/>
      </c>
      <c r="I1064" s="6" t="str">
        <f t="shared" si="72"/>
        <v>0</v>
      </c>
    </row>
    <row r="1065" spans="1:12">
      <c r="A1065" t="s">
        <v>1385</v>
      </c>
      <c r="B1065" t="s">
        <v>3301</v>
      </c>
      <c r="E1065" t="str">
        <f t="shared" si="70"/>
        <v/>
      </c>
      <c r="G1065" s="5" t="str">
        <f t="shared" si="71"/>
        <v/>
      </c>
      <c r="I1065" s="6" t="str">
        <f t="shared" si="72"/>
        <v>0</v>
      </c>
      <c r="L1065" s="19"/>
    </row>
    <row r="1066" spans="1:12">
      <c r="A1066" t="s">
        <v>1389</v>
      </c>
      <c r="B1066" t="s">
        <v>5204</v>
      </c>
      <c r="C1066" s="5" t="s">
        <v>5205</v>
      </c>
      <c r="G1066" s="5" t="str">
        <f t="shared" si="71"/>
        <v/>
      </c>
      <c r="I1066" s="6" t="str">
        <f t="shared" si="72"/>
        <v>0</v>
      </c>
      <c r="K1066" s="24" t="s">
        <v>5218</v>
      </c>
      <c r="L1066" s="19"/>
    </row>
    <row r="1067" spans="1:12">
      <c r="A1067" t="s">
        <v>1390</v>
      </c>
      <c r="B1067" t="s">
        <v>4941</v>
      </c>
      <c r="C1067" s="5" t="s">
        <v>48</v>
      </c>
      <c r="D1067" t="s">
        <v>4942</v>
      </c>
      <c r="E1067" t="s">
        <v>4941</v>
      </c>
      <c r="F1067" s="5" t="s">
        <v>4932</v>
      </c>
      <c r="G1067" s="5">
        <f t="shared" si="71"/>
        <v>21728</v>
      </c>
      <c r="H1067" s="5">
        <v>24</v>
      </c>
      <c r="I1067" s="6" t="str">
        <f t="shared" si="72"/>
        <v>18</v>
      </c>
      <c r="J1067" s="6" t="s">
        <v>3414</v>
      </c>
      <c r="K1067" s="19" t="s">
        <v>5219</v>
      </c>
    </row>
    <row r="1068" spans="1:12">
      <c r="A1068" t="s">
        <v>1392</v>
      </c>
      <c r="B1068" t="s">
        <v>1393</v>
      </c>
      <c r="C1068" s="5" t="s">
        <v>5205</v>
      </c>
      <c r="G1068" s="5" t="str">
        <f t="shared" si="71"/>
        <v/>
      </c>
      <c r="I1068" s="6" t="str">
        <f t="shared" si="72"/>
        <v>0</v>
      </c>
      <c r="K1068" s="24" t="s">
        <v>5221</v>
      </c>
      <c r="L1068" s="19"/>
    </row>
    <row r="1069" spans="1:12">
      <c r="A1069" t="s">
        <v>1395</v>
      </c>
      <c r="B1069" t="s">
        <v>4957</v>
      </c>
      <c r="C1069" s="5" t="s">
        <v>5205</v>
      </c>
      <c r="G1069" s="5" t="str">
        <f t="shared" si="71"/>
        <v/>
      </c>
      <c r="I1069" s="6" t="str">
        <f t="shared" si="72"/>
        <v>0</v>
      </c>
      <c r="K1069" s="24" t="s">
        <v>5223</v>
      </c>
      <c r="L1069" s="19"/>
    </row>
    <row r="1070" spans="1:12">
      <c r="A1070" t="s">
        <v>1396</v>
      </c>
      <c r="B1070" t="s">
        <v>4571</v>
      </c>
      <c r="C1070" s="5" t="s">
        <v>48</v>
      </c>
      <c r="D1070" t="s">
        <v>5206</v>
      </c>
      <c r="E1070" t="s">
        <v>4571</v>
      </c>
      <c r="F1070" s="5" t="s">
        <v>5379</v>
      </c>
      <c r="G1070" s="5">
        <f t="shared" si="71"/>
        <v>21864</v>
      </c>
      <c r="H1070" s="5">
        <v>8</v>
      </c>
      <c r="I1070" s="6" t="str">
        <f t="shared" si="72"/>
        <v>8</v>
      </c>
      <c r="J1070" s="6" t="s">
        <v>3414</v>
      </c>
      <c r="K1070" s="19" t="s">
        <v>5224</v>
      </c>
    </row>
    <row r="1071" spans="1:12">
      <c r="A1071" t="s">
        <v>1397</v>
      </c>
      <c r="B1071" t="s">
        <v>3088</v>
      </c>
      <c r="G1071" s="5" t="str">
        <f t="shared" si="71"/>
        <v/>
      </c>
      <c r="I1071" s="6" t="str">
        <f t="shared" si="72"/>
        <v>0</v>
      </c>
      <c r="K1071" s="19" t="s">
        <v>4514</v>
      </c>
      <c r="L1071" s="19"/>
    </row>
    <row r="1072" spans="1:12">
      <c r="A1072" t="s">
        <v>1398</v>
      </c>
      <c r="B1072" t="s">
        <v>3087</v>
      </c>
      <c r="G1072" s="5" t="str">
        <f t="shared" si="71"/>
        <v/>
      </c>
      <c r="I1072" s="6" t="str">
        <f t="shared" si="72"/>
        <v>0</v>
      </c>
      <c r="K1072" s="19" t="s">
        <v>4515</v>
      </c>
      <c r="L1072" s="19"/>
    </row>
    <row r="1073" spans="1:12">
      <c r="A1073" t="s">
        <v>1399</v>
      </c>
      <c r="B1073" t="s">
        <v>3089</v>
      </c>
      <c r="G1073" s="5" t="str">
        <f t="shared" si="71"/>
        <v/>
      </c>
      <c r="I1073" s="6" t="str">
        <f t="shared" si="72"/>
        <v>0</v>
      </c>
      <c r="K1073" s="19" t="s">
        <v>4516</v>
      </c>
      <c r="L1073" s="19"/>
    </row>
    <row r="1074" spans="1:12">
      <c r="A1074" t="s">
        <v>1401</v>
      </c>
      <c r="B1074" t="s">
        <v>3091</v>
      </c>
      <c r="G1074" s="5" t="str">
        <f t="shared" si="71"/>
        <v/>
      </c>
      <c r="I1074" s="6" t="str">
        <f t="shared" si="72"/>
        <v>0</v>
      </c>
      <c r="K1074" s="19" t="s">
        <v>4517</v>
      </c>
      <c r="L1074" s="19"/>
    </row>
    <row r="1075" spans="1:12">
      <c r="A1075" t="s">
        <v>1402</v>
      </c>
      <c r="B1075" t="s">
        <v>3093</v>
      </c>
      <c r="E1075" t="str">
        <f>IF(D1075&lt;&gt;"",C1075&amp;"/"&amp;D1075,"")</f>
        <v/>
      </c>
      <c r="G1075" s="5" t="str">
        <f t="shared" si="71"/>
        <v/>
      </c>
      <c r="I1075" s="6" t="str">
        <f t="shared" si="72"/>
        <v>0</v>
      </c>
      <c r="L1075" s="19"/>
    </row>
    <row r="1076" spans="1:12">
      <c r="A1076" t="s">
        <v>1403</v>
      </c>
      <c r="B1076" t="s">
        <v>3092</v>
      </c>
      <c r="G1076" s="5" t="str">
        <f t="shared" si="71"/>
        <v/>
      </c>
      <c r="I1076" s="6" t="str">
        <f t="shared" si="72"/>
        <v>0</v>
      </c>
      <c r="K1076" s="19" t="s">
        <v>4518</v>
      </c>
      <c r="L1076" s="19"/>
    </row>
    <row r="1077" spans="1:12">
      <c r="A1077" t="s">
        <v>1404</v>
      </c>
      <c r="B1077" t="s">
        <v>1405</v>
      </c>
      <c r="E1077" t="str">
        <f t="shared" ref="E1077:E1091" si="73">IF(D1077&lt;&gt;"",C1077&amp;"/"&amp;D1077,"")</f>
        <v/>
      </c>
      <c r="G1077" s="5" t="str">
        <f t="shared" si="71"/>
        <v/>
      </c>
      <c r="I1077" s="6" t="str">
        <f t="shared" si="72"/>
        <v>0</v>
      </c>
      <c r="L1077" s="19"/>
    </row>
    <row r="1078" spans="1:12">
      <c r="A1078" t="s">
        <v>1406</v>
      </c>
      <c r="B1078" t="s">
        <v>1407</v>
      </c>
      <c r="E1078" t="str">
        <f t="shared" si="73"/>
        <v/>
      </c>
      <c r="G1078" s="5" t="str">
        <f t="shared" si="71"/>
        <v/>
      </c>
      <c r="I1078" s="6" t="str">
        <f t="shared" si="72"/>
        <v>0</v>
      </c>
      <c r="L1078" s="19"/>
    </row>
    <row r="1079" spans="1:12">
      <c r="A1079" t="s">
        <v>1408</v>
      </c>
      <c r="B1079" t="s">
        <v>1408</v>
      </c>
      <c r="E1079" t="str">
        <f t="shared" si="73"/>
        <v/>
      </c>
      <c r="G1079" s="5" t="str">
        <f t="shared" si="71"/>
        <v/>
      </c>
      <c r="I1079" s="6" t="str">
        <f t="shared" si="72"/>
        <v>0</v>
      </c>
      <c r="L1079" s="19"/>
    </row>
    <row r="1080" spans="1:12">
      <c r="A1080" t="s">
        <v>1409</v>
      </c>
      <c r="B1080" t="s">
        <v>1410</v>
      </c>
      <c r="E1080" t="str">
        <f t="shared" si="73"/>
        <v/>
      </c>
      <c r="G1080" s="5" t="str">
        <f t="shared" si="71"/>
        <v/>
      </c>
      <c r="I1080" s="6" t="str">
        <f t="shared" si="72"/>
        <v>0</v>
      </c>
      <c r="L1080" s="19"/>
    </row>
    <row r="1081" spans="1:12">
      <c r="A1081" t="s">
        <v>1411</v>
      </c>
      <c r="B1081" t="s">
        <v>1412</v>
      </c>
      <c r="E1081" t="str">
        <f t="shared" si="73"/>
        <v/>
      </c>
      <c r="G1081" s="5" t="str">
        <f t="shared" si="71"/>
        <v/>
      </c>
      <c r="I1081" s="6" t="str">
        <f t="shared" si="72"/>
        <v>0</v>
      </c>
    </row>
    <row r="1082" spans="1:12">
      <c r="A1082" t="s">
        <v>1413</v>
      </c>
      <c r="B1082" t="s">
        <v>1414</v>
      </c>
      <c r="E1082" t="str">
        <f t="shared" si="73"/>
        <v/>
      </c>
      <c r="G1082" s="5" t="str">
        <f t="shared" si="71"/>
        <v/>
      </c>
      <c r="I1082" s="6" t="str">
        <f t="shared" si="72"/>
        <v>0</v>
      </c>
    </row>
    <row r="1083" spans="1:12">
      <c r="A1083" t="s">
        <v>1415</v>
      </c>
      <c r="B1083" t="s">
        <v>1416</v>
      </c>
      <c r="E1083" t="str">
        <f t="shared" si="73"/>
        <v/>
      </c>
      <c r="G1083" s="5" t="str">
        <f t="shared" si="71"/>
        <v/>
      </c>
      <c r="I1083" s="6" t="str">
        <f t="shared" si="72"/>
        <v>0</v>
      </c>
    </row>
    <row r="1084" spans="1:12">
      <c r="A1084" t="s">
        <v>1417</v>
      </c>
      <c r="B1084" t="s">
        <v>1418</v>
      </c>
      <c r="E1084" t="str">
        <f t="shared" si="73"/>
        <v/>
      </c>
      <c r="G1084" s="5" t="str">
        <f t="shared" si="71"/>
        <v/>
      </c>
      <c r="I1084" s="6" t="str">
        <f t="shared" si="72"/>
        <v>0</v>
      </c>
    </row>
    <row r="1085" spans="1:12">
      <c r="A1085" t="s">
        <v>1419</v>
      </c>
      <c r="B1085" t="s">
        <v>5601</v>
      </c>
      <c r="G1085" s="5" t="str">
        <f t="shared" si="71"/>
        <v/>
      </c>
      <c r="I1085" s="6" t="str">
        <f t="shared" si="72"/>
        <v>0</v>
      </c>
      <c r="K1085" s="19" t="s">
        <v>5602</v>
      </c>
    </row>
    <row r="1086" spans="1:12">
      <c r="A1086" t="s">
        <v>1420</v>
      </c>
      <c r="B1086" t="s">
        <v>309</v>
      </c>
      <c r="E1086" t="str">
        <f t="shared" si="73"/>
        <v/>
      </c>
      <c r="G1086" s="5" t="str">
        <f t="shared" si="71"/>
        <v/>
      </c>
      <c r="I1086" s="6" t="str">
        <f t="shared" si="72"/>
        <v>0</v>
      </c>
    </row>
    <row r="1087" spans="1:12">
      <c r="A1087" t="s">
        <v>1421</v>
      </c>
      <c r="B1087" t="s">
        <v>309</v>
      </c>
      <c r="E1087" t="str">
        <f t="shared" si="73"/>
        <v/>
      </c>
      <c r="G1087" s="5" t="str">
        <f t="shared" si="71"/>
        <v/>
      </c>
      <c r="I1087" s="6" t="str">
        <f t="shared" si="72"/>
        <v>0</v>
      </c>
    </row>
    <row r="1088" spans="1:12">
      <c r="A1088" t="s">
        <v>1422</v>
      </c>
      <c r="B1088" t="s">
        <v>1423</v>
      </c>
      <c r="E1088" t="str">
        <f t="shared" si="73"/>
        <v/>
      </c>
      <c r="G1088" s="5" t="str">
        <f t="shared" si="71"/>
        <v/>
      </c>
      <c r="I1088" s="6" t="str">
        <f t="shared" si="72"/>
        <v>0</v>
      </c>
    </row>
    <row r="1089" spans="1:12">
      <c r="A1089" t="s">
        <v>1424</v>
      </c>
      <c r="B1089" t="s">
        <v>1425</v>
      </c>
      <c r="E1089" t="str">
        <f t="shared" si="73"/>
        <v/>
      </c>
      <c r="G1089" s="5" t="str">
        <f t="shared" si="71"/>
        <v/>
      </c>
      <c r="I1089" s="6" t="str">
        <f t="shared" si="72"/>
        <v>0</v>
      </c>
    </row>
    <row r="1090" spans="1:12">
      <c r="A1090" t="s">
        <v>1426</v>
      </c>
      <c r="B1090" t="s">
        <v>1427</v>
      </c>
      <c r="E1090" t="str">
        <f t="shared" si="73"/>
        <v/>
      </c>
      <c r="G1090" s="5" t="str">
        <f t="shared" ref="G1090:G1153" si="74">IF(F1090&lt;&gt;"",HEX2DEC(SUBSTITUTE(SUBSTITUTE(F1090,"adrEA",""),"$","")),"")</f>
        <v/>
      </c>
      <c r="I1090" s="6" t="str">
        <f t="shared" ref="I1090:I1153" si="75">IFERROR(DEC2HEX(H1090),"")</f>
        <v>0</v>
      </c>
    </row>
    <row r="1091" spans="1:12">
      <c r="A1091" t="s">
        <v>1428</v>
      </c>
      <c r="B1091" t="s">
        <v>309</v>
      </c>
      <c r="E1091" t="str">
        <f t="shared" si="73"/>
        <v/>
      </c>
      <c r="G1091" s="5" t="str">
        <f t="shared" si="74"/>
        <v/>
      </c>
      <c r="I1091" s="6" t="str">
        <f t="shared" si="75"/>
        <v>0</v>
      </c>
    </row>
    <row r="1092" spans="1:12">
      <c r="A1092" t="s">
        <v>1429</v>
      </c>
      <c r="B1092" t="s">
        <v>3090</v>
      </c>
      <c r="C1092" s="7"/>
      <c r="G1092" s="5" t="str">
        <f t="shared" si="74"/>
        <v/>
      </c>
      <c r="I1092" s="6" t="str">
        <f t="shared" si="75"/>
        <v>0</v>
      </c>
      <c r="L1092" s="24" t="s">
        <v>5393</v>
      </c>
    </row>
    <row r="1093" spans="1:12">
      <c r="A1093" t="s">
        <v>1430</v>
      </c>
      <c r="B1093" t="s">
        <v>1431</v>
      </c>
      <c r="C1093" s="7"/>
      <c r="G1093" s="5" t="str">
        <f t="shared" si="74"/>
        <v/>
      </c>
      <c r="I1093" s="6" t="str">
        <f t="shared" si="75"/>
        <v>0</v>
      </c>
      <c r="L1093" s="24" t="s">
        <v>5394</v>
      </c>
    </row>
    <row r="1094" spans="1:12">
      <c r="A1094" t="s">
        <v>1432</v>
      </c>
      <c r="B1094" t="s">
        <v>1433</v>
      </c>
      <c r="C1094" s="7"/>
      <c r="G1094" s="5" t="str">
        <f t="shared" si="74"/>
        <v/>
      </c>
      <c r="I1094" s="6" t="str">
        <f t="shared" si="75"/>
        <v>0</v>
      </c>
      <c r="L1094" s="24" t="s">
        <v>5395</v>
      </c>
    </row>
    <row r="1095" spans="1:12">
      <c r="A1095" t="s">
        <v>1434</v>
      </c>
      <c r="B1095" t="s">
        <v>5396</v>
      </c>
      <c r="C1095" s="7"/>
      <c r="G1095" s="5" t="str">
        <f t="shared" si="74"/>
        <v/>
      </c>
      <c r="I1095" s="6" t="str">
        <f t="shared" si="75"/>
        <v>0</v>
      </c>
      <c r="L1095" s="24" t="s">
        <v>5397</v>
      </c>
    </row>
    <row r="1096" spans="1:12">
      <c r="A1096" t="s">
        <v>1435</v>
      </c>
      <c r="B1096" t="s">
        <v>5398</v>
      </c>
      <c r="C1096" s="7"/>
      <c r="G1096" s="5" t="str">
        <f t="shared" si="74"/>
        <v/>
      </c>
      <c r="I1096" s="6" t="str">
        <f t="shared" si="75"/>
        <v>0</v>
      </c>
      <c r="L1096" s="24" t="s">
        <v>5399</v>
      </c>
    </row>
    <row r="1097" spans="1:12">
      <c r="A1097" t="s">
        <v>1436</v>
      </c>
      <c r="B1097" t="s">
        <v>5400</v>
      </c>
      <c r="C1097" s="7"/>
      <c r="G1097" s="5" t="str">
        <f t="shared" si="74"/>
        <v/>
      </c>
      <c r="I1097" s="6" t="str">
        <f t="shared" si="75"/>
        <v>0</v>
      </c>
      <c r="L1097" s="24" t="s">
        <v>5401</v>
      </c>
    </row>
    <row r="1098" spans="1:12">
      <c r="A1098" t="s">
        <v>1437</v>
      </c>
      <c r="B1098" t="s">
        <v>1438</v>
      </c>
      <c r="C1098" s="7"/>
      <c r="G1098" s="5" t="str">
        <f t="shared" si="74"/>
        <v/>
      </c>
      <c r="I1098" s="6" t="str">
        <f t="shared" si="75"/>
        <v>0</v>
      </c>
      <c r="L1098" s="24" t="s">
        <v>5402</v>
      </c>
    </row>
    <row r="1099" spans="1:12">
      <c r="A1099" t="s">
        <v>1439</v>
      </c>
      <c r="B1099" t="s">
        <v>5403</v>
      </c>
      <c r="C1099" s="7"/>
      <c r="G1099" s="5" t="str">
        <f t="shared" si="74"/>
        <v/>
      </c>
      <c r="I1099" s="6" t="str">
        <f t="shared" si="75"/>
        <v>0</v>
      </c>
      <c r="L1099" s="24" t="s">
        <v>5404</v>
      </c>
    </row>
    <row r="1100" spans="1:12">
      <c r="A1100" t="s">
        <v>1440</v>
      </c>
      <c r="B1100" t="s">
        <v>5405</v>
      </c>
      <c r="C1100" s="7"/>
      <c r="G1100" s="5" t="str">
        <f t="shared" si="74"/>
        <v/>
      </c>
      <c r="I1100" s="6" t="str">
        <f t="shared" si="75"/>
        <v>0</v>
      </c>
      <c r="L1100" s="24" t="s">
        <v>5406</v>
      </c>
    </row>
    <row r="1101" spans="1:12">
      <c r="A1101" t="s">
        <v>1441</v>
      </c>
      <c r="B1101" t="s">
        <v>309</v>
      </c>
      <c r="E1101" t="str">
        <f t="shared" ref="E1101:E1124" si="76">IF(D1101&lt;&gt;"",C1101&amp;"/"&amp;D1101,"")</f>
        <v/>
      </c>
      <c r="G1101" s="5" t="str">
        <f t="shared" si="74"/>
        <v/>
      </c>
      <c r="I1101" s="6" t="str">
        <f t="shared" si="75"/>
        <v>0</v>
      </c>
    </row>
    <row r="1102" spans="1:12">
      <c r="A1102" t="s">
        <v>1442</v>
      </c>
      <c r="B1102" t="s">
        <v>5713</v>
      </c>
      <c r="G1102" s="5" t="str">
        <f t="shared" si="74"/>
        <v/>
      </c>
      <c r="I1102" s="6" t="str">
        <f t="shared" si="75"/>
        <v>0</v>
      </c>
      <c r="K1102" s="19" t="s">
        <v>5714</v>
      </c>
    </row>
    <row r="1103" spans="1:12">
      <c r="A1103" t="s">
        <v>1443</v>
      </c>
      <c r="B1103" t="s">
        <v>309</v>
      </c>
      <c r="E1103" t="str">
        <f t="shared" si="76"/>
        <v/>
      </c>
      <c r="G1103" s="5" t="str">
        <f t="shared" si="74"/>
        <v/>
      </c>
      <c r="I1103" s="6" t="str">
        <f t="shared" si="75"/>
        <v>0</v>
      </c>
    </row>
    <row r="1104" spans="1:12">
      <c r="A1104" t="s">
        <v>1444</v>
      </c>
      <c r="B1104" t="s">
        <v>5715</v>
      </c>
      <c r="G1104" s="5" t="str">
        <f t="shared" si="74"/>
        <v/>
      </c>
      <c r="I1104" s="6" t="str">
        <f t="shared" si="75"/>
        <v>0</v>
      </c>
      <c r="K1104" s="19" t="s">
        <v>5716</v>
      </c>
    </row>
    <row r="1105" spans="1:11">
      <c r="A1105" t="s">
        <v>1445</v>
      </c>
      <c r="B1105" t="s">
        <v>309</v>
      </c>
      <c r="E1105" t="str">
        <f t="shared" si="76"/>
        <v/>
      </c>
      <c r="G1105" s="5" t="str">
        <f t="shared" si="74"/>
        <v/>
      </c>
      <c r="I1105" s="6" t="str">
        <f t="shared" si="75"/>
        <v>0</v>
      </c>
    </row>
    <row r="1106" spans="1:11">
      <c r="A1106" t="s">
        <v>1446</v>
      </c>
      <c r="B1106" t="s">
        <v>309</v>
      </c>
      <c r="E1106" t="str">
        <f t="shared" si="76"/>
        <v/>
      </c>
      <c r="G1106" s="5" t="str">
        <f t="shared" si="74"/>
        <v/>
      </c>
      <c r="I1106" s="6" t="str">
        <f t="shared" si="75"/>
        <v>0</v>
      </c>
    </row>
    <row r="1107" spans="1:11">
      <c r="A1107" t="s">
        <v>1447</v>
      </c>
      <c r="B1107" t="s">
        <v>309</v>
      </c>
      <c r="E1107" t="str">
        <f t="shared" si="76"/>
        <v/>
      </c>
      <c r="G1107" s="5" t="str">
        <f t="shared" si="74"/>
        <v/>
      </c>
      <c r="I1107" s="6" t="str">
        <f t="shared" si="75"/>
        <v>0</v>
      </c>
    </row>
    <row r="1108" spans="1:11">
      <c r="A1108" t="s">
        <v>1448</v>
      </c>
      <c r="B1108" t="s">
        <v>309</v>
      </c>
      <c r="E1108" t="str">
        <f t="shared" si="76"/>
        <v/>
      </c>
      <c r="G1108" s="5" t="str">
        <f t="shared" si="74"/>
        <v/>
      </c>
      <c r="I1108" s="6" t="str">
        <f t="shared" si="75"/>
        <v>0</v>
      </c>
    </row>
    <row r="1109" spans="1:11">
      <c r="A1109" t="s">
        <v>1449</v>
      </c>
      <c r="B1109" t="s">
        <v>309</v>
      </c>
      <c r="E1109" t="str">
        <f t="shared" si="76"/>
        <v/>
      </c>
      <c r="G1109" s="5" t="str">
        <f t="shared" si="74"/>
        <v/>
      </c>
      <c r="I1109" s="6" t="str">
        <f t="shared" si="75"/>
        <v>0</v>
      </c>
    </row>
    <row r="1110" spans="1:11">
      <c r="A1110" t="s">
        <v>1450</v>
      </c>
      <c r="B1110" t="s">
        <v>309</v>
      </c>
      <c r="E1110" t="str">
        <f t="shared" si="76"/>
        <v/>
      </c>
      <c r="G1110" s="5" t="str">
        <f t="shared" si="74"/>
        <v/>
      </c>
      <c r="I1110" s="6" t="str">
        <f t="shared" si="75"/>
        <v>0</v>
      </c>
    </row>
    <row r="1111" spans="1:11">
      <c r="A1111" t="s">
        <v>1451</v>
      </c>
      <c r="B1111" t="s">
        <v>5717</v>
      </c>
      <c r="G1111" s="5" t="str">
        <f t="shared" si="74"/>
        <v/>
      </c>
      <c r="I1111" s="6" t="str">
        <f t="shared" si="75"/>
        <v>0</v>
      </c>
      <c r="K1111" s="19" t="s">
        <v>5718</v>
      </c>
    </row>
    <row r="1112" spans="1:11">
      <c r="A1112" t="s">
        <v>1452</v>
      </c>
      <c r="B1112" t="s">
        <v>5719</v>
      </c>
      <c r="G1112" s="5" t="str">
        <f t="shared" si="74"/>
        <v/>
      </c>
      <c r="I1112" s="6" t="str">
        <f t="shared" si="75"/>
        <v>0</v>
      </c>
      <c r="K1112" s="19" t="s">
        <v>5720</v>
      </c>
    </row>
    <row r="1113" spans="1:11">
      <c r="A1113" t="s">
        <v>1453</v>
      </c>
      <c r="B1113" t="s">
        <v>309</v>
      </c>
      <c r="E1113" t="str">
        <f t="shared" si="76"/>
        <v/>
      </c>
      <c r="G1113" s="5" t="str">
        <f t="shared" si="74"/>
        <v/>
      </c>
      <c r="I1113" s="6" t="str">
        <f t="shared" si="75"/>
        <v>0</v>
      </c>
    </row>
    <row r="1114" spans="1:11">
      <c r="A1114" t="s">
        <v>1454</v>
      </c>
      <c r="B1114" t="s">
        <v>309</v>
      </c>
      <c r="E1114" t="str">
        <f t="shared" si="76"/>
        <v/>
      </c>
      <c r="G1114" s="5" t="str">
        <f t="shared" si="74"/>
        <v/>
      </c>
      <c r="I1114" s="6" t="str">
        <f t="shared" si="75"/>
        <v>0</v>
      </c>
    </row>
    <row r="1115" spans="1:11">
      <c r="A1115" t="s">
        <v>1455</v>
      </c>
      <c r="B1115" t="s">
        <v>309</v>
      </c>
      <c r="E1115" t="str">
        <f t="shared" si="76"/>
        <v/>
      </c>
      <c r="G1115" s="5" t="str">
        <f t="shared" si="74"/>
        <v/>
      </c>
      <c r="I1115" s="6" t="str">
        <f t="shared" si="75"/>
        <v>0</v>
      </c>
    </row>
    <row r="1116" spans="1:11">
      <c r="A1116" t="s">
        <v>1456</v>
      </c>
      <c r="B1116" t="s">
        <v>309</v>
      </c>
      <c r="E1116" t="str">
        <f t="shared" si="76"/>
        <v/>
      </c>
      <c r="G1116" s="5" t="str">
        <f t="shared" si="74"/>
        <v/>
      </c>
      <c r="I1116" s="6" t="str">
        <f t="shared" si="75"/>
        <v>0</v>
      </c>
    </row>
    <row r="1117" spans="1:11">
      <c r="A1117" t="s">
        <v>1457</v>
      </c>
      <c r="B1117" t="s">
        <v>309</v>
      </c>
      <c r="E1117" t="str">
        <f t="shared" si="76"/>
        <v/>
      </c>
      <c r="G1117" s="5" t="str">
        <f t="shared" si="74"/>
        <v/>
      </c>
      <c r="I1117" s="6" t="str">
        <f t="shared" si="75"/>
        <v>0</v>
      </c>
    </row>
    <row r="1118" spans="1:11">
      <c r="A1118" t="s">
        <v>1458</v>
      </c>
      <c r="B1118" t="s">
        <v>5721</v>
      </c>
      <c r="G1118" s="5" t="str">
        <f t="shared" si="74"/>
        <v/>
      </c>
      <c r="I1118" s="6" t="str">
        <f t="shared" si="75"/>
        <v>0</v>
      </c>
      <c r="K1118" s="19" t="s">
        <v>5722</v>
      </c>
    </row>
    <row r="1119" spans="1:11">
      <c r="A1119" t="s">
        <v>1459</v>
      </c>
      <c r="B1119" t="s">
        <v>309</v>
      </c>
      <c r="E1119" t="str">
        <f t="shared" si="76"/>
        <v/>
      </c>
      <c r="G1119" s="5" t="str">
        <f t="shared" si="74"/>
        <v/>
      </c>
      <c r="I1119" s="6" t="str">
        <f t="shared" si="75"/>
        <v>0</v>
      </c>
    </row>
    <row r="1120" spans="1:11">
      <c r="A1120" t="s">
        <v>1460</v>
      </c>
      <c r="B1120" t="s">
        <v>309</v>
      </c>
      <c r="E1120" t="str">
        <f t="shared" si="76"/>
        <v/>
      </c>
      <c r="G1120" s="5" t="str">
        <f t="shared" si="74"/>
        <v/>
      </c>
      <c r="I1120" s="6" t="str">
        <f t="shared" si="75"/>
        <v>0</v>
      </c>
    </row>
    <row r="1121" spans="1:11">
      <c r="A1121" t="s">
        <v>1461</v>
      </c>
      <c r="B1121" t="s">
        <v>309</v>
      </c>
      <c r="E1121" t="str">
        <f t="shared" si="76"/>
        <v/>
      </c>
      <c r="G1121" s="5" t="str">
        <f t="shared" si="74"/>
        <v/>
      </c>
      <c r="I1121" s="6" t="str">
        <f t="shared" si="75"/>
        <v>0</v>
      </c>
    </row>
    <row r="1122" spans="1:11">
      <c r="A1122" t="s">
        <v>1462</v>
      </c>
      <c r="B1122" t="s">
        <v>309</v>
      </c>
      <c r="E1122" t="str">
        <f t="shared" si="76"/>
        <v/>
      </c>
      <c r="G1122" s="5" t="str">
        <f t="shared" si="74"/>
        <v/>
      </c>
      <c r="I1122" s="6" t="str">
        <f t="shared" si="75"/>
        <v>0</v>
      </c>
    </row>
    <row r="1123" spans="1:11">
      <c r="A1123" t="s">
        <v>1463</v>
      </c>
      <c r="B1123" t="s">
        <v>5723</v>
      </c>
      <c r="G1123" s="5" t="str">
        <f t="shared" si="74"/>
        <v/>
      </c>
      <c r="I1123" s="6" t="str">
        <f t="shared" si="75"/>
        <v>0</v>
      </c>
      <c r="K1123" s="19" t="s">
        <v>5724</v>
      </c>
    </row>
    <row r="1124" spans="1:11">
      <c r="A1124" t="s">
        <v>1464</v>
      </c>
      <c r="B1124" t="s">
        <v>309</v>
      </c>
      <c r="E1124" t="str">
        <f t="shared" si="76"/>
        <v/>
      </c>
      <c r="G1124" s="5" t="str">
        <f t="shared" si="74"/>
        <v/>
      </c>
      <c r="I1124" s="6" t="str">
        <f t="shared" si="75"/>
        <v>0</v>
      </c>
    </row>
    <row r="1125" spans="1:11">
      <c r="A1125" t="s">
        <v>1465</v>
      </c>
      <c r="B1125" t="s">
        <v>309</v>
      </c>
      <c r="E1125" t="str">
        <f t="shared" ref="E1125:E1156" si="77">IF(D1125&lt;&gt;"",C1125&amp;"/"&amp;D1125,"")</f>
        <v/>
      </c>
      <c r="G1125" s="5" t="str">
        <f t="shared" si="74"/>
        <v/>
      </c>
      <c r="I1125" s="6" t="str">
        <f t="shared" si="75"/>
        <v>0</v>
      </c>
    </row>
    <row r="1126" spans="1:11">
      <c r="A1126" t="s">
        <v>1466</v>
      </c>
      <c r="B1126" t="s">
        <v>309</v>
      </c>
      <c r="E1126" t="str">
        <f t="shared" si="77"/>
        <v/>
      </c>
      <c r="G1126" s="5" t="str">
        <f t="shared" si="74"/>
        <v/>
      </c>
      <c r="I1126" s="6" t="str">
        <f t="shared" si="75"/>
        <v>0</v>
      </c>
    </row>
    <row r="1127" spans="1:11">
      <c r="A1127" t="s">
        <v>1467</v>
      </c>
      <c r="B1127" t="s">
        <v>309</v>
      </c>
      <c r="E1127" t="str">
        <f t="shared" si="77"/>
        <v/>
      </c>
      <c r="G1127" s="5" t="str">
        <f t="shared" si="74"/>
        <v/>
      </c>
      <c r="I1127" s="6" t="str">
        <f t="shared" si="75"/>
        <v>0</v>
      </c>
    </row>
    <row r="1128" spans="1:11">
      <c r="A1128" t="s">
        <v>1468</v>
      </c>
      <c r="B1128" t="s">
        <v>309</v>
      </c>
      <c r="E1128" t="str">
        <f t="shared" si="77"/>
        <v/>
      </c>
      <c r="G1128" s="5" t="str">
        <f t="shared" si="74"/>
        <v/>
      </c>
      <c r="I1128" s="6" t="str">
        <f t="shared" si="75"/>
        <v>0</v>
      </c>
    </row>
    <row r="1129" spans="1:11">
      <c r="A1129" t="s">
        <v>1469</v>
      </c>
      <c r="B1129" t="s">
        <v>309</v>
      </c>
      <c r="E1129" t="str">
        <f t="shared" si="77"/>
        <v/>
      </c>
      <c r="G1129" s="5" t="str">
        <f t="shared" si="74"/>
        <v/>
      </c>
      <c r="I1129" s="6" t="str">
        <f t="shared" si="75"/>
        <v>0</v>
      </c>
    </row>
    <row r="1130" spans="1:11">
      <c r="A1130" t="s">
        <v>1470</v>
      </c>
      <c r="B1130" t="s">
        <v>309</v>
      </c>
      <c r="E1130" t="str">
        <f t="shared" si="77"/>
        <v/>
      </c>
      <c r="G1130" s="5" t="str">
        <f t="shared" si="74"/>
        <v/>
      </c>
      <c r="I1130" s="6" t="str">
        <f t="shared" si="75"/>
        <v>0</v>
      </c>
    </row>
    <row r="1131" spans="1:11">
      <c r="A1131" t="s">
        <v>1471</v>
      </c>
      <c r="B1131" t="s">
        <v>309</v>
      </c>
      <c r="E1131" t="str">
        <f t="shared" si="77"/>
        <v/>
      </c>
      <c r="G1131" s="5" t="str">
        <f t="shared" si="74"/>
        <v/>
      </c>
      <c r="I1131" s="6" t="str">
        <f t="shared" si="75"/>
        <v>0</v>
      </c>
    </row>
    <row r="1132" spans="1:11">
      <c r="A1132" t="s">
        <v>1472</v>
      </c>
      <c r="B1132" t="s">
        <v>5951</v>
      </c>
      <c r="G1132" s="5" t="str">
        <f t="shared" si="74"/>
        <v/>
      </c>
      <c r="I1132" s="6" t="str">
        <f t="shared" si="75"/>
        <v>0</v>
      </c>
      <c r="K1132" s="19" t="s">
        <v>5952</v>
      </c>
    </row>
    <row r="1133" spans="1:11">
      <c r="A1133" t="s">
        <v>1473</v>
      </c>
      <c r="B1133" t="s">
        <v>309</v>
      </c>
      <c r="E1133" t="str">
        <f t="shared" si="77"/>
        <v/>
      </c>
      <c r="G1133" s="5" t="str">
        <f t="shared" si="74"/>
        <v/>
      </c>
      <c r="I1133" s="6" t="str">
        <f t="shared" si="75"/>
        <v>0</v>
      </c>
    </row>
    <row r="1134" spans="1:11">
      <c r="A1134" t="s">
        <v>1474</v>
      </c>
      <c r="B1134" t="s">
        <v>309</v>
      </c>
      <c r="E1134" t="str">
        <f t="shared" si="77"/>
        <v/>
      </c>
      <c r="G1134" s="5" t="str">
        <f t="shared" si="74"/>
        <v/>
      </c>
      <c r="I1134" s="6" t="str">
        <f t="shared" si="75"/>
        <v>0</v>
      </c>
    </row>
    <row r="1135" spans="1:11">
      <c r="A1135" t="s">
        <v>1475</v>
      </c>
      <c r="B1135" t="s">
        <v>309</v>
      </c>
      <c r="E1135" t="str">
        <f t="shared" si="77"/>
        <v/>
      </c>
      <c r="G1135" s="5" t="str">
        <f t="shared" si="74"/>
        <v/>
      </c>
      <c r="I1135" s="6" t="str">
        <f t="shared" si="75"/>
        <v>0</v>
      </c>
    </row>
    <row r="1136" spans="1:11">
      <c r="A1136" t="s">
        <v>1476</v>
      </c>
      <c r="B1136" t="s">
        <v>309</v>
      </c>
      <c r="E1136" t="str">
        <f t="shared" si="77"/>
        <v/>
      </c>
      <c r="G1136" s="5" t="str">
        <f t="shared" si="74"/>
        <v/>
      </c>
      <c r="I1136" s="6" t="str">
        <f t="shared" si="75"/>
        <v>0</v>
      </c>
    </row>
    <row r="1137" spans="1:11">
      <c r="A1137" t="s">
        <v>1477</v>
      </c>
      <c r="B1137" t="s">
        <v>309</v>
      </c>
      <c r="E1137" t="str">
        <f t="shared" si="77"/>
        <v/>
      </c>
      <c r="G1137" s="5" t="str">
        <f t="shared" si="74"/>
        <v/>
      </c>
      <c r="I1137" s="6" t="str">
        <f t="shared" si="75"/>
        <v>0</v>
      </c>
    </row>
    <row r="1138" spans="1:11">
      <c r="A1138" t="s">
        <v>1478</v>
      </c>
      <c r="B1138" t="s">
        <v>309</v>
      </c>
      <c r="E1138" t="str">
        <f t="shared" si="77"/>
        <v/>
      </c>
      <c r="G1138" s="5" t="str">
        <f t="shared" si="74"/>
        <v/>
      </c>
      <c r="I1138" s="6" t="str">
        <f t="shared" si="75"/>
        <v>0</v>
      </c>
    </row>
    <row r="1139" spans="1:11">
      <c r="A1139" t="s">
        <v>1479</v>
      </c>
      <c r="B1139" t="s">
        <v>309</v>
      </c>
      <c r="E1139" t="str">
        <f t="shared" si="77"/>
        <v/>
      </c>
      <c r="G1139" s="5" t="str">
        <f t="shared" si="74"/>
        <v/>
      </c>
      <c r="I1139" s="6" t="str">
        <f t="shared" si="75"/>
        <v>0</v>
      </c>
    </row>
    <row r="1140" spans="1:11">
      <c r="A1140" t="s">
        <v>1480</v>
      </c>
      <c r="B1140" t="s">
        <v>1481</v>
      </c>
      <c r="E1140" t="str">
        <f t="shared" si="77"/>
        <v/>
      </c>
      <c r="G1140" s="5" t="str">
        <f t="shared" si="74"/>
        <v/>
      </c>
      <c r="I1140" s="6" t="str">
        <f t="shared" si="75"/>
        <v>0</v>
      </c>
    </row>
    <row r="1141" spans="1:11">
      <c r="A1141" t="s">
        <v>1484</v>
      </c>
      <c r="B1141" t="s">
        <v>5725</v>
      </c>
      <c r="G1141" s="5" t="str">
        <f t="shared" si="74"/>
        <v/>
      </c>
      <c r="I1141" s="6" t="str">
        <f t="shared" si="75"/>
        <v>0</v>
      </c>
      <c r="K1141" s="19" t="s">
        <v>5726</v>
      </c>
    </row>
    <row r="1142" spans="1:11">
      <c r="A1142" t="s">
        <v>1485</v>
      </c>
      <c r="B1142" t="s">
        <v>5953</v>
      </c>
      <c r="G1142" s="5" t="str">
        <f t="shared" si="74"/>
        <v/>
      </c>
      <c r="I1142" s="6" t="str">
        <f t="shared" si="75"/>
        <v>0</v>
      </c>
      <c r="K1142" s="19" t="s">
        <v>5954</v>
      </c>
    </row>
    <row r="1143" spans="1:11">
      <c r="A1143" t="s">
        <v>1486</v>
      </c>
      <c r="B1143" t="s">
        <v>5955</v>
      </c>
      <c r="G1143" s="5" t="str">
        <f t="shared" si="74"/>
        <v/>
      </c>
      <c r="I1143" s="6" t="str">
        <f t="shared" si="75"/>
        <v>0</v>
      </c>
      <c r="K1143" s="19" t="s">
        <v>5956</v>
      </c>
    </row>
    <row r="1144" spans="1:11">
      <c r="A1144" t="s">
        <v>1487</v>
      </c>
      <c r="B1144" t="s">
        <v>309</v>
      </c>
      <c r="E1144" t="str">
        <f t="shared" si="77"/>
        <v/>
      </c>
      <c r="G1144" s="5" t="str">
        <f t="shared" si="74"/>
        <v/>
      </c>
      <c r="I1144" s="6" t="str">
        <f t="shared" si="75"/>
        <v>0</v>
      </c>
    </row>
    <row r="1145" spans="1:11">
      <c r="A1145" t="s">
        <v>1488</v>
      </c>
      <c r="B1145" t="s">
        <v>309</v>
      </c>
      <c r="E1145" t="str">
        <f t="shared" si="77"/>
        <v/>
      </c>
      <c r="G1145" s="5" t="str">
        <f t="shared" si="74"/>
        <v/>
      </c>
      <c r="I1145" s="6" t="str">
        <f t="shared" si="75"/>
        <v>0</v>
      </c>
    </row>
    <row r="1146" spans="1:11">
      <c r="A1146" t="s">
        <v>1489</v>
      </c>
      <c r="B1146" t="s">
        <v>309</v>
      </c>
      <c r="E1146" t="str">
        <f t="shared" si="77"/>
        <v/>
      </c>
      <c r="G1146" s="5" t="str">
        <f t="shared" si="74"/>
        <v/>
      </c>
      <c r="I1146" s="6" t="str">
        <f t="shared" si="75"/>
        <v>0</v>
      </c>
    </row>
    <row r="1147" spans="1:11">
      <c r="A1147" t="s">
        <v>1490</v>
      </c>
      <c r="B1147" t="s">
        <v>309</v>
      </c>
      <c r="E1147" t="str">
        <f t="shared" si="77"/>
        <v/>
      </c>
      <c r="G1147" s="5" t="str">
        <f t="shared" si="74"/>
        <v/>
      </c>
      <c r="I1147" s="6" t="str">
        <f t="shared" si="75"/>
        <v>0</v>
      </c>
    </row>
    <row r="1148" spans="1:11">
      <c r="A1148" t="s">
        <v>1491</v>
      </c>
      <c r="B1148" t="s">
        <v>309</v>
      </c>
      <c r="E1148" t="str">
        <f t="shared" si="77"/>
        <v/>
      </c>
      <c r="G1148" s="5" t="str">
        <f t="shared" si="74"/>
        <v/>
      </c>
      <c r="I1148" s="6" t="str">
        <f t="shared" si="75"/>
        <v>0</v>
      </c>
    </row>
    <row r="1149" spans="1:11">
      <c r="A1149" t="s">
        <v>1492</v>
      </c>
      <c r="B1149" t="s">
        <v>309</v>
      </c>
      <c r="E1149" t="str">
        <f t="shared" si="77"/>
        <v/>
      </c>
      <c r="G1149" s="5" t="str">
        <f t="shared" si="74"/>
        <v/>
      </c>
      <c r="I1149" s="6" t="str">
        <f t="shared" si="75"/>
        <v>0</v>
      </c>
    </row>
    <row r="1150" spans="1:11">
      <c r="A1150" t="s">
        <v>1493</v>
      </c>
      <c r="B1150" t="s">
        <v>5727</v>
      </c>
      <c r="G1150" s="5" t="str">
        <f t="shared" si="74"/>
        <v/>
      </c>
      <c r="I1150" s="6" t="str">
        <f t="shared" si="75"/>
        <v>0</v>
      </c>
      <c r="K1150" s="19" t="s">
        <v>5728</v>
      </c>
    </row>
    <row r="1151" spans="1:11">
      <c r="A1151" t="s">
        <v>1494</v>
      </c>
      <c r="B1151" t="s">
        <v>309</v>
      </c>
      <c r="E1151" t="str">
        <f t="shared" si="77"/>
        <v/>
      </c>
      <c r="G1151" s="5" t="str">
        <f t="shared" si="74"/>
        <v/>
      </c>
      <c r="I1151" s="6" t="str">
        <f t="shared" si="75"/>
        <v>0</v>
      </c>
    </row>
    <row r="1152" spans="1:11">
      <c r="A1152" t="s">
        <v>1495</v>
      </c>
      <c r="B1152" t="s">
        <v>5957</v>
      </c>
      <c r="G1152" s="5" t="str">
        <f t="shared" si="74"/>
        <v/>
      </c>
      <c r="I1152" s="6" t="str">
        <f t="shared" si="75"/>
        <v>0</v>
      </c>
      <c r="K1152" s="19" t="s">
        <v>5958</v>
      </c>
    </row>
    <row r="1153" spans="1:11">
      <c r="A1153" t="s">
        <v>1496</v>
      </c>
      <c r="B1153" t="s">
        <v>5959</v>
      </c>
      <c r="G1153" s="5" t="str">
        <f t="shared" si="74"/>
        <v/>
      </c>
      <c r="I1153" s="6" t="str">
        <f t="shared" si="75"/>
        <v>0</v>
      </c>
      <c r="K1153" s="19" t="s">
        <v>5960</v>
      </c>
    </row>
    <row r="1154" spans="1:11">
      <c r="A1154" t="s">
        <v>1497</v>
      </c>
      <c r="B1154" t="s">
        <v>309</v>
      </c>
      <c r="E1154" t="str">
        <f t="shared" si="77"/>
        <v/>
      </c>
      <c r="G1154" s="5" t="str">
        <f t="shared" ref="G1154:G1217" si="78">IF(F1154&lt;&gt;"",HEX2DEC(SUBSTITUTE(SUBSTITUTE(F1154,"adrEA",""),"$","")),"")</f>
        <v/>
      </c>
      <c r="I1154" s="6" t="str">
        <f t="shared" ref="I1154:I1217" si="79">IFERROR(DEC2HEX(H1154),"")</f>
        <v>0</v>
      </c>
    </row>
    <row r="1155" spans="1:11">
      <c r="A1155" t="s">
        <v>1498</v>
      </c>
      <c r="B1155" t="s">
        <v>309</v>
      </c>
      <c r="E1155" t="str">
        <f t="shared" si="77"/>
        <v/>
      </c>
      <c r="G1155" s="5" t="str">
        <f t="shared" si="78"/>
        <v/>
      </c>
      <c r="I1155" s="6" t="str">
        <f t="shared" si="79"/>
        <v>0</v>
      </c>
    </row>
    <row r="1156" spans="1:11">
      <c r="A1156" t="s">
        <v>1499</v>
      </c>
      <c r="B1156" t="s">
        <v>309</v>
      </c>
      <c r="E1156" t="str">
        <f t="shared" si="77"/>
        <v/>
      </c>
      <c r="G1156" s="5" t="str">
        <f t="shared" si="78"/>
        <v/>
      </c>
      <c r="I1156" s="6" t="str">
        <f t="shared" si="79"/>
        <v>0</v>
      </c>
    </row>
    <row r="1157" spans="1:11">
      <c r="A1157" t="s">
        <v>1500</v>
      </c>
      <c r="B1157" t="s">
        <v>309</v>
      </c>
      <c r="E1157" t="str">
        <f t="shared" ref="E1157:E1171" si="80">IF(D1157&lt;&gt;"",C1157&amp;"/"&amp;D1157,"")</f>
        <v/>
      </c>
      <c r="G1157" s="5" t="str">
        <f t="shared" si="78"/>
        <v/>
      </c>
      <c r="I1157" s="6" t="str">
        <f t="shared" si="79"/>
        <v>0</v>
      </c>
    </row>
    <row r="1158" spans="1:11">
      <c r="A1158" t="s">
        <v>1501</v>
      </c>
      <c r="B1158" t="s">
        <v>309</v>
      </c>
      <c r="E1158" t="str">
        <f t="shared" si="80"/>
        <v/>
      </c>
      <c r="G1158" s="5" t="str">
        <f t="shared" si="78"/>
        <v/>
      </c>
      <c r="I1158" s="6" t="str">
        <f t="shared" si="79"/>
        <v>0</v>
      </c>
    </row>
    <row r="1159" spans="1:11">
      <c r="A1159" t="s">
        <v>1502</v>
      </c>
      <c r="B1159" t="s">
        <v>5961</v>
      </c>
      <c r="G1159" s="5" t="str">
        <f t="shared" si="78"/>
        <v/>
      </c>
      <c r="I1159" s="6" t="str">
        <f t="shared" si="79"/>
        <v>0</v>
      </c>
      <c r="K1159" s="19" t="s">
        <v>5962</v>
      </c>
    </row>
    <row r="1160" spans="1:11">
      <c r="A1160" t="s">
        <v>1503</v>
      </c>
      <c r="B1160" t="s">
        <v>1503</v>
      </c>
      <c r="E1160" t="str">
        <f t="shared" si="80"/>
        <v/>
      </c>
      <c r="G1160" s="5" t="str">
        <f t="shared" si="78"/>
        <v/>
      </c>
      <c r="I1160" s="6" t="str">
        <f t="shared" si="79"/>
        <v>0</v>
      </c>
    </row>
    <row r="1161" spans="1:11">
      <c r="A1161" t="s">
        <v>1504</v>
      </c>
      <c r="B1161" t="s">
        <v>1504</v>
      </c>
      <c r="E1161" t="str">
        <f t="shared" si="80"/>
        <v/>
      </c>
      <c r="G1161" s="5" t="str">
        <f t="shared" si="78"/>
        <v/>
      </c>
      <c r="I1161" s="6" t="str">
        <f t="shared" si="79"/>
        <v>0</v>
      </c>
    </row>
    <row r="1162" spans="1:11">
      <c r="A1162" t="s">
        <v>1505</v>
      </c>
      <c r="B1162" t="s">
        <v>1505</v>
      </c>
      <c r="E1162" t="str">
        <f t="shared" si="80"/>
        <v/>
      </c>
      <c r="G1162" s="5" t="str">
        <f t="shared" si="78"/>
        <v/>
      </c>
      <c r="I1162" s="6" t="str">
        <f t="shared" si="79"/>
        <v>0</v>
      </c>
    </row>
    <row r="1163" spans="1:11">
      <c r="A1163" t="s">
        <v>1506</v>
      </c>
      <c r="B1163" t="s">
        <v>1506</v>
      </c>
      <c r="E1163" t="str">
        <f t="shared" si="80"/>
        <v/>
      </c>
      <c r="G1163" s="5" t="str">
        <f t="shared" si="78"/>
        <v/>
      </c>
      <c r="I1163" s="6" t="str">
        <f t="shared" si="79"/>
        <v>0</v>
      </c>
    </row>
    <row r="1164" spans="1:11">
      <c r="A1164" t="s">
        <v>1507</v>
      </c>
      <c r="B1164" t="s">
        <v>1507</v>
      </c>
      <c r="E1164" t="str">
        <f t="shared" si="80"/>
        <v/>
      </c>
      <c r="G1164" s="5" t="str">
        <f t="shared" si="78"/>
        <v/>
      </c>
      <c r="I1164" s="6" t="str">
        <f t="shared" si="79"/>
        <v>0</v>
      </c>
    </row>
    <row r="1165" spans="1:11">
      <c r="A1165" t="s">
        <v>1508</v>
      </c>
      <c r="B1165" t="s">
        <v>1508</v>
      </c>
      <c r="E1165" t="str">
        <f t="shared" si="80"/>
        <v/>
      </c>
      <c r="G1165" s="5" t="str">
        <f t="shared" si="78"/>
        <v/>
      </c>
      <c r="I1165" s="6" t="str">
        <f t="shared" si="79"/>
        <v>0</v>
      </c>
    </row>
    <row r="1166" spans="1:11">
      <c r="A1166" t="s">
        <v>1509</v>
      </c>
      <c r="B1166" t="s">
        <v>1509</v>
      </c>
      <c r="E1166" t="str">
        <f t="shared" si="80"/>
        <v/>
      </c>
      <c r="G1166" s="5" t="str">
        <f t="shared" si="78"/>
        <v/>
      </c>
      <c r="I1166" s="6" t="str">
        <f t="shared" si="79"/>
        <v>0</v>
      </c>
    </row>
    <row r="1167" spans="1:11">
      <c r="A1167" t="s">
        <v>1510</v>
      </c>
      <c r="B1167" t="s">
        <v>3942</v>
      </c>
      <c r="E1167" t="str">
        <f t="shared" si="80"/>
        <v/>
      </c>
      <c r="G1167" s="5" t="str">
        <f t="shared" si="78"/>
        <v/>
      </c>
      <c r="I1167" s="6" t="str">
        <f t="shared" si="79"/>
        <v>0</v>
      </c>
    </row>
    <row r="1168" spans="1:11">
      <c r="A1168" t="s">
        <v>1511</v>
      </c>
      <c r="B1168" t="s">
        <v>5729</v>
      </c>
      <c r="G1168" s="5" t="str">
        <f t="shared" si="78"/>
        <v/>
      </c>
      <c r="I1168" s="6" t="str">
        <f t="shared" si="79"/>
        <v>0</v>
      </c>
      <c r="K1168" s="19" t="s">
        <v>5730</v>
      </c>
    </row>
    <row r="1169" spans="1:11">
      <c r="A1169" t="s">
        <v>1512</v>
      </c>
      <c r="B1169" t="s">
        <v>309</v>
      </c>
      <c r="E1169" t="str">
        <f t="shared" si="80"/>
        <v/>
      </c>
      <c r="G1169" s="5" t="str">
        <f t="shared" si="78"/>
        <v/>
      </c>
      <c r="I1169" s="6" t="str">
        <f t="shared" si="79"/>
        <v>0</v>
      </c>
    </row>
    <row r="1170" spans="1:11">
      <c r="A1170" t="s">
        <v>1513</v>
      </c>
      <c r="B1170" t="s">
        <v>309</v>
      </c>
      <c r="E1170" t="str">
        <f t="shared" si="80"/>
        <v/>
      </c>
      <c r="G1170" s="5" t="str">
        <f t="shared" si="78"/>
        <v/>
      </c>
      <c r="I1170" s="6" t="str">
        <f t="shared" si="79"/>
        <v>0</v>
      </c>
    </row>
    <row r="1171" spans="1:11">
      <c r="A1171" t="s">
        <v>1514</v>
      </c>
      <c r="B1171" t="s">
        <v>309</v>
      </c>
      <c r="E1171" t="str">
        <f t="shared" si="80"/>
        <v/>
      </c>
      <c r="G1171" s="5" t="str">
        <f t="shared" si="78"/>
        <v/>
      </c>
      <c r="I1171" s="6" t="str">
        <f t="shared" si="79"/>
        <v>0</v>
      </c>
    </row>
    <row r="1172" spans="1:11" ht="17">
      <c r="A1172" t="s">
        <v>1517</v>
      </c>
      <c r="B1172" s="17" t="s">
        <v>3869</v>
      </c>
      <c r="D1172" s="17"/>
      <c r="F1172" s="16"/>
      <c r="G1172" s="5" t="str">
        <f t="shared" si="78"/>
        <v/>
      </c>
      <c r="I1172" s="6" t="str">
        <f t="shared" si="79"/>
        <v>0</v>
      </c>
      <c r="K1172" s="19" t="s">
        <v>3870</v>
      </c>
    </row>
    <row r="1173" spans="1:11">
      <c r="A1173" t="s">
        <v>1526</v>
      </c>
      <c r="B1173" t="s">
        <v>3912</v>
      </c>
      <c r="G1173" s="5" t="str">
        <f t="shared" si="78"/>
        <v/>
      </c>
      <c r="I1173" s="6" t="str">
        <f t="shared" si="79"/>
        <v>0</v>
      </c>
      <c r="K1173" s="24" t="s">
        <v>3913</v>
      </c>
    </row>
    <row r="1174" spans="1:11" ht="17">
      <c r="A1174" t="s">
        <v>1527</v>
      </c>
      <c r="B1174" s="17" t="s">
        <v>3871</v>
      </c>
      <c r="D1174" s="17"/>
      <c r="F1174" s="16"/>
      <c r="G1174" s="5" t="str">
        <f t="shared" si="78"/>
        <v/>
      </c>
      <c r="I1174" s="6" t="str">
        <f t="shared" si="79"/>
        <v>0</v>
      </c>
      <c r="K1174" s="19" t="s">
        <v>3872</v>
      </c>
    </row>
    <row r="1175" spans="1:11">
      <c r="A1175" t="s">
        <v>1528</v>
      </c>
      <c r="B1175" t="s">
        <v>3914</v>
      </c>
      <c r="G1175" s="5" t="str">
        <f t="shared" si="78"/>
        <v/>
      </c>
      <c r="I1175" s="6" t="str">
        <f t="shared" si="79"/>
        <v>0</v>
      </c>
      <c r="K1175" s="24" t="s">
        <v>3915</v>
      </c>
    </row>
    <row r="1176" spans="1:11">
      <c r="A1176" t="s">
        <v>1529</v>
      </c>
      <c r="B1176" t="s">
        <v>3916</v>
      </c>
      <c r="G1176" s="5" t="str">
        <f t="shared" si="78"/>
        <v/>
      </c>
      <c r="I1176" s="6" t="str">
        <f t="shared" si="79"/>
        <v>0</v>
      </c>
      <c r="K1176" s="24" t="s">
        <v>3917</v>
      </c>
    </row>
    <row r="1177" spans="1:11">
      <c r="A1177" t="s">
        <v>1530</v>
      </c>
      <c r="B1177" t="s">
        <v>3918</v>
      </c>
      <c r="G1177" s="5" t="str">
        <f t="shared" si="78"/>
        <v/>
      </c>
      <c r="I1177" s="6" t="str">
        <f t="shared" si="79"/>
        <v>0</v>
      </c>
      <c r="K1177" s="24" t="s">
        <v>3919</v>
      </c>
    </row>
    <row r="1178" spans="1:11">
      <c r="A1178" t="s">
        <v>1531</v>
      </c>
      <c r="B1178" t="s">
        <v>3920</v>
      </c>
      <c r="G1178" s="5" t="str">
        <f t="shared" si="78"/>
        <v/>
      </c>
      <c r="I1178" s="6" t="str">
        <f t="shared" si="79"/>
        <v>0</v>
      </c>
      <c r="K1178" s="24" t="s">
        <v>3921</v>
      </c>
    </row>
    <row r="1179" spans="1:11">
      <c r="A1179" t="s">
        <v>1532</v>
      </c>
      <c r="B1179" t="s">
        <v>3803</v>
      </c>
      <c r="G1179" s="5" t="str">
        <f t="shared" si="78"/>
        <v/>
      </c>
      <c r="I1179" s="6" t="str">
        <f t="shared" si="79"/>
        <v>0</v>
      </c>
      <c r="K1179" s="19" t="s">
        <v>3804</v>
      </c>
    </row>
    <row r="1180" spans="1:11">
      <c r="A1180" t="s">
        <v>1538</v>
      </c>
      <c r="B1180" t="s">
        <v>3805</v>
      </c>
      <c r="G1180" s="5" t="str">
        <f t="shared" si="78"/>
        <v/>
      </c>
      <c r="I1180" s="6" t="str">
        <f t="shared" si="79"/>
        <v>0</v>
      </c>
      <c r="K1180" s="19" t="s">
        <v>3806</v>
      </c>
    </row>
    <row r="1181" spans="1:11" ht="17">
      <c r="A1181" t="s">
        <v>1543</v>
      </c>
      <c r="B1181" s="17" t="s">
        <v>3859</v>
      </c>
      <c r="C1181" s="5" t="s">
        <v>48</v>
      </c>
      <c r="D1181" s="17" t="s">
        <v>3860</v>
      </c>
      <c r="E1181" t="s">
        <v>3861</v>
      </c>
      <c r="F1181" s="16" t="s">
        <v>3862</v>
      </c>
      <c r="G1181" s="5">
        <f t="shared" si="78"/>
        <v>24664</v>
      </c>
      <c r="H1181" s="5">
        <v>64</v>
      </c>
      <c r="I1181" s="6" t="str">
        <f t="shared" si="79"/>
        <v>40</v>
      </c>
      <c r="K1181" s="19" t="s">
        <v>3863</v>
      </c>
    </row>
    <row r="1182" spans="1:11" ht="17">
      <c r="A1182" t="s">
        <v>1544</v>
      </c>
      <c r="B1182" s="17" t="s">
        <v>3873</v>
      </c>
      <c r="D1182" s="17"/>
      <c r="F1182" s="16"/>
      <c r="G1182" s="5" t="str">
        <f t="shared" si="78"/>
        <v/>
      </c>
      <c r="I1182" s="6" t="str">
        <f t="shared" si="79"/>
        <v>0</v>
      </c>
      <c r="K1182" s="19" t="s">
        <v>3874</v>
      </c>
    </row>
    <row r="1183" spans="1:11">
      <c r="A1183" t="s">
        <v>1546</v>
      </c>
      <c r="B1183" t="s">
        <v>3922</v>
      </c>
      <c r="G1183" s="5" t="str">
        <f t="shared" si="78"/>
        <v/>
      </c>
      <c r="I1183" s="6" t="str">
        <f t="shared" si="79"/>
        <v>0</v>
      </c>
      <c r="K1183" s="24" t="s">
        <v>3923</v>
      </c>
    </row>
    <row r="1184" spans="1:11" ht="17">
      <c r="A1184" t="s">
        <v>1547</v>
      </c>
      <c r="B1184" s="17" t="s">
        <v>3875</v>
      </c>
      <c r="D1184" s="17"/>
      <c r="F1184" s="16"/>
      <c r="G1184" s="5" t="str">
        <f t="shared" si="78"/>
        <v/>
      </c>
      <c r="I1184" s="6" t="str">
        <f t="shared" si="79"/>
        <v>0</v>
      </c>
      <c r="K1184" s="19" t="s">
        <v>3876</v>
      </c>
    </row>
    <row r="1185" spans="1:11">
      <c r="A1185" t="s">
        <v>1551</v>
      </c>
      <c r="B1185" t="s">
        <v>1552</v>
      </c>
      <c r="E1185" t="str">
        <f>IF(D1185&lt;&gt;"",C1185&amp;"/"&amp;D1185,"")</f>
        <v/>
      </c>
      <c r="G1185" s="5" t="str">
        <f t="shared" si="78"/>
        <v/>
      </c>
      <c r="I1185" s="6" t="str">
        <f t="shared" si="79"/>
        <v>0</v>
      </c>
    </row>
    <row r="1186" spans="1:11">
      <c r="A1186" t="s">
        <v>1554</v>
      </c>
      <c r="B1186" t="s">
        <v>5211</v>
      </c>
      <c r="C1186" s="5" t="s">
        <v>5205</v>
      </c>
      <c r="G1186" s="5" t="str">
        <f t="shared" si="78"/>
        <v/>
      </c>
      <c r="I1186" s="6" t="str">
        <f t="shared" si="79"/>
        <v>0</v>
      </c>
      <c r="K1186" s="24" t="s">
        <v>5225</v>
      </c>
    </row>
    <row r="1187" spans="1:11">
      <c r="A1187" t="s">
        <v>1555</v>
      </c>
      <c r="B1187" t="s">
        <v>5377</v>
      </c>
      <c r="C1187" s="5" t="s">
        <v>5205</v>
      </c>
      <c r="G1187" s="5" t="str">
        <f t="shared" si="78"/>
        <v/>
      </c>
      <c r="I1187" s="6" t="str">
        <f t="shared" si="79"/>
        <v>0</v>
      </c>
      <c r="K1187" s="24" t="s">
        <v>5378</v>
      </c>
    </row>
    <row r="1188" spans="1:11">
      <c r="A1188" t="s">
        <v>1556</v>
      </c>
      <c r="B1188" t="s">
        <v>5212</v>
      </c>
      <c r="C1188" s="5" t="s">
        <v>5205</v>
      </c>
      <c r="G1188" s="5" t="str">
        <f t="shared" si="78"/>
        <v/>
      </c>
      <c r="I1188" s="6" t="str">
        <f t="shared" si="79"/>
        <v>0</v>
      </c>
      <c r="K1188" s="24" t="s">
        <v>5226</v>
      </c>
    </row>
    <row r="1189" spans="1:11">
      <c r="A1189" t="s">
        <v>1557</v>
      </c>
      <c r="B1189" t="s">
        <v>5213</v>
      </c>
      <c r="C1189" s="5" t="s">
        <v>5205</v>
      </c>
      <c r="G1189" s="5" t="str">
        <f t="shared" si="78"/>
        <v/>
      </c>
      <c r="I1189" s="6" t="str">
        <f t="shared" si="79"/>
        <v>0</v>
      </c>
      <c r="K1189" s="24" t="s">
        <v>5227</v>
      </c>
    </row>
    <row r="1190" spans="1:11">
      <c r="A1190" t="s">
        <v>1558</v>
      </c>
      <c r="B1190" t="s">
        <v>5214</v>
      </c>
      <c r="C1190" s="5" t="s">
        <v>5205</v>
      </c>
      <c r="G1190" s="5" t="str">
        <f t="shared" si="78"/>
        <v/>
      </c>
      <c r="I1190" s="6" t="str">
        <f t="shared" si="79"/>
        <v>0</v>
      </c>
      <c r="K1190" s="24" t="s">
        <v>5228</v>
      </c>
    </row>
    <row r="1191" spans="1:11">
      <c r="A1191" t="s">
        <v>1560</v>
      </c>
      <c r="B1191" t="s">
        <v>5215</v>
      </c>
      <c r="C1191" s="5" t="s">
        <v>5205</v>
      </c>
      <c r="G1191" s="5" t="str">
        <f t="shared" si="78"/>
        <v/>
      </c>
      <c r="I1191" s="6" t="str">
        <f t="shared" si="79"/>
        <v>0</v>
      </c>
      <c r="K1191" s="24" t="s">
        <v>5229</v>
      </c>
    </row>
    <row r="1192" spans="1:11">
      <c r="A1192" t="s">
        <v>1561</v>
      </c>
      <c r="B1192" t="s">
        <v>5216</v>
      </c>
      <c r="C1192" s="5" t="s">
        <v>5205</v>
      </c>
      <c r="G1192" s="5" t="str">
        <f t="shared" si="78"/>
        <v/>
      </c>
      <c r="I1192" s="6" t="str">
        <f t="shared" si="79"/>
        <v>0</v>
      </c>
      <c r="K1192" s="24" t="s">
        <v>5230</v>
      </c>
    </row>
    <row r="1193" spans="1:11">
      <c r="A1193" t="s">
        <v>1563</v>
      </c>
      <c r="B1193" t="s">
        <v>3943</v>
      </c>
      <c r="E1193" t="str">
        <f t="shared" ref="E1193:E1198" si="81">IF(D1193&lt;&gt;"",C1193&amp;"/"&amp;D1193,"")</f>
        <v/>
      </c>
      <c r="G1193" s="5" t="str">
        <f t="shared" si="78"/>
        <v/>
      </c>
      <c r="I1193" s="6" t="str">
        <f t="shared" si="79"/>
        <v>0</v>
      </c>
    </row>
    <row r="1194" spans="1:11">
      <c r="A1194" t="s">
        <v>1564</v>
      </c>
      <c r="B1194" t="s">
        <v>1565</v>
      </c>
      <c r="E1194" t="str">
        <f t="shared" si="81"/>
        <v/>
      </c>
      <c r="G1194" s="5" t="str">
        <f t="shared" si="78"/>
        <v/>
      </c>
      <c r="I1194" s="6" t="str">
        <f t="shared" si="79"/>
        <v>0</v>
      </c>
    </row>
    <row r="1195" spans="1:11">
      <c r="A1195" t="s">
        <v>1566</v>
      </c>
      <c r="B1195" t="s">
        <v>309</v>
      </c>
      <c r="E1195" t="str">
        <f t="shared" si="81"/>
        <v/>
      </c>
      <c r="G1195" s="5" t="str">
        <f t="shared" si="78"/>
        <v/>
      </c>
      <c r="I1195" s="6" t="str">
        <f t="shared" si="79"/>
        <v>0</v>
      </c>
    </row>
    <row r="1196" spans="1:11">
      <c r="A1196" t="s">
        <v>1567</v>
      </c>
      <c r="B1196" t="s">
        <v>309</v>
      </c>
      <c r="E1196" t="str">
        <f t="shared" si="81"/>
        <v/>
      </c>
      <c r="G1196" s="5" t="str">
        <f t="shared" si="78"/>
        <v/>
      </c>
      <c r="I1196" s="6" t="str">
        <f t="shared" si="79"/>
        <v>0</v>
      </c>
    </row>
    <row r="1197" spans="1:11">
      <c r="A1197" t="s">
        <v>1568</v>
      </c>
      <c r="B1197" t="s">
        <v>309</v>
      </c>
      <c r="E1197" t="str">
        <f t="shared" si="81"/>
        <v/>
      </c>
      <c r="G1197" s="5" t="str">
        <f t="shared" si="78"/>
        <v/>
      </c>
      <c r="I1197" s="6" t="str">
        <f t="shared" si="79"/>
        <v>0</v>
      </c>
    </row>
    <row r="1198" spans="1:11">
      <c r="A1198" t="s">
        <v>1569</v>
      </c>
      <c r="B1198" t="s">
        <v>309</v>
      </c>
      <c r="E1198" t="str">
        <f t="shared" si="81"/>
        <v/>
      </c>
      <c r="G1198" s="5" t="str">
        <f t="shared" si="78"/>
        <v/>
      </c>
      <c r="I1198" s="6" t="str">
        <f t="shared" si="79"/>
        <v>0</v>
      </c>
    </row>
    <row r="1199" spans="1:11" ht="17">
      <c r="A1199" t="s">
        <v>1570</v>
      </c>
      <c r="B1199" s="17" t="s">
        <v>1571</v>
      </c>
      <c r="D1199" s="17"/>
      <c r="F1199" s="16"/>
      <c r="G1199" s="5" t="str">
        <f t="shared" si="78"/>
        <v/>
      </c>
      <c r="I1199" s="6" t="str">
        <f t="shared" si="79"/>
        <v>0</v>
      </c>
      <c r="K1199" s="19" t="s">
        <v>3760</v>
      </c>
    </row>
    <row r="1200" spans="1:11">
      <c r="A1200" t="s">
        <v>1574</v>
      </c>
      <c r="B1200" t="s">
        <v>309</v>
      </c>
      <c r="E1200" t="str">
        <f>IF(D1200&lt;&gt;"",C1200&amp;"/"&amp;D1200,"")</f>
        <v/>
      </c>
      <c r="G1200" s="5" t="str">
        <f t="shared" si="78"/>
        <v/>
      </c>
      <c r="I1200" s="6" t="str">
        <f t="shared" si="79"/>
        <v>0</v>
      </c>
    </row>
    <row r="1201" spans="1:11">
      <c r="A1201" t="s">
        <v>1575</v>
      </c>
      <c r="B1201" t="s">
        <v>5731</v>
      </c>
      <c r="G1201" s="5" t="str">
        <f t="shared" si="78"/>
        <v/>
      </c>
      <c r="I1201" s="6" t="str">
        <f t="shared" si="79"/>
        <v>0</v>
      </c>
      <c r="K1201" s="19" t="s">
        <v>5732</v>
      </c>
    </row>
    <row r="1202" spans="1:11">
      <c r="A1202" t="s">
        <v>1576</v>
      </c>
      <c r="B1202" t="s">
        <v>309</v>
      </c>
      <c r="E1202" t="str">
        <f>IF(D1202&lt;&gt;"",C1202&amp;"/"&amp;D1202,"")</f>
        <v/>
      </c>
      <c r="G1202" s="5" t="str">
        <f t="shared" si="78"/>
        <v/>
      </c>
      <c r="I1202" s="6" t="str">
        <f t="shared" si="79"/>
        <v>0</v>
      </c>
    </row>
    <row r="1203" spans="1:11">
      <c r="A1203" t="s">
        <v>1577</v>
      </c>
      <c r="B1203" t="s">
        <v>5016</v>
      </c>
      <c r="C1203" s="5" t="s">
        <v>7</v>
      </c>
      <c r="F1203" s="5" t="s">
        <v>5017</v>
      </c>
      <c r="G1203" s="5">
        <f t="shared" si="78"/>
        <v>25344</v>
      </c>
      <c r="I1203" s="6" t="str">
        <f t="shared" si="79"/>
        <v>0</v>
      </c>
      <c r="K1203" s="19" t="s">
        <v>5018</v>
      </c>
    </row>
    <row r="1204" spans="1:11">
      <c r="A1204" t="s">
        <v>1578</v>
      </c>
      <c r="B1204" t="s">
        <v>5164</v>
      </c>
      <c r="C1204" s="5" t="s">
        <v>7</v>
      </c>
      <c r="F1204" s="5" t="s">
        <v>5165</v>
      </c>
      <c r="G1204" s="5">
        <f t="shared" si="78"/>
        <v>25364</v>
      </c>
      <c r="I1204" s="6" t="str">
        <f t="shared" si="79"/>
        <v>0</v>
      </c>
      <c r="K1204" s="19" t="s">
        <v>5166</v>
      </c>
    </row>
    <row r="1205" spans="1:11">
      <c r="A1205" t="s">
        <v>1579</v>
      </c>
      <c r="B1205" t="s">
        <v>309</v>
      </c>
      <c r="E1205" t="str">
        <f t="shared" ref="E1205:E1209" si="82">IF(D1205&lt;&gt;"",C1205&amp;"/"&amp;D1205,"")</f>
        <v/>
      </c>
      <c r="G1205" s="5" t="str">
        <f t="shared" si="78"/>
        <v/>
      </c>
      <c r="I1205" s="6" t="str">
        <f t="shared" si="79"/>
        <v>0</v>
      </c>
    </row>
    <row r="1206" spans="1:11">
      <c r="A1206" t="s">
        <v>1580</v>
      </c>
      <c r="B1206" t="s">
        <v>309</v>
      </c>
      <c r="E1206" t="str">
        <f t="shared" si="82"/>
        <v/>
      </c>
      <c r="G1206" s="5" t="str">
        <f t="shared" si="78"/>
        <v/>
      </c>
      <c r="I1206" s="6" t="str">
        <f t="shared" si="79"/>
        <v>0</v>
      </c>
    </row>
    <row r="1207" spans="1:11">
      <c r="A1207" t="s">
        <v>1581</v>
      </c>
      <c r="B1207" t="s">
        <v>309</v>
      </c>
      <c r="E1207" t="str">
        <f t="shared" si="82"/>
        <v/>
      </c>
      <c r="G1207" s="5" t="str">
        <f t="shared" si="78"/>
        <v/>
      </c>
      <c r="I1207" s="6" t="str">
        <f t="shared" si="79"/>
        <v>0</v>
      </c>
    </row>
    <row r="1208" spans="1:11">
      <c r="A1208" t="s">
        <v>1582</v>
      </c>
      <c r="B1208" t="s">
        <v>309</v>
      </c>
      <c r="E1208" t="str">
        <f t="shared" si="82"/>
        <v/>
      </c>
      <c r="G1208" s="5" t="str">
        <f t="shared" si="78"/>
        <v/>
      </c>
      <c r="I1208" s="6" t="str">
        <f t="shared" si="79"/>
        <v>0</v>
      </c>
    </row>
    <row r="1209" spans="1:11">
      <c r="A1209" t="s">
        <v>1583</v>
      </c>
      <c r="B1209" t="s">
        <v>309</v>
      </c>
      <c r="E1209" t="str">
        <f t="shared" si="82"/>
        <v/>
      </c>
      <c r="G1209" s="5" t="str">
        <f t="shared" si="78"/>
        <v/>
      </c>
      <c r="I1209" s="6" t="str">
        <f t="shared" si="79"/>
        <v>0</v>
      </c>
    </row>
    <row r="1210" spans="1:11">
      <c r="A1210" t="s">
        <v>1584</v>
      </c>
      <c r="B1210" t="s">
        <v>5733</v>
      </c>
      <c r="G1210" s="5" t="str">
        <f t="shared" si="78"/>
        <v/>
      </c>
      <c r="I1210" s="6" t="str">
        <f t="shared" si="79"/>
        <v>0</v>
      </c>
      <c r="K1210" s="19" t="s">
        <v>5734</v>
      </c>
    </row>
    <row r="1211" spans="1:11">
      <c r="A1211" t="s">
        <v>1585</v>
      </c>
      <c r="B1211" t="s">
        <v>5167</v>
      </c>
      <c r="C1211" s="5" t="s">
        <v>7</v>
      </c>
      <c r="F1211" s="5" t="s">
        <v>5168</v>
      </c>
      <c r="G1211" s="5">
        <f t="shared" si="78"/>
        <v>25500</v>
      </c>
      <c r="I1211" s="6" t="str">
        <f t="shared" si="79"/>
        <v>0</v>
      </c>
      <c r="K1211" s="19" t="s">
        <v>5169</v>
      </c>
    </row>
    <row r="1212" spans="1:11">
      <c r="A1212" t="s">
        <v>1586</v>
      </c>
      <c r="B1212" t="s">
        <v>309</v>
      </c>
      <c r="E1212" t="str">
        <f>IF(D1212&lt;&gt;"",C1212&amp;"/"&amp;D1212,"")</f>
        <v/>
      </c>
      <c r="G1212" s="5" t="str">
        <f t="shared" si="78"/>
        <v/>
      </c>
      <c r="I1212" s="6" t="str">
        <f t="shared" si="79"/>
        <v>0</v>
      </c>
    </row>
    <row r="1213" spans="1:11">
      <c r="A1213" t="s">
        <v>1587</v>
      </c>
      <c r="B1213" t="s">
        <v>309</v>
      </c>
      <c r="E1213" t="str">
        <f>IF(D1213&lt;&gt;"",C1213&amp;"/"&amp;D1213,"")</f>
        <v/>
      </c>
      <c r="G1213" s="5" t="str">
        <f t="shared" si="78"/>
        <v/>
      </c>
      <c r="I1213" s="6" t="str">
        <f t="shared" si="79"/>
        <v>0</v>
      </c>
    </row>
    <row r="1214" spans="1:11">
      <c r="A1214" t="s">
        <v>1588</v>
      </c>
      <c r="B1214" t="s">
        <v>5170</v>
      </c>
      <c r="C1214" s="5" t="s">
        <v>48</v>
      </c>
      <c r="D1214" t="s">
        <v>5171</v>
      </c>
      <c r="E1214" t="s">
        <v>5172</v>
      </c>
      <c r="F1214" s="5" t="s">
        <v>5173</v>
      </c>
      <c r="G1214" s="5">
        <f t="shared" si="78"/>
        <v>25564</v>
      </c>
      <c r="H1214" s="5">
        <v>20</v>
      </c>
      <c r="I1214" s="6" t="str">
        <f t="shared" si="79"/>
        <v>14</v>
      </c>
      <c r="J1214" s="6" t="s">
        <v>3414</v>
      </c>
      <c r="K1214" s="19" t="s">
        <v>5174</v>
      </c>
    </row>
    <row r="1215" spans="1:11">
      <c r="A1215" t="s">
        <v>1589</v>
      </c>
      <c r="B1215" t="s">
        <v>3924</v>
      </c>
      <c r="C1215" s="5" t="s">
        <v>7</v>
      </c>
      <c r="F1215" s="5" t="s">
        <v>5175</v>
      </c>
      <c r="G1215" s="5">
        <f t="shared" si="78"/>
        <v>25588</v>
      </c>
      <c r="I1215" s="6" t="str">
        <f t="shared" si="79"/>
        <v>0</v>
      </c>
      <c r="K1215" s="19" t="s">
        <v>5176</v>
      </c>
    </row>
    <row r="1216" spans="1:11">
      <c r="A1216" t="s">
        <v>1590</v>
      </c>
      <c r="B1216" t="s">
        <v>309</v>
      </c>
      <c r="E1216" t="str">
        <f>IF(D1216&lt;&gt;"",C1216&amp;"/"&amp;D1216,"")</f>
        <v/>
      </c>
      <c r="G1216" s="5" t="str">
        <f t="shared" si="78"/>
        <v/>
      </c>
      <c r="I1216" s="6" t="str">
        <f t="shared" si="79"/>
        <v>0</v>
      </c>
    </row>
    <row r="1217" spans="1:11">
      <c r="A1217" t="s">
        <v>1591</v>
      </c>
      <c r="B1217" t="s">
        <v>309</v>
      </c>
      <c r="E1217" t="str">
        <f>IF(D1217&lt;&gt;"",C1217&amp;"/"&amp;D1217,"")</f>
        <v/>
      </c>
      <c r="G1217" s="5" t="str">
        <f t="shared" si="78"/>
        <v/>
      </c>
      <c r="I1217" s="6" t="str">
        <f t="shared" si="79"/>
        <v>0</v>
      </c>
    </row>
    <row r="1218" spans="1:11">
      <c r="A1218" t="s">
        <v>1592</v>
      </c>
      <c r="B1218" t="s">
        <v>309</v>
      </c>
      <c r="E1218" t="str">
        <f>IF(D1218&lt;&gt;"",C1218&amp;"/"&amp;D1218,"")</f>
        <v/>
      </c>
      <c r="G1218" s="5" t="str">
        <f t="shared" ref="G1218:G1281" si="83">IF(F1218&lt;&gt;"",HEX2DEC(SUBSTITUTE(SUBSTITUTE(F1218,"adrEA",""),"$","")),"")</f>
        <v/>
      </c>
      <c r="I1218" s="6" t="str">
        <f t="shared" ref="I1218:I1281" si="84">IFERROR(DEC2HEX(H1218),"")</f>
        <v>0</v>
      </c>
    </row>
    <row r="1219" spans="1:11">
      <c r="A1219" t="s">
        <v>1593</v>
      </c>
      <c r="B1219" t="s">
        <v>5963</v>
      </c>
      <c r="G1219" s="5" t="str">
        <f t="shared" si="83"/>
        <v/>
      </c>
      <c r="I1219" s="6" t="str">
        <f t="shared" si="84"/>
        <v>0</v>
      </c>
      <c r="K1219" s="19" t="s">
        <v>5964</v>
      </c>
    </row>
    <row r="1220" spans="1:11">
      <c r="A1220" t="s">
        <v>1594</v>
      </c>
      <c r="B1220" t="s">
        <v>3925</v>
      </c>
      <c r="C1220" s="5" t="s">
        <v>48</v>
      </c>
      <c r="D1220" t="s">
        <v>3926</v>
      </c>
      <c r="E1220" t="s">
        <v>3927</v>
      </c>
      <c r="F1220" s="5" t="s">
        <v>3928</v>
      </c>
      <c r="G1220" s="5">
        <f t="shared" si="83"/>
        <v>25698</v>
      </c>
      <c r="H1220" s="5">
        <v>4</v>
      </c>
      <c r="I1220" s="6" t="str">
        <f t="shared" si="84"/>
        <v>4</v>
      </c>
      <c r="K1220" s="19" t="s">
        <v>3929</v>
      </c>
    </row>
    <row r="1221" spans="1:11">
      <c r="A1221" t="s">
        <v>1595</v>
      </c>
      <c r="B1221" t="s">
        <v>309</v>
      </c>
      <c r="E1221" t="str">
        <f>IF(D1221&lt;&gt;"",C1221&amp;"/"&amp;D1221,"")</f>
        <v/>
      </c>
      <c r="G1221" s="5" t="str">
        <f t="shared" si="83"/>
        <v/>
      </c>
      <c r="I1221" s="6" t="str">
        <f t="shared" si="84"/>
        <v>0</v>
      </c>
    </row>
    <row r="1222" spans="1:11">
      <c r="A1222" t="s">
        <v>1596</v>
      </c>
      <c r="B1222" t="s">
        <v>309</v>
      </c>
      <c r="E1222" t="str">
        <f>IF(D1222&lt;&gt;"",C1222&amp;"/"&amp;D1222,"")</f>
        <v/>
      </c>
      <c r="G1222" s="5" t="str">
        <f t="shared" si="83"/>
        <v/>
      </c>
      <c r="I1222" s="6" t="str">
        <f t="shared" si="84"/>
        <v>0</v>
      </c>
    </row>
    <row r="1223" spans="1:11">
      <c r="A1223" t="s">
        <v>1597</v>
      </c>
      <c r="B1223" t="s">
        <v>3930</v>
      </c>
      <c r="G1223" s="5" t="str">
        <f t="shared" si="83"/>
        <v/>
      </c>
      <c r="I1223" s="6" t="str">
        <f t="shared" si="84"/>
        <v>0</v>
      </c>
      <c r="K1223" s="24" t="s">
        <v>3931</v>
      </c>
    </row>
    <row r="1224" spans="1:11">
      <c r="A1224" t="s">
        <v>1598</v>
      </c>
      <c r="B1224" t="s">
        <v>309</v>
      </c>
      <c r="E1224" t="str">
        <f>IF(D1224&lt;&gt;"",C1224&amp;"/"&amp;D1224,"")</f>
        <v/>
      </c>
      <c r="G1224" s="5" t="str">
        <f t="shared" si="83"/>
        <v/>
      </c>
      <c r="I1224" s="6" t="str">
        <f t="shared" si="84"/>
        <v>0</v>
      </c>
    </row>
    <row r="1225" spans="1:11">
      <c r="A1225" t="s">
        <v>1599</v>
      </c>
      <c r="B1225" t="s">
        <v>3932</v>
      </c>
      <c r="C1225" s="5" t="s">
        <v>48</v>
      </c>
      <c r="D1225" t="s">
        <v>3933</v>
      </c>
      <c r="E1225" t="s">
        <v>3934</v>
      </c>
      <c r="F1225" s="5" t="s">
        <v>3935</v>
      </c>
      <c r="G1225" s="5">
        <f t="shared" si="83"/>
        <v>25786</v>
      </c>
      <c r="H1225" s="5">
        <v>32</v>
      </c>
      <c r="I1225" s="6" t="str">
        <f t="shared" si="84"/>
        <v>20</v>
      </c>
      <c r="J1225" s="6" t="s">
        <v>3414</v>
      </c>
      <c r="K1225" s="19" t="s">
        <v>5217</v>
      </c>
    </row>
    <row r="1226" spans="1:11">
      <c r="A1226" t="s">
        <v>1600</v>
      </c>
      <c r="B1226" t="s">
        <v>3266</v>
      </c>
      <c r="C1226" s="5" t="s">
        <v>48</v>
      </c>
      <c r="D1226" t="s">
        <v>5177</v>
      </c>
      <c r="E1226" t="s">
        <v>5178</v>
      </c>
      <c r="F1226" s="5" t="s">
        <v>5179</v>
      </c>
      <c r="G1226" s="5">
        <f t="shared" si="83"/>
        <v>25818</v>
      </c>
      <c r="H1226" s="5">
        <v>32</v>
      </c>
      <c r="I1226" s="6" t="str">
        <f t="shared" si="84"/>
        <v>20</v>
      </c>
      <c r="J1226" s="6" t="s">
        <v>3419</v>
      </c>
      <c r="K1226" s="19" t="s">
        <v>5180</v>
      </c>
    </row>
    <row r="1227" spans="1:11" ht="17">
      <c r="A1227" t="s">
        <v>1601</v>
      </c>
      <c r="B1227" t="s">
        <v>5181</v>
      </c>
      <c r="C1227" s="5" t="s">
        <v>48</v>
      </c>
      <c r="D1227" t="s">
        <v>5182</v>
      </c>
      <c r="E1227" t="s">
        <v>5183</v>
      </c>
      <c r="F1227" s="5" t="s">
        <v>5184</v>
      </c>
      <c r="G1227" s="5">
        <f t="shared" si="83"/>
        <v>25850</v>
      </c>
      <c r="H1227" s="5">
        <v>14</v>
      </c>
      <c r="I1227" s="6" t="str">
        <f t="shared" si="84"/>
        <v>E</v>
      </c>
      <c r="J1227" s="6" t="s">
        <v>3419</v>
      </c>
      <c r="K1227" s="19" t="s">
        <v>5185</v>
      </c>
    </row>
    <row r="1228" spans="1:11" ht="17">
      <c r="A1228" t="s">
        <v>1602</v>
      </c>
      <c r="B1228" t="s">
        <v>5186</v>
      </c>
      <c r="C1228" s="5" t="s">
        <v>7</v>
      </c>
      <c r="F1228" s="5" t="s">
        <v>5187</v>
      </c>
      <c r="G1228" s="5">
        <f t="shared" si="83"/>
        <v>25864</v>
      </c>
      <c r="I1228" s="6" t="str">
        <f t="shared" si="84"/>
        <v>0</v>
      </c>
      <c r="K1228" s="19" t="s">
        <v>5188</v>
      </c>
    </row>
    <row r="1229" spans="1:11">
      <c r="A1229" t="s">
        <v>1603</v>
      </c>
      <c r="B1229" t="s">
        <v>309</v>
      </c>
      <c r="E1229" t="str">
        <f>IF(D1229&lt;&gt;"",C1229&amp;"/"&amp;D1229,"")</f>
        <v/>
      </c>
      <c r="G1229" s="5" t="str">
        <f t="shared" si="83"/>
        <v/>
      </c>
      <c r="I1229" s="6" t="str">
        <f t="shared" si="84"/>
        <v>0</v>
      </c>
    </row>
    <row r="1230" spans="1:11">
      <c r="A1230" t="s">
        <v>1604</v>
      </c>
      <c r="B1230" t="s">
        <v>309</v>
      </c>
      <c r="E1230" t="str">
        <f>IF(D1230&lt;&gt;"",C1230&amp;"/"&amp;D1230,"")</f>
        <v/>
      </c>
      <c r="G1230" s="5" t="str">
        <f t="shared" si="83"/>
        <v/>
      </c>
      <c r="I1230" s="6" t="str">
        <f t="shared" si="84"/>
        <v>0</v>
      </c>
    </row>
    <row r="1231" spans="1:11">
      <c r="A1231" t="s">
        <v>1605</v>
      </c>
      <c r="B1231" t="s">
        <v>309</v>
      </c>
      <c r="E1231" t="str">
        <f>IF(D1231&lt;&gt;"",C1231&amp;"/"&amp;D1231,"")</f>
        <v/>
      </c>
      <c r="G1231" s="5" t="str">
        <f t="shared" si="83"/>
        <v/>
      </c>
      <c r="I1231" s="6" t="str">
        <f t="shared" si="84"/>
        <v>0</v>
      </c>
    </row>
    <row r="1232" spans="1:11">
      <c r="A1232" t="s">
        <v>1606</v>
      </c>
      <c r="B1232" t="s">
        <v>309</v>
      </c>
      <c r="E1232" t="str">
        <f>IF(D1232&lt;&gt;"",C1232&amp;"/"&amp;D1232,"")</f>
        <v/>
      </c>
      <c r="G1232" s="5" t="str">
        <f t="shared" si="83"/>
        <v/>
      </c>
      <c r="I1232" s="6" t="str">
        <f t="shared" si="84"/>
        <v>0</v>
      </c>
    </row>
    <row r="1233" spans="1:11">
      <c r="A1233" t="s">
        <v>1607</v>
      </c>
      <c r="B1233" t="s">
        <v>309</v>
      </c>
      <c r="E1233" t="str">
        <f>IF(D1233&lt;&gt;"",C1233&amp;"/"&amp;D1233,"")</f>
        <v/>
      </c>
      <c r="G1233" s="5" t="str">
        <f t="shared" si="83"/>
        <v/>
      </c>
      <c r="I1233" s="6" t="str">
        <f t="shared" si="84"/>
        <v>0</v>
      </c>
    </row>
    <row r="1234" spans="1:11">
      <c r="A1234" t="s">
        <v>1608</v>
      </c>
      <c r="B1234" t="s">
        <v>3753</v>
      </c>
      <c r="G1234" s="5" t="str">
        <f t="shared" si="83"/>
        <v/>
      </c>
      <c r="I1234" s="6" t="str">
        <f t="shared" si="84"/>
        <v>0</v>
      </c>
      <c r="K1234" s="19" t="s">
        <v>3754</v>
      </c>
    </row>
    <row r="1235" spans="1:11">
      <c r="A1235" t="s">
        <v>1609</v>
      </c>
      <c r="B1235" t="s">
        <v>3946</v>
      </c>
      <c r="E1235" t="str">
        <f t="shared" ref="E1235:E1243" si="85">IF(D1235&lt;&gt;"",C1235&amp;"/"&amp;D1235,"")</f>
        <v/>
      </c>
      <c r="G1235" s="5" t="str">
        <f t="shared" si="83"/>
        <v/>
      </c>
      <c r="I1235" s="6" t="str">
        <f t="shared" si="84"/>
        <v>0</v>
      </c>
      <c r="K1235" s="19" t="s">
        <v>3947</v>
      </c>
    </row>
    <row r="1236" spans="1:11">
      <c r="A1236" t="s">
        <v>1610</v>
      </c>
      <c r="B1236" t="s">
        <v>3948</v>
      </c>
      <c r="E1236" t="str">
        <f t="shared" si="85"/>
        <v/>
      </c>
      <c r="G1236" s="5" t="str">
        <f t="shared" si="83"/>
        <v/>
      </c>
      <c r="I1236" s="6" t="str">
        <f t="shared" si="84"/>
        <v>0</v>
      </c>
      <c r="K1236" s="19" t="s">
        <v>3949</v>
      </c>
    </row>
    <row r="1237" spans="1:11">
      <c r="A1237" t="s">
        <v>1611</v>
      </c>
      <c r="B1237" t="s">
        <v>1612</v>
      </c>
      <c r="E1237" t="str">
        <f t="shared" si="85"/>
        <v/>
      </c>
      <c r="G1237" s="5" t="str">
        <f t="shared" si="83"/>
        <v/>
      </c>
      <c r="I1237" s="6" t="str">
        <f t="shared" si="84"/>
        <v>0</v>
      </c>
      <c r="K1237" s="19" t="s">
        <v>3950</v>
      </c>
    </row>
    <row r="1238" spans="1:11">
      <c r="A1238" t="s">
        <v>1613</v>
      </c>
      <c r="B1238" t="s">
        <v>1614</v>
      </c>
      <c r="E1238" t="str">
        <f t="shared" si="85"/>
        <v/>
      </c>
      <c r="G1238" s="5" t="str">
        <f t="shared" si="83"/>
        <v/>
      </c>
      <c r="I1238" s="6" t="str">
        <f t="shared" si="84"/>
        <v>0</v>
      </c>
      <c r="K1238" s="19" t="s">
        <v>3951</v>
      </c>
    </row>
    <row r="1239" spans="1:11">
      <c r="A1239" t="s">
        <v>1615</v>
      </c>
      <c r="B1239" t="s">
        <v>1616</v>
      </c>
      <c r="E1239" t="str">
        <f t="shared" si="85"/>
        <v/>
      </c>
      <c r="G1239" s="5" t="str">
        <f t="shared" si="83"/>
        <v/>
      </c>
      <c r="I1239" s="6" t="str">
        <f t="shared" si="84"/>
        <v>0</v>
      </c>
      <c r="K1239" s="19" t="s">
        <v>3952</v>
      </c>
    </row>
    <row r="1240" spans="1:11">
      <c r="A1240" t="s">
        <v>1617</v>
      </c>
      <c r="B1240" t="s">
        <v>1618</v>
      </c>
      <c r="E1240" t="str">
        <f t="shared" si="85"/>
        <v/>
      </c>
      <c r="G1240" s="5" t="str">
        <f t="shared" si="83"/>
        <v/>
      </c>
      <c r="I1240" s="6" t="str">
        <f t="shared" si="84"/>
        <v>0</v>
      </c>
      <c r="K1240" s="19" t="s">
        <v>3953</v>
      </c>
    </row>
    <row r="1241" spans="1:11">
      <c r="A1241" t="s">
        <v>1619</v>
      </c>
      <c r="B1241" t="s">
        <v>1620</v>
      </c>
      <c r="E1241" t="str">
        <f t="shared" si="85"/>
        <v/>
      </c>
      <c r="G1241" s="5" t="str">
        <f t="shared" si="83"/>
        <v/>
      </c>
      <c r="I1241" s="6" t="str">
        <f t="shared" si="84"/>
        <v>0</v>
      </c>
      <c r="K1241" s="19" t="s">
        <v>3954</v>
      </c>
    </row>
    <row r="1242" spans="1:11">
      <c r="A1242" t="s">
        <v>1621</v>
      </c>
      <c r="B1242" t="s">
        <v>1622</v>
      </c>
      <c r="E1242" t="str">
        <f t="shared" si="85"/>
        <v/>
      </c>
      <c r="G1242" s="5" t="str">
        <f t="shared" si="83"/>
        <v/>
      </c>
      <c r="I1242" s="6" t="str">
        <f t="shared" si="84"/>
        <v>0</v>
      </c>
      <c r="K1242" s="19" t="s">
        <v>3955</v>
      </c>
    </row>
    <row r="1243" spans="1:11">
      <c r="A1243" t="s">
        <v>1623</v>
      </c>
      <c r="B1243" t="s">
        <v>3956</v>
      </c>
      <c r="E1243" t="str">
        <f t="shared" si="85"/>
        <v/>
      </c>
      <c r="G1243" s="5" t="str">
        <f t="shared" si="83"/>
        <v/>
      </c>
      <c r="I1243" s="6" t="str">
        <f t="shared" si="84"/>
        <v>0</v>
      </c>
      <c r="K1243" s="19" t="s">
        <v>3957</v>
      </c>
    </row>
    <row r="1244" spans="1:11">
      <c r="A1244" t="s">
        <v>1624</v>
      </c>
      <c r="B1244" t="s">
        <v>3807</v>
      </c>
      <c r="G1244" s="5" t="str">
        <f t="shared" si="83"/>
        <v/>
      </c>
      <c r="I1244" s="6" t="str">
        <f t="shared" si="84"/>
        <v>0</v>
      </c>
      <c r="K1244" s="19" t="s">
        <v>3958</v>
      </c>
    </row>
    <row r="1245" spans="1:11">
      <c r="A1245" t="s">
        <v>1625</v>
      </c>
      <c r="B1245" t="s">
        <v>3959</v>
      </c>
      <c r="E1245" t="str">
        <f t="shared" ref="E1245:E1271" si="86">IF(D1245&lt;&gt;"",C1245&amp;"/"&amp;D1245,"")</f>
        <v/>
      </c>
      <c r="G1245" s="5" t="str">
        <f t="shared" si="83"/>
        <v/>
      </c>
      <c r="I1245" s="6" t="str">
        <f t="shared" si="84"/>
        <v>0</v>
      </c>
      <c r="K1245" s="19" t="s">
        <v>3960</v>
      </c>
    </row>
    <row r="1246" spans="1:11">
      <c r="A1246" t="s">
        <v>1626</v>
      </c>
      <c r="B1246" t="s">
        <v>3306</v>
      </c>
      <c r="E1246" t="str">
        <f t="shared" si="86"/>
        <v/>
      </c>
      <c r="G1246" s="5" t="str">
        <f t="shared" si="83"/>
        <v/>
      </c>
      <c r="I1246" s="6" t="str">
        <f t="shared" si="84"/>
        <v>0</v>
      </c>
      <c r="K1246" s="19" t="s">
        <v>3961</v>
      </c>
    </row>
    <row r="1247" spans="1:11">
      <c r="A1247" t="s">
        <v>1627</v>
      </c>
      <c r="B1247" t="s">
        <v>3962</v>
      </c>
      <c r="E1247" t="str">
        <f t="shared" si="86"/>
        <v/>
      </c>
      <c r="G1247" s="5" t="str">
        <f t="shared" si="83"/>
        <v/>
      </c>
      <c r="I1247" s="6" t="str">
        <f t="shared" si="84"/>
        <v>0</v>
      </c>
      <c r="K1247" s="19" t="s">
        <v>3963</v>
      </c>
    </row>
    <row r="1248" spans="1:11">
      <c r="A1248" t="s">
        <v>1628</v>
      </c>
      <c r="B1248" t="s">
        <v>3964</v>
      </c>
      <c r="E1248" t="str">
        <f t="shared" si="86"/>
        <v/>
      </c>
      <c r="G1248" s="5" t="str">
        <f t="shared" si="83"/>
        <v/>
      </c>
      <c r="I1248" s="6" t="str">
        <f t="shared" si="84"/>
        <v>0</v>
      </c>
      <c r="K1248" s="19" t="s">
        <v>3965</v>
      </c>
    </row>
    <row r="1249" spans="1:11">
      <c r="A1249" t="s">
        <v>1629</v>
      </c>
      <c r="B1249" t="s">
        <v>3966</v>
      </c>
      <c r="E1249" t="str">
        <f t="shared" si="86"/>
        <v/>
      </c>
      <c r="G1249" s="5" t="str">
        <f t="shared" si="83"/>
        <v/>
      </c>
      <c r="I1249" s="6" t="str">
        <f t="shared" si="84"/>
        <v>0</v>
      </c>
      <c r="K1249" s="19" t="s">
        <v>3967</v>
      </c>
    </row>
    <row r="1250" spans="1:11">
      <c r="A1250" t="s">
        <v>1630</v>
      </c>
      <c r="B1250" t="s">
        <v>3968</v>
      </c>
      <c r="E1250" t="str">
        <f t="shared" si="86"/>
        <v/>
      </c>
      <c r="G1250" s="5" t="str">
        <f t="shared" si="83"/>
        <v/>
      </c>
      <c r="I1250" s="6" t="str">
        <f t="shared" si="84"/>
        <v>0</v>
      </c>
      <c r="K1250" s="19" t="s">
        <v>3969</v>
      </c>
    </row>
    <row r="1251" spans="1:11">
      <c r="A1251" t="s">
        <v>1631</v>
      </c>
      <c r="B1251" t="s">
        <v>3970</v>
      </c>
      <c r="E1251" t="str">
        <f t="shared" si="86"/>
        <v/>
      </c>
      <c r="G1251" s="5" t="str">
        <f t="shared" si="83"/>
        <v/>
      </c>
      <c r="I1251" s="6" t="str">
        <f t="shared" si="84"/>
        <v>0</v>
      </c>
      <c r="K1251" s="19" t="s">
        <v>3971</v>
      </c>
    </row>
    <row r="1252" spans="1:11">
      <c r="A1252" t="s">
        <v>1632</v>
      </c>
      <c r="B1252" t="s">
        <v>3305</v>
      </c>
      <c r="E1252" t="str">
        <f t="shared" si="86"/>
        <v/>
      </c>
      <c r="G1252" s="5" t="str">
        <f t="shared" si="83"/>
        <v/>
      </c>
      <c r="I1252" s="6" t="str">
        <f t="shared" si="84"/>
        <v>0</v>
      </c>
      <c r="K1252" s="19" t="s">
        <v>3972</v>
      </c>
    </row>
    <row r="1253" spans="1:11">
      <c r="A1253" t="s">
        <v>1633</v>
      </c>
      <c r="B1253" t="s">
        <v>3973</v>
      </c>
      <c r="E1253" t="str">
        <f t="shared" si="86"/>
        <v/>
      </c>
      <c r="G1253" s="5" t="str">
        <f t="shared" si="83"/>
        <v/>
      </c>
      <c r="I1253" s="6" t="str">
        <f t="shared" si="84"/>
        <v>0</v>
      </c>
      <c r="K1253" s="19" t="s">
        <v>3974</v>
      </c>
    </row>
    <row r="1254" spans="1:11">
      <c r="A1254" t="s">
        <v>1635</v>
      </c>
      <c r="B1254" t="s">
        <v>3302</v>
      </c>
      <c r="E1254" t="str">
        <f t="shared" si="86"/>
        <v/>
      </c>
      <c r="G1254" s="5" t="str">
        <f t="shared" si="83"/>
        <v/>
      </c>
      <c r="I1254" s="6" t="str">
        <f t="shared" si="84"/>
        <v>0</v>
      </c>
      <c r="K1254" s="19" t="s">
        <v>3975</v>
      </c>
    </row>
    <row r="1255" spans="1:11">
      <c r="A1255" t="s">
        <v>1636</v>
      </c>
      <c r="B1255" t="s">
        <v>3976</v>
      </c>
      <c r="E1255" t="str">
        <f t="shared" si="86"/>
        <v/>
      </c>
      <c r="G1255" s="5" t="str">
        <f t="shared" si="83"/>
        <v/>
      </c>
      <c r="I1255" s="6" t="str">
        <f t="shared" si="84"/>
        <v>0</v>
      </c>
      <c r="K1255" s="19" t="s">
        <v>3977</v>
      </c>
    </row>
    <row r="1256" spans="1:11">
      <c r="A1256" t="s">
        <v>1637</v>
      </c>
      <c r="B1256" t="s">
        <v>3978</v>
      </c>
      <c r="E1256" t="str">
        <f t="shared" si="86"/>
        <v/>
      </c>
      <c r="G1256" s="5" t="str">
        <f t="shared" si="83"/>
        <v/>
      </c>
      <c r="I1256" s="6" t="str">
        <f t="shared" si="84"/>
        <v>0</v>
      </c>
      <c r="K1256" s="19" t="s">
        <v>3979</v>
      </c>
    </row>
    <row r="1257" spans="1:11">
      <c r="A1257" t="s">
        <v>1638</v>
      </c>
      <c r="B1257" t="s">
        <v>3980</v>
      </c>
      <c r="E1257" t="str">
        <f t="shared" si="86"/>
        <v/>
      </c>
      <c r="G1257" s="5" t="str">
        <f t="shared" si="83"/>
        <v/>
      </c>
      <c r="I1257" s="6" t="str">
        <f t="shared" si="84"/>
        <v>0</v>
      </c>
      <c r="K1257" s="19" t="s">
        <v>3981</v>
      </c>
    </row>
    <row r="1258" spans="1:11">
      <c r="A1258" t="s">
        <v>1639</v>
      </c>
      <c r="B1258" t="s">
        <v>3982</v>
      </c>
      <c r="E1258" t="str">
        <f t="shared" si="86"/>
        <v/>
      </c>
      <c r="G1258" s="5" t="str">
        <f t="shared" si="83"/>
        <v/>
      </c>
      <c r="I1258" s="6" t="str">
        <f t="shared" si="84"/>
        <v>0</v>
      </c>
      <c r="K1258" s="19" t="s">
        <v>3983</v>
      </c>
    </row>
    <row r="1259" spans="1:11">
      <c r="A1259" t="s">
        <v>1641</v>
      </c>
      <c r="B1259" t="s">
        <v>3984</v>
      </c>
      <c r="E1259" t="str">
        <f t="shared" si="86"/>
        <v/>
      </c>
      <c r="G1259" s="5" t="str">
        <f t="shared" si="83"/>
        <v/>
      </c>
      <c r="I1259" s="6" t="str">
        <f t="shared" si="84"/>
        <v>0</v>
      </c>
      <c r="K1259" s="19" t="s">
        <v>3985</v>
      </c>
    </row>
    <row r="1260" spans="1:11">
      <c r="A1260" t="s">
        <v>1642</v>
      </c>
      <c r="B1260" t="s">
        <v>3986</v>
      </c>
      <c r="E1260" t="str">
        <f t="shared" si="86"/>
        <v/>
      </c>
      <c r="G1260" s="5" t="str">
        <f t="shared" si="83"/>
        <v/>
      </c>
      <c r="I1260" s="6" t="str">
        <f t="shared" si="84"/>
        <v>0</v>
      </c>
      <c r="K1260" s="19" t="s">
        <v>3987</v>
      </c>
    </row>
    <row r="1261" spans="1:11">
      <c r="A1261" t="s">
        <v>1643</v>
      </c>
      <c r="B1261" t="s">
        <v>3988</v>
      </c>
      <c r="E1261" t="str">
        <f t="shared" si="86"/>
        <v/>
      </c>
      <c r="G1261" s="5" t="str">
        <f t="shared" si="83"/>
        <v/>
      </c>
      <c r="I1261" s="6" t="str">
        <f t="shared" si="84"/>
        <v>0</v>
      </c>
      <c r="K1261" s="19" t="s">
        <v>3989</v>
      </c>
    </row>
    <row r="1262" spans="1:11">
      <c r="A1262" t="s">
        <v>1644</v>
      </c>
      <c r="B1262" t="s">
        <v>3990</v>
      </c>
      <c r="E1262" t="str">
        <f t="shared" si="86"/>
        <v/>
      </c>
      <c r="G1262" s="5" t="str">
        <f t="shared" si="83"/>
        <v/>
      </c>
      <c r="I1262" s="6" t="str">
        <f t="shared" si="84"/>
        <v>0</v>
      </c>
      <c r="K1262" s="19" t="s">
        <v>3991</v>
      </c>
    </row>
    <row r="1263" spans="1:11">
      <c r="A1263" t="s">
        <v>1645</v>
      </c>
      <c r="B1263" t="s">
        <v>3992</v>
      </c>
      <c r="E1263" t="str">
        <f t="shared" si="86"/>
        <v/>
      </c>
      <c r="G1263" s="5" t="str">
        <f t="shared" si="83"/>
        <v/>
      </c>
      <c r="I1263" s="6" t="str">
        <f t="shared" si="84"/>
        <v>0</v>
      </c>
      <c r="K1263" s="19" t="s">
        <v>3993</v>
      </c>
    </row>
    <row r="1264" spans="1:11">
      <c r="A1264" t="s">
        <v>1646</v>
      </c>
      <c r="B1264" t="s">
        <v>3994</v>
      </c>
      <c r="E1264" t="str">
        <f t="shared" si="86"/>
        <v/>
      </c>
      <c r="G1264" s="5" t="str">
        <f t="shared" si="83"/>
        <v/>
      </c>
      <c r="I1264" s="6" t="str">
        <f t="shared" si="84"/>
        <v>0</v>
      </c>
      <c r="K1264" s="19" t="s">
        <v>3995</v>
      </c>
    </row>
    <row r="1265" spans="1:11">
      <c r="A1265" t="s">
        <v>1647</v>
      </c>
      <c r="B1265" t="s">
        <v>3996</v>
      </c>
      <c r="E1265" t="str">
        <f t="shared" si="86"/>
        <v/>
      </c>
      <c r="G1265" s="5" t="str">
        <f t="shared" si="83"/>
        <v/>
      </c>
      <c r="I1265" s="6" t="str">
        <f t="shared" si="84"/>
        <v>0</v>
      </c>
      <c r="K1265" s="19" t="s">
        <v>3997</v>
      </c>
    </row>
    <row r="1266" spans="1:11">
      <c r="A1266" t="s">
        <v>1648</v>
      </c>
      <c r="B1266" t="s">
        <v>3998</v>
      </c>
      <c r="E1266" t="str">
        <f t="shared" si="86"/>
        <v/>
      </c>
      <c r="G1266" s="5" t="str">
        <f t="shared" si="83"/>
        <v/>
      </c>
      <c r="I1266" s="6" t="str">
        <f t="shared" si="84"/>
        <v>0</v>
      </c>
      <c r="K1266" s="19" t="s">
        <v>3999</v>
      </c>
    </row>
    <row r="1267" spans="1:11">
      <c r="A1267" t="s">
        <v>1649</v>
      </c>
      <c r="B1267" t="s">
        <v>4000</v>
      </c>
      <c r="E1267" t="str">
        <f t="shared" si="86"/>
        <v/>
      </c>
      <c r="G1267" s="5" t="str">
        <f t="shared" si="83"/>
        <v/>
      </c>
      <c r="I1267" s="6" t="str">
        <f t="shared" si="84"/>
        <v>0</v>
      </c>
      <c r="K1267" s="19" t="s">
        <v>4001</v>
      </c>
    </row>
    <row r="1268" spans="1:11">
      <c r="A1268" t="s">
        <v>1650</v>
      </c>
      <c r="B1268" t="s">
        <v>4002</v>
      </c>
      <c r="E1268" t="str">
        <f t="shared" si="86"/>
        <v/>
      </c>
      <c r="G1268" s="5" t="str">
        <f t="shared" si="83"/>
        <v/>
      </c>
      <c r="I1268" s="6" t="str">
        <f t="shared" si="84"/>
        <v>0</v>
      </c>
      <c r="K1268" s="19" t="s">
        <v>4003</v>
      </c>
    </row>
    <row r="1269" spans="1:11">
      <c r="A1269" t="s">
        <v>1652</v>
      </c>
      <c r="B1269" t="s">
        <v>4004</v>
      </c>
      <c r="E1269" t="str">
        <f t="shared" si="86"/>
        <v/>
      </c>
      <c r="G1269" s="5" t="str">
        <f t="shared" si="83"/>
        <v/>
      </c>
      <c r="I1269" s="6" t="str">
        <f t="shared" si="84"/>
        <v>0</v>
      </c>
      <c r="K1269" s="19" t="s">
        <v>4005</v>
      </c>
    </row>
    <row r="1270" spans="1:11">
      <c r="A1270" t="s">
        <v>1653</v>
      </c>
      <c r="B1270" t="s">
        <v>4006</v>
      </c>
      <c r="E1270" t="str">
        <f t="shared" si="86"/>
        <v/>
      </c>
      <c r="G1270" s="5" t="str">
        <f t="shared" si="83"/>
        <v/>
      </c>
      <c r="I1270" s="6" t="str">
        <f t="shared" si="84"/>
        <v>0</v>
      </c>
      <c r="K1270" s="19" t="s">
        <v>4007</v>
      </c>
    </row>
    <row r="1271" spans="1:11">
      <c r="A1271" t="s">
        <v>1654</v>
      </c>
      <c r="B1271" t="s">
        <v>4008</v>
      </c>
      <c r="E1271" t="str">
        <f t="shared" si="86"/>
        <v/>
      </c>
      <c r="G1271" s="5" t="str">
        <f t="shared" si="83"/>
        <v/>
      </c>
      <c r="I1271" s="6" t="str">
        <f t="shared" si="84"/>
        <v>0</v>
      </c>
      <c r="K1271" s="19" t="s">
        <v>4009</v>
      </c>
    </row>
    <row r="1272" spans="1:11">
      <c r="A1272" t="s">
        <v>1656</v>
      </c>
      <c r="B1272" t="s">
        <v>1657</v>
      </c>
      <c r="C1272" s="5" t="s">
        <v>7</v>
      </c>
      <c r="F1272" s="5" t="s">
        <v>5127</v>
      </c>
      <c r="G1272" s="5">
        <f t="shared" si="83"/>
        <v>26732</v>
      </c>
      <c r="I1272" s="6" t="str">
        <f t="shared" si="84"/>
        <v>0</v>
      </c>
      <c r="K1272" s="24" t="s">
        <v>5128</v>
      </c>
    </row>
    <row r="1273" spans="1:11">
      <c r="A1273" t="s">
        <v>1658</v>
      </c>
      <c r="B1273" t="s">
        <v>3304</v>
      </c>
      <c r="C1273" s="5" t="s">
        <v>7</v>
      </c>
      <c r="F1273" s="5" t="s">
        <v>5129</v>
      </c>
      <c r="G1273" s="5">
        <f t="shared" si="83"/>
        <v>26758</v>
      </c>
      <c r="I1273" s="6" t="str">
        <f t="shared" si="84"/>
        <v>0</v>
      </c>
      <c r="K1273" s="24" t="s">
        <v>5130</v>
      </c>
    </row>
    <row r="1274" spans="1:11">
      <c r="A1274" t="s">
        <v>1659</v>
      </c>
      <c r="B1274" t="s">
        <v>4010</v>
      </c>
      <c r="E1274" t="str">
        <f>IF(D1274&lt;&gt;"",C1274&amp;"/"&amp;D1274,"")</f>
        <v/>
      </c>
      <c r="G1274" s="5" t="str">
        <f t="shared" si="83"/>
        <v/>
      </c>
      <c r="I1274" s="6" t="str">
        <f t="shared" si="84"/>
        <v>0</v>
      </c>
      <c r="K1274" s="19" t="s">
        <v>4011</v>
      </c>
    </row>
    <row r="1275" spans="1:11">
      <c r="A1275" t="s">
        <v>1660</v>
      </c>
      <c r="B1275" t="s">
        <v>4012</v>
      </c>
      <c r="E1275" t="str">
        <f>IF(D1275&lt;&gt;"",C1275&amp;"/"&amp;D1275,"")</f>
        <v/>
      </c>
      <c r="G1275" s="5" t="str">
        <f t="shared" si="83"/>
        <v/>
      </c>
      <c r="I1275" s="6" t="str">
        <f t="shared" si="84"/>
        <v>0</v>
      </c>
      <c r="K1275" s="19" t="s">
        <v>4013</v>
      </c>
    </row>
    <row r="1276" spans="1:11">
      <c r="A1276" t="s">
        <v>1661</v>
      </c>
      <c r="B1276" t="s">
        <v>4014</v>
      </c>
      <c r="E1276" t="str">
        <f>IF(D1276&lt;&gt;"",C1276&amp;"/"&amp;D1276,"")</f>
        <v/>
      </c>
      <c r="G1276" s="5" t="str">
        <f t="shared" si="83"/>
        <v/>
      </c>
      <c r="I1276" s="6" t="str">
        <f t="shared" si="84"/>
        <v>0</v>
      </c>
      <c r="K1276" s="19" t="s">
        <v>4015</v>
      </c>
    </row>
    <row r="1277" spans="1:11">
      <c r="A1277" t="s">
        <v>1662</v>
      </c>
      <c r="B1277" t="s">
        <v>4016</v>
      </c>
      <c r="E1277" t="str">
        <f>IF(D1277&lt;&gt;"",C1277&amp;"/"&amp;D1277,"")</f>
        <v/>
      </c>
      <c r="G1277" s="5" t="str">
        <f t="shared" si="83"/>
        <v/>
      </c>
      <c r="I1277" s="6" t="str">
        <f t="shared" si="84"/>
        <v>0</v>
      </c>
      <c r="K1277" s="19" t="s">
        <v>4017</v>
      </c>
    </row>
    <row r="1278" spans="1:11">
      <c r="A1278" t="s">
        <v>1663</v>
      </c>
      <c r="B1278" t="s">
        <v>3808</v>
      </c>
      <c r="G1278" s="5" t="str">
        <f t="shared" si="83"/>
        <v/>
      </c>
      <c r="I1278" s="6" t="str">
        <f t="shared" si="84"/>
        <v>0</v>
      </c>
      <c r="K1278" s="19" t="s">
        <v>3809</v>
      </c>
    </row>
    <row r="1279" spans="1:11">
      <c r="A1279" t="s">
        <v>1664</v>
      </c>
      <c r="B1279" t="s">
        <v>4018</v>
      </c>
      <c r="E1279" t="str">
        <f>IF(D1279&lt;&gt;"",C1279&amp;"/"&amp;D1279,"")</f>
        <v/>
      </c>
      <c r="G1279" s="5" t="str">
        <f t="shared" si="83"/>
        <v/>
      </c>
      <c r="I1279" s="6" t="str">
        <f t="shared" si="84"/>
        <v>0</v>
      </c>
      <c r="K1279" s="19" t="s">
        <v>4019</v>
      </c>
    </row>
    <row r="1280" spans="1:11">
      <c r="A1280" t="s">
        <v>1665</v>
      </c>
      <c r="B1280" t="s">
        <v>4020</v>
      </c>
      <c r="E1280" t="str">
        <f>IF(D1280&lt;&gt;"",C1280&amp;"/"&amp;D1280,"")</f>
        <v/>
      </c>
      <c r="G1280" s="5" t="str">
        <f t="shared" si="83"/>
        <v/>
      </c>
      <c r="I1280" s="6" t="str">
        <f t="shared" si="84"/>
        <v>0</v>
      </c>
      <c r="K1280" s="19" t="s">
        <v>4021</v>
      </c>
    </row>
    <row r="1281" spans="1:11" ht="17">
      <c r="A1281" t="s">
        <v>1666</v>
      </c>
      <c r="B1281" s="17" t="s">
        <v>3810</v>
      </c>
      <c r="D1281" s="17"/>
      <c r="F1281" s="16"/>
      <c r="G1281" s="5" t="str">
        <f t="shared" si="83"/>
        <v/>
      </c>
      <c r="I1281" s="6" t="str">
        <f t="shared" si="84"/>
        <v>0</v>
      </c>
      <c r="K1281" s="19" t="s">
        <v>3811</v>
      </c>
    </row>
    <row r="1282" spans="1:11">
      <c r="A1282" t="s">
        <v>1667</v>
      </c>
      <c r="B1282" t="s">
        <v>4022</v>
      </c>
      <c r="E1282" t="str">
        <f t="shared" ref="E1282:E1296" si="87">IF(D1282&lt;&gt;"",C1282&amp;"/"&amp;D1282,"")</f>
        <v/>
      </c>
      <c r="G1282" s="5" t="str">
        <f t="shared" ref="G1282:G1345" si="88">IF(F1282&lt;&gt;"",HEX2DEC(SUBSTITUTE(SUBSTITUTE(F1282,"adrEA",""),"$","")),"")</f>
        <v/>
      </c>
      <c r="I1282" s="6" t="str">
        <f t="shared" ref="I1282:I1345" si="89">IFERROR(DEC2HEX(H1282),"")</f>
        <v>0</v>
      </c>
      <c r="K1282" s="19" t="s">
        <v>4023</v>
      </c>
    </row>
    <row r="1283" spans="1:11">
      <c r="A1283" t="s">
        <v>1668</v>
      </c>
      <c r="B1283" t="s">
        <v>4024</v>
      </c>
      <c r="E1283" t="str">
        <f t="shared" si="87"/>
        <v/>
      </c>
      <c r="G1283" s="5" t="str">
        <f t="shared" si="88"/>
        <v/>
      </c>
      <c r="I1283" s="6" t="str">
        <f t="shared" si="89"/>
        <v>0</v>
      </c>
      <c r="K1283" s="19" t="s">
        <v>4025</v>
      </c>
    </row>
    <row r="1284" spans="1:11">
      <c r="A1284" t="s">
        <v>1669</v>
      </c>
      <c r="B1284" t="s">
        <v>5735</v>
      </c>
      <c r="G1284" s="5" t="str">
        <f t="shared" si="88"/>
        <v/>
      </c>
      <c r="I1284" s="6" t="str">
        <f t="shared" si="89"/>
        <v>0</v>
      </c>
      <c r="K1284" s="19" t="s">
        <v>5736</v>
      </c>
    </row>
    <row r="1285" spans="1:11">
      <c r="A1285" t="s">
        <v>1670</v>
      </c>
      <c r="B1285" t="s">
        <v>309</v>
      </c>
      <c r="E1285" t="str">
        <f t="shared" si="87"/>
        <v/>
      </c>
      <c r="G1285" s="5" t="str">
        <f t="shared" si="88"/>
        <v/>
      </c>
      <c r="I1285" s="6" t="str">
        <f t="shared" si="89"/>
        <v>0</v>
      </c>
    </row>
    <row r="1286" spans="1:11">
      <c r="A1286" t="s">
        <v>1671</v>
      </c>
      <c r="B1286" t="s">
        <v>309</v>
      </c>
      <c r="E1286" t="str">
        <f t="shared" si="87"/>
        <v/>
      </c>
      <c r="G1286" s="5" t="str">
        <f t="shared" si="88"/>
        <v/>
      </c>
      <c r="I1286" s="6" t="str">
        <f t="shared" si="89"/>
        <v>0</v>
      </c>
    </row>
    <row r="1287" spans="1:11">
      <c r="A1287" t="s">
        <v>1672</v>
      </c>
      <c r="B1287" t="s">
        <v>309</v>
      </c>
      <c r="E1287" t="str">
        <f t="shared" si="87"/>
        <v/>
      </c>
      <c r="G1287" s="5" t="str">
        <f t="shared" si="88"/>
        <v/>
      </c>
      <c r="I1287" s="6" t="str">
        <f t="shared" si="89"/>
        <v>0</v>
      </c>
    </row>
    <row r="1288" spans="1:11">
      <c r="A1288" t="s">
        <v>1673</v>
      </c>
      <c r="B1288" t="s">
        <v>3309</v>
      </c>
      <c r="E1288" t="str">
        <f t="shared" si="87"/>
        <v/>
      </c>
      <c r="G1288" s="5" t="str">
        <f t="shared" si="88"/>
        <v/>
      </c>
      <c r="I1288" s="6" t="str">
        <f t="shared" si="89"/>
        <v>0</v>
      </c>
    </row>
    <row r="1289" spans="1:11">
      <c r="A1289" t="s">
        <v>1674</v>
      </c>
      <c r="B1289" t="s">
        <v>3308</v>
      </c>
      <c r="E1289" t="str">
        <f t="shared" si="87"/>
        <v/>
      </c>
      <c r="G1289" s="5" t="str">
        <f t="shared" si="88"/>
        <v/>
      </c>
      <c r="I1289" s="6" t="str">
        <f t="shared" si="89"/>
        <v>0</v>
      </c>
    </row>
    <row r="1290" spans="1:11">
      <c r="A1290" t="s">
        <v>1675</v>
      </c>
      <c r="B1290" t="s">
        <v>3307</v>
      </c>
      <c r="E1290" t="str">
        <f t="shared" si="87"/>
        <v/>
      </c>
      <c r="G1290" s="5" t="str">
        <f t="shared" si="88"/>
        <v/>
      </c>
      <c r="I1290" s="6" t="str">
        <f t="shared" si="89"/>
        <v>0</v>
      </c>
    </row>
    <row r="1291" spans="1:11">
      <c r="A1291" t="s">
        <v>1676</v>
      </c>
      <c r="B1291" t="s">
        <v>3310</v>
      </c>
      <c r="E1291" t="str">
        <f t="shared" si="87"/>
        <v/>
      </c>
      <c r="G1291" s="5" t="str">
        <f t="shared" si="88"/>
        <v/>
      </c>
      <c r="I1291" s="6" t="str">
        <f t="shared" si="89"/>
        <v>0</v>
      </c>
    </row>
    <row r="1292" spans="1:11">
      <c r="A1292" t="s">
        <v>1677</v>
      </c>
      <c r="B1292" t="s">
        <v>3312</v>
      </c>
      <c r="E1292" t="str">
        <f t="shared" si="87"/>
        <v/>
      </c>
      <c r="G1292" s="5" t="str">
        <f t="shared" si="88"/>
        <v/>
      </c>
      <c r="I1292" s="6" t="str">
        <f t="shared" si="89"/>
        <v>0</v>
      </c>
    </row>
    <row r="1293" spans="1:11">
      <c r="A1293" t="s">
        <v>1678</v>
      </c>
      <c r="B1293" t="s">
        <v>1679</v>
      </c>
      <c r="E1293" t="str">
        <f t="shared" si="87"/>
        <v/>
      </c>
      <c r="G1293" s="5" t="str">
        <f t="shared" si="88"/>
        <v/>
      </c>
      <c r="I1293" s="6" t="str">
        <f t="shared" si="89"/>
        <v>0</v>
      </c>
    </row>
    <row r="1294" spans="1:11">
      <c r="A1294" t="s">
        <v>1680</v>
      </c>
      <c r="B1294" t="s">
        <v>1681</v>
      </c>
      <c r="E1294" t="str">
        <f t="shared" si="87"/>
        <v/>
      </c>
      <c r="G1294" s="5" t="str">
        <f t="shared" si="88"/>
        <v/>
      </c>
      <c r="I1294" s="6" t="str">
        <f t="shared" si="89"/>
        <v>0</v>
      </c>
    </row>
    <row r="1295" spans="1:11">
      <c r="A1295" t="s">
        <v>1682</v>
      </c>
      <c r="B1295" t="s">
        <v>1683</v>
      </c>
      <c r="E1295" t="str">
        <f t="shared" si="87"/>
        <v/>
      </c>
      <c r="G1295" s="5" t="str">
        <f t="shared" si="88"/>
        <v/>
      </c>
      <c r="I1295" s="6" t="str">
        <f t="shared" si="89"/>
        <v>0</v>
      </c>
    </row>
    <row r="1296" spans="1:11">
      <c r="A1296" t="s">
        <v>1684</v>
      </c>
      <c r="B1296" t="s">
        <v>1685</v>
      </c>
      <c r="E1296" t="str">
        <f t="shared" si="87"/>
        <v/>
      </c>
      <c r="G1296" s="5" t="str">
        <f t="shared" si="88"/>
        <v/>
      </c>
      <c r="I1296" s="6" t="str">
        <f t="shared" si="89"/>
        <v>0</v>
      </c>
    </row>
    <row r="1297" spans="1:11">
      <c r="A1297" t="s">
        <v>1686</v>
      </c>
      <c r="B1297" t="s">
        <v>3433</v>
      </c>
      <c r="C1297" s="5" t="s">
        <v>5205</v>
      </c>
      <c r="G1297" s="5" t="str">
        <f t="shared" si="88"/>
        <v/>
      </c>
      <c r="I1297" s="6" t="str">
        <f t="shared" si="89"/>
        <v>0</v>
      </c>
      <c r="K1297" s="24" t="s">
        <v>5233</v>
      </c>
    </row>
    <row r="1298" spans="1:11">
      <c r="A1298" t="s">
        <v>1687</v>
      </c>
      <c r="B1298" t="s">
        <v>5264</v>
      </c>
      <c r="C1298" s="5" t="s">
        <v>5205</v>
      </c>
      <c r="F1298" s="5" t="s">
        <v>5234</v>
      </c>
      <c r="G1298" s="5">
        <f t="shared" si="88"/>
        <v>28220</v>
      </c>
      <c r="I1298" s="6" t="str">
        <f t="shared" si="89"/>
        <v>0</v>
      </c>
      <c r="K1298" s="19" t="s">
        <v>5265</v>
      </c>
    </row>
    <row r="1299" spans="1:11" ht="17">
      <c r="A1299" t="s">
        <v>1688</v>
      </c>
      <c r="B1299" t="s">
        <v>5266</v>
      </c>
      <c r="C1299" s="5" t="s">
        <v>5205</v>
      </c>
      <c r="F1299" s="5" t="s">
        <v>5207</v>
      </c>
      <c r="G1299" s="5">
        <f t="shared" si="88"/>
        <v>28222</v>
      </c>
      <c r="I1299" s="6" t="str">
        <f t="shared" si="89"/>
        <v>0</v>
      </c>
      <c r="K1299" s="19" t="s">
        <v>5267</v>
      </c>
    </row>
    <row r="1300" spans="1:11">
      <c r="A1300" t="s">
        <v>1689</v>
      </c>
      <c r="B1300" t="s">
        <v>5407</v>
      </c>
      <c r="C1300" s="7" t="s">
        <v>5205</v>
      </c>
      <c r="F1300" s="5" t="s">
        <v>5408</v>
      </c>
      <c r="G1300" s="5">
        <f t="shared" si="88"/>
        <v>27404</v>
      </c>
      <c r="I1300" s="6" t="str">
        <f t="shared" si="89"/>
        <v>0</v>
      </c>
      <c r="K1300" s="19" t="s">
        <v>5409</v>
      </c>
    </row>
    <row r="1301" spans="1:11">
      <c r="A1301" t="s">
        <v>1690</v>
      </c>
      <c r="B1301" t="s">
        <v>5410</v>
      </c>
      <c r="C1301" s="7" t="s">
        <v>5205</v>
      </c>
      <c r="F1301" s="5" t="s">
        <v>5411</v>
      </c>
      <c r="G1301" s="5">
        <f t="shared" si="88"/>
        <v>27420</v>
      </c>
      <c r="I1301" s="6" t="str">
        <f t="shared" si="89"/>
        <v>0</v>
      </c>
      <c r="K1301" s="19" t="s">
        <v>5412</v>
      </c>
    </row>
    <row r="1302" spans="1:11">
      <c r="A1302" t="s">
        <v>1691</v>
      </c>
      <c r="B1302" t="s">
        <v>5268</v>
      </c>
      <c r="C1302" s="5" t="s">
        <v>5205</v>
      </c>
      <c r="F1302" s="5" t="s">
        <v>5269</v>
      </c>
      <c r="G1302" s="5">
        <f t="shared" si="88"/>
        <v>28328</v>
      </c>
      <c r="I1302" s="6" t="str">
        <f t="shared" si="89"/>
        <v>0</v>
      </c>
      <c r="K1302" s="19" t="s">
        <v>5270</v>
      </c>
    </row>
    <row r="1303" spans="1:11">
      <c r="A1303" t="s">
        <v>1692</v>
      </c>
      <c r="B1303" t="s">
        <v>6377</v>
      </c>
      <c r="K1303" s="19" t="s">
        <v>6378</v>
      </c>
    </row>
    <row r="1304" spans="1:11">
      <c r="A1304" t="s">
        <v>1693</v>
      </c>
      <c r="B1304" t="s">
        <v>6379</v>
      </c>
      <c r="K1304" s="19" t="s">
        <v>6380</v>
      </c>
    </row>
    <row r="1305" spans="1:11">
      <c r="A1305" t="s">
        <v>1694</v>
      </c>
      <c r="B1305" t="s">
        <v>6381</v>
      </c>
      <c r="K1305" s="19" t="s">
        <v>6382</v>
      </c>
    </row>
    <row r="1306" spans="1:11">
      <c r="A1306" t="s">
        <v>1695</v>
      </c>
      <c r="B1306" t="s">
        <v>5271</v>
      </c>
      <c r="C1306" s="5" t="s">
        <v>5205</v>
      </c>
      <c r="F1306" s="5" t="s">
        <v>5272</v>
      </c>
      <c r="G1306" s="5">
        <f t="shared" si="88"/>
        <v>28472</v>
      </c>
      <c r="I1306" s="6" t="str">
        <f t="shared" si="89"/>
        <v>0</v>
      </c>
      <c r="K1306" s="19" t="s">
        <v>5273</v>
      </c>
    </row>
    <row r="1307" spans="1:11">
      <c r="A1307" t="s">
        <v>1696</v>
      </c>
      <c r="B1307" t="s">
        <v>5274</v>
      </c>
      <c r="C1307" s="5" t="s">
        <v>5205</v>
      </c>
      <c r="F1307" s="5" t="s">
        <v>5275</v>
      </c>
      <c r="G1307" s="5">
        <f t="shared" si="88"/>
        <v>28490</v>
      </c>
      <c r="I1307" s="6" t="str">
        <f t="shared" si="89"/>
        <v>0</v>
      </c>
      <c r="K1307" s="19" t="s">
        <v>5276</v>
      </c>
    </row>
    <row r="1308" spans="1:11">
      <c r="A1308" t="s">
        <v>1697</v>
      </c>
      <c r="B1308" t="s">
        <v>5277</v>
      </c>
      <c r="C1308" s="5" t="s">
        <v>5205</v>
      </c>
      <c r="F1308" s="5" t="s">
        <v>5278</v>
      </c>
      <c r="G1308" s="5">
        <f t="shared" si="88"/>
        <v>28504</v>
      </c>
      <c r="I1308" s="6" t="str">
        <f t="shared" si="89"/>
        <v>0</v>
      </c>
      <c r="K1308" s="19" t="s">
        <v>5279</v>
      </c>
    </row>
    <row r="1309" spans="1:11">
      <c r="A1309" t="s">
        <v>1698</v>
      </c>
      <c r="B1309" t="s">
        <v>1699</v>
      </c>
      <c r="E1309" t="str">
        <f t="shared" ref="E1309:E1340" si="90">IF(D1309&lt;&gt;"",C1309&amp;"/"&amp;D1309,"")</f>
        <v/>
      </c>
      <c r="G1309" s="5" t="str">
        <f t="shared" si="88"/>
        <v/>
      </c>
      <c r="I1309" s="6" t="str">
        <f t="shared" si="89"/>
        <v>0</v>
      </c>
    </row>
    <row r="1310" spans="1:11">
      <c r="A1310" t="s">
        <v>1700</v>
      </c>
      <c r="B1310" t="s">
        <v>1701</v>
      </c>
      <c r="E1310" t="str">
        <f t="shared" si="90"/>
        <v/>
      </c>
      <c r="G1310" s="5" t="str">
        <f t="shared" si="88"/>
        <v/>
      </c>
      <c r="I1310" s="6" t="str">
        <f t="shared" si="89"/>
        <v>0</v>
      </c>
    </row>
    <row r="1311" spans="1:11">
      <c r="A1311" t="s">
        <v>1702</v>
      </c>
      <c r="B1311" t="s">
        <v>3313</v>
      </c>
      <c r="E1311" t="str">
        <f t="shared" si="90"/>
        <v/>
      </c>
      <c r="G1311" s="5" t="str">
        <f t="shared" si="88"/>
        <v/>
      </c>
      <c r="I1311" s="6" t="str">
        <f t="shared" si="89"/>
        <v>0</v>
      </c>
    </row>
    <row r="1312" spans="1:11">
      <c r="A1312" t="s">
        <v>1703</v>
      </c>
      <c r="B1312" t="s">
        <v>5965</v>
      </c>
      <c r="G1312" s="5" t="str">
        <f t="shared" si="88"/>
        <v/>
      </c>
      <c r="I1312" s="6" t="str">
        <f t="shared" si="89"/>
        <v>0</v>
      </c>
      <c r="K1312" s="19" t="s">
        <v>5966</v>
      </c>
    </row>
    <row r="1313" spans="1:12">
      <c r="A1313" t="s">
        <v>1704</v>
      </c>
      <c r="B1313" t="s">
        <v>5413</v>
      </c>
      <c r="C1313" s="7"/>
      <c r="G1313" s="5" t="str">
        <f t="shared" si="88"/>
        <v/>
      </c>
      <c r="I1313" s="6" t="str">
        <f t="shared" si="89"/>
        <v>0</v>
      </c>
      <c r="L1313" s="24" t="s">
        <v>5414</v>
      </c>
    </row>
    <row r="1314" spans="1:12">
      <c r="A1314" t="s">
        <v>1705</v>
      </c>
      <c r="B1314" t="s">
        <v>5415</v>
      </c>
      <c r="C1314" s="7"/>
      <c r="G1314" s="5" t="str">
        <f t="shared" si="88"/>
        <v/>
      </c>
      <c r="I1314" s="6" t="str">
        <f t="shared" si="89"/>
        <v>0</v>
      </c>
      <c r="L1314" s="24" t="s">
        <v>5416</v>
      </c>
    </row>
    <row r="1315" spans="1:12">
      <c r="A1315" t="s">
        <v>1706</v>
      </c>
      <c r="B1315" t="s">
        <v>5967</v>
      </c>
      <c r="G1315" s="5" t="str">
        <f t="shared" si="88"/>
        <v/>
      </c>
      <c r="I1315" s="6" t="str">
        <f t="shared" si="89"/>
        <v>0</v>
      </c>
      <c r="K1315" s="19" t="s">
        <v>5968</v>
      </c>
    </row>
    <row r="1316" spans="1:12">
      <c r="A1316" t="s">
        <v>1707</v>
      </c>
      <c r="B1316" t="s">
        <v>5417</v>
      </c>
      <c r="C1316" s="7"/>
      <c r="G1316" s="5" t="str">
        <f t="shared" si="88"/>
        <v/>
      </c>
      <c r="I1316" s="6" t="str">
        <f t="shared" si="89"/>
        <v>0</v>
      </c>
      <c r="L1316" s="24" t="s">
        <v>5418</v>
      </c>
    </row>
    <row r="1317" spans="1:12">
      <c r="A1317" t="s">
        <v>1708</v>
      </c>
      <c r="B1317" t="s">
        <v>5419</v>
      </c>
      <c r="C1317" s="7"/>
      <c r="G1317" s="5" t="str">
        <f t="shared" si="88"/>
        <v/>
      </c>
      <c r="I1317" s="6" t="str">
        <f t="shared" si="89"/>
        <v>0</v>
      </c>
      <c r="L1317" s="24" t="s">
        <v>5420</v>
      </c>
    </row>
    <row r="1318" spans="1:12">
      <c r="A1318" t="s">
        <v>1709</v>
      </c>
      <c r="B1318" t="s">
        <v>5421</v>
      </c>
      <c r="C1318" s="7"/>
      <c r="G1318" s="5" t="str">
        <f t="shared" si="88"/>
        <v/>
      </c>
      <c r="I1318" s="6" t="str">
        <f t="shared" si="89"/>
        <v>0</v>
      </c>
      <c r="L1318" s="24" t="s">
        <v>5422</v>
      </c>
    </row>
    <row r="1319" spans="1:12">
      <c r="A1319" t="s">
        <v>1710</v>
      </c>
      <c r="B1319" t="s">
        <v>5423</v>
      </c>
      <c r="C1319" s="7"/>
      <c r="G1319" s="5" t="str">
        <f t="shared" si="88"/>
        <v/>
      </c>
      <c r="I1319" s="6" t="str">
        <f t="shared" si="89"/>
        <v>0</v>
      </c>
      <c r="L1319" s="24" t="s">
        <v>5424</v>
      </c>
    </row>
    <row r="1320" spans="1:12">
      <c r="A1320" t="s">
        <v>1711</v>
      </c>
      <c r="B1320" t="s">
        <v>5425</v>
      </c>
      <c r="C1320" s="7"/>
      <c r="G1320" s="5" t="str">
        <f t="shared" si="88"/>
        <v/>
      </c>
      <c r="I1320" s="6" t="str">
        <f t="shared" si="89"/>
        <v>0</v>
      </c>
      <c r="L1320" s="24" t="s">
        <v>5426</v>
      </c>
    </row>
    <row r="1321" spans="1:12">
      <c r="A1321" t="s">
        <v>1712</v>
      </c>
      <c r="B1321" t="s">
        <v>1713</v>
      </c>
      <c r="C1321" s="7"/>
      <c r="G1321" s="5" t="str">
        <f t="shared" si="88"/>
        <v/>
      </c>
      <c r="I1321" s="6" t="str">
        <f t="shared" si="89"/>
        <v>0</v>
      </c>
      <c r="L1321" s="24" t="s">
        <v>5427</v>
      </c>
    </row>
    <row r="1322" spans="1:12">
      <c r="A1322" t="s">
        <v>1714</v>
      </c>
      <c r="B1322" t="s">
        <v>1715</v>
      </c>
      <c r="C1322" s="7"/>
      <c r="G1322" s="5" t="str">
        <f t="shared" si="88"/>
        <v/>
      </c>
      <c r="I1322" s="6" t="str">
        <f t="shared" si="89"/>
        <v>0</v>
      </c>
      <c r="L1322" s="24" t="s">
        <v>5428</v>
      </c>
    </row>
    <row r="1323" spans="1:12">
      <c r="A1323" t="s">
        <v>1716</v>
      </c>
      <c r="B1323" t="s">
        <v>3319</v>
      </c>
      <c r="C1323" s="7"/>
      <c r="G1323" s="5" t="str">
        <f t="shared" si="88"/>
        <v/>
      </c>
      <c r="I1323" s="6" t="str">
        <f t="shared" si="89"/>
        <v>0</v>
      </c>
      <c r="L1323" s="24" t="s">
        <v>5429</v>
      </c>
    </row>
    <row r="1324" spans="1:12">
      <c r="A1324" t="s">
        <v>1717</v>
      </c>
      <c r="B1324" t="s">
        <v>3318</v>
      </c>
      <c r="C1324" s="7"/>
      <c r="G1324" s="5" t="str">
        <f t="shared" si="88"/>
        <v/>
      </c>
      <c r="I1324" s="6" t="str">
        <f t="shared" si="89"/>
        <v>0</v>
      </c>
      <c r="L1324" s="24" t="s">
        <v>5430</v>
      </c>
    </row>
    <row r="1325" spans="1:12">
      <c r="A1325" t="s">
        <v>1718</v>
      </c>
      <c r="B1325" t="s">
        <v>5431</v>
      </c>
      <c r="C1325" s="7"/>
      <c r="G1325" s="5" t="str">
        <f t="shared" si="88"/>
        <v/>
      </c>
      <c r="I1325" s="6" t="str">
        <f t="shared" si="89"/>
        <v>0</v>
      </c>
      <c r="L1325" s="24" t="s">
        <v>5432</v>
      </c>
    </row>
    <row r="1326" spans="1:12">
      <c r="A1326" t="s">
        <v>1719</v>
      </c>
      <c r="B1326" t="s">
        <v>5433</v>
      </c>
      <c r="C1326" s="7"/>
      <c r="G1326" s="5" t="str">
        <f t="shared" si="88"/>
        <v/>
      </c>
      <c r="I1326" s="6" t="str">
        <f t="shared" si="89"/>
        <v>0</v>
      </c>
      <c r="L1326" s="24" t="s">
        <v>5434</v>
      </c>
    </row>
    <row r="1327" spans="1:12">
      <c r="A1327" t="s">
        <v>1722</v>
      </c>
      <c r="B1327" t="s">
        <v>3317</v>
      </c>
      <c r="C1327" s="7"/>
      <c r="G1327" s="5" t="str">
        <f t="shared" si="88"/>
        <v/>
      </c>
      <c r="I1327" s="6" t="str">
        <f t="shared" si="89"/>
        <v>0</v>
      </c>
      <c r="L1327" s="24" t="s">
        <v>5435</v>
      </c>
    </row>
    <row r="1328" spans="1:12">
      <c r="A1328" t="s">
        <v>1723</v>
      </c>
      <c r="B1328" t="s">
        <v>5436</v>
      </c>
      <c r="C1328" s="7"/>
      <c r="G1328" s="5" t="str">
        <f t="shared" si="88"/>
        <v/>
      </c>
      <c r="I1328" s="6" t="str">
        <f t="shared" si="89"/>
        <v>0</v>
      </c>
      <c r="L1328" s="24" t="s">
        <v>5437</v>
      </c>
    </row>
    <row r="1329" spans="1:12">
      <c r="A1329" t="s">
        <v>1724</v>
      </c>
      <c r="B1329" t="s">
        <v>3316</v>
      </c>
      <c r="C1329" s="7"/>
      <c r="G1329" s="5" t="str">
        <f t="shared" si="88"/>
        <v/>
      </c>
      <c r="I1329" s="6" t="str">
        <f t="shared" si="89"/>
        <v>0</v>
      </c>
      <c r="L1329" s="24" t="s">
        <v>5438</v>
      </c>
    </row>
    <row r="1330" spans="1:12">
      <c r="A1330" t="s">
        <v>1725</v>
      </c>
      <c r="B1330" t="s">
        <v>5439</v>
      </c>
      <c r="C1330" s="7"/>
      <c r="G1330" s="5" t="str">
        <f t="shared" si="88"/>
        <v/>
      </c>
      <c r="I1330" s="6" t="str">
        <f t="shared" si="89"/>
        <v>0</v>
      </c>
      <c r="L1330" s="24" t="s">
        <v>5440</v>
      </c>
    </row>
    <row r="1331" spans="1:12">
      <c r="A1331" t="s">
        <v>1726</v>
      </c>
      <c r="B1331" t="s">
        <v>5441</v>
      </c>
      <c r="C1331" s="7"/>
      <c r="G1331" s="5" t="str">
        <f t="shared" si="88"/>
        <v/>
      </c>
      <c r="I1331" s="6" t="str">
        <f t="shared" si="89"/>
        <v>0</v>
      </c>
      <c r="L1331" s="24" t="s">
        <v>5442</v>
      </c>
    </row>
    <row r="1332" spans="1:12">
      <c r="A1332" t="s">
        <v>1727</v>
      </c>
      <c r="B1332" t="s">
        <v>5443</v>
      </c>
      <c r="C1332" s="7"/>
      <c r="G1332" s="5" t="str">
        <f t="shared" si="88"/>
        <v/>
      </c>
      <c r="I1332" s="6" t="str">
        <f t="shared" si="89"/>
        <v>0</v>
      </c>
      <c r="L1332" s="24" t="s">
        <v>5444</v>
      </c>
    </row>
    <row r="1333" spans="1:12">
      <c r="A1333" t="s">
        <v>1728</v>
      </c>
      <c r="B1333" t="s">
        <v>5445</v>
      </c>
      <c r="C1333" s="7"/>
      <c r="G1333" s="5" t="str">
        <f t="shared" si="88"/>
        <v/>
      </c>
      <c r="I1333" s="6" t="str">
        <f t="shared" si="89"/>
        <v>0</v>
      </c>
      <c r="L1333" s="24" t="s">
        <v>5446</v>
      </c>
    </row>
    <row r="1334" spans="1:12">
      <c r="A1334" t="s">
        <v>1730</v>
      </c>
      <c r="B1334" t="s">
        <v>5447</v>
      </c>
      <c r="C1334" s="7"/>
      <c r="G1334" s="5" t="str">
        <f t="shared" si="88"/>
        <v/>
      </c>
      <c r="I1334" s="6" t="str">
        <f t="shared" si="89"/>
        <v>0</v>
      </c>
      <c r="L1334" s="24" t="s">
        <v>5448</v>
      </c>
    </row>
    <row r="1335" spans="1:12">
      <c r="A1335" t="s">
        <v>1731</v>
      </c>
      <c r="B1335" t="s">
        <v>5449</v>
      </c>
      <c r="C1335" s="7"/>
      <c r="G1335" s="5" t="str">
        <f t="shared" si="88"/>
        <v/>
      </c>
      <c r="I1335" s="6" t="str">
        <f t="shared" si="89"/>
        <v>0</v>
      </c>
      <c r="L1335" s="24" t="s">
        <v>5450</v>
      </c>
    </row>
    <row r="1336" spans="1:12">
      <c r="A1336" t="s">
        <v>1732</v>
      </c>
      <c r="B1336" t="s">
        <v>1733</v>
      </c>
      <c r="E1336" t="str">
        <f t="shared" si="90"/>
        <v/>
      </c>
      <c r="G1336" s="5" t="str">
        <f t="shared" si="88"/>
        <v/>
      </c>
      <c r="I1336" s="6" t="str">
        <f t="shared" si="89"/>
        <v>0</v>
      </c>
    </row>
    <row r="1337" spans="1:12">
      <c r="A1337" t="s">
        <v>1734</v>
      </c>
      <c r="B1337" t="s">
        <v>1735</v>
      </c>
      <c r="E1337" t="str">
        <f t="shared" si="90"/>
        <v/>
      </c>
      <c r="G1337" s="5" t="str">
        <f t="shared" si="88"/>
        <v/>
      </c>
      <c r="I1337" s="6" t="str">
        <f t="shared" si="89"/>
        <v>0</v>
      </c>
    </row>
    <row r="1338" spans="1:12">
      <c r="A1338" t="s">
        <v>1736</v>
      </c>
      <c r="B1338" t="s">
        <v>309</v>
      </c>
      <c r="E1338" t="str">
        <f t="shared" si="90"/>
        <v/>
      </c>
      <c r="G1338" s="5" t="str">
        <f t="shared" si="88"/>
        <v/>
      </c>
      <c r="I1338" s="6" t="str">
        <f t="shared" si="89"/>
        <v>0</v>
      </c>
    </row>
    <row r="1339" spans="1:12">
      <c r="A1339" t="s">
        <v>3086</v>
      </c>
      <c r="B1339" t="s">
        <v>1737</v>
      </c>
      <c r="E1339" t="str">
        <f t="shared" si="90"/>
        <v/>
      </c>
      <c r="G1339" s="5" t="str">
        <f t="shared" si="88"/>
        <v/>
      </c>
      <c r="I1339" s="6" t="str">
        <f t="shared" si="89"/>
        <v>0</v>
      </c>
    </row>
    <row r="1340" spans="1:12">
      <c r="A1340" t="s">
        <v>1738</v>
      </c>
      <c r="B1340" t="s">
        <v>1738</v>
      </c>
      <c r="E1340" t="str">
        <f t="shared" si="90"/>
        <v/>
      </c>
      <c r="G1340" s="5" t="str">
        <f t="shared" si="88"/>
        <v/>
      </c>
      <c r="I1340" s="6" t="str">
        <f t="shared" si="89"/>
        <v>0</v>
      </c>
    </row>
    <row r="1341" spans="1:12">
      <c r="A1341" t="s">
        <v>1739</v>
      </c>
      <c r="B1341" t="s">
        <v>1739</v>
      </c>
      <c r="E1341" t="str">
        <f t="shared" ref="E1341" si="91">IF(D1341&lt;&gt;"",C1341&amp;"/"&amp;D1341,"")</f>
        <v/>
      </c>
      <c r="G1341" s="5" t="str">
        <f t="shared" si="88"/>
        <v/>
      </c>
      <c r="I1341" s="6" t="str">
        <f t="shared" si="89"/>
        <v>0</v>
      </c>
    </row>
    <row r="1342" spans="1:12">
      <c r="A1342" t="s">
        <v>1740</v>
      </c>
      <c r="B1342" t="s">
        <v>5969</v>
      </c>
      <c r="G1342" s="5" t="str">
        <f t="shared" si="88"/>
        <v/>
      </c>
      <c r="I1342" s="6" t="str">
        <f t="shared" si="89"/>
        <v>0</v>
      </c>
      <c r="K1342" s="19" t="s">
        <v>5970</v>
      </c>
    </row>
    <row r="1343" spans="1:12">
      <c r="A1343" t="s">
        <v>1741</v>
      </c>
      <c r="B1343" t="s">
        <v>5451</v>
      </c>
      <c r="C1343" s="7"/>
      <c r="G1343" s="5" t="str">
        <f t="shared" si="88"/>
        <v/>
      </c>
      <c r="I1343" s="6" t="str">
        <f t="shared" si="89"/>
        <v>0</v>
      </c>
      <c r="L1343" s="24" t="s">
        <v>5452</v>
      </c>
    </row>
    <row r="1344" spans="1:12">
      <c r="A1344" t="s">
        <v>1742</v>
      </c>
      <c r="B1344" t="s">
        <v>5453</v>
      </c>
      <c r="C1344" s="7"/>
      <c r="G1344" s="5" t="str">
        <f t="shared" si="88"/>
        <v/>
      </c>
      <c r="I1344" s="6" t="str">
        <f t="shared" si="89"/>
        <v>0</v>
      </c>
      <c r="L1344" s="24" t="s">
        <v>5454</v>
      </c>
    </row>
    <row r="1345" spans="1:12">
      <c r="A1345" t="s">
        <v>1743</v>
      </c>
      <c r="B1345" t="s">
        <v>5737</v>
      </c>
      <c r="G1345" s="5" t="str">
        <f t="shared" si="88"/>
        <v/>
      </c>
      <c r="I1345" s="6" t="str">
        <f t="shared" si="89"/>
        <v>0</v>
      </c>
      <c r="K1345" s="19" t="s">
        <v>5738</v>
      </c>
    </row>
    <row r="1346" spans="1:12">
      <c r="A1346" t="s">
        <v>1744</v>
      </c>
      <c r="B1346" t="s">
        <v>5455</v>
      </c>
      <c r="C1346" s="7"/>
      <c r="G1346" s="5" t="str">
        <f t="shared" ref="G1346:G1409" si="92">IF(F1346&lt;&gt;"",HEX2DEC(SUBSTITUTE(SUBSTITUTE(F1346,"adrEA",""),"$","")),"")</f>
        <v/>
      </c>
      <c r="I1346" s="6" t="str">
        <f t="shared" ref="I1346:I1409" si="93">IFERROR(DEC2HEX(H1346),"")</f>
        <v>0</v>
      </c>
      <c r="L1346" s="24" t="s">
        <v>5456</v>
      </c>
    </row>
    <row r="1347" spans="1:12">
      <c r="A1347" t="s">
        <v>1745</v>
      </c>
      <c r="B1347" t="s">
        <v>5457</v>
      </c>
      <c r="C1347" s="7"/>
      <c r="G1347" s="5" t="str">
        <f t="shared" si="92"/>
        <v/>
      </c>
      <c r="I1347" s="6" t="str">
        <f t="shared" si="93"/>
        <v>0</v>
      </c>
      <c r="L1347" s="24" t="s">
        <v>5458</v>
      </c>
    </row>
    <row r="1348" spans="1:12">
      <c r="A1348" t="s">
        <v>1746</v>
      </c>
      <c r="B1348" t="s">
        <v>3321</v>
      </c>
      <c r="C1348" s="7"/>
      <c r="G1348" s="5" t="str">
        <f t="shared" si="92"/>
        <v/>
      </c>
      <c r="I1348" s="6" t="str">
        <f t="shared" si="93"/>
        <v>0</v>
      </c>
      <c r="L1348" s="24" t="s">
        <v>5459</v>
      </c>
    </row>
    <row r="1349" spans="1:12">
      <c r="A1349" t="s">
        <v>1747</v>
      </c>
      <c r="B1349" t="s">
        <v>1748</v>
      </c>
      <c r="C1349" s="7"/>
      <c r="G1349" s="5" t="str">
        <f t="shared" si="92"/>
        <v/>
      </c>
      <c r="I1349" s="6" t="str">
        <f t="shared" si="93"/>
        <v>0</v>
      </c>
      <c r="L1349" s="24" t="s">
        <v>5460</v>
      </c>
    </row>
    <row r="1350" spans="1:12">
      <c r="A1350" t="s">
        <v>1749</v>
      </c>
      <c r="B1350" t="s">
        <v>1750</v>
      </c>
      <c r="C1350" s="7"/>
      <c r="G1350" s="5" t="str">
        <f t="shared" si="92"/>
        <v/>
      </c>
      <c r="I1350" s="6" t="str">
        <f t="shared" si="93"/>
        <v>0</v>
      </c>
      <c r="L1350" s="24" t="s">
        <v>5461</v>
      </c>
    </row>
    <row r="1351" spans="1:12">
      <c r="A1351" t="s">
        <v>1751</v>
      </c>
      <c r="B1351" t="s">
        <v>3320</v>
      </c>
      <c r="C1351" s="7"/>
      <c r="G1351" s="5" t="str">
        <f t="shared" si="92"/>
        <v/>
      </c>
      <c r="I1351" s="6" t="str">
        <f t="shared" si="93"/>
        <v>0</v>
      </c>
      <c r="L1351" s="24" t="s">
        <v>5462</v>
      </c>
    </row>
    <row r="1352" spans="1:12">
      <c r="A1352" t="s">
        <v>1752</v>
      </c>
      <c r="B1352" t="s">
        <v>5463</v>
      </c>
      <c r="C1352" s="7"/>
      <c r="G1352" s="5" t="str">
        <f t="shared" si="92"/>
        <v/>
      </c>
      <c r="I1352" s="6" t="str">
        <f t="shared" si="93"/>
        <v>0</v>
      </c>
      <c r="L1352" s="24" t="s">
        <v>5464</v>
      </c>
    </row>
    <row r="1353" spans="1:12">
      <c r="A1353" t="s">
        <v>1753</v>
      </c>
      <c r="B1353" t="s">
        <v>1754</v>
      </c>
      <c r="C1353" s="7"/>
      <c r="G1353" s="5" t="str">
        <f t="shared" si="92"/>
        <v/>
      </c>
      <c r="I1353" s="6" t="str">
        <f t="shared" si="93"/>
        <v>0</v>
      </c>
      <c r="L1353" s="24" t="s">
        <v>5465</v>
      </c>
    </row>
    <row r="1354" spans="1:12">
      <c r="A1354" t="s">
        <v>1755</v>
      </c>
      <c r="B1354" t="s">
        <v>1756</v>
      </c>
      <c r="C1354" s="7"/>
      <c r="G1354" s="5" t="str">
        <f t="shared" si="92"/>
        <v/>
      </c>
      <c r="I1354" s="6" t="str">
        <f t="shared" si="93"/>
        <v>0</v>
      </c>
      <c r="L1354" s="24" t="s">
        <v>5466</v>
      </c>
    </row>
    <row r="1355" spans="1:12">
      <c r="A1355" t="s">
        <v>1757</v>
      </c>
      <c r="B1355" t="s">
        <v>5467</v>
      </c>
      <c r="C1355" s="7"/>
      <c r="G1355" s="5" t="str">
        <f t="shared" si="92"/>
        <v/>
      </c>
      <c r="I1355" s="6" t="str">
        <f t="shared" si="93"/>
        <v>0</v>
      </c>
      <c r="L1355" s="24" t="s">
        <v>5468</v>
      </c>
    </row>
    <row r="1356" spans="1:12">
      <c r="A1356" t="s">
        <v>1758</v>
      </c>
      <c r="B1356" t="s">
        <v>3325</v>
      </c>
      <c r="C1356" s="7"/>
      <c r="G1356" s="5" t="str">
        <f t="shared" si="92"/>
        <v/>
      </c>
      <c r="I1356" s="6" t="str">
        <f t="shared" si="93"/>
        <v>0</v>
      </c>
      <c r="L1356" s="24" t="s">
        <v>5469</v>
      </c>
    </row>
    <row r="1357" spans="1:12">
      <c r="A1357" t="s">
        <v>1759</v>
      </c>
      <c r="B1357" t="s">
        <v>3322</v>
      </c>
      <c r="C1357" s="7"/>
      <c r="G1357" s="5" t="str">
        <f t="shared" si="92"/>
        <v/>
      </c>
      <c r="I1357" s="6" t="str">
        <f t="shared" si="93"/>
        <v>0</v>
      </c>
      <c r="L1357" s="24" t="s">
        <v>5470</v>
      </c>
    </row>
    <row r="1358" spans="1:12">
      <c r="A1358" t="s">
        <v>1760</v>
      </c>
      <c r="B1358" t="s">
        <v>5971</v>
      </c>
      <c r="G1358" s="5" t="str">
        <f t="shared" si="92"/>
        <v/>
      </c>
      <c r="I1358" s="6" t="str">
        <f t="shared" si="93"/>
        <v>0</v>
      </c>
      <c r="K1358" s="19" t="s">
        <v>5972</v>
      </c>
    </row>
    <row r="1359" spans="1:12">
      <c r="A1359" t="s">
        <v>1761</v>
      </c>
      <c r="B1359" t="s">
        <v>3323</v>
      </c>
      <c r="C1359" s="7"/>
      <c r="G1359" s="5" t="str">
        <f t="shared" si="92"/>
        <v/>
      </c>
      <c r="I1359" s="6" t="str">
        <f t="shared" si="93"/>
        <v>0</v>
      </c>
      <c r="L1359" s="24" t="s">
        <v>5471</v>
      </c>
    </row>
    <row r="1360" spans="1:12">
      <c r="A1360" t="s">
        <v>1762</v>
      </c>
      <c r="B1360" t="s">
        <v>3324</v>
      </c>
      <c r="C1360" s="7"/>
      <c r="G1360" s="5" t="str">
        <f t="shared" si="92"/>
        <v/>
      </c>
      <c r="I1360" s="6" t="str">
        <f t="shared" si="93"/>
        <v>0</v>
      </c>
      <c r="L1360" s="24" t="s">
        <v>5472</v>
      </c>
    </row>
    <row r="1361" spans="1:12">
      <c r="A1361" t="s">
        <v>1763</v>
      </c>
      <c r="B1361" t="s">
        <v>5473</v>
      </c>
      <c r="C1361" s="7"/>
      <c r="G1361" s="5" t="str">
        <f t="shared" si="92"/>
        <v/>
      </c>
      <c r="I1361" s="6" t="str">
        <f t="shared" si="93"/>
        <v>0</v>
      </c>
      <c r="L1361" s="24" t="s">
        <v>5474</v>
      </c>
    </row>
    <row r="1362" spans="1:12">
      <c r="A1362" t="s">
        <v>1764</v>
      </c>
      <c r="B1362" t="s">
        <v>5475</v>
      </c>
      <c r="C1362" s="7"/>
      <c r="G1362" s="5" t="str">
        <f t="shared" si="92"/>
        <v/>
      </c>
      <c r="I1362" s="6" t="str">
        <f t="shared" si="93"/>
        <v>0</v>
      </c>
      <c r="L1362" s="24" t="s">
        <v>5476</v>
      </c>
    </row>
    <row r="1363" spans="1:12">
      <c r="A1363" t="s">
        <v>1765</v>
      </c>
      <c r="B1363" t="s">
        <v>5477</v>
      </c>
      <c r="C1363" s="7"/>
      <c r="G1363" s="5" t="str">
        <f t="shared" si="92"/>
        <v/>
      </c>
      <c r="I1363" s="6" t="str">
        <f t="shared" si="93"/>
        <v>0</v>
      </c>
      <c r="L1363" s="24" t="s">
        <v>5478</v>
      </c>
    </row>
    <row r="1364" spans="1:12">
      <c r="A1364" t="s">
        <v>1766</v>
      </c>
      <c r="B1364" t="s">
        <v>5479</v>
      </c>
      <c r="C1364" s="7"/>
      <c r="G1364" s="5" t="str">
        <f t="shared" si="92"/>
        <v/>
      </c>
      <c r="I1364" s="6" t="str">
        <f t="shared" si="93"/>
        <v>0</v>
      </c>
      <c r="L1364" s="24" t="s">
        <v>5480</v>
      </c>
    </row>
    <row r="1365" spans="1:12">
      <c r="A1365" t="s">
        <v>1767</v>
      </c>
      <c r="B1365" t="s">
        <v>3314</v>
      </c>
      <c r="C1365" s="7"/>
      <c r="G1365" s="5" t="str">
        <f t="shared" si="92"/>
        <v/>
      </c>
      <c r="I1365" s="6" t="str">
        <f t="shared" si="93"/>
        <v>0</v>
      </c>
      <c r="L1365" s="24" t="s">
        <v>5481</v>
      </c>
    </row>
    <row r="1366" spans="1:12">
      <c r="A1366" t="s">
        <v>1768</v>
      </c>
      <c r="B1366" t="s">
        <v>5482</v>
      </c>
      <c r="C1366" s="7"/>
      <c r="G1366" s="5" t="str">
        <f t="shared" si="92"/>
        <v/>
      </c>
      <c r="I1366" s="6" t="str">
        <f t="shared" si="93"/>
        <v>0</v>
      </c>
      <c r="L1366" s="24" t="s">
        <v>5483</v>
      </c>
    </row>
    <row r="1367" spans="1:12">
      <c r="A1367" t="s">
        <v>1769</v>
      </c>
      <c r="B1367" t="s">
        <v>5484</v>
      </c>
      <c r="C1367" s="7"/>
      <c r="G1367" s="5" t="str">
        <f t="shared" si="92"/>
        <v/>
      </c>
      <c r="I1367" s="6" t="str">
        <f t="shared" si="93"/>
        <v>0</v>
      </c>
      <c r="L1367" s="24" t="s">
        <v>5485</v>
      </c>
    </row>
    <row r="1368" spans="1:12">
      <c r="A1368" t="s">
        <v>1770</v>
      </c>
      <c r="B1368" t="s">
        <v>5486</v>
      </c>
      <c r="C1368" s="7"/>
      <c r="G1368" s="5" t="str">
        <f t="shared" si="92"/>
        <v/>
      </c>
      <c r="I1368" s="6" t="str">
        <f t="shared" si="93"/>
        <v>0</v>
      </c>
      <c r="L1368" s="24" t="s">
        <v>5487</v>
      </c>
    </row>
    <row r="1369" spans="1:12">
      <c r="A1369" t="s">
        <v>1771</v>
      </c>
      <c r="B1369" t="s">
        <v>5488</v>
      </c>
      <c r="C1369" s="7"/>
      <c r="G1369" s="5" t="str">
        <f t="shared" si="92"/>
        <v/>
      </c>
      <c r="I1369" s="6" t="str">
        <f t="shared" si="93"/>
        <v>0</v>
      </c>
      <c r="L1369" s="24" t="s">
        <v>5489</v>
      </c>
    </row>
    <row r="1370" spans="1:12">
      <c r="A1370" t="s">
        <v>1772</v>
      </c>
      <c r="B1370" t="s">
        <v>5490</v>
      </c>
      <c r="C1370" s="7"/>
      <c r="G1370" s="5" t="str">
        <f t="shared" si="92"/>
        <v/>
      </c>
      <c r="I1370" s="6" t="str">
        <f t="shared" si="93"/>
        <v>0</v>
      </c>
      <c r="L1370" s="24" t="s">
        <v>5491</v>
      </c>
    </row>
    <row r="1371" spans="1:12">
      <c r="A1371" t="s">
        <v>1773</v>
      </c>
      <c r="B1371" t="s">
        <v>5492</v>
      </c>
      <c r="C1371" s="7"/>
      <c r="G1371" s="5" t="str">
        <f t="shared" si="92"/>
        <v/>
      </c>
      <c r="I1371" s="6" t="str">
        <f t="shared" si="93"/>
        <v>0</v>
      </c>
      <c r="L1371" s="24" t="s">
        <v>5493</v>
      </c>
    </row>
    <row r="1372" spans="1:12">
      <c r="A1372" t="s">
        <v>1774</v>
      </c>
      <c r="B1372" t="s">
        <v>5494</v>
      </c>
      <c r="C1372" s="7"/>
      <c r="G1372" s="5" t="str">
        <f t="shared" si="92"/>
        <v/>
      </c>
      <c r="I1372" s="6" t="str">
        <f t="shared" si="93"/>
        <v>0</v>
      </c>
      <c r="L1372" s="24" t="s">
        <v>5495</v>
      </c>
    </row>
    <row r="1373" spans="1:12">
      <c r="A1373" t="s">
        <v>1775</v>
      </c>
      <c r="B1373" t="s">
        <v>5496</v>
      </c>
      <c r="C1373" s="7"/>
      <c r="G1373" s="5" t="str">
        <f t="shared" si="92"/>
        <v/>
      </c>
      <c r="I1373" s="6" t="str">
        <f t="shared" si="93"/>
        <v>0</v>
      </c>
      <c r="L1373" s="24" t="s">
        <v>5497</v>
      </c>
    </row>
    <row r="1374" spans="1:12">
      <c r="A1374" t="s">
        <v>1776</v>
      </c>
      <c r="B1374" t="s">
        <v>5739</v>
      </c>
      <c r="G1374" s="5" t="str">
        <f t="shared" si="92"/>
        <v/>
      </c>
      <c r="I1374" s="6" t="str">
        <f t="shared" si="93"/>
        <v>0</v>
      </c>
      <c r="K1374" s="19" t="s">
        <v>5740</v>
      </c>
    </row>
    <row r="1375" spans="1:12">
      <c r="A1375" t="s">
        <v>1777</v>
      </c>
      <c r="B1375" t="s">
        <v>5741</v>
      </c>
      <c r="G1375" s="5" t="str">
        <f t="shared" si="92"/>
        <v/>
      </c>
      <c r="I1375" s="6" t="str">
        <f t="shared" si="93"/>
        <v>0</v>
      </c>
      <c r="K1375" s="19" t="s">
        <v>5742</v>
      </c>
    </row>
    <row r="1376" spans="1:12">
      <c r="A1376" t="s">
        <v>1778</v>
      </c>
      <c r="B1376" t="s">
        <v>5498</v>
      </c>
      <c r="C1376" s="7"/>
      <c r="G1376" s="5" t="str">
        <f t="shared" si="92"/>
        <v/>
      </c>
      <c r="I1376" s="6" t="str">
        <f t="shared" si="93"/>
        <v>0</v>
      </c>
      <c r="L1376" s="24" t="s">
        <v>5499</v>
      </c>
    </row>
    <row r="1377" spans="1:12">
      <c r="A1377" t="s">
        <v>1779</v>
      </c>
      <c r="B1377" t="s">
        <v>5500</v>
      </c>
      <c r="C1377" s="7"/>
      <c r="G1377" s="5" t="str">
        <f t="shared" si="92"/>
        <v/>
      </c>
      <c r="I1377" s="6" t="str">
        <f t="shared" si="93"/>
        <v>0</v>
      </c>
      <c r="L1377" s="24" t="s">
        <v>5501</v>
      </c>
    </row>
    <row r="1378" spans="1:12">
      <c r="A1378" t="s">
        <v>1780</v>
      </c>
      <c r="B1378" t="s">
        <v>5502</v>
      </c>
      <c r="C1378" s="7"/>
      <c r="G1378" s="5" t="str">
        <f t="shared" si="92"/>
        <v/>
      </c>
      <c r="I1378" s="6" t="str">
        <f t="shared" si="93"/>
        <v>0</v>
      </c>
      <c r="L1378" s="24" t="s">
        <v>5503</v>
      </c>
    </row>
    <row r="1379" spans="1:12">
      <c r="A1379" t="s">
        <v>1781</v>
      </c>
      <c r="B1379" t="s">
        <v>3315</v>
      </c>
      <c r="C1379" s="7"/>
      <c r="G1379" s="5" t="str">
        <f t="shared" si="92"/>
        <v/>
      </c>
      <c r="I1379" s="6" t="str">
        <f t="shared" si="93"/>
        <v>0</v>
      </c>
      <c r="L1379" s="24" t="s">
        <v>5504</v>
      </c>
    </row>
    <row r="1380" spans="1:12">
      <c r="A1380" t="s">
        <v>1782</v>
      </c>
      <c r="B1380" t="s">
        <v>5743</v>
      </c>
      <c r="G1380" s="5" t="str">
        <f t="shared" si="92"/>
        <v/>
      </c>
      <c r="I1380" s="6" t="str">
        <f t="shared" si="93"/>
        <v>0</v>
      </c>
      <c r="K1380" s="19" t="s">
        <v>5744</v>
      </c>
    </row>
    <row r="1381" spans="1:12">
      <c r="A1381" t="s">
        <v>1783</v>
      </c>
      <c r="B1381" t="s">
        <v>5505</v>
      </c>
      <c r="C1381" s="7"/>
      <c r="G1381" s="5" t="str">
        <f t="shared" si="92"/>
        <v/>
      </c>
      <c r="I1381" s="6" t="str">
        <f t="shared" si="93"/>
        <v>0</v>
      </c>
      <c r="L1381" s="24" t="s">
        <v>5506</v>
      </c>
    </row>
    <row r="1382" spans="1:12">
      <c r="A1382" t="s">
        <v>1784</v>
      </c>
      <c r="B1382" t="s">
        <v>5507</v>
      </c>
      <c r="C1382" s="7"/>
      <c r="G1382" s="5" t="str">
        <f t="shared" si="92"/>
        <v/>
      </c>
      <c r="I1382" s="6" t="str">
        <f t="shared" si="93"/>
        <v>0</v>
      </c>
      <c r="L1382" s="24" t="s">
        <v>5508</v>
      </c>
    </row>
    <row r="1383" spans="1:12">
      <c r="A1383" t="s">
        <v>1785</v>
      </c>
      <c r="B1383" t="s">
        <v>5509</v>
      </c>
      <c r="C1383" s="7"/>
      <c r="G1383" s="5" t="str">
        <f t="shared" si="92"/>
        <v/>
      </c>
      <c r="I1383" s="6" t="str">
        <f t="shared" si="93"/>
        <v>0</v>
      </c>
      <c r="L1383" s="24" t="s">
        <v>5510</v>
      </c>
    </row>
    <row r="1384" spans="1:12">
      <c r="A1384" t="s">
        <v>1786</v>
      </c>
      <c r="B1384" t="s">
        <v>5511</v>
      </c>
      <c r="C1384" s="7"/>
      <c r="G1384" s="5" t="str">
        <f t="shared" si="92"/>
        <v/>
      </c>
      <c r="I1384" s="6" t="str">
        <f t="shared" si="93"/>
        <v>0</v>
      </c>
      <c r="L1384" s="24" t="s">
        <v>5512</v>
      </c>
    </row>
    <row r="1385" spans="1:12">
      <c r="A1385" t="s">
        <v>1787</v>
      </c>
      <c r="B1385" t="s">
        <v>5582</v>
      </c>
      <c r="G1385" s="5" t="str">
        <f t="shared" si="92"/>
        <v/>
      </c>
      <c r="I1385" s="6" t="str">
        <f t="shared" si="93"/>
        <v>0</v>
      </c>
      <c r="K1385" s="19" t="s">
        <v>5583</v>
      </c>
    </row>
    <row r="1386" spans="1:12">
      <c r="A1386" t="s">
        <v>1788</v>
      </c>
      <c r="B1386" t="s">
        <v>309</v>
      </c>
      <c r="E1386" t="str">
        <f t="shared" ref="E1386:E1395" si="94">IF(D1386&lt;&gt;"",C1386&amp;"/"&amp;D1386,"")</f>
        <v/>
      </c>
      <c r="G1386" s="5" t="str">
        <f t="shared" si="92"/>
        <v/>
      </c>
      <c r="I1386" s="6" t="str">
        <f t="shared" si="93"/>
        <v>0</v>
      </c>
    </row>
    <row r="1387" spans="1:12">
      <c r="A1387" t="s">
        <v>1789</v>
      </c>
      <c r="B1387" t="s">
        <v>309</v>
      </c>
      <c r="E1387" t="str">
        <f t="shared" si="94"/>
        <v/>
      </c>
      <c r="G1387" s="5" t="str">
        <f t="shared" si="92"/>
        <v/>
      </c>
      <c r="I1387" s="6" t="str">
        <f t="shared" si="93"/>
        <v>0</v>
      </c>
    </row>
    <row r="1388" spans="1:12">
      <c r="A1388" t="s">
        <v>1790</v>
      </c>
      <c r="B1388" t="s">
        <v>309</v>
      </c>
      <c r="E1388" t="str">
        <f t="shared" si="94"/>
        <v/>
      </c>
      <c r="G1388" s="5" t="str">
        <f t="shared" si="92"/>
        <v/>
      </c>
      <c r="I1388" s="6" t="str">
        <f t="shared" si="93"/>
        <v>0</v>
      </c>
    </row>
    <row r="1389" spans="1:12">
      <c r="A1389" t="s">
        <v>1791</v>
      </c>
      <c r="B1389" t="s">
        <v>309</v>
      </c>
      <c r="E1389" t="str">
        <f t="shared" si="94"/>
        <v/>
      </c>
      <c r="G1389" s="5" t="str">
        <f t="shared" si="92"/>
        <v/>
      </c>
      <c r="I1389" s="6" t="str">
        <f t="shared" si="93"/>
        <v>0</v>
      </c>
    </row>
    <row r="1390" spans="1:12">
      <c r="A1390" t="s">
        <v>1792</v>
      </c>
      <c r="B1390" t="s">
        <v>309</v>
      </c>
      <c r="E1390" t="str">
        <f t="shared" si="94"/>
        <v/>
      </c>
      <c r="G1390" s="5" t="str">
        <f t="shared" si="92"/>
        <v/>
      </c>
      <c r="I1390" s="6" t="str">
        <f t="shared" si="93"/>
        <v>0</v>
      </c>
    </row>
    <row r="1391" spans="1:12">
      <c r="A1391" t="s">
        <v>1793</v>
      </c>
      <c r="B1391" t="s">
        <v>309</v>
      </c>
      <c r="E1391" t="str">
        <f t="shared" si="94"/>
        <v/>
      </c>
      <c r="G1391" s="5" t="str">
        <f t="shared" si="92"/>
        <v/>
      </c>
      <c r="I1391" s="6" t="str">
        <f t="shared" si="93"/>
        <v>0</v>
      </c>
    </row>
    <row r="1392" spans="1:12">
      <c r="A1392" t="s">
        <v>1794</v>
      </c>
      <c r="B1392" t="s">
        <v>309</v>
      </c>
      <c r="E1392" t="str">
        <f t="shared" si="94"/>
        <v/>
      </c>
      <c r="G1392" s="5" t="str">
        <f t="shared" si="92"/>
        <v/>
      </c>
      <c r="I1392" s="6" t="str">
        <f t="shared" si="93"/>
        <v>0</v>
      </c>
    </row>
    <row r="1393" spans="1:11">
      <c r="A1393" t="s">
        <v>1795</v>
      </c>
      <c r="B1393" t="s">
        <v>309</v>
      </c>
      <c r="E1393" t="str">
        <f t="shared" si="94"/>
        <v/>
      </c>
      <c r="G1393" s="5" t="str">
        <f t="shared" si="92"/>
        <v/>
      </c>
      <c r="I1393" s="6" t="str">
        <f t="shared" si="93"/>
        <v>0</v>
      </c>
    </row>
    <row r="1394" spans="1:11">
      <c r="A1394" t="s">
        <v>1796</v>
      </c>
      <c r="B1394" t="s">
        <v>309</v>
      </c>
      <c r="E1394" t="str">
        <f t="shared" si="94"/>
        <v/>
      </c>
      <c r="G1394" s="5" t="str">
        <f t="shared" si="92"/>
        <v/>
      </c>
      <c r="I1394" s="6" t="str">
        <f t="shared" si="93"/>
        <v>0</v>
      </c>
    </row>
    <row r="1395" spans="1:11">
      <c r="A1395" t="s">
        <v>1797</v>
      </c>
      <c r="B1395" t="s">
        <v>309</v>
      </c>
      <c r="E1395" t="str">
        <f t="shared" si="94"/>
        <v/>
      </c>
      <c r="G1395" s="5" t="str">
        <f t="shared" si="92"/>
        <v/>
      </c>
      <c r="I1395" s="6" t="str">
        <f t="shared" si="93"/>
        <v>0</v>
      </c>
    </row>
    <row r="1396" spans="1:11">
      <c r="A1396" t="s">
        <v>1798</v>
      </c>
      <c r="B1396" t="s">
        <v>5280</v>
      </c>
      <c r="C1396" s="5" t="s">
        <v>5205</v>
      </c>
      <c r="F1396" s="5" t="s">
        <v>5208</v>
      </c>
      <c r="G1396" s="5">
        <f t="shared" si="92"/>
        <v>31300</v>
      </c>
      <c r="I1396" s="6" t="str">
        <f t="shared" si="93"/>
        <v>0</v>
      </c>
      <c r="K1396" s="19" t="s">
        <v>5281</v>
      </c>
    </row>
    <row r="1397" spans="1:11">
      <c r="A1397" t="s">
        <v>1799</v>
      </c>
      <c r="B1397" t="s">
        <v>5282</v>
      </c>
      <c r="C1397" s="5" t="s">
        <v>5205</v>
      </c>
      <c r="F1397" s="5" t="s">
        <v>5283</v>
      </c>
      <c r="G1397" s="5">
        <f t="shared" si="92"/>
        <v>31374</v>
      </c>
      <c r="I1397" s="6" t="str">
        <f t="shared" si="93"/>
        <v>0</v>
      </c>
      <c r="K1397" s="19" t="s">
        <v>5284</v>
      </c>
    </row>
    <row r="1398" spans="1:11">
      <c r="A1398" t="s">
        <v>1800</v>
      </c>
      <c r="B1398" t="s">
        <v>5285</v>
      </c>
      <c r="C1398" s="5" t="s">
        <v>5205</v>
      </c>
      <c r="F1398" s="5" t="s">
        <v>5286</v>
      </c>
      <c r="G1398" s="5">
        <f t="shared" si="92"/>
        <v>31408</v>
      </c>
      <c r="I1398" s="6" t="str">
        <f t="shared" si="93"/>
        <v>0</v>
      </c>
      <c r="K1398" s="19" t="s">
        <v>5287</v>
      </c>
    </row>
    <row r="1399" spans="1:11">
      <c r="A1399" t="s">
        <v>1801</v>
      </c>
      <c r="B1399" t="s">
        <v>5288</v>
      </c>
      <c r="C1399" s="5" t="s">
        <v>5205</v>
      </c>
      <c r="F1399" s="5" t="s">
        <v>5289</v>
      </c>
      <c r="G1399" s="5">
        <f t="shared" si="92"/>
        <v>31420</v>
      </c>
      <c r="I1399" s="6" t="str">
        <f t="shared" si="93"/>
        <v>0</v>
      </c>
      <c r="K1399" s="19" t="s">
        <v>5290</v>
      </c>
    </row>
    <row r="1400" spans="1:11">
      <c r="A1400" t="s">
        <v>1802</v>
      </c>
      <c r="B1400" t="s">
        <v>5291</v>
      </c>
      <c r="C1400" s="5" t="s">
        <v>5205</v>
      </c>
      <c r="F1400" s="5" t="s">
        <v>5292</v>
      </c>
      <c r="G1400" s="5">
        <f t="shared" si="92"/>
        <v>31422</v>
      </c>
      <c r="I1400" s="6" t="str">
        <f t="shared" si="93"/>
        <v>0</v>
      </c>
      <c r="K1400" s="19" t="s">
        <v>5293</v>
      </c>
    </row>
    <row r="1401" spans="1:11">
      <c r="A1401" t="s">
        <v>1803</v>
      </c>
      <c r="B1401" t="s">
        <v>5294</v>
      </c>
      <c r="C1401" s="5" t="s">
        <v>5205</v>
      </c>
      <c r="F1401" s="5" t="s">
        <v>5295</v>
      </c>
      <c r="G1401" s="5">
        <f t="shared" si="92"/>
        <v>31424</v>
      </c>
      <c r="I1401" s="6" t="str">
        <f t="shared" si="93"/>
        <v>0</v>
      </c>
      <c r="K1401" s="19" t="s">
        <v>5296</v>
      </c>
    </row>
    <row r="1402" spans="1:11">
      <c r="A1402" t="s">
        <v>1804</v>
      </c>
      <c r="B1402" t="s">
        <v>5297</v>
      </c>
      <c r="C1402" s="5" t="s">
        <v>48</v>
      </c>
      <c r="D1402" t="s">
        <v>5298</v>
      </c>
      <c r="E1402" t="s">
        <v>5297</v>
      </c>
      <c r="F1402" s="5" t="s">
        <v>5380</v>
      </c>
      <c r="G1402" s="5">
        <f t="shared" si="92"/>
        <v>30540</v>
      </c>
      <c r="H1402" s="5">
        <v>8</v>
      </c>
      <c r="I1402" s="6" t="str">
        <f t="shared" si="93"/>
        <v>8</v>
      </c>
      <c r="J1402" s="6" t="s">
        <v>3414</v>
      </c>
      <c r="K1402" s="19" t="s">
        <v>5381</v>
      </c>
    </row>
    <row r="1403" spans="1:11">
      <c r="A1403" t="s">
        <v>1805</v>
      </c>
      <c r="B1403" t="s">
        <v>5299</v>
      </c>
      <c r="C1403" s="5" t="s">
        <v>5205</v>
      </c>
      <c r="F1403" s="5" t="s">
        <v>5235</v>
      </c>
      <c r="G1403" s="5">
        <f t="shared" si="92"/>
        <v>31448</v>
      </c>
      <c r="I1403" s="6" t="str">
        <f t="shared" si="93"/>
        <v>0</v>
      </c>
      <c r="K1403" s="19" t="s">
        <v>5300</v>
      </c>
    </row>
    <row r="1404" spans="1:11">
      <c r="A1404" t="s">
        <v>1806</v>
      </c>
      <c r="B1404" t="s">
        <v>5301</v>
      </c>
      <c r="C1404" s="5" t="s">
        <v>5205</v>
      </c>
      <c r="F1404" s="5" t="s">
        <v>5236</v>
      </c>
      <c r="G1404" s="5">
        <f t="shared" si="92"/>
        <v>31452</v>
      </c>
      <c r="I1404" s="6" t="str">
        <f t="shared" si="93"/>
        <v>0</v>
      </c>
      <c r="K1404" s="19" t="s">
        <v>5302</v>
      </c>
    </row>
    <row r="1405" spans="1:11">
      <c r="A1405" t="s">
        <v>1807</v>
      </c>
      <c r="B1405" t="s">
        <v>5303</v>
      </c>
      <c r="C1405" s="5" t="s">
        <v>5205</v>
      </c>
      <c r="F1405" s="5" t="s">
        <v>5237</v>
      </c>
      <c r="G1405" s="5">
        <f t="shared" si="92"/>
        <v>31454</v>
      </c>
      <c r="I1405" s="6" t="str">
        <f t="shared" si="93"/>
        <v>0</v>
      </c>
      <c r="K1405" s="19" t="s">
        <v>5304</v>
      </c>
    </row>
    <row r="1406" spans="1:11">
      <c r="A1406" t="s">
        <v>1808</v>
      </c>
      <c r="B1406" t="s">
        <v>5305</v>
      </c>
      <c r="C1406" s="5" t="s">
        <v>5205</v>
      </c>
      <c r="F1406" s="5" t="s">
        <v>5042</v>
      </c>
      <c r="G1406" s="5">
        <f t="shared" si="92"/>
        <v>31462</v>
      </c>
      <c r="I1406" s="6" t="str">
        <f t="shared" si="93"/>
        <v>0</v>
      </c>
      <c r="K1406" s="19" t="s">
        <v>5306</v>
      </c>
    </row>
    <row r="1407" spans="1:11">
      <c r="A1407" t="s">
        <v>1809</v>
      </c>
      <c r="B1407" t="s">
        <v>5307</v>
      </c>
      <c r="C1407" s="5" t="s">
        <v>5205</v>
      </c>
      <c r="F1407" s="5" t="s">
        <v>5209</v>
      </c>
      <c r="G1407" s="5">
        <f t="shared" si="92"/>
        <v>31476</v>
      </c>
      <c r="I1407" s="6" t="str">
        <f t="shared" si="93"/>
        <v>0</v>
      </c>
      <c r="K1407" s="19" t="s">
        <v>5308</v>
      </c>
    </row>
    <row r="1408" spans="1:11">
      <c r="A1408" t="s">
        <v>1810</v>
      </c>
      <c r="B1408" t="s">
        <v>5309</v>
      </c>
      <c r="C1408" s="5" t="s">
        <v>5205</v>
      </c>
      <c r="F1408" s="5" t="s">
        <v>5210</v>
      </c>
      <c r="G1408" s="5">
        <f t="shared" si="92"/>
        <v>31480</v>
      </c>
      <c r="I1408" s="6" t="str">
        <f t="shared" si="93"/>
        <v>0</v>
      </c>
      <c r="K1408" s="19" t="s">
        <v>5310</v>
      </c>
    </row>
    <row r="1409" spans="1:11">
      <c r="A1409" t="s">
        <v>1811</v>
      </c>
      <c r="B1409" t="s">
        <v>309</v>
      </c>
      <c r="E1409" t="str">
        <f>IF(D1409&lt;&gt;"",C1409&amp;"/"&amp;D1409,"")</f>
        <v/>
      </c>
      <c r="G1409" s="5" t="str">
        <f t="shared" si="92"/>
        <v/>
      </c>
      <c r="I1409" s="6" t="str">
        <f t="shared" si="93"/>
        <v>0</v>
      </c>
    </row>
    <row r="1410" spans="1:11">
      <c r="A1410" t="s">
        <v>1812</v>
      </c>
      <c r="B1410" t="s">
        <v>5745</v>
      </c>
      <c r="G1410" s="5" t="str">
        <f t="shared" ref="G1410:G1473" si="95">IF(F1410&lt;&gt;"",HEX2DEC(SUBSTITUTE(SUBSTITUTE(F1410,"adrEA",""),"$","")),"")</f>
        <v/>
      </c>
      <c r="I1410" s="6" t="str">
        <f t="shared" ref="I1410:I1473" si="96">IFERROR(DEC2HEX(H1410),"")</f>
        <v>0</v>
      </c>
      <c r="K1410" s="19" t="s">
        <v>5746</v>
      </c>
    </row>
    <row r="1411" spans="1:11">
      <c r="A1411" t="s">
        <v>1813</v>
      </c>
      <c r="B1411" t="s">
        <v>309</v>
      </c>
      <c r="E1411" t="str">
        <f>IF(D1411&lt;&gt;"",C1411&amp;"/"&amp;D1411,"")</f>
        <v/>
      </c>
      <c r="G1411" s="5" t="str">
        <f t="shared" si="95"/>
        <v/>
      </c>
      <c r="I1411" s="6" t="str">
        <f t="shared" si="96"/>
        <v>0</v>
      </c>
    </row>
    <row r="1412" spans="1:11">
      <c r="A1412" t="s">
        <v>1814</v>
      </c>
      <c r="B1412" t="s">
        <v>5747</v>
      </c>
      <c r="G1412" s="5" t="str">
        <f t="shared" si="95"/>
        <v/>
      </c>
      <c r="I1412" s="6" t="str">
        <f t="shared" si="96"/>
        <v>0</v>
      </c>
      <c r="K1412" s="19" t="s">
        <v>5748</v>
      </c>
    </row>
    <row r="1413" spans="1:11">
      <c r="A1413" t="s">
        <v>1815</v>
      </c>
      <c r="B1413" t="s">
        <v>5106</v>
      </c>
      <c r="C1413" s="5" t="s">
        <v>7</v>
      </c>
      <c r="F1413" s="5" t="s">
        <v>5107</v>
      </c>
      <c r="G1413" s="5">
        <f t="shared" si="95"/>
        <v>30634</v>
      </c>
      <c r="I1413" s="6" t="str">
        <f t="shared" si="96"/>
        <v>0</v>
      </c>
      <c r="K1413" s="19" t="s">
        <v>5108</v>
      </c>
    </row>
    <row r="1414" spans="1:11">
      <c r="A1414" t="s">
        <v>1816</v>
      </c>
      <c r="B1414" t="s">
        <v>309</v>
      </c>
      <c r="E1414" t="str">
        <f>IF(D1414&lt;&gt;"",C1414&amp;"/"&amp;D1414,"")</f>
        <v/>
      </c>
      <c r="G1414" s="5" t="str">
        <f t="shared" si="95"/>
        <v/>
      </c>
      <c r="I1414" s="6" t="str">
        <f t="shared" si="96"/>
        <v>0</v>
      </c>
    </row>
    <row r="1415" spans="1:11">
      <c r="A1415" t="s">
        <v>1817</v>
      </c>
      <c r="B1415" t="s">
        <v>309</v>
      </c>
      <c r="E1415" t="str">
        <f>IF(D1415&lt;&gt;"",C1415&amp;"/"&amp;D1415,"")</f>
        <v/>
      </c>
      <c r="G1415" s="5" t="str">
        <f t="shared" si="95"/>
        <v/>
      </c>
      <c r="I1415" s="6" t="str">
        <f t="shared" si="96"/>
        <v>0</v>
      </c>
    </row>
    <row r="1416" spans="1:11">
      <c r="A1416" t="s">
        <v>1818</v>
      </c>
      <c r="B1416" t="s">
        <v>4966</v>
      </c>
      <c r="C1416" s="5" t="s">
        <v>7</v>
      </c>
      <c r="F1416" s="5" t="s">
        <v>4967</v>
      </c>
      <c r="G1416" s="5">
        <f t="shared" si="95"/>
        <v>30668</v>
      </c>
      <c r="I1416" s="6" t="str">
        <f t="shared" si="96"/>
        <v>0</v>
      </c>
      <c r="K1416" s="19" t="s">
        <v>4968</v>
      </c>
    </row>
    <row r="1417" spans="1:11">
      <c r="A1417" t="s">
        <v>1073</v>
      </c>
      <c r="B1417" t="s">
        <v>5125</v>
      </c>
      <c r="C1417" s="5" t="s">
        <v>7</v>
      </c>
      <c r="F1417" s="5" t="s">
        <v>5126</v>
      </c>
      <c r="G1417" s="5">
        <f t="shared" si="95"/>
        <v>16048</v>
      </c>
      <c r="I1417" s="6" t="str">
        <f t="shared" si="96"/>
        <v>0</v>
      </c>
      <c r="K1417" s="28" t="s">
        <v>5243</v>
      </c>
    </row>
    <row r="1418" spans="1:11">
      <c r="A1418" t="s">
        <v>1820</v>
      </c>
      <c r="B1418" t="s">
        <v>309</v>
      </c>
      <c r="E1418" t="str">
        <f>IF(D1418&lt;&gt;"",C1418&amp;"/"&amp;D1418,"")</f>
        <v/>
      </c>
      <c r="G1418" s="5" t="str">
        <f t="shared" si="95"/>
        <v/>
      </c>
      <c r="I1418" s="6" t="str">
        <f t="shared" si="96"/>
        <v>0</v>
      </c>
    </row>
    <row r="1419" spans="1:11">
      <c r="A1419" t="s">
        <v>1821</v>
      </c>
      <c r="B1419" t="s">
        <v>4995</v>
      </c>
      <c r="C1419" s="5" t="s">
        <v>7</v>
      </c>
      <c r="F1419" s="5" t="s">
        <v>4996</v>
      </c>
      <c r="G1419" s="5">
        <f t="shared" si="95"/>
        <v>30858</v>
      </c>
      <c r="I1419" s="6" t="str">
        <f t="shared" si="96"/>
        <v>0</v>
      </c>
      <c r="K1419" s="19" t="s">
        <v>4997</v>
      </c>
    </row>
    <row r="1420" spans="1:11">
      <c r="A1420" t="s">
        <v>1824</v>
      </c>
      <c r="B1420" t="s">
        <v>4998</v>
      </c>
      <c r="C1420" s="5" t="s">
        <v>7</v>
      </c>
      <c r="F1420" s="5" t="s">
        <v>4999</v>
      </c>
      <c r="G1420" s="5">
        <f t="shared" si="95"/>
        <v>30888</v>
      </c>
      <c r="I1420" s="6" t="str">
        <f t="shared" si="96"/>
        <v>0</v>
      </c>
      <c r="K1420" s="19" t="s">
        <v>5000</v>
      </c>
    </row>
    <row r="1421" spans="1:11">
      <c r="A1421" t="s">
        <v>1825</v>
      </c>
      <c r="B1421" t="s">
        <v>5001</v>
      </c>
      <c r="C1421" s="5" t="s">
        <v>7</v>
      </c>
      <c r="F1421" s="5" t="s">
        <v>5002</v>
      </c>
      <c r="G1421" s="5">
        <f t="shared" si="95"/>
        <v>30902</v>
      </c>
      <c r="I1421" s="6" t="str">
        <f t="shared" si="96"/>
        <v>0</v>
      </c>
      <c r="K1421" s="19" t="s">
        <v>5003</v>
      </c>
    </row>
    <row r="1422" spans="1:11">
      <c r="A1422" t="s">
        <v>1826</v>
      </c>
      <c r="B1422" t="s">
        <v>5004</v>
      </c>
      <c r="C1422" s="5" t="s">
        <v>7</v>
      </c>
      <c r="F1422" s="5" t="s">
        <v>5005</v>
      </c>
      <c r="G1422" s="5">
        <f t="shared" si="95"/>
        <v>30921</v>
      </c>
      <c r="I1422" s="6" t="str">
        <f t="shared" si="96"/>
        <v>0</v>
      </c>
      <c r="K1422" s="19" t="s">
        <v>5006</v>
      </c>
    </row>
    <row r="1423" spans="1:11">
      <c r="A1423" t="s">
        <v>1827</v>
      </c>
      <c r="B1423" t="s">
        <v>5007</v>
      </c>
      <c r="C1423" s="5" t="s">
        <v>7</v>
      </c>
      <c r="F1423" s="5" t="s">
        <v>5008</v>
      </c>
      <c r="G1423" s="5">
        <f t="shared" si="95"/>
        <v>30955</v>
      </c>
      <c r="I1423" s="6" t="str">
        <f t="shared" si="96"/>
        <v>0</v>
      </c>
      <c r="K1423" s="19" t="s">
        <v>5009</v>
      </c>
    </row>
    <row r="1424" spans="1:11">
      <c r="A1424" t="s">
        <v>1828</v>
      </c>
      <c r="B1424" t="s">
        <v>5010</v>
      </c>
      <c r="C1424" s="5" t="s">
        <v>7</v>
      </c>
      <c r="F1424" s="5" t="s">
        <v>5011</v>
      </c>
      <c r="G1424" s="5">
        <f t="shared" si="95"/>
        <v>30979</v>
      </c>
      <c r="I1424" s="6" t="str">
        <f t="shared" si="96"/>
        <v>0</v>
      </c>
      <c r="K1424" s="19" t="s">
        <v>5012</v>
      </c>
    </row>
    <row r="1425" spans="1:11">
      <c r="A1425" t="s">
        <v>1829</v>
      </c>
      <c r="B1425" t="s">
        <v>5013</v>
      </c>
      <c r="C1425" s="5" t="s">
        <v>7</v>
      </c>
      <c r="F1425" s="5" t="s">
        <v>5014</v>
      </c>
      <c r="G1425" s="5">
        <f t="shared" si="95"/>
        <v>30991</v>
      </c>
      <c r="I1425" s="6" t="str">
        <f t="shared" si="96"/>
        <v>0</v>
      </c>
      <c r="K1425" s="19" t="s">
        <v>5015</v>
      </c>
    </row>
    <row r="1426" spans="1:11">
      <c r="A1426" t="s">
        <v>1830</v>
      </c>
      <c r="B1426" t="s">
        <v>309</v>
      </c>
      <c r="E1426" t="str">
        <f t="shared" ref="E1426:E1440" si="97">IF(D1426&lt;&gt;"",C1426&amp;"/"&amp;D1426,"")</f>
        <v/>
      </c>
      <c r="G1426" s="5" t="str">
        <f t="shared" si="95"/>
        <v/>
      </c>
      <c r="I1426" s="6" t="str">
        <f t="shared" si="96"/>
        <v>0</v>
      </c>
    </row>
    <row r="1427" spans="1:11">
      <c r="A1427" t="s">
        <v>1831</v>
      </c>
      <c r="B1427" t="s">
        <v>5749</v>
      </c>
      <c r="G1427" s="5" t="str">
        <f t="shared" si="95"/>
        <v/>
      </c>
      <c r="I1427" s="6" t="str">
        <f t="shared" si="96"/>
        <v>0</v>
      </c>
      <c r="K1427" s="19" t="s">
        <v>5750</v>
      </c>
    </row>
    <row r="1428" spans="1:11">
      <c r="A1428" t="s">
        <v>1832</v>
      </c>
      <c r="B1428" t="s">
        <v>309</v>
      </c>
      <c r="E1428" t="str">
        <f t="shared" si="97"/>
        <v/>
      </c>
      <c r="G1428" s="5" t="str">
        <f t="shared" si="95"/>
        <v/>
      </c>
      <c r="I1428" s="6" t="str">
        <f t="shared" si="96"/>
        <v>0</v>
      </c>
    </row>
    <row r="1429" spans="1:11">
      <c r="A1429" t="s">
        <v>1833</v>
      </c>
      <c r="B1429" t="s">
        <v>309</v>
      </c>
      <c r="E1429" t="str">
        <f t="shared" si="97"/>
        <v/>
      </c>
      <c r="G1429" s="5" t="str">
        <f t="shared" si="95"/>
        <v/>
      </c>
      <c r="I1429" s="6" t="str">
        <f t="shared" si="96"/>
        <v>0</v>
      </c>
    </row>
    <row r="1430" spans="1:11">
      <c r="A1430" t="s">
        <v>1834</v>
      </c>
      <c r="B1430" t="s">
        <v>309</v>
      </c>
      <c r="E1430" t="str">
        <f t="shared" si="97"/>
        <v/>
      </c>
      <c r="G1430" s="5" t="str">
        <f t="shared" si="95"/>
        <v/>
      </c>
      <c r="I1430" s="6" t="str">
        <f t="shared" si="96"/>
        <v>0</v>
      </c>
    </row>
    <row r="1431" spans="1:11">
      <c r="A1431" t="s">
        <v>1835</v>
      </c>
      <c r="B1431" t="s">
        <v>309</v>
      </c>
      <c r="E1431" t="str">
        <f t="shared" si="97"/>
        <v/>
      </c>
      <c r="G1431" s="5" t="str">
        <f t="shared" si="95"/>
        <v/>
      </c>
      <c r="I1431" s="6" t="str">
        <f t="shared" si="96"/>
        <v>0</v>
      </c>
    </row>
    <row r="1432" spans="1:11">
      <c r="A1432" t="s">
        <v>1836</v>
      </c>
      <c r="B1432" t="s">
        <v>309</v>
      </c>
      <c r="E1432" t="str">
        <f t="shared" si="97"/>
        <v/>
      </c>
      <c r="G1432" s="5" t="str">
        <f t="shared" si="95"/>
        <v/>
      </c>
      <c r="I1432" s="6" t="str">
        <f t="shared" si="96"/>
        <v>0</v>
      </c>
    </row>
    <row r="1433" spans="1:11">
      <c r="A1433" t="s">
        <v>1837</v>
      </c>
      <c r="B1433" t="s">
        <v>5751</v>
      </c>
      <c r="G1433" s="5" t="str">
        <f t="shared" si="95"/>
        <v/>
      </c>
      <c r="I1433" s="6" t="str">
        <f t="shared" si="96"/>
        <v>0</v>
      </c>
      <c r="K1433" s="19" t="s">
        <v>5752</v>
      </c>
    </row>
    <row r="1434" spans="1:11">
      <c r="A1434" t="s">
        <v>1838</v>
      </c>
      <c r="B1434" t="s">
        <v>309</v>
      </c>
      <c r="E1434" t="str">
        <f t="shared" si="97"/>
        <v/>
      </c>
      <c r="G1434" s="5" t="str">
        <f t="shared" si="95"/>
        <v/>
      </c>
      <c r="I1434" s="6" t="str">
        <f t="shared" si="96"/>
        <v>0</v>
      </c>
    </row>
    <row r="1435" spans="1:11">
      <c r="A1435" t="s">
        <v>1839</v>
      </c>
      <c r="B1435" t="s">
        <v>309</v>
      </c>
      <c r="E1435" t="str">
        <f t="shared" si="97"/>
        <v/>
      </c>
      <c r="G1435" s="5" t="str">
        <f t="shared" si="95"/>
        <v/>
      </c>
      <c r="I1435" s="6" t="str">
        <f t="shared" si="96"/>
        <v>0</v>
      </c>
    </row>
    <row r="1436" spans="1:11">
      <c r="A1436" t="s">
        <v>1840</v>
      </c>
      <c r="B1436" t="s">
        <v>309</v>
      </c>
      <c r="E1436" t="str">
        <f t="shared" si="97"/>
        <v/>
      </c>
      <c r="G1436" s="5" t="str">
        <f t="shared" si="95"/>
        <v/>
      </c>
      <c r="I1436" s="6" t="str">
        <f t="shared" si="96"/>
        <v>0</v>
      </c>
    </row>
    <row r="1437" spans="1:11">
      <c r="A1437" t="s">
        <v>1841</v>
      </c>
      <c r="B1437" t="s">
        <v>309</v>
      </c>
      <c r="E1437" t="str">
        <f t="shared" si="97"/>
        <v/>
      </c>
      <c r="G1437" s="5" t="str">
        <f t="shared" si="95"/>
        <v/>
      </c>
      <c r="I1437" s="6" t="str">
        <f t="shared" si="96"/>
        <v>0</v>
      </c>
    </row>
    <row r="1438" spans="1:11">
      <c r="A1438" t="s">
        <v>1842</v>
      </c>
      <c r="B1438" t="s">
        <v>309</v>
      </c>
      <c r="E1438" t="str">
        <f t="shared" si="97"/>
        <v/>
      </c>
      <c r="G1438" s="5" t="str">
        <f t="shared" si="95"/>
        <v/>
      </c>
      <c r="I1438" s="6" t="str">
        <f t="shared" si="96"/>
        <v>0</v>
      </c>
    </row>
    <row r="1439" spans="1:11">
      <c r="A1439" t="s">
        <v>1843</v>
      </c>
      <c r="B1439" t="s">
        <v>309</v>
      </c>
      <c r="E1439" t="str">
        <f t="shared" si="97"/>
        <v/>
      </c>
      <c r="G1439" s="5" t="str">
        <f t="shared" si="95"/>
        <v/>
      </c>
      <c r="I1439" s="6" t="str">
        <f t="shared" si="96"/>
        <v>0</v>
      </c>
    </row>
    <row r="1440" spans="1:11">
      <c r="A1440" t="s">
        <v>1844</v>
      </c>
      <c r="B1440" t="s">
        <v>309</v>
      </c>
      <c r="E1440" t="str">
        <f t="shared" si="97"/>
        <v/>
      </c>
      <c r="G1440" s="5" t="str">
        <f t="shared" si="95"/>
        <v/>
      </c>
      <c r="I1440" s="6" t="str">
        <f t="shared" si="96"/>
        <v>0</v>
      </c>
    </row>
    <row r="1441" spans="1:11">
      <c r="A1441" t="s">
        <v>1845</v>
      </c>
      <c r="B1441" t="s">
        <v>5973</v>
      </c>
      <c r="G1441" s="5" t="str">
        <f t="shared" si="95"/>
        <v/>
      </c>
      <c r="I1441" s="6" t="str">
        <f t="shared" si="96"/>
        <v>0</v>
      </c>
      <c r="K1441" s="19" t="s">
        <v>5974</v>
      </c>
    </row>
    <row r="1442" spans="1:11">
      <c r="A1442" t="s">
        <v>1846</v>
      </c>
      <c r="B1442" t="s">
        <v>4969</v>
      </c>
      <c r="C1442" s="5" t="s">
        <v>7</v>
      </c>
      <c r="F1442" s="5" t="s">
        <v>4970</v>
      </c>
      <c r="G1442" s="5">
        <f t="shared" si="95"/>
        <v>31208</v>
      </c>
      <c r="I1442" s="6" t="str">
        <f t="shared" si="96"/>
        <v>0</v>
      </c>
      <c r="K1442" s="19" t="s">
        <v>4971</v>
      </c>
    </row>
    <row r="1443" spans="1:11">
      <c r="A1443" t="s">
        <v>1847</v>
      </c>
      <c r="B1443" t="s">
        <v>309</v>
      </c>
      <c r="E1443" t="str">
        <f t="shared" ref="E1443:E1451" si="98">IF(D1443&lt;&gt;"",C1443&amp;"/"&amp;D1443,"")</f>
        <v/>
      </c>
      <c r="G1443" s="5" t="str">
        <f t="shared" si="95"/>
        <v/>
      </c>
      <c r="I1443" s="6" t="str">
        <f t="shared" si="96"/>
        <v>0</v>
      </c>
    </row>
    <row r="1444" spans="1:11">
      <c r="A1444" t="s">
        <v>1848</v>
      </c>
      <c r="B1444" t="s">
        <v>309</v>
      </c>
      <c r="E1444" t="str">
        <f t="shared" si="98"/>
        <v/>
      </c>
      <c r="G1444" s="5" t="str">
        <f t="shared" si="95"/>
        <v/>
      </c>
      <c r="I1444" s="6" t="str">
        <f t="shared" si="96"/>
        <v>0</v>
      </c>
    </row>
    <row r="1445" spans="1:11">
      <c r="A1445" t="s">
        <v>1849</v>
      </c>
      <c r="B1445" t="s">
        <v>309</v>
      </c>
      <c r="E1445" t="str">
        <f t="shared" si="98"/>
        <v/>
      </c>
      <c r="G1445" s="5" t="str">
        <f t="shared" si="95"/>
        <v/>
      </c>
      <c r="I1445" s="6" t="str">
        <f t="shared" si="96"/>
        <v>0</v>
      </c>
    </row>
    <row r="1446" spans="1:11">
      <c r="A1446" t="s">
        <v>1850</v>
      </c>
      <c r="B1446" t="s">
        <v>309</v>
      </c>
      <c r="E1446" t="str">
        <f t="shared" si="98"/>
        <v/>
      </c>
      <c r="G1446" s="5" t="str">
        <f t="shared" si="95"/>
        <v/>
      </c>
      <c r="I1446" s="6" t="str">
        <f t="shared" si="96"/>
        <v>0</v>
      </c>
    </row>
    <row r="1447" spans="1:11">
      <c r="A1447" t="s">
        <v>1851</v>
      </c>
      <c r="B1447" t="s">
        <v>309</v>
      </c>
      <c r="E1447" t="str">
        <f t="shared" si="98"/>
        <v/>
      </c>
      <c r="G1447" s="5" t="str">
        <f t="shared" si="95"/>
        <v/>
      </c>
      <c r="I1447" s="6" t="str">
        <f t="shared" si="96"/>
        <v>0</v>
      </c>
    </row>
    <row r="1448" spans="1:11">
      <c r="A1448" t="s">
        <v>1852</v>
      </c>
      <c r="B1448" t="s">
        <v>309</v>
      </c>
      <c r="E1448" t="str">
        <f t="shared" si="98"/>
        <v/>
      </c>
      <c r="G1448" s="5" t="str">
        <f t="shared" si="95"/>
        <v/>
      </c>
      <c r="I1448" s="6" t="str">
        <f t="shared" si="96"/>
        <v>0</v>
      </c>
    </row>
    <row r="1449" spans="1:11">
      <c r="A1449" t="s">
        <v>1853</v>
      </c>
      <c r="B1449" t="s">
        <v>309</v>
      </c>
      <c r="E1449" t="str">
        <f t="shared" si="98"/>
        <v/>
      </c>
      <c r="G1449" s="5" t="str">
        <f t="shared" si="95"/>
        <v/>
      </c>
      <c r="I1449" s="6" t="str">
        <f t="shared" si="96"/>
        <v>0</v>
      </c>
    </row>
    <row r="1450" spans="1:11">
      <c r="A1450" t="s">
        <v>1854</v>
      </c>
      <c r="B1450" t="s">
        <v>5753</v>
      </c>
      <c r="G1450" s="5" t="str">
        <f t="shared" si="95"/>
        <v/>
      </c>
      <c r="I1450" s="6" t="str">
        <f t="shared" si="96"/>
        <v>0</v>
      </c>
      <c r="K1450" s="19" t="s">
        <v>5754</v>
      </c>
    </row>
    <row r="1451" spans="1:11">
      <c r="A1451" t="s">
        <v>1855</v>
      </c>
      <c r="B1451" t="s">
        <v>309</v>
      </c>
      <c r="E1451" t="str">
        <f t="shared" si="98"/>
        <v/>
      </c>
      <c r="G1451" s="5" t="str">
        <f t="shared" si="95"/>
        <v/>
      </c>
      <c r="I1451" s="6" t="str">
        <f t="shared" si="96"/>
        <v>0</v>
      </c>
    </row>
    <row r="1452" spans="1:11">
      <c r="A1452" t="s">
        <v>1856</v>
      </c>
      <c r="B1452" t="s">
        <v>5041</v>
      </c>
      <c r="C1452" s="5" t="s">
        <v>7</v>
      </c>
      <c r="F1452" s="5" t="s">
        <v>5042</v>
      </c>
      <c r="G1452" s="5">
        <f t="shared" si="95"/>
        <v>31462</v>
      </c>
      <c r="I1452" s="6" t="str">
        <f t="shared" si="96"/>
        <v>0</v>
      </c>
      <c r="K1452" s="19" t="s">
        <v>5043</v>
      </c>
    </row>
    <row r="1453" spans="1:11">
      <c r="A1453" t="s">
        <v>1857</v>
      </c>
      <c r="B1453" t="s">
        <v>309</v>
      </c>
      <c r="E1453" t="str">
        <f>IF(D1453&lt;&gt;"",C1453&amp;"/"&amp;D1453,"")</f>
        <v/>
      </c>
      <c r="G1453" s="5" t="str">
        <f t="shared" si="95"/>
        <v/>
      </c>
      <c r="I1453" s="6" t="str">
        <f t="shared" si="96"/>
        <v>0</v>
      </c>
    </row>
    <row r="1454" spans="1:11">
      <c r="A1454" t="s">
        <v>1858</v>
      </c>
      <c r="B1454" t="s">
        <v>309</v>
      </c>
      <c r="E1454" t="str">
        <f>IF(D1454&lt;&gt;"",C1454&amp;"/"&amp;D1454,"")</f>
        <v/>
      </c>
      <c r="G1454" s="5" t="str">
        <f t="shared" si="95"/>
        <v/>
      </c>
      <c r="I1454" s="6" t="str">
        <f t="shared" si="96"/>
        <v>0</v>
      </c>
    </row>
    <row r="1455" spans="1:11">
      <c r="A1455" t="s">
        <v>1859</v>
      </c>
      <c r="B1455" t="s">
        <v>5044</v>
      </c>
      <c r="C1455" s="5" t="s">
        <v>7</v>
      </c>
      <c r="F1455" s="5" t="s">
        <v>5045</v>
      </c>
      <c r="G1455" s="5">
        <f t="shared" si="95"/>
        <v>31524</v>
      </c>
      <c r="I1455" s="6" t="str">
        <f t="shared" si="96"/>
        <v>0</v>
      </c>
      <c r="K1455" s="19" t="s">
        <v>5046</v>
      </c>
    </row>
    <row r="1456" spans="1:11">
      <c r="A1456" t="s">
        <v>1860</v>
      </c>
      <c r="B1456" t="s">
        <v>5975</v>
      </c>
      <c r="G1456" s="5" t="str">
        <f t="shared" si="95"/>
        <v/>
      </c>
      <c r="I1456" s="6" t="str">
        <f t="shared" si="96"/>
        <v>0</v>
      </c>
      <c r="K1456" s="19" t="s">
        <v>5976</v>
      </c>
    </row>
    <row r="1457" spans="1:11">
      <c r="A1457" t="s">
        <v>1861</v>
      </c>
      <c r="B1457" t="s">
        <v>5977</v>
      </c>
      <c r="G1457" s="5" t="str">
        <f t="shared" si="95"/>
        <v/>
      </c>
      <c r="I1457" s="6" t="str">
        <f t="shared" si="96"/>
        <v>0</v>
      </c>
      <c r="K1457" s="19" t="s">
        <v>5978</v>
      </c>
    </row>
    <row r="1458" spans="1:11">
      <c r="A1458" t="s">
        <v>1862</v>
      </c>
      <c r="B1458" t="s">
        <v>5047</v>
      </c>
      <c r="C1458" s="5" t="s">
        <v>7</v>
      </c>
      <c r="F1458" s="5" t="s">
        <v>5048</v>
      </c>
      <c r="G1458" s="5">
        <f t="shared" si="95"/>
        <v>31548</v>
      </c>
      <c r="I1458" s="6" t="str">
        <f t="shared" si="96"/>
        <v>0</v>
      </c>
      <c r="K1458" s="19" t="s">
        <v>5049</v>
      </c>
    </row>
    <row r="1459" spans="1:11">
      <c r="A1459" t="s">
        <v>1863</v>
      </c>
      <c r="B1459" t="s">
        <v>5050</v>
      </c>
      <c r="C1459" s="5" t="s">
        <v>7</v>
      </c>
      <c r="F1459" s="5" t="s">
        <v>5051</v>
      </c>
      <c r="G1459" s="5">
        <f t="shared" si="95"/>
        <v>31550</v>
      </c>
      <c r="I1459" s="6" t="str">
        <f t="shared" si="96"/>
        <v>0</v>
      </c>
      <c r="K1459" s="19" t="s">
        <v>5052</v>
      </c>
    </row>
    <row r="1460" spans="1:11">
      <c r="A1460" t="s">
        <v>1864</v>
      </c>
      <c r="B1460" t="s">
        <v>5053</v>
      </c>
      <c r="C1460" s="5" t="s">
        <v>7</v>
      </c>
      <c r="F1460" s="5" t="s">
        <v>5054</v>
      </c>
      <c r="G1460" s="5">
        <f t="shared" si="95"/>
        <v>31566</v>
      </c>
      <c r="I1460" s="6" t="str">
        <f t="shared" si="96"/>
        <v>0</v>
      </c>
      <c r="K1460" s="19" t="s">
        <v>5055</v>
      </c>
    </row>
    <row r="1461" spans="1:11">
      <c r="A1461" t="s">
        <v>1865</v>
      </c>
      <c r="B1461" t="s">
        <v>5056</v>
      </c>
      <c r="C1461" s="5" t="s">
        <v>7</v>
      </c>
      <c r="F1461" s="5" t="s">
        <v>5057</v>
      </c>
      <c r="G1461" s="5">
        <f t="shared" si="95"/>
        <v>31596</v>
      </c>
      <c r="I1461" s="6" t="str">
        <f t="shared" si="96"/>
        <v>0</v>
      </c>
      <c r="K1461" s="19" t="s">
        <v>5058</v>
      </c>
    </row>
    <row r="1462" spans="1:11">
      <c r="A1462" t="s">
        <v>1866</v>
      </c>
      <c r="B1462" t="s">
        <v>309</v>
      </c>
      <c r="E1462" t="str">
        <f>IF(D1462&lt;&gt;"",C1462&amp;"/"&amp;D1462,"")</f>
        <v/>
      </c>
      <c r="G1462" s="5" t="str">
        <f t="shared" si="95"/>
        <v/>
      </c>
      <c r="I1462" s="6" t="str">
        <f t="shared" si="96"/>
        <v>0</v>
      </c>
    </row>
    <row r="1463" spans="1:11">
      <c r="A1463" t="s">
        <v>1867</v>
      </c>
      <c r="B1463" t="s">
        <v>309</v>
      </c>
      <c r="E1463" t="str">
        <f>IF(D1463&lt;&gt;"",C1463&amp;"/"&amp;D1463,"")</f>
        <v/>
      </c>
      <c r="G1463" s="5" t="str">
        <f t="shared" si="95"/>
        <v/>
      </c>
      <c r="I1463" s="6" t="str">
        <f t="shared" si="96"/>
        <v>0</v>
      </c>
    </row>
    <row r="1464" spans="1:11">
      <c r="A1464" t="s">
        <v>1868</v>
      </c>
      <c r="B1464" t="s">
        <v>309</v>
      </c>
      <c r="E1464" t="str">
        <f>IF(D1464&lt;&gt;"",C1464&amp;"/"&amp;D1464,"")</f>
        <v/>
      </c>
      <c r="G1464" s="5" t="str">
        <f t="shared" si="95"/>
        <v/>
      </c>
      <c r="I1464" s="6" t="str">
        <f t="shared" si="96"/>
        <v>0</v>
      </c>
    </row>
    <row r="1465" spans="1:11">
      <c r="A1465" t="s">
        <v>1869</v>
      </c>
      <c r="B1465" t="s">
        <v>5059</v>
      </c>
      <c r="C1465" s="5" t="s">
        <v>7</v>
      </c>
      <c r="F1465" s="5" t="s">
        <v>5060</v>
      </c>
      <c r="G1465" s="5">
        <f t="shared" si="95"/>
        <v>31696</v>
      </c>
      <c r="I1465" s="6" t="str">
        <f t="shared" si="96"/>
        <v>0</v>
      </c>
      <c r="K1465" s="19" t="s">
        <v>5061</v>
      </c>
    </row>
    <row r="1466" spans="1:11">
      <c r="A1466" t="s">
        <v>1870</v>
      </c>
      <c r="B1466" t="s">
        <v>5062</v>
      </c>
      <c r="C1466" s="5" t="s">
        <v>7</v>
      </c>
      <c r="F1466" s="5" t="s">
        <v>5063</v>
      </c>
      <c r="G1466" s="5">
        <f t="shared" si="95"/>
        <v>31746</v>
      </c>
      <c r="I1466" s="6" t="str">
        <f t="shared" si="96"/>
        <v>0</v>
      </c>
      <c r="K1466" s="19" t="s">
        <v>5064</v>
      </c>
    </row>
    <row r="1467" spans="1:11">
      <c r="A1467" t="s">
        <v>1871</v>
      </c>
      <c r="B1467" t="s">
        <v>5065</v>
      </c>
      <c r="C1467" s="5" t="s">
        <v>7</v>
      </c>
      <c r="F1467" s="5" t="s">
        <v>5066</v>
      </c>
      <c r="G1467" s="5">
        <f t="shared" si="95"/>
        <v>31790</v>
      </c>
      <c r="I1467" s="6" t="str">
        <f t="shared" si="96"/>
        <v>0</v>
      </c>
      <c r="K1467" s="19" t="s">
        <v>5067</v>
      </c>
    </row>
    <row r="1468" spans="1:11">
      <c r="A1468" t="s">
        <v>1872</v>
      </c>
      <c r="B1468" t="s">
        <v>5068</v>
      </c>
      <c r="C1468" s="5" t="s">
        <v>7</v>
      </c>
      <c r="F1468" s="5" t="s">
        <v>5069</v>
      </c>
      <c r="G1468" s="5">
        <f t="shared" si="95"/>
        <v>31824</v>
      </c>
      <c r="I1468" s="6" t="str">
        <f t="shared" si="96"/>
        <v>0</v>
      </c>
      <c r="K1468" s="19" t="s">
        <v>5070</v>
      </c>
    </row>
    <row r="1469" spans="1:11">
      <c r="A1469" t="s">
        <v>1873</v>
      </c>
      <c r="B1469" t="s">
        <v>5071</v>
      </c>
      <c r="C1469" s="5" t="s">
        <v>7</v>
      </c>
      <c r="F1469" s="5" t="s">
        <v>5072</v>
      </c>
      <c r="G1469" s="5">
        <f t="shared" si="95"/>
        <v>31826</v>
      </c>
      <c r="I1469" s="6" t="str">
        <f t="shared" si="96"/>
        <v>0</v>
      </c>
      <c r="K1469" s="19" t="s">
        <v>5073</v>
      </c>
    </row>
    <row r="1470" spans="1:11">
      <c r="A1470" t="s">
        <v>1874</v>
      </c>
      <c r="B1470" t="s">
        <v>5074</v>
      </c>
      <c r="C1470" s="5" t="s">
        <v>7</v>
      </c>
      <c r="F1470" s="5" t="s">
        <v>5075</v>
      </c>
      <c r="G1470" s="5">
        <f t="shared" si="95"/>
        <v>31834</v>
      </c>
      <c r="I1470" s="6" t="str">
        <f t="shared" si="96"/>
        <v>0</v>
      </c>
      <c r="K1470" s="19" t="s">
        <v>5076</v>
      </c>
    </row>
    <row r="1471" spans="1:11">
      <c r="A1471" t="s">
        <v>1875</v>
      </c>
      <c r="B1471" t="s">
        <v>5077</v>
      </c>
      <c r="C1471" s="5" t="s">
        <v>7</v>
      </c>
      <c r="F1471" s="5" t="s">
        <v>5078</v>
      </c>
      <c r="G1471" s="5">
        <f t="shared" si="95"/>
        <v>31836</v>
      </c>
      <c r="I1471" s="6" t="str">
        <f t="shared" si="96"/>
        <v>0</v>
      </c>
      <c r="K1471" s="19" t="s">
        <v>5079</v>
      </c>
    </row>
    <row r="1472" spans="1:11">
      <c r="A1472" t="s">
        <v>1876</v>
      </c>
      <c r="B1472" t="s">
        <v>5080</v>
      </c>
      <c r="C1472" s="5" t="s">
        <v>7</v>
      </c>
      <c r="F1472" s="5" t="s">
        <v>5081</v>
      </c>
      <c r="G1472" s="5">
        <f t="shared" si="95"/>
        <v>31856</v>
      </c>
      <c r="I1472" s="6" t="str">
        <f t="shared" si="96"/>
        <v>0</v>
      </c>
      <c r="K1472" s="19" t="s">
        <v>5082</v>
      </c>
    </row>
    <row r="1473" spans="1:11">
      <c r="A1473" t="s">
        <v>1877</v>
      </c>
      <c r="B1473" t="s">
        <v>5094</v>
      </c>
      <c r="C1473" s="5" t="s">
        <v>7</v>
      </c>
      <c r="F1473" s="5" t="s">
        <v>5095</v>
      </c>
      <c r="G1473" s="5">
        <f t="shared" si="95"/>
        <v>31860</v>
      </c>
      <c r="I1473" s="6" t="str">
        <f t="shared" si="96"/>
        <v>0</v>
      </c>
      <c r="K1473" s="19" t="s">
        <v>5096</v>
      </c>
    </row>
    <row r="1474" spans="1:11">
      <c r="A1474" t="s">
        <v>1878</v>
      </c>
      <c r="B1474" t="s">
        <v>4965</v>
      </c>
      <c r="G1474" s="5" t="str">
        <f t="shared" ref="G1474:G1537" si="99">IF(F1474&lt;&gt;"",HEX2DEC(SUBSTITUTE(SUBSTITUTE(F1474,"adrEA",""),"$","")),"")</f>
        <v/>
      </c>
      <c r="I1474" s="6" t="str">
        <f t="shared" ref="I1474:I1537" si="100">IFERROR(DEC2HEX(H1474),"")</f>
        <v>0</v>
      </c>
      <c r="K1474" s="19" t="s">
        <v>5029</v>
      </c>
    </row>
    <row r="1475" spans="1:11">
      <c r="A1475" t="s">
        <v>1879</v>
      </c>
      <c r="B1475" t="s">
        <v>5030</v>
      </c>
      <c r="G1475" s="5" t="str">
        <f t="shared" si="99"/>
        <v/>
      </c>
      <c r="I1475" s="6" t="str">
        <f t="shared" si="100"/>
        <v>0</v>
      </c>
      <c r="K1475" s="19" t="s">
        <v>5031</v>
      </c>
    </row>
    <row r="1476" spans="1:11">
      <c r="A1476" t="s">
        <v>1819</v>
      </c>
      <c r="B1476" t="s">
        <v>5131</v>
      </c>
      <c r="C1476" s="5" t="s">
        <v>7</v>
      </c>
      <c r="F1476" s="5" t="s">
        <v>5132</v>
      </c>
      <c r="G1476" s="5">
        <f t="shared" si="99"/>
        <v>30780</v>
      </c>
      <c r="I1476" s="6" t="str">
        <f t="shared" si="100"/>
        <v>0</v>
      </c>
      <c r="K1476" s="24" t="s">
        <v>5133</v>
      </c>
    </row>
    <row r="1477" spans="1:11">
      <c r="A1477" t="s">
        <v>1880</v>
      </c>
      <c r="B1477" t="s">
        <v>5149</v>
      </c>
      <c r="C1477" s="5" t="s">
        <v>7</v>
      </c>
      <c r="F1477" s="5" t="s">
        <v>5150</v>
      </c>
      <c r="G1477" s="5">
        <f t="shared" si="99"/>
        <v>32174</v>
      </c>
      <c r="I1477" s="6" t="str">
        <f t="shared" si="100"/>
        <v>0</v>
      </c>
      <c r="K1477" s="24" t="s">
        <v>5151</v>
      </c>
    </row>
    <row r="1478" spans="1:11">
      <c r="A1478" t="s">
        <v>1882</v>
      </c>
      <c r="B1478" t="s">
        <v>3761</v>
      </c>
      <c r="C1478" s="5" t="s">
        <v>7</v>
      </c>
      <c r="F1478" s="5" t="s">
        <v>5250</v>
      </c>
      <c r="G1478" s="5">
        <f t="shared" si="99"/>
        <v>32192</v>
      </c>
      <c r="I1478" s="6" t="str">
        <f t="shared" si="100"/>
        <v>0</v>
      </c>
      <c r="K1478" s="28" t="s">
        <v>5251</v>
      </c>
    </row>
    <row r="1479" spans="1:11">
      <c r="A1479" t="s">
        <v>1881</v>
      </c>
      <c r="B1479" t="s">
        <v>5152</v>
      </c>
      <c r="C1479" s="5" t="s">
        <v>7</v>
      </c>
      <c r="F1479" s="5" t="s">
        <v>5153</v>
      </c>
      <c r="G1479" s="5">
        <f t="shared" si="99"/>
        <v>32184</v>
      </c>
      <c r="I1479" s="6" t="str">
        <f t="shared" si="100"/>
        <v>0</v>
      </c>
      <c r="K1479" s="24" t="s">
        <v>5154</v>
      </c>
    </row>
    <row r="1480" spans="1:11">
      <c r="A1480" t="s">
        <v>1883</v>
      </c>
      <c r="B1480" t="s">
        <v>5155</v>
      </c>
      <c r="C1480" s="5" t="s">
        <v>7</v>
      </c>
      <c r="F1480" s="5" t="s">
        <v>5156</v>
      </c>
      <c r="G1480" s="5">
        <f t="shared" si="99"/>
        <v>32212</v>
      </c>
      <c r="I1480" s="6" t="str">
        <f t="shared" si="100"/>
        <v>0</v>
      </c>
      <c r="K1480" s="28" t="s">
        <v>5252</v>
      </c>
    </row>
    <row r="1481" spans="1:11">
      <c r="A1481" t="s">
        <v>1884</v>
      </c>
      <c r="B1481" t="s">
        <v>5157</v>
      </c>
      <c r="C1481" s="5" t="s">
        <v>7</v>
      </c>
      <c r="F1481" s="5" t="s">
        <v>5158</v>
      </c>
      <c r="G1481" s="5">
        <f t="shared" si="99"/>
        <v>32216</v>
      </c>
      <c r="I1481" s="6" t="str">
        <f t="shared" si="100"/>
        <v>0</v>
      </c>
      <c r="K1481" s="28" t="s">
        <v>5253</v>
      </c>
    </row>
    <row r="1482" spans="1:11">
      <c r="A1482" t="s">
        <v>1885</v>
      </c>
      <c r="B1482" t="s">
        <v>5159</v>
      </c>
      <c r="C1482" s="5" t="s">
        <v>7</v>
      </c>
      <c r="F1482" s="5" t="s">
        <v>5160</v>
      </c>
      <c r="G1482" s="5">
        <f t="shared" si="99"/>
        <v>32232</v>
      </c>
      <c r="I1482" s="6" t="str">
        <f t="shared" si="100"/>
        <v>0</v>
      </c>
      <c r="K1482" s="28" t="s">
        <v>5254</v>
      </c>
    </row>
    <row r="1483" spans="1:11">
      <c r="A1483" t="s">
        <v>1886</v>
      </c>
      <c r="B1483" t="s">
        <v>5161</v>
      </c>
      <c r="C1483" s="5" t="s">
        <v>7</v>
      </c>
      <c r="F1483" s="5" t="s">
        <v>5162</v>
      </c>
      <c r="G1483" s="5">
        <f t="shared" si="99"/>
        <v>32316</v>
      </c>
      <c r="I1483" s="6" t="str">
        <f t="shared" si="100"/>
        <v>0</v>
      </c>
      <c r="K1483" s="28" t="s">
        <v>5255</v>
      </c>
    </row>
    <row r="1484" spans="1:11">
      <c r="A1484" t="s">
        <v>1888</v>
      </c>
      <c r="B1484" t="s">
        <v>4960</v>
      </c>
      <c r="C1484" s="5" t="s">
        <v>48</v>
      </c>
      <c r="D1484" t="s">
        <v>5258</v>
      </c>
      <c r="E1484" t="s">
        <v>5259</v>
      </c>
      <c r="F1484" s="5" t="s">
        <v>4961</v>
      </c>
      <c r="G1484" s="5">
        <f t="shared" si="99"/>
        <v>32326</v>
      </c>
      <c r="H1484" s="5">
        <v>4</v>
      </c>
      <c r="I1484" s="6" t="str">
        <f t="shared" si="100"/>
        <v>4</v>
      </c>
      <c r="J1484" s="6" t="s">
        <v>3414</v>
      </c>
      <c r="K1484" s="19" t="s">
        <v>5260</v>
      </c>
    </row>
    <row r="1485" spans="1:11">
      <c r="A1485" t="s">
        <v>1889</v>
      </c>
      <c r="B1485" t="s">
        <v>5261</v>
      </c>
      <c r="C1485" s="5" t="s">
        <v>7</v>
      </c>
      <c r="F1485" s="5" t="s">
        <v>5262</v>
      </c>
      <c r="G1485" s="5">
        <f t="shared" si="99"/>
        <v>32330</v>
      </c>
      <c r="I1485" s="6" t="str">
        <f t="shared" si="100"/>
        <v>0</v>
      </c>
      <c r="K1485" s="6" t="s">
        <v>5263</v>
      </c>
    </row>
    <row r="1486" spans="1:11">
      <c r="A1486" t="s">
        <v>1890</v>
      </c>
      <c r="B1486" t="s">
        <v>309</v>
      </c>
      <c r="E1486" t="str">
        <f t="shared" ref="E1486:E1492" si="101">IF(D1486&lt;&gt;"",C1486&amp;"/"&amp;D1486,"")</f>
        <v/>
      </c>
      <c r="G1486" s="5" t="str">
        <f t="shared" si="99"/>
        <v/>
      </c>
      <c r="I1486" s="6" t="str">
        <f t="shared" si="100"/>
        <v>0</v>
      </c>
    </row>
    <row r="1487" spans="1:11">
      <c r="A1487" t="s">
        <v>1891</v>
      </c>
      <c r="B1487" t="s">
        <v>309</v>
      </c>
      <c r="E1487" t="str">
        <f t="shared" si="101"/>
        <v/>
      </c>
      <c r="G1487" s="5" t="str">
        <f t="shared" si="99"/>
        <v/>
      </c>
      <c r="I1487" s="6" t="str">
        <f t="shared" si="100"/>
        <v>0</v>
      </c>
    </row>
    <row r="1488" spans="1:11">
      <c r="A1488" t="s">
        <v>1892</v>
      </c>
      <c r="B1488" t="s">
        <v>5979</v>
      </c>
      <c r="G1488" s="5" t="str">
        <f t="shared" si="99"/>
        <v/>
      </c>
      <c r="I1488" s="6" t="str">
        <f t="shared" si="100"/>
        <v>0</v>
      </c>
      <c r="K1488" s="19" t="s">
        <v>5980</v>
      </c>
    </row>
    <row r="1489" spans="1:11">
      <c r="A1489" t="s">
        <v>1893</v>
      </c>
      <c r="B1489" t="s">
        <v>309</v>
      </c>
      <c r="E1489" t="str">
        <f t="shared" si="101"/>
        <v/>
      </c>
      <c r="G1489" s="5" t="str">
        <f t="shared" si="99"/>
        <v/>
      </c>
      <c r="I1489" s="6" t="str">
        <f t="shared" si="100"/>
        <v>0</v>
      </c>
    </row>
    <row r="1490" spans="1:11">
      <c r="A1490" t="s">
        <v>1894</v>
      </c>
      <c r="B1490" t="s">
        <v>309</v>
      </c>
      <c r="E1490" t="str">
        <f t="shared" si="101"/>
        <v/>
      </c>
      <c r="G1490" s="5" t="str">
        <f t="shared" si="99"/>
        <v/>
      </c>
      <c r="I1490" s="6" t="str">
        <f t="shared" si="100"/>
        <v>0</v>
      </c>
    </row>
    <row r="1491" spans="1:11">
      <c r="A1491" t="s">
        <v>1895</v>
      </c>
      <c r="B1491" t="s">
        <v>5590</v>
      </c>
      <c r="G1491" s="5" t="str">
        <f t="shared" si="99"/>
        <v/>
      </c>
      <c r="I1491" s="6" t="str">
        <f t="shared" si="100"/>
        <v>0</v>
      </c>
      <c r="K1491" s="19" t="s">
        <v>5591</v>
      </c>
    </row>
    <row r="1492" spans="1:11">
      <c r="A1492" t="s">
        <v>1896</v>
      </c>
      <c r="B1492" t="s">
        <v>309</v>
      </c>
      <c r="E1492" t="str">
        <f t="shared" si="101"/>
        <v/>
      </c>
      <c r="G1492" s="5" t="str">
        <f t="shared" si="99"/>
        <v/>
      </c>
      <c r="I1492" s="6" t="str">
        <f t="shared" si="100"/>
        <v>0</v>
      </c>
    </row>
    <row r="1493" spans="1:11">
      <c r="A1493" t="s">
        <v>1897</v>
      </c>
      <c r="B1493" t="s">
        <v>5109</v>
      </c>
      <c r="C1493" s="5" t="s">
        <v>7</v>
      </c>
      <c r="F1493" s="5" t="s">
        <v>5110</v>
      </c>
      <c r="G1493" s="5">
        <f t="shared" si="99"/>
        <v>32468</v>
      </c>
      <c r="I1493" s="6" t="str">
        <f t="shared" si="100"/>
        <v>0</v>
      </c>
      <c r="K1493" s="19" t="s">
        <v>5111</v>
      </c>
    </row>
    <row r="1494" spans="1:11">
      <c r="A1494" t="s">
        <v>1898</v>
      </c>
      <c r="B1494" t="s">
        <v>5112</v>
      </c>
      <c r="C1494" s="5" t="s">
        <v>7</v>
      </c>
      <c r="F1494" s="5" t="s">
        <v>5113</v>
      </c>
      <c r="G1494" s="5">
        <f t="shared" si="99"/>
        <v>32500</v>
      </c>
      <c r="I1494" s="6" t="str">
        <f t="shared" si="100"/>
        <v>0</v>
      </c>
      <c r="K1494" s="19" t="s">
        <v>5114</v>
      </c>
    </row>
    <row r="1495" spans="1:11">
      <c r="A1495" t="s">
        <v>1887</v>
      </c>
      <c r="B1495" t="s">
        <v>5256</v>
      </c>
      <c r="C1495" s="5" t="s">
        <v>7</v>
      </c>
      <c r="F1495" s="5" t="s">
        <v>5163</v>
      </c>
      <c r="G1495" s="5">
        <f t="shared" si="99"/>
        <v>32324</v>
      </c>
      <c r="I1495" s="6" t="str">
        <f t="shared" si="100"/>
        <v>0</v>
      </c>
      <c r="K1495" s="28" t="s">
        <v>5257</v>
      </c>
    </row>
    <row r="1496" spans="1:11">
      <c r="A1496" t="s">
        <v>1900</v>
      </c>
      <c r="B1496" t="s">
        <v>5115</v>
      </c>
      <c r="C1496" s="5" t="s">
        <v>7</v>
      </c>
      <c r="F1496" s="5" t="s">
        <v>5116</v>
      </c>
      <c r="G1496" s="5">
        <f t="shared" si="99"/>
        <v>32566</v>
      </c>
      <c r="I1496" s="6" t="str">
        <f t="shared" si="100"/>
        <v>0</v>
      </c>
      <c r="K1496" s="19" t="s">
        <v>5117</v>
      </c>
    </row>
    <row r="1497" spans="1:11">
      <c r="A1497" t="s">
        <v>1901</v>
      </c>
      <c r="B1497" t="s">
        <v>309</v>
      </c>
      <c r="E1497" t="str">
        <f>IF(D1497&lt;&gt;"",C1497&amp;"/"&amp;D1497,"")</f>
        <v/>
      </c>
      <c r="G1497" s="5" t="str">
        <f t="shared" si="99"/>
        <v/>
      </c>
      <c r="I1497" s="6" t="str">
        <f t="shared" si="100"/>
        <v>0</v>
      </c>
    </row>
    <row r="1498" spans="1:11">
      <c r="A1498" t="s">
        <v>1902</v>
      </c>
      <c r="B1498" t="s">
        <v>5118</v>
      </c>
      <c r="C1498" s="5" t="s">
        <v>7</v>
      </c>
      <c r="F1498" s="5" t="s">
        <v>5119</v>
      </c>
      <c r="G1498" s="5">
        <f t="shared" si="99"/>
        <v>32696</v>
      </c>
      <c r="I1498" s="6" t="str">
        <f t="shared" si="100"/>
        <v>0</v>
      </c>
      <c r="K1498" s="19" t="s">
        <v>5120</v>
      </c>
    </row>
    <row r="1499" spans="1:11">
      <c r="A1499" t="s">
        <v>1903</v>
      </c>
      <c r="B1499" t="s">
        <v>5755</v>
      </c>
      <c r="G1499" s="5" t="str">
        <f t="shared" si="99"/>
        <v/>
      </c>
      <c r="I1499" s="6" t="str">
        <f t="shared" si="100"/>
        <v>0</v>
      </c>
      <c r="K1499" s="19" t="s">
        <v>5756</v>
      </c>
    </row>
    <row r="1500" spans="1:11">
      <c r="A1500" t="s">
        <v>1904</v>
      </c>
      <c r="B1500" t="s">
        <v>309</v>
      </c>
      <c r="E1500" t="str">
        <f t="shared" ref="E1500:E1508" si="102">IF(D1500&lt;&gt;"",C1500&amp;"/"&amp;D1500,"")</f>
        <v/>
      </c>
      <c r="G1500" s="5" t="str">
        <f t="shared" si="99"/>
        <v/>
      </c>
      <c r="I1500" s="6" t="str">
        <f t="shared" si="100"/>
        <v>0</v>
      </c>
    </row>
    <row r="1501" spans="1:11">
      <c r="A1501" t="s">
        <v>1905</v>
      </c>
      <c r="B1501" t="s">
        <v>5981</v>
      </c>
      <c r="G1501" s="5" t="str">
        <f t="shared" si="99"/>
        <v/>
      </c>
      <c r="I1501" s="6" t="str">
        <f t="shared" si="100"/>
        <v>0</v>
      </c>
      <c r="K1501" s="19" t="s">
        <v>5982</v>
      </c>
    </row>
    <row r="1502" spans="1:11">
      <c r="A1502" t="s">
        <v>1906</v>
      </c>
      <c r="B1502" t="s">
        <v>5757</v>
      </c>
      <c r="G1502" s="5" t="str">
        <f t="shared" si="99"/>
        <v/>
      </c>
      <c r="I1502" s="6" t="str">
        <f t="shared" si="100"/>
        <v>0</v>
      </c>
      <c r="K1502" s="19" t="s">
        <v>5758</v>
      </c>
    </row>
    <row r="1503" spans="1:11">
      <c r="A1503" t="s">
        <v>1907</v>
      </c>
      <c r="B1503" t="s">
        <v>309</v>
      </c>
      <c r="E1503" t="str">
        <f t="shared" si="102"/>
        <v/>
      </c>
      <c r="G1503" s="5" t="str">
        <f t="shared" si="99"/>
        <v/>
      </c>
      <c r="I1503" s="6" t="str">
        <f t="shared" si="100"/>
        <v>0</v>
      </c>
    </row>
    <row r="1504" spans="1:11">
      <c r="A1504" t="s">
        <v>1908</v>
      </c>
      <c r="B1504" t="s">
        <v>309</v>
      </c>
      <c r="E1504" t="str">
        <f t="shared" si="102"/>
        <v/>
      </c>
      <c r="G1504" s="5" t="str">
        <f t="shared" si="99"/>
        <v/>
      </c>
      <c r="I1504" s="6" t="str">
        <f t="shared" si="100"/>
        <v>0</v>
      </c>
    </row>
    <row r="1505" spans="1:11">
      <c r="A1505" t="s">
        <v>1909</v>
      </c>
      <c r="B1505" t="s">
        <v>309</v>
      </c>
      <c r="E1505" t="str">
        <f t="shared" si="102"/>
        <v/>
      </c>
      <c r="G1505" s="5" t="str">
        <f t="shared" si="99"/>
        <v/>
      </c>
      <c r="I1505" s="6" t="str">
        <f t="shared" si="100"/>
        <v>0</v>
      </c>
    </row>
    <row r="1506" spans="1:11">
      <c r="A1506" t="s">
        <v>1910</v>
      </c>
      <c r="B1506" t="s">
        <v>309</v>
      </c>
      <c r="E1506" t="str">
        <f t="shared" si="102"/>
        <v/>
      </c>
      <c r="G1506" s="5" t="str">
        <f t="shared" si="99"/>
        <v/>
      </c>
      <c r="I1506" s="6" t="str">
        <f t="shared" si="100"/>
        <v>0</v>
      </c>
    </row>
    <row r="1507" spans="1:11">
      <c r="A1507" t="s">
        <v>1911</v>
      </c>
      <c r="B1507" t="s">
        <v>309</v>
      </c>
      <c r="E1507" t="str">
        <f t="shared" si="102"/>
        <v/>
      </c>
      <c r="G1507" s="5" t="str">
        <f t="shared" si="99"/>
        <v/>
      </c>
      <c r="I1507" s="6" t="str">
        <f t="shared" si="100"/>
        <v>0</v>
      </c>
    </row>
    <row r="1508" spans="1:11">
      <c r="A1508" t="s">
        <v>1912</v>
      </c>
      <c r="B1508" t="s">
        <v>309</v>
      </c>
      <c r="E1508" t="str">
        <f t="shared" si="102"/>
        <v/>
      </c>
      <c r="G1508" s="5" t="str">
        <f t="shared" si="99"/>
        <v/>
      </c>
      <c r="I1508" s="6" t="str">
        <f t="shared" si="100"/>
        <v>0</v>
      </c>
    </row>
    <row r="1509" spans="1:11">
      <c r="A1509" t="s">
        <v>1913</v>
      </c>
      <c r="B1509" t="s">
        <v>5759</v>
      </c>
      <c r="G1509" s="5" t="str">
        <f t="shared" si="99"/>
        <v/>
      </c>
      <c r="I1509" s="6" t="str">
        <f t="shared" si="100"/>
        <v>0</v>
      </c>
      <c r="K1509" s="19" t="s">
        <v>5760</v>
      </c>
    </row>
    <row r="1510" spans="1:11">
      <c r="A1510" t="s">
        <v>1914</v>
      </c>
      <c r="B1510" t="s">
        <v>5761</v>
      </c>
      <c r="G1510" s="5" t="str">
        <f t="shared" si="99"/>
        <v/>
      </c>
      <c r="I1510" s="6" t="str">
        <f t="shared" si="100"/>
        <v>0</v>
      </c>
      <c r="K1510" s="19" t="s">
        <v>5762</v>
      </c>
    </row>
    <row r="1511" spans="1:11">
      <c r="A1511" t="s">
        <v>1915</v>
      </c>
      <c r="B1511" t="s">
        <v>5763</v>
      </c>
      <c r="G1511" s="5" t="str">
        <f t="shared" si="99"/>
        <v/>
      </c>
      <c r="I1511" s="6" t="str">
        <f t="shared" si="100"/>
        <v>0</v>
      </c>
      <c r="K1511" s="19" t="s">
        <v>5764</v>
      </c>
    </row>
    <row r="1512" spans="1:11">
      <c r="A1512" t="s">
        <v>1916</v>
      </c>
      <c r="B1512" t="s">
        <v>5765</v>
      </c>
      <c r="G1512" s="5" t="str">
        <f t="shared" si="99"/>
        <v/>
      </c>
      <c r="I1512" s="6" t="str">
        <f t="shared" si="100"/>
        <v>0</v>
      </c>
      <c r="K1512" s="19" t="s">
        <v>5766</v>
      </c>
    </row>
    <row r="1513" spans="1:11">
      <c r="A1513" t="s">
        <v>1917</v>
      </c>
      <c r="B1513" t="s">
        <v>5767</v>
      </c>
      <c r="G1513" s="5" t="str">
        <f t="shared" si="99"/>
        <v/>
      </c>
      <c r="I1513" s="6" t="str">
        <f t="shared" si="100"/>
        <v>0</v>
      </c>
      <c r="K1513" s="19" t="s">
        <v>5768</v>
      </c>
    </row>
    <row r="1514" spans="1:11">
      <c r="A1514" t="s">
        <v>1918</v>
      </c>
      <c r="B1514" t="s">
        <v>5769</v>
      </c>
      <c r="G1514" s="5" t="str">
        <f t="shared" si="99"/>
        <v/>
      </c>
      <c r="I1514" s="6" t="str">
        <f t="shared" si="100"/>
        <v>0</v>
      </c>
      <c r="K1514" s="19" t="s">
        <v>5770</v>
      </c>
    </row>
    <row r="1515" spans="1:11">
      <c r="A1515" t="s">
        <v>1919</v>
      </c>
      <c r="B1515" t="s">
        <v>5983</v>
      </c>
      <c r="G1515" s="5" t="str">
        <f t="shared" si="99"/>
        <v/>
      </c>
      <c r="I1515" s="6" t="str">
        <f t="shared" si="100"/>
        <v>0</v>
      </c>
      <c r="K1515" s="19" t="s">
        <v>5984</v>
      </c>
    </row>
    <row r="1516" spans="1:11">
      <c r="A1516" t="s">
        <v>1920</v>
      </c>
      <c r="B1516" t="s">
        <v>1921</v>
      </c>
      <c r="C1516" s="5" t="s">
        <v>3114</v>
      </c>
      <c r="D1516" t="s">
        <v>3749</v>
      </c>
      <c r="E1516" t="s">
        <v>3750</v>
      </c>
      <c r="F1516" s="5" t="s">
        <v>3751</v>
      </c>
      <c r="G1516" s="5">
        <f t="shared" si="99"/>
        <v>33002</v>
      </c>
      <c r="H1516" s="5">
        <v>16</v>
      </c>
      <c r="I1516" s="6" t="str">
        <f t="shared" si="100"/>
        <v>10</v>
      </c>
      <c r="K1516" s="19" t="s">
        <v>3752</v>
      </c>
    </row>
    <row r="1517" spans="1:11">
      <c r="A1517" t="s">
        <v>1922</v>
      </c>
      <c r="B1517" t="s">
        <v>5524</v>
      </c>
      <c r="G1517" s="5" t="str">
        <f t="shared" si="99"/>
        <v/>
      </c>
      <c r="I1517" s="6" t="str">
        <f t="shared" si="100"/>
        <v>0</v>
      </c>
      <c r="K1517" s="19" t="s">
        <v>5525</v>
      </c>
    </row>
    <row r="1518" spans="1:11">
      <c r="A1518" t="s">
        <v>1923</v>
      </c>
      <c r="B1518" t="s">
        <v>5771</v>
      </c>
      <c r="G1518" s="5" t="str">
        <f t="shared" si="99"/>
        <v/>
      </c>
      <c r="I1518" s="6" t="str">
        <f t="shared" si="100"/>
        <v>0</v>
      </c>
      <c r="K1518" s="19" t="s">
        <v>5772</v>
      </c>
    </row>
    <row r="1519" spans="1:11">
      <c r="A1519" t="s">
        <v>1924</v>
      </c>
      <c r="B1519" t="s">
        <v>5603</v>
      </c>
      <c r="G1519" s="5" t="str">
        <f t="shared" si="99"/>
        <v/>
      </c>
      <c r="I1519" s="6" t="str">
        <f t="shared" si="100"/>
        <v>0</v>
      </c>
      <c r="K1519" s="19" t="s">
        <v>5604</v>
      </c>
    </row>
    <row r="1520" spans="1:11">
      <c r="A1520" t="s">
        <v>1925</v>
      </c>
      <c r="B1520" t="s">
        <v>5526</v>
      </c>
      <c r="G1520" s="5" t="str">
        <f t="shared" si="99"/>
        <v/>
      </c>
      <c r="I1520" s="6" t="str">
        <f t="shared" si="100"/>
        <v>0</v>
      </c>
      <c r="K1520" s="19" t="s">
        <v>5527</v>
      </c>
    </row>
    <row r="1521" spans="1:11">
      <c r="A1521" t="s">
        <v>1926</v>
      </c>
      <c r="B1521" t="s">
        <v>1926</v>
      </c>
      <c r="E1521" t="str">
        <f t="shared" ref="E1521:E1548" si="103">IF(D1521&lt;&gt;"",C1521&amp;"/"&amp;D1521,"")</f>
        <v/>
      </c>
      <c r="G1521" s="5" t="str">
        <f t="shared" si="99"/>
        <v/>
      </c>
      <c r="I1521" s="6" t="str">
        <f t="shared" si="100"/>
        <v>0</v>
      </c>
    </row>
    <row r="1522" spans="1:11">
      <c r="A1522" t="s">
        <v>1927</v>
      </c>
      <c r="B1522" t="s">
        <v>5773</v>
      </c>
      <c r="G1522" s="5" t="str">
        <f t="shared" si="99"/>
        <v/>
      </c>
      <c r="I1522" s="6" t="str">
        <f t="shared" si="100"/>
        <v>0</v>
      </c>
      <c r="K1522" s="19" t="s">
        <v>5774</v>
      </c>
    </row>
    <row r="1523" spans="1:11">
      <c r="A1523" t="s">
        <v>1928</v>
      </c>
      <c r="B1523" t="s">
        <v>309</v>
      </c>
      <c r="E1523" t="str">
        <f t="shared" si="103"/>
        <v/>
      </c>
      <c r="G1523" s="5" t="str">
        <f t="shared" si="99"/>
        <v/>
      </c>
      <c r="I1523" s="6" t="str">
        <f t="shared" si="100"/>
        <v>0</v>
      </c>
    </row>
    <row r="1524" spans="1:11">
      <c r="A1524" t="s">
        <v>1929</v>
      </c>
      <c r="B1524" t="s">
        <v>5528</v>
      </c>
      <c r="G1524" s="5" t="str">
        <f t="shared" si="99"/>
        <v/>
      </c>
      <c r="I1524" s="6" t="str">
        <f t="shared" si="100"/>
        <v>0</v>
      </c>
      <c r="K1524" s="19" t="s">
        <v>5529</v>
      </c>
    </row>
    <row r="1525" spans="1:11">
      <c r="A1525" t="s">
        <v>1930</v>
      </c>
      <c r="B1525" t="s">
        <v>5530</v>
      </c>
      <c r="G1525" s="5" t="str">
        <f t="shared" si="99"/>
        <v/>
      </c>
      <c r="I1525" s="6" t="str">
        <f t="shared" si="100"/>
        <v>0</v>
      </c>
      <c r="K1525" s="19" t="s">
        <v>5531</v>
      </c>
    </row>
    <row r="1526" spans="1:11">
      <c r="A1526" t="s">
        <v>1931</v>
      </c>
      <c r="B1526" t="s">
        <v>309</v>
      </c>
      <c r="E1526" t="str">
        <f t="shared" si="103"/>
        <v/>
      </c>
      <c r="G1526" s="5" t="str">
        <f t="shared" si="99"/>
        <v/>
      </c>
      <c r="I1526" s="6" t="str">
        <f t="shared" si="100"/>
        <v>0</v>
      </c>
    </row>
    <row r="1527" spans="1:11">
      <c r="A1527" t="s">
        <v>1932</v>
      </c>
      <c r="B1527" t="s">
        <v>309</v>
      </c>
      <c r="E1527" t="str">
        <f t="shared" si="103"/>
        <v/>
      </c>
      <c r="G1527" s="5" t="str">
        <f t="shared" si="99"/>
        <v/>
      </c>
      <c r="I1527" s="6" t="str">
        <f t="shared" si="100"/>
        <v>0</v>
      </c>
    </row>
    <row r="1528" spans="1:11">
      <c r="A1528" t="s">
        <v>1933</v>
      </c>
      <c r="B1528" t="s">
        <v>5985</v>
      </c>
      <c r="G1528" s="5" t="str">
        <f t="shared" si="99"/>
        <v/>
      </c>
      <c r="I1528" s="6" t="str">
        <f t="shared" si="100"/>
        <v>0</v>
      </c>
      <c r="K1528" s="19" t="s">
        <v>5986</v>
      </c>
    </row>
    <row r="1529" spans="1:11">
      <c r="A1529" t="s">
        <v>1934</v>
      </c>
      <c r="B1529" t="s">
        <v>5839</v>
      </c>
      <c r="G1529" s="5" t="str">
        <f t="shared" si="99"/>
        <v/>
      </c>
      <c r="I1529" s="6" t="str">
        <f t="shared" si="100"/>
        <v>0</v>
      </c>
      <c r="K1529" s="19" t="s">
        <v>5840</v>
      </c>
    </row>
    <row r="1530" spans="1:11">
      <c r="A1530" t="s">
        <v>1935</v>
      </c>
      <c r="B1530" t="s">
        <v>5775</v>
      </c>
      <c r="G1530" s="5" t="str">
        <f t="shared" si="99"/>
        <v/>
      </c>
      <c r="I1530" s="6" t="str">
        <f t="shared" si="100"/>
        <v>0</v>
      </c>
      <c r="K1530" s="19" t="s">
        <v>5776</v>
      </c>
    </row>
    <row r="1531" spans="1:11">
      <c r="A1531" t="s">
        <v>1936</v>
      </c>
      <c r="B1531" t="s">
        <v>309</v>
      </c>
      <c r="E1531" t="str">
        <f t="shared" si="103"/>
        <v/>
      </c>
      <c r="G1531" s="5" t="str">
        <f t="shared" si="99"/>
        <v/>
      </c>
      <c r="I1531" s="6" t="str">
        <f t="shared" si="100"/>
        <v>0</v>
      </c>
    </row>
    <row r="1532" spans="1:11">
      <c r="A1532" t="s">
        <v>1937</v>
      </c>
      <c r="B1532" t="s">
        <v>309</v>
      </c>
      <c r="E1532" t="str">
        <f t="shared" si="103"/>
        <v/>
      </c>
      <c r="G1532" s="5" t="str">
        <f t="shared" si="99"/>
        <v/>
      </c>
      <c r="I1532" s="6" t="str">
        <f t="shared" si="100"/>
        <v>0</v>
      </c>
    </row>
    <row r="1533" spans="1:11">
      <c r="A1533" t="s">
        <v>1938</v>
      </c>
      <c r="B1533" t="s">
        <v>309</v>
      </c>
      <c r="E1533" t="str">
        <f t="shared" si="103"/>
        <v/>
      </c>
      <c r="G1533" s="5" t="str">
        <f t="shared" si="99"/>
        <v/>
      </c>
      <c r="I1533" s="6" t="str">
        <f t="shared" si="100"/>
        <v>0</v>
      </c>
    </row>
    <row r="1534" spans="1:11">
      <c r="A1534" t="s">
        <v>1939</v>
      </c>
      <c r="B1534" t="s">
        <v>309</v>
      </c>
      <c r="E1534" t="str">
        <f t="shared" si="103"/>
        <v/>
      </c>
      <c r="G1534" s="5" t="str">
        <f t="shared" si="99"/>
        <v/>
      </c>
      <c r="I1534" s="6" t="str">
        <f t="shared" si="100"/>
        <v>0</v>
      </c>
    </row>
    <row r="1535" spans="1:11">
      <c r="A1535" t="s">
        <v>1940</v>
      </c>
      <c r="B1535" t="s">
        <v>309</v>
      </c>
      <c r="E1535" t="str">
        <f t="shared" si="103"/>
        <v/>
      </c>
      <c r="G1535" s="5" t="str">
        <f t="shared" si="99"/>
        <v/>
      </c>
      <c r="I1535" s="6" t="str">
        <f t="shared" si="100"/>
        <v>0</v>
      </c>
    </row>
    <row r="1536" spans="1:11">
      <c r="A1536" t="s">
        <v>1941</v>
      </c>
      <c r="B1536" t="s">
        <v>5532</v>
      </c>
      <c r="G1536" s="5" t="str">
        <f t="shared" si="99"/>
        <v/>
      </c>
      <c r="I1536" s="6" t="str">
        <f t="shared" si="100"/>
        <v>0</v>
      </c>
      <c r="K1536" s="19" t="s">
        <v>5533</v>
      </c>
    </row>
    <row r="1537" spans="1:11">
      <c r="A1537" t="s">
        <v>1942</v>
      </c>
      <c r="B1537" t="s">
        <v>309</v>
      </c>
      <c r="E1537" t="str">
        <f t="shared" si="103"/>
        <v/>
      </c>
      <c r="G1537" s="5" t="str">
        <f t="shared" si="99"/>
        <v/>
      </c>
      <c r="I1537" s="6" t="str">
        <f t="shared" si="100"/>
        <v>0</v>
      </c>
    </row>
    <row r="1538" spans="1:11">
      <c r="A1538" t="s">
        <v>1943</v>
      </c>
      <c r="B1538" t="s">
        <v>5841</v>
      </c>
      <c r="G1538" s="5" t="str">
        <f t="shared" ref="G1538:G1601" si="104">IF(F1538&lt;&gt;"",HEX2DEC(SUBSTITUTE(SUBSTITUTE(F1538,"adrEA",""),"$","")),"")</f>
        <v/>
      </c>
      <c r="I1538" s="6" t="str">
        <f t="shared" ref="I1538:I1601" si="105">IFERROR(DEC2HEX(H1538),"")</f>
        <v>0</v>
      </c>
      <c r="K1538" s="19" t="s">
        <v>5842</v>
      </c>
    </row>
    <row r="1539" spans="1:11">
      <c r="A1539" t="s">
        <v>1944</v>
      </c>
      <c r="B1539" t="s">
        <v>309</v>
      </c>
      <c r="E1539" t="str">
        <f t="shared" si="103"/>
        <v/>
      </c>
      <c r="G1539" s="5" t="str">
        <f t="shared" si="104"/>
        <v/>
      </c>
      <c r="I1539" s="6" t="str">
        <f t="shared" si="105"/>
        <v>0</v>
      </c>
    </row>
    <row r="1540" spans="1:11">
      <c r="A1540" t="s">
        <v>1945</v>
      </c>
      <c r="B1540" t="s">
        <v>5863</v>
      </c>
      <c r="G1540" s="5" t="str">
        <f t="shared" si="104"/>
        <v/>
      </c>
      <c r="I1540" s="6" t="str">
        <f t="shared" si="105"/>
        <v>0</v>
      </c>
      <c r="K1540" s="19" t="s">
        <v>5864</v>
      </c>
    </row>
    <row r="1541" spans="1:11">
      <c r="A1541" t="s">
        <v>1946</v>
      </c>
      <c r="B1541" t="s">
        <v>309</v>
      </c>
      <c r="E1541" t="str">
        <f t="shared" si="103"/>
        <v/>
      </c>
      <c r="G1541" s="5" t="str">
        <f t="shared" si="104"/>
        <v/>
      </c>
      <c r="I1541" s="6" t="str">
        <f t="shared" si="105"/>
        <v>0</v>
      </c>
    </row>
    <row r="1542" spans="1:11">
      <c r="A1542" t="s">
        <v>1947</v>
      </c>
      <c r="B1542" t="s">
        <v>5843</v>
      </c>
      <c r="G1542" s="5" t="str">
        <f t="shared" si="104"/>
        <v/>
      </c>
      <c r="I1542" s="6" t="str">
        <f t="shared" si="105"/>
        <v>0</v>
      </c>
      <c r="K1542" s="19" t="s">
        <v>5844</v>
      </c>
    </row>
    <row r="1543" spans="1:11">
      <c r="A1543" t="s">
        <v>1948</v>
      </c>
      <c r="B1543" t="s">
        <v>309</v>
      </c>
      <c r="E1543" t="str">
        <f t="shared" si="103"/>
        <v/>
      </c>
      <c r="G1543" s="5" t="str">
        <f t="shared" si="104"/>
        <v/>
      </c>
      <c r="I1543" s="6" t="str">
        <f t="shared" si="105"/>
        <v>0</v>
      </c>
    </row>
    <row r="1544" spans="1:11">
      <c r="A1544" t="s">
        <v>1949</v>
      </c>
      <c r="B1544" t="s">
        <v>5605</v>
      </c>
      <c r="G1544" s="5" t="str">
        <f t="shared" si="104"/>
        <v/>
      </c>
      <c r="I1544" s="6" t="str">
        <f t="shared" si="105"/>
        <v>0</v>
      </c>
      <c r="K1544" s="19" t="s">
        <v>5606</v>
      </c>
    </row>
    <row r="1545" spans="1:11">
      <c r="A1545" t="s">
        <v>1950</v>
      </c>
      <c r="B1545" t="s">
        <v>309</v>
      </c>
      <c r="E1545" t="str">
        <f t="shared" si="103"/>
        <v/>
      </c>
      <c r="G1545" s="5" t="str">
        <f t="shared" si="104"/>
        <v/>
      </c>
      <c r="I1545" s="6" t="str">
        <f t="shared" si="105"/>
        <v>0</v>
      </c>
    </row>
    <row r="1546" spans="1:11">
      <c r="A1546" t="s">
        <v>1951</v>
      </c>
      <c r="B1546" t="s">
        <v>309</v>
      </c>
      <c r="E1546" t="str">
        <f t="shared" si="103"/>
        <v/>
      </c>
      <c r="G1546" s="5" t="str">
        <f t="shared" si="104"/>
        <v/>
      </c>
      <c r="I1546" s="6" t="str">
        <f t="shared" si="105"/>
        <v>0</v>
      </c>
    </row>
    <row r="1547" spans="1:11">
      <c r="A1547" t="s">
        <v>1952</v>
      </c>
      <c r="B1547" t="s">
        <v>5777</v>
      </c>
      <c r="G1547" s="5" t="str">
        <f t="shared" si="104"/>
        <v/>
      </c>
      <c r="I1547" s="6" t="str">
        <f t="shared" si="105"/>
        <v>0</v>
      </c>
      <c r="K1547" s="19" t="s">
        <v>5778</v>
      </c>
    </row>
    <row r="1548" spans="1:11">
      <c r="A1548" t="s">
        <v>1953</v>
      </c>
      <c r="B1548" t="s">
        <v>309</v>
      </c>
      <c r="E1548" t="str">
        <f t="shared" si="103"/>
        <v/>
      </c>
      <c r="G1548" s="5" t="str">
        <f t="shared" si="104"/>
        <v/>
      </c>
      <c r="I1548" s="6" t="str">
        <f t="shared" si="105"/>
        <v>0</v>
      </c>
    </row>
    <row r="1549" spans="1:11">
      <c r="A1549" t="s">
        <v>1954</v>
      </c>
      <c r="B1549" t="s">
        <v>309</v>
      </c>
      <c r="E1549" t="str">
        <f t="shared" ref="E1549:E1567" si="106">IF(D1549&lt;&gt;"",C1549&amp;"/"&amp;D1549,"")</f>
        <v/>
      </c>
      <c r="G1549" s="5" t="str">
        <f t="shared" si="104"/>
        <v/>
      </c>
      <c r="I1549" s="6" t="str">
        <f t="shared" si="105"/>
        <v>0</v>
      </c>
    </row>
    <row r="1550" spans="1:11">
      <c r="A1550" t="s">
        <v>1955</v>
      </c>
      <c r="B1550" t="s">
        <v>5779</v>
      </c>
      <c r="G1550" s="5" t="str">
        <f t="shared" si="104"/>
        <v/>
      </c>
      <c r="I1550" s="6" t="str">
        <f t="shared" si="105"/>
        <v>0</v>
      </c>
      <c r="K1550" s="19" t="s">
        <v>5780</v>
      </c>
    </row>
    <row r="1551" spans="1:11">
      <c r="A1551" t="s">
        <v>1956</v>
      </c>
      <c r="B1551" t="s">
        <v>309</v>
      </c>
      <c r="E1551" t="str">
        <f t="shared" si="106"/>
        <v/>
      </c>
      <c r="G1551" s="5" t="str">
        <f t="shared" si="104"/>
        <v/>
      </c>
      <c r="I1551" s="6" t="str">
        <f t="shared" si="105"/>
        <v>0</v>
      </c>
    </row>
    <row r="1552" spans="1:11">
      <c r="A1552" t="s">
        <v>1957</v>
      </c>
      <c r="B1552" t="s">
        <v>309</v>
      </c>
      <c r="E1552" t="str">
        <f t="shared" si="106"/>
        <v/>
      </c>
      <c r="G1552" s="5" t="str">
        <f t="shared" si="104"/>
        <v/>
      </c>
      <c r="I1552" s="6" t="str">
        <f t="shared" si="105"/>
        <v>0</v>
      </c>
    </row>
    <row r="1553" spans="1:11">
      <c r="A1553" t="s">
        <v>1958</v>
      </c>
      <c r="B1553" t="s">
        <v>309</v>
      </c>
      <c r="E1553" t="str">
        <f t="shared" si="106"/>
        <v/>
      </c>
      <c r="G1553" s="5" t="str">
        <f t="shared" si="104"/>
        <v/>
      </c>
      <c r="I1553" s="6" t="str">
        <f t="shared" si="105"/>
        <v>0</v>
      </c>
    </row>
    <row r="1554" spans="1:11">
      <c r="A1554" t="s">
        <v>1959</v>
      </c>
      <c r="B1554" t="s">
        <v>309</v>
      </c>
      <c r="E1554" t="str">
        <f t="shared" si="106"/>
        <v/>
      </c>
      <c r="G1554" s="5" t="str">
        <f t="shared" si="104"/>
        <v/>
      </c>
      <c r="I1554" s="6" t="str">
        <f t="shared" si="105"/>
        <v>0</v>
      </c>
    </row>
    <row r="1555" spans="1:11">
      <c r="A1555" t="s">
        <v>1960</v>
      </c>
      <c r="B1555" t="s">
        <v>309</v>
      </c>
      <c r="E1555" t="str">
        <f t="shared" si="106"/>
        <v/>
      </c>
      <c r="G1555" s="5" t="str">
        <f t="shared" si="104"/>
        <v/>
      </c>
      <c r="I1555" s="6" t="str">
        <f t="shared" si="105"/>
        <v>0</v>
      </c>
    </row>
    <row r="1556" spans="1:11">
      <c r="A1556" t="s">
        <v>1961</v>
      </c>
      <c r="B1556" t="s">
        <v>309</v>
      </c>
      <c r="E1556" t="str">
        <f t="shared" si="106"/>
        <v/>
      </c>
      <c r="G1556" s="5" t="str">
        <f t="shared" si="104"/>
        <v/>
      </c>
      <c r="I1556" s="6" t="str">
        <f t="shared" si="105"/>
        <v>0</v>
      </c>
    </row>
    <row r="1557" spans="1:11">
      <c r="A1557" t="s">
        <v>1962</v>
      </c>
      <c r="B1557" t="s">
        <v>309</v>
      </c>
      <c r="E1557" t="str">
        <f t="shared" si="106"/>
        <v/>
      </c>
      <c r="G1557" s="5" t="str">
        <f t="shared" si="104"/>
        <v/>
      </c>
      <c r="I1557" s="6" t="str">
        <f t="shared" si="105"/>
        <v>0</v>
      </c>
    </row>
    <row r="1558" spans="1:11">
      <c r="A1558" t="s">
        <v>1963</v>
      </c>
      <c r="B1558" t="s">
        <v>5781</v>
      </c>
      <c r="G1558" s="5" t="str">
        <f t="shared" si="104"/>
        <v/>
      </c>
      <c r="I1558" s="6" t="str">
        <f t="shared" si="105"/>
        <v>0</v>
      </c>
      <c r="K1558" s="19" t="s">
        <v>5782</v>
      </c>
    </row>
    <row r="1559" spans="1:11">
      <c r="A1559" t="s">
        <v>1964</v>
      </c>
      <c r="B1559" t="s">
        <v>309</v>
      </c>
      <c r="E1559" t="str">
        <f t="shared" si="106"/>
        <v/>
      </c>
      <c r="G1559" s="5" t="str">
        <f t="shared" si="104"/>
        <v/>
      </c>
      <c r="I1559" s="6" t="str">
        <f t="shared" si="105"/>
        <v>0</v>
      </c>
    </row>
    <row r="1560" spans="1:11">
      <c r="A1560" t="s">
        <v>1965</v>
      </c>
      <c r="B1560" t="s">
        <v>5534</v>
      </c>
      <c r="G1560" s="5" t="str">
        <f t="shared" si="104"/>
        <v/>
      </c>
      <c r="I1560" s="6" t="str">
        <f t="shared" si="105"/>
        <v>0</v>
      </c>
      <c r="K1560" s="19" t="s">
        <v>5535</v>
      </c>
    </row>
    <row r="1561" spans="1:11">
      <c r="A1561" t="s">
        <v>1966</v>
      </c>
      <c r="B1561" t="s">
        <v>309</v>
      </c>
      <c r="E1561" t="str">
        <f t="shared" si="106"/>
        <v/>
      </c>
      <c r="G1561" s="5" t="str">
        <f t="shared" si="104"/>
        <v/>
      </c>
      <c r="I1561" s="6" t="str">
        <f t="shared" si="105"/>
        <v>0</v>
      </c>
    </row>
    <row r="1562" spans="1:11">
      <c r="A1562" t="s">
        <v>1967</v>
      </c>
      <c r="B1562" t="s">
        <v>5536</v>
      </c>
      <c r="G1562" s="5" t="str">
        <f t="shared" si="104"/>
        <v/>
      </c>
      <c r="I1562" s="6" t="str">
        <f t="shared" si="105"/>
        <v>0</v>
      </c>
      <c r="K1562" s="19" t="s">
        <v>5537</v>
      </c>
    </row>
    <row r="1563" spans="1:11">
      <c r="A1563" t="s">
        <v>1968</v>
      </c>
      <c r="B1563" t="s">
        <v>5845</v>
      </c>
      <c r="G1563" s="5" t="str">
        <f t="shared" si="104"/>
        <v/>
      </c>
      <c r="I1563" s="6" t="str">
        <f t="shared" si="105"/>
        <v>0</v>
      </c>
      <c r="K1563" s="19" t="s">
        <v>5846</v>
      </c>
    </row>
    <row r="1564" spans="1:11">
      <c r="A1564" t="s">
        <v>1969</v>
      </c>
      <c r="B1564" t="s">
        <v>309</v>
      </c>
      <c r="E1564" t="str">
        <f t="shared" si="106"/>
        <v/>
      </c>
      <c r="G1564" s="5" t="str">
        <f t="shared" si="104"/>
        <v/>
      </c>
      <c r="I1564" s="6" t="str">
        <f t="shared" si="105"/>
        <v>0</v>
      </c>
    </row>
    <row r="1565" spans="1:11">
      <c r="A1565" t="s">
        <v>1970</v>
      </c>
      <c r="B1565" t="s">
        <v>309</v>
      </c>
      <c r="E1565" t="str">
        <f t="shared" si="106"/>
        <v/>
      </c>
      <c r="G1565" s="5" t="str">
        <f t="shared" si="104"/>
        <v/>
      </c>
      <c r="I1565" s="6" t="str">
        <f t="shared" si="105"/>
        <v>0</v>
      </c>
    </row>
    <row r="1566" spans="1:11">
      <c r="A1566" t="s">
        <v>1971</v>
      </c>
      <c r="B1566" t="s">
        <v>5987</v>
      </c>
      <c r="G1566" s="5" t="str">
        <f t="shared" si="104"/>
        <v/>
      </c>
      <c r="I1566" s="6" t="str">
        <f t="shared" si="105"/>
        <v>0</v>
      </c>
      <c r="K1566" s="19" t="s">
        <v>5988</v>
      </c>
    </row>
    <row r="1567" spans="1:11">
      <c r="A1567" t="s">
        <v>1972</v>
      </c>
      <c r="B1567" t="s">
        <v>309</v>
      </c>
      <c r="E1567" t="str">
        <f t="shared" si="106"/>
        <v/>
      </c>
      <c r="G1567" s="5" t="str">
        <f t="shared" si="104"/>
        <v/>
      </c>
      <c r="I1567" s="6" t="str">
        <f t="shared" si="105"/>
        <v>0</v>
      </c>
    </row>
    <row r="1568" spans="1:11">
      <c r="A1568" t="s">
        <v>1973</v>
      </c>
      <c r="B1568" t="s">
        <v>1973</v>
      </c>
      <c r="C1568" s="5" t="s">
        <v>4681</v>
      </c>
      <c r="G1568" s="5" t="str">
        <f t="shared" si="104"/>
        <v/>
      </c>
      <c r="I1568" s="6" t="str">
        <f t="shared" si="105"/>
        <v>0</v>
      </c>
      <c r="K1568" s="24" t="s">
        <v>4682</v>
      </c>
    </row>
    <row r="1569" spans="1:11">
      <c r="A1569" t="s">
        <v>1974</v>
      </c>
      <c r="B1569" t="s">
        <v>1975</v>
      </c>
      <c r="E1569" t="str">
        <f>IF(D1569&lt;&gt;"",C1569&amp;"/"&amp;D1569,"")</f>
        <v/>
      </c>
      <c r="G1569" s="5" t="str">
        <f t="shared" si="104"/>
        <v/>
      </c>
      <c r="I1569" s="6" t="str">
        <f t="shared" si="105"/>
        <v>0</v>
      </c>
    </row>
    <row r="1570" spans="1:11">
      <c r="A1570" t="s">
        <v>1976</v>
      </c>
      <c r="B1570" t="s">
        <v>1977</v>
      </c>
      <c r="E1570" t="str">
        <f>IF(D1570&lt;&gt;"",C1570&amp;"/"&amp;D1570,"")</f>
        <v/>
      </c>
      <c r="G1570" s="5" t="str">
        <f t="shared" si="104"/>
        <v/>
      </c>
      <c r="I1570" s="6" t="str">
        <f t="shared" si="105"/>
        <v>0</v>
      </c>
    </row>
    <row r="1571" spans="1:11">
      <c r="A1571" t="s">
        <v>1978</v>
      </c>
      <c r="B1571" t="s">
        <v>1979</v>
      </c>
      <c r="C1571" s="5" t="s">
        <v>4683</v>
      </c>
      <c r="G1571" s="5" t="str">
        <f t="shared" si="104"/>
        <v/>
      </c>
      <c r="I1571" s="6" t="str">
        <f t="shared" si="105"/>
        <v>0</v>
      </c>
      <c r="K1571" s="24" t="s">
        <v>4684</v>
      </c>
    </row>
    <row r="1572" spans="1:11">
      <c r="A1572" t="s">
        <v>1980</v>
      </c>
      <c r="B1572" t="s">
        <v>3084</v>
      </c>
      <c r="E1572" t="str">
        <f t="shared" ref="E1572:E1601" si="107">IF(D1572&lt;&gt;"",C1572&amp;"/"&amp;D1572,"")</f>
        <v/>
      </c>
      <c r="G1572" s="5" t="str">
        <f t="shared" si="104"/>
        <v/>
      </c>
      <c r="I1572" s="6" t="str">
        <f t="shared" si="105"/>
        <v>0</v>
      </c>
    </row>
    <row r="1573" spans="1:11">
      <c r="A1573" t="s">
        <v>1981</v>
      </c>
      <c r="B1573" t="s">
        <v>5989</v>
      </c>
      <c r="G1573" s="5" t="str">
        <f t="shared" si="104"/>
        <v/>
      </c>
      <c r="I1573" s="6" t="str">
        <f t="shared" si="105"/>
        <v>0</v>
      </c>
      <c r="K1573" s="19" t="s">
        <v>5990</v>
      </c>
    </row>
    <row r="1574" spans="1:11">
      <c r="A1574" t="s">
        <v>1982</v>
      </c>
      <c r="B1574" t="s">
        <v>1983</v>
      </c>
      <c r="E1574" t="str">
        <f t="shared" si="107"/>
        <v/>
      </c>
      <c r="G1574" s="5" t="str">
        <f t="shared" si="104"/>
        <v/>
      </c>
      <c r="I1574" s="6" t="str">
        <f t="shared" si="105"/>
        <v>0</v>
      </c>
    </row>
    <row r="1575" spans="1:11">
      <c r="A1575" t="s">
        <v>1984</v>
      </c>
      <c r="B1575" t="s">
        <v>309</v>
      </c>
      <c r="E1575" t="str">
        <f t="shared" si="107"/>
        <v/>
      </c>
      <c r="G1575" s="5" t="str">
        <f t="shared" si="104"/>
        <v/>
      </c>
      <c r="I1575" s="6" t="str">
        <f t="shared" si="105"/>
        <v>0</v>
      </c>
    </row>
    <row r="1576" spans="1:11">
      <c r="A1576" t="s">
        <v>1985</v>
      </c>
      <c r="B1576" t="s">
        <v>309</v>
      </c>
      <c r="E1576" t="str">
        <f t="shared" si="107"/>
        <v/>
      </c>
      <c r="G1576" s="5" t="str">
        <f t="shared" si="104"/>
        <v/>
      </c>
      <c r="I1576" s="6" t="str">
        <f t="shared" si="105"/>
        <v>0</v>
      </c>
    </row>
    <row r="1577" spans="1:11">
      <c r="A1577" t="s">
        <v>1986</v>
      </c>
      <c r="B1577" t="s">
        <v>309</v>
      </c>
      <c r="E1577" t="str">
        <f t="shared" si="107"/>
        <v/>
      </c>
      <c r="G1577" s="5" t="str">
        <f t="shared" si="104"/>
        <v/>
      </c>
      <c r="I1577" s="6" t="str">
        <f t="shared" si="105"/>
        <v>0</v>
      </c>
    </row>
    <row r="1578" spans="1:11">
      <c r="A1578" t="s">
        <v>1987</v>
      </c>
      <c r="B1578" t="s">
        <v>309</v>
      </c>
      <c r="E1578" t="str">
        <f t="shared" si="107"/>
        <v/>
      </c>
      <c r="G1578" s="5" t="str">
        <f t="shared" si="104"/>
        <v/>
      </c>
      <c r="I1578" s="6" t="str">
        <f t="shared" si="105"/>
        <v>0</v>
      </c>
    </row>
    <row r="1579" spans="1:11">
      <c r="A1579" t="s">
        <v>1988</v>
      </c>
      <c r="B1579" t="s">
        <v>309</v>
      </c>
      <c r="E1579" t="str">
        <f t="shared" si="107"/>
        <v/>
      </c>
      <c r="G1579" s="5" t="str">
        <f t="shared" si="104"/>
        <v/>
      </c>
      <c r="I1579" s="6" t="str">
        <f t="shared" si="105"/>
        <v>0</v>
      </c>
    </row>
    <row r="1580" spans="1:11">
      <c r="A1580" t="s">
        <v>1989</v>
      </c>
      <c r="B1580" t="s">
        <v>309</v>
      </c>
      <c r="E1580" t="str">
        <f t="shared" si="107"/>
        <v/>
      </c>
      <c r="G1580" s="5" t="str">
        <f t="shared" si="104"/>
        <v/>
      </c>
      <c r="I1580" s="6" t="str">
        <f t="shared" si="105"/>
        <v>0</v>
      </c>
    </row>
    <row r="1581" spans="1:11">
      <c r="A1581" t="s">
        <v>1990</v>
      </c>
      <c r="B1581" t="s">
        <v>309</v>
      </c>
      <c r="E1581" t="str">
        <f t="shared" si="107"/>
        <v/>
      </c>
      <c r="G1581" s="5" t="str">
        <f t="shared" si="104"/>
        <v/>
      </c>
      <c r="I1581" s="6" t="str">
        <f t="shared" si="105"/>
        <v>0</v>
      </c>
    </row>
    <row r="1582" spans="1:11">
      <c r="A1582" t="s">
        <v>1991</v>
      </c>
      <c r="B1582" t="s">
        <v>5783</v>
      </c>
      <c r="G1582" s="5" t="str">
        <f t="shared" si="104"/>
        <v/>
      </c>
      <c r="I1582" s="6" t="str">
        <f t="shared" si="105"/>
        <v>0</v>
      </c>
      <c r="K1582" s="19" t="s">
        <v>5784</v>
      </c>
    </row>
    <row r="1583" spans="1:11">
      <c r="A1583" t="s">
        <v>1992</v>
      </c>
      <c r="B1583" t="s">
        <v>309</v>
      </c>
      <c r="E1583" t="str">
        <f t="shared" si="107"/>
        <v/>
      </c>
      <c r="G1583" s="5" t="str">
        <f t="shared" si="104"/>
        <v/>
      </c>
      <c r="I1583" s="6" t="str">
        <f t="shared" si="105"/>
        <v>0</v>
      </c>
    </row>
    <row r="1584" spans="1:11">
      <c r="A1584" t="s">
        <v>1993</v>
      </c>
      <c r="B1584" t="s">
        <v>309</v>
      </c>
      <c r="E1584" t="str">
        <f t="shared" si="107"/>
        <v/>
      </c>
      <c r="G1584" s="5" t="str">
        <f t="shared" si="104"/>
        <v/>
      </c>
      <c r="I1584" s="6" t="str">
        <f t="shared" si="105"/>
        <v>0</v>
      </c>
    </row>
    <row r="1585" spans="1:11">
      <c r="A1585" t="s">
        <v>1994</v>
      </c>
      <c r="B1585" t="s">
        <v>309</v>
      </c>
      <c r="E1585" t="str">
        <f t="shared" si="107"/>
        <v/>
      </c>
      <c r="G1585" s="5" t="str">
        <f t="shared" si="104"/>
        <v/>
      </c>
      <c r="I1585" s="6" t="str">
        <f t="shared" si="105"/>
        <v>0</v>
      </c>
    </row>
    <row r="1586" spans="1:11">
      <c r="A1586" t="s">
        <v>1995</v>
      </c>
      <c r="B1586" t="s">
        <v>1996</v>
      </c>
      <c r="E1586" t="str">
        <f t="shared" si="107"/>
        <v/>
      </c>
      <c r="G1586" s="5" t="str">
        <f t="shared" si="104"/>
        <v/>
      </c>
      <c r="I1586" s="6" t="str">
        <f t="shared" si="105"/>
        <v>0</v>
      </c>
    </row>
    <row r="1587" spans="1:11">
      <c r="A1587" t="s">
        <v>1997</v>
      </c>
      <c r="B1587" t="s">
        <v>5607</v>
      </c>
      <c r="G1587" s="5" t="str">
        <f t="shared" si="104"/>
        <v/>
      </c>
      <c r="I1587" s="6" t="str">
        <f t="shared" si="105"/>
        <v>0</v>
      </c>
      <c r="K1587" s="19" t="s">
        <v>5608</v>
      </c>
    </row>
    <row r="1588" spans="1:11">
      <c r="A1588" t="s">
        <v>1998</v>
      </c>
      <c r="B1588" t="s">
        <v>5785</v>
      </c>
      <c r="G1588" s="5" t="str">
        <f t="shared" si="104"/>
        <v/>
      </c>
      <c r="I1588" s="6" t="str">
        <f t="shared" si="105"/>
        <v>0</v>
      </c>
      <c r="K1588" s="19" t="s">
        <v>5786</v>
      </c>
    </row>
    <row r="1589" spans="1:11">
      <c r="A1589" t="s">
        <v>1999</v>
      </c>
      <c r="B1589" t="s">
        <v>309</v>
      </c>
      <c r="E1589" t="str">
        <f t="shared" si="107"/>
        <v/>
      </c>
      <c r="G1589" s="5" t="str">
        <f t="shared" si="104"/>
        <v/>
      </c>
      <c r="I1589" s="6" t="str">
        <f t="shared" si="105"/>
        <v>0</v>
      </c>
    </row>
    <row r="1590" spans="1:11">
      <c r="A1590" t="s">
        <v>2000</v>
      </c>
      <c r="B1590" t="s">
        <v>309</v>
      </c>
      <c r="E1590" t="str">
        <f t="shared" si="107"/>
        <v/>
      </c>
      <c r="G1590" s="5" t="str">
        <f t="shared" si="104"/>
        <v/>
      </c>
      <c r="I1590" s="6" t="str">
        <f t="shared" si="105"/>
        <v>0</v>
      </c>
    </row>
    <row r="1591" spans="1:11">
      <c r="A1591" t="s">
        <v>2001</v>
      </c>
      <c r="B1591" t="s">
        <v>309</v>
      </c>
      <c r="E1591" t="str">
        <f t="shared" si="107"/>
        <v/>
      </c>
      <c r="G1591" s="5" t="str">
        <f t="shared" si="104"/>
        <v/>
      </c>
      <c r="I1591" s="6" t="str">
        <f t="shared" si="105"/>
        <v>0</v>
      </c>
    </row>
    <row r="1592" spans="1:11">
      <c r="A1592" t="s">
        <v>2002</v>
      </c>
      <c r="B1592" t="s">
        <v>309</v>
      </c>
      <c r="E1592" t="str">
        <f t="shared" si="107"/>
        <v/>
      </c>
      <c r="G1592" s="5" t="str">
        <f t="shared" si="104"/>
        <v/>
      </c>
      <c r="I1592" s="6" t="str">
        <f t="shared" si="105"/>
        <v>0</v>
      </c>
    </row>
    <row r="1593" spans="1:11">
      <c r="A1593" t="s">
        <v>2003</v>
      </c>
      <c r="B1593" t="s">
        <v>309</v>
      </c>
      <c r="E1593" t="str">
        <f t="shared" si="107"/>
        <v/>
      </c>
      <c r="G1593" s="5" t="str">
        <f t="shared" si="104"/>
        <v/>
      </c>
      <c r="I1593" s="6" t="str">
        <f t="shared" si="105"/>
        <v>0</v>
      </c>
    </row>
    <row r="1594" spans="1:11">
      <c r="A1594" t="s">
        <v>2004</v>
      </c>
      <c r="B1594" t="s">
        <v>5787</v>
      </c>
      <c r="G1594" s="5" t="str">
        <f t="shared" si="104"/>
        <v/>
      </c>
      <c r="I1594" s="6" t="str">
        <f t="shared" si="105"/>
        <v>0</v>
      </c>
      <c r="K1594" s="19" t="s">
        <v>5788</v>
      </c>
    </row>
    <row r="1595" spans="1:11">
      <c r="A1595" t="s">
        <v>2005</v>
      </c>
      <c r="B1595" t="s">
        <v>5991</v>
      </c>
      <c r="G1595" s="5" t="str">
        <f t="shared" si="104"/>
        <v/>
      </c>
      <c r="I1595" s="6" t="str">
        <f t="shared" si="105"/>
        <v>0</v>
      </c>
      <c r="K1595" s="19" t="s">
        <v>5992</v>
      </c>
    </row>
    <row r="1596" spans="1:11">
      <c r="A1596" t="s">
        <v>2006</v>
      </c>
      <c r="B1596" t="s">
        <v>5993</v>
      </c>
      <c r="G1596" s="5" t="str">
        <f t="shared" si="104"/>
        <v/>
      </c>
      <c r="I1596" s="6" t="str">
        <f t="shared" si="105"/>
        <v>0</v>
      </c>
      <c r="K1596" s="19" t="s">
        <v>5994</v>
      </c>
    </row>
    <row r="1597" spans="1:11">
      <c r="A1597" t="s">
        <v>2007</v>
      </c>
      <c r="B1597" t="s">
        <v>2008</v>
      </c>
      <c r="E1597" t="str">
        <f t="shared" si="107"/>
        <v/>
      </c>
      <c r="G1597" s="5" t="str">
        <f t="shared" si="104"/>
        <v/>
      </c>
      <c r="I1597" s="6" t="str">
        <f t="shared" si="105"/>
        <v>0</v>
      </c>
    </row>
    <row r="1598" spans="1:11">
      <c r="A1598" t="s">
        <v>2009</v>
      </c>
      <c r="B1598" t="s">
        <v>309</v>
      </c>
      <c r="E1598" t="str">
        <f t="shared" si="107"/>
        <v/>
      </c>
      <c r="G1598" s="5" t="str">
        <f t="shared" si="104"/>
        <v/>
      </c>
      <c r="I1598" s="6" t="str">
        <f t="shared" si="105"/>
        <v>0</v>
      </c>
    </row>
    <row r="1599" spans="1:11">
      <c r="A1599" t="s">
        <v>2010</v>
      </c>
      <c r="B1599" t="s">
        <v>309</v>
      </c>
      <c r="E1599" t="str">
        <f t="shared" si="107"/>
        <v/>
      </c>
      <c r="G1599" s="5" t="str">
        <f t="shared" si="104"/>
        <v/>
      </c>
      <c r="I1599" s="6" t="str">
        <f t="shared" si="105"/>
        <v>0</v>
      </c>
    </row>
    <row r="1600" spans="1:11">
      <c r="A1600" t="s">
        <v>2011</v>
      </c>
      <c r="B1600" t="s">
        <v>309</v>
      </c>
      <c r="E1600" t="str">
        <f t="shared" si="107"/>
        <v/>
      </c>
      <c r="G1600" s="5" t="str">
        <f t="shared" si="104"/>
        <v/>
      </c>
      <c r="I1600" s="6" t="str">
        <f t="shared" si="105"/>
        <v>0</v>
      </c>
    </row>
    <row r="1601" spans="1:11">
      <c r="A1601" t="s">
        <v>2012</v>
      </c>
      <c r="B1601" t="s">
        <v>309</v>
      </c>
      <c r="E1601" t="str">
        <f t="shared" si="107"/>
        <v/>
      </c>
      <c r="G1601" s="5" t="str">
        <f t="shared" si="104"/>
        <v/>
      </c>
      <c r="I1601" s="6" t="str">
        <f t="shared" si="105"/>
        <v>0</v>
      </c>
    </row>
    <row r="1602" spans="1:11">
      <c r="A1602" t="s">
        <v>2013</v>
      </c>
      <c r="B1602" t="s">
        <v>5019</v>
      </c>
      <c r="C1602" s="5" t="s">
        <v>7</v>
      </c>
      <c r="F1602" s="5" t="s">
        <v>4994</v>
      </c>
      <c r="G1602" s="5">
        <f t="shared" ref="G1602:G1665" si="108">IF(F1602&lt;&gt;"",HEX2DEC(SUBSTITUTE(SUBSTITUTE(F1602,"adrEA",""),"$","")),"")</f>
        <v>34798</v>
      </c>
      <c r="I1602" s="6" t="str">
        <f t="shared" ref="I1602:I1665" si="109">IFERROR(DEC2HEX(H1602),"")</f>
        <v>0</v>
      </c>
      <c r="K1602" s="19" t="s">
        <v>5020</v>
      </c>
    </row>
    <row r="1603" spans="1:11">
      <c r="A1603" t="s">
        <v>2014</v>
      </c>
      <c r="B1603" t="s">
        <v>309</v>
      </c>
      <c r="E1603" t="str">
        <f t="shared" ref="E1603:E1607" si="110">IF(D1603&lt;&gt;"",C1603&amp;"/"&amp;D1603,"")</f>
        <v/>
      </c>
      <c r="G1603" s="5" t="str">
        <f t="shared" si="108"/>
        <v/>
      </c>
      <c r="I1603" s="6" t="str">
        <f t="shared" si="109"/>
        <v>0</v>
      </c>
    </row>
    <row r="1604" spans="1:11">
      <c r="A1604" t="s">
        <v>2015</v>
      </c>
      <c r="B1604" t="s">
        <v>309</v>
      </c>
      <c r="E1604" t="str">
        <f t="shared" si="110"/>
        <v/>
      </c>
      <c r="G1604" s="5" t="str">
        <f t="shared" si="108"/>
        <v/>
      </c>
      <c r="I1604" s="6" t="str">
        <f t="shared" si="109"/>
        <v>0</v>
      </c>
    </row>
    <row r="1605" spans="1:11">
      <c r="A1605" t="s">
        <v>2016</v>
      </c>
      <c r="B1605" t="s">
        <v>309</v>
      </c>
      <c r="E1605" t="str">
        <f t="shared" si="110"/>
        <v/>
      </c>
      <c r="G1605" s="5" t="str">
        <f t="shared" si="108"/>
        <v/>
      </c>
      <c r="I1605" s="6" t="str">
        <f t="shared" si="109"/>
        <v>0</v>
      </c>
    </row>
    <row r="1606" spans="1:11">
      <c r="A1606" t="s">
        <v>2017</v>
      </c>
      <c r="B1606" t="s">
        <v>309</v>
      </c>
      <c r="E1606" t="str">
        <f t="shared" si="110"/>
        <v/>
      </c>
      <c r="G1606" s="5" t="str">
        <f t="shared" si="108"/>
        <v/>
      </c>
      <c r="I1606" s="6" t="str">
        <f t="shared" si="109"/>
        <v>0</v>
      </c>
    </row>
    <row r="1607" spans="1:11">
      <c r="A1607" t="s">
        <v>2018</v>
      </c>
      <c r="B1607" t="s">
        <v>309</v>
      </c>
      <c r="E1607" t="str">
        <f t="shared" si="110"/>
        <v/>
      </c>
      <c r="G1607" s="5" t="str">
        <f t="shared" si="108"/>
        <v/>
      </c>
      <c r="I1607" s="6" t="str">
        <f t="shared" si="109"/>
        <v>0</v>
      </c>
    </row>
    <row r="1608" spans="1:11">
      <c r="A1608" t="s">
        <v>2019</v>
      </c>
      <c r="B1608" t="s">
        <v>5865</v>
      </c>
      <c r="G1608" s="5" t="str">
        <f t="shared" si="108"/>
        <v/>
      </c>
      <c r="I1608" s="6" t="str">
        <f t="shared" si="109"/>
        <v>0</v>
      </c>
      <c r="K1608" s="19" t="s">
        <v>5866</v>
      </c>
    </row>
    <row r="1609" spans="1:11">
      <c r="A1609" t="s">
        <v>2020</v>
      </c>
      <c r="B1609" t="s">
        <v>4958</v>
      </c>
      <c r="C1609" s="5" t="s">
        <v>7</v>
      </c>
      <c r="F1609" s="5" t="s">
        <v>4959</v>
      </c>
      <c r="G1609" s="5">
        <f t="shared" si="108"/>
        <v>34916</v>
      </c>
      <c r="I1609" s="6" t="str">
        <f t="shared" si="109"/>
        <v>0</v>
      </c>
      <c r="K1609" s="19" t="s">
        <v>5021</v>
      </c>
    </row>
    <row r="1610" spans="1:11">
      <c r="A1610" t="s">
        <v>2021</v>
      </c>
      <c r="B1610" t="s">
        <v>2022</v>
      </c>
      <c r="E1610" t="str">
        <f>IF(D1610&lt;&gt;"",C1610&amp;"/"&amp;D1610,"")</f>
        <v/>
      </c>
      <c r="G1610" s="5" t="str">
        <f t="shared" si="108"/>
        <v/>
      </c>
      <c r="I1610" s="6" t="str">
        <f t="shared" si="109"/>
        <v>0</v>
      </c>
    </row>
    <row r="1611" spans="1:11">
      <c r="A1611" t="s">
        <v>2023</v>
      </c>
      <c r="B1611" t="s">
        <v>2024</v>
      </c>
      <c r="E1611" t="str">
        <f>IF(D1611&lt;&gt;"",C1611&amp;"/"&amp;D1611,"")</f>
        <v/>
      </c>
      <c r="G1611" s="5" t="str">
        <f t="shared" si="108"/>
        <v/>
      </c>
      <c r="I1611" s="6" t="str">
        <f t="shared" si="109"/>
        <v>0</v>
      </c>
    </row>
    <row r="1612" spans="1:11">
      <c r="A1612" t="s">
        <v>2025</v>
      </c>
      <c r="B1612" t="s">
        <v>5995</v>
      </c>
      <c r="G1612" s="5" t="str">
        <f t="shared" si="108"/>
        <v/>
      </c>
      <c r="I1612" s="6" t="str">
        <f t="shared" si="109"/>
        <v>0</v>
      </c>
      <c r="K1612" s="19" t="s">
        <v>5996</v>
      </c>
    </row>
    <row r="1613" spans="1:11">
      <c r="A1613" t="s">
        <v>2026</v>
      </c>
      <c r="B1613" t="s">
        <v>5997</v>
      </c>
      <c r="G1613" s="5" t="str">
        <f t="shared" si="108"/>
        <v/>
      </c>
      <c r="I1613" s="6" t="str">
        <f t="shared" si="109"/>
        <v>0</v>
      </c>
      <c r="K1613" s="19" t="s">
        <v>5998</v>
      </c>
    </row>
    <row r="1614" spans="1:11">
      <c r="A1614" t="s">
        <v>2027</v>
      </c>
      <c r="B1614" t="s">
        <v>2028</v>
      </c>
      <c r="E1614" t="str">
        <f>IF(D1614&lt;&gt;"",C1614&amp;"/"&amp;D1614,"")</f>
        <v/>
      </c>
      <c r="G1614" s="5" t="str">
        <f t="shared" si="108"/>
        <v/>
      </c>
      <c r="I1614" s="6" t="str">
        <f t="shared" si="109"/>
        <v>0</v>
      </c>
    </row>
    <row r="1615" spans="1:11">
      <c r="A1615" t="s">
        <v>2029</v>
      </c>
      <c r="B1615" t="s">
        <v>5022</v>
      </c>
      <c r="C1615" s="5" t="s">
        <v>7</v>
      </c>
      <c r="F1615" s="5" t="s">
        <v>5023</v>
      </c>
      <c r="G1615" s="5">
        <f t="shared" si="108"/>
        <v>35004</v>
      </c>
      <c r="I1615" s="6" t="str">
        <f t="shared" si="109"/>
        <v>0</v>
      </c>
      <c r="K1615" s="19" t="s">
        <v>5024</v>
      </c>
    </row>
    <row r="1616" spans="1:11">
      <c r="A1616" t="s">
        <v>2030</v>
      </c>
      <c r="B1616" t="s">
        <v>5025</v>
      </c>
      <c r="C1616" s="5" t="s">
        <v>7</v>
      </c>
      <c r="F1616" s="5" t="s">
        <v>5026</v>
      </c>
      <c r="G1616" s="5">
        <f t="shared" si="108"/>
        <v>35038</v>
      </c>
      <c r="I1616" s="6" t="str">
        <f t="shared" si="109"/>
        <v>0</v>
      </c>
      <c r="K1616" s="19" t="s">
        <v>5027</v>
      </c>
    </row>
    <row r="1617" spans="1:11">
      <c r="A1617" t="s">
        <v>2031</v>
      </c>
      <c r="B1617" t="s">
        <v>309</v>
      </c>
      <c r="E1617" t="str">
        <f t="shared" ref="E1617:E1640" si="111">IF(D1617&lt;&gt;"",C1617&amp;"/"&amp;D1617,"")</f>
        <v/>
      </c>
      <c r="G1617" s="5" t="str">
        <f t="shared" si="108"/>
        <v/>
      </c>
      <c r="I1617" s="6" t="str">
        <f t="shared" si="109"/>
        <v>0</v>
      </c>
    </row>
    <row r="1618" spans="1:11">
      <c r="A1618" t="s">
        <v>2032</v>
      </c>
      <c r="B1618" t="s">
        <v>309</v>
      </c>
      <c r="E1618" t="str">
        <f t="shared" si="111"/>
        <v/>
      </c>
      <c r="G1618" s="5" t="str">
        <f t="shared" si="108"/>
        <v/>
      </c>
      <c r="I1618" s="6" t="str">
        <f t="shared" si="109"/>
        <v>0</v>
      </c>
    </row>
    <row r="1619" spans="1:11">
      <c r="A1619" t="s">
        <v>2033</v>
      </c>
      <c r="B1619" t="s">
        <v>309</v>
      </c>
      <c r="E1619" t="str">
        <f t="shared" si="111"/>
        <v/>
      </c>
      <c r="G1619" s="5" t="str">
        <f t="shared" si="108"/>
        <v/>
      </c>
      <c r="I1619" s="6" t="str">
        <f t="shared" si="109"/>
        <v>0</v>
      </c>
    </row>
    <row r="1620" spans="1:11">
      <c r="A1620" t="s">
        <v>2034</v>
      </c>
      <c r="B1620" t="s">
        <v>309</v>
      </c>
      <c r="E1620" t="str">
        <f t="shared" si="111"/>
        <v/>
      </c>
      <c r="G1620" s="5" t="str">
        <f t="shared" si="108"/>
        <v/>
      </c>
      <c r="I1620" s="6" t="str">
        <f t="shared" si="109"/>
        <v>0</v>
      </c>
    </row>
    <row r="1621" spans="1:11">
      <c r="A1621" t="s">
        <v>2035</v>
      </c>
      <c r="B1621" t="s">
        <v>309</v>
      </c>
      <c r="E1621" t="str">
        <f t="shared" si="111"/>
        <v/>
      </c>
      <c r="G1621" s="5" t="str">
        <f t="shared" si="108"/>
        <v/>
      </c>
      <c r="I1621" s="6" t="str">
        <f t="shared" si="109"/>
        <v>0</v>
      </c>
    </row>
    <row r="1622" spans="1:11">
      <c r="A1622" t="s">
        <v>2036</v>
      </c>
      <c r="B1622" t="s">
        <v>309</v>
      </c>
      <c r="E1622" t="str">
        <f t="shared" si="111"/>
        <v/>
      </c>
      <c r="G1622" s="5" t="str">
        <f t="shared" si="108"/>
        <v/>
      </c>
      <c r="I1622" s="6" t="str">
        <f t="shared" si="109"/>
        <v>0</v>
      </c>
    </row>
    <row r="1623" spans="1:11">
      <c r="A1623" t="s">
        <v>2037</v>
      </c>
      <c r="B1623" t="s">
        <v>309</v>
      </c>
      <c r="E1623" t="str">
        <f t="shared" si="111"/>
        <v/>
      </c>
      <c r="G1623" s="5" t="str">
        <f t="shared" si="108"/>
        <v/>
      </c>
      <c r="I1623" s="6" t="str">
        <f t="shared" si="109"/>
        <v>0</v>
      </c>
    </row>
    <row r="1624" spans="1:11">
      <c r="A1624" t="s">
        <v>2038</v>
      </c>
      <c r="B1624" t="s">
        <v>5538</v>
      </c>
      <c r="G1624" s="5" t="str">
        <f t="shared" si="108"/>
        <v/>
      </c>
      <c r="I1624" s="6" t="str">
        <f t="shared" si="109"/>
        <v>0</v>
      </c>
      <c r="K1624" s="19" t="s">
        <v>5539</v>
      </c>
    </row>
    <row r="1625" spans="1:11">
      <c r="A1625" t="s">
        <v>2039</v>
      </c>
      <c r="B1625" t="s">
        <v>309</v>
      </c>
      <c r="E1625" t="str">
        <f t="shared" si="111"/>
        <v/>
      </c>
      <c r="G1625" s="5" t="str">
        <f t="shared" si="108"/>
        <v/>
      </c>
      <c r="I1625" s="6" t="str">
        <f t="shared" si="109"/>
        <v>0</v>
      </c>
    </row>
    <row r="1626" spans="1:11">
      <c r="A1626" t="s">
        <v>2040</v>
      </c>
      <c r="B1626" t="s">
        <v>5847</v>
      </c>
      <c r="G1626" s="5" t="str">
        <f t="shared" si="108"/>
        <v/>
      </c>
      <c r="I1626" s="6" t="str">
        <f t="shared" si="109"/>
        <v>0</v>
      </c>
      <c r="K1626" s="19" t="s">
        <v>5848</v>
      </c>
    </row>
    <row r="1627" spans="1:11">
      <c r="A1627" t="s">
        <v>2041</v>
      </c>
      <c r="B1627" t="s">
        <v>309</v>
      </c>
      <c r="E1627" t="str">
        <f t="shared" si="111"/>
        <v/>
      </c>
      <c r="G1627" s="5" t="str">
        <f t="shared" si="108"/>
        <v/>
      </c>
      <c r="I1627" s="6" t="str">
        <f t="shared" si="109"/>
        <v>0</v>
      </c>
    </row>
    <row r="1628" spans="1:11">
      <c r="A1628" t="s">
        <v>2042</v>
      </c>
      <c r="B1628" t="s">
        <v>309</v>
      </c>
      <c r="E1628" t="str">
        <f t="shared" si="111"/>
        <v/>
      </c>
      <c r="G1628" s="5" t="str">
        <f t="shared" si="108"/>
        <v/>
      </c>
      <c r="I1628" s="6" t="str">
        <f t="shared" si="109"/>
        <v>0</v>
      </c>
    </row>
    <row r="1629" spans="1:11">
      <c r="A1629" t="s">
        <v>2043</v>
      </c>
      <c r="B1629" t="s">
        <v>2043</v>
      </c>
      <c r="E1629" t="str">
        <f t="shared" si="111"/>
        <v/>
      </c>
      <c r="G1629" s="5" t="str">
        <f t="shared" si="108"/>
        <v/>
      </c>
      <c r="I1629" s="6" t="str">
        <f t="shared" si="109"/>
        <v>0</v>
      </c>
    </row>
    <row r="1630" spans="1:11">
      <c r="A1630" t="s">
        <v>2044</v>
      </c>
      <c r="B1630" t="s">
        <v>2044</v>
      </c>
      <c r="E1630" t="str">
        <f t="shared" si="111"/>
        <v/>
      </c>
      <c r="G1630" s="5" t="str">
        <f t="shared" si="108"/>
        <v/>
      </c>
      <c r="I1630" s="6" t="str">
        <f t="shared" si="109"/>
        <v>0</v>
      </c>
    </row>
    <row r="1631" spans="1:11">
      <c r="A1631" t="s">
        <v>2045</v>
      </c>
      <c r="B1631" t="s">
        <v>5540</v>
      </c>
      <c r="G1631" s="5" t="str">
        <f t="shared" si="108"/>
        <v/>
      </c>
      <c r="I1631" s="6" t="str">
        <f t="shared" si="109"/>
        <v>0</v>
      </c>
      <c r="K1631" s="19" t="s">
        <v>5541</v>
      </c>
    </row>
    <row r="1632" spans="1:11">
      <c r="A1632" t="s">
        <v>2046</v>
      </c>
      <c r="B1632" t="s">
        <v>309</v>
      </c>
      <c r="E1632" t="str">
        <f t="shared" si="111"/>
        <v/>
      </c>
      <c r="G1632" s="5" t="str">
        <f t="shared" si="108"/>
        <v/>
      </c>
      <c r="I1632" s="6" t="str">
        <f t="shared" si="109"/>
        <v>0</v>
      </c>
    </row>
    <row r="1633" spans="1:21">
      <c r="A1633" s="31" t="s">
        <v>2047</v>
      </c>
      <c r="B1633" s="32" t="s">
        <v>5542</v>
      </c>
      <c r="C1633" s="33"/>
      <c r="D1633" s="32"/>
      <c r="E1633" s="32"/>
      <c r="F1633" s="33"/>
      <c r="G1633" s="5" t="str">
        <f t="shared" si="108"/>
        <v/>
      </c>
      <c r="H1633" s="33"/>
      <c r="I1633" s="6" t="str">
        <f t="shared" si="109"/>
        <v>0</v>
      </c>
      <c r="J1633" s="34"/>
      <c r="K1633" s="35" t="s">
        <v>5543</v>
      </c>
      <c r="L1633" s="36"/>
      <c r="M1633" s="36"/>
      <c r="N1633" s="32"/>
      <c r="O1633" s="32"/>
      <c r="P1633" s="32"/>
      <c r="Q1633" s="32"/>
      <c r="R1633" s="32"/>
      <c r="S1633" s="32"/>
      <c r="T1633" s="32"/>
      <c r="U1633" s="32"/>
    </row>
    <row r="1634" spans="1:21">
      <c r="A1634" t="s">
        <v>2048</v>
      </c>
      <c r="B1634" t="s">
        <v>309</v>
      </c>
      <c r="E1634" t="str">
        <f t="shared" si="111"/>
        <v/>
      </c>
      <c r="G1634" s="5" t="str">
        <f t="shared" si="108"/>
        <v/>
      </c>
      <c r="I1634" s="6" t="str">
        <f t="shared" si="109"/>
        <v>0</v>
      </c>
    </row>
    <row r="1635" spans="1:21">
      <c r="A1635" t="s">
        <v>2049</v>
      </c>
      <c r="B1635" t="s">
        <v>5544</v>
      </c>
      <c r="G1635" s="5" t="str">
        <f t="shared" si="108"/>
        <v/>
      </c>
      <c r="I1635" s="6" t="str">
        <f t="shared" si="109"/>
        <v>0</v>
      </c>
      <c r="K1635" s="19" t="s">
        <v>5545</v>
      </c>
    </row>
    <row r="1636" spans="1:21">
      <c r="A1636" t="s">
        <v>2050</v>
      </c>
      <c r="B1636" t="s">
        <v>5546</v>
      </c>
      <c r="G1636" s="5" t="str">
        <f t="shared" si="108"/>
        <v/>
      </c>
      <c r="I1636" s="6" t="str">
        <f t="shared" si="109"/>
        <v>0</v>
      </c>
      <c r="K1636" s="19" t="s">
        <v>5547</v>
      </c>
    </row>
    <row r="1637" spans="1:21">
      <c r="A1637" t="s">
        <v>2051</v>
      </c>
      <c r="B1637" t="s">
        <v>309</v>
      </c>
      <c r="E1637" t="str">
        <f t="shared" si="111"/>
        <v/>
      </c>
      <c r="G1637" s="5" t="str">
        <f t="shared" si="108"/>
        <v/>
      </c>
      <c r="I1637" s="6" t="str">
        <f t="shared" si="109"/>
        <v>0</v>
      </c>
    </row>
    <row r="1638" spans="1:21">
      <c r="A1638" t="s">
        <v>2052</v>
      </c>
      <c r="B1638" t="s">
        <v>309</v>
      </c>
      <c r="E1638" t="str">
        <f t="shared" si="111"/>
        <v/>
      </c>
      <c r="G1638" s="5" t="str">
        <f t="shared" si="108"/>
        <v/>
      </c>
      <c r="I1638" s="6" t="str">
        <f t="shared" si="109"/>
        <v>0</v>
      </c>
    </row>
    <row r="1639" spans="1:21">
      <c r="A1639" t="s">
        <v>2053</v>
      </c>
      <c r="B1639" t="s">
        <v>5849</v>
      </c>
      <c r="G1639" s="5" t="str">
        <f t="shared" si="108"/>
        <v/>
      </c>
      <c r="I1639" s="6" t="str">
        <f t="shared" si="109"/>
        <v>0</v>
      </c>
      <c r="K1639" s="19" t="s">
        <v>5850</v>
      </c>
    </row>
    <row r="1640" spans="1:21">
      <c r="A1640" t="s">
        <v>2054</v>
      </c>
      <c r="B1640" t="s">
        <v>309</v>
      </c>
      <c r="E1640" t="str">
        <f t="shared" si="111"/>
        <v/>
      </c>
      <c r="G1640" s="5" t="str">
        <f t="shared" si="108"/>
        <v/>
      </c>
      <c r="I1640" s="6" t="str">
        <f t="shared" si="109"/>
        <v>0</v>
      </c>
    </row>
    <row r="1641" spans="1:21">
      <c r="A1641" t="s">
        <v>2055</v>
      </c>
      <c r="B1641" t="s">
        <v>2055</v>
      </c>
      <c r="C1641" s="5" t="s">
        <v>3114</v>
      </c>
      <c r="D1641" t="s">
        <v>4533</v>
      </c>
      <c r="E1641" t="s">
        <v>4534</v>
      </c>
      <c r="F1641" s="5" t="s">
        <v>4535</v>
      </c>
      <c r="G1641" s="5">
        <f t="shared" si="108"/>
        <v>35404</v>
      </c>
      <c r="H1641" s="5">
        <v>64</v>
      </c>
      <c r="I1641" s="6" t="str">
        <f t="shared" si="109"/>
        <v>40</v>
      </c>
      <c r="K1641" s="19" t="s">
        <v>4536</v>
      </c>
    </row>
    <row r="1642" spans="1:21">
      <c r="A1642" t="s">
        <v>2056</v>
      </c>
      <c r="B1642" t="s">
        <v>2056</v>
      </c>
      <c r="E1642" t="str">
        <f t="shared" ref="E1642:E1658" si="112">IF(D1642&lt;&gt;"",C1642&amp;"/"&amp;D1642,"")</f>
        <v/>
      </c>
      <c r="G1642" s="5" t="str">
        <f t="shared" si="108"/>
        <v/>
      </c>
      <c r="I1642" s="6" t="str">
        <f t="shared" si="109"/>
        <v>0</v>
      </c>
    </row>
    <row r="1643" spans="1:21">
      <c r="A1643" t="s">
        <v>2057</v>
      </c>
      <c r="B1643" t="s">
        <v>2057</v>
      </c>
      <c r="E1643" t="str">
        <f t="shared" si="112"/>
        <v/>
      </c>
      <c r="G1643" s="5" t="str">
        <f t="shared" si="108"/>
        <v/>
      </c>
      <c r="I1643" s="6" t="str">
        <f t="shared" si="109"/>
        <v>0</v>
      </c>
    </row>
    <row r="1644" spans="1:21">
      <c r="A1644" t="s">
        <v>2058</v>
      </c>
      <c r="B1644" t="s">
        <v>2059</v>
      </c>
      <c r="E1644" t="str">
        <f t="shared" si="112"/>
        <v/>
      </c>
      <c r="G1644" s="5" t="str">
        <f t="shared" si="108"/>
        <v/>
      </c>
      <c r="I1644" s="6" t="str">
        <f t="shared" si="109"/>
        <v>0</v>
      </c>
    </row>
    <row r="1645" spans="1:21">
      <c r="A1645" t="s">
        <v>2060</v>
      </c>
      <c r="B1645" t="s">
        <v>5999</v>
      </c>
      <c r="G1645" s="5" t="str">
        <f t="shared" si="108"/>
        <v/>
      </c>
      <c r="I1645" s="6" t="str">
        <f t="shared" si="109"/>
        <v>0</v>
      </c>
      <c r="K1645" s="19" t="s">
        <v>6000</v>
      </c>
    </row>
    <row r="1646" spans="1:21">
      <c r="A1646" t="s">
        <v>2061</v>
      </c>
      <c r="B1646" t="s">
        <v>2062</v>
      </c>
      <c r="E1646" t="str">
        <f t="shared" si="112"/>
        <v/>
      </c>
      <c r="G1646" s="5" t="str">
        <f t="shared" si="108"/>
        <v/>
      </c>
      <c r="I1646" s="6" t="str">
        <f t="shared" si="109"/>
        <v>0</v>
      </c>
    </row>
    <row r="1647" spans="1:21">
      <c r="A1647" t="s">
        <v>2063</v>
      </c>
      <c r="B1647" t="s">
        <v>2064</v>
      </c>
      <c r="E1647" t="str">
        <f t="shared" si="112"/>
        <v/>
      </c>
      <c r="G1647" s="5" t="str">
        <f t="shared" si="108"/>
        <v/>
      </c>
      <c r="I1647" s="6" t="str">
        <f t="shared" si="109"/>
        <v>0</v>
      </c>
    </row>
    <row r="1648" spans="1:21">
      <c r="A1648" t="s">
        <v>2065</v>
      </c>
      <c r="B1648" t="s">
        <v>2066</v>
      </c>
      <c r="E1648" t="str">
        <f t="shared" si="112"/>
        <v/>
      </c>
      <c r="G1648" s="5" t="str">
        <f t="shared" si="108"/>
        <v/>
      </c>
      <c r="I1648" s="6" t="str">
        <f t="shared" si="109"/>
        <v>0</v>
      </c>
    </row>
    <row r="1649" spans="1:11">
      <c r="A1649" t="s">
        <v>2067</v>
      </c>
      <c r="B1649" t="s">
        <v>5789</v>
      </c>
      <c r="G1649" s="5" t="str">
        <f t="shared" si="108"/>
        <v/>
      </c>
      <c r="I1649" s="6" t="str">
        <f t="shared" si="109"/>
        <v>0</v>
      </c>
      <c r="K1649" s="19" t="s">
        <v>5790</v>
      </c>
    </row>
    <row r="1650" spans="1:11">
      <c r="A1650" t="s">
        <v>2068</v>
      </c>
      <c r="B1650" t="s">
        <v>5851</v>
      </c>
      <c r="G1650" s="5" t="str">
        <f t="shared" si="108"/>
        <v/>
      </c>
      <c r="I1650" s="6" t="str">
        <f t="shared" si="109"/>
        <v>0</v>
      </c>
      <c r="K1650" s="19" t="s">
        <v>5852</v>
      </c>
    </row>
    <row r="1651" spans="1:11">
      <c r="A1651" t="s">
        <v>2069</v>
      </c>
      <c r="B1651" t="s">
        <v>5548</v>
      </c>
      <c r="G1651" s="5" t="str">
        <f t="shared" si="108"/>
        <v/>
      </c>
      <c r="I1651" s="6" t="str">
        <f t="shared" si="109"/>
        <v>0</v>
      </c>
      <c r="K1651" s="19" t="s">
        <v>5549</v>
      </c>
    </row>
    <row r="1652" spans="1:11">
      <c r="A1652" t="s">
        <v>2070</v>
      </c>
      <c r="B1652" t="s">
        <v>309</v>
      </c>
      <c r="E1652" t="str">
        <f t="shared" si="112"/>
        <v/>
      </c>
      <c r="G1652" s="5" t="str">
        <f t="shared" si="108"/>
        <v/>
      </c>
      <c r="I1652" s="6" t="str">
        <f t="shared" si="109"/>
        <v>0</v>
      </c>
    </row>
    <row r="1653" spans="1:11">
      <c r="A1653" t="s">
        <v>2071</v>
      </c>
      <c r="B1653" t="s">
        <v>309</v>
      </c>
      <c r="E1653" t="str">
        <f t="shared" si="112"/>
        <v/>
      </c>
      <c r="G1653" s="5" t="str">
        <f t="shared" si="108"/>
        <v/>
      </c>
      <c r="I1653" s="6" t="str">
        <f t="shared" si="109"/>
        <v>0</v>
      </c>
    </row>
    <row r="1654" spans="1:11">
      <c r="A1654" t="s">
        <v>2072</v>
      </c>
      <c r="B1654" t="s">
        <v>309</v>
      </c>
      <c r="E1654" t="str">
        <f t="shared" si="112"/>
        <v/>
      </c>
      <c r="G1654" s="5" t="str">
        <f t="shared" si="108"/>
        <v/>
      </c>
      <c r="I1654" s="6" t="str">
        <f t="shared" si="109"/>
        <v>0</v>
      </c>
    </row>
    <row r="1655" spans="1:11">
      <c r="A1655" t="s">
        <v>2073</v>
      </c>
      <c r="B1655" t="s">
        <v>309</v>
      </c>
      <c r="E1655" t="str">
        <f t="shared" si="112"/>
        <v/>
      </c>
      <c r="G1655" s="5" t="str">
        <f t="shared" si="108"/>
        <v/>
      </c>
      <c r="I1655" s="6" t="str">
        <f t="shared" si="109"/>
        <v>0</v>
      </c>
    </row>
    <row r="1656" spans="1:11">
      <c r="A1656" t="s">
        <v>2074</v>
      </c>
      <c r="B1656" t="s">
        <v>309</v>
      </c>
      <c r="E1656" t="str">
        <f t="shared" si="112"/>
        <v/>
      </c>
      <c r="G1656" s="5" t="str">
        <f t="shared" si="108"/>
        <v/>
      </c>
      <c r="I1656" s="6" t="str">
        <f t="shared" si="109"/>
        <v>0</v>
      </c>
    </row>
    <row r="1657" spans="1:11">
      <c r="A1657" t="s">
        <v>2075</v>
      </c>
      <c r="B1657" t="s">
        <v>6001</v>
      </c>
      <c r="G1657" s="5" t="str">
        <f t="shared" si="108"/>
        <v/>
      </c>
      <c r="I1657" s="6" t="str">
        <f t="shared" si="109"/>
        <v>0</v>
      </c>
      <c r="K1657" s="19" t="s">
        <v>6002</v>
      </c>
    </row>
    <row r="1658" spans="1:11" ht="17">
      <c r="A1658" t="s">
        <v>2076</v>
      </c>
      <c r="B1658" s="17" t="s">
        <v>3657</v>
      </c>
      <c r="D1658" s="17"/>
      <c r="E1658" t="str">
        <f t="shared" si="112"/>
        <v/>
      </c>
      <c r="F1658" s="16"/>
      <c r="G1658" s="5" t="str">
        <f t="shared" si="108"/>
        <v/>
      </c>
      <c r="I1658" s="6" t="str">
        <f t="shared" si="109"/>
        <v>0</v>
      </c>
      <c r="K1658" s="19" t="s">
        <v>3658</v>
      </c>
    </row>
    <row r="1659" spans="1:11">
      <c r="A1659" t="s">
        <v>2077</v>
      </c>
      <c r="B1659" t="s">
        <v>4572</v>
      </c>
      <c r="G1659" s="5" t="str">
        <f t="shared" si="108"/>
        <v/>
      </c>
      <c r="I1659" s="6" t="str">
        <f t="shared" si="109"/>
        <v>0</v>
      </c>
      <c r="K1659" s="19" t="s">
        <v>4573</v>
      </c>
    </row>
    <row r="1660" spans="1:11">
      <c r="A1660" t="s">
        <v>2078</v>
      </c>
      <c r="B1660" t="s">
        <v>309</v>
      </c>
      <c r="E1660" t="str">
        <f t="shared" ref="E1660:E1665" si="113">IF(D1660&lt;&gt;"",C1660&amp;"/"&amp;D1660,"")</f>
        <v/>
      </c>
      <c r="G1660" s="5" t="str">
        <f t="shared" si="108"/>
        <v/>
      </c>
      <c r="I1660" s="6" t="str">
        <f t="shared" si="109"/>
        <v>0</v>
      </c>
    </row>
    <row r="1661" spans="1:11">
      <c r="A1661" t="s">
        <v>2079</v>
      </c>
      <c r="B1661" t="s">
        <v>309</v>
      </c>
      <c r="E1661" t="str">
        <f t="shared" si="113"/>
        <v/>
      </c>
      <c r="G1661" s="5" t="str">
        <f t="shared" si="108"/>
        <v/>
      </c>
      <c r="I1661" s="6" t="str">
        <f t="shared" si="109"/>
        <v>0</v>
      </c>
    </row>
    <row r="1662" spans="1:11">
      <c r="A1662" t="s">
        <v>2080</v>
      </c>
      <c r="B1662" t="s">
        <v>309</v>
      </c>
      <c r="E1662" t="str">
        <f t="shared" si="113"/>
        <v/>
      </c>
      <c r="G1662" s="5" t="str">
        <f t="shared" si="108"/>
        <v/>
      </c>
      <c r="I1662" s="6" t="str">
        <f t="shared" si="109"/>
        <v>0</v>
      </c>
    </row>
    <row r="1663" spans="1:11">
      <c r="A1663" t="s">
        <v>2081</v>
      </c>
      <c r="B1663" t="s">
        <v>309</v>
      </c>
      <c r="E1663" t="str">
        <f t="shared" si="113"/>
        <v/>
      </c>
      <c r="G1663" s="5" t="str">
        <f t="shared" si="108"/>
        <v/>
      </c>
      <c r="I1663" s="6" t="str">
        <f t="shared" si="109"/>
        <v>0</v>
      </c>
    </row>
    <row r="1664" spans="1:11">
      <c r="A1664" t="s">
        <v>2082</v>
      </c>
      <c r="B1664" t="s">
        <v>309</v>
      </c>
      <c r="E1664" t="str">
        <f t="shared" si="113"/>
        <v/>
      </c>
      <c r="G1664" s="5" t="str">
        <f t="shared" si="108"/>
        <v/>
      </c>
      <c r="I1664" s="6" t="str">
        <f t="shared" si="109"/>
        <v>0</v>
      </c>
    </row>
    <row r="1665" spans="1:11">
      <c r="A1665" t="s">
        <v>2083</v>
      </c>
      <c r="B1665" t="s">
        <v>309</v>
      </c>
      <c r="E1665" t="str">
        <f t="shared" si="113"/>
        <v/>
      </c>
      <c r="G1665" s="5" t="str">
        <f t="shared" si="108"/>
        <v/>
      </c>
      <c r="I1665" s="6" t="str">
        <f t="shared" si="109"/>
        <v>0</v>
      </c>
    </row>
    <row r="1666" spans="1:11">
      <c r="A1666" t="s">
        <v>2084</v>
      </c>
      <c r="B1666" t="s">
        <v>4574</v>
      </c>
      <c r="G1666" s="5" t="str">
        <f t="shared" ref="G1666:G1729" si="114">IF(F1666&lt;&gt;"",HEX2DEC(SUBSTITUTE(SUBSTITUTE(F1666,"adrEA",""),"$","")),"")</f>
        <v/>
      </c>
      <c r="I1666" s="6" t="str">
        <f t="shared" ref="I1666:I1729" si="115">IFERROR(DEC2HEX(H1666),"")</f>
        <v>0</v>
      </c>
      <c r="K1666" s="19" t="s">
        <v>4575</v>
      </c>
    </row>
    <row r="1667" spans="1:11">
      <c r="A1667" t="s">
        <v>2085</v>
      </c>
      <c r="B1667" t="s">
        <v>309</v>
      </c>
      <c r="E1667" t="str">
        <f>IF(D1667&lt;&gt;"",C1667&amp;"/"&amp;D1667,"")</f>
        <v/>
      </c>
      <c r="G1667" s="5" t="str">
        <f t="shared" si="114"/>
        <v/>
      </c>
      <c r="I1667" s="6" t="str">
        <f t="shared" si="115"/>
        <v>0</v>
      </c>
    </row>
    <row r="1668" spans="1:11">
      <c r="A1668" t="s">
        <v>2086</v>
      </c>
      <c r="B1668" t="s">
        <v>4576</v>
      </c>
      <c r="G1668" s="5" t="str">
        <f t="shared" si="114"/>
        <v/>
      </c>
      <c r="I1668" s="6" t="str">
        <f t="shared" si="115"/>
        <v>0</v>
      </c>
      <c r="K1668" s="19" t="s">
        <v>4577</v>
      </c>
    </row>
    <row r="1669" spans="1:11">
      <c r="A1669" t="s">
        <v>2087</v>
      </c>
      <c r="B1669" t="s">
        <v>309</v>
      </c>
      <c r="E1669" t="str">
        <f>IF(D1669&lt;&gt;"",C1669&amp;"/"&amp;D1669,"")</f>
        <v/>
      </c>
      <c r="G1669" s="5" t="str">
        <f t="shared" si="114"/>
        <v/>
      </c>
      <c r="I1669" s="6" t="str">
        <f t="shared" si="115"/>
        <v>0</v>
      </c>
    </row>
    <row r="1670" spans="1:11" ht="17">
      <c r="A1670" t="s">
        <v>2088</v>
      </c>
      <c r="B1670" s="17" t="s">
        <v>3659</v>
      </c>
      <c r="D1670" s="17"/>
      <c r="E1670" t="str">
        <f>IF(D1670&lt;&gt;"",C1670&amp;"/"&amp;D1670,"")</f>
        <v/>
      </c>
      <c r="F1670" s="16"/>
      <c r="G1670" s="5" t="str">
        <f t="shared" si="114"/>
        <v/>
      </c>
      <c r="I1670" s="6" t="str">
        <f t="shared" si="115"/>
        <v>0</v>
      </c>
      <c r="K1670" s="19" t="s">
        <v>3660</v>
      </c>
    </row>
    <row r="1671" spans="1:11">
      <c r="A1671" t="s">
        <v>2089</v>
      </c>
      <c r="B1671" t="s">
        <v>309</v>
      </c>
      <c r="E1671" t="str">
        <f>IF(D1671&lt;&gt;"",C1671&amp;"/"&amp;D1671,"")</f>
        <v/>
      </c>
      <c r="G1671" s="5" t="str">
        <f t="shared" si="114"/>
        <v/>
      </c>
      <c r="I1671" s="6" t="str">
        <f t="shared" si="115"/>
        <v>0</v>
      </c>
    </row>
    <row r="1672" spans="1:11">
      <c r="A1672" t="s">
        <v>2090</v>
      </c>
      <c r="B1672" t="s">
        <v>309</v>
      </c>
      <c r="E1672" t="str">
        <f>IF(D1672&lt;&gt;"",C1672&amp;"/"&amp;D1672,"")</f>
        <v/>
      </c>
      <c r="G1672" s="5" t="str">
        <f t="shared" si="114"/>
        <v/>
      </c>
      <c r="I1672" s="6" t="str">
        <f t="shared" si="115"/>
        <v>0</v>
      </c>
    </row>
    <row r="1673" spans="1:11">
      <c r="A1673" t="s">
        <v>2091</v>
      </c>
      <c r="B1673" t="s">
        <v>4578</v>
      </c>
      <c r="G1673" s="5" t="str">
        <f t="shared" si="114"/>
        <v/>
      </c>
      <c r="I1673" s="6" t="str">
        <f t="shared" si="115"/>
        <v>0</v>
      </c>
      <c r="K1673" s="19" t="s">
        <v>4579</v>
      </c>
    </row>
    <row r="1674" spans="1:11">
      <c r="A1674" t="s">
        <v>2092</v>
      </c>
      <c r="B1674" t="s">
        <v>5550</v>
      </c>
      <c r="G1674" s="5" t="str">
        <f t="shared" si="114"/>
        <v/>
      </c>
      <c r="I1674" s="6" t="str">
        <f t="shared" si="115"/>
        <v>0</v>
      </c>
      <c r="K1674" s="19" t="s">
        <v>5551</v>
      </c>
    </row>
    <row r="1675" spans="1:11">
      <c r="A1675" t="s">
        <v>2093</v>
      </c>
      <c r="B1675" t="s">
        <v>309</v>
      </c>
      <c r="E1675" t="str">
        <f t="shared" ref="E1675:E1682" si="116">IF(D1675&lt;&gt;"",C1675&amp;"/"&amp;D1675,"")</f>
        <v/>
      </c>
      <c r="G1675" s="5" t="str">
        <f t="shared" si="114"/>
        <v/>
      </c>
      <c r="I1675" s="6" t="str">
        <f t="shared" si="115"/>
        <v>0</v>
      </c>
    </row>
    <row r="1676" spans="1:11">
      <c r="A1676" t="s">
        <v>2094</v>
      </c>
      <c r="B1676" t="s">
        <v>309</v>
      </c>
      <c r="E1676" t="str">
        <f t="shared" si="116"/>
        <v/>
      </c>
      <c r="G1676" s="5" t="str">
        <f t="shared" si="114"/>
        <v/>
      </c>
      <c r="I1676" s="6" t="str">
        <f t="shared" si="115"/>
        <v>0</v>
      </c>
    </row>
    <row r="1677" spans="1:11" ht="17">
      <c r="A1677" t="s">
        <v>2095</v>
      </c>
      <c r="B1677" s="17" t="s">
        <v>3600</v>
      </c>
      <c r="C1677" s="16" t="s">
        <v>3114</v>
      </c>
      <c r="D1677" t="s">
        <v>3601</v>
      </c>
      <c r="E1677" t="str">
        <f t="shared" si="116"/>
        <v>gfx-data/AirbourneSpells_Stationary_DistanceGroups.lookup</v>
      </c>
      <c r="F1677" s="5" t="s">
        <v>3602</v>
      </c>
      <c r="G1677" s="5">
        <f t="shared" si="114"/>
        <v>36822</v>
      </c>
      <c r="H1677">
        <v>6</v>
      </c>
      <c r="I1677" s="6" t="str">
        <f t="shared" si="115"/>
        <v>6</v>
      </c>
      <c r="J1677" t="s">
        <v>3414</v>
      </c>
      <c r="K1677" s="15" t="s">
        <v>3613</v>
      </c>
    </row>
    <row r="1678" spans="1:11" ht="17">
      <c r="A1678" t="s">
        <v>2096</v>
      </c>
      <c r="B1678" s="17" t="s">
        <v>3603</v>
      </c>
      <c r="C1678" s="16" t="s">
        <v>3114</v>
      </c>
      <c r="D1678" t="s">
        <v>3604</v>
      </c>
      <c r="E1678" t="str">
        <f t="shared" si="116"/>
        <v>gfx-data/AirbourneSpells_Stationary.offsets</v>
      </c>
      <c r="F1678" s="5" t="s">
        <v>3605</v>
      </c>
      <c r="G1678" s="5">
        <f t="shared" si="114"/>
        <v>36828</v>
      </c>
      <c r="H1678">
        <v>8</v>
      </c>
      <c r="I1678" s="6" t="str">
        <f t="shared" si="115"/>
        <v>8</v>
      </c>
      <c r="J1678" t="s">
        <v>3419</v>
      </c>
      <c r="K1678" s="15" t="s">
        <v>3614</v>
      </c>
    </row>
    <row r="1679" spans="1:11" ht="17">
      <c r="A1679" t="s">
        <v>2097</v>
      </c>
      <c r="B1679" s="17" t="s">
        <v>3606</v>
      </c>
      <c r="C1679" s="16" t="s">
        <v>3114</v>
      </c>
      <c r="D1679" t="s">
        <v>3607</v>
      </c>
      <c r="E1679" t="str">
        <f t="shared" si="116"/>
        <v>gfx-data/AirbourneSpells_Stationary.positions</v>
      </c>
      <c r="F1679" s="5" t="s">
        <v>3608</v>
      </c>
      <c r="G1679" s="5">
        <f t="shared" si="114"/>
        <v>36836</v>
      </c>
      <c r="H1679">
        <v>16</v>
      </c>
      <c r="I1679" s="6" t="str">
        <f t="shared" si="115"/>
        <v>10</v>
      </c>
      <c r="J1679" t="s">
        <v>3419</v>
      </c>
      <c r="K1679" s="15" t="s">
        <v>3609</v>
      </c>
    </row>
    <row r="1680" spans="1:11" ht="17">
      <c r="A1680" t="s">
        <v>2098</v>
      </c>
      <c r="B1680" s="17" t="s">
        <v>3610</v>
      </c>
      <c r="C1680" s="16"/>
      <c r="E1680" t="str">
        <f t="shared" si="116"/>
        <v/>
      </c>
      <c r="G1680" s="5" t="str">
        <f t="shared" si="114"/>
        <v/>
      </c>
      <c r="H1680"/>
      <c r="I1680" s="6" t="str">
        <f t="shared" si="115"/>
        <v>0</v>
      </c>
      <c r="J1680"/>
      <c r="K1680" s="15"/>
    </row>
    <row r="1681" spans="1:11" ht="17">
      <c r="A1681" t="s">
        <v>2099</v>
      </c>
      <c r="B1681" s="17" t="s">
        <v>3611</v>
      </c>
      <c r="C1681" s="16"/>
      <c r="E1681" t="str">
        <f t="shared" si="116"/>
        <v/>
      </c>
      <c r="G1681" s="5" t="str">
        <f t="shared" si="114"/>
        <v/>
      </c>
      <c r="H1681"/>
      <c r="I1681" s="6" t="str">
        <f t="shared" si="115"/>
        <v>0</v>
      </c>
      <c r="J1681"/>
      <c r="K1681" s="15"/>
    </row>
    <row r="1682" spans="1:11" ht="17">
      <c r="A1682" t="s">
        <v>2100</v>
      </c>
      <c r="B1682" s="17" t="s">
        <v>3612</v>
      </c>
      <c r="C1682" s="16"/>
      <c r="E1682" t="str">
        <f t="shared" si="116"/>
        <v/>
      </c>
      <c r="G1682" s="5" t="str">
        <f t="shared" si="114"/>
        <v/>
      </c>
      <c r="H1682"/>
      <c r="I1682" s="6" t="str">
        <f t="shared" si="115"/>
        <v>0</v>
      </c>
      <c r="J1682"/>
      <c r="K1682" s="15"/>
    </row>
    <row r="1683" spans="1:11">
      <c r="A1683" t="s">
        <v>2101</v>
      </c>
      <c r="B1683" t="s">
        <v>4580</v>
      </c>
      <c r="G1683" s="5" t="str">
        <f t="shared" si="114"/>
        <v/>
      </c>
      <c r="I1683" s="6" t="str">
        <f t="shared" si="115"/>
        <v>0</v>
      </c>
      <c r="K1683" s="19" t="s">
        <v>4581</v>
      </c>
    </row>
    <row r="1684" spans="1:11" ht="17">
      <c r="A1684" t="s">
        <v>2102</v>
      </c>
      <c r="B1684" s="17" t="s">
        <v>3661</v>
      </c>
      <c r="D1684" s="17"/>
      <c r="E1684" t="str">
        <f>IF(D1684&lt;&gt;"",C1684&amp;"/"&amp;D1684,"")</f>
        <v/>
      </c>
      <c r="F1684" s="16"/>
      <c r="G1684" s="5" t="str">
        <f t="shared" si="114"/>
        <v/>
      </c>
      <c r="I1684" s="6" t="str">
        <f t="shared" si="115"/>
        <v>0</v>
      </c>
      <c r="K1684" s="19" t="s">
        <v>3662</v>
      </c>
    </row>
    <row r="1685" spans="1:11">
      <c r="A1685" t="s">
        <v>2103</v>
      </c>
      <c r="B1685" t="s">
        <v>5317</v>
      </c>
      <c r="C1685" s="7"/>
      <c r="G1685" s="5" t="str">
        <f t="shared" si="114"/>
        <v/>
      </c>
      <c r="I1685" s="6" t="str">
        <f t="shared" si="115"/>
        <v>0</v>
      </c>
      <c r="K1685" s="19" t="s">
        <v>5318</v>
      </c>
    </row>
    <row r="1686" spans="1:11">
      <c r="A1686" t="s">
        <v>2104</v>
      </c>
      <c r="B1686" t="s">
        <v>4582</v>
      </c>
      <c r="G1686" s="5" t="str">
        <f t="shared" si="114"/>
        <v/>
      </c>
      <c r="I1686" s="6" t="str">
        <f t="shared" si="115"/>
        <v>0</v>
      </c>
      <c r="K1686" s="19" t="s">
        <v>4583</v>
      </c>
    </row>
    <row r="1687" spans="1:11">
      <c r="A1687" t="s">
        <v>2105</v>
      </c>
      <c r="B1687" t="s">
        <v>4584</v>
      </c>
      <c r="G1687" s="5" t="str">
        <f t="shared" si="114"/>
        <v/>
      </c>
      <c r="I1687" s="6" t="str">
        <f t="shared" si="115"/>
        <v>0</v>
      </c>
      <c r="K1687" s="19" t="s">
        <v>4585</v>
      </c>
    </row>
    <row r="1688" spans="1:11">
      <c r="A1688" t="s">
        <v>2106</v>
      </c>
      <c r="B1688" t="s">
        <v>5319</v>
      </c>
      <c r="C1688" s="7"/>
      <c r="G1688" s="5" t="str">
        <f t="shared" si="114"/>
        <v/>
      </c>
      <c r="I1688" s="6" t="str">
        <f t="shared" si="115"/>
        <v>0</v>
      </c>
      <c r="K1688" s="19" t="s">
        <v>5320</v>
      </c>
    </row>
    <row r="1689" spans="1:11">
      <c r="A1689" t="s">
        <v>2107</v>
      </c>
      <c r="B1689" t="s">
        <v>5321</v>
      </c>
      <c r="C1689" s="7"/>
      <c r="G1689" s="5" t="str">
        <f t="shared" si="114"/>
        <v/>
      </c>
      <c r="I1689" s="6" t="str">
        <f t="shared" si="115"/>
        <v>0</v>
      </c>
      <c r="K1689" s="19" t="s">
        <v>5322</v>
      </c>
    </row>
    <row r="1690" spans="1:11">
      <c r="A1690" t="s">
        <v>2108</v>
      </c>
      <c r="B1690" t="s">
        <v>5323</v>
      </c>
      <c r="C1690" s="7"/>
      <c r="G1690" s="5" t="str">
        <f t="shared" si="114"/>
        <v/>
      </c>
      <c r="I1690" s="6" t="str">
        <f t="shared" si="115"/>
        <v>0</v>
      </c>
      <c r="K1690" s="19" t="s">
        <v>5324</v>
      </c>
    </row>
    <row r="1691" spans="1:11">
      <c r="A1691" t="s">
        <v>2109</v>
      </c>
      <c r="B1691" t="s">
        <v>5325</v>
      </c>
      <c r="C1691" s="7"/>
      <c r="G1691" s="5" t="str">
        <f t="shared" si="114"/>
        <v/>
      </c>
      <c r="I1691" s="6" t="str">
        <f t="shared" si="115"/>
        <v>0</v>
      </c>
      <c r="K1691" s="19" t="s">
        <v>5326</v>
      </c>
    </row>
    <row r="1692" spans="1:11">
      <c r="A1692" t="s">
        <v>2110</v>
      </c>
      <c r="B1692" t="s">
        <v>5327</v>
      </c>
      <c r="C1692" s="7"/>
      <c r="G1692" s="5" t="str">
        <f t="shared" si="114"/>
        <v/>
      </c>
      <c r="I1692" s="6" t="str">
        <f t="shared" si="115"/>
        <v>0</v>
      </c>
      <c r="K1692" s="19" t="s">
        <v>5328</v>
      </c>
    </row>
    <row r="1693" spans="1:11">
      <c r="A1693" t="s">
        <v>2112</v>
      </c>
      <c r="B1693" t="s">
        <v>309</v>
      </c>
      <c r="E1693" t="str">
        <f>IF(D1693&lt;&gt;"",C1693&amp;"/"&amp;D1693,"")</f>
        <v/>
      </c>
      <c r="G1693" s="5" t="str">
        <f t="shared" si="114"/>
        <v/>
      </c>
      <c r="I1693" s="6" t="str">
        <f t="shared" si="115"/>
        <v>0</v>
      </c>
    </row>
    <row r="1694" spans="1:11">
      <c r="A1694" t="s">
        <v>2115</v>
      </c>
      <c r="B1694" t="s">
        <v>309</v>
      </c>
      <c r="E1694" t="str">
        <f>IF(D1694&lt;&gt;"",C1694&amp;"/"&amp;D1694,"")</f>
        <v/>
      </c>
      <c r="G1694" s="5" t="str">
        <f t="shared" si="114"/>
        <v/>
      </c>
      <c r="I1694" s="6" t="str">
        <f t="shared" si="115"/>
        <v>0</v>
      </c>
    </row>
    <row r="1695" spans="1:11">
      <c r="A1695" t="s">
        <v>2116</v>
      </c>
      <c r="B1695" t="s">
        <v>309</v>
      </c>
      <c r="E1695" t="str">
        <f>IF(D1695&lt;&gt;"",C1695&amp;"/"&amp;D1695,"")</f>
        <v/>
      </c>
      <c r="G1695" s="5" t="str">
        <f t="shared" si="114"/>
        <v/>
      </c>
      <c r="I1695" s="6" t="str">
        <f t="shared" si="115"/>
        <v>0</v>
      </c>
    </row>
    <row r="1696" spans="1:11">
      <c r="A1696" t="s">
        <v>2118</v>
      </c>
      <c r="B1696" t="s">
        <v>3692</v>
      </c>
      <c r="C1696" s="5" t="s">
        <v>3114</v>
      </c>
      <c r="D1696" t="s">
        <v>4537</v>
      </c>
      <c r="E1696" t="s">
        <v>4538</v>
      </c>
      <c r="F1696" s="5" t="s">
        <v>3693</v>
      </c>
      <c r="G1696" s="5">
        <f t="shared" si="114"/>
        <v>37200</v>
      </c>
      <c r="H1696" s="5">
        <v>8</v>
      </c>
      <c r="I1696" s="6" t="str">
        <f t="shared" si="115"/>
        <v>8</v>
      </c>
      <c r="K1696" s="19" t="s">
        <v>4539</v>
      </c>
    </row>
    <row r="1697" spans="1:11">
      <c r="A1697" t="s">
        <v>2119</v>
      </c>
      <c r="B1697" t="s">
        <v>3694</v>
      </c>
      <c r="E1697" t="str">
        <f>IF(D1697&lt;&gt;"",C1697&amp;"/"&amp;D1697,"")</f>
        <v/>
      </c>
      <c r="G1697" s="5" t="str">
        <f t="shared" si="114"/>
        <v/>
      </c>
      <c r="I1697" s="6" t="str">
        <f t="shared" si="115"/>
        <v>0</v>
      </c>
    </row>
    <row r="1698" spans="1:11">
      <c r="A1698" t="s">
        <v>2123</v>
      </c>
      <c r="B1698" t="s">
        <v>309</v>
      </c>
      <c r="E1698" t="str">
        <f>IF(D1698&lt;&gt;"",C1698&amp;"/"&amp;D1698,"")</f>
        <v/>
      </c>
      <c r="G1698" s="5" t="str">
        <f t="shared" si="114"/>
        <v/>
      </c>
      <c r="I1698" s="6" t="str">
        <f t="shared" si="115"/>
        <v>0</v>
      </c>
    </row>
    <row r="1699" spans="1:11">
      <c r="A1699" t="s">
        <v>2124</v>
      </c>
      <c r="B1699" t="s">
        <v>309</v>
      </c>
      <c r="E1699" t="str">
        <f>IF(D1699&lt;&gt;"",C1699&amp;"/"&amp;D1699,"")</f>
        <v/>
      </c>
      <c r="G1699" s="5" t="str">
        <f t="shared" si="114"/>
        <v/>
      </c>
      <c r="I1699" s="6" t="str">
        <f t="shared" si="115"/>
        <v>0</v>
      </c>
    </row>
    <row r="1700" spans="1:11">
      <c r="A1700" t="s">
        <v>2125</v>
      </c>
      <c r="B1700" t="s">
        <v>309</v>
      </c>
      <c r="E1700" t="str">
        <f>IF(D1700&lt;&gt;"",C1700&amp;"/"&amp;D1700,"")</f>
        <v/>
      </c>
      <c r="G1700" s="5" t="str">
        <f t="shared" si="114"/>
        <v/>
      </c>
      <c r="I1700" s="6" t="str">
        <f t="shared" si="115"/>
        <v>0</v>
      </c>
    </row>
    <row r="1701" spans="1:11">
      <c r="A1701" t="s">
        <v>2127</v>
      </c>
      <c r="B1701" t="s">
        <v>3281</v>
      </c>
      <c r="G1701" s="5" t="str">
        <f t="shared" si="114"/>
        <v/>
      </c>
      <c r="I1701" s="6" t="str">
        <f t="shared" si="115"/>
        <v>0</v>
      </c>
      <c r="K1701" s="19" t="s">
        <v>4519</v>
      </c>
    </row>
    <row r="1702" spans="1:11">
      <c r="A1702" t="s">
        <v>2129</v>
      </c>
      <c r="B1702" t="s">
        <v>3275</v>
      </c>
      <c r="G1702" s="5" t="str">
        <f t="shared" si="114"/>
        <v/>
      </c>
      <c r="I1702" s="6" t="str">
        <f t="shared" si="115"/>
        <v>0</v>
      </c>
      <c r="K1702" s="19" t="s">
        <v>4520</v>
      </c>
    </row>
    <row r="1703" spans="1:11">
      <c r="A1703" t="s">
        <v>2128</v>
      </c>
      <c r="E1703" t="str">
        <f t="shared" ref="E1703:E1713" si="117">IF(D1703&lt;&gt;"",C1703&amp;"/"&amp;D1703,"")</f>
        <v/>
      </c>
      <c r="G1703" s="5" t="str">
        <f t="shared" si="114"/>
        <v/>
      </c>
      <c r="I1703" s="6" t="str">
        <f t="shared" si="115"/>
        <v>0</v>
      </c>
    </row>
    <row r="1704" spans="1:11" ht="17">
      <c r="A1704" t="s">
        <v>2131</v>
      </c>
      <c r="B1704" s="17" t="s">
        <v>3615</v>
      </c>
      <c r="C1704" s="5" t="s">
        <v>3114</v>
      </c>
      <c r="D1704" s="17" t="s">
        <v>3616</v>
      </c>
      <c r="E1704" t="str">
        <f t="shared" si="117"/>
        <v>gfx-data/Dungeon_CentredComponents.lookup</v>
      </c>
      <c r="F1704" s="16" t="s">
        <v>3617</v>
      </c>
      <c r="G1704" s="5">
        <f t="shared" si="114"/>
        <v>37436</v>
      </c>
      <c r="H1704" s="5">
        <v>20</v>
      </c>
      <c r="I1704" s="6" t="str">
        <f t="shared" si="115"/>
        <v>14</v>
      </c>
      <c r="K1704" s="19" t="s">
        <v>3618</v>
      </c>
    </row>
    <row r="1705" spans="1:11" ht="17">
      <c r="A1705" t="s">
        <v>2132</v>
      </c>
      <c r="B1705" s="17" t="s">
        <v>3663</v>
      </c>
      <c r="D1705" s="17"/>
      <c r="E1705" t="str">
        <f t="shared" si="117"/>
        <v/>
      </c>
      <c r="F1705" s="16"/>
      <c r="G1705" s="5" t="str">
        <f t="shared" si="114"/>
        <v/>
      </c>
      <c r="I1705" s="6" t="str">
        <f t="shared" si="115"/>
        <v>0</v>
      </c>
      <c r="K1705" s="19" t="s">
        <v>3664</v>
      </c>
    </row>
    <row r="1706" spans="1:11">
      <c r="A1706" t="s">
        <v>2133</v>
      </c>
      <c r="B1706" t="s">
        <v>309</v>
      </c>
      <c r="E1706" t="str">
        <f t="shared" si="117"/>
        <v/>
      </c>
      <c r="G1706" s="5" t="str">
        <f t="shared" si="114"/>
        <v/>
      </c>
      <c r="I1706" s="6" t="str">
        <f t="shared" si="115"/>
        <v>0</v>
      </c>
    </row>
    <row r="1707" spans="1:11">
      <c r="A1707" t="s">
        <v>2134</v>
      </c>
      <c r="B1707" t="s">
        <v>309</v>
      </c>
      <c r="E1707" t="str">
        <f t="shared" si="117"/>
        <v/>
      </c>
      <c r="G1707" s="5" t="str">
        <f t="shared" si="114"/>
        <v/>
      </c>
      <c r="I1707" s="6" t="str">
        <f t="shared" si="115"/>
        <v>0</v>
      </c>
    </row>
    <row r="1708" spans="1:11">
      <c r="A1708" t="s">
        <v>2135</v>
      </c>
      <c r="B1708" t="s">
        <v>309</v>
      </c>
      <c r="E1708" t="str">
        <f t="shared" si="117"/>
        <v/>
      </c>
      <c r="G1708" s="5" t="str">
        <f t="shared" si="114"/>
        <v/>
      </c>
      <c r="I1708" s="6" t="str">
        <f t="shared" si="115"/>
        <v>0</v>
      </c>
    </row>
    <row r="1709" spans="1:11">
      <c r="A1709" t="s">
        <v>2137</v>
      </c>
      <c r="B1709" t="s">
        <v>309</v>
      </c>
      <c r="E1709" t="str">
        <f t="shared" si="117"/>
        <v/>
      </c>
      <c r="G1709" s="5" t="str">
        <f t="shared" si="114"/>
        <v/>
      </c>
      <c r="I1709" s="6" t="str">
        <f t="shared" si="115"/>
        <v>0</v>
      </c>
    </row>
    <row r="1710" spans="1:11">
      <c r="A1710" t="s">
        <v>2138</v>
      </c>
      <c r="B1710" t="s">
        <v>5552</v>
      </c>
      <c r="G1710" s="5" t="str">
        <f t="shared" si="114"/>
        <v/>
      </c>
      <c r="I1710" s="6" t="str">
        <f t="shared" si="115"/>
        <v>0</v>
      </c>
      <c r="K1710" s="19" t="s">
        <v>5553</v>
      </c>
    </row>
    <row r="1711" spans="1:11">
      <c r="A1711" t="s">
        <v>2139</v>
      </c>
      <c r="B1711" t="s">
        <v>309</v>
      </c>
      <c r="E1711" t="str">
        <f t="shared" si="117"/>
        <v/>
      </c>
      <c r="G1711" s="5" t="str">
        <f t="shared" si="114"/>
        <v/>
      </c>
      <c r="I1711" s="6" t="str">
        <f t="shared" si="115"/>
        <v>0</v>
      </c>
    </row>
    <row r="1712" spans="1:11">
      <c r="A1712" t="s">
        <v>2142</v>
      </c>
      <c r="B1712" t="s">
        <v>309</v>
      </c>
      <c r="E1712" t="str">
        <f t="shared" si="117"/>
        <v/>
      </c>
      <c r="G1712" s="5" t="str">
        <f t="shared" si="114"/>
        <v/>
      </c>
      <c r="I1712" s="6" t="str">
        <f t="shared" si="115"/>
        <v>0</v>
      </c>
    </row>
    <row r="1713" spans="1:11">
      <c r="A1713" t="s">
        <v>2143</v>
      </c>
      <c r="B1713" t="s">
        <v>309</v>
      </c>
      <c r="E1713" t="str">
        <f t="shared" si="117"/>
        <v/>
      </c>
      <c r="G1713" s="5" t="str">
        <f t="shared" si="114"/>
        <v/>
      </c>
      <c r="I1713" s="6" t="str">
        <f t="shared" si="115"/>
        <v>0</v>
      </c>
    </row>
    <row r="1714" spans="1:11">
      <c r="A1714" t="s">
        <v>2144</v>
      </c>
      <c r="B1714" t="s">
        <v>3833</v>
      </c>
      <c r="C1714" s="5" t="s">
        <v>3114</v>
      </c>
      <c r="D1714" t="s">
        <v>3888</v>
      </c>
      <c r="E1714" t="s">
        <v>3889</v>
      </c>
      <c r="F1714" s="5" t="s">
        <v>3834</v>
      </c>
      <c r="G1714" s="5">
        <f t="shared" si="114"/>
        <v>37630</v>
      </c>
      <c r="H1714" s="5">
        <v>60</v>
      </c>
      <c r="I1714" s="6" t="str">
        <f t="shared" si="115"/>
        <v>3C</v>
      </c>
      <c r="K1714" s="19" t="s">
        <v>3890</v>
      </c>
    </row>
    <row r="1715" spans="1:11">
      <c r="A1715" t="s">
        <v>2145</v>
      </c>
      <c r="B1715" t="s">
        <v>3891</v>
      </c>
      <c r="F1715" s="5" t="s">
        <v>3835</v>
      </c>
      <c r="G1715" s="5">
        <f t="shared" si="114"/>
        <v>37646</v>
      </c>
      <c r="I1715" s="6" t="str">
        <f t="shared" si="115"/>
        <v>0</v>
      </c>
    </row>
    <row r="1716" spans="1:11">
      <c r="A1716" t="s">
        <v>2146</v>
      </c>
      <c r="B1716" t="s">
        <v>3892</v>
      </c>
      <c r="F1716" s="5" t="s">
        <v>3836</v>
      </c>
      <c r="G1716" s="5">
        <f t="shared" si="114"/>
        <v>37650</v>
      </c>
      <c r="I1716" s="6" t="str">
        <f t="shared" si="115"/>
        <v>0</v>
      </c>
    </row>
    <row r="1717" spans="1:11">
      <c r="A1717" t="s">
        <v>2147</v>
      </c>
      <c r="B1717" t="s">
        <v>3893</v>
      </c>
      <c r="F1717" s="5" t="s">
        <v>3837</v>
      </c>
      <c r="G1717" s="5">
        <f t="shared" si="114"/>
        <v>37669</v>
      </c>
      <c r="I1717" s="6" t="str">
        <f t="shared" si="115"/>
        <v>0</v>
      </c>
    </row>
    <row r="1718" spans="1:11">
      <c r="A1718" t="s">
        <v>2148</v>
      </c>
      <c r="B1718" t="s">
        <v>3894</v>
      </c>
      <c r="F1718" s="5" t="s">
        <v>3838</v>
      </c>
      <c r="G1718" s="5">
        <f t="shared" si="114"/>
        <v>37677</v>
      </c>
      <c r="I1718" s="6" t="str">
        <f t="shared" si="115"/>
        <v>0</v>
      </c>
    </row>
    <row r="1719" spans="1:11">
      <c r="A1719" t="s">
        <v>2149</v>
      </c>
      <c r="B1719" t="s">
        <v>3895</v>
      </c>
      <c r="F1719" s="5" t="s">
        <v>3839</v>
      </c>
      <c r="G1719" s="5">
        <f t="shared" si="114"/>
        <v>37682</v>
      </c>
      <c r="I1719" s="6" t="str">
        <f t="shared" si="115"/>
        <v>0</v>
      </c>
    </row>
    <row r="1720" spans="1:11">
      <c r="A1720" t="s">
        <v>2150</v>
      </c>
      <c r="B1720" t="s">
        <v>3795</v>
      </c>
      <c r="G1720" s="5" t="str">
        <f t="shared" si="114"/>
        <v/>
      </c>
      <c r="I1720" s="6" t="str">
        <f t="shared" si="115"/>
        <v>0</v>
      </c>
      <c r="K1720" s="19" t="s">
        <v>3796</v>
      </c>
    </row>
    <row r="1721" spans="1:11">
      <c r="A1721" t="s">
        <v>2151</v>
      </c>
      <c r="B1721" t="s">
        <v>3797</v>
      </c>
      <c r="G1721" s="5" t="str">
        <f t="shared" si="114"/>
        <v/>
      </c>
      <c r="I1721" s="6" t="str">
        <f t="shared" si="115"/>
        <v>0</v>
      </c>
      <c r="K1721" s="19" t="s">
        <v>3798</v>
      </c>
    </row>
    <row r="1722" spans="1:11">
      <c r="A1722" t="s">
        <v>2152</v>
      </c>
      <c r="B1722" t="s">
        <v>3799</v>
      </c>
      <c r="G1722" s="5" t="str">
        <f t="shared" si="114"/>
        <v/>
      </c>
      <c r="I1722" s="6" t="str">
        <f t="shared" si="115"/>
        <v>0</v>
      </c>
      <c r="K1722" s="19" t="s">
        <v>3800</v>
      </c>
    </row>
    <row r="1723" spans="1:11">
      <c r="A1723" t="s">
        <v>2153</v>
      </c>
      <c r="B1723" t="s">
        <v>3801</v>
      </c>
      <c r="G1723" s="5" t="str">
        <f t="shared" si="114"/>
        <v/>
      </c>
      <c r="I1723" s="6" t="str">
        <f t="shared" si="115"/>
        <v>0</v>
      </c>
      <c r="K1723" s="19" t="s">
        <v>3802</v>
      </c>
    </row>
    <row r="1724" spans="1:11">
      <c r="A1724" t="s">
        <v>2154</v>
      </c>
      <c r="B1724" t="s">
        <v>3249</v>
      </c>
      <c r="C1724" s="5" t="s">
        <v>3114</v>
      </c>
      <c r="D1724" t="s">
        <v>3840</v>
      </c>
      <c r="E1724" t="s">
        <v>3841</v>
      </c>
      <c r="F1724" s="5" t="s">
        <v>3842</v>
      </c>
      <c r="G1724" s="5">
        <f t="shared" si="114"/>
        <v>37938</v>
      </c>
      <c r="H1724" s="5">
        <v>6</v>
      </c>
      <c r="I1724" s="6" t="str">
        <f t="shared" si="115"/>
        <v>6</v>
      </c>
      <c r="J1724" s="6" t="s">
        <v>3414</v>
      </c>
      <c r="K1724" s="19" t="s">
        <v>3843</v>
      </c>
    </row>
    <row r="1725" spans="1:11">
      <c r="A1725" t="s">
        <v>2155</v>
      </c>
      <c r="B1725" t="s">
        <v>3844</v>
      </c>
      <c r="C1725" s="5" t="s">
        <v>3114</v>
      </c>
      <c r="D1725" t="s">
        <v>3845</v>
      </c>
      <c r="E1725" t="s">
        <v>3846</v>
      </c>
      <c r="F1725" s="5" t="s">
        <v>3847</v>
      </c>
      <c r="G1725" s="5">
        <f t="shared" si="114"/>
        <v>37944</v>
      </c>
      <c r="H1725" s="5">
        <v>76</v>
      </c>
      <c r="I1725" s="6" t="str">
        <f t="shared" si="115"/>
        <v>4C</v>
      </c>
      <c r="J1725" s="6" t="s">
        <v>3419</v>
      </c>
      <c r="K1725" s="19" t="s">
        <v>3848</v>
      </c>
    </row>
    <row r="1726" spans="1:11">
      <c r="A1726" t="s">
        <v>2156</v>
      </c>
      <c r="B1726" t="s">
        <v>3849</v>
      </c>
      <c r="C1726" s="5" t="s">
        <v>3114</v>
      </c>
      <c r="D1726" t="s">
        <v>3850</v>
      </c>
      <c r="E1726" t="s">
        <v>3851</v>
      </c>
      <c r="F1726" s="5" t="s">
        <v>3852</v>
      </c>
      <c r="G1726" s="5">
        <f t="shared" si="114"/>
        <v>38020</v>
      </c>
      <c r="H1726" s="5">
        <v>20</v>
      </c>
      <c r="I1726" s="6" t="str">
        <f t="shared" si="115"/>
        <v>14</v>
      </c>
      <c r="J1726" s="6" t="s">
        <v>3419</v>
      </c>
      <c r="K1726" s="19" t="s">
        <v>3853</v>
      </c>
    </row>
    <row r="1727" spans="1:11">
      <c r="A1727" t="s">
        <v>2157</v>
      </c>
      <c r="B1727" t="s">
        <v>3854</v>
      </c>
      <c r="C1727" s="5" t="s">
        <v>3114</v>
      </c>
      <c r="D1727" t="s">
        <v>3855</v>
      </c>
      <c r="E1727" t="s">
        <v>3856</v>
      </c>
      <c r="F1727" s="5" t="s">
        <v>3857</v>
      </c>
      <c r="G1727" s="5">
        <f t="shared" si="114"/>
        <v>38040</v>
      </c>
      <c r="H1727" s="5">
        <v>136</v>
      </c>
      <c r="I1727" s="6" t="str">
        <f t="shared" si="115"/>
        <v>88</v>
      </c>
      <c r="J1727" s="6" t="s">
        <v>3419</v>
      </c>
      <c r="K1727" s="19" t="s">
        <v>3858</v>
      </c>
    </row>
    <row r="1728" spans="1:11">
      <c r="A1728" t="s">
        <v>2158</v>
      </c>
      <c r="B1728" t="s">
        <v>5554</v>
      </c>
      <c r="G1728" s="5" t="str">
        <f t="shared" si="114"/>
        <v/>
      </c>
      <c r="I1728" s="6" t="str">
        <f t="shared" si="115"/>
        <v>0</v>
      </c>
      <c r="K1728" s="19" t="s">
        <v>5555</v>
      </c>
    </row>
    <row r="1729" spans="1:11">
      <c r="A1729" t="s">
        <v>2160</v>
      </c>
      <c r="B1729" t="s">
        <v>309</v>
      </c>
      <c r="E1729" t="str">
        <f t="shared" ref="E1729:E1737" si="118">IF(D1729&lt;&gt;"",C1729&amp;"/"&amp;D1729,"")</f>
        <v/>
      </c>
      <c r="G1729" s="5" t="str">
        <f t="shared" si="114"/>
        <v/>
      </c>
      <c r="I1729" s="6" t="str">
        <f t="shared" si="115"/>
        <v>0</v>
      </c>
    </row>
    <row r="1730" spans="1:11">
      <c r="A1730" t="s">
        <v>2161</v>
      </c>
      <c r="B1730" t="s">
        <v>309</v>
      </c>
      <c r="E1730" t="str">
        <f t="shared" si="118"/>
        <v/>
      </c>
      <c r="G1730" s="5" t="str">
        <f t="shared" ref="G1730:G1793" si="119">IF(F1730&lt;&gt;"",HEX2DEC(SUBSTITUTE(SUBSTITUTE(F1730,"adrEA",""),"$","")),"")</f>
        <v/>
      </c>
      <c r="I1730" s="6" t="str">
        <f t="shared" ref="I1730:I1793" si="120">IFERROR(DEC2HEX(H1730),"")</f>
        <v>0</v>
      </c>
    </row>
    <row r="1731" spans="1:11">
      <c r="A1731" t="s">
        <v>2162</v>
      </c>
      <c r="B1731" t="s">
        <v>309</v>
      </c>
      <c r="E1731" t="str">
        <f t="shared" si="118"/>
        <v/>
      </c>
      <c r="G1731" s="5" t="str">
        <f t="shared" si="119"/>
        <v/>
      </c>
      <c r="I1731" s="6" t="str">
        <f t="shared" si="120"/>
        <v>0</v>
      </c>
    </row>
    <row r="1732" spans="1:11">
      <c r="A1732" t="s">
        <v>2163</v>
      </c>
      <c r="B1732" t="s">
        <v>309</v>
      </c>
      <c r="E1732" t="str">
        <f t="shared" si="118"/>
        <v/>
      </c>
      <c r="G1732" s="5" t="str">
        <f t="shared" si="119"/>
        <v/>
      </c>
      <c r="I1732" s="6" t="str">
        <f t="shared" si="120"/>
        <v>0</v>
      </c>
    </row>
    <row r="1733" spans="1:11">
      <c r="A1733" t="s">
        <v>2164</v>
      </c>
      <c r="B1733" t="s">
        <v>309</v>
      </c>
      <c r="E1733" t="str">
        <f t="shared" si="118"/>
        <v/>
      </c>
      <c r="G1733" s="5" t="str">
        <f t="shared" si="119"/>
        <v/>
      </c>
      <c r="I1733" s="6" t="str">
        <f t="shared" si="120"/>
        <v>0</v>
      </c>
    </row>
    <row r="1734" spans="1:11">
      <c r="A1734" t="s">
        <v>2165</v>
      </c>
      <c r="B1734" t="s">
        <v>309</v>
      </c>
      <c r="E1734" t="str">
        <f t="shared" si="118"/>
        <v/>
      </c>
      <c r="G1734" s="5" t="str">
        <f t="shared" si="119"/>
        <v/>
      </c>
      <c r="I1734" s="6" t="str">
        <f t="shared" si="120"/>
        <v>0</v>
      </c>
    </row>
    <row r="1735" spans="1:11">
      <c r="A1735" t="s">
        <v>2166</v>
      </c>
      <c r="B1735" t="s">
        <v>309</v>
      </c>
      <c r="E1735" t="str">
        <f t="shared" si="118"/>
        <v/>
      </c>
      <c r="G1735" s="5" t="str">
        <f t="shared" si="119"/>
        <v/>
      </c>
      <c r="I1735" s="6" t="str">
        <f t="shared" si="120"/>
        <v>0</v>
      </c>
    </row>
    <row r="1736" spans="1:11">
      <c r="A1736" t="s">
        <v>2167</v>
      </c>
      <c r="B1736" t="s">
        <v>309</v>
      </c>
      <c r="E1736" t="str">
        <f t="shared" si="118"/>
        <v/>
      </c>
      <c r="G1736" s="5" t="str">
        <f t="shared" si="119"/>
        <v/>
      </c>
      <c r="I1736" s="6" t="str">
        <f t="shared" si="120"/>
        <v>0</v>
      </c>
    </row>
    <row r="1737" spans="1:11" ht="23" customHeight="1">
      <c r="A1737" t="s">
        <v>2168</v>
      </c>
      <c r="B1737" t="s">
        <v>309</v>
      </c>
      <c r="E1737" t="str">
        <f t="shared" si="118"/>
        <v/>
      </c>
      <c r="G1737" s="5" t="str">
        <f t="shared" si="119"/>
        <v/>
      </c>
      <c r="I1737" s="6" t="str">
        <f t="shared" si="120"/>
        <v>0</v>
      </c>
    </row>
    <row r="1738" spans="1:11">
      <c r="A1738" t="s">
        <v>2174</v>
      </c>
      <c r="B1738" t="s">
        <v>3385</v>
      </c>
      <c r="G1738" s="5" t="str">
        <f t="shared" si="119"/>
        <v/>
      </c>
      <c r="I1738" s="6" t="str">
        <f t="shared" si="120"/>
        <v>0</v>
      </c>
      <c r="K1738" s="19" t="s">
        <v>4540</v>
      </c>
    </row>
    <row r="1739" spans="1:11">
      <c r="A1739" t="s">
        <v>2175</v>
      </c>
      <c r="B1739" t="s">
        <v>309</v>
      </c>
      <c r="E1739" t="str">
        <f>IF(D1739&lt;&gt;"",C1739&amp;"/"&amp;D1739,"")</f>
        <v/>
      </c>
      <c r="G1739" s="5" t="str">
        <f t="shared" si="119"/>
        <v/>
      </c>
      <c r="I1739" s="6" t="str">
        <f t="shared" si="120"/>
        <v>0</v>
      </c>
    </row>
    <row r="1740" spans="1:11">
      <c r="A1740" t="s">
        <v>2176</v>
      </c>
      <c r="B1740" t="s">
        <v>309</v>
      </c>
      <c r="E1740" t="str">
        <f>IF(D1740&lt;&gt;"",C1740&amp;"/"&amp;D1740,"")</f>
        <v/>
      </c>
      <c r="G1740" s="5" t="str">
        <f t="shared" si="119"/>
        <v/>
      </c>
      <c r="I1740" s="6" t="str">
        <f t="shared" si="120"/>
        <v>0</v>
      </c>
    </row>
    <row r="1741" spans="1:11">
      <c r="A1741" t="s">
        <v>2177</v>
      </c>
      <c r="B1741" t="s">
        <v>309</v>
      </c>
      <c r="E1741" t="str">
        <f>IF(D1741&lt;&gt;"",C1741&amp;"/"&amp;D1741,"")</f>
        <v/>
      </c>
      <c r="G1741" s="5" t="str">
        <f t="shared" si="119"/>
        <v/>
      </c>
      <c r="I1741" s="6" t="str">
        <f t="shared" si="120"/>
        <v>0</v>
      </c>
    </row>
    <row r="1742" spans="1:11">
      <c r="A1742" t="s">
        <v>2178</v>
      </c>
      <c r="B1742" t="s">
        <v>5382</v>
      </c>
      <c r="C1742" s="7" t="s">
        <v>5383</v>
      </c>
      <c r="D1742" t="s">
        <v>5384</v>
      </c>
      <c r="E1742" t="s">
        <v>5385</v>
      </c>
      <c r="F1742" s="5" t="s">
        <v>5386</v>
      </c>
      <c r="G1742" s="5">
        <f t="shared" si="119"/>
        <v>38472</v>
      </c>
      <c r="H1742" s="5">
        <v>8</v>
      </c>
      <c r="I1742" s="6" t="str">
        <f t="shared" si="120"/>
        <v>8</v>
      </c>
      <c r="J1742" s="6" t="s">
        <v>3414</v>
      </c>
      <c r="K1742" s="19" t="s">
        <v>5387</v>
      </c>
    </row>
    <row r="1743" spans="1:11">
      <c r="A1743" t="s">
        <v>2179</v>
      </c>
      <c r="B1743" t="s">
        <v>5388</v>
      </c>
      <c r="C1743" s="7" t="s">
        <v>5383</v>
      </c>
      <c r="D1743" t="s">
        <v>5389</v>
      </c>
      <c r="E1743" t="s">
        <v>5390</v>
      </c>
      <c r="F1743" s="5" t="s">
        <v>5391</v>
      </c>
      <c r="G1743" s="5">
        <f t="shared" si="119"/>
        <v>38480</v>
      </c>
      <c r="H1743" s="5">
        <v>8</v>
      </c>
      <c r="I1743" s="6" t="str">
        <f t="shared" si="120"/>
        <v>8</v>
      </c>
      <c r="J1743" s="6" t="s">
        <v>3419</v>
      </c>
      <c r="K1743" s="19" t="s">
        <v>5392</v>
      </c>
    </row>
    <row r="1744" spans="1:11">
      <c r="A1744" t="s">
        <v>2181</v>
      </c>
      <c r="B1744" t="s">
        <v>5329</v>
      </c>
      <c r="C1744" s="7"/>
      <c r="G1744" s="5" t="str">
        <f t="shared" si="119"/>
        <v/>
      </c>
      <c r="I1744" s="6" t="str">
        <f t="shared" si="120"/>
        <v>0</v>
      </c>
      <c r="K1744" s="19" t="s">
        <v>5330</v>
      </c>
    </row>
    <row r="1745" spans="1:11">
      <c r="A1745" t="s">
        <v>2183</v>
      </c>
      <c r="B1745" t="s">
        <v>5331</v>
      </c>
      <c r="C1745" s="7"/>
      <c r="G1745" s="5" t="str">
        <f t="shared" si="119"/>
        <v/>
      </c>
      <c r="I1745" s="6" t="str">
        <f t="shared" si="120"/>
        <v>0</v>
      </c>
      <c r="K1745" s="19" t="s">
        <v>5332</v>
      </c>
    </row>
    <row r="1746" spans="1:11">
      <c r="A1746" t="s">
        <v>2184</v>
      </c>
      <c r="B1746" t="s">
        <v>5333</v>
      </c>
      <c r="C1746" s="7"/>
      <c r="G1746" s="5" t="str">
        <f t="shared" si="119"/>
        <v/>
      </c>
      <c r="I1746" s="6" t="str">
        <f t="shared" si="120"/>
        <v>0</v>
      </c>
      <c r="K1746" s="19" t="s">
        <v>5334</v>
      </c>
    </row>
    <row r="1747" spans="1:11">
      <c r="A1747" t="s">
        <v>2185</v>
      </c>
      <c r="B1747" t="s">
        <v>5335</v>
      </c>
      <c r="C1747" s="7"/>
      <c r="G1747" s="5" t="str">
        <f t="shared" si="119"/>
        <v/>
      </c>
      <c r="I1747" s="6" t="str">
        <f t="shared" si="120"/>
        <v>0</v>
      </c>
      <c r="K1747" s="19" t="s">
        <v>5336</v>
      </c>
    </row>
    <row r="1748" spans="1:11">
      <c r="A1748" t="s">
        <v>2186</v>
      </c>
      <c r="B1748" t="s">
        <v>5337</v>
      </c>
      <c r="C1748" s="7"/>
      <c r="G1748" s="5" t="str">
        <f t="shared" si="119"/>
        <v/>
      </c>
      <c r="I1748" s="6" t="str">
        <f t="shared" si="120"/>
        <v>0</v>
      </c>
      <c r="K1748" s="19" t="s">
        <v>5338</v>
      </c>
    </row>
    <row r="1749" spans="1:11">
      <c r="A1749" t="s">
        <v>2187</v>
      </c>
      <c r="B1749" t="s">
        <v>5339</v>
      </c>
      <c r="C1749" s="7"/>
      <c r="G1749" s="5" t="str">
        <f t="shared" si="119"/>
        <v/>
      </c>
      <c r="I1749" s="6" t="str">
        <f t="shared" si="120"/>
        <v>0</v>
      </c>
      <c r="K1749" s="19" t="s">
        <v>5340</v>
      </c>
    </row>
    <row r="1750" spans="1:11">
      <c r="A1750" t="s">
        <v>2188</v>
      </c>
      <c r="B1750" t="s">
        <v>5341</v>
      </c>
      <c r="C1750" s="7"/>
      <c r="G1750" s="5" t="str">
        <f t="shared" si="119"/>
        <v/>
      </c>
      <c r="I1750" s="6" t="str">
        <f t="shared" si="120"/>
        <v>0</v>
      </c>
      <c r="K1750" s="19" t="s">
        <v>5342</v>
      </c>
    </row>
    <row r="1751" spans="1:11">
      <c r="A1751" t="s">
        <v>2189</v>
      </c>
      <c r="B1751" t="s">
        <v>5343</v>
      </c>
      <c r="C1751" s="7"/>
      <c r="G1751" s="5" t="str">
        <f t="shared" si="119"/>
        <v/>
      </c>
      <c r="I1751" s="6" t="str">
        <f t="shared" si="120"/>
        <v>0</v>
      </c>
      <c r="K1751" s="19" t="s">
        <v>5344</v>
      </c>
    </row>
    <row r="1752" spans="1:11">
      <c r="A1752" t="s">
        <v>2190</v>
      </c>
      <c r="B1752" t="s">
        <v>2191</v>
      </c>
      <c r="E1752" t="str">
        <f>IF(D1752&lt;&gt;"",C1752&amp;"/"&amp;D1752,"")</f>
        <v/>
      </c>
      <c r="G1752" s="5" t="str">
        <f t="shared" si="119"/>
        <v/>
      </c>
      <c r="I1752" s="6" t="str">
        <f t="shared" si="120"/>
        <v>0</v>
      </c>
    </row>
    <row r="1753" spans="1:11">
      <c r="A1753" t="s">
        <v>2192</v>
      </c>
      <c r="B1753" t="s">
        <v>5345</v>
      </c>
      <c r="C1753" s="7"/>
      <c r="G1753" s="5" t="str">
        <f t="shared" si="119"/>
        <v/>
      </c>
      <c r="I1753" s="6" t="str">
        <f t="shared" si="120"/>
        <v>0</v>
      </c>
      <c r="K1753" s="19" t="s">
        <v>5346</v>
      </c>
    </row>
    <row r="1754" spans="1:11">
      <c r="A1754" t="s">
        <v>2193</v>
      </c>
      <c r="B1754" t="s">
        <v>5347</v>
      </c>
      <c r="C1754" s="7"/>
      <c r="G1754" s="5" t="str">
        <f t="shared" si="119"/>
        <v/>
      </c>
      <c r="I1754" s="6" t="str">
        <f t="shared" si="120"/>
        <v>0</v>
      </c>
      <c r="K1754" s="19" t="s">
        <v>5348</v>
      </c>
    </row>
    <row r="1755" spans="1:11">
      <c r="A1755" t="s">
        <v>2194</v>
      </c>
      <c r="B1755" t="s">
        <v>5349</v>
      </c>
      <c r="C1755" s="7"/>
      <c r="G1755" s="5" t="str">
        <f t="shared" si="119"/>
        <v/>
      </c>
      <c r="I1755" s="6" t="str">
        <f t="shared" si="120"/>
        <v>0</v>
      </c>
      <c r="K1755" s="19" t="s">
        <v>5350</v>
      </c>
    </row>
    <row r="1756" spans="1:11">
      <c r="A1756" t="s">
        <v>2195</v>
      </c>
      <c r="B1756" t="s">
        <v>5351</v>
      </c>
      <c r="C1756" s="7"/>
      <c r="G1756" s="5" t="str">
        <f t="shared" si="119"/>
        <v/>
      </c>
      <c r="I1756" s="6" t="str">
        <f t="shared" si="120"/>
        <v>0</v>
      </c>
      <c r="K1756" s="19" t="s">
        <v>5352</v>
      </c>
    </row>
    <row r="1757" spans="1:11">
      <c r="A1757" t="s">
        <v>2196</v>
      </c>
      <c r="B1757" t="s">
        <v>5353</v>
      </c>
      <c r="C1757" s="7"/>
      <c r="G1757" s="5" t="str">
        <f t="shared" si="119"/>
        <v/>
      </c>
      <c r="I1757" s="6" t="str">
        <f t="shared" si="120"/>
        <v>0</v>
      </c>
      <c r="K1757" s="19" t="s">
        <v>5354</v>
      </c>
    </row>
    <row r="1758" spans="1:11">
      <c r="A1758" t="s">
        <v>2197</v>
      </c>
      <c r="B1758" t="s">
        <v>5355</v>
      </c>
      <c r="C1758" s="7"/>
      <c r="G1758" s="5" t="str">
        <f t="shared" si="119"/>
        <v/>
      </c>
      <c r="I1758" s="6" t="str">
        <f t="shared" si="120"/>
        <v>0</v>
      </c>
      <c r="K1758" s="19" t="s">
        <v>5356</v>
      </c>
    </row>
    <row r="1759" spans="1:11">
      <c r="A1759" t="s">
        <v>2198</v>
      </c>
      <c r="B1759" t="s">
        <v>5357</v>
      </c>
      <c r="C1759" s="7"/>
      <c r="G1759" s="5" t="str">
        <f t="shared" si="119"/>
        <v/>
      </c>
      <c r="I1759" s="6" t="str">
        <f t="shared" si="120"/>
        <v>0</v>
      </c>
      <c r="K1759" s="19" t="s">
        <v>5358</v>
      </c>
    </row>
    <row r="1760" spans="1:11" ht="17">
      <c r="A1760" t="s">
        <v>2199</v>
      </c>
      <c r="B1760" s="17" t="s">
        <v>3580</v>
      </c>
      <c r="C1760" s="16" t="s">
        <v>3114</v>
      </c>
      <c r="D1760" s="17" t="s">
        <v>3581</v>
      </c>
      <c r="E1760" t="str">
        <f>IF(D1760&lt;&gt;"",C1760&amp;"/"&amp;D1760,"")</f>
        <v>gfx-data/AirbourneSpells.colours</v>
      </c>
      <c r="F1760" s="16" t="s">
        <v>3582</v>
      </c>
      <c r="G1760" s="5">
        <f t="shared" si="119"/>
        <v>38892</v>
      </c>
      <c r="H1760" s="17">
        <v>80</v>
      </c>
      <c r="I1760" s="6" t="str">
        <f t="shared" si="120"/>
        <v>50</v>
      </c>
      <c r="J1760"/>
      <c r="K1760" s="15" t="s">
        <v>3583</v>
      </c>
    </row>
    <row r="1761" spans="1:11">
      <c r="A1761" t="s">
        <v>2200</v>
      </c>
      <c r="B1761" t="s">
        <v>3386</v>
      </c>
      <c r="G1761" s="5" t="str">
        <f t="shared" si="119"/>
        <v/>
      </c>
      <c r="I1761" s="6" t="str">
        <f t="shared" si="120"/>
        <v>0</v>
      </c>
      <c r="K1761" s="19" t="s">
        <v>4541</v>
      </c>
    </row>
    <row r="1762" spans="1:11" ht="17">
      <c r="A1762" t="s">
        <v>2202</v>
      </c>
      <c r="B1762" s="17" t="s">
        <v>3596</v>
      </c>
      <c r="C1762" s="16" t="s">
        <v>3115</v>
      </c>
      <c r="E1762" t="str">
        <f t="shared" ref="E1762:E1776" si="121">IF(D1762&lt;&gt;"",C1762&amp;"/"&amp;D1762,"")</f>
        <v/>
      </c>
      <c r="G1762" s="5" t="str">
        <f t="shared" si="119"/>
        <v/>
      </c>
      <c r="H1762"/>
      <c r="I1762" s="6" t="str">
        <f t="shared" si="120"/>
        <v>0</v>
      </c>
      <c r="J1762"/>
      <c r="K1762" s="15" t="s">
        <v>3597</v>
      </c>
    </row>
    <row r="1763" spans="1:11" ht="17">
      <c r="A1763" t="s">
        <v>2203</v>
      </c>
      <c r="B1763" s="17" t="s">
        <v>3598</v>
      </c>
      <c r="C1763" s="16" t="s">
        <v>3115</v>
      </c>
      <c r="E1763" t="str">
        <f t="shared" si="121"/>
        <v/>
      </c>
      <c r="G1763" s="5" t="str">
        <f t="shared" si="119"/>
        <v/>
      </c>
      <c r="H1763"/>
      <c r="I1763" s="6" t="str">
        <f t="shared" si="120"/>
        <v>0</v>
      </c>
      <c r="K1763" s="15" t="s">
        <v>3599</v>
      </c>
    </row>
    <row r="1764" spans="1:11" ht="17">
      <c r="A1764" t="s">
        <v>2204</v>
      </c>
      <c r="B1764" s="17" t="s">
        <v>3584</v>
      </c>
      <c r="C1764" s="16" t="s">
        <v>3114</v>
      </c>
      <c r="D1764" s="17" t="s">
        <v>3585</v>
      </c>
      <c r="E1764" t="str">
        <f t="shared" si="121"/>
        <v>gfx-data/AirbourneSpell_DistanceGroups.lookup</v>
      </c>
      <c r="F1764" s="16" t="s">
        <v>3586</v>
      </c>
      <c r="G1764" s="5">
        <f t="shared" si="119"/>
        <v>39140</v>
      </c>
      <c r="H1764" s="17">
        <v>6</v>
      </c>
      <c r="I1764" s="6" t="str">
        <f t="shared" si="120"/>
        <v>6</v>
      </c>
      <c r="J1764"/>
      <c r="K1764" s="15" t="s">
        <v>3587</v>
      </c>
    </row>
    <row r="1765" spans="1:11" ht="17">
      <c r="A1765" t="s">
        <v>2205</v>
      </c>
      <c r="B1765" s="17" t="s">
        <v>3588</v>
      </c>
      <c r="C1765" s="16" t="s">
        <v>3114</v>
      </c>
      <c r="D1765" s="17" t="s">
        <v>3589</v>
      </c>
      <c r="E1765" t="str">
        <f t="shared" si="121"/>
        <v>gfx-data/AirbourneFireball.layout</v>
      </c>
      <c r="F1765" s="16" t="s">
        <v>3590</v>
      </c>
      <c r="G1765" s="5">
        <f t="shared" si="119"/>
        <v>39146</v>
      </c>
      <c r="H1765" s="17">
        <v>24</v>
      </c>
      <c r="I1765" s="6" t="str">
        <f t="shared" si="120"/>
        <v>18</v>
      </c>
      <c r="J1765"/>
      <c r="K1765" s="15" t="s">
        <v>3591</v>
      </c>
    </row>
    <row r="1766" spans="1:11" ht="17">
      <c r="A1766" t="s">
        <v>2206</v>
      </c>
      <c r="B1766" s="17" t="s">
        <v>3592</v>
      </c>
      <c r="C1766" s="16" t="s">
        <v>3114</v>
      </c>
      <c r="D1766" s="17" t="s">
        <v>3593</v>
      </c>
      <c r="E1766" t="str">
        <f t="shared" si="121"/>
        <v>gfx-data/AirbourneSpells_Flying.layout</v>
      </c>
      <c r="F1766" s="16" t="s">
        <v>3594</v>
      </c>
      <c r="G1766" s="5">
        <f t="shared" si="119"/>
        <v>39170</v>
      </c>
      <c r="H1766" s="17">
        <v>24</v>
      </c>
      <c r="I1766" s="6" t="str">
        <f t="shared" si="120"/>
        <v>18</v>
      </c>
      <c r="J1766"/>
      <c r="K1766" s="15" t="s">
        <v>3595</v>
      </c>
    </row>
    <row r="1767" spans="1:11">
      <c r="A1767" t="s">
        <v>2208</v>
      </c>
      <c r="B1767" t="s">
        <v>5791</v>
      </c>
      <c r="G1767" s="5" t="str">
        <f t="shared" si="119"/>
        <v/>
      </c>
      <c r="I1767" s="6" t="str">
        <f t="shared" si="120"/>
        <v>0</v>
      </c>
      <c r="K1767" s="19" t="s">
        <v>5792</v>
      </c>
    </row>
    <row r="1768" spans="1:11">
      <c r="A1768" t="s">
        <v>2209</v>
      </c>
      <c r="B1768" t="s">
        <v>309</v>
      </c>
      <c r="E1768" t="str">
        <f t="shared" si="121"/>
        <v/>
      </c>
      <c r="G1768" s="5" t="str">
        <f t="shared" si="119"/>
        <v/>
      </c>
      <c r="I1768" s="6" t="str">
        <f t="shared" si="120"/>
        <v>0</v>
      </c>
    </row>
    <row r="1769" spans="1:11">
      <c r="A1769" t="s">
        <v>2210</v>
      </c>
      <c r="B1769" t="s">
        <v>2211</v>
      </c>
      <c r="E1769" t="str">
        <f t="shared" si="121"/>
        <v/>
      </c>
      <c r="G1769" s="5" t="str">
        <f t="shared" si="119"/>
        <v/>
      </c>
      <c r="I1769" s="6" t="str">
        <f t="shared" si="120"/>
        <v>0</v>
      </c>
    </row>
    <row r="1770" spans="1:11">
      <c r="A1770" t="s">
        <v>2212</v>
      </c>
      <c r="B1770" t="s">
        <v>2213</v>
      </c>
      <c r="E1770" t="str">
        <f t="shared" si="121"/>
        <v/>
      </c>
      <c r="G1770" s="5" t="str">
        <f t="shared" si="119"/>
        <v/>
      </c>
      <c r="I1770" s="6" t="str">
        <f t="shared" si="120"/>
        <v>0</v>
      </c>
    </row>
    <row r="1771" spans="1:11">
      <c r="A1771" t="s">
        <v>2214</v>
      </c>
      <c r="B1771" t="s">
        <v>309</v>
      </c>
      <c r="C1771" s="5" t="s">
        <v>3115</v>
      </c>
      <c r="E1771" t="str">
        <f t="shared" si="121"/>
        <v/>
      </c>
      <c r="G1771" s="5" t="str">
        <f t="shared" si="119"/>
        <v/>
      </c>
      <c r="I1771" s="6" t="str">
        <f t="shared" si="120"/>
        <v>0</v>
      </c>
    </row>
    <row r="1772" spans="1:11">
      <c r="A1772" t="s">
        <v>2215</v>
      </c>
      <c r="B1772" t="s">
        <v>309</v>
      </c>
      <c r="E1772" t="str">
        <f t="shared" si="121"/>
        <v/>
      </c>
      <c r="G1772" s="5" t="str">
        <f t="shared" si="119"/>
        <v/>
      </c>
      <c r="I1772" s="6" t="str">
        <f t="shared" si="120"/>
        <v>0</v>
      </c>
    </row>
    <row r="1773" spans="1:11">
      <c r="A1773" t="s">
        <v>2216</v>
      </c>
      <c r="B1773" t="s">
        <v>309</v>
      </c>
      <c r="E1773" t="str">
        <f t="shared" si="121"/>
        <v/>
      </c>
      <c r="G1773" s="5" t="str">
        <f t="shared" si="119"/>
        <v/>
      </c>
      <c r="I1773" s="6" t="str">
        <f t="shared" si="120"/>
        <v>0</v>
      </c>
    </row>
    <row r="1774" spans="1:11">
      <c r="A1774" t="s">
        <v>2217</v>
      </c>
      <c r="B1774" t="s">
        <v>309</v>
      </c>
      <c r="E1774" t="str">
        <f t="shared" si="121"/>
        <v/>
      </c>
      <c r="G1774" s="5" t="str">
        <f t="shared" si="119"/>
        <v/>
      </c>
      <c r="I1774" s="6" t="str">
        <f t="shared" si="120"/>
        <v>0</v>
      </c>
    </row>
    <row r="1775" spans="1:11">
      <c r="A1775" t="s">
        <v>2218</v>
      </c>
      <c r="B1775" t="s">
        <v>309</v>
      </c>
      <c r="E1775" t="str">
        <f t="shared" si="121"/>
        <v/>
      </c>
      <c r="G1775" s="5" t="str">
        <f t="shared" si="119"/>
        <v/>
      </c>
      <c r="I1775" s="6" t="str">
        <f t="shared" si="120"/>
        <v>0</v>
      </c>
    </row>
    <row r="1776" spans="1:11">
      <c r="A1776" t="s">
        <v>2219</v>
      </c>
      <c r="B1776" t="s">
        <v>309</v>
      </c>
      <c r="C1776" s="5" t="s">
        <v>3115</v>
      </c>
      <c r="E1776" t="str">
        <f t="shared" si="121"/>
        <v/>
      </c>
      <c r="G1776" s="5" t="str">
        <f t="shared" si="119"/>
        <v/>
      </c>
      <c r="I1776" s="6" t="str">
        <f t="shared" si="120"/>
        <v>0</v>
      </c>
    </row>
    <row r="1777" spans="1:11">
      <c r="A1777" t="s">
        <v>2227</v>
      </c>
      <c r="B1777" t="s">
        <v>2228</v>
      </c>
      <c r="G1777" s="5" t="str">
        <f t="shared" si="119"/>
        <v/>
      </c>
      <c r="I1777" s="6" t="str">
        <f t="shared" si="120"/>
        <v>0</v>
      </c>
      <c r="K1777" s="19" t="s">
        <v>4542</v>
      </c>
    </row>
    <row r="1778" spans="1:11">
      <c r="A1778" t="s">
        <v>2229</v>
      </c>
      <c r="B1778" t="s">
        <v>2230</v>
      </c>
      <c r="E1778" t="str">
        <f t="shared" ref="E1778:E1811" si="122">IF(D1778&lt;&gt;"",C1778&amp;"/"&amp;D1778,"")</f>
        <v/>
      </c>
      <c r="G1778" s="5" t="str">
        <f t="shared" si="119"/>
        <v/>
      </c>
      <c r="I1778" s="6" t="str">
        <f t="shared" si="120"/>
        <v>0</v>
      </c>
    </row>
    <row r="1779" spans="1:11">
      <c r="A1779" t="s">
        <v>2231</v>
      </c>
      <c r="B1779" t="s">
        <v>2232</v>
      </c>
      <c r="E1779" t="str">
        <f t="shared" si="122"/>
        <v/>
      </c>
      <c r="G1779" s="5" t="str">
        <f t="shared" si="119"/>
        <v/>
      </c>
      <c r="I1779" s="6" t="str">
        <f t="shared" si="120"/>
        <v>0</v>
      </c>
    </row>
    <row r="1780" spans="1:11">
      <c r="A1780" t="s">
        <v>2235</v>
      </c>
      <c r="B1780" t="s">
        <v>2236</v>
      </c>
      <c r="E1780" t="str">
        <f t="shared" si="122"/>
        <v/>
      </c>
      <c r="G1780" s="5" t="str">
        <f t="shared" si="119"/>
        <v/>
      </c>
      <c r="I1780" s="6" t="str">
        <f t="shared" si="120"/>
        <v>0</v>
      </c>
    </row>
    <row r="1781" spans="1:11">
      <c r="A1781" t="s">
        <v>2238</v>
      </c>
      <c r="B1781" t="s">
        <v>309</v>
      </c>
      <c r="E1781" t="str">
        <f t="shared" si="122"/>
        <v/>
      </c>
      <c r="G1781" s="5" t="str">
        <f t="shared" si="119"/>
        <v/>
      </c>
      <c r="I1781" s="6" t="str">
        <f t="shared" si="120"/>
        <v>0</v>
      </c>
    </row>
    <row r="1782" spans="1:11">
      <c r="A1782" t="s">
        <v>2239</v>
      </c>
      <c r="B1782" t="s">
        <v>309</v>
      </c>
      <c r="E1782" t="str">
        <f t="shared" si="122"/>
        <v/>
      </c>
      <c r="G1782" s="5" t="str">
        <f t="shared" si="119"/>
        <v/>
      </c>
      <c r="I1782" s="6" t="str">
        <f t="shared" si="120"/>
        <v>0</v>
      </c>
    </row>
    <row r="1783" spans="1:11">
      <c r="A1783" t="s">
        <v>2240</v>
      </c>
      <c r="B1783" t="s">
        <v>309</v>
      </c>
      <c r="E1783" t="str">
        <f t="shared" si="122"/>
        <v/>
      </c>
      <c r="G1783" s="5" t="str">
        <f t="shared" si="119"/>
        <v/>
      </c>
      <c r="I1783" s="6" t="str">
        <f t="shared" si="120"/>
        <v>0</v>
      </c>
    </row>
    <row r="1784" spans="1:11">
      <c r="A1784" t="s">
        <v>2242</v>
      </c>
      <c r="B1784" t="s">
        <v>6005</v>
      </c>
      <c r="G1784" s="5" t="str">
        <f t="shared" si="119"/>
        <v/>
      </c>
      <c r="I1784" s="6" t="str">
        <f t="shared" si="120"/>
        <v>0</v>
      </c>
      <c r="K1784" s="19" t="s">
        <v>6006</v>
      </c>
    </row>
    <row r="1785" spans="1:11">
      <c r="A1785" t="s">
        <v>2243</v>
      </c>
      <c r="B1785" t="s">
        <v>6007</v>
      </c>
      <c r="G1785" s="5" t="str">
        <f t="shared" si="119"/>
        <v/>
      </c>
      <c r="I1785" s="6" t="str">
        <f t="shared" si="120"/>
        <v>0</v>
      </c>
      <c r="K1785" s="19" t="s">
        <v>6008</v>
      </c>
    </row>
    <row r="1786" spans="1:11">
      <c r="A1786" t="s">
        <v>2244</v>
      </c>
      <c r="B1786" t="s">
        <v>6009</v>
      </c>
      <c r="G1786" s="5" t="str">
        <f t="shared" si="119"/>
        <v/>
      </c>
      <c r="I1786" s="6" t="str">
        <f t="shared" si="120"/>
        <v>0</v>
      </c>
      <c r="K1786" s="19" t="s">
        <v>6010</v>
      </c>
    </row>
    <row r="1787" spans="1:11">
      <c r="A1787" t="s">
        <v>2245</v>
      </c>
      <c r="B1787" t="s">
        <v>6011</v>
      </c>
      <c r="G1787" s="5" t="str">
        <f t="shared" si="119"/>
        <v/>
      </c>
      <c r="I1787" s="6" t="str">
        <f t="shared" si="120"/>
        <v>0</v>
      </c>
      <c r="K1787" s="19" t="s">
        <v>6012</v>
      </c>
    </row>
    <row r="1788" spans="1:11">
      <c r="A1788" t="s">
        <v>2246</v>
      </c>
      <c r="B1788" t="s">
        <v>6013</v>
      </c>
      <c r="G1788" s="5" t="str">
        <f t="shared" si="119"/>
        <v/>
      </c>
      <c r="I1788" s="6" t="str">
        <f t="shared" si="120"/>
        <v>0</v>
      </c>
      <c r="K1788" s="19" t="s">
        <v>6014</v>
      </c>
    </row>
    <row r="1789" spans="1:11">
      <c r="A1789" t="s">
        <v>2247</v>
      </c>
      <c r="B1789" t="s">
        <v>6015</v>
      </c>
      <c r="G1789" s="5" t="str">
        <f t="shared" si="119"/>
        <v/>
      </c>
      <c r="I1789" s="6" t="str">
        <f t="shared" si="120"/>
        <v>0</v>
      </c>
      <c r="K1789" s="19" t="s">
        <v>6016</v>
      </c>
    </row>
    <row r="1790" spans="1:11">
      <c r="A1790" t="s">
        <v>2248</v>
      </c>
      <c r="B1790" t="s">
        <v>309</v>
      </c>
      <c r="E1790" t="str">
        <f t="shared" si="122"/>
        <v/>
      </c>
      <c r="G1790" s="5" t="str">
        <f t="shared" si="119"/>
        <v/>
      </c>
      <c r="I1790" s="6" t="str">
        <f t="shared" si="120"/>
        <v>0</v>
      </c>
    </row>
    <row r="1791" spans="1:11">
      <c r="A1791" t="s">
        <v>2249</v>
      </c>
      <c r="B1791" t="s">
        <v>5793</v>
      </c>
      <c r="G1791" s="5" t="str">
        <f t="shared" si="119"/>
        <v/>
      </c>
      <c r="I1791" s="6" t="str">
        <f t="shared" si="120"/>
        <v>0</v>
      </c>
      <c r="K1791" s="19" t="s">
        <v>5794</v>
      </c>
    </row>
    <row r="1792" spans="1:11">
      <c r="A1792" t="s">
        <v>2250</v>
      </c>
      <c r="B1792" t="s">
        <v>309</v>
      </c>
      <c r="E1792" t="str">
        <f t="shared" si="122"/>
        <v/>
      </c>
      <c r="G1792" s="5" t="str">
        <f t="shared" si="119"/>
        <v/>
      </c>
      <c r="I1792" s="6" t="str">
        <f t="shared" si="120"/>
        <v>0</v>
      </c>
    </row>
    <row r="1793" spans="1:11">
      <c r="A1793" t="s">
        <v>2252</v>
      </c>
      <c r="B1793" t="s">
        <v>309</v>
      </c>
      <c r="E1793" t="str">
        <f t="shared" si="122"/>
        <v/>
      </c>
      <c r="G1793" s="5" t="str">
        <f t="shared" si="119"/>
        <v/>
      </c>
      <c r="I1793" s="6" t="str">
        <f t="shared" si="120"/>
        <v>0</v>
      </c>
    </row>
    <row r="1794" spans="1:11">
      <c r="A1794" t="s">
        <v>2253</v>
      </c>
      <c r="B1794" t="s">
        <v>309</v>
      </c>
      <c r="E1794" t="str">
        <f t="shared" si="122"/>
        <v/>
      </c>
      <c r="G1794" s="5" t="str">
        <f t="shared" ref="G1794:G1857" si="123">IF(F1794&lt;&gt;"",HEX2DEC(SUBSTITUTE(SUBSTITUTE(F1794,"adrEA",""),"$","")),"")</f>
        <v/>
      </c>
      <c r="I1794" s="6" t="str">
        <f t="shared" ref="I1794:I1857" si="124">IFERROR(DEC2HEX(H1794),"")</f>
        <v>0</v>
      </c>
    </row>
    <row r="1795" spans="1:11">
      <c r="A1795" t="s">
        <v>2254</v>
      </c>
      <c r="B1795" t="s">
        <v>309</v>
      </c>
      <c r="E1795" t="str">
        <f t="shared" si="122"/>
        <v/>
      </c>
      <c r="G1795" s="5" t="str">
        <f t="shared" si="123"/>
        <v/>
      </c>
      <c r="I1795" s="6" t="str">
        <f t="shared" si="124"/>
        <v>0</v>
      </c>
    </row>
    <row r="1796" spans="1:11">
      <c r="A1796" t="s">
        <v>2255</v>
      </c>
      <c r="B1796" t="s">
        <v>309</v>
      </c>
      <c r="E1796" t="str">
        <f t="shared" si="122"/>
        <v/>
      </c>
      <c r="G1796" s="5" t="str">
        <f t="shared" si="123"/>
        <v/>
      </c>
      <c r="I1796" s="6" t="str">
        <f t="shared" si="124"/>
        <v>0</v>
      </c>
    </row>
    <row r="1797" spans="1:11">
      <c r="A1797" t="s">
        <v>2256</v>
      </c>
      <c r="B1797" t="s">
        <v>309</v>
      </c>
      <c r="E1797" t="str">
        <f t="shared" si="122"/>
        <v/>
      </c>
      <c r="G1797" s="5" t="str">
        <f t="shared" si="123"/>
        <v/>
      </c>
      <c r="I1797" s="6" t="str">
        <f t="shared" si="124"/>
        <v>0</v>
      </c>
    </row>
    <row r="1798" spans="1:11">
      <c r="A1798" t="s">
        <v>2258</v>
      </c>
      <c r="B1798" t="s">
        <v>309</v>
      </c>
      <c r="E1798" t="str">
        <f t="shared" si="122"/>
        <v/>
      </c>
      <c r="G1798" s="5" t="str">
        <f t="shared" si="123"/>
        <v/>
      </c>
      <c r="I1798" s="6" t="str">
        <f t="shared" si="124"/>
        <v>0</v>
      </c>
    </row>
    <row r="1799" spans="1:11">
      <c r="A1799" t="s">
        <v>2259</v>
      </c>
      <c r="B1799" t="s">
        <v>309</v>
      </c>
      <c r="E1799" t="str">
        <f t="shared" si="122"/>
        <v/>
      </c>
      <c r="G1799" s="5" t="str">
        <f t="shared" si="123"/>
        <v/>
      </c>
      <c r="I1799" s="6" t="str">
        <f t="shared" si="124"/>
        <v>0</v>
      </c>
    </row>
    <row r="1800" spans="1:11">
      <c r="A1800" t="s">
        <v>2260</v>
      </c>
      <c r="B1800" t="s">
        <v>309</v>
      </c>
      <c r="E1800" t="str">
        <f t="shared" si="122"/>
        <v/>
      </c>
      <c r="G1800" s="5" t="str">
        <f t="shared" si="123"/>
        <v/>
      </c>
      <c r="I1800" s="6" t="str">
        <f t="shared" si="124"/>
        <v>0</v>
      </c>
    </row>
    <row r="1801" spans="1:11">
      <c r="A1801" t="s">
        <v>2261</v>
      </c>
      <c r="B1801" t="s">
        <v>309</v>
      </c>
      <c r="E1801" t="str">
        <f t="shared" si="122"/>
        <v/>
      </c>
      <c r="G1801" s="5" t="str">
        <f t="shared" si="123"/>
        <v/>
      </c>
      <c r="I1801" s="6" t="str">
        <f t="shared" si="124"/>
        <v>0</v>
      </c>
    </row>
    <row r="1802" spans="1:11">
      <c r="A1802" t="s">
        <v>2263</v>
      </c>
      <c r="B1802" t="s">
        <v>3274</v>
      </c>
      <c r="E1802" t="str">
        <f t="shared" si="122"/>
        <v/>
      </c>
      <c r="G1802" s="5" t="str">
        <f t="shared" si="123"/>
        <v/>
      </c>
      <c r="I1802" s="6" t="str">
        <f t="shared" si="124"/>
        <v>0</v>
      </c>
    </row>
    <row r="1803" spans="1:11">
      <c r="A1803" t="s">
        <v>2264</v>
      </c>
      <c r="B1803" t="s">
        <v>309</v>
      </c>
      <c r="E1803" t="str">
        <f t="shared" si="122"/>
        <v/>
      </c>
      <c r="G1803" s="5" t="str">
        <f t="shared" si="123"/>
        <v/>
      </c>
      <c r="I1803" s="6" t="str">
        <f t="shared" si="124"/>
        <v>0</v>
      </c>
    </row>
    <row r="1804" spans="1:11">
      <c r="A1804" t="s">
        <v>2265</v>
      </c>
      <c r="B1804" t="s">
        <v>5795</v>
      </c>
      <c r="G1804" s="5" t="str">
        <f t="shared" si="123"/>
        <v/>
      </c>
      <c r="I1804" s="6" t="str">
        <f t="shared" si="124"/>
        <v>0</v>
      </c>
      <c r="K1804" s="19" t="s">
        <v>5796</v>
      </c>
    </row>
    <row r="1805" spans="1:11">
      <c r="A1805" t="s">
        <v>2266</v>
      </c>
      <c r="B1805" t="s">
        <v>309</v>
      </c>
      <c r="E1805" t="str">
        <f t="shared" si="122"/>
        <v/>
      </c>
      <c r="G1805" s="5" t="str">
        <f t="shared" si="123"/>
        <v/>
      </c>
      <c r="I1805" s="6" t="str">
        <f t="shared" si="124"/>
        <v>0</v>
      </c>
    </row>
    <row r="1806" spans="1:11">
      <c r="A1806" t="s">
        <v>2267</v>
      </c>
      <c r="B1806" t="s">
        <v>309</v>
      </c>
      <c r="E1806" t="str">
        <f t="shared" si="122"/>
        <v/>
      </c>
      <c r="G1806" s="5" t="str">
        <f t="shared" si="123"/>
        <v/>
      </c>
      <c r="I1806" s="6" t="str">
        <f t="shared" si="124"/>
        <v>0</v>
      </c>
    </row>
    <row r="1807" spans="1:11">
      <c r="A1807" t="s">
        <v>2268</v>
      </c>
      <c r="B1807" t="s">
        <v>309</v>
      </c>
      <c r="E1807" t="str">
        <f t="shared" si="122"/>
        <v/>
      </c>
      <c r="G1807" s="5" t="str">
        <f t="shared" si="123"/>
        <v/>
      </c>
      <c r="I1807" s="6" t="str">
        <f t="shared" si="124"/>
        <v>0</v>
      </c>
    </row>
    <row r="1808" spans="1:11">
      <c r="A1808" t="s">
        <v>2269</v>
      </c>
      <c r="B1808" t="s">
        <v>309</v>
      </c>
      <c r="E1808" t="str">
        <f t="shared" si="122"/>
        <v/>
      </c>
      <c r="G1808" s="5" t="str">
        <f t="shared" si="123"/>
        <v/>
      </c>
      <c r="I1808" s="6" t="str">
        <f t="shared" si="124"/>
        <v>0</v>
      </c>
    </row>
    <row r="1809" spans="1:11">
      <c r="A1809" t="s">
        <v>2271</v>
      </c>
      <c r="B1809" t="s">
        <v>6023</v>
      </c>
      <c r="G1809" s="5" t="str">
        <f t="shared" si="123"/>
        <v/>
      </c>
      <c r="I1809" s="6" t="str">
        <f t="shared" si="124"/>
        <v>0</v>
      </c>
      <c r="K1809" s="19" t="s">
        <v>6024</v>
      </c>
    </row>
    <row r="1810" spans="1:11">
      <c r="A1810" t="s">
        <v>2272</v>
      </c>
      <c r="B1810" t="s">
        <v>6025</v>
      </c>
      <c r="G1810" s="5" t="str">
        <f t="shared" si="123"/>
        <v/>
      </c>
      <c r="I1810" s="6" t="str">
        <f t="shared" si="124"/>
        <v>0</v>
      </c>
      <c r="K1810" s="19" t="s">
        <v>6026</v>
      </c>
    </row>
    <row r="1811" spans="1:11">
      <c r="A1811" t="s">
        <v>2273</v>
      </c>
      <c r="B1811" t="s">
        <v>309</v>
      </c>
      <c r="E1811" t="str">
        <f t="shared" si="122"/>
        <v/>
      </c>
      <c r="G1811" s="5" t="str">
        <f t="shared" si="123"/>
        <v/>
      </c>
      <c r="I1811" s="6" t="str">
        <f t="shared" si="124"/>
        <v>0</v>
      </c>
    </row>
    <row r="1812" spans="1:11">
      <c r="A1812" t="s">
        <v>2274</v>
      </c>
      <c r="B1812" t="s">
        <v>3389</v>
      </c>
      <c r="G1812" s="5" t="str">
        <f t="shared" si="123"/>
        <v/>
      </c>
      <c r="I1812" s="6" t="str">
        <f t="shared" si="124"/>
        <v>0</v>
      </c>
      <c r="K1812" s="19" t="s">
        <v>4543</v>
      </c>
    </row>
    <row r="1813" spans="1:11">
      <c r="A1813" t="s">
        <v>2275</v>
      </c>
      <c r="B1813" t="s">
        <v>309</v>
      </c>
      <c r="E1813" t="str">
        <f t="shared" ref="E1813:E1832" si="125">IF(D1813&lt;&gt;"",C1813&amp;"/"&amp;D1813,"")</f>
        <v/>
      </c>
      <c r="G1813" s="5" t="str">
        <f t="shared" si="123"/>
        <v/>
      </c>
      <c r="I1813" s="6" t="str">
        <f t="shared" si="124"/>
        <v>0</v>
      </c>
    </row>
    <row r="1814" spans="1:11">
      <c r="A1814" t="s">
        <v>2276</v>
      </c>
      <c r="B1814" t="s">
        <v>309</v>
      </c>
      <c r="E1814" t="str">
        <f t="shared" si="125"/>
        <v/>
      </c>
      <c r="G1814" s="5" t="str">
        <f t="shared" si="123"/>
        <v/>
      </c>
      <c r="I1814" s="6" t="str">
        <f t="shared" si="124"/>
        <v>0</v>
      </c>
    </row>
    <row r="1815" spans="1:11">
      <c r="A1815" t="s">
        <v>2277</v>
      </c>
      <c r="B1815" t="s">
        <v>309</v>
      </c>
      <c r="E1815" t="str">
        <f t="shared" si="125"/>
        <v/>
      </c>
      <c r="G1815" s="5" t="str">
        <f t="shared" si="123"/>
        <v/>
      </c>
      <c r="I1815" s="6" t="str">
        <f t="shared" si="124"/>
        <v>0</v>
      </c>
    </row>
    <row r="1816" spans="1:11">
      <c r="A1816" t="s">
        <v>2279</v>
      </c>
      <c r="B1816" t="s">
        <v>6029</v>
      </c>
      <c r="G1816" s="5" t="str">
        <f t="shared" si="123"/>
        <v/>
      </c>
      <c r="I1816" s="6" t="str">
        <f t="shared" si="124"/>
        <v>0</v>
      </c>
      <c r="K1816" s="19" t="s">
        <v>6030</v>
      </c>
    </row>
    <row r="1817" spans="1:11">
      <c r="A1817" t="s">
        <v>2280</v>
      </c>
      <c r="B1817" t="s">
        <v>6031</v>
      </c>
      <c r="G1817" s="5" t="str">
        <f t="shared" si="123"/>
        <v/>
      </c>
      <c r="I1817" s="6" t="str">
        <f t="shared" si="124"/>
        <v>0</v>
      </c>
      <c r="K1817" s="19" t="s">
        <v>6032</v>
      </c>
    </row>
    <row r="1818" spans="1:11">
      <c r="A1818" t="s">
        <v>2282</v>
      </c>
      <c r="B1818" t="s">
        <v>6035</v>
      </c>
      <c r="G1818" s="5" t="str">
        <f t="shared" si="123"/>
        <v/>
      </c>
      <c r="I1818" s="6" t="str">
        <f t="shared" si="124"/>
        <v>0</v>
      </c>
      <c r="K1818" s="19" t="s">
        <v>6036</v>
      </c>
    </row>
    <row r="1819" spans="1:11">
      <c r="A1819" t="s">
        <v>2283</v>
      </c>
      <c r="B1819" t="s">
        <v>6037</v>
      </c>
      <c r="G1819" s="5" t="str">
        <f t="shared" si="123"/>
        <v/>
      </c>
      <c r="I1819" s="6" t="str">
        <f t="shared" si="124"/>
        <v>0</v>
      </c>
      <c r="K1819" s="19" t="s">
        <v>6038</v>
      </c>
    </row>
    <row r="1820" spans="1:11">
      <c r="A1820" t="s">
        <v>2284</v>
      </c>
      <c r="B1820" t="s">
        <v>6039</v>
      </c>
      <c r="G1820" s="5" t="str">
        <f t="shared" si="123"/>
        <v/>
      </c>
      <c r="I1820" s="6" t="str">
        <f t="shared" si="124"/>
        <v>0</v>
      </c>
      <c r="K1820" s="19" t="s">
        <v>6040</v>
      </c>
    </row>
    <row r="1821" spans="1:11">
      <c r="A1821" t="s">
        <v>2285</v>
      </c>
      <c r="B1821" t="s">
        <v>309</v>
      </c>
      <c r="E1821" t="str">
        <f t="shared" si="125"/>
        <v/>
      </c>
      <c r="G1821" s="5" t="str">
        <f t="shared" si="123"/>
        <v/>
      </c>
      <c r="I1821" s="6" t="str">
        <f t="shared" si="124"/>
        <v>0</v>
      </c>
    </row>
    <row r="1822" spans="1:11">
      <c r="A1822" t="s">
        <v>2286</v>
      </c>
      <c r="B1822" t="s">
        <v>6041</v>
      </c>
      <c r="G1822" s="5" t="str">
        <f t="shared" si="123"/>
        <v/>
      </c>
      <c r="I1822" s="6" t="str">
        <f t="shared" si="124"/>
        <v>0</v>
      </c>
      <c r="K1822" s="19" t="s">
        <v>6042</v>
      </c>
    </row>
    <row r="1823" spans="1:11">
      <c r="A1823" t="s">
        <v>2287</v>
      </c>
      <c r="B1823" t="s">
        <v>2288</v>
      </c>
      <c r="E1823" t="str">
        <f t="shared" si="125"/>
        <v/>
      </c>
      <c r="G1823" s="5" t="str">
        <f t="shared" si="123"/>
        <v/>
      </c>
      <c r="I1823" s="6" t="str">
        <f t="shared" si="124"/>
        <v>0</v>
      </c>
    </row>
    <row r="1824" spans="1:11">
      <c r="A1824" t="s">
        <v>2289</v>
      </c>
      <c r="E1824" t="str">
        <f t="shared" si="125"/>
        <v/>
      </c>
      <c r="G1824" s="5" t="str">
        <f t="shared" si="123"/>
        <v/>
      </c>
      <c r="I1824" s="6" t="str">
        <f t="shared" si="124"/>
        <v>0</v>
      </c>
    </row>
    <row r="1825" spans="1:11">
      <c r="A1825" t="s">
        <v>2293</v>
      </c>
      <c r="B1825" t="s">
        <v>3379</v>
      </c>
      <c r="E1825" t="str">
        <f t="shared" si="125"/>
        <v/>
      </c>
      <c r="G1825" s="5" t="str">
        <f t="shared" si="123"/>
        <v/>
      </c>
      <c r="I1825" s="6" t="str">
        <f t="shared" si="124"/>
        <v>0</v>
      </c>
    </row>
    <row r="1826" spans="1:11">
      <c r="A1826" t="s">
        <v>2294</v>
      </c>
      <c r="E1826" t="str">
        <f t="shared" si="125"/>
        <v/>
      </c>
      <c r="G1826" s="5" t="str">
        <f t="shared" si="123"/>
        <v/>
      </c>
      <c r="I1826" s="6" t="str">
        <f t="shared" si="124"/>
        <v>0</v>
      </c>
    </row>
    <row r="1827" spans="1:11">
      <c r="A1827" t="s">
        <v>2298</v>
      </c>
      <c r="B1827" t="s">
        <v>3380</v>
      </c>
      <c r="E1827" t="str">
        <f t="shared" si="125"/>
        <v/>
      </c>
      <c r="G1827" s="5" t="str">
        <f t="shared" si="123"/>
        <v/>
      </c>
      <c r="I1827" s="6" t="str">
        <f t="shared" si="124"/>
        <v>0</v>
      </c>
    </row>
    <row r="1828" spans="1:11">
      <c r="A1828" t="s">
        <v>2301</v>
      </c>
      <c r="B1828" t="s">
        <v>3381</v>
      </c>
      <c r="E1828" t="str">
        <f t="shared" si="125"/>
        <v/>
      </c>
      <c r="G1828" s="5" t="str">
        <f t="shared" si="123"/>
        <v/>
      </c>
      <c r="I1828" s="6" t="str">
        <f t="shared" si="124"/>
        <v>0</v>
      </c>
    </row>
    <row r="1829" spans="1:11">
      <c r="A1829" t="s">
        <v>2302</v>
      </c>
      <c r="E1829" t="str">
        <f t="shared" si="125"/>
        <v/>
      </c>
      <c r="G1829" s="5" t="str">
        <f t="shared" si="123"/>
        <v/>
      </c>
      <c r="I1829" s="6" t="str">
        <f t="shared" si="124"/>
        <v>0</v>
      </c>
    </row>
    <row r="1830" spans="1:11">
      <c r="A1830" t="s">
        <v>2307</v>
      </c>
      <c r="B1830" t="s">
        <v>3382</v>
      </c>
      <c r="E1830" t="str">
        <f t="shared" si="125"/>
        <v/>
      </c>
      <c r="G1830" s="5" t="str">
        <f t="shared" si="123"/>
        <v/>
      </c>
      <c r="I1830" s="6" t="str">
        <f t="shared" si="124"/>
        <v>0</v>
      </c>
    </row>
    <row r="1831" spans="1:11">
      <c r="A1831" t="s">
        <v>2308</v>
      </c>
      <c r="E1831" t="str">
        <f t="shared" si="125"/>
        <v/>
      </c>
      <c r="G1831" s="5" t="str">
        <f t="shared" si="123"/>
        <v/>
      </c>
      <c r="I1831" s="6" t="str">
        <f t="shared" si="124"/>
        <v>0</v>
      </c>
    </row>
    <row r="1832" spans="1:11">
      <c r="A1832" t="s">
        <v>2309</v>
      </c>
      <c r="B1832" t="s">
        <v>3383</v>
      </c>
      <c r="E1832" t="str">
        <f t="shared" si="125"/>
        <v/>
      </c>
      <c r="G1832" s="5" t="str">
        <f t="shared" si="123"/>
        <v/>
      </c>
      <c r="I1832" s="6" t="str">
        <f t="shared" si="124"/>
        <v>0</v>
      </c>
    </row>
    <row r="1833" spans="1:11">
      <c r="A1833" t="s">
        <v>2311</v>
      </c>
      <c r="B1833" t="s">
        <v>3384</v>
      </c>
      <c r="G1833" s="5" t="str">
        <f t="shared" si="123"/>
        <v/>
      </c>
      <c r="I1833" s="6" t="str">
        <f t="shared" si="124"/>
        <v>0</v>
      </c>
      <c r="K1833" s="19" t="s">
        <v>4544</v>
      </c>
    </row>
    <row r="1834" spans="1:11">
      <c r="A1834" t="s">
        <v>2316</v>
      </c>
      <c r="B1834" t="s">
        <v>2317</v>
      </c>
      <c r="E1834" t="str">
        <f t="shared" ref="E1834:E1865" si="126">IF(D1834&lt;&gt;"",C1834&amp;"/"&amp;D1834,"")</f>
        <v/>
      </c>
      <c r="G1834" s="5" t="str">
        <f t="shared" si="123"/>
        <v/>
      </c>
      <c r="I1834" s="6" t="str">
        <f t="shared" si="124"/>
        <v>0</v>
      </c>
    </row>
    <row r="1835" spans="1:11">
      <c r="A1835" t="s">
        <v>2319</v>
      </c>
      <c r="B1835" t="s">
        <v>3248</v>
      </c>
      <c r="E1835" t="str">
        <f t="shared" si="126"/>
        <v/>
      </c>
      <c r="G1835" s="5" t="str">
        <f t="shared" si="123"/>
        <v/>
      </c>
      <c r="I1835" s="6" t="str">
        <f t="shared" si="124"/>
        <v>0</v>
      </c>
    </row>
    <row r="1836" spans="1:11">
      <c r="A1836" t="s">
        <v>2320</v>
      </c>
      <c r="B1836" t="s">
        <v>2321</v>
      </c>
      <c r="E1836" t="str">
        <f t="shared" si="126"/>
        <v/>
      </c>
      <c r="G1836" s="5" t="str">
        <f t="shared" si="123"/>
        <v/>
      </c>
      <c r="I1836" s="6" t="str">
        <f t="shared" si="124"/>
        <v>0</v>
      </c>
    </row>
    <row r="1837" spans="1:11">
      <c r="A1837" t="s">
        <v>2322</v>
      </c>
      <c r="B1837" t="s">
        <v>309</v>
      </c>
      <c r="E1837" t="str">
        <f t="shared" si="126"/>
        <v/>
      </c>
      <c r="G1837" s="5" t="str">
        <f t="shared" si="123"/>
        <v/>
      </c>
      <c r="I1837" s="6" t="str">
        <f t="shared" si="124"/>
        <v>0</v>
      </c>
    </row>
    <row r="1838" spans="1:11">
      <c r="A1838" t="s">
        <v>2323</v>
      </c>
      <c r="B1838" t="s">
        <v>309</v>
      </c>
      <c r="E1838" t="str">
        <f t="shared" si="126"/>
        <v/>
      </c>
      <c r="G1838" s="5" t="str">
        <f t="shared" si="123"/>
        <v/>
      </c>
      <c r="I1838" s="6" t="str">
        <f t="shared" si="124"/>
        <v>0</v>
      </c>
    </row>
    <row r="1839" spans="1:11">
      <c r="A1839" t="s">
        <v>2324</v>
      </c>
      <c r="B1839" t="s">
        <v>309</v>
      </c>
      <c r="E1839" t="str">
        <f t="shared" si="126"/>
        <v/>
      </c>
      <c r="G1839" s="5" t="str">
        <f t="shared" si="123"/>
        <v/>
      </c>
      <c r="I1839" s="6" t="str">
        <f t="shared" si="124"/>
        <v>0</v>
      </c>
    </row>
    <row r="1840" spans="1:11">
      <c r="A1840" t="s">
        <v>2327</v>
      </c>
      <c r="B1840" t="s">
        <v>5797</v>
      </c>
      <c r="G1840" s="5" t="str">
        <f t="shared" si="123"/>
        <v/>
      </c>
      <c r="I1840" s="6" t="str">
        <f t="shared" si="124"/>
        <v>0</v>
      </c>
      <c r="K1840" s="19" t="s">
        <v>5798</v>
      </c>
    </row>
    <row r="1841" spans="1:11">
      <c r="A1841" t="s">
        <v>2328</v>
      </c>
      <c r="B1841" t="s">
        <v>5799</v>
      </c>
      <c r="G1841" s="5" t="str">
        <f t="shared" si="123"/>
        <v/>
      </c>
      <c r="I1841" s="6" t="str">
        <f t="shared" si="124"/>
        <v>0</v>
      </c>
      <c r="K1841" s="19" t="s">
        <v>5800</v>
      </c>
    </row>
    <row r="1842" spans="1:11">
      <c r="A1842" t="s">
        <v>2329</v>
      </c>
      <c r="B1842" t="s">
        <v>309</v>
      </c>
      <c r="E1842" t="str">
        <f t="shared" si="126"/>
        <v/>
      </c>
      <c r="G1842" s="5" t="str">
        <f t="shared" si="123"/>
        <v/>
      </c>
      <c r="I1842" s="6" t="str">
        <f t="shared" si="124"/>
        <v>0</v>
      </c>
    </row>
    <row r="1843" spans="1:11">
      <c r="A1843" t="s">
        <v>2330</v>
      </c>
      <c r="B1843" t="s">
        <v>309</v>
      </c>
      <c r="E1843" t="str">
        <f t="shared" si="126"/>
        <v/>
      </c>
      <c r="G1843" s="5" t="str">
        <f t="shared" si="123"/>
        <v/>
      </c>
      <c r="I1843" s="6" t="str">
        <f t="shared" si="124"/>
        <v>0</v>
      </c>
    </row>
    <row r="1844" spans="1:11">
      <c r="A1844" t="s">
        <v>2331</v>
      </c>
      <c r="B1844" t="s">
        <v>309</v>
      </c>
      <c r="E1844" t="str">
        <f t="shared" si="126"/>
        <v/>
      </c>
      <c r="G1844" s="5" t="str">
        <f t="shared" si="123"/>
        <v/>
      </c>
      <c r="I1844" s="6" t="str">
        <f t="shared" si="124"/>
        <v>0</v>
      </c>
    </row>
    <row r="1845" spans="1:11">
      <c r="A1845" t="s">
        <v>2333</v>
      </c>
      <c r="B1845" t="s">
        <v>6047</v>
      </c>
      <c r="G1845" s="5" t="str">
        <f t="shared" si="123"/>
        <v/>
      </c>
      <c r="I1845" s="6" t="str">
        <f t="shared" si="124"/>
        <v>0</v>
      </c>
      <c r="K1845" s="19" t="s">
        <v>6048</v>
      </c>
    </row>
    <row r="1846" spans="1:11">
      <c r="A1846" t="s">
        <v>2334</v>
      </c>
      <c r="B1846" t="s">
        <v>6049</v>
      </c>
      <c r="G1846" s="5" t="str">
        <f t="shared" si="123"/>
        <v/>
      </c>
      <c r="I1846" s="6" t="str">
        <f t="shared" si="124"/>
        <v>0</v>
      </c>
      <c r="K1846" s="19" t="s">
        <v>6050</v>
      </c>
    </row>
    <row r="1847" spans="1:11">
      <c r="A1847" t="s">
        <v>2335</v>
      </c>
      <c r="B1847" t="s">
        <v>6051</v>
      </c>
      <c r="G1847" s="5" t="str">
        <f t="shared" si="123"/>
        <v/>
      </c>
      <c r="I1847" s="6" t="str">
        <f t="shared" si="124"/>
        <v>0</v>
      </c>
      <c r="K1847" s="19" t="s">
        <v>6052</v>
      </c>
    </row>
    <row r="1848" spans="1:11">
      <c r="A1848" t="s">
        <v>2337</v>
      </c>
      <c r="B1848" t="s">
        <v>6055</v>
      </c>
      <c r="G1848" s="5" t="str">
        <f t="shared" si="123"/>
        <v/>
      </c>
      <c r="I1848" s="6" t="str">
        <f t="shared" si="124"/>
        <v>0</v>
      </c>
      <c r="K1848" s="19" t="s">
        <v>6056</v>
      </c>
    </row>
    <row r="1849" spans="1:11">
      <c r="A1849" t="s">
        <v>2338</v>
      </c>
      <c r="B1849" t="s">
        <v>6057</v>
      </c>
      <c r="G1849" s="5" t="str">
        <f t="shared" si="123"/>
        <v/>
      </c>
      <c r="I1849" s="6" t="str">
        <f t="shared" si="124"/>
        <v>0</v>
      </c>
      <c r="K1849" s="19" t="s">
        <v>6058</v>
      </c>
    </row>
    <row r="1850" spans="1:11">
      <c r="A1850" t="s">
        <v>2339</v>
      </c>
      <c r="B1850" t="s">
        <v>5801</v>
      </c>
      <c r="G1850" s="5" t="str">
        <f t="shared" si="123"/>
        <v/>
      </c>
      <c r="I1850" s="6" t="str">
        <f t="shared" si="124"/>
        <v>0</v>
      </c>
      <c r="K1850" s="19" t="s">
        <v>5802</v>
      </c>
    </row>
    <row r="1851" spans="1:11">
      <c r="A1851" t="s">
        <v>2340</v>
      </c>
      <c r="B1851" t="s">
        <v>309</v>
      </c>
      <c r="E1851" t="str">
        <f t="shared" si="126"/>
        <v/>
      </c>
      <c r="G1851" s="5" t="str">
        <f t="shared" si="123"/>
        <v/>
      </c>
      <c r="I1851" s="6" t="str">
        <f t="shared" si="124"/>
        <v>0</v>
      </c>
    </row>
    <row r="1852" spans="1:11">
      <c r="A1852" t="s">
        <v>2341</v>
      </c>
      <c r="B1852" t="s">
        <v>309</v>
      </c>
      <c r="E1852" t="str">
        <f t="shared" si="126"/>
        <v/>
      </c>
      <c r="G1852" s="5" t="str">
        <f t="shared" si="123"/>
        <v/>
      </c>
      <c r="I1852" s="6" t="str">
        <f t="shared" si="124"/>
        <v>0</v>
      </c>
    </row>
    <row r="1853" spans="1:11">
      <c r="A1853" t="s">
        <v>2344</v>
      </c>
      <c r="B1853" t="s">
        <v>6061</v>
      </c>
      <c r="G1853" s="5" t="str">
        <f t="shared" si="123"/>
        <v/>
      </c>
      <c r="I1853" s="6" t="str">
        <f t="shared" si="124"/>
        <v>0</v>
      </c>
      <c r="K1853" s="19" t="s">
        <v>6062</v>
      </c>
    </row>
    <row r="1854" spans="1:11">
      <c r="A1854" t="s">
        <v>2345</v>
      </c>
      <c r="B1854" t="s">
        <v>2346</v>
      </c>
      <c r="E1854" t="str">
        <f t="shared" si="126"/>
        <v/>
      </c>
      <c r="G1854" s="5" t="str">
        <f t="shared" si="123"/>
        <v/>
      </c>
      <c r="I1854" s="6" t="str">
        <f t="shared" si="124"/>
        <v>0</v>
      </c>
    </row>
    <row r="1855" spans="1:11">
      <c r="A1855" t="s">
        <v>2349</v>
      </c>
      <c r="B1855" t="s">
        <v>2350</v>
      </c>
      <c r="E1855" t="str">
        <f t="shared" si="126"/>
        <v/>
      </c>
      <c r="G1855" s="5" t="str">
        <f t="shared" si="123"/>
        <v/>
      </c>
      <c r="I1855" s="6" t="str">
        <f t="shared" si="124"/>
        <v>0</v>
      </c>
    </row>
    <row r="1856" spans="1:11">
      <c r="A1856" t="s">
        <v>2351</v>
      </c>
      <c r="B1856" t="s">
        <v>309</v>
      </c>
      <c r="E1856" t="str">
        <f t="shared" si="126"/>
        <v/>
      </c>
      <c r="G1856" s="5" t="str">
        <f t="shared" si="123"/>
        <v/>
      </c>
      <c r="I1856" s="6" t="str">
        <f t="shared" si="124"/>
        <v>0</v>
      </c>
    </row>
    <row r="1857" spans="1:11">
      <c r="A1857" t="s">
        <v>2352</v>
      </c>
      <c r="B1857" t="s">
        <v>309</v>
      </c>
      <c r="E1857" t="str">
        <f t="shared" si="126"/>
        <v/>
      </c>
      <c r="G1857" s="5" t="str">
        <f t="shared" si="123"/>
        <v/>
      </c>
      <c r="I1857" s="6" t="str">
        <f t="shared" si="124"/>
        <v>0</v>
      </c>
    </row>
    <row r="1858" spans="1:11">
      <c r="A1858" t="s">
        <v>2353</v>
      </c>
      <c r="B1858" t="s">
        <v>309</v>
      </c>
      <c r="E1858" t="str">
        <f t="shared" si="126"/>
        <v/>
      </c>
      <c r="G1858" s="5" t="str">
        <f t="shared" ref="G1858:G1921" si="127">IF(F1858&lt;&gt;"",HEX2DEC(SUBSTITUTE(SUBSTITUTE(F1858,"adrEA",""),"$","")),"")</f>
        <v/>
      </c>
      <c r="I1858" s="6" t="str">
        <f t="shared" ref="I1858:I1921" si="128">IFERROR(DEC2HEX(H1858),"")</f>
        <v>0</v>
      </c>
    </row>
    <row r="1859" spans="1:11">
      <c r="A1859" t="s">
        <v>2354</v>
      </c>
      <c r="B1859" t="s">
        <v>5803</v>
      </c>
      <c r="G1859" s="5" t="str">
        <f t="shared" si="127"/>
        <v/>
      </c>
      <c r="I1859" s="6" t="str">
        <f t="shared" si="128"/>
        <v>0</v>
      </c>
      <c r="K1859" s="19" t="s">
        <v>5804</v>
      </c>
    </row>
    <row r="1860" spans="1:11">
      <c r="A1860" t="s">
        <v>2355</v>
      </c>
      <c r="B1860" t="s">
        <v>309</v>
      </c>
      <c r="E1860" t="str">
        <f t="shared" si="126"/>
        <v/>
      </c>
      <c r="G1860" s="5" t="str">
        <f t="shared" si="127"/>
        <v/>
      </c>
      <c r="I1860" s="6" t="str">
        <f t="shared" si="128"/>
        <v>0</v>
      </c>
    </row>
    <row r="1861" spans="1:11">
      <c r="A1861" t="s">
        <v>2356</v>
      </c>
      <c r="B1861" t="s">
        <v>309</v>
      </c>
      <c r="E1861" t="str">
        <f t="shared" si="126"/>
        <v/>
      </c>
      <c r="G1861" s="5" t="str">
        <f t="shared" si="127"/>
        <v/>
      </c>
      <c r="I1861" s="6" t="str">
        <f t="shared" si="128"/>
        <v>0</v>
      </c>
    </row>
    <row r="1862" spans="1:11">
      <c r="A1862" t="s">
        <v>2357</v>
      </c>
      <c r="B1862" t="s">
        <v>309</v>
      </c>
      <c r="E1862" t="str">
        <f t="shared" si="126"/>
        <v/>
      </c>
      <c r="G1862" s="5" t="str">
        <f t="shared" si="127"/>
        <v/>
      </c>
      <c r="I1862" s="6" t="str">
        <f t="shared" si="128"/>
        <v>0</v>
      </c>
    </row>
    <row r="1863" spans="1:11">
      <c r="A1863" t="s">
        <v>2358</v>
      </c>
      <c r="B1863" t="s">
        <v>309</v>
      </c>
      <c r="E1863" t="str">
        <f t="shared" si="126"/>
        <v/>
      </c>
      <c r="G1863" s="5" t="str">
        <f t="shared" si="127"/>
        <v/>
      </c>
      <c r="I1863" s="6" t="str">
        <f t="shared" si="128"/>
        <v>0</v>
      </c>
    </row>
    <row r="1864" spans="1:11">
      <c r="A1864" t="s">
        <v>2359</v>
      </c>
      <c r="B1864" t="s">
        <v>309</v>
      </c>
      <c r="E1864" t="str">
        <f t="shared" si="126"/>
        <v/>
      </c>
      <c r="G1864" s="5" t="str">
        <f t="shared" si="127"/>
        <v/>
      </c>
      <c r="I1864" s="6" t="str">
        <f t="shared" si="128"/>
        <v>0</v>
      </c>
    </row>
    <row r="1865" spans="1:11">
      <c r="A1865" t="s">
        <v>3272</v>
      </c>
      <c r="B1865" t="s">
        <v>3273</v>
      </c>
      <c r="E1865" t="str">
        <f t="shared" si="126"/>
        <v/>
      </c>
      <c r="G1865" s="5" t="str">
        <f t="shared" si="127"/>
        <v/>
      </c>
      <c r="H1865" s="5">
        <v>24</v>
      </c>
      <c r="I1865" s="6" t="str">
        <f t="shared" si="128"/>
        <v>18</v>
      </c>
    </row>
    <row r="1866" spans="1:11">
      <c r="A1866" t="s">
        <v>2363</v>
      </c>
      <c r="B1866" t="s">
        <v>3387</v>
      </c>
      <c r="G1866" s="5" t="str">
        <f t="shared" si="127"/>
        <v/>
      </c>
      <c r="I1866" s="6" t="str">
        <f t="shared" si="128"/>
        <v>0</v>
      </c>
      <c r="K1866" s="19" t="s">
        <v>4545</v>
      </c>
    </row>
    <row r="1867" spans="1:11">
      <c r="A1867" t="s">
        <v>2364</v>
      </c>
      <c r="B1867" t="s">
        <v>309</v>
      </c>
      <c r="E1867" t="str">
        <f t="shared" ref="E1867:E1873" si="129">IF(D1867&lt;&gt;"",C1867&amp;"/"&amp;D1867,"")</f>
        <v/>
      </c>
      <c r="G1867" s="5" t="str">
        <f t="shared" si="127"/>
        <v/>
      </c>
      <c r="I1867" s="6" t="str">
        <f t="shared" si="128"/>
        <v>0</v>
      </c>
    </row>
    <row r="1868" spans="1:11">
      <c r="A1868" t="s">
        <v>2365</v>
      </c>
      <c r="B1868" t="s">
        <v>309</v>
      </c>
      <c r="E1868" t="str">
        <f t="shared" si="129"/>
        <v/>
      </c>
      <c r="G1868" s="5" t="str">
        <f t="shared" si="127"/>
        <v/>
      </c>
      <c r="I1868" s="6" t="str">
        <f t="shared" si="128"/>
        <v>0</v>
      </c>
    </row>
    <row r="1869" spans="1:11">
      <c r="A1869" t="s">
        <v>2366</v>
      </c>
      <c r="B1869" t="s">
        <v>309</v>
      </c>
      <c r="E1869" t="str">
        <f t="shared" si="129"/>
        <v/>
      </c>
      <c r="G1869" s="5" t="str">
        <f t="shared" si="127"/>
        <v/>
      </c>
      <c r="I1869" s="6" t="str">
        <f t="shared" si="128"/>
        <v>0</v>
      </c>
    </row>
    <row r="1870" spans="1:11">
      <c r="A1870" t="s">
        <v>2367</v>
      </c>
      <c r="B1870" t="s">
        <v>309</v>
      </c>
      <c r="E1870" t="str">
        <f t="shared" si="129"/>
        <v/>
      </c>
      <c r="G1870" s="5" t="str">
        <f t="shared" si="127"/>
        <v/>
      </c>
      <c r="I1870" s="6" t="str">
        <f t="shared" si="128"/>
        <v>0</v>
      </c>
    </row>
    <row r="1871" spans="1:11">
      <c r="A1871" t="s">
        <v>2368</v>
      </c>
      <c r="B1871" t="s">
        <v>309</v>
      </c>
      <c r="E1871" t="str">
        <f t="shared" si="129"/>
        <v/>
      </c>
      <c r="G1871" s="5" t="str">
        <f t="shared" si="127"/>
        <v/>
      </c>
      <c r="I1871" s="6" t="str">
        <f t="shared" si="128"/>
        <v>0</v>
      </c>
    </row>
    <row r="1872" spans="1:11">
      <c r="A1872" t="s">
        <v>2369</v>
      </c>
      <c r="B1872" t="s">
        <v>2370</v>
      </c>
      <c r="E1872" t="str">
        <f t="shared" si="129"/>
        <v/>
      </c>
      <c r="G1872" s="5" t="str">
        <f t="shared" si="127"/>
        <v/>
      </c>
      <c r="I1872" s="6" t="str">
        <f t="shared" si="128"/>
        <v>0</v>
      </c>
    </row>
    <row r="1873" spans="1:11">
      <c r="A1873" t="s">
        <v>2371</v>
      </c>
      <c r="B1873" t="s">
        <v>2372</v>
      </c>
      <c r="E1873" t="str">
        <f t="shared" si="129"/>
        <v/>
      </c>
      <c r="G1873" s="5" t="str">
        <f t="shared" si="127"/>
        <v/>
      </c>
      <c r="I1873" s="6" t="str">
        <f t="shared" si="128"/>
        <v>0</v>
      </c>
    </row>
    <row r="1874" spans="1:11">
      <c r="A1874" t="s">
        <v>2373</v>
      </c>
      <c r="B1874" t="s">
        <v>3828</v>
      </c>
      <c r="C1874" s="5" t="s">
        <v>48</v>
      </c>
      <c r="D1874" t="s">
        <v>3829</v>
      </c>
      <c r="E1874" t="s">
        <v>3830</v>
      </c>
      <c r="F1874" s="5" t="s">
        <v>3831</v>
      </c>
      <c r="G1874" s="5">
        <f t="shared" si="127"/>
        <v>41998</v>
      </c>
      <c r="H1874" s="5">
        <v>9</v>
      </c>
      <c r="I1874" s="6" t="str">
        <f t="shared" si="128"/>
        <v>9</v>
      </c>
      <c r="K1874" s="19" t="s">
        <v>3832</v>
      </c>
    </row>
    <row r="1875" spans="1:11">
      <c r="A1875" t="s">
        <v>2375</v>
      </c>
      <c r="B1875" t="s">
        <v>309</v>
      </c>
      <c r="E1875" t="str">
        <f t="shared" ref="E1875:E1900" si="130">IF(D1875&lt;&gt;"",C1875&amp;"/"&amp;D1875,"")</f>
        <v/>
      </c>
      <c r="G1875" s="5" t="str">
        <f t="shared" si="127"/>
        <v/>
      </c>
      <c r="I1875" s="6" t="str">
        <f t="shared" si="128"/>
        <v>0</v>
      </c>
    </row>
    <row r="1876" spans="1:11">
      <c r="A1876" t="s">
        <v>2376</v>
      </c>
      <c r="B1876" t="s">
        <v>309</v>
      </c>
      <c r="E1876" t="str">
        <f t="shared" si="130"/>
        <v/>
      </c>
      <c r="G1876" s="5" t="str">
        <f t="shared" si="127"/>
        <v/>
      </c>
      <c r="I1876" s="6" t="str">
        <f t="shared" si="128"/>
        <v>0</v>
      </c>
    </row>
    <row r="1877" spans="1:11">
      <c r="A1877" t="s">
        <v>2377</v>
      </c>
      <c r="B1877" t="s">
        <v>309</v>
      </c>
      <c r="E1877" t="str">
        <f t="shared" si="130"/>
        <v/>
      </c>
      <c r="G1877" s="5" t="str">
        <f t="shared" si="127"/>
        <v/>
      </c>
      <c r="I1877" s="6" t="str">
        <f t="shared" si="128"/>
        <v>0</v>
      </c>
    </row>
    <row r="1878" spans="1:11">
      <c r="A1878" t="s">
        <v>2378</v>
      </c>
      <c r="B1878" t="s">
        <v>309</v>
      </c>
      <c r="E1878" t="str">
        <f t="shared" si="130"/>
        <v/>
      </c>
      <c r="G1878" s="5" t="str">
        <f t="shared" si="127"/>
        <v/>
      </c>
      <c r="I1878" s="6" t="str">
        <f t="shared" si="128"/>
        <v>0</v>
      </c>
    </row>
    <row r="1879" spans="1:11">
      <c r="A1879" t="s">
        <v>2379</v>
      </c>
      <c r="B1879" t="s">
        <v>309</v>
      </c>
      <c r="E1879" t="str">
        <f t="shared" si="130"/>
        <v/>
      </c>
      <c r="G1879" s="5" t="str">
        <f t="shared" si="127"/>
        <v/>
      </c>
      <c r="I1879" s="6" t="str">
        <f t="shared" si="128"/>
        <v>0</v>
      </c>
    </row>
    <row r="1880" spans="1:11">
      <c r="A1880" t="s">
        <v>2380</v>
      </c>
      <c r="B1880" t="s">
        <v>309</v>
      </c>
      <c r="E1880" t="str">
        <f t="shared" si="130"/>
        <v/>
      </c>
      <c r="G1880" s="5" t="str">
        <f t="shared" si="127"/>
        <v/>
      </c>
      <c r="I1880" s="6" t="str">
        <f t="shared" si="128"/>
        <v>0</v>
      </c>
    </row>
    <row r="1881" spans="1:11" ht="17">
      <c r="A1881" t="s">
        <v>2381</v>
      </c>
      <c r="B1881" s="17" t="s">
        <v>3542</v>
      </c>
      <c r="C1881" s="5" t="s">
        <v>48</v>
      </c>
      <c r="D1881" s="17" t="s">
        <v>3543</v>
      </c>
      <c r="E1881" t="str">
        <f t="shared" si="130"/>
        <v>data/characters-body-definitions.layout</v>
      </c>
      <c r="F1881" s="5" t="s">
        <v>3544</v>
      </c>
      <c r="G1881" s="5">
        <f t="shared" si="127"/>
        <v>42250</v>
      </c>
      <c r="H1881" s="5">
        <v>140</v>
      </c>
      <c r="I1881" s="6" t="str">
        <f t="shared" si="128"/>
        <v>8C</v>
      </c>
      <c r="K1881" s="19" t="s">
        <v>3573</v>
      </c>
    </row>
    <row r="1882" spans="1:11" ht="17">
      <c r="A1882" s="17" t="s">
        <v>2383</v>
      </c>
      <c r="B1882" s="17" t="s">
        <v>3548</v>
      </c>
      <c r="C1882" s="5" t="s">
        <v>48</v>
      </c>
      <c r="D1882" s="17" t="s">
        <v>3549</v>
      </c>
      <c r="E1882" t="str">
        <f t="shared" si="130"/>
        <v>data/characters-render-table-offsets.lookup</v>
      </c>
      <c r="F1882" s="5" t="s">
        <v>3550</v>
      </c>
      <c r="G1882" s="5">
        <f t="shared" si="127"/>
        <v>42476</v>
      </c>
      <c r="H1882" s="5">
        <v>20</v>
      </c>
      <c r="I1882" s="6" t="str">
        <f t="shared" si="128"/>
        <v>14</v>
      </c>
      <c r="J1882"/>
      <c r="K1882" s="15" t="s">
        <v>3577</v>
      </c>
    </row>
    <row r="1883" spans="1:11" ht="17">
      <c r="A1883" s="17" t="s">
        <v>2384</v>
      </c>
      <c r="B1883" s="17" t="s">
        <v>3578</v>
      </c>
      <c r="E1883" t="str">
        <f t="shared" si="130"/>
        <v/>
      </c>
      <c r="G1883" s="5" t="str">
        <f t="shared" si="127"/>
        <v/>
      </c>
      <c r="I1883" s="6" t="str">
        <f t="shared" si="128"/>
        <v>0</v>
      </c>
      <c r="J1883"/>
      <c r="K1883" s="15"/>
    </row>
    <row r="1884" spans="1:11" ht="17">
      <c r="A1884" t="s">
        <v>2385</v>
      </c>
      <c r="B1884" s="17" t="s">
        <v>3545</v>
      </c>
      <c r="C1884" s="5" t="s">
        <v>48</v>
      </c>
      <c r="D1884" s="17" t="s">
        <v>3546</v>
      </c>
      <c r="E1884" t="str">
        <f t="shared" si="130"/>
        <v>data/characters-part-variants.lookup</v>
      </c>
      <c r="F1884" s="5" t="s">
        <v>3547</v>
      </c>
      <c r="G1884" s="5">
        <f t="shared" si="127"/>
        <v>42496</v>
      </c>
      <c r="H1884" s="5">
        <v>20</v>
      </c>
      <c r="I1884" s="6" t="str">
        <f t="shared" si="128"/>
        <v>14</v>
      </c>
      <c r="K1884" s="19" t="s">
        <v>3576</v>
      </c>
    </row>
    <row r="1885" spans="1:11" ht="17">
      <c r="A1885" t="s">
        <v>2386</v>
      </c>
      <c r="B1885" s="17" t="s">
        <v>3572</v>
      </c>
      <c r="E1885" t="str">
        <f t="shared" si="130"/>
        <v/>
      </c>
      <c r="G1885" s="5" t="str">
        <f t="shared" si="127"/>
        <v/>
      </c>
      <c r="I1885" s="6" t="str">
        <f t="shared" si="128"/>
        <v>0</v>
      </c>
      <c r="K1885" s="19" t="s">
        <v>3579</v>
      </c>
    </row>
    <row r="1886" spans="1:11">
      <c r="A1886" t="s">
        <v>2387</v>
      </c>
      <c r="B1886" t="s">
        <v>309</v>
      </c>
      <c r="E1886" t="str">
        <f t="shared" si="130"/>
        <v/>
      </c>
      <c r="G1886" s="5" t="str">
        <f t="shared" si="127"/>
        <v/>
      </c>
      <c r="I1886" s="6" t="str">
        <f t="shared" si="128"/>
        <v>0</v>
      </c>
    </row>
    <row r="1887" spans="1:11">
      <c r="A1887" t="s">
        <v>2388</v>
      </c>
      <c r="B1887" t="s">
        <v>309</v>
      </c>
      <c r="E1887" t="str">
        <f t="shared" si="130"/>
        <v/>
      </c>
      <c r="G1887" s="5" t="str">
        <f t="shared" si="127"/>
        <v/>
      </c>
      <c r="I1887" s="6" t="str">
        <f t="shared" si="128"/>
        <v>0</v>
      </c>
    </row>
    <row r="1888" spans="1:11">
      <c r="A1888" t="s">
        <v>2389</v>
      </c>
      <c r="B1888" t="s">
        <v>309</v>
      </c>
      <c r="E1888" t="str">
        <f t="shared" si="130"/>
        <v/>
      </c>
      <c r="G1888" s="5" t="str">
        <f t="shared" si="127"/>
        <v/>
      </c>
      <c r="I1888" s="6" t="str">
        <f t="shared" si="128"/>
        <v>0</v>
      </c>
    </row>
    <row r="1889" spans="1:11">
      <c r="A1889" t="s">
        <v>2390</v>
      </c>
      <c r="B1889" t="s">
        <v>309</v>
      </c>
      <c r="E1889" t="str">
        <f t="shared" si="130"/>
        <v/>
      </c>
      <c r="G1889" s="5" t="str">
        <f t="shared" si="127"/>
        <v/>
      </c>
      <c r="I1889" s="6" t="str">
        <f t="shared" si="128"/>
        <v>0</v>
      </c>
    </row>
    <row r="1890" spans="1:11">
      <c r="A1890" t="s">
        <v>2391</v>
      </c>
      <c r="B1890" t="s">
        <v>309</v>
      </c>
      <c r="E1890" t="str">
        <f t="shared" si="130"/>
        <v/>
      </c>
      <c r="G1890" s="5" t="str">
        <f t="shared" si="127"/>
        <v/>
      </c>
      <c r="I1890" s="6" t="str">
        <f t="shared" si="128"/>
        <v>0</v>
      </c>
    </row>
    <row r="1891" spans="1:11">
      <c r="A1891" t="s">
        <v>2392</v>
      </c>
      <c r="B1891" t="s">
        <v>309</v>
      </c>
      <c r="E1891" t="str">
        <f t="shared" si="130"/>
        <v/>
      </c>
      <c r="G1891" s="5" t="str">
        <f t="shared" si="127"/>
        <v/>
      </c>
      <c r="I1891" s="6" t="str">
        <f t="shared" si="128"/>
        <v>0</v>
      </c>
    </row>
    <row r="1892" spans="1:11">
      <c r="A1892" t="s">
        <v>2393</v>
      </c>
      <c r="B1892" t="s">
        <v>309</v>
      </c>
      <c r="E1892" t="str">
        <f t="shared" si="130"/>
        <v/>
      </c>
      <c r="G1892" s="5" t="str">
        <f t="shared" si="127"/>
        <v/>
      </c>
      <c r="I1892" s="6" t="str">
        <f t="shared" si="128"/>
        <v>0</v>
      </c>
    </row>
    <row r="1893" spans="1:11">
      <c r="A1893" t="s">
        <v>2394</v>
      </c>
      <c r="B1893" t="s">
        <v>309</v>
      </c>
      <c r="E1893" t="str">
        <f t="shared" si="130"/>
        <v/>
      </c>
      <c r="G1893" s="5" t="str">
        <f t="shared" si="127"/>
        <v/>
      </c>
      <c r="I1893" s="6" t="str">
        <f t="shared" si="128"/>
        <v>0</v>
      </c>
    </row>
    <row r="1894" spans="1:11">
      <c r="A1894" t="s">
        <v>2395</v>
      </c>
      <c r="B1894" t="s">
        <v>309</v>
      </c>
      <c r="E1894" t="str">
        <f t="shared" si="130"/>
        <v/>
      </c>
      <c r="G1894" s="5" t="str">
        <f t="shared" si="127"/>
        <v/>
      </c>
      <c r="I1894" s="6" t="str">
        <f t="shared" si="128"/>
        <v>0</v>
      </c>
    </row>
    <row r="1895" spans="1:11">
      <c r="A1895" t="s">
        <v>2396</v>
      </c>
      <c r="B1895" t="s">
        <v>309</v>
      </c>
      <c r="E1895" t="str">
        <f t="shared" si="130"/>
        <v/>
      </c>
      <c r="G1895" s="5" t="str">
        <f t="shared" si="127"/>
        <v/>
      </c>
      <c r="I1895" s="6" t="str">
        <f t="shared" si="128"/>
        <v>0</v>
      </c>
    </row>
    <row r="1896" spans="1:11">
      <c r="A1896" t="s">
        <v>2397</v>
      </c>
      <c r="B1896" t="s">
        <v>309</v>
      </c>
      <c r="E1896" t="str">
        <f t="shared" si="130"/>
        <v/>
      </c>
      <c r="G1896" s="5" t="str">
        <f t="shared" si="127"/>
        <v/>
      </c>
      <c r="I1896" s="6" t="str">
        <f t="shared" si="128"/>
        <v>0</v>
      </c>
    </row>
    <row r="1897" spans="1:11">
      <c r="A1897" t="s">
        <v>2398</v>
      </c>
      <c r="B1897" t="s">
        <v>309</v>
      </c>
      <c r="E1897" t="str">
        <f t="shared" si="130"/>
        <v/>
      </c>
      <c r="G1897" s="5" t="str">
        <f t="shared" si="127"/>
        <v/>
      </c>
      <c r="I1897" s="6" t="str">
        <f t="shared" si="128"/>
        <v>0</v>
      </c>
    </row>
    <row r="1898" spans="1:11">
      <c r="A1898" t="s">
        <v>2399</v>
      </c>
      <c r="B1898" t="s">
        <v>309</v>
      </c>
      <c r="E1898" t="str">
        <f t="shared" si="130"/>
        <v/>
      </c>
      <c r="G1898" s="5" t="str">
        <f t="shared" si="127"/>
        <v/>
      </c>
      <c r="I1898" s="6" t="str">
        <f t="shared" si="128"/>
        <v>0</v>
      </c>
    </row>
    <row r="1899" spans="1:11">
      <c r="A1899" t="s">
        <v>2400</v>
      </c>
      <c r="B1899" t="s">
        <v>309</v>
      </c>
      <c r="E1899" t="str">
        <f t="shared" si="130"/>
        <v/>
      </c>
      <c r="G1899" s="5" t="str">
        <f t="shared" si="127"/>
        <v/>
      </c>
      <c r="I1899" s="6" t="str">
        <f t="shared" si="128"/>
        <v>0</v>
      </c>
    </row>
    <row r="1900" spans="1:11" ht="17">
      <c r="A1900" t="s">
        <v>2401</v>
      </c>
      <c r="B1900" s="17" t="s">
        <v>3551</v>
      </c>
      <c r="C1900" s="5" t="s">
        <v>48</v>
      </c>
      <c r="D1900" s="17" t="s">
        <v>3552</v>
      </c>
      <c r="E1900" t="str">
        <f t="shared" si="130"/>
        <v>data/characters-arm-animation.positions</v>
      </c>
      <c r="F1900" s="5" t="s">
        <v>3553</v>
      </c>
      <c r="G1900" s="5">
        <f t="shared" si="127"/>
        <v>42872</v>
      </c>
      <c r="H1900" s="5">
        <v>72</v>
      </c>
      <c r="I1900" s="6" t="str">
        <f t="shared" si="128"/>
        <v>48</v>
      </c>
      <c r="K1900" s="19" t="s">
        <v>3575</v>
      </c>
    </row>
    <row r="1901" spans="1:11" ht="17">
      <c r="A1901" t="s">
        <v>2402</v>
      </c>
      <c r="B1901" s="17" t="s">
        <v>3877</v>
      </c>
      <c r="D1901" s="17"/>
      <c r="F1901" s="16"/>
      <c r="G1901" s="5" t="str">
        <f t="shared" si="127"/>
        <v/>
      </c>
      <c r="I1901" s="6" t="str">
        <f t="shared" si="128"/>
        <v>0</v>
      </c>
      <c r="K1901" s="19" t="s">
        <v>3878</v>
      </c>
    </row>
    <row r="1902" spans="1:11">
      <c r="A1902" t="s">
        <v>2403</v>
      </c>
      <c r="B1902" t="s">
        <v>309</v>
      </c>
      <c r="E1902" t="str">
        <f t="shared" ref="E1902:E1907" si="131">IF(D1902&lt;&gt;"",C1902&amp;"/"&amp;D1902,"")</f>
        <v/>
      </c>
      <c r="G1902" s="5" t="str">
        <f t="shared" si="127"/>
        <v/>
      </c>
      <c r="I1902" s="6" t="str">
        <f t="shared" si="128"/>
        <v>0</v>
      </c>
    </row>
    <row r="1903" spans="1:11">
      <c r="A1903" t="s">
        <v>2404</v>
      </c>
      <c r="B1903" t="s">
        <v>309</v>
      </c>
      <c r="E1903" t="str">
        <f t="shared" si="131"/>
        <v/>
      </c>
      <c r="G1903" s="5" t="str">
        <f t="shared" si="127"/>
        <v/>
      </c>
      <c r="I1903" s="6" t="str">
        <f t="shared" si="128"/>
        <v>0</v>
      </c>
    </row>
    <row r="1904" spans="1:11">
      <c r="A1904" t="s">
        <v>2405</v>
      </c>
      <c r="B1904" t="s">
        <v>309</v>
      </c>
      <c r="E1904" t="str">
        <f t="shared" si="131"/>
        <v/>
      </c>
      <c r="G1904" s="5" t="str">
        <f t="shared" si="127"/>
        <v/>
      </c>
      <c r="I1904" s="6" t="str">
        <f t="shared" si="128"/>
        <v>0</v>
      </c>
    </row>
    <row r="1905" spans="1:11">
      <c r="A1905" t="s">
        <v>2406</v>
      </c>
      <c r="B1905" t="s">
        <v>309</v>
      </c>
      <c r="E1905" t="str">
        <f t="shared" si="131"/>
        <v/>
      </c>
      <c r="G1905" s="5" t="str">
        <f t="shared" si="127"/>
        <v/>
      </c>
      <c r="I1905" s="6" t="str">
        <f t="shared" si="128"/>
        <v>0</v>
      </c>
    </row>
    <row r="1906" spans="1:11">
      <c r="A1906" t="s">
        <v>2407</v>
      </c>
      <c r="B1906" t="s">
        <v>309</v>
      </c>
      <c r="E1906" t="str">
        <f t="shared" si="131"/>
        <v/>
      </c>
      <c r="G1906" s="5" t="str">
        <f t="shared" si="127"/>
        <v/>
      </c>
      <c r="I1906" s="6" t="str">
        <f t="shared" si="128"/>
        <v>0</v>
      </c>
    </row>
    <row r="1907" spans="1:11">
      <c r="A1907" t="s">
        <v>2408</v>
      </c>
      <c r="B1907" t="s">
        <v>309</v>
      </c>
      <c r="E1907" t="str">
        <f t="shared" si="131"/>
        <v/>
      </c>
      <c r="G1907" s="5" t="str">
        <f t="shared" si="127"/>
        <v/>
      </c>
      <c r="I1907" s="6" t="str">
        <f t="shared" si="128"/>
        <v>0</v>
      </c>
    </row>
    <row r="1908" spans="1:11" ht="17">
      <c r="A1908" t="s">
        <v>2409</v>
      </c>
      <c r="B1908" s="17" t="s">
        <v>3864</v>
      </c>
      <c r="C1908" s="5" t="s">
        <v>48</v>
      </c>
      <c r="D1908" s="17" t="s">
        <v>3865</v>
      </c>
      <c r="E1908" t="s">
        <v>3866</v>
      </c>
      <c r="F1908" s="16" t="s">
        <v>3867</v>
      </c>
      <c r="G1908" s="5">
        <f t="shared" si="127"/>
        <v>43038</v>
      </c>
      <c r="H1908" s="5">
        <v>4</v>
      </c>
      <c r="I1908" s="6" t="str">
        <f t="shared" si="128"/>
        <v>4</v>
      </c>
      <c r="K1908" s="19" t="s">
        <v>3868</v>
      </c>
    </row>
    <row r="1909" spans="1:11">
      <c r="A1909" t="s">
        <v>2410</v>
      </c>
      <c r="B1909" t="s">
        <v>309</v>
      </c>
      <c r="E1909" t="str">
        <f t="shared" ref="E1909:E1922" si="132">IF(D1909&lt;&gt;"",C1909&amp;"/"&amp;D1909,"")</f>
        <v/>
      </c>
      <c r="G1909" s="5" t="str">
        <f t="shared" si="127"/>
        <v/>
      </c>
      <c r="I1909" s="6" t="str">
        <f t="shared" si="128"/>
        <v>0</v>
      </c>
    </row>
    <row r="1910" spans="1:11">
      <c r="A1910" t="s">
        <v>2411</v>
      </c>
      <c r="B1910" t="s">
        <v>6063</v>
      </c>
      <c r="G1910" s="5" t="str">
        <f t="shared" si="127"/>
        <v/>
      </c>
      <c r="I1910" s="6" t="str">
        <f t="shared" si="128"/>
        <v>0</v>
      </c>
      <c r="K1910" s="19" t="s">
        <v>6064</v>
      </c>
    </row>
    <row r="1911" spans="1:11">
      <c r="A1911" t="s">
        <v>2412</v>
      </c>
      <c r="B1911" t="s">
        <v>309</v>
      </c>
      <c r="E1911" t="str">
        <f t="shared" si="132"/>
        <v/>
      </c>
      <c r="G1911" s="5" t="str">
        <f t="shared" si="127"/>
        <v/>
      </c>
      <c r="I1911" s="6" t="str">
        <f t="shared" si="128"/>
        <v>0</v>
      </c>
    </row>
    <row r="1912" spans="1:11">
      <c r="A1912" t="s">
        <v>2413</v>
      </c>
      <c r="B1912" t="s">
        <v>6065</v>
      </c>
      <c r="G1912" s="5" t="str">
        <f t="shared" si="127"/>
        <v/>
      </c>
      <c r="I1912" s="6" t="str">
        <f t="shared" si="128"/>
        <v>0</v>
      </c>
      <c r="K1912" s="19" t="s">
        <v>6066</v>
      </c>
    </row>
    <row r="1913" spans="1:11">
      <c r="A1913" t="s">
        <v>2414</v>
      </c>
      <c r="B1913" t="s">
        <v>6067</v>
      </c>
      <c r="G1913" s="5" t="str">
        <f t="shared" si="127"/>
        <v/>
      </c>
      <c r="I1913" s="6" t="str">
        <f t="shared" si="128"/>
        <v>0</v>
      </c>
      <c r="K1913" s="19" t="s">
        <v>6068</v>
      </c>
    </row>
    <row r="1914" spans="1:11">
      <c r="A1914" t="s">
        <v>2415</v>
      </c>
      <c r="B1914" t="s">
        <v>309</v>
      </c>
      <c r="E1914" t="str">
        <f t="shared" si="132"/>
        <v/>
      </c>
      <c r="G1914" s="5" t="str">
        <f t="shared" si="127"/>
        <v/>
      </c>
      <c r="I1914" s="6" t="str">
        <f t="shared" si="128"/>
        <v>0</v>
      </c>
    </row>
    <row r="1915" spans="1:11">
      <c r="A1915" t="s">
        <v>2416</v>
      </c>
      <c r="B1915" t="s">
        <v>309</v>
      </c>
      <c r="E1915" t="str">
        <f t="shared" si="132"/>
        <v/>
      </c>
      <c r="G1915" s="5" t="str">
        <f t="shared" si="127"/>
        <v/>
      </c>
      <c r="I1915" s="6" t="str">
        <f t="shared" si="128"/>
        <v>0</v>
      </c>
    </row>
    <row r="1916" spans="1:11">
      <c r="A1916" t="s">
        <v>2417</v>
      </c>
      <c r="B1916" t="s">
        <v>309</v>
      </c>
      <c r="E1916" t="str">
        <f t="shared" si="132"/>
        <v/>
      </c>
      <c r="G1916" s="5" t="str">
        <f t="shared" si="127"/>
        <v/>
      </c>
      <c r="I1916" s="6" t="str">
        <f t="shared" si="128"/>
        <v>0</v>
      </c>
    </row>
    <row r="1917" spans="1:11">
      <c r="A1917" t="s">
        <v>2418</v>
      </c>
      <c r="B1917" t="s">
        <v>309</v>
      </c>
      <c r="E1917" t="str">
        <f t="shared" si="132"/>
        <v/>
      </c>
      <c r="G1917" s="5" t="str">
        <f t="shared" si="127"/>
        <v/>
      </c>
      <c r="I1917" s="6" t="str">
        <f t="shared" si="128"/>
        <v>0</v>
      </c>
    </row>
    <row r="1918" spans="1:11">
      <c r="A1918" t="s">
        <v>2419</v>
      </c>
      <c r="B1918" t="s">
        <v>309</v>
      </c>
      <c r="E1918" t="str">
        <f t="shared" si="132"/>
        <v/>
      </c>
      <c r="G1918" s="5" t="str">
        <f t="shared" si="127"/>
        <v/>
      </c>
      <c r="I1918" s="6" t="str">
        <f t="shared" si="128"/>
        <v>0</v>
      </c>
    </row>
    <row r="1919" spans="1:11">
      <c r="A1919" t="s">
        <v>2420</v>
      </c>
      <c r="B1919" t="s">
        <v>309</v>
      </c>
      <c r="E1919" t="str">
        <f t="shared" si="132"/>
        <v/>
      </c>
      <c r="G1919" s="5" t="str">
        <f t="shared" si="127"/>
        <v/>
      </c>
      <c r="I1919" s="6" t="str">
        <f t="shared" si="128"/>
        <v>0</v>
      </c>
    </row>
    <row r="1920" spans="1:11">
      <c r="A1920" t="s">
        <v>2421</v>
      </c>
      <c r="B1920" t="s">
        <v>309</v>
      </c>
      <c r="E1920" t="str">
        <f t="shared" si="132"/>
        <v/>
      </c>
      <c r="G1920" s="5" t="str">
        <f t="shared" si="127"/>
        <v/>
      </c>
      <c r="I1920" s="6" t="str">
        <f t="shared" si="128"/>
        <v>0</v>
      </c>
    </row>
    <row r="1921" spans="1:11">
      <c r="A1921" t="s">
        <v>2422</v>
      </c>
      <c r="B1921" t="s">
        <v>309</v>
      </c>
      <c r="E1921" t="str">
        <f t="shared" si="132"/>
        <v/>
      </c>
      <c r="G1921" s="5" t="str">
        <f t="shared" si="127"/>
        <v/>
      </c>
      <c r="I1921" s="6" t="str">
        <f t="shared" si="128"/>
        <v>0</v>
      </c>
    </row>
    <row r="1922" spans="1:11">
      <c r="A1922" t="s">
        <v>2423</v>
      </c>
      <c r="B1922" t="s">
        <v>309</v>
      </c>
      <c r="E1922" t="str">
        <f t="shared" si="132"/>
        <v/>
      </c>
      <c r="G1922" s="5" t="str">
        <f t="shared" ref="G1922:G1985" si="133">IF(F1922&lt;&gt;"",HEX2DEC(SUBSTITUTE(SUBSTITUTE(F1922,"adrEA",""),"$","")),"")</f>
        <v/>
      </c>
      <c r="I1922" s="6" t="str">
        <f t="shared" ref="I1922:I1985" si="134">IFERROR(DEC2HEX(H1922),"")</f>
        <v>0</v>
      </c>
    </row>
    <row r="1923" spans="1:11">
      <c r="A1923" t="s">
        <v>2424</v>
      </c>
      <c r="B1923" t="s">
        <v>5805</v>
      </c>
      <c r="G1923" s="5" t="str">
        <f t="shared" si="133"/>
        <v/>
      </c>
      <c r="I1923" s="6" t="str">
        <f t="shared" si="134"/>
        <v>0</v>
      </c>
      <c r="K1923" s="19" t="s">
        <v>5806</v>
      </c>
    </row>
    <row r="1924" spans="1:11">
      <c r="A1924" t="s">
        <v>2425</v>
      </c>
      <c r="B1924" t="s">
        <v>3388</v>
      </c>
      <c r="G1924" s="5" t="str">
        <f t="shared" si="133"/>
        <v/>
      </c>
      <c r="I1924" s="6" t="str">
        <f t="shared" si="134"/>
        <v>0</v>
      </c>
      <c r="K1924" s="19" t="s">
        <v>4546</v>
      </c>
    </row>
    <row r="1925" spans="1:11">
      <c r="A1925" t="s">
        <v>2426</v>
      </c>
      <c r="B1925" t="s">
        <v>309</v>
      </c>
      <c r="E1925" t="str">
        <f t="shared" ref="E1925:E1949" si="135">IF(D1925&lt;&gt;"",C1925&amp;"/"&amp;D1925,"")</f>
        <v/>
      </c>
      <c r="G1925" s="5" t="str">
        <f t="shared" si="133"/>
        <v/>
      </c>
      <c r="I1925" s="6" t="str">
        <f t="shared" si="134"/>
        <v>0</v>
      </c>
    </row>
    <row r="1926" spans="1:11">
      <c r="A1926" t="s">
        <v>2431</v>
      </c>
      <c r="B1926" t="s">
        <v>309</v>
      </c>
      <c r="E1926" t="str">
        <f t="shared" si="135"/>
        <v/>
      </c>
      <c r="G1926" s="5" t="str">
        <f t="shared" si="133"/>
        <v/>
      </c>
      <c r="I1926" s="6" t="str">
        <f t="shared" si="134"/>
        <v>0</v>
      </c>
    </row>
    <row r="1927" spans="1:11">
      <c r="A1927" t="s">
        <v>2432</v>
      </c>
      <c r="B1927" t="s">
        <v>309</v>
      </c>
      <c r="E1927" t="str">
        <f t="shared" si="135"/>
        <v/>
      </c>
      <c r="G1927" s="5" t="str">
        <f t="shared" si="133"/>
        <v/>
      </c>
      <c r="I1927" s="6" t="str">
        <f t="shared" si="134"/>
        <v>0</v>
      </c>
    </row>
    <row r="1928" spans="1:11">
      <c r="A1928" t="s">
        <v>2433</v>
      </c>
      <c r="B1928" t="s">
        <v>309</v>
      </c>
      <c r="E1928" t="str">
        <f t="shared" si="135"/>
        <v/>
      </c>
      <c r="G1928" s="5" t="str">
        <f t="shared" si="133"/>
        <v/>
      </c>
      <c r="I1928" s="6" t="str">
        <f t="shared" si="134"/>
        <v>0</v>
      </c>
    </row>
    <row r="1929" spans="1:11">
      <c r="A1929" t="s">
        <v>2434</v>
      </c>
      <c r="B1929" t="s">
        <v>309</v>
      </c>
      <c r="E1929" t="str">
        <f t="shared" si="135"/>
        <v/>
      </c>
      <c r="G1929" s="5" t="str">
        <f t="shared" si="133"/>
        <v/>
      </c>
      <c r="I1929" s="6" t="str">
        <f t="shared" si="134"/>
        <v>0</v>
      </c>
    </row>
    <row r="1930" spans="1:11">
      <c r="A1930" t="s">
        <v>2435</v>
      </c>
      <c r="B1930" t="s">
        <v>309</v>
      </c>
      <c r="E1930" t="str">
        <f t="shared" si="135"/>
        <v/>
      </c>
      <c r="G1930" s="5" t="str">
        <f t="shared" si="133"/>
        <v/>
      </c>
      <c r="I1930" s="6" t="str">
        <f t="shared" si="134"/>
        <v>0</v>
      </c>
    </row>
    <row r="1931" spans="1:11">
      <c r="A1931" t="s">
        <v>2438</v>
      </c>
      <c r="B1931" t="s">
        <v>309</v>
      </c>
      <c r="E1931" t="str">
        <f t="shared" si="135"/>
        <v/>
      </c>
      <c r="G1931" s="5" t="str">
        <f t="shared" si="133"/>
        <v/>
      </c>
      <c r="I1931" s="6" t="str">
        <f t="shared" si="134"/>
        <v>0</v>
      </c>
    </row>
    <row r="1932" spans="1:11">
      <c r="A1932" t="s">
        <v>2439</v>
      </c>
      <c r="B1932" t="s">
        <v>309</v>
      </c>
      <c r="E1932" t="str">
        <f t="shared" si="135"/>
        <v/>
      </c>
      <c r="G1932" s="5" t="str">
        <f t="shared" si="133"/>
        <v/>
      </c>
      <c r="I1932" s="6" t="str">
        <f t="shared" si="134"/>
        <v>0</v>
      </c>
    </row>
    <row r="1933" spans="1:11">
      <c r="A1933" t="s">
        <v>2441</v>
      </c>
      <c r="B1933" t="s">
        <v>309</v>
      </c>
      <c r="E1933" t="str">
        <f t="shared" si="135"/>
        <v/>
      </c>
      <c r="G1933" s="5" t="str">
        <f t="shared" si="133"/>
        <v/>
      </c>
      <c r="I1933" s="6" t="str">
        <f t="shared" si="134"/>
        <v>0</v>
      </c>
    </row>
    <row r="1934" spans="1:11">
      <c r="A1934" t="s">
        <v>2443</v>
      </c>
      <c r="B1934" t="s">
        <v>309</v>
      </c>
      <c r="E1934" t="str">
        <f t="shared" si="135"/>
        <v/>
      </c>
      <c r="G1934" s="5" t="str">
        <f t="shared" si="133"/>
        <v/>
      </c>
      <c r="I1934" s="6" t="str">
        <f t="shared" si="134"/>
        <v>0</v>
      </c>
    </row>
    <row r="1935" spans="1:11">
      <c r="A1935" t="s">
        <v>2444</v>
      </c>
      <c r="B1935" t="s">
        <v>309</v>
      </c>
      <c r="E1935" t="str">
        <f t="shared" si="135"/>
        <v/>
      </c>
      <c r="G1935" s="5" t="str">
        <f t="shared" si="133"/>
        <v/>
      </c>
      <c r="I1935" s="6" t="str">
        <f t="shared" si="134"/>
        <v>0</v>
      </c>
    </row>
    <row r="1936" spans="1:11">
      <c r="A1936" t="s">
        <v>2445</v>
      </c>
      <c r="B1936" t="s">
        <v>309</v>
      </c>
      <c r="E1936" t="str">
        <f t="shared" si="135"/>
        <v/>
      </c>
      <c r="G1936" s="5" t="str">
        <f t="shared" si="133"/>
        <v/>
      </c>
      <c r="I1936" s="6" t="str">
        <f t="shared" si="134"/>
        <v>0</v>
      </c>
    </row>
    <row r="1937" spans="1:11">
      <c r="A1937" t="s">
        <v>2446</v>
      </c>
      <c r="B1937" t="s">
        <v>309</v>
      </c>
      <c r="E1937" t="str">
        <f t="shared" si="135"/>
        <v/>
      </c>
      <c r="G1937" s="5" t="str">
        <f t="shared" si="133"/>
        <v/>
      </c>
      <c r="I1937" s="6" t="str">
        <f t="shared" si="134"/>
        <v>0</v>
      </c>
    </row>
    <row r="1938" spans="1:11">
      <c r="A1938" t="s">
        <v>2447</v>
      </c>
      <c r="B1938" t="s">
        <v>309</v>
      </c>
      <c r="E1938" t="str">
        <f t="shared" si="135"/>
        <v/>
      </c>
      <c r="G1938" s="5" t="str">
        <f t="shared" si="133"/>
        <v/>
      </c>
      <c r="I1938" s="6" t="str">
        <f t="shared" si="134"/>
        <v>0</v>
      </c>
    </row>
    <row r="1939" spans="1:11">
      <c r="A1939" t="s">
        <v>2448</v>
      </c>
      <c r="B1939" t="s">
        <v>309</v>
      </c>
      <c r="E1939" t="str">
        <f t="shared" si="135"/>
        <v/>
      </c>
      <c r="G1939" s="5" t="str">
        <f t="shared" si="133"/>
        <v/>
      </c>
      <c r="I1939" s="6" t="str">
        <f t="shared" si="134"/>
        <v>0</v>
      </c>
    </row>
    <row r="1940" spans="1:11">
      <c r="A1940" t="s">
        <v>2450</v>
      </c>
      <c r="B1940" t="s">
        <v>309</v>
      </c>
      <c r="E1940" t="str">
        <f t="shared" si="135"/>
        <v/>
      </c>
      <c r="G1940" s="5" t="str">
        <f t="shared" si="133"/>
        <v/>
      </c>
      <c r="I1940" s="6" t="str">
        <f t="shared" si="134"/>
        <v>0</v>
      </c>
    </row>
    <row r="1941" spans="1:11">
      <c r="A1941" t="s">
        <v>2451</v>
      </c>
      <c r="B1941" t="s">
        <v>309</v>
      </c>
      <c r="E1941" t="str">
        <f t="shared" si="135"/>
        <v/>
      </c>
      <c r="G1941" s="5" t="str">
        <f t="shared" si="133"/>
        <v/>
      </c>
      <c r="I1941" s="6" t="str">
        <f t="shared" si="134"/>
        <v>0</v>
      </c>
    </row>
    <row r="1942" spans="1:11">
      <c r="A1942" t="s">
        <v>2452</v>
      </c>
      <c r="B1942" t="s">
        <v>309</v>
      </c>
      <c r="E1942" t="str">
        <f t="shared" si="135"/>
        <v/>
      </c>
      <c r="G1942" s="5" t="str">
        <f t="shared" si="133"/>
        <v/>
      </c>
      <c r="I1942" s="6" t="str">
        <f t="shared" si="134"/>
        <v>0</v>
      </c>
    </row>
    <row r="1943" spans="1:11">
      <c r="A1943" t="s">
        <v>2453</v>
      </c>
      <c r="B1943" t="s">
        <v>309</v>
      </c>
      <c r="E1943" t="str">
        <f t="shared" si="135"/>
        <v/>
      </c>
      <c r="G1943" s="5" t="str">
        <f t="shared" si="133"/>
        <v/>
      </c>
      <c r="I1943" s="6" t="str">
        <f t="shared" si="134"/>
        <v>0</v>
      </c>
    </row>
    <row r="1944" spans="1:11">
      <c r="A1944" t="s">
        <v>2455</v>
      </c>
      <c r="B1944" t="s">
        <v>309</v>
      </c>
      <c r="E1944" t="str">
        <f t="shared" si="135"/>
        <v/>
      </c>
      <c r="G1944" s="5" t="str">
        <f t="shared" si="133"/>
        <v/>
      </c>
      <c r="I1944" s="6" t="str">
        <f t="shared" si="134"/>
        <v>0</v>
      </c>
    </row>
    <row r="1945" spans="1:11">
      <c r="A1945" t="s">
        <v>2456</v>
      </c>
      <c r="B1945" t="s">
        <v>309</v>
      </c>
      <c r="E1945" t="str">
        <f t="shared" si="135"/>
        <v/>
      </c>
      <c r="G1945" s="5" t="str">
        <f t="shared" si="133"/>
        <v/>
      </c>
      <c r="I1945" s="6" t="str">
        <f t="shared" si="134"/>
        <v>0</v>
      </c>
    </row>
    <row r="1946" spans="1:11">
      <c r="A1946" t="s">
        <v>2457</v>
      </c>
      <c r="B1946" t="s">
        <v>309</v>
      </c>
      <c r="E1946" t="str">
        <f t="shared" si="135"/>
        <v/>
      </c>
      <c r="G1946" s="5" t="str">
        <f t="shared" si="133"/>
        <v/>
      </c>
      <c r="I1946" s="6" t="str">
        <f t="shared" si="134"/>
        <v>0</v>
      </c>
    </row>
    <row r="1947" spans="1:11">
      <c r="A1947" t="s">
        <v>2458</v>
      </c>
      <c r="B1947" t="s">
        <v>309</v>
      </c>
      <c r="E1947" t="str">
        <f t="shared" si="135"/>
        <v/>
      </c>
      <c r="G1947" s="5" t="str">
        <f t="shared" si="133"/>
        <v/>
      </c>
      <c r="I1947" s="6" t="str">
        <f t="shared" si="134"/>
        <v>0</v>
      </c>
    </row>
    <row r="1948" spans="1:11">
      <c r="A1948" t="s">
        <v>2459</v>
      </c>
      <c r="B1948" t="s">
        <v>309</v>
      </c>
      <c r="E1948" t="str">
        <f t="shared" si="135"/>
        <v/>
      </c>
      <c r="G1948" s="5" t="str">
        <f t="shared" si="133"/>
        <v/>
      </c>
      <c r="I1948" s="6" t="str">
        <f t="shared" si="134"/>
        <v>0</v>
      </c>
    </row>
    <row r="1949" spans="1:11">
      <c r="A1949" t="s">
        <v>2461</v>
      </c>
      <c r="B1949" t="s">
        <v>309</v>
      </c>
      <c r="E1949" t="str">
        <f t="shared" si="135"/>
        <v/>
      </c>
      <c r="G1949" s="5" t="str">
        <f t="shared" si="133"/>
        <v/>
      </c>
      <c r="I1949" s="6" t="str">
        <f t="shared" si="134"/>
        <v>0</v>
      </c>
    </row>
    <row r="1950" spans="1:11">
      <c r="A1950" t="s">
        <v>2462</v>
      </c>
      <c r="B1950" t="s">
        <v>3283</v>
      </c>
      <c r="C1950" s="5" t="s">
        <v>3114</v>
      </c>
      <c r="D1950" t="s">
        <v>4677</v>
      </c>
      <c r="E1950" t="s">
        <v>4678</v>
      </c>
      <c r="F1950" s="5" t="s">
        <v>4679</v>
      </c>
      <c r="G1950" s="5">
        <f t="shared" si="133"/>
        <v>44256</v>
      </c>
      <c r="H1950" s="5">
        <v>16</v>
      </c>
      <c r="I1950" s="6" t="str">
        <f t="shared" si="134"/>
        <v>10</v>
      </c>
      <c r="K1950" s="19" t="s">
        <v>4680</v>
      </c>
    </row>
    <row r="1951" spans="1:11">
      <c r="A1951" t="s">
        <v>2463</v>
      </c>
      <c r="B1951" t="s">
        <v>3701</v>
      </c>
      <c r="E1951" t="str">
        <f>IF(D1951&lt;&gt;"",C1951&amp;"/"&amp;D1951,"")</f>
        <v/>
      </c>
      <c r="G1951" s="5" t="str">
        <f t="shared" si="133"/>
        <v/>
      </c>
      <c r="I1951" s="6" t="str">
        <f t="shared" si="134"/>
        <v>0</v>
      </c>
      <c r="K1951" s="19" t="s">
        <v>3702</v>
      </c>
    </row>
    <row r="1952" spans="1:11">
      <c r="A1952" t="s">
        <v>2464</v>
      </c>
      <c r="B1952" t="s">
        <v>3285</v>
      </c>
      <c r="G1952" s="5" t="str">
        <f t="shared" si="133"/>
        <v/>
      </c>
      <c r="I1952" s="6" t="str">
        <f t="shared" si="134"/>
        <v>0</v>
      </c>
      <c r="K1952" s="19" t="s">
        <v>4547</v>
      </c>
    </row>
    <row r="1953" spans="1:11">
      <c r="A1953" t="s">
        <v>2466</v>
      </c>
      <c r="B1953" t="s">
        <v>3287</v>
      </c>
      <c r="G1953" s="5" t="str">
        <f t="shared" si="133"/>
        <v/>
      </c>
      <c r="I1953" s="6" t="str">
        <f t="shared" si="134"/>
        <v>0</v>
      </c>
      <c r="K1953" s="19" t="s">
        <v>4521</v>
      </c>
    </row>
    <row r="1954" spans="1:11">
      <c r="A1954" t="s">
        <v>2468</v>
      </c>
      <c r="B1954" t="s">
        <v>3286</v>
      </c>
      <c r="G1954" s="5" t="str">
        <f t="shared" si="133"/>
        <v/>
      </c>
      <c r="I1954" s="6" t="str">
        <f t="shared" si="134"/>
        <v>0</v>
      </c>
      <c r="K1954" s="19" t="s">
        <v>4522</v>
      </c>
    </row>
    <row r="1955" spans="1:11">
      <c r="A1955" t="s">
        <v>2473</v>
      </c>
      <c r="B1955" t="s">
        <v>309</v>
      </c>
      <c r="E1955" t="str">
        <f>IF(D1955&lt;&gt;"",C1955&amp;"/"&amp;D1955,"")</f>
        <v/>
      </c>
      <c r="G1955" s="5" t="str">
        <f t="shared" si="133"/>
        <v/>
      </c>
      <c r="I1955" s="6" t="str">
        <f t="shared" si="134"/>
        <v>0</v>
      </c>
    </row>
    <row r="1956" spans="1:11">
      <c r="A1956" t="s">
        <v>2474</v>
      </c>
      <c r="B1956" t="s">
        <v>3709</v>
      </c>
      <c r="E1956" t="str">
        <f>IF(D1956&lt;&gt;"",C1956&amp;"/"&amp;D1956,"")</f>
        <v/>
      </c>
      <c r="G1956" s="5" t="str">
        <f t="shared" si="133"/>
        <v/>
      </c>
      <c r="I1956" s="6" t="str">
        <f t="shared" si="134"/>
        <v>0</v>
      </c>
      <c r="K1956" s="19" t="s">
        <v>3710</v>
      </c>
    </row>
    <row r="1957" spans="1:11">
      <c r="A1957" t="s">
        <v>2475</v>
      </c>
      <c r="B1957" t="s">
        <v>3711</v>
      </c>
      <c r="E1957" t="str">
        <f>IF(D1957&lt;&gt;"",C1957&amp;"/"&amp;D1957,"")</f>
        <v/>
      </c>
      <c r="G1957" s="5" t="str">
        <f t="shared" si="133"/>
        <v/>
      </c>
      <c r="I1957" s="6" t="str">
        <f t="shared" si="134"/>
        <v>0</v>
      </c>
      <c r="K1957" s="19" t="s">
        <v>3712</v>
      </c>
    </row>
    <row r="1958" spans="1:11">
      <c r="A1958" t="s">
        <v>2476</v>
      </c>
      <c r="B1958" t="s">
        <v>3713</v>
      </c>
      <c r="E1958" t="str">
        <f>IF(D1958&lt;&gt;"",C1958&amp;"/"&amp;D1958,"")</f>
        <v/>
      </c>
      <c r="G1958" s="5" t="str">
        <f t="shared" si="133"/>
        <v/>
      </c>
      <c r="I1958" s="6" t="str">
        <f t="shared" si="134"/>
        <v>0</v>
      </c>
      <c r="K1958" s="19" t="s">
        <v>3714</v>
      </c>
    </row>
    <row r="1959" spans="1:11">
      <c r="A1959" t="s">
        <v>2477</v>
      </c>
      <c r="B1959" t="s">
        <v>3284</v>
      </c>
      <c r="G1959" s="5" t="str">
        <f t="shared" si="133"/>
        <v/>
      </c>
      <c r="I1959" s="6" t="str">
        <f t="shared" si="134"/>
        <v>0</v>
      </c>
      <c r="K1959" s="19" t="s">
        <v>4523</v>
      </c>
    </row>
    <row r="1960" spans="1:11">
      <c r="A1960" t="s">
        <v>2479</v>
      </c>
      <c r="B1960" t="s">
        <v>3238</v>
      </c>
      <c r="C1960" s="5" t="s">
        <v>121</v>
      </c>
      <c r="D1960" t="s">
        <v>3064</v>
      </c>
      <c r="E1960" t="str">
        <f>IF(D1960&lt;&gt;"",C1960&amp;"/"&amp;D1960,"")</f>
        <v>gfx/Main_Slots.colours</v>
      </c>
      <c r="F1960" s="5" t="s">
        <v>3237</v>
      </c>
      <c r="G1960" s="5">
        <f t="shared" si="133"/>
        <v>44672</v>
      </c>
      <c r="H1960" s="5">
        <v>32</v>
      </c>
      <c r="I1960" s="6" t="str">
        <f t="shared" si="134"/>
        <v>20</v>
      </c>
      <c r="K1960" s="19" t="s">
        <v>3689</v>
      </c>
    </row>
    <row r="1961" spans="1:11" ht="17">
      <c r="A1961" t="s">
        <v>2480</v>
      </c>
      <c r="B1961" s="17" t="s">
        <v>3665</v>
      </c>
      <c r="D1961" s="17"/>
      <c r="E1961" t="str">
        <f>IF(D1961&lt;&gt;"",C1961&amp;"/"&amp;D1961,"")</f>
        <v/>
      </c>
      <c r="F1961" s="16"/>
      <c r="G1961" s="5" t="str">
        <f t="shared" si="133"/>
        <v/>
      </c>
      <c r="I1961" s="6" t="str">
        <f t="shared" si="134"/>
        <v>0</v>
      </c>
      <c r="K1961" s="19" t="s">
        <v>3703</v>
      </c>
    </row>
    <row r="1962" spans="1:11" ht="17">
      <c r="A1962" t="s">
        <v>2481</v>
      </c>
      <c r="B1962" s="17" t="s">
        <v>3282</v>
      </c>
      <c r="C1962" s="5" t="s">
        <v>3114</v>
      </c>
      <c r="D1962" s="17" t="s">
        <v>3619</v>
      </c>
      <c r="E1962" t="str">
        <f>IF(D1962&lt;&gt;"",C1962&amp;"/"&amp;D1962,"")</f>
        <v>gfx-data/Dungeon_MainWall_SpriteSelection.lookup</v>
      </c>
      <c r="F1962" s="16" t="s">
        <v>3620</v>
      </c>
      <c r="G1962" s="5">
        <f t="shared" si="133"/>
        <v>44854</v>
      </c>
      <c r="H1962" s="5">
        <v>28</v>
      </c>
      <c r="I1962" s="6" t="str">
        <f t="shared" si="134"/>
        <v>1C</v>
      </c>
      <c r="K1962" s="19" t="s">
        <v>3621</v>
      </c>
    </row>
    <row r="1963" spans="1:11">
      <c r="A1963" t="s">
        <v>2482</v>
      </c>
      <c r="B1963" t="s">
        <v>3258</v>
      </c>
      <c r="C1963" s="5" t="s">
        <v>48</v>
      </c>
      <c r="D1963" t="s">
        <v>3259</v>
      </c>
      <c r="E1963" t="s">
        <v>4525</v>
      </c>
      <c r="F1963" s="5" t="s">
        <v>3260</v>
      </c>
      <c r="G1963" s="5">
        <f t="shared" si="133"/>
        <v>44882</v>
      </c>
      <c r="H1963" s="5">
        <v>8</v>
      </c>
      <c r="I1963" s="6" t="str">
        <f t="shared" si="134"/>
        <v>8</v>
      </c>
      <c r="K1963" s="19" t="s">
        <v>4526</v>
      </c>
    </row>
    <row r="1964" spans="1:11">
      <c r="A1964" t="s">
        <v>2483</v>
      </c>
      <c r="B1964" t="s">
        <v>3715</v>
      </c>
      <c r="E1964" t="str">
        <f t="shared" ref="E1964:E1969" si="136">IF(D1964&lt;&gt;"",C1964&amp;"/"&amp;D1964,"")</f>
        <v/>
      </c>
      <c r="G1964" s="5" t="str">
        <f t="shared" si="133"/>
        <v/>
      </c>
      <c r="I1964" s="6" t="str">
        <f t="shared" si="134"/>
        <v>0</v>
      </c>
      <c r="K1964" s="19" t="s">
        <v>3716</v>
      </c>
    </row>
    <row r="1965" spans="1:11">
      <c r="A1965" t="s">
        <v>2488</v>
      </c>
      <c r="B1965" t="s">
        <v>309</v>
      </c>
      <c r="E1965" t="str">
        <f t="shared" si="136"/>
        <v/>
      </c>
      <c r="G1965" s="5" t="str">
        <f t="shared" si="133"/>
        <v/>
      </c>
      <c r="I1965" s="6" t="str">
        <f t="shared" si="134"/>
        <v>0</v>
      </c>
    </row>
    <row r="1966" spans="1:11">
      <c r="A1966" t="s">
        <v>2492</v>
      </c>
      <c r="B1966" t="s">
        <v>309</v>
      </c>
      <c r="E1966" t="str">
        <f t="shared" si="136"/>
        <v/>
      </c>
      <c r="G1966" s="5" t="str">
        <f t="shared" si="133"/>
        <v/>
      </c>
      <c r="I1966" s="6" t="str">
        <f t="shared" si="134"/>
        <v>0</v>
      </c>
    </row>
    <row r="1967" spans="1:11" ht="17">
      <c r="A1967" t="s">
        <v>2493</v>
      </c>
      <c r="B1967" s="17" t="s">
        <v>3666</v>
      </c>
      <c r="D1967" s="17"/>
      <c r="E1967" t="str">
        <f t="shared" si="136"/>
        <v/>
      </c>
      <c r="F1967" s="16"/>
      <c r="G1967" s="5" t="str">
        <f t="shared" si="133"/>
        <v/>
      </c>
      <c r="I1967" s="6" t="str">
        <f t="shared" si="134"/>
        <v>0</v>
      </c>
      <c r="K1967" s="19" t="s">
        <v>3667</v>
      </c>
    </row>
    <row r="1968" spans="1:11" ht="17">
      <c r="A1968" t="s">
        <v>2495</v>
      </c>
      <c r="B1968" s="17" t="s">
        <v>3668</v>
      </c>
      <c r="D1968" s="17"/>
      <c r="E1968" t="str">
        <f t="shared" si="136"/>
        <v/>
      </c>
      <c r="F1968" s="16"/>
      <c r="G1968" s="5" t="str">
        <f t="shared" si="133"/>
        <v/>
      </c>
      <c r="I1968" s="6" t="str">
        <f t="shared" si="134"/>
        <v>0</v>
      </c>
      <c r="K1968" s="19" t="s">
        <v>3669</v>
      </c>
    </row>
    <row r="1969" spans="1:11">
      <c r="A1969" t="s">
        <v>2496</v>
      </c>
      <c r="B1969" t="s">
        <v>309</v>
      </c>
      <c r="E1969" t="str">
        <f t="shared" si="136"/>
        <v/>
      </c>
      <c r="G1969" s="5" t="str">
        <f t="shared" si="133"/>
        <v/>
      </c>
      <c r="I1969" s="6" t="str">
        <f t="shared" si="134"/>
        <v>0</v>
      </c>
    </row>
    <row r="1970" spans="1:11">
      <c r="A1970" t="s">
        <v>2497</v>
      </c>
      <c r="B1970" t="s">
        <v>3280</v>
      </c>
      <c r="G1970" s="5" t="str">
        <f t="shared" si="133"/>
        <v/>
      </c>
      <c r="I1970" s="6" t="str">
        <f t="shared" si="134"/>
        <v>0</v>
      </c>
      <c r="K1970" s="19" t="s">
        <v>4524</v>
      </c>
    </row>
    <row r="1971" spans="1:11" ht="17">
      <c r="A1971" t="s">
        <v>2498</v>
      </c>
      <c r="B1971" s="17" t="s">
        <v>3622</v>
      </c>
      <c r="C1971" s="5" t="s">
        <v>3114</v>
      </c>
      <c r="D1971" s="17" t="s">
        <v>3623</v>
      </c>
      <c r="E1971" t="str">
        <f t="shared" ref="E1971:E2004" si="137">IF(D1971&lt;&gt;"",C1971&amp;"/"&amp;D1971,"")</f>
        <v>gfx-data/Dungeon_WallComponents.lookup</v>
      </c>
      <c r="F1971" s="16" t="s">
        <v>3624</v>
      </c>
      <c r="G1971" s="5">
        <f t="shared" si="133"/>
        <v>45240</v>
      </c>
      <c r="H1971" s="5">
        <v>28</v>
      </c>
      <c r="I1971" s="6" t="str">
        <f t="shared" si="134"/>
        <v>1C</v>
      </c>
      <c r="K1971" s="19" t="s">
        <v>3625</v>
      </c>
    </row>
    <row r="1972" spans="1:11" ht="17">
      <c r="A1972" t="s">
        <v>2499</v>
      </c>
      <c r="B1972" s="17" t="s">
        <v>3670</v>
      </c>
      <c r="D1972" s="17"/>
      <c r="E1972" t="str">
        <f t="shared" si="137"/>
        <v/>
      </c>
      <c r="F1972" s="16"/>
      <c r="G1972" s="5" t="str">
        <f t="shared" si="133"/>
        <v/>
      </c>
      <c r="I1972" s="6" t="str">
        <f t="shared" si="134"/>
        <v>0</v>
      </c>
      <c r="K1972" s="19" t="s">
        <v>3671</v>
      </c>
    </row>
    <row r="1973" spans="1:11" ht="17">
      <c r="A1973" t="s">
        <v>2500</v>
      </c>
      <c r="B1973" s="17" t="s">
        <v>3672</v>
      </c>
      <c r="D1973" s="17"/>
      <c r="E1973" t="str">
        <f t="shared" si="137"/>
        <v/>
      </c>
      <c r="F1973" s="16"/>
      <c r="G1973" s="5" t="str">
        <f t="shared" si="133"/>
        <v/>
      </c>
      <c r="I1973" s="6" t="str">
        <f t="shared" si="134"/>
        <v>0</v>
      </c>
      <c r="K1973" s="19" t="s">
        <v>3673</v>
      </c>
    </row>
    <row r="1974" spans="1:11" ht="17">
      <c r="A1974" t="s">
        <v>2501</v>
      </c>
      <c r="B1974" s="17" t="s">
        <v>3674</v>
      </c>
      <c r="D1974" s="17"/>
      <c r="E1974" t="str">
        <f t="shared" si="137"/>
        <v/>
      </c>
      <c r="F1974" s="16"/>
      <c r="G1974" s="5" t="str">
        <f t="shared" si="133"/>
        <v/>
      </c>
      <c r="I1974" s="6" t="str">
        <f t="shared" si="134"/>
        <v>0</v>
      </c>
      <c r="K1974" s="19" t="s">
        <v>3675</v>
      </c>
    </row>
    <row r="1975" spans="1:11">
      <c r="A1975" t="s">
        <v>2502</v>
      </c>
      <c r="B1975" t="s">
        <v>3251</v>
      </c>
      <c r="E1975" t="str">
        <f t="shared" si="137"/>
        <v/>
      </c>
      <c r="G1975" s="5" t="str">
        <f t="shared" si="133"/>
        <v/>
      </c>
      <c r="I1975" s="6" t="str">
        <f t="shared" si="134"/>
        <v>0</v>
      </c>
    </row>
    <row r="1976" spans="1:11">
      <c r="A1976" t="s">
        <v>2503</v>
      </c>
      <c r="B1976" t="s">
        <v>3250</v>
      </c>
      <c r="E1976" t="str">
        <f t="shared" si="137"/>
        <v/>
      </c>
      <c r="G1976" s="5" t="str">
        <f t="shared" si="133"/>
        <v/>
      </c>
      <c r="I1976" s="6" t="str">
        <f t="shared" si="134"/>
        <v>0</v>
      </c>
    </row>
    <row r="1977" spans="1:11">
      <c r="A1977" t="s">
        <v>2504</v>
      </c>
      <c r="B1977" t="s">
        <v>3261</v>
      </c>
      <c r="E1977" t="str">
        <f t="shared" si="137"/>
        <v/>
      </c>
      <c r="G1977" s="5" t="str">
        <f t="shared" si="133"/>
        <v/>
      </c>
      <c r="I1977" s="6" t="str">
        <f t="shared" si="134"/>
        <v>0</v>
      </c>
    </row>
    <row r="1978" spans="1:11" ht="17">
      <c r="A1978" t="s">
        <v>2505</v>
      </c>
      <c r="B1978" s="17" t="s">
        <v>3626</v>
      </c>
      <c r="C1978" s="5" t="s">
        <v>3114</v>
      </c>
      <c r="D1978" s="17" t="s">
        <v>3627</v>
      </c>
      <c r="E1978" t="str">
        <f t="shared" si="137"/>
        <v>gfx-data/Dungeon_WallComponent_DrawTransform.flags</v>
      </c>
      <c r="F1978" s="16" t="s">
        <v>3628</v>
      </c>
      <c r="G1978" s="5">
        <f t="shared" si="133"/>
        <v>45376</v>
      </c>
      <c r="H1978" s="5">
        <v>28</v>
      </c>
      <c r="I1978" s="6" t="str">
        <f t="shared" si="134"/>
        <v>1C</v>
      </c>
      <c r="K1978" s="19" t="s">
        <v>3629</v>
      </c>
    </row>
    <row r="1979" spans="1:11" ht="17">
      <c r="A1979" t="s">
        <v>2506</v>
      </c>
      <c r="B1979" s="17" t="s">
        <v>3676</v>
      </c>
      <c r="D1979" s="17"/>
      <c r="E1979" t="str">
        <f t="shared" si="137"/>
        <v/>
      </c>
      <c r="F1979" s="16"/>
      <c r="G1979" s="5" t="str">
        <f t="shared" si="133"/>
        <v/>
      </c>
      <c r="I1979" s="6" t="str">
        <f t="shared" si="134"/>
        <v>0</v>
      </c>
      <c r="K1979" s="19" t="s">
        <v>3677</v>
      </c>
    </row>
    <row r="1980" spans="1:11">
      <c r="A1980" t="s">
        <v>2507</v>
      </c>
      <c r="B1980" t="s">
        <v>309</v>
      </c>
      <c r="E1980" t="str">
        <f t="shared" si="137"/>
        <v/>
      </c>
      <c r="G1980" s="5" t="str">
        <f t="shared" si="133"/>
        <v/>
      </c>
      <c r="I1980" s="6" t="str">
        <f t="shared" si="134"/>
        <v>0</v>
      </c>
    </row>
    <row r="1981" spans="1:11">
      <c r="A1981" t="s">
        <v>2508</v>
      </c>
      <c r="B1981" t="s">
        <v>309</v>
      </c>
      <c r="E1981" t="str">
        <f t="shared" si="137"/>
        <v/>
      </c>
      <c r="G1981" s="5" t="str">
        <f t="shared" si="133"/>
        <v/>
      </c>
      <c r="I1981" s="6" t="str">
        <f t="shared" si="134"/>
        <v>0</v>
      </c>
    </row>
    <row r="1982" spans="1:11">
      <c r="A1982" t="s">
        <v>2509</v>
      </c>
      <c r="B1982" t="s">
        <v>309</v>
      </c>
      <c r="E1982" t="str">
        <f t="shared" si="137"/>
        <v/>
      </c>
      <c r="G1982" s="5" t="str">
        <f t="shared" si="133"/>
        <v/>
      </c>
      <c r="I1982" s="6" t="str">
        <f t="shared" si="134"/>
        <v>0</v>
      </c>
    </row>
    <row r="1983" spans="1:11">
      <c r="A1983" t="s">
        <v>2510</v>
      </c>
      <c r="B1983" t="s">
        <v>309</v>
      </c>
      <c r="E1983" t="str">
        <f t="shared" si="137"/>
        <v/>
      </c>
      <c r="G1983" s="5" t="str">
        <f t="shared" si="133"/>
        <v/>
      </c>
      <c r="I1983" s="6" t="str">
        <f t="shared" si="134"/>
        <v>0</v>
      </c>
    </row>
    <row r="1984" spans="1:11" ht="17">
      <c r="A1984" t="s">
        <v>2511</v>
      </c>
      <c r="B1984" s="17" t="s">
        <v>3630</v>
      </c>
      <c r="C1984" s="5" t="s">
        <v>3114</v>
      </c>
      <c r="D1984" s="17" t="s">
        <v>3631</v>
      </c>
      <c r="E1984" t="str">
        <f t="shared" si="137"/>
        <v>gfx-data/Dungeon_WallComponent_PerspectiveTrim.lookup</v>
      </c>
      <c r="F1984" s="16" t="s">
        <v>3632</v>
      </c>
      <c r="G1984" s="5">
        <f t="shared" si="133"/>
        <v>45524</v>
      </c>
      <c r="H1984" s="5">
        <v>8</v>
      </c>
      <c r="I1984" s="6" t="str">
        <f t="shared" si="134"/>
        <v>8</v>
      </c>
      <c r="K1984" s="19" t="s">
        <v>3633</v>
      </c>
    </row>
    <row r="1985" spans="1:11" ht="17">
      <c r="A1985" t="s">
        <v>2512</v>
      </c>
      <c r="B1985" s="17" t="s">
        <v>3678</v>
      </c>
      <c r="D1985" s="17"/>
      <c r="E1985" t="str">
        <f t="shared" si="137"/>
        <v/>
      </c>
      <c r="F1985" s="16"/>
      <c r="G1985" s="5" t="str">
        <f t="shared" si="133"/>
        <v/>
      </c>
      <c r="I1985" s="6" t="str">
        <f t="shared" si="134"/>
        <v>0</v>
      </c>
      <c r="K1985" s="19" t="s">
        <v>3679</v>
      </c>
    </row>
    <row r="1986" spans="1:11">
      <c r="A1986" t="s">
        <v>2513</v>
      </c>
      <c r="B1986" t="s">
        <v>309</v>
      </c>
      <c r="E1986" t="str">
        <f t="shared" si="137"/>
        <v/>
      </c>
      <c r="G1986" s="5" t="str">
        <f t="shared" ref="G1986:G2049" si="138">IF(F1986&lt;&gt;"",HEX2DEC(SUBSTITUTE(SUBSTITUTE(F1986,"adrEA",""),"$","")),"")</f>
        <v/>
      </c>
      <c r="I1986" s="6" t="str">
        <f t="shared" ref="I1986:I2049" si="139">IFERROR(DEC2HEX(H1986),"")</f>
        <v>0</v>
      </c>
    </row>
    <row r="1987" spans="1:11">
      <c r="A1987" t="s">
        <v>2516</v>
      </c>
      <c r="B1987" t="s">
        <v>309</v>
      </c>
      <c r="E1987" t="str">
        <f t="shared" si="137"/>
        <v/>
      </c>
      <c r="G1987" s="5" t="str">
        <f t="shared" si="138"/>
        <v/>
      </c>
      <c r="I1987" s="6" t="str">
        <f t="shared" si="139"/>
        <v>0</v>
      </c>
    </row>
    <row r="1988" spans="1:11">
      <c r="A1988" t="s">
        <v>2518</v>
      </c>
      <c r="B1988" t="s">
        <v>309</v>
      </c>
      <c r="E1988" t="str">
        <f t="shared" si="137"/>
        <v/>
      </c>
      <c r="G1988" s="5" t="str">
        <f t="shared" si="138"/>
        <v/>
      </c>
      <c r="I1988" s="6" t="str">
        <f t="shared" si="139"/>
        <v>0</v>
      </c>
    </row>
    <row r="1989" spans="1:11">
      <c r="A1989" t="s">
        <v>2519</v>
      </c>
      <c r="B1989" t="s">
        <v>309</v>
      </c>
      <c r="E1989" t="str">
        <f t="shared" si="137"/>
        <v/>
      </c>
      <c r="G1989" s="5" t="str">
        <f t="shared" si="138"/>
        <v/>
      </c>
      <c r="I1989" s="6" t="str">
        <f t="shared" si="139"/>
        <v>0</v>
      </c>
    </row>
    <row r="1990" spans="1:11" ht="17">
      <c r="A1990" t="s">
        <v>2520</v>
      </c>
      <c r="B1990" s="17" t="s">
        <v>3634</v>
      </c>
      <c r="C1990" s="5" t="s">
        <v>3114</v>
      </c>
      <c r="D1990" s="17" t="s">
        <v>3635</v>
      </c>
      <c r="E1990" t="str">
        <f t="shared" si="137"/>
        <v>gfx-data/Dungeon_MainWall_DrawTransform.flags</v>
      </c>
      <c r="F1990" s="16" t="s">
        <v>3636</v>
      </c>
      <c r="G1990" s="5">
        <f t="shared" si="138"/>
        <v>45766</v>
      </c>
      <c r="H1990" s="5">
        <v>28</v>
      </c>
      <c r="I1990" s="6" t="str">
        <f t="shared" si="139"/>
        <v>1C</v>
      </c>
      <c r="K1990" s="19" t="s">
        <v>3637</v>
      </c>
    </row>
    <row r="1991" spans="1:11" ht="17">
      <c r="A1991" t="s">
        <v>2521</v>
      </c>
      <c r="B1991" s="17" t="s">
        <v>3680</v>
      </c>
      <c r="D1991" s="17"/>
      <c r="E1991" t="str">
        <f t="shared" si="137"/>
        <v/>
      </c>
      <c r="F1991" s="16"/>
      <c r="G1991" s="5" t="str">
        <f t="shared" si="138"/>
        <v/>
      </c>
      <c r="I1991" s="6" t="str">
        <f t="shared" si="139"/>
        <v>0</v>
      </c>
      <c r="K1991" s="19" t="s">
        <v>3681</v>
      </c>
    </row>
    <row r="1992" spans="1:11">
      <c r="A1992" t="s">
        <v>2522</v>
      </c>
      <c r="B1992" t="s">
        <v>309</v>
      </c>
      <c r="E1992" t="str">
        <f t="shared" si="137"/>
        <v/>
      </c>
      <c r="G1992" s="5" t="str">
        <f t="shared" si="138"/>
        <v/>
      </c>
      <c r="I1992" s="6" t="str">
        <f t="shared" si="139"/>
        <v>0</v>
      </c>
    </row>
    <row r="1993" spans="1:11">
      <c r="A1993" t="s">
        <v>2523</v>
      </c>
      <c r="B1993" t="s">
        <v>309</v>
      </c>
      <c r="E1993" t="str">
        <f t="shared" si="137"/>
        <v/>
      </c>
      <c r="G1993" s="5" t="str">
        <f t="shared" si="138"/>
        <v/>
      </c>
      <c r="I1993" s="6" t="str">
        <f t="shared" si="139"/>
        <v>0</v>
      </c>
    </row>
    <row r="1994" spans="1:11">
      <c r="A1994" t="s">
        <v>2524</v>
      </c>
      <c r="B1994" t="s">
        <v>309</v>
      </c>
      <c r="E1994" t="str">
        <f t="shared" si="137"/>
        <v/>
      </c>
      <c r="G1994" s="5" t="str">
        <f t="shared" si="138"/>
        <v/>
      </c>
      <c r="I1994" s="6" t="str">
        <f t="shared" si="139"/>
        <v>0</v>
      </c>
    </row>
    <row r="1995" spans="1:11">
      <c r="A1995" t="s">
        <v>2525</v>
      </c>
      <c r="B1995" t="s">
        <v>309</v>
      </c>
      <c r="E1995" t="str">
        <f t="shared" si="137"/>
        <v/>
      </c>
      <c r="G1995" s="5" t="str">
        <f t="shared" si="138"/>
        <v/>
      </c>
      <c r="I1995" s="6" t="str">
        <f t="shared" si="139"/>
        <v>0</v>
      </c>
    </row>
    <row r="1996" spans="1:11" ht="17">
      <c r="A1996" t="s">
        <v>2526</v>
      </c>
      <c r="B1996" s="17" t="s">
        <v>3638</v>
      </c>
      <c r="C1996" s="5" t="s">
        <v>3114</v>
      </c>
      <c r="D1996" s="17" t="s">
        <v>3639</v>
      </c>
      <c r="E1996" t="str">
        <f t="shared" si="137"/>
        <v>gfx-data/Dungeon_MainWall_PerspectiveTrim.lookup</v>
      </c>
      <c r="F1996" s="16" t="s">
        <v>3640</v>
      </c>
      <c r="G1996" s="5">
        <f t="shared" si="138"/>
        <v>45934</v>
      </c>
      <c r="H1996" s="5">
        <v>8</v>
      </c>
      <c r="I1996" s="6" t="str">
        <f t="shared" si="139"/>
        <v>8</v>
      </c>
      <c r="K1996" s="19" t="s">
        <v>3641</v>
      </c>
    </row>
    <row r="1997" spans="1:11" ht="17">
      <c r="A1997" t="s">
        <v>2527</v>
      </c>
      <c r="B1997" s="17" t="s">
        <v>3682</v>
      </c>
      <c r="D1997" s="17"/>
      <c r="E1997" t="str">
        <f t="shared" si="137"/>
        <v/>
      </c>
      <c r="F1997" s="16"/>
      <c r="G1997" s="5" t="str">
        <f t="shared" si="138"/>
        <v/>
      </c>
      <c r="I1997" s="6" t="str">
        <f t="shared" si="139"/>
        <v>0</v>
      </c>
      <c r="K1997" s="19" t="s">
        <v>3683</v>
      </c>
    </row>
    <row r="1998" spans="1:11">
      <c r="A1998" t="s">
        <v>2528</v>
      </c>
      <c r="B1998" t="s">
        <v>309</v>
      </c>
      <c r="E1998" t="str">
        <f t="shared" si="137"/>
        <v/>
      </c>
      <c r="G1998" s="5" t="str">
        <f t="shared" si="138"/>
        <v/>
      </c>
      <c r="I1998" s="6" t="str">
        <f t="shared" si="139"/>
        <v>0</v>
      </c>
    </row>
    <row r="1999" spans="1:11" ht="17">
      <c r="A1999" t="s">
        <v>2529</v>
      </c>
      <c r="B1999" s="17" t="s">
        <v>3684</v>
      </c>
      <c r="D1999" s="17"/>
      <c r="E1999" t="str">
        <f t="shared" si="137"/>
        <v/>
      </c>
      <c r="F1999" s="16"/>
      <c r="G1999" s="5" t="str">
        <f t="shared" si="138"/>
        <v/>
      </c>
      <c r="I1999" s="6" t="str">
        <f t="shared" si="139"/>
        <v>0</v>
      </c>
      <c r="K1999" s="19" t="s">
        <v>3685</v>
      </c>
    </row>
    <row r="2000" spans="1:11">
      <c r="A2000" t="s">
        <v>2532</v>
      </c>
      <c r="B2000" t="s">
        <v>309</v>
      </c>
      <c r="E2000" t="str">
        <f t="shared" si="137"/>
        <v/>
      </c>
      <c r="G2000" s="5" t="str">
        <f t="shared" si="138"/>
        <v/>
      </c>
      <c r="I2000" s="6" t="str">
        <f t="shared" si="139"/>
        <v>0</v>
      </c>
    </row>
    <row r="2001" spans="1:11">
      <c r="A2001" t="s">
        <v>2533</v>
      </c>
      <c r="B2001" t="s">
        <v>309</v>
      </c>
      <c r="E2001" t="str">
        <f t="shared" si="137"/>
        <v/>
      </c>
      <c r="G2001" s="5" t="str">
        <f t="shared" si="138"/>
        <v/>
      </c>
      <c r="I2001" s="6" t="str">
        <f t="shared" si="139"/>
        <v>0</v>
      </c>
    </row>
    <row r="2002" spans="1:11">
      <c r="A2002" t="s">
        <v>2536</v>
      </c>
      <c r="B2002" t="s">
        <v>309</v>
      </c>
      <c r="E2002" t="str">
        <f t="shared" si="137"/>
        <v/>
      </c>
      <c r="G2002" s="5" t="str">
        <f t="shared" si="138"/>
        <v/>
      </c>
      <c r="I2002" s="6" t="str">
        <f t="shared" si="139"/>
        <v>0</v>
      </c>
    </row>
    <row r="2003" spans="1:11">
      <c r="A2003" t="s">
        <v>2538</v>
      </c>
      <c r="B2003" t="s">
        <v>309</v>
      </c>
      <c r="E2003" t="str">
        <f t="shared" si="137"/>
        <v/>
      </c>
      <c r="G2003" s="5" t="str">
        <f t="shared" si="138"/>
        <v/>
      </c>
      <c r="I2003" s="6" t="str">
        <f t="shared" si="139"/>
        <v>0</v>
      </c>
    </row>
    <row r="2004" spans="1:11">
      <c r="A2004" t="s">
        <v>2541</v>
      </c>
      <c r="B2004" t="s">
        <v>309</v>
      </c>
      <c r="E2004" t="str">
        <f t="shared" si="137"/>
        <v/>
      </c>
      <c r="G2004" s="5" t="str">
        <f t="shared" si="138"/>
        <v/>
      </c>
      <c r="I2004" s="6" t="str">
        <f t="shared" si="139"/>
        <v>0</v>
      </c>
    </row>
    <row r="2005" spans="1:11">
      <c r="A2005" t="s">
        <v>1899</v>
      </c>
      <c r="B2005" t="s">
        <v>5134</v>
      </c>
      <c r="C2005" s="5" t="s">
        <v>7</v>
      </c>
      <c r="F2005" s="5" t="s">
        <v>5135</v>
      </c>
      <c r="G2005" s="5">
        <f t="shared" si="138"/>
        <v>32518</v>
      </c>
      <c r="I2005" s="6" t="str">
        <f t="shared" si="139"/>
        <v>0</v>
      </c>
      <c r="K2005" s="24" t="s">
        <v>5136</v>
      </c>
    </row>
    <row r="2006" spans="1:11">
      <c r="A2006" t="s">
        <v>2542</v>
      </c>
      <c r="B2006" t="s">
        <v>3642</v>
      </c>
      <c r="C2006" s="5" t="s">
        <v>3114</v>
      </c>
      <c r="D2006" t="s">
        <v>3643</v>
      </c>
      <c r="E2006" t="str">
        <f t="shared" ref="E2006:E2017" si="140">IF(D2006&lt;&gt;"",C2006&amp;"/"&amp;D2006,"")</f>
        <v>gfx-data/Dungeon_ViewCell_RelativeCoordinates.positions</v>
      </c>
      <c r="F2006" s="5" t="s">
        <v>3717</v>
      </c>
      <c r="G2006" s="5">
        <f t="shared" si="138"/>
        <v>46378</v>
      </c>
      <c r="H2006" s="5">
        <v>152</v>
      </c>
      <c r="I2006" s="6" t="str">
        <f t="shared" si="139"/>
        <v>98</v>
      </c>
      <c r="J2006" s="6" t="s">
        <v>3414</v>
      </c>
      <c r="K2006" s="19" t="s">
        <v>3644</v>
      </c>
    </row>
    <row r="2007" spans="1:11">
      <c r="A2007" t="s">
        <v>2542</v>
      </c>
      <c r="B2007" t="s">
        <v>3645</v>
      </c>
      <c r="C2007" s="5" t="s">
        <v>3114</v>
      </c>
      <c r="D2007" t="s">
        <v>3646</v>
      </c>
      <c r="E2007" t="str">
        <f t="shared" si="140"/>
        <v>gfx-data/Dungeon_ViewCell_Occlusion.flags</v>
      </c>
      <c r="F2007" s="27" t="s">
        <v>3718</v>
      </c>
      <c r="G2007" s="5">
        <f t="shared" si="138"/>
        <v>46530</v>
      </c>
      <c r="H2007" s="5">
        <v>76</v>
      </c>
      <c r="I2007" s="6" t="str">
        <f t="shared" si="139"/>
        <v>4C</v>
      </c>
      <c r="J2007" s="6" t="s">
        <v>3419</v>
      </c>
    </row>
    <row r="2008" spans="1:11">
      <c r="A2008" t="s">
        <v>2542</v>
      </c>
      <c r="B2008" t="s">
        <v>3647</v>
      </c>
      <c r="C2008" s="5" t="s">
        <v>3114</v>
      </c>
      <c r="D2008" t="s">
        <v>3648</v>
      </c>
      <c r="E2008" t="str">
        <f t="shared" si="140"/>
        <v>gfx-data/Dungeon_ViewCell_VisibleFaces.flags</v>
      </c>
      <c r="F2008" s="27" t="s">
        <v>3719</v>
      </c>
      <c r="G2008" s="5">
        <f t="shared" si="138"/>
        <v>46606</v>
      </c>
      <c r="H2008" s="5">
        <v>76</v>
      </c>
      <c r="I2008" s="6" t="str">
        <f t="shared" si="139"/>
        <v>4C</v>
      </c>
      <c r="J2008" s="6" t="s">
        <v>3419</v>
      </c>
    </row>
    <row r="2009" spans="1:11" ht="17">
      <c r="A2009" t="s">
        <v>2543</v>
      </c>
      <c r="B2009" s="17" t="s">
        <v>3690</v>
      </c>
      <c r="E2009" t="str">
        <f t="shared" si="140"/>
        <v/>
      </c>
      <c r="G2009" s="5" t="str">
        <f t="shared" si="138"/>
        <v/>
      </c>
      <c r="I2009" s="6" t="str">
        <f t="shared" si="139"/>
        <v>0</v>
      </c>
    </row>
    <row r="2010" spans="1:11" ht="17">
      <c r="A2010" t="s">
        <v>2544</v>
      </c>
      <c r="B2010" s="17" t="s">
        <v>3691</v>
      </c>
      <c r="E2010" t="str">
        <f t="shared" si="140"/>
        <v/>
      </c>
      <c r="G2010" s="5" t="str">
        <f t="shared" si="138"/>
        <v/>
      </c>
      <c r="I2010" s="6" t="str">
        <f t="shared" si="139"/>
        <v>0</v>
      </c>
    </row>
    <row r="2011" spans="1:11" ht="17">
      <c r="A2011" t="s">
        <v>2545</v>
      </c>
      <c r="B2011" s="17" t="s">
        <v>3649</v>
      </c>
      <c r="C2011" s="5" t="s">
        <v>3114</v>
      </c>
      <c r="D2011" s="17" t="s">
        <v>3650</v>
      </c>
      <c r="E2011" t="str">
        <f t="shared" si="140"/>
        <v>gfx-data/Dungeon_ViewCell_CentredSlots.lookup</v>
      </c>
      <c r="F2011" s="16" t="s">
        <v>3651</v>
      </c>
      <c r="G2011" s="5">
        <f t="shared" si="138"/>
        <v>46682</v>
      </c>
      <c r="H2011" s="5">
        <v>20</v>
      </c>
      <c r="I2011" s="6" t="str">
        <f t="shared" si="139"/>
        <v>14</v>
      </c>
      <c r="K2011" s="19" t="s">
        <v>3652</v>
      </c>
    </row>
    <row r="2012" spans="1:11" ht="17">
      <c r="A2012" t="s">
        <v>2546</v>
      </c>
      <c r="B2012" s="17" t="s">
        <v>3653</v>
      </c>
      <c r="C2012" s="5" t="s">
        <v>3114</v>
      </c>
      <c r="D2012" s="17" t="s">
        <v>3654</v>
      </c>
      <c r="E2012" t="str">
        <f t="shared" si="140"/>
        <v>gfx-data/Dungeon_ViewCell_WallFaces.lookup</v>
      </c>
      <c r="F2012" s="16" t="s">
        <v>3655</v>
      </c>
      <c r="G2012" s="5">
        <f t="shared" si="138"/>
        <v>46702</v>
      </c>
      <c r="H2012" s="5">
        <v>76</v>
      </c>
      <c r="I2012" s="6" t="str">
        <f t="shared" si="139"/>
        <v>4C</v>
      </c>
      <c r="K2012" s="19" t="s">
        <v>3656</v>
      </c>
    </row>
    <row r="2013" spans="1:11">
      <c r="A2013" t="s">
        <v>2547</v>
      </c>
      <c r="B2013" t="s">
        <v>5556</v>
      </c>
      <c r="G2013" s="5" t="str">
        <f t="shared" si="138"/>
        <v/>
      </c>
      <c r="I2013" s="6" t="str">
        <f t="shared" si="139"/>
        <v>0</v>
      </c>
      <c r="K2013" s="19" t="s">
        <v>5557</v>
      </c>
    </row>
    <row r="2014" spans="1:11">
      <c r="A2014" t="s">
        <v>2548</v>
      </c>
      <c r="B2014" t="s">
        <v>309</v>
      </c>
      <c r="E2014" t="str">
        <f t="shared" si="140"/>
        <v/>
      </c>
      <c r="G2014" s="5" t="str">
        <f t="shared" si="138"/>
        <v/>
      </c>
      <c r="I2014" s="6" t="str">
        <f t="shared" si="139"/>
        <v>0</v>
      </c>
    </row>
    <row r="2015" spans="1:11">
      <c r="A2015" t="s">
        <v>2549</v>
      </c>
      <c r="B2015" t="s">
        <v>5807</v>
      </c>
      <c r="G2015" s="5" t="str">
        <f t="shared" si="138"/>
        <v/>
      </c>
      <c r="I2015" s="6" t="str">
        <f t="shared" si="139"/>
        <v>0</v>
      </c>
      <c r="K2015" s="19" t="s">
        <v>5808</v>
      </c>
    </row>
    <row r="2016" spans="1:11">
      <c r="A2016" t="s">
        <v>2550</v>
      </c>
      <c r="B2016" t="s">
        <v>309</v>
      </c>
      <c r="E2016" t="str">
        <f t="shared" si="140"/>
        <v/>
      </c>
      <c r="G2016" s="5" t="str">
        <f t="shared" si="138"/>
        <v/>
      </c>
      <c r="I2016" s="6" t="str">
        <f t="shared" si="139"/>
        <v>0</v>
      </c>
    </row>
    <row r="2017" spans="1:11">
      <c r="A2017" t="s">
        <v>2551</v>
      </c>
      <c r="B2017" t="s">
        <v>309</v>
      </c>
      <c r="E2017" t="str">
        <f t="shared" si="140"/>
        <v/>
      </c>
      <c r="G2017" s="5" t="str">
        <f t="shared" si="138"/>
        <v/>
      </c>
      <c r="I2017" s="6" t="str">
        <f t="shared" si="139"/>
        <v>0</v>
      </c>
    </row>
    <row r="2018" spans="1:11">
      <c r="A2018" t="s">
        <v>2552</v>
      </c>
      <c r="B2018" t="s">
        <v>5097</v>
      </c>
      <c r="C2018" s="5" t="s">
        <v>7</v>
      </c>
      <c r="F2018" s="5" t="s">
        <v>5098</v>
      </c>
      <c r="G2018" s="5">
        <f t="shared" si="138"/>
        <v>48438</v>
      </c>
      <c r="I2018" s="6" t="str">
        <f t="shared" si="139"/>
        <v>0</v>
      </c>
      <c r="K2018" s="19" t="s">
        <v>5099</v>
      </c>
    </row>
    <row r="2019" spans="1:11">
      <c r="A2019" t="s">
        <v>2553</v>
      </c>
      <c r="B2019" t="s">
        <v>309</v>
      </c>
      <c r="E2019" t="str">
        <f t="shared" ref="E2019:E2029" si="141">IF(D2019&lt;&gt;"",C2019&amp;"/"&amp;D2019,"")</f>
        <v/>
      </c>
      <c r="G2019" s="5" t="str">
        <f t="shared" si="138"/>
        <v/>
      </c>
      <c r="I2019" s="6" t="str">
        <f t="shared" si="139"/>
        <v>0</v>
      </c>
    </row>
    <row r="2020" spans="1:11">
      <c r="A2020" t="s">
        <v>2554</v>
      </c>
      <c r="B2020" t="s">
        <v>2555</v>
      </c>
      <c r="E2020" t="str">
        <f t="shared" si="141"/>
        <v/>
      </c>
      <c r="G2020" s="5" t="str">
        <f t="shared" si="138"/>
        <v/>
      </c>
      <c r="I2020" s="6" t="str">
        <f t="shared" si="139"/>
        <v>0</v>
      </c>
    </row>
    <row r="2021" spans="1:11">
      <c r="A2021" t="s">
        <v>2556</v>
      </c>
      <c r="B2021" t="s">
        <v>309</v>
      </c>
      <c r="E2021" t="str">
        <f t="shared" si="141"/>
        <v/>
      </c>
      <c r="G2021" s="5" t="str">
        <f t="shared" si="138"/>
        <v/>
      </c>
      <c r="I2021" s="6" t="str">
        <f t="shared" si="139"/>
        <v>0</v>
      </c>
    </row>
    <row r="2022" spans="1:11">
      <c r="A2022" t="s">
        <v>2557</v>
      </c>
      <c r="B2022" t="s">
        <v>309</v>
      </c>
      <c r="E2022" t="str">
        <f t="shared" si="141"/>
        <v/>
      </c>
      <c r="G2022" s="5" t="str">
        <f t="shared" si="138"/>
        <v/>
      </c>
      <c r="I2022" s="6" t="str">
        <f t="shared" si="139"/>
        <v>0</v>
      </c>
    </row>
    <row r="2023" spans="1:11">
      <c r="A2023" t="s">
        <v>2558</v>
      </c>
      <c r="B2023" t="s">
        <v>309</v>
      </c>
      <c r="E2023" t="str">
        <f t="shared" si="141"/>
        <v/>
      </c>
      <c r="G2023" s="5" t="str">
        <f t="shared" si="138"/>
        <v/>
      </c>
      <c r="I2023" s="6" t="str">
        <f t="shared" si="139"/>
        <v>0</v>
      </c>
    </row>
    <row r="2024" spans="1:11">
      <c r="A2024" t="s">
        <v>2559</v>
      </c>
      <c r="B2024" t="s">
        <v>2560</v>
      </c>
      <c r="E2024" t="str">
        <f t="shared" si="141"/>
        <v/>
      </c>
      <c r="G2024" s="5" t="str">
        <f t="shared" si="138"/>
        <v/>
      </c>
      <c r="I2024" s="6" t="str">
        <f t="shared" si="139"/>
        <v>0</v>
      </c>
    </row>
    <row r="2025" spans="1:11">
      <c r="A2025" t="s">
        <v>2561</v>
      </c>
      <c r="B2025" t="s">
        <v>5809</v>
      </c>
      <c r="G2025" s="5" t="str">
        <f t="shared" si="138"/>
        <v/>
      </c>
      <c r="I2025" s="6" t="str">
        <f t="shared" si="139"/>
        <v>0</v>
      </c>
      <c r="K2025" s="19" t="s">
        <v>5810</v>
      </c>
    </row>
    <row r="2026" spans="1:11">
      <c r="A2026" t="s">
        <v>2563</v>
      </c>
      <c r="B2026" t="s">
        <v>309</v>
      </c>
      <c r="E2026" t="str">
        <f t="shared" si="141"/>
        <v/>
      </c>
      <c r="G2026" s="5" t="str">
        <f t="shared" si="138"/>
        <v/>
      </c>
      <c r="I2026" s="6" t="str">
        <f t="shared" si="139"/>
        <v>0</v>
      </c>
    </row>
    <row r="2027" spans="1:11">
      <c r="A2027" t="s">
        <v>2566</v>
      </c>
      <c r="B2027" t="s">
        <v>2567</v>
      </c>
      <c r="E2027" t="str">
        <f t="shared" si="141"/>
        <v/>
      </c>
      <c r="G2027" s="5" t="str">
        <f t="shared" si="138"/>
        <v/>
      </c>
      <c r="I2027" s="6" t="str">
        <f t="shared" si="139"/>
        <v>0</v>
      </c>
    </row>
    <row r="2028" spans="1:11">
      <c r="A2028" t="s">
        <v>2568</v>
      </c>
      <c r="B2028" t="s">
        <v>2569</v>
      </c>
      <c r="E2028" t="str">
        <f t="shared" si="141"/>
        <v/>
      </c>
      <c r="G2028" s="5" t="str">
        <f t="shared" si="138"/>
        <v/>
      </c>
      <c r="I2028" s="6" t="str">
        <f t="shared" si="139"/>
        <v>0</v>
      </c>
    </row>
    <row r="2029" spans="1:11">
      <c r="A2029" t="s">
        <v>2570</v>
      </c>
      <c r="B2029" t="s">
        <v>309</v>
      </c>
      <c r="E2029" t="str">
        <f t="shared" si="141"/>
        <v/>
      </c>
      <c r="G2029" s="5" t="str">
        <f t="shared" si="138"/>
        <v/>
      </c>
      <c r="I2029" s="6" t="str">
        <f t="shared" si="139"/>
        <v>0</v>
      </c>
    </row>
    <row r="2030" spans="1:11">
      <c r="A2030" t="s">
        <v>2571</v>
      </c>
      <c r="B2030" t="s">
        <v>5189</v>
      </c>
      <c r="C2030" s="5" t="s">
        <v>7</v>
      </c>
      <c r="F2030" s="5" t="s">
        <v>5190</v>
      </c>
      <c r="G2030" s="5">
        <f t="shared" si="138"/>
        <v>48936</v>
      </c>
      <c r="I2030" s="6" t="str">
        <f t="shared" si="139"/>
        <v>0</v>
      </c>
      <c r="K2030" s="19" t="s">
        <v>5191</v>
      </c>
    </row>
    <row r="2031" spans="1:11" ht="17">
      <c r="A2031" t="s">
        <v>2572</v>
      </c>
      <c r="B2031" t="s">
        <v>5192</v>
      </c>
      <c r="C2031" s="5" t="s">
        <v>7</v>
      </c>
      <c r="F2031" s="5" t="s">
        <v>5193</v>
      </c>
      <c r="G2031" s="5">
        <f t="shared" si="138"/>
        <v>48976</v>
      </c>
      <c r="I2031" s="6" t="str">
        <f t="shared" si="139"/>
        <v>0</v>
      </c>
      <c r="K2031" s="19" t="s">
        <v>5194</v>
      </c>
    </row>
    <row r="2032" spans="1:11">
      <c r="A2032" t="s">
        <v>2573</v>
      </c>
      <c r="B2032" t="s">
        <v>309</v>
      </c>
      <c r="E2032" t="str">
        <f>IF(D2032&lt;&gt;"",C2032&amp;"/"&amp;D2032,"")</f>
        <v/>
      </c>
      <c r="G2032" s="5" t="str">
        <f t="shared" si="138"/>
        <v/>
      </c>
      <c r="I2032" s="6" t="str">
        <f t="shared" si="139"/>
        <v>0</v>
      </c>
    </row>
    <row r="2033" spans="1:11">
      <c r="A2033" t="s">
        <v>2574</v>
      </c>
      <c r="B2033" t="s">
        <v>309</v>
      </c>
      <c r="E2033" t="str">
        <f>IF(D2033&lt;&gt;"",C2033&amp;"/"&amp;D2033,"")</f>
        <v/>
      </c>
      <c r="G2033" s="5" t="str">
        <f t="shared" si="138"/>
        <v/>
      </c>
      <c r="I2033" s="6" t="str">
        <f t="shared" si="139"/>
        <v>0</v>
      </c>
    </row>
    <row r="2034" spans="1:11">
      <c r="A2034" t="s">
        <v>2575</v>
      </c>
      <c r="B2034" t="s">
        <v>2576</v>
      </c>
      <c r="E2034" t="str">
        <f>IF(D2034&lt;&gt;"",C2034&amp;"/"&amp;D2034,"")</f>
        <v/>
      </c>
      <c r="G2034" s="5" t="str">
        <f t="shared" si="138"/>
        <v/>
      </c>
      <c r="I2034" s="6" t="str">
        <f t="shared" si="139"/>
        <v>0</v>
      </c>
    </row>
    <row r="2035" spans="1:11">
      <c r="A2035" t="s">
        <v>2577</v>
      </c>
      <c r="B2035" t="s">
        <v>309</v>
      </c>
      <c r="E2035" t="str">
        <f>IF(D2035&lt;&gt;"",C2035&amp;"/"&amp;D2035,"")</f>
        <v/>
      </c>
      <c r="G2035" s="5" t="str">
        <f t="shared" si="138"/>
        <v/>
      </c>
      <c r="I2035" s="6" t="str">
        <f t="shared" si="139"/>
        <v>0</v>
      </c>
    </row>
    <row r="2036" spans="1:11">
      <c r="A2036" t="s">
        <v>2578</v>
      </c>
      <c r="B2036" t="s">
        <v>309</v>
      </c>
      <c r="E2036" t="str">
        <f>IF(D2036&lt;&gt;"",C2036&amp;"/"&amp;D2036,"")</f>
        <v/>
      </c>
      <c r="G2036" s="5" t="str">
        <f t="shared" si="138"/>
        <v/>
      </c>
      <c r="I2036" s="6" t="str">
        <f t="shared" si="139"/>
        <v>0</v>
      </c>
    </row>
    <row r="2037" spans="1:11">
      <c r="A2037" t="s">
        <v>2579</v>
      </c>
      <c r="B2037" t="s">
        <v>5195</v>
      </c>
      <c r="C2037" s="5" t="s">
        <v>7</v>
      </c>
      <c r="F2037" s="5" t="s">
        <v>5196</v>
      </c>
      <c r="G2037" s="5">
        <f t="shared" si="138"/>
        <v>49054</v>
      </c>
      <c r="I2037" s="6" t="str">
        <f t="shared" si="139"/>
        <v>0</v>
      </c>
      <c r="K2037" s="19" t="s">
        <v>5197</v>
      </c>
    </row>
    <row r="2038" spans="1:11">
      <c r="A2038" t="s">
        <v>2580</v>
      </c>
      <c r="B2038" t="s">
        <v>309</v>
      </c>
      <c r="E2038" t="str">
        <f>IF(D2038&lt;&gt;"",C2038&amp;"/"&amp;D2038,"")</f>
        <v/>
      </c>
      <c r="G2038" s="5" t="str">
        <f t="shared" si="138"/>
        <v/>
      </c>
      <c r="I2038" s="6" t="str">
        <f t="shared" si="139"/>
        <v>0</v>
      </c>
    </row>
    <row r="2039" spans="1:11">
      <c r="A2039" t="s">
        <v>2581</v>
      </c>
      <c r="B2039" t="s">
        <v>309</v>
      </c>
      <c r="E2039" t="str">
        <f>IF(D2039&lt;&gt;"",C2039&amp;"/"&amp;D2039,"")</f>
        <v/>
      </c>
      <c r="G2039" s="5" t="str">
        <f t="shared" si="138"/>
        <v/>
      </c>
      <c r="I2039" s="6" t="str">
        <f t="shared" si="139"/>
        <v>0</v>
      </c>
    </row>
    <row r="2040" spans="1:11">
      <c r="A2040" t="s">
        <v>2582</v>
      </c>
      <c r="B2040" t="s">
        <v>309</v>
      </c>
      <c r="E2040" t="str">
        <f>IF(D2040&lt;&gt;"",C2040&amp;"/"&amp;D2040,"")</f>
        <v/>
      </c>
      <c r="G2040" s="5" t="str">
        <f t="shared" si="138"/>
        <v/>
      </c>
      <c r="I2040" s="6" t="str">
        <f t="shared" si="139"/>
        <v>0</v>
      </c>
    </row>
    <row r="2041" spans="1:11">
      <c r="A2041" t="s">
        <v>2583</v>
      </c>
      <c r="B2041" t="s">
        <v>5198</v>
      </c>
      <c r="C2041" s="5" t="s">
        <v>7</v>
      </c>
      <c r="F2041" s="5" t="s">
        <v>5199</v>
      </c>
      <c r="G2041" s="5">
        <f t="shared" si="138"/>
        <v>49186</v>
      </c>
      <c r="I2041" s="6" t="str">
        <f t="shared" si="139"/>
        <v>0</v>
      </c>
      <c r="K2041" s="19" t="s">
        <v>5200</v>
      </c>
    </row>
    <row r="2042" spans="1:11">
      <c r="A2042" t="s">
        <v>2584</v>
      </c>
      <c r="B2042" t="s">
        <v>309</v>
      </c>
      <c r="E2042" t="str">
        <f>IF(D2042&lt;&gt;"",C2042&amp;"/"&amp;D2042,"")</f>
        <v/>
      </c>
      <c r="G2042" s="5" t="str">
        <f t="shared" si="138"/>
        <v/>
      </c>
      <c r="I2042" s="6" t="str">
        <f t="shared" si="139"/>
        <v>0</v>
      </c>
    </row>
    <row r="2043" spans="1:11">
      <c r="A2043" t="s">
        <v>2585</v>
      </c>
      <c r="B2043" t="s">
        <v>4988</v>
      </c>
      <c r="C2043" s="5" t="s">
        <v>7</v>
      </c>
      <c r="F2043" s="5" t="s">
        <v>4989</v>
      </c>
      <c r="G2043" s="5">
        <f t="shared" si="138"/>
        <v>49242</v>
      </c>
      <c r="I2043" s="6" t="str">
        <f t="shared" si="139"/>
        <v>0</v>
      </c>
      <c r="K2043" s="19" t="s">
        <v>4990</v>
      </c>
    </row>
    <row r="2044" spans="1:11">
      <c r="A2044" t="s">
        <v>2586</v>
      </c>
      <c r="B2044" t="s">
        <v>309</v>
      </c>
      <c r="E2044" t="str">
        <f t="shared" ref="E2044:E2064" si="142">IF(D2044&lt;&gt;"",C2044&amp;"/"&amp;D2044,"")</f>
        <v/>
      </c>
      <c r="G2044" s="5" t="str">
        <f t="shared" si="138"/>
        <v/>
      </c>
      <c r="I2044" s="6" t="str">
        <f t="shared" si="139"/>
        <v>0</v>
      </c>
    </row>
    <row r="2045" spans="1:11">
      <c r="A2045" t="s">
        <v>2587</v>
      </c>
      <c r="B2045" t="s">
        <v>2588</v>
      </c>
      <c r="E2045" t="str">
        <f t="shared" si="142"/>
        <v/>
      </c>
      <c r="G2045" s="5" t="str">
        <f t="shared" si="138"/>
        <v/>
      </c>
      <c r="I2045" s="6" t="str">
        <f t="shared" si="139"/>
        <v>0</v>
      </c>
    </row>
    <row r="2046" spans="1:11">
      <c r="A2046" t="s">
        <v>2589</v>
      </c>
      <c r="B2046" t="s">
        <v>5811</v>
      </c>
      <c r="G2046" s="5" t="str">
        <f t="shared" si="138"/>
        <v/>
      </c>
      <c r="I2046" s="6" t="str">
        <f t="shared" si="139"/>
        <v>0</v>
      </c>
      <c r="K2046" s="19" t="s">
        <v>5812</v>
      </c>
    </row>
    <row r="2047" spans="1:11">
      <c r="A2047" t="s">
        <v>2590</v>
      </c>
      <c r="B2047" t="s">
        <v>309</v>
      </c>
      <c r="E2047" t="str">
        <f t="shared" si="142"/>
        <v/>
      </c>
      <c r="G2047" s="5" t="str">
        <f t="shared" si="138"/>
        <v/>
      </c>
      <c r="I2047" s="6" t="str">
        <f t="shared" si="139"/>
        <v>0</v>
      </c>
    </row>
    <row r="2048" spans="1:11">
      <c r="A2048" t="s">
        <v>2591</v>
      </c>
      <c r="B2048" t="s">
        <v>6069</v>
      </c>
      <c r="G2048" s="5" t="str">
        <f t="shared" si="138"/>
        <v/>
      </c>
      <c r="I2048" s="6" t="str">
        <f t="shared" si="139"/>
        <v>0</v>
      </c>
      <c r="K2048" s="19" t="s">
        <v>6070</v>
      </c>
    </row>
    <row r="2049" spans="1:11">
      <c r="A2049" t="s">
        <v>2592</v>
      </c>
      <c r="B2049" t="s">
        <v>2593</v>
      </c>
      <c r="E2049" t="str">
        <f t="shared" si="142"/>
        <v/>
      </c>
      <c r="G2049" s="5" t="str">
        <f t="shared" si="138"/>
        <v/>
      </c>
      <c r="I2049" s="6" t="str">
        <f t="shared" si="139"/>
        <v>0</v>
      </c>
    </row>
    <row r="2050" spans="1:11">
      <c r="A2050" t="s">
        <v>2594</v>
      </c>
      <c r="B2050" t="s">
        <v>309</v>
      </c>
      <c r="E2050" t="str">
        <f t="shared" si="142"/>
        <v/>
      </c>
      <c r="G2050" s="5" t="str">
        <f t="shared" ref="G2050:G2113" si="143">IF(F2050&lt;&gt;"",HEX2DEC(SUBSTITUTE(SUBSTITUTE(F2050,"adrEA",""),"$","")),"")</f>
        <v/>
      </c>
      <c r="I2050" s="6" t="str">
        <f t="shared" ref="I2050:I2113" si="144">IFERROR(DEC2HEX(H2050),"")</f>
        <v>0</v>
      </c>
    </row>
    <row r="2051" spans="1:11">
      <c r="A2051" t="s">
        <v>2595</v>
      </c>
      <c r="B2051" t="s">
        <v>309</v>
      </c>
      <c r="E2051" t="str">
        <f t="shared" si="142"/>
        <v/>
      </c>
      <c r="G2051" s="5" t="str">
        <f t="shared" si="143"/>
        <v/>
      </c>
      <c r="I2051" s="6" t="str">
        <f t="shared" si="144"/>
        <v>0</v>
      </c>
    </row>
    <row r="2052" spans="1:11">
      <c r="A2052" t="s">
        <v>2596</v>
      </c>
      <c r="B2052" t="s">
        <v>309</v>
      </c>
      <c r="E2052" t="str">
        <f t="shared" si="142"/>
        <v/>
      </c>
      <c r="G2052" s="5" t="str">
        <f t="shared" si="143"/>
        <v/>
      </c>
      <c r="I2052" s="6" t="str">
        <f t="shared" si="144"/>
        <v>0</v>
      </c>
    </row>
    <row r="2053" spans="1:11">
      <c r="A2053" t="s">
        <v>2597</v>
      </c>
      <c r="B2053" t="s">
        <v>6071</v>
      </c>
      <c r="G2053" s="5" t="str">
        <f t="shared" si="143"/>
        <v/>
      </c>
      <c r="I2053" s="6" t="str">
        <f t="shared" si="144"/>
        <v>0</v>
      </c>
      <c r="K2053" s="19" t="s">
        <v>6072</v>
      </c>
    </row>
    <row r="2054" spans="1:11">
      <c r="A2054" t="s">
        <v>2598</v>
      </c>
      <c r="B2054" t="s">
        <v>2599</v>
      </c>
      <c r="E2054" t="str">
        <f t="shared" si="142"/>
        <v/>
      </c>
      <c r="G2054" s="5" t="str">
        <f t="shared" si="143"/>
        <v/>
      </c>
      <c r="I2054" s="6" t="str">
        <f t="shared" si="144"/>
        <v>0</v>
      </c>
    </row>
    <row r="2055" spans="1:11">
      <c r="A2055" t="s">
        <v>2600</v>
      </c>
      <c r="B2055" t="s">
        <v>2601</v>
      </c>
      <c r="E2055" t="str">
        <f t="shared" si="142"/>
        <v/>
      </c>
      <c r="G2055" s="5" t="str">
        <f t="shared" si="143"/>
        <v/>
      </c>
      <c r="I2055" s="6" t="str">
        <f t="shared" si="144"/>
        <v>0</v>
      </c>
    </row>
    <row r="2056" spans="1:11">
      <c r="A2056" t="s">
        <v>2602</v>
      </c>
      <c r="B2056" t="s">
        <v>309</v>
      </c>
      <c r="E2056" t="str">
        <f t="shared" si="142"/>
        <v/>
      </c>
      <c r="G2056" s="5" t="str">
        <f t="shared" si="143"/>
        <v/>
      </c>
      <c r="I2056" s="6" t="str">
        <f t="shared" si="144"/>
        <v>0</v>
      </c>
    </row>
    <row r="2057" spans="1:11">
      <c r="A2057" t="s">
        <v>2603</v>
      </c>
      <c r="B2057" t="s">
        <v>309</v>
      </c>
      <c r="E2057" t="str">
        <f t="shared" si="142"/>
        <v/>
      </c>
      <c r="G2057" s="5" t="str">
        <f t="shared" si="143"/>
        <v/>
      </c>
      <c r="I2057" s="6" t="str">
        <f t="shared" si="144"/>
        <v>0</v>
      </c>
    </row>
    <row r="2058" spans="1:11">
      <c r="A2058" t="s">
        <v>2604</v>
      </c>
      <c r="B2058" t="s">
        <v>309</v>
      </c>
      <c r="E2058" t="str">
        <f t="shared" si="142"/>
        <v/>
      </c>
      <c r="G2058" s="5" t="str">
        <f t="shared" si="143"/>
        <v/>
      </c>
      <c r="I2058" s="6" t="str">
        <f t="shared" si="144"/>
        <v>0</v>
      </c>
    </row>
    <row r="2059" spans="1:11">
      <c r="A2059" t="s">
        <v>2605</v>
      </c>
      <c r="B2059" t="s">
        <v>5558</v>
      </c>
      <c r="G2059" s="5" t="str">
        <f t="shared" si="143"/>
        <v/>
      </c>
      <c r="I2059" s="6" t="str">
        <f t="shared" si="144"/>
        <v>0</v>
      </c>
      <c r="K2059" s="19" t="s">
        <v>5559</v>
      </c>
    </row>
    <row r="2060" spans="1:11">
      <c r="A2060" t="s">
        <v>2606</v>
      </c>
      <c r="B2060" t="s">
        <v>5813</v>
      </c>
      <c r="G2060" s="5" t="str">
        <f t="shared" si="143"/>
        <v/>
      </c>
      <c r="I2060" s="6" t="str">
        <f t="shared" si="144"/>
        <v>0</v>
      </c>
      <c r="K2060" s="19" t="s">
        <v>5814</v>
      </c>
    </row>
    <row r="2061" spans="1:11">
      <c r="A2061" t="s">
        <v>2607</v>
      </c>
      <c r="B2061" t="s">
        <v>5815</v>
      </c>
      <c r="G2061" s="5" t="str">
        <f t="shared" si="143"/>
        <v/>
      </c>
      <c r="I2061" s="6" t="str">
        <f t="shared" si="144"/>
        <v>0</v>
      </c>
      <c r="K2061" s="19" t="s">
        <v>5816</v>
      </c>
    </row>
    <row r="2062" spans="1:11">
      <c r="A2062" t="s">
        <v>2608</v>
      </c>
      <c r="B2062" t="s">
        <v>309</v>
      </c>
      <c r="E2062" t="str">
        <f t="shared" si="142"/>
        <v/>
      </c>
      <c r="G2062" s="5" t="str">
        <f t="shared" si="143"/>
        <v/>
      </c>
      <c r="I2062" s="6" t="str">
        <f t="shared" si="144"/>
        <v>0</v>
      </c>
    </row>
    <row r="2063" spans="1:11">
      <c r="A2063" t="s">
        <v>2609</v>
      </c>
      <c r="B2063" t="s">
        <v>5817</v>
      </c>
      <c r="G2063" s="5" t="str">
        <f t="shared" si="143"/>
        <v/>
      </c>
      <c r="I2063" s="6" t="str">
        <f t="shared" si="144"/>
        <v>0</v>
      </c>
      <c r="K2063" s="19" t="s">
        <v>5818</v>
      </c>
    </row>
    <row r="2064" spans="1:11">
      <c r="A2064" t="s">
        <v>2610</v>
      </c>
      <c r="B2064" t="s">
        <v>309</v>
      </c>
      <c r="E2064" t="str">
        <f t="shared" si="142"/>
        <v/>
      </c>
      <c r="G2064" s="5" t="str">
        <f t="shared" si="143"/>
        <v/>
      </c>
      <c r="I2064" s="6" t="str">
        <f t="shared" si="144"/>
        <v>0</v>
      </c>
    </row>
    <row r="2065" spans="1:11">
      <c r="A2065" t="s">
        <v>2611</v>
      </c>
      <c r="B2065" t="s">
        <v>5201</v>
      </c>
      <c r="C2065" s="5" t="s">
        <v>7</v>
      </c>
      <c r="F2065" s="5" t="s">
        <v>5202</v>
      </c>
      <c r="G2065" s="5">
        <f t="shared" si="143"/>
        <v>49868</v>
      </c>
      <c r="I2065" s="6" t="str">
        <f t="shared" si="144"/>
        <v>0</v>
      </c>
      <c r="K2065" s="19" t="s">
        <v>5203</v>
      </c>
    </row>
    <row r="2066" spans="1:11">
      <c r="A2066" t="s">
        <v>2612</v>
      </c>
      <c r="B2066" t="s">
        <v>309</v>
      </c>
      <c r="E2066" t="str">
        <f t="shared" ref="E2066:E2082" si="145">IF(D2066&lt;&gt;"",C2066&amp;"/"&amp;D2066,"")</f>
        <v/>
      </c>
      <c r="G2066" s="5" t="str">
        <f t="shared" si="143"/>
        <v/>
      </c>
      <c r="I2066" s="6" t="str">
        <f t="shared" si="144"/>
        <v>0</v>
      </c>
    </row>
    <row r="2067" spans="1:11">
      <c r="A2067" t="s">
        <v>2613</v>
      </c>
      <c r="B2067" t="s">
        <v>309</v>
      </c>
      <c r="E2067" t="str">
        <f t="shared" si="145"/>
        <v/>
      </c>
      <c r="G2067" s="5" t="str">
        <f t="shared" si="143"/>
        <v/>
      </c>
      <c r="I2067" s="6" t="str">
        <f t="shared" si="144"/>
        <v>0</v>
      </c>
    </row>
    <row r="2068" spans="1:11">
      <c r="A2068" t="s">
        <v>2614</v>
      </c>
      <c r="B2068" t="s">
        <v>309</v>
      </c>
      <c r="E2068" t="str">
        <f t="shared" si="145"/>
        <v/>
      </c>
      <c r="G2068" s="5" t="str">
        <f t="shared" si="143"/>
        <v/>
      </c>
      <c r="I2068" s="6" t="str">
        <f t="shared" si="144"/>
        <v>0</v>
      </c>
    </row>
    <row r="2069" spans="1:11">
      <c r="A2069" t="s">
        <v>2615</v>
      </c>
      <c r="B2069" t="s">
        <v>309</v>
      </c>
      <c r="E2069" t="str">
        <f t="shared" si="145"/>
        <v/>
      </c>
      <c r="G2069" s="5" t="str">
        <f t="shared" si="143"/>
        <v/>
      </c>
      <c r="I2069" s="6" t="str">
        <f t="shared" si="144"/>
        <v>0</v>
      </c>
    </row>
    <row r="2070" spans="1:11">
      <c r="A2070" t="s">
        <v>2616</v>
      </c>
      <c r="B2070" t="s">
        <v>309</v>
      </c>
      <c r="E2070" t="str">
        <f t="shared" si="145"/>
        <v/>
      </c>
      <c r="G2070" s="5" t="str">
        <f t="shared" si="143"/>
        <v/>
      </c>
      <c r="I2070" s="6" t="str">
        <f t="shared" si="144"/>
        <v>0</v>
      </c>
    </row>
    <row r="2071" spans="1:11">
      <c r="A2071" t="s">
        <v>2617</v>
      </c>
      <c r="B2071" t="s">
        <v>5819</v>
      </c>
      <c r="G2071" s="5" t="str">
        <f t="shared" si="143"/>
        <v/>
      </c>
      <c r="I2071" s="6" t="str">
        <f t="shared" si="144"/>
        <v>0</v>
      </c>
      <c r="K2071" s="19" t="s">
        <v>5820</v>
      </c>
    </row>
    <row r="2072" spans="1:11">
      <c r="A2072" t="s">
        <v>2618</v>
      </c>
      <c r="B2072" t="s">
        <v>5821</v>
      </c>
      <c r="G2072" s="5" t="str">
        <f t="shared" si="143"/>
        <v/>
      </c>
      <c r="I2072" s="6" t="str">
        <f t="shared" si="144"/>
        <v>0</v>
      </c>
      <c r="K2072" s="19" t="s">
        <v>5822</v>
      </c>
    </row>
    <row r="2073" spans="1:11">
      <c r="A2073" t="s">
        <v>2619</v>
      </c>
      <c r="B2073" t="s">
        <v>309</v>
      </c>
      <c r="E2073" t="str">
        <f t="shared" si="145"/>
        <v/>
      </c>
      <c r="G2073" s="5" t="str">
        <f t="shared" si="143"/>
        <v/>
      </c>
      <c r="I2073" s="6" t="str">
        <f t="shared" si="144"/>
        <v>0</v>
      </c>
    </row>
    <row r="2074" spans="1:11">
      <c r="A2074" t="s">
        <v>2620</v>
      </c>
      <c r="B2074" t="s">
        <v>309</v>
      </c>
      <c r="E2074" t="str">
        <f t="shared" si="145"/>
        <v/>
      </c>
      <c r="G2074" s="5" t="str">
        <f t="shared" si="143"/>
        <v/>
      </c>
      <c r="I2074" s="6" t="str">
        <f t="shared" si="144"/>
        <v>0</v>
      </c>
    </row>
    <row r="2075" spans="1:11">
      <c r="A2075" t="s">
        <v>2621</v>
      </c>
      <c r="B2075" t="s">
        <v>5823</v>
      </c>
      <c r="G2075" s="5" t="str">
        <f t="shared" si="143"/>
        <v/>
      </c>
      <c r="I2075" s="6" t="str">
        <f t="shared" si="144"/>
        <v>0</v>
      </c>
      <c r="K2075" s="19" t="s">
        <v>5824</v>
      </c>
    </row>
    <row r="2076" spans="1:11">
      <c r="A2076" t="s">
        <v>2622</v>
      </c>
      <c r="B2076" t="s">
        <v>309</v>
      </c>
      <c r="E2076" t="str">
        <f t="shared" si="145"/>
        <v/>
      </c>
      <c r="G2076" s="5" t="str">
        <f t="shared" si="143"/>
        <v/>
      </c>
      <c r="I2076" s="6" t="str">
        <f t="shared" si="144"/>
        <v>0</v>
      </c>
    </row>
    <row r="2077" spans="1:11">
      <c r="A2077" t="s">
        <v>2623</v>
      </c>
      <c r="B2077" t="s">
        <v>309</v>
      </c>
      <c r="E2077" t="str">
        <f t="shared" si="145"/>
        <v/>
      </c>
      <c r="G2077" s="5" t="str">
        <f t="shared" si="143"/>
        <v/>
      </c>
      <c r="I2077" s="6" t="str">
        <f t="shared" si="144"/>
        <v>0</v>
      </c>
    </row>
    <row r="2078" spans="1:11">
      <c r="A2078" t="s">
        <v>2624</v>
      </c>
      <c r="B2078" t="s">
        <v>309</v>
      </c>
      <c r="E2078" t="str">
        <f t="shared" si="145"/>
        <v/>
      </c>
      <c r="G2078" s="5" t="str">
        <f t="shared" si="143"/>
        <v/>
      </c>
      <c r="I2078" s="6" t="str">
        <f t="shared" si="144"/>
        <v>0</v>
      </c>
    </row>
    <row r="2079" spans="1:11">
      <c r="A2079" t="s">
        <v>2625</v>
      </c>
      <c r="B2079" t="s">
        <v>309</v>
      </c>
      <c r="E2079" t="str">
        <f t="shared" si="145"/>
        <v/>
      </c>
      <c r="G2079" s="5" t="str">
        <f t="shared" si="143"/>
        <v/>
      </c>
      <c r="I2079" s="6" t="str">
        <f t="shared" si="144"/>
        <v>0</v>
      </c>
    </row>
    <row r="2080" spans="1:11">
      <c r="A2080" t="s">
        <v>2626</v>
      </c>
      <c r="B2080" t="s">
        <v>309</v>
      </c>
      <c r="E2080" t="str">
        <f t="shared" si="145"/>
        <v/>
      </c>
      <c r="G2080" s="5" t="str">
        <f t="shared" si="143"/>
        <v/>
      </c>
      <c r="I2080" s="6" t="str">
        <f t="shared" si="144"/>
        <v>0</v>
      </c>
    </row>
    <row r="2081" spans="1:11">
      <c r="A2081" t="s">
        <v>2627</v>
      </c>
      <c r="B2081" t="s">
        <v>309</v>
      </c>
      <c r="E2081" t="str">
        <f t="shared" si="145"/>
        <v/>
      </c>
      <c r="G2081" s="5" t="str">
        <f t="shared" si="143"/>
        <v/>
      </c>
      <c r="I2081" s="6" t="str">
        <f t="shared" si="144"/>
        <v>0</v>
      </c>
    </row>
    <row r="2082" spans="1:11">
      <c r="A2082" t="s">
        <v>2628</v>
      </c>
      <c r="B2082" t="s">
        <v>309</v>
      </c>
      <c r="E2082" t="str">
        <f t="shared" si="145"/>
        <v/>
      </c>
      <c r="G2082" s="5" t="str">
        <f t="shared" si="143"/>
        <v/>
      </c>
      <c r="I2082" s="6" t="str">
        <f t="shared" si="144"/>
        <v>0</v>
      </c>
    </row>
    <row r="2083" spans="1:11">
      <c r="A2083" t="s">
        <v>2629</v>
      </c>
      <c r="B2083" t="s">
        <v>4976</v>
      </c>
      <c r="C2083" s="5" t="s">
        <v>7</v>
      </c>
      <c r="F2083" s="5" t="s">
        <v>4977</v>
      </c>
      <c r="G2083" s="5">
        <f t="shared" si="143"/>
        <v>50244</v>
      </c>
      <c r="I2083" s="6" t="str">
        <f t="shared" si="144"/>
        <v>0</v>
      </c>
      <c r="K2083" s="19" t="s">
        <v>4978</v>
      </c>
    </row>
    <row r="2084" spans="1:11">
      <c r="A2084" t="s">
        <v>2630</v>
      </c>
      <c r="B2084" t="s">
        <v>4979</v>
      </c>
      <c r="C2084" s="5" t="s">
        <v>7</v>
      </c>
      <c r="F2084" s="5" t="s">
        <v>4980</v>
      </c>
      <c r="G2084" s="5">
        <f t="shared" si="143"/>
        <v>50296</v>
      </c>
      <c r="I2084" s="6" t="str">
        <f t="shared" si="144"/>
        <v>0</v>
      </c>
      <c r="K2084" s="19" t="s">
        <v>4981</v>
      </c>
    </row>
    <row r="2085" spans="1:11">
      <c r="A2085" t="s">
        <v>2631</v>
      </c>
      <c r="B2085" t="s">
        <v>4982</v>
      </c>
      <c r="C2085" s="5" t="s">
        <v>7</v>
      </c>
      <c r="F2085" s="5" t="s">
        <v>4983</v>
      </c>
      <c r="G2085" s="5">
        <f t="shared" si="143"/>
        <v>50318</v>
      </c>
      <c r="I2085" s="6" t="str">
        <f t="shared" si="144"/>
        <v>0</v>
      </c>
      <c r="K2085" s="19" t="s">
        <v>4984</v>
      </c>
    </row>
    <row r="2086" spans="1:11">
      <c r="A2086" t="s">
        <v>2632</v>
      </c>
      <c r="B2086" t="s">
        <v>5825</v>
      </c>
      <c r="G2086" s="5" t="str">
        <f t="shared" si="143"/>
        <v/>
      </c>
      <c r="I2086" s="6" t="str">
        <f t="shared" si="144"/>
        <v>0</v>
      </c>
      <c r="K2086" s="19" t="s">
        <v>5826</v>
      </c>
    </row>
    <row r="2087" spans="1:11">
      <c r="A2087" t="s">
        <v>2633</v>
      </c>
      <c r="B2087" t="s">
        <v>309</v>
      </c>
      <c r="E2087" t="str">
        <f>IF(D2087&lt;&gt;"",C2087&amp;"/"&amp;D2087,"")</f>
        <v/>
      </c>
      <c r="G2087" s="5" t="str">
        <f t="shared" si="143"/>
        <v/>
      </c>
      <c r="I2087" s="6" t="str">
        <f t="shared" si="144"/>
        <v>0</v>
      </c>
    </row>
    <row r="2088" spans="1:11">
      <c r="A2088" t="s">
        <v>2634</v>
      </c>
      <c r="B2088" t="s">
        <v>5827</v>
      </c>
      <c r="G2088" s="5" t="str">
        <f t="shared" si="143"/>
        <v/>
      </c>
      <c r="I2088" s="6" t="str">
        <f t="shared" si="144"/>
        <v>0</v>
      </c>
      <c r="K2088" s="19" t="s">
        <v>5828</v>
      </c>
    </row>
    <row r="2089" spans="1:11">
      <c r="A2089" t="s">
        <v>2635</v>
      </c>
      <c r="B2089" t="s">
        <v>4985</v>
      </c>
      <c r="C2089" s="5" t="s">
        <v>7</v>
      </c>
      <c r="F2089" s="5" t="s">
        <v>4986</v>
      </c>
      <c r="G2089" s="5">
        <f t="shared" si="143"/>
        <v>50406</v>
      </c>
      <c r="I2089" s="6" t="str">
        <f t="shared" si="144"/>
        <v>0</v>
      </c>
      <c r="K2089" s="19" t="s">
        <v>4987</v>
      </c>
    </row>
    <row r="2090" spans="1:11">
      <c r="A2090" t="s">
        <v>2636</v>
      </c>
      <c r="B2090" t="s">
        <v>309</v>
      </c>
      <c r="E2090" t="str">
        <f t="shared" ref="E2090:E2096" si="146">IF(D2090&lt;&gt;"",C2090&amp;"/"&amp;D2090,"")</f>
        <v/>
      </c>
      <c r="G2090" s="5" t="str">
        <f t="shared" si="143"/>
        <v/>
      </c>
      <c r="I2090" s="6" t="str">
        <f t="shared" si="144"/>
        <v>0</v>
      </c>
    </row>
    <row r="2091" spans="1:11">
      <c r="A2091" t="s">
        <v>2637</v>
      </c>
      <c r="B2091" t="s">
        <v>309</v>
      </c>
      <c r="E2091" t="str">
        <f t="shared" si="146"/>
        <v/>
      </c>
      <c r="G2091" s="5" t="str">
        <f t="shared" si="143"/>
        <v/>
      </c>
      <c r="I2091" s="6" t="str">
        <f t="shared" si="144"/>
        <v>0</v>
      </c>
    </row>
    <row r="2092" spans="1:11">
      <c r="A2092" t="s">
        <v>2638</v>
      </c>
      <c r="B2092" t="s">
        <v>309</v>
      </c>
      <c r="E2092" t="str">
        <f t="shared" si="146"/>
        <v/>
      </c>
      <c r="G2092" s="5" t="str">
        <f t="shared" si="143"/>
        <v/>
      </c>
      <c r="I2092" s="6" t="str">
        <f t="shared" si="144"/>
        <v>0</v>
      </c>
    </row>
    <row r="2093" spans="1:11">
      <c r="A2093" t="s">
        <v>2639</v>
      </c>
      <c r="B2093" t="s">
        <v>309</v>
      </c>
      <c r="E2093" t="str">
        <f t="shared" si="146"/>
        <v/>
      </c>
      <c r="G2093" s="5" t="str">
        <f t="shared" si="143"/>
        <v/>
      </c>
      <c r="I2093" s="6" t="str">
        <f t="shared" si="144"/>
        <v>0</v>
      </c>
    </row>
    <row r="2094" spans="1:11">
      <c r="A2094" t="s">
        <v>2640</v>
      </c>
      <c r="B2094" t="s">
        <v>309</v>
      </c>
      <c r="E2094" t="str">
        <f t="shared" si="146"/>
        <v/>
      </c>
      <c r="G2094" s="5" t="str">
        <f t="shared" si="143"/>
        <v/>
      </c>
      <c r="I2094" s="6" t="str">
        <f t="shared" si="144"/>
        <v>0</v>
      </c>
    </row>
    <row r="2095" spans="1:11">
      <c r="A2095" t="s">
        <v>2641</v>
      </c>
      <c r="B2095" t="s">
        <v>5584</v>
      </c>
      <c r="G2095" s="5" t="str">
        <f t="shared" si="143"/>
        <v/>
      </c>
      <c r="I2095" s="6" t="str">
        <f t="shared" si="144"/>
        <v>0</v>
      </c>
      <c r="K2095" s="19" t="s">
        <v>5585</v>
      </c>
    </row>
    <row r="2096" spans="1:11">
      <c r="A2096" t="s">
        <v>2642</v>
      </c>
      <c r="B2096" t="s">
        <v>309</v>
      </c>
      <c r="E2096" t="str">
        <f t="shared" si="146"/>
        <v/>
      </c>
      <c r="G2096" s="5" t="str">
        <f t="shared" si="143"/>
        <v/>
      </c>
      <c r="I2096" s="6" t="str">
        <f t="shared" si="144"/>
        <v>0</v>
      </c>
    </row>
    <row r="2097" spans="1:11">
      <c r="A2097" t="s">
        <v>2643</v>
      </c>
      <c r="B2097" t="s">
        <v>6073</v>
      </c>
      <c r="G2097" s="5" t="str">
        <f t="shared" si="143"/>
        <v/>
      </c>
      <c r="I2097" s="6" t="str">
        <f t="shared" si="144"/>
        <v>0</v>
      </c>
      <c r="K2097" s="19" t="s">
        <v>6074</v>
      </c>
    </row>
    <row r="2098" spans="1:11">
      <c r="A2098" t="s">
        <v>2644</v>
      </c>
      <c r="B2098" t="s">
        <v>5137</v>
      </c>
      <c r="C2098" s="5" t="s">
        <v>7</v>
      </c>
      <c r="F2098" s="5" t="s">
        <v>5138</v>
      </c>
      <c r="G2098" s="5">
        <f t="shared" si="143"/>
        <v>50612</v>
      </c>
      <c r="I2098" s="6" t="str">
        <f t="shared" si="144"/>
        <v>0</v>
      </c>
      <c r="K2098" s="24" t="s">
        <v>5139</v>
      </c>
    </row>
    <row r="2099" spans="1:11">
      <c r="A2099" t="s">
        <v>2645</v>
      </c>
      <c r="B2099" t="s">
        <v>5140</v>
      </c>
      <c r="C2099" s="5" t="s">
        <v>7</v>
      </c>
      <c r="F2099" s="5" t="s">
        <v>5141</v>
      </c>
      <c r="G2099" s="5">
        <f t="shared" si="143"/>
        <v>50688</v>
      </c>
      <c r="I2099" s="6" t="str">
        <f t="shared" si="144"/>
        <v>0</v>
      </c>
      <c r="K2099" s="24" t="s">
        <v>5142</v>
      </c>
    </row>
    <row r="2100" spans="1:11">
      <c r="A2100" t="s">
        <v>2646</v>
      </c>
      <c r="B2100" t="s">
        <v>309</v>
      </c>
      <c r="E2100" t="str">
        <f>IF(D2100&lt;&gt;"",C2100&amp;"/"&amp;D2100,"")</f>
        <v/>
      </c>
      <c r="G2100" s="5" t="str">
        <f t="shared" si="143"/>
        <v/>
      </c>
      <c r="I2100" s="6" t="str">
        <f t="shared" si="144"/>
        <v>0</v>
      </c>
    </row>
    <row r="2101" spans="1:11">
      <c r="A2101" t="s">
        <v>2647</v>
      </c>
      <c r="B2101" t="s">
        <v>4972</v>
      </c>
      <c r="C2101" s="5" t="s">
        <v>7</v>
      </c>
      <c r="F2101" s="5" t="s">
        <v>4973</v>
      </c>
      <c r="G2101" s="5">
        <f t="shared" si="143"/>
        <v>50744</v>
      </c>
      <c r="I2101" s="6" t="str">
        <f t="shared" si="144"/>
        <v>0</v>
      </c>
      <c r="K2101" s="19" t="s">
        <v>4974</v>
      </c>
    </row>
    <row r="2102" spans="1:11">
      <c r="A2102" t="s">
        <v>2648</v>
      </c>
      <c r="B2102" t="s">
        <v>5143</v>
      </c>
      <c r="C2102" s="5" t="s">
        <v>7</v>
      </c>
      <c r="F2102" s="5" t="s">
        <v>5144</v>
      </c>
      <c r="G2102" s="5">
        <f t="shared" si="143"/>
        <v>50776</v>
      </c>
      <c r="I2102" s="6" t="str">
        <f t="shared" si="144"/>
        <v>0</v>
      </c>
      <c r="K2102" s="24" t="s">
        <v>5145</v>
      </c>
    </row>
    <row r="2103" spans="1:11">
      <c r="A2103" t="s">
        <v>2649</v>
      </c>
      <c r="B2103" t="s">
        <v>5032</v>
      </c>
      <c r="G2103" s="5" t="str">
        <f t="shared" si="143"/>
        <v/>
      </c>
      <c r="I2103" s="6" t="str">
        <f t="shared" si="144"/>
        <v>0</v>
      </c>
      <c r="K2103" s="19" t="s">
        <v>5033</v>
      </c>
    </row>
    <row r="2104" spans="1:11">
      <c r="A2104" t="s">
        <v>2650</v>
      </c>
      <c r="B2104" t="s">
        <v>309</v>
      </c>
      <c r="E2104" t="str">
        <f t="shared" ref="E2104:E2115" si="147">IF(D2104&lt;&gt;"",C2104&amp;"/"&amp;D2104,"")</f>
        <v/>
      </c>
      <c r="G2104" s="5" t="str">
        <f t="shared" si="143"/>
        <v/>
      </c>
      <c r="I2104" s="6" t="str">
        <f t="shared" si="144"/>
        <v>0</v>
      </c>
    </row>
    <row r="2105" spans="1:11">
      <c r="A2105" t="s">
        <v>2651</v>
      </c>
      <c r="B2105" t="s">
        <v>309</v>
      </c>
      <c r="E2105" t="str">
        <f t="shared" si="147"/>
        <v/>
      </c>
      <c r="G2105" s="5" t="str">
        <f t="shared" si="143"/>
        <v/>
      </c>
      <c r="I2105" s="6" t="str">
        <f t="shared" si="144"/>
        <v>0</v>
      </c>
    </row>
    <row r="2106" spans="1:11">
      <c r="A2106" t="s">
        <v>2652</v>
      </c>
      <c r="B2106" t="s">
        <v>309</v>
      </c>
      <c r="E2106" t="str">
        <f t="shared" si="147"/>
        <v/>
      </c>
      <c r="G2106" s="5" t="str">
        <f t="shared" si="143"/>
        <v/>
      </c>
      <c r="I2106" s="6" t="str">
        <f t="shared" si="144"/>
        <v>0</v>
      </c>
    </row>
    <row r="2107" spans="1:11">
      <c r="A2107" t="s">
        <v>2653</v>
      </c>
      <c r="B2107" t="s">
        <v>309</v>
      </c>
      <c r="E2107" t="str">
        <f t="shared" si="147"/>
        <v/>
      </c>
      <c r="G2107" s="5" t="str">
        <f t="shared" si="143"/>
        <v/>
      </c>
      <c r="I2107" s="6" t="str">
        <f t="shared" si="144"/>
        <v>0</v>
      </c>
    </row>
    <row r="2108" spans="1:11">
      <c r="A2108" t="s">
        <v>2654</v>
      </c>
      <c r="B2108" t="s">
        <v>309</v>
      </c>
      <c r="E2108" t="str">
        <f t="shared" si="147"/>
        <v/>
      </c>
      <c r="G2108" s="5" t="str">
        <f t="shared" si="143"/>
        <v/>
      </c>
      <c r="I2108" s="6" t="str">
        <f t="shared" si="144"/>
        <v>0</v>
      </c>
    </row>
    <row r="2109" spans="1:11">
      <c r="A2109" t="s">
        <v>2655</v>
      </c>
      <c r="B2109" t="s">
        <v>309</v>
      </c>
      <c r="E2109" t="str">
        <f t="shared" si="147"/>
        <v/>
      </c>
      <c r="G2109" s="5" t="str">
        <f t="shared" si="143"/>
        <v/>
      </c>
      <c r="I2109" s="6" t="str">
        <f t="shared" si="144"/>
        <v>0</v>
      </c>
    </row>
    <row r="2110" spans="1:11">
      <c r="A2110" t="s">
        <v>2656</v>
      </c>
      <c r="B2110" t="s">
        <v>2657</v>
      </c>
      <c r="E2110" t="str">
        <f t="shared" si="147"/>
        <v/>
      </c>
      <c r="G2110" s="5" t="str">
        <f t="shared" si="143"/>
        <v/>
      </c>
      <c r="I2110" s="6" t="str">
        <f t="shared" si="144"/>
        <v>0</v>
      </c>
    </row>
    <row r="2111" spans="1:11">
      <c r="A2111" t="s">
        <v>2658</v>
      </c>
      <c r="B2111" t="s">
        <v>2659</v>
      </c>
      <c r="E2111" t="str">
        <f t="shared" si="147"/>
        <v/>
      </c>
      <c r="G2111" s="5" t="str">
        <f t="shared" si="143"/>
        <v/>
      </c>
      <c r="I2111" s="6" t="str">
        <f t="shared" si="144"/>
        <v>0</v>
      </c>
    </row>
    <row r="2112" spans="1:11">
      <c r="A2112" t="s">
        <v>2660</v>
      </c>
      <c r="B2112" t="s">
        <v>2661</v>
      </c>
      <c r="E2112" t="str">
        <f t="shared" si="147"/>
        <v/>
      </c>
      <c r="G2112" s="5" t="str">
        <f t="shared" si="143"/>
        <v/>
      </c>
      <c r="I2112" s="6" t="str">
        <f t="shared" si="144"/>
        <v>0</v>
      </c>
    </row>
    <row r="2113" spans="1:11">
      <c r="A2113" t="s">
        <v>2662</v>
      </c>
      <c r="B2113" t="s">
        <v>309</v>
      </c>
      <c r="E2113" t="str">
        <f t="shared" si="147"/>
        <v/>
      </c>
      <c r="G2113" s="5" t="str">
        <f t="shared" si="143"/>
        <v/>
      </c>
      <c r="I2113" s="6" t="str">
        <f t="shared" si="144"/>
        <v>0</v>
      </c>
    </row>
    <row r="2114" spans="1:11">
      <c r="A2114" t="s">
        <v>2663</v>
      </c>
      <c r="B2114" t="s">
        <v>6075</v>
      </c>
      <c r="G2114" s="5" t="str">
        <f t="shared" ref="G2114:G2177" si="148">IF(F2114&lt;&gt;"",HEX2DEC(SUBSTITUTE(SUBSTITUTE(F2114,"adrEA",""),"$","")),"")</f>
        <v/>
      </c>
      <c r="I2114" s="6" t="str">
        <f t="shared" ref="I2114:I2177" si="149">IFERROR(DEC2HEX(H2114),"")</f>
        <v>0</v>
      </c>
      <c r="K2114" s="19" t="s">
        <v>6076</v>
      </c>
    </row>
    <row r="2115" spans="1:11">
      <c r="A2115" t="s">
        <v>2664</v>
      </c>
      <c r="B2115" t="s">
        <v>2664</v>
      </c>
      <c r="E2115" t="str">
        <f t="shared" si="147"/>
        <v/>
      </c>
      <c r="G2115" s="5" t="str">
        <f t="shared" si="148"/>
        <v/>
      </c>
      <c r="I2115" s="6" t="str">
        <f t="shared" si="149"/>
        <v>0</v>
      </c>
    </row>
    <row r="2116" spans="1:11">
      <c r="A2116" t="s">
        <v>2665</v>
      </c>
      <c r="B2116" t="s">
        <v>4975</v>
      </c>
      <c r="G2116" s="5" t="str">
        <f t="shared" si="148"/>
        <v/>
      </c>
      <c r="I2116" s="6" t="str">
        <f t="shared" si="149"/>
        <v>0</v>
      </c>
      <c r="K2116" s="19" t="s">
        <v>5034</v>
      </c>
    </row>
    <row r="2117" spans="1:11">
      <c r="A2117" t="s">
        <v>2666</v>
      </c>
      <c r="B2117" t="s">
        <v>5146</v>
      </c>
      <c r="C2117" s="5" t="s">
        <v>7</v>
      </c>
      <c r="F2117" s="5" t="s">
        <v>5147</v>
      </c>
      <c r="G2117" s="5">
        <f t="shared" si="148"/>
        <v>51062</v>
      </c>
      <c r="I2117" s="6" t="str">
        <f t="shared" si="149"/>
        <v>0</v>
      </c>
      <c r="K2117" s="24" t="s">
        <v>5148</v>
      </c>
    </row>
    <row r="2118" spans="1:11">
      <c r="A2118" t="s">
        <v>2667</v>
      </c>
      <c r="B2118" t="s">
        <v>309</v>
      </c>
      <c r="E2118" t="str">
        <f>IF(D2118&lt;&gt;"",C2118&amp;"/"&amp;D2118,"")</f>
        <v/>
      </c>
      <c r="G2118" s="5" t="str">
        <f t="shared" si="148"/>
        <v/>
      </c>
      <c r="I2118" s="6" t="str">
        <f t="shared" si="149"/>
        <v>0</v>
      </c>
    </row>
    <row r="2119" spans="1:11">
      <c r="A2119" t="s">
        <v>2668</v>
      </c>
      <c r="B2119" t="s">
        <v>309</v>
      </c>
      <c r="E2119" t="str">
        <f>IF(D2119&lt;&gt;"",C2119&amp;"/"&amp;D2119,"")</f>
        <v/>
      </c>
      <c r="G2119" s="5" t="str">
        <f t="shared" si="148"/>
        <v/>
      </c>
      <c r="I2119" s="6" t="str">
        <f t="shared" si="149"/>
        <v>0</v>
      </c>
    </row>
    <row r="2120" spans="1:11" ht="17">
      <c r="A2120" t="s">
        <v>2669</v>
      </c>
      <c r="B2120" s="17" t="s">
        <v>3762</v>
      </c>
      <c r="D2120" s="17"/>
      <c r="F2120" s="16"/>
      <c r="G2120" s="5" t="str">
        <f t="shared" si="148"/>
        <v/>
      </c>
      <c r="I2120" s="6" t="str">
        <f t="shared" si="149"/>
        <v>0</v>
      </c>
      <c r="K2120" s="19" t="s">
        <v>3770</v>
      </c>
    </row>
    <row r="2121" spans="1:11" ht="17">
      <c r="A2121" t="s">
        <v>2670</v>
      </c>
      <c r="B2121" s="17" t="s">
        <v>3755</v>
      </c>
      <c r="D2121" s="17"/>
      <c r="F2121" s="16"/>
      <c r="G2121" s="5" t="str">
        <f t="shared" si="148"/>
        <v/>
      </c>
      <c r="I2121" s="6" t="str">
        <f t="shared" si="149"/>
        <v>0</v>
      </c>
      <c r="K2121" s="19" t="s">
        <v>3771</v>
      </c>
    </row>
    <row r="2122" spans="1:11" ht="17">
      <c r="A2122" t="s">
        <v>2671</v>
      </c>
      <c r="B2122" s="17" t="s">
        <v>3772</v>
      </c>
      <c r="D2122" s="17"/>
      <c r="F2122" s="16"/>
      <c r="G2122" s="5" t="str">
        <f t="shared" si="148"/>
        <v/>
      </c>
      <c r="I2122" s="6" t="str">
        <f t="shared" si="149"/>
        <v>0</v>
      </c>
      <c r="K2122" s="19" t="s">
        <v>3773</v>
      </c>
    </row>
    <row r="2123" spans="1:11">
      <c r="A2123" t="s">
        <v>2672</v>
      </c>
      <c r="B2123" t="s">
        <v>309</v>
      </c>
      <c r="E2123" t="str">
        <f>IF(D2123&lt;&gt;"",C2123&amp;"/"&amp;D2123,"")</f>
        <v/>
      </c>
      <c r="G2123" s="5" t="str">
        <f t="shared" si="148"/>
        <v/>
      </c>
      <c r="I2123" s="6" t="str">
        <f t="shared" si="149"/>
        <v>0</v>
      </c>
    </row>
    <row r="2124" spans="1:11">
      <c r="A2124" t="s">
        <v>2673</v>
      </c>
      <c r="B2124" t="s">
        <v>309</v>
      </c>
      <c r="E2124" t="str">
        <f>IF(D2124&lt;&gt;"",C2124&amp;"/"&amp;D2124,"")</f>
        <v/>
      </c>
      <c r="G2124" s="5" t="str">
        <f t="shared" si="148"/>
        <v/>
      </c>
      <c r="I2124" s="6" t="str">
        <f t="shared" si="149"/>
        <v>0</v>
      </c>
    </row>
    <row r="2125" spans="1:11" ht="17">
      <c r="A2125" t="s">
        <v>2674</v>
      </c>
      <c r="B2125" s="17" t="s">
        <v>3774</v>
      </c>
      <c r="C2125" s="5" t="s">
        <v>48</v>
      </c>
      <c r="D2125" s="17" t="s">
        <v>3775</v>
      </c>
      <c r="E2125" t="s">
        <v>3776</v>
      </c>
      <c r="F2125" s="16" t="s">
        <v>3777</v>
      </c>
      <c r="G2125" s="5">
        <f t="shared" si="148"/>
        <v>51264</v>
      </c>
      <c r="H2125" s="5">
        <v>14</v>
      </c>
      <c r="I2125" s="6" t="str">
        <f t="shared" si="149"/>
        <v>E</v>
      </c>
      <c r="K2125" s="19" t="s">
        <v>3778</v>
      </c>
    </row>
    <row r="2126" spans="1:11" ht="17">
      <c r="A2126" t="s">
        <v>2675</v>
      </c>
      <c r="B2126" s="17" t="s">
        <v>3779</v>
      </c>
      <c r="C2126" s="5" t="s">
        <v>48</v>
      </c>
      <c r="D2126" s="17" t="s">
        <v>3780</v>
      </c>
      <c r="E2126" t="s">
        <v>3781</v>
      </c>
      <c r="F2126" s="16" t="s">
        <v>3782</v>
      </c>
      <c r="G2126" s="5">
        <f t="shared" si="148"/>
        <v>51278</v>
      </c>
      <c r="H2126" s="5">
        <v>104</v>
      </c>
      <c r="I2126" s="6" t="str">
        <f t="shared" si="149"/>
        <v>68</v>
      </c>
      <c r="K2126" s="19" t="s">
        <v>3783</v>
      </c>
    </row>
    <row r="2127" spans="1:11" ht="17">
      <c r="A2127" t="s">
        <v>2676</v>
      </c>
      <c r="B2127" s="17" t="s">
        <v>3768</v>
      </c>
      <c r="D2127" s="17"/>
      <c r="F2127" s="16"/>
      <c r="G2127" s="5" t="str">
        <f t="shared" si="148"/>
        <v/>
      </c>
      <c r="I2127" s="6" t="str">
        <f t="shared" si="149"/>
        <v>0</v>
      </c>
      <c r="K2127" s="19" t="s">
        <v>3784</v>
      </c>
    </row>
    <row r="2128" spans="1:11" ht="17">
      <c r="A2128" t="s">
        <v>2677</v>
      </c>
      <c r="B2128" s="17" t="s">
        <v>3785</v>
      </c>
      <c r="D2128" s="17"/>
      <c r="F2128" s="16"/>
      <c r="G2128" s="5" t="str">
        <f t="shared" si="148"/>
        <v/>
      </c>
      <c r="I2128" s="6" t="str">
        <f t="shared" si="149"/>
        <v>0</v>
      </c>
      <c r="K2128" s="19" t="s">
        <v>3786</v>
      </c>
    </row>
    <row r="2129" spans="1:11">
      <c r="A2129" t="s">
        <v>2678</v>
      </c>
      <c r="B2129" t="s">
        <v>5100</v>
      </c>
      <c r="C2129" s="5" t="s">
        <v>7</v>
      </c>
      <c r="F2129" s="5" t="s">
        <v>5101</v>
      </c>
      <c r="G2129" s="5">
        <f t="shared" si="148"/>
        <v>51514</v>
      </c>
      <c r="I2129" s="6" t="str">
        <f t="shared" si="149"/>
        <v>0</v>
      </c>
      <c r="K2129" s="19" t="s">
        <v>5102</v>
      </c>
    </row>
    <row r="2130" spans="1:11">
      <c r="A2130" t="s">
        <v>2679</v>
      </c>
      <c r="B2130" t="s">
        <v>5103</v>
      </c>
      <c r="C2130" s="5" t="s">
        <v>7</v>
      </c>
      <c r="F2130" s="5" t="s">
        <v>5104</v>
      </c>
      <c r="G2130" s="5">
        <f t="shared" si="148"/>
        <v>51540</v>
      </c>
      <c r="I2130" s="6" t="str">
        <f t="shared" si="149"/>
        <v>0</v>
      </c>
      <c r="K2130" s="19" t="s">
        <v>5105</v>
      </c>
    </row>
    <row r="2131" spans="1:11">
      <c r="A2131" t="s">
        <v>2680</v>
      </c>
      <c r="B2131" t="s">
        <v>5083</v>
      </c>
      <c r="C2131" s="5" t="s">
        <v>7</v>
      </c>
      <c r="F2131" s="5" t="s">
        <v>5084</v>
      </c>
      <c r="G2131" s="5">
        <f t="shared" si="148"/>
        <v>51578</v>
      </c>
      <c r="I2131" s="6" t="str">
        <f t="shared" si="149"/>
        <v>0</v>
      </c>
      <c r="K2131" s="19" t="s">
        <v>5085</v>
      </c>
    </row>
    <row r="2132" spans="1:11">
      <c r="A2132" t="s">
        <v>2681</v>
      </c>
      <c r="B2132" t="s">
        <v>309</v>
      </c>
      <c r="E2132" t="str">
        <f>IF(D2132&lt;&gt;"",C2132&amp;"/"&amp;D2132,"")</f>
        <v/>
      </c>
      <c r="G2132" s="5" t="str">
        <f t="shared" si="148"/>
        <v/>
      </c>
      <c r="I2132" s="6" t="str">
        <f t="shared" si="149"/>
        <v>0</v>
      </c>
    </row>
    <row r="2133" spans="1:11">
      <c r="A2133" t="s">
        <v>2682</v>
      </c>
      <c r="B2133" t="s">
        <v>5086</v>
      </c>
      <c r="C2133" s="5" t="s">
        <v>7</v>
      </c>
      <c r="F2133" s="5" t="s">
        <v>5087</v>
      </c>
      <c r="G2133" s="5">
        <f t="shared" si="148"/>
        <v>51600</v>
      </c>
      <c r="I2133" s="6" t="str">
        <f t="shared" si="149"/>
        <v>0</v>
      </c>
      <c r="K2133" s="19" t="s">
        <v>5088</v>
      </c>
    </row>
    <row r="2134" spans="1:11">
      <c r="A2134" t="s">
        <v>2683</v>
      </c>
      <c r="B2134" t="s">
        <v>3756</v>
      </c>
      <c r="G2134" s="5" t="str">
        <f t="shared" si="148"/>
        <v/>
      </c>
      <c r="I2134" s="6" t="str">
        <f t="shared" si="149"/>
        <v>0</v>
      </c>
      <c r="K2134" s="6" t="s">
        <v>3757</v>
      </c>
    </row>
    <row r="2135" spans="1:11">
      <c r="A2135" t="s">
        <v>2684</v>
      </c>
      <c r="B2135" t="s">
        <v>3758</v>
      </c>
      <c r="G2135" s="5" t="str">
        <f t="shared" si="148"/>
        <v/>
      </c>
      <c r="I2135" s="6" t="str">
        <f t="shared" si="149"/>
        <v>0</v>
      </c>
      <c r="K2135" s="6" t="s">
        <v>3759</v>
      </c>
    </row>
    <row r="2136" spans="1:11">
      <c r="A2136" t="s">
        <v>2685</v>
      </c>
      <c r="B2136" t="s">
        <v>5829</v>
      </c>
      <c r="G2136" s="5" t="str">
        <f t="shared" si="148"/>
        <v/>
      </c>
      <c r="I2136" s="6" t="str">
        <f t="shared" si="149"/>
        <v>0</v>
      </c>
      <c r="K2136" s="19" t="s">
        <v>5830</v>
      </c>
    </row>
    <row r="2137" spans="1:11">
      <c r="A2137" t="s">
        <v>2686</v>
      </c>
      <c r="B2137" t="s">
        <v>2687</v>
      </c>
      <c r="E2137" t="str">
        <f>IF(D2137&lt;&gt;"",C2137&amp;"/"&amp;D2137,"")</f>
        <v/>
      </c>
      <c r="G2137" s="5" t="str">
        <f t="shared" si="148"/>
        <v/>
      </c>
      <c r="I2137" s="6" t="str">
        <f t="shared" si="149"/>
        <v>0</v>
      </c>
    </row>
    <row r="2138" spans="1:11">
      <c r="A2138" t="s">
        <v>2688</v>
      </c>
      <c r="B2138" t="s">
        <v>2689</v>
      </c>
      <c r="E2138" t="str">
        <f>IF(D2138&lt;&gt;"",C2138&amp;"/"&amp;D2138,"")</f>
        <v/>
      </c>
      <c r="G2138" s="5" t="str">
        <f t="shared" si="148"/>
        <v/>
      </c>
      <c r="I2138" s="6" t="str">
        <f t="shared" si="149"/>
        <v>0</v>
      </c>
    </row>
    <row r="2139" spans="1:11">
      <c r="A2139" t="s">
        <v>2690</v>
      </c>
      <c r="B2139" t="s">
        <v>2691</v>
      </c>
      <c r="E2139" t="str">
        <f>IF(D2139&lt;&gt;"",C2139&amp;"/"&amp;D2139,"")</f>
        <v/>
      </c>
      <c r="G2139" s="5" t="str">
        <f t="shared" si="148"/>
        <v/>
      </c>
      <c r="I2139" s="6" t="str">
        <f t="shared" si="149"/>
        <v>0</v>
      </c>
    </row>
    <row r="2140" spans="1:11">
      <c r="A2140" t="s">
        <v>2692</v>
      </c>
      <c r="B2140" t="s">
        <v>2692</v>
      </c>
      <c r="E2140" t="str">
        <f>IF(D2140&lt;&gt;"",C2140&amp;"/"&amp;D2140,"")</f>
        <v/>
      </c>
      <c r="G2140" s="5" t="str">
        <f t="shared" si="148"/>
        <v/>
      </c>
      <c r="I2140" s="6" t="str">
        <f t="shared" si="149"/>
        <v>0</v>
      </c>
    </row>
    <row r="2141" spans="1:11">
      <c r="A2141" t="s">
        <v>2693</v>
      </c>
      <c r="B2141" t="s">
        <v>2694</v>
      </c>
      <c r="G2141" s="5" t="str">
        <f t="shared" si="148"/>
        <v/>
      </c>
      <c r="I2141" s="6" t="str">
        <f t="shared" si="149"/>
        <v>0</v>
      </c>
      <c r="K2141" s="19" t="s">
        <v>4548</v>
      </c>
    </row>
    <row r="2142" spans="1:11">
      <c r="A2142" t="s">
        <v>2695</v>
      </c>
      <c r="B2142" t="s">
        <v>5089</v>
      </c>
      <c r="C2142" s="5" t="s">
        <v>7</v>
      </c>
      <c r="F2142" s="5" t="s">
        <v>5090</v>
      </c>
      <c r="G2142" s="5">
        <f t="shared" si="148"/>
        <v>51768</v>
      </c>
      <c r="I2142" s="6" t="str">
        <f t="shared" si="149"/>
        <v>0</v>
      </c>
      <c r="K2142" s="19" t="s">
        <v>5091</v>
      </c>
    </row>
    <row r="2143" spans="1:11">
      <c r="A2143" t="s">
        <v>2696</v>
      </c>
      <c r="B2143" t="s">
        <v>5560</v>
      </c>
      <c r="G2143" s="5" t="str">
        <f t="shared" si="148"/>
        <v/>
      </c>
      <c r="I2143" s="6" t="str">
        <f t="shared" si="149"/>
        <v>0</v>
      </c>
      <c r="K2143" s="19" t="s">
        <v>5561</v>
      </c>
    </row>
    <row r="2144" spans="1:11">
      <c r="A2144" t="s">
        <v>2697</v>
      </c>
      <c r="B2144" t="s">
        <v>5035</v>
      </c>
      <c r="G2144" s="5" t="str">
        <f t="shared" si="148"/>
        <v/>
      </c>
      <c r="I2144" s="6" t="str">
        <f t="shared" si="149"/>
        <v>0</v>
      </c>
      <c r="K2144" s="19" t="s">
        <v>5036</v>
      </c>
    </row>
    <row r="2145" spans="1:11">
      <c r="A2145" t="s">
        <v>2698</v>
      </c>
      <c r="E2145" t="str">
        <f>IF(D2145&lt;&gt;"",C2145&amp;"/"&amp;D2145,"")</f>
        <v/>
      </c>
      <c r="G2145" s="5" t="str">
        <f t="shared" si="148"/>
        <v/>
      </c>
      <c r="I2145" s="6" t="str">
        <f t="shared" si="149"/>
        <v>0</v>
      </c>
    </row>
    <row r="2146" spans="1:11">
      <c r="A2146" t="s">
        <v>2699</v>
      </c>
      <c r="B2146" t="s">
        <v>309</v>
      </c>
      <c r="E2146" t="str">
        <f>IF(D2146&lt;&gt;"",C2146&amp;"/"&amp;D2146,"")</f>
        <v/>
      </c>
      <c r="G2146" s="5" t="str">
        <f t="shared" si="148"/>
        <v/>
      </c>
      <c r="I2146" s="6" t="str">
        <f t="shared" si="149"/>
        <v>0</v>
      </c>
    </row>
    <row r="2147" spans="1:11">
      <c r="A2147" t="s">
        <v>2700</v>
      </c>
      <c r="B2147" t="s">
        <v>309</v>
      </c>
      <c r="E2147" t="str">
        <f>IF(D2147&lt;&gt;"",C2147&amp;"/"&amp;D2147,"")</f>
        <v/>
      </c>
      <c r="G2147" s="5" t="str">
        <f t="shared" si="148"/>
        <v/>
      </c>
      <c r="I2147" s="6" t="str">
        <f t="shared" si="149"/>
        <v>0</v>
      </c>
    </row>
    <row r="2148" spans="1:11">
      <c r="A2148" t="s">
        <v>2701</v>
      </c>
      <c r="B2148" t="s">
        <v>5037</v>
      </c>
      <c r="G2148" s="5" t="str">
        <f t="shared" si="148"/>
        <v/>
      </c>
      <c r="I2148" s="6" t="str">
        <f t="shared" si="149"/>
        <v>0</v>
      </c>
      <c r="K2148" s="19" t="s">
        <v>5038</v>
      </c>
    </row>
    <row r="2149" spans="1:11" ht="17">
      <c r="A2149" t="s">
        <v>2702</v>
      </c>
      <c r="B2149" s="17" t="s">
        <v>3787</v>
      </c>
      <c r="D2149" s="17"/>
      <c r="F2149" s="16"/>
      <c r="G2149" s="5" t="str">
        <f t="shared" si="148"/>
        <v/>
      </c>
      <c r="I2149" s="6" t="str">
        <f t="shared" si="149"/>
        <v>0</v>
      </c>
      <c r="K2149" s="19" t="s">
        <v>3788</v>
      </c>
    </row>
    <row r="2150" spans="1:11" ht="17">
      <c r="A2150" t="s">
        <v>2703</v>
      </c>
      <c r="B2150" s="17" t="s">
        <v>3789</v>
      </c>
      <c r="D2150" s="17"/>
      <c r="F2150" s="16"/>
      <c r="G2150" s="5" t="str">
        <f t="shared" si="148"/>
        <v/>
      </c>
      <c r="I2150" s="6" t="str">
        <f t="shared" si="149"/>
        <v>0</v>
      </c>
      <c r="K2150" s="19" t="s">
        <v>3790</v>
      </c>
    </row>
    <row r="2151" spans="1:11" ht="17">
      <c r="A2151" t="s">
        <v>2704</v>
      </c>
      <c r="B2151" s="17" t="s">
        <v>3791</v>
      </c>
      <c r="D2151" s="17"/>
      <c r="F2151" s="16"/>
      <c r="G2151" s="5" t="str">
        <f t="shared" si="148"/>
        <v/>
      </c>
      <c r="I2151" s="6" t="str">
        <f t="shared" si="149"/>
        <v>0</v>
      </c>
      <c r="K2151" s="19" t="s">
        <v>3792</v>
      </c>
    </row>
    <row r="2152" spans="1:11" ht="17">
      <c r="A2152" t="s">
        <v>2705</v>
      </c>
      <c r="B2152" s="17" t="s">
        <v>3793</v>
      </c>
      <c r="D2152" s="17"/>
      <c r="F2152" s="16"/>
      <c r="G2152" s="5" t="str">
        <f t="shared" si="148"/>
        <v/>
      </c>
      <c r="I2152" s="6" t="str">
        <f t="shared" si="149"/>
        <v>0</v>
      </c>
      <c r="K2152" s="19" t="s">
        <v>3794</v>
      </c>
    </row>
    <row r="2153" spans="1:11">
      <c r="A2153" t="s">
        <v>2706</v>
      </c>
      <c r="B2153" t="s">
        <v>309</v>
      </c>
      <c r="E2153" t="str">
        <f t="shared" ref="E2153:E2170" si="150">IF(D2153&lt;&gt;"",C2153&amp;"/"&amp;D2153,"")</f>
        <v/>
      </c>
      <c r="G2153" s="5" t="str">
        <f t="shared" si="148"/>
        <v/>
      </c>
      <c r="I2153" s="6" t="str">
        <f t="shared" si="149"/>
        <v>0</v>
      </c>
    </row>
    <row r="2154" spans="1:11">
      <c r="A2154" t="s">
        <v>2707</v>
      </c>
      <c r="B2154" t="s">
        <v>5562</v>
      </c>
      <c r="G2154" s="5" t="str">
        <f t="shared" si="148"/>
        <v/>
      </c>
      <c r="I2154" s="6" t="str">
        <f t="shared" si="149"/>
        <v>0</v>
      </c>
      <c r="K2154" s="19" t="s">
        <v>5563</v>
      </c>
    </row>
    <row r="2155" spans="1:11">
      <c r="A2155" t="s">
        <v>2708</v>
      </c>
      <c r="B2155" t="s">
        <v>5831</v>
      </c>
      <c r="G2155" s="5" t="str">
        <f t="shared" si="148"/>
        <v/>
      </c>
      <c r="I2155" s="6" t="str">
        <f t="shared" si="149"/>
        <v>0</v>
      </c>
      <c r="K2155" s="19" t="s">
        <v>5832</v>
      </c>
    </row>
    <row r="2156" spans="1:11">
      <c r="A2156" t="s">
        <v>2709</v>
      </c>
      <c r="B2156" t="s">
        <v>5586</v>
      </c>
      <c r="G2156" s="5" t="str">
        <f t="shared" si="148"/>
        <v/>
      </c>
      <c r="I2156" s="6" t="str">
        <f t="shared" si="149"/>
        <v>0</v>
      </c>
      <c r="K2156" s="19" t="s">
        <v>5587</v>
      </c>
    </row>
    <row r="2157" spans="1:11">
      <c r="A2157" t="s">
        <v>2710</v>
      </c>
      <c r="B2157" t="s">
        <v>2710</v>
      </c>
      <c r="E2157" t="str">
        <f t="shared" si="150"/>
        <v/>
      </c>
      <c r="G2157" s="5" t="str">
        <f t="shared" si="148"/>
        <v/>
      </c>
      <c r="I2157" s="6" t="str">
        <f t="shared" si="149"/>
        <v>0</v>
      </c>
    </row>
    <row r="2158" spans="1:11">
      <c r="A2158" t="s">
        <v>2711</v>
      </c>
      <c r="B2158" t="s">
        <v>5564</v>
      </c>
      <c r="G2158" s="5" t="str">
        <f t="shared" si="148"/>
        <v/>
      </c>
      <c r="I2158" s="6" t="str">
        <f t="shared" si="149"/>
        <v>0</v>
      </c>
      <c r="K2158" s="19" t="s">
        <v>5565</v>
      </c>
    </row>
    <row r="2159" spans="1:11">
      <c r="A2159" t="s">
        <v>2712</v>
      </c>
      <c r="B2159" t="s">
        <v>5833</v>
      </c>
      <c r="G2159" s="5" t="str">
        <f t="shared" si="148"/>
        <v/>
      </c>
      <c r="I2159" s="6" t="str">
        <f t="shared" si="149"/>
        <v>0</v>
      </c>
      <c r="K2159" s="19" t="s">
        <v>5834</v>
      </c>
    </row>
    <row r="2160" spans="1:11">
      <c r="A2160" t="s">
        <v>2713</v>
      </c>
      <c r="B2160" t="s">
        <v>309</v>
      </c>
      <c r="E2160" t="str">
        <f t="shared" si="150"/>
        <v/>
      </c>
      <c r="G2160" s="5" t="str">
        <f t="shared" si="148"/>
        <v/>
      </c>
      <c r="I2160" s="6" t="str">
        <f t="shared" si="149"/>
        <v>0</v>
      </c>
    </row>
    <row r="2161" spans="1:11">
      <c r="A2161" t="s">
        <v>2714</v>
      </c>
      <c r="B2161" t="s">
        <v>5566</v>
      </c>
      <c r="G2161" s="5" t="str">
        <f t="shared" si="148"/>
        <v/>
      </c>
      <c r="I2161" s="6" t="str">
        <f t="shared" si="149"/>
        <v>0</v>
      </c>
      <c r="K2161" s="19" t="s">
        <v>5567</v>
      </c>
    </row>
    <row r="2162" spans="1:11">
      <c r="A2162" t="s">
        <v>2715</v>
      </c>
      <c r="B2162" t="s">
        <v>2716</v>
      </c>
      <c r="E2162" t="str">
        <f t="shared" si="150"/>
        <v/>
      </c>
      <c r="G2162" s="5" t="str">
        <f t="shared" si="148"/>
        <v/>
      </c>
      <c r="I2162" s="6" t="str">
        <f t="shared" si="149"/>
        <v>0</v>
      </c>
    </row>
    <row r="2163" spans="1:11">
      <c r="A2163" t="s">
        <v>2717</v>
      </c>
      <c r="B2163" t="s">
        <v>309</v>
      </c>
      <c r="E2163" t="str">
        <f t="shared" si="150"/>
        <v/>
      </c>
      <c r="G2163" s="5" t="str">
        <f t="shared" si="148"/>
        <v/>
      </c>
      <c r="I2163" s="6" t="str">
        <f t="shared" si="149"/>
        <v>0</v>
      </c>
    </row>
    <row r="2164" spans="1:11">
      <c r="A2164" t="s">
        <v>2718</v>
      </c>
      <c r="B2164" t="s">
        <v>309</v>
      </c>
      <c r="E2164" t="str">
        <f t="shared" si="150"/>
        <v/>
      </c>
      <c r="G2164" s="5" t="str">
        <f t="shared" si="148"/>
        <v/>
      </c>
      <c r="I2164" s="6" t="str">
        <f t="shared" si="149"/>
        <v>0</v>
      </c>
    </row>
    <row r="2165" spans="1:11">
      <c r="A2165" t="s">
        <v>2719</v>
      </c>
      <c r="B2165" t="s">
        <v>5609</v>
      </c>
      <c r="G2165" s="5" t="str">
        <f t="shared" si="148"/>
        <v/>
      </c>
      <c r="I2165" s="6" t="str">
        <f t="shared" si="149"/>
        <v>0</v>
      </c>
      <c r="K2165" s="19" t="s">
        <v>5610</v>
      </c>
    </row>
    <row r="2166" spans="1:11">
      <c r="A2166" t="s">
        <v>2720</v>
      </c>
      <c r="B2166" t="s">
        <v>5835</v>
      </c>
      <c r="G2166" s="5" t="str">
        <f t="shared" si="148"/>
        <v/>
      </c>
      <c r="I2166" s="6" t="str">
        <f t="shared" si="149"/>
        <v>0</v>
      </c>
      <c r="K2166" s="19" t="s">
        <v>5836</v>
      </c>
    </row>
    <row r="2167" spans="1:11">
      <c r="A2167" t="s">
        <v>2721</v>
      </c>
      <c r="B2167" t="s">
        <v>2722</v>
      </c>
      <c r="E2167" t="str">
        <f t="shared" si="150"/>
        <v/>
      </c>
      <c r="G2167" s="5" t="str">
        <f t="shared" si="148"/>
        <v/>
      </c>
      <c r="I2167" s="6" t="str">
        <f t="shared" si="149"/>
        <v>0</v>
      </c>
    </row>
    <row r="2168" spans="1:11">
      <c r="A2168" t="s">
        <v>2723</v>
      </c>
      <c r="E2168" t="str">
        <f t="shared" si="150"/>
        <v/>
      </c>
      <c r="G2168" s="5" t="str">
        <f t="shared" si="148"/>
        <v/>
      </c>
      <c r="I2168" s="6" t="str">
        <f t="shared" si="149"/>
        <v>0</v>
      </c>
    </row>
    <row r="2169" spans="1:11">
      <c r="A2169" t="s">
        <v>2724</v>
      </c>
      <c r="B2169" t="s">
        <v>2725</v>
      </c>
      <c r="E2169" t="str">
        <f t="shared" si="150"/>
        <v/>
      </c>
      <c r="G2169" s="5" t="str">
        <f t="shared" si="148"/>
        <v/>
      </c>
      <c r="I2169" s="6" t="str">
        <f t="shared" si="149"/>
        <v>0</v>
      </c>
    </row>
    <row r="2170" spans="1:11">
      <c r="A2170" t="s">
        <v>2726</v>
      </c>
      <c r="B2170" t="s">
        <v>309</v>
      </c>
      <c r="E2170" t="str">
        <f t="shared" si="150"/>
        <v/>
      </c>
      <c r="G2170" s="5" t="str">
        <f t="shared" si="148"/>
        <v/>
      </c>
      <c r="I2170" s="6" t="str">
        <f t="shared" si="149"/>
        <v>0</v>
      </c>
    </row>
    <row r="2171" spans="1:11">
      <c r="A2171" t="s">
        <v>2727</v>
      </c>
      <c r="B2171" t="s">
        <v>2728</v>
      </c>
      <c r="C2171" s="5" t="s">
        <v>5205</v>
      </c>
      <c r="G2171" s="5" t="str">
        <f t="shared" si="148"/>
        <v/>
      </c>
      <c r="I2171" s="6" t="str">
        <f t="shared" si="149"/>
        <v>0</v>
      </c>
      <c r="K2171" s="24" t="s">
        <v>5232</v>
      </c>
    </row>
    <row r="2172" spans="1:11">
      <c r="A2172" t="s">
        <v>2729</v>
      </c>
      <c r="B2172" t="s">
        <v>2729</v>
      </c>
      <c r="E2172" t="str">
        <f t="shared" ref="E2172:E2203" si="151">IF(D2172&lt;&gt;"",C2172&amp;"/"&amp;D2172,"")</f>
        <v/>
      </c>
      <c r="G2172" s="5" t="str">
        <f t="shared" si="148"/>
        <v/>
      </c>
      <c r="I2172" s="6" t="str">
        <f t="shared" si="149"/>
        <v>0</v>
      </c>
    </row>
    <row r="2173" spans="1:11">
      <c r="A2173" t="s">
        <v>2730</v>
      </c>
      <c r="B2173" t="s">
        <v>2731</v>
      </c>
      <c r="E2173" t="str">
        <f t="shared" si="151"/>
        <v/>
      </c>
      <c r="G2173" s="5" t="str">
        <f t="shared" si="148"/>
        <v/>
      </c>
      <c r="I2173" s="6" t="str">
        <f t="shared" si="149"/>
        <v>0</v>
      </c>
    </row>
    <row r="2174" spans="1:11">
      <c r="A2174" t="s">
        <v>2732</v>
      </c>
      <c r="B2174" t="s">
        <v>2733</v>
      </c>
      <c r="E2174" t="str">
        <f t="shared" si="151"/>
        <v/>
      </c>
      <c r="G2174" s="5" t="str">
        <f t="shared" si="148"/>
        <v/>
      </c>
      <c r="I2174" s="6" t="str">
        <f t="shared" si="149"/>
        <v>0</v>
      </c>
    </row>
    <row r="2175" spans="1:11">
      <c r="A2175" t="s">
        <v>2734</v>
      </c>
      <c r="B2175" t="s">
        <v>2735</v>
      </c>
      <c r="E2175" t="str">
        <f t="shared" si="151"/>
        <v/>
      </c>
      <c r="G2175" s="5" t="str">
        <f t="shared" si="148"/>
        <v/>
      </c>
      <c r="I2175" s="6" t="str">
        <f t="shared" si="149"/>
        <v>0</v>
      </c>
    </row>
    <row r="2176" spans="1:11">
      <c r="A2176" t="s">
        <v>2736</v>
      </c>
      <c r="B2176" t="s">
        <v>2737</v>
      </c>
      <c r="E2176" t="str">
        <f t="shared" si="151"/>
        <v/>
      </c>
      <c r="G2176" s="5" t="str">
        <f t="shared" si="148"/>
        <v/>
      </c>
      <c r="I2176" s="6" t="str">
        <f t="shared" si="149"/>
        <v>0</v>
      </c>
    </row>
    <row r="2177" spans="1:11">
      <c r="A2177" t="s">
        <v>2738</v>
      </c>
      <c r="B2177" t="s">
        <v>2739</v>
      </c>
      <c r="E2177" t="str">
        <f t="shared" si="151"/>
        <v/>
      </c>
      <c r="G2177" s="5" t="str">
        <f t="shared" si="148"/>
        <v/>
      </c>
      <c r="I2177" s="6" t="str">
        <f t="shared" si="149"/>
        <v>0</v>
      </c>
    </row>
    <row r="2178" spans="1:11">
      <c r="A2178" t="s">
        <v>2740</v>
      </c>
      <c r="B2178" t="s">
        <v>2741</v>
      </c>
      <c r="E2178" t="str">
        <f t="shared" si="151"/>
        <v/>
      </c>
      <c r="G2178" s="5" t="str">
        <f t="shared" ref="G2178:G2241" si="152">IF(F2178&lt;&gt;"",HEX2DEC(SUBSTITUTE(SUBSTITUTE(F2178,"adrEA",""),"$","")),"")</f>
        <v/>
      </c>
      <c r="I2178" s="6" t="str">
        <f t="shared" ref="I2178:I2241" si="153">IFERROR(DEC2HEX(H2178),"")</f>
        <v>0</v>
      </c>
    </row>
    <row r="2179" spans="1:11">
      <c r="A2179" t="s">
        <v>2742</v>
      </c>
      <c r="B2179" t="s">
        <v>2743</v>
      </c>
      <c r="E2179" t="str">
        <f t="shared" si="151"/>
        <v/>
      </c>
      <c r="G2179" s="5" t="str">
        <f t="shared" si="152"/>
        <v/>
      </c>
      <c r="I2179" s="6" t="str">
        <f t="shared" si="153"/>
        <v>0</v>
      </c>
    </row>
    <row r="2180" spans="1:11">
      <c r="A2180" t="s">
        <v>2744</v>
      </c>
      <c r="B2180" t="s">
        <v>2745</v>
      </c>
      <c r="E2180" t="str">
        <f t="shared" si="151"/>
        <v/>
      </c>
      <c r="G2180" s="5" t="str">
        <f t="shared" si="152"/>
        <v/>
      </c>
      <c r="I2180" s="6" t="str">
        <f t="shared" si="153"/>
        <v>0</v>
      </c>
    </row>
    <row r="2181" spans="1:11">
      <c r="A2181" t="s">
        <v>2746</v>
      </c>
      <c r="B2181" t="s">
        <v>2747</v>
      </c>
      <c r="E2181" t="str">
        <f t="shared" si="151"/>
        <v/>
      </c>
      <c r="G2181" s="5" t="str">
        <f t="shared" si="152"/>
        <v/>
      </c>
      <c r="I2181" s="6" t="str">
        <f t="shared" si="153"/>
        <v>0</v>
      </c>
    </row>
    <row r="2182" spans="1:11">
      <c r="A2182" t="s">
        <v>2748</v>
      </c>
      <c r="B2182" t="s">
        <v>2749</v>
      </c>
      <c r="E2182" t="str">
        <f t="shared" si="151"/>
        <v/>
      </c>
      <c r="G2182" s="5" t="str">
        <f t="shared" si="152"/>
        <v/>
      </c>
      <c r="I2182" s="6" t="str">
        <f t="shared" si="153"/>
        <v>0</v>
      </c>
    </row>
    <row r="2183" spans="1:11">
      <c r="A2183" t="s">
        <v>2750</v>
      </c>
      <c r="B2183" t="s">
        <v>2750</v>
      </c>
      <c r="E2183" t="str">
        <f t="shared" si="151"/>
        <v/>
      </c>
      <c r="G2183" s="5" t="str">
        <f t="shared" si="152"/>
        <v/>
      </c>
      <c r="I2183" s="6" t="str">
        <f t="shared" si="153"/>
        <v>0</v>
      </c>
    </row>
    <row r="2184" spans="1:11">
      <c r="A2184" t="s">
        <v>2751</v>
      </c>
      <c r="B2184" t="s">
        <v>6077</v>
      </c>
      <c r="G2184" s="5" t="str">
        <f t="shared" si="152"/>
        <v/>
      </c>
      <c r="I2184" s="6" t="str">
        <f t="shared" si="153"/>
        <v>0</v>
      </c>
      <c r="K2184" s="19" t="s">
        <v>6078</v>
      </c>
    </row>
    <row r="2185" spans="1:11">
      <c r="A2185" t="s">
        <v>2752</v>
      </c>
      <c r="B2185" t="s">
        <v>6079</v>
      </c>
      <c r="G2185" s="5" t="str">
        <f t="shared" si="152"/>
        <v/>
      </c>
      <c r="I2185" s="6" t="str">
        <f t="shared" si="153"/>
        <v>0</v>
      </c>
      <c r="K2185" s="19" t="s">
        <v>6080</v>
      </c>
    </row>
    <row r="2186" spans="1:11">
      <c r="A2186" t="s">
        <v>2753</v>
      </c>
      <c r="B2186" t="s">
        <v>309</v>
      </c>
      <c r="E2186" t="str">
        <f t="shared" si="151"/>
        <v/>
      </c>
      <c r="G2186" s="5" t="str">
        <f t="shared" si="152"/>
        <v/>
      </c>
      <c r="I2186" s="6" t="str">
        <f t="shared" si="153"/>
        <v>0</v>
      </c>
    </row>
    <row r="2187" spans="1:11">
      <c r="A2187" t="s">
        <v>2754</v>
      </c>
      <c r="B2187" t="s">
        <v>309</v>
      </c>
      <c r="E2187" t="str">
        <f t="shared" si="151"/>
        <v/>
      </c>
      <c r="G2187" s="5" t="str">
        <f t="shared" si="152"/>
        <v/>
      </c>
      <c r="I2187" s="6" t="str">
        <f t="shared" si="153"/>
        <v>0</v>
      </c>
    </row>
    <row r="2188" spans="1:11">
      <c r="A2188" t="s">
        <v>2755</v>
      </c>
      <c r="B2188" t="s">
        <v>309</v>
      </c>
      <c r="E2188" t="str">
        <f t="shared" si="151"/>
        <v/>
      </c>
      <c r="G2188" s="5" t="str">
        <f t="shared" si="152"/>
        <v/>
      </c>
      <c r="I2188" s="6" t="str">
        <f t="shared" si="153"/>
        <v>0</v>
      </c>
    </row>
    <row r="2189" spans="1:11">
      <c r="A2189" t="s">
        <v>2756</v>
      </c>
      <c r="B2189" t="s">
        <v>309</v>
      </c>
      <c r="E2189" t="str">
        <f t="shared" si="151"/>
        <v/>
      </c>
      <c r="G2189" s="5" t="str">
        <f t="shared" si="152"/>
        <v/>
      </c>
      <c r="I2189" s="6" t="str">
        <f t="shared" si="153"/>
        <v>0</v>
      </c>
    </row>
    <row r="2190" spans="1:11">
      <c r="A2190" t="s">
        <v>2757</v>
      </c>
      <c r="B2190" t="s">
        <v>309</v>
      </c>
      <c r="E2190" t="str">
        <f t="shared" si="151"/>
        <v/>
      </c>
      <c r="G2190" s="5" t="str">
        <f t="shared" si="152"/>
        <v/>
      </c>
      <c r="I2190" s="6" t="str">
        <f t="shared" si="153"/>
        <v>0</v>
      </c>
    </row>
    <row r="2191" spans="1:11">
      <c r="A2191" t="s">
        <v>2758</v>
      </c>
      <c r="B2191" t="s">
        <v>309</v>
      </c>
      <c r="E2191" t="str">
        <f t="shared" si="151"/>
        <v/>
      </c>
      <c r="G2191" s="5" t="str">
        <f t="shared" si="152"/>
        <v/>
      </c>
      <c r="I2191" s="6" t="str">
        <f t="shared" si="153"/>
        <v>0</v>
      </c>
    </row>
    <row r="2192" spans="1:11">
      <c r="A2192" t="s">
        <v>2759</v>
      </c>
      <c r="B2192" t="s">
        <v>309</v>
      </c>
      <c r="E2192" t="str">
        <f t="shared" si="151"/>
        <v/>
      </c>
      <c r="G2192" s="5" t="str">
        <f t="shared" si="152"/>
        <v/>
      </c>
      <c r="I2192" s="6" t="str">
        <f t="shared" si="153"/>
        <v>0</v>
      </c>
    </row>
    <row r="2193" spans="1:11">
      <c r="A2193" t="s">
        <v>2760</v>
      </c>
      <c r="B2193" t="s">
        <v>309</v>
      </c>
      <c r="E2193" t="str">
        <f t="shared" si="151"/>
        <v/>
      </c>
      <c r="G2193" s="5" t="str">
        <f t="shared" si="152"/>
        <v/>
      </c>
      <c r="I2193" s="6" t="str">
        <f t="shared" si="153"/>
        <v>0</v>
      </c>
    </row>
    <row r="2194" spans="1:11">
      <c r="A2194" t="s">
        <v>2761</v>
      </c>
      <c r="B2194" t="s">
        <v>309</v>
      </c>
      <c r="E2194" t="str">
        <f t="shared" si="151"/>
        <v/>
      </c>
      <c r="G2194" s="5" t="str">
        <f t="shared" si="152"/>
        <v/>
      </c>
      <c r="I2194" s="6" t="str">
        <f t="shared" si="153"/>
        <v>0</v>
      </c>
    </row>
    <row r="2195" spans="1:11">
      <c r="A2195" t="s">
        <v>2762</v>
      </c>
      <c r="B2195" t="s">
        <v>309</v>
      </c>
      <c r="E2195" t="str">
        <f t="shared" si="151"/>
        <v/>
      </c>
      <c r="G2195" s="5" t="str">
        <f t="shared" si="152"/>
        <v/>
      </c>
      <c r="I2195" s="6" t="str">
        <f t="shared" si="153"/>
        <v>0</v>
      </c>
    </row>
    <row r="2196" spans="1:11">
      <c r="A2196" t="s">
        <v>2763</v>
      </c>
      <c r="B2196" t="s">
        <v>309</v>
      </c>
      <c r="E2196" t="str">
        <f t="shared" si="151"/>
        <v/>
      </c>
      <c r="G2196" s="5" t="str">
        <f t="shared" si="152"/>
        <v/>
      </c>
      <c r="I2196" s="6" t="str">
        <f t="shared" si="153"/>
        <v>0</v>
      </c>
    </row>
    <row r="2197" spans="1:11">
      <c r="A2197" t="s">
        <v>2764</v>
      </c>
      <c r="B2197" t="s">
        <v>309</v>
      </c>
      <c r="E2197" t="str">
        <f t="shared" si="151"/>
        <v/>
      </c>
      <c r="G2197" s="5" t="str">
        <f t="shared" si="152"/>
        <v/>
      </c>
      <c r="I2197" s="6" t="str">
        <f t="shared" si="153"/>
        <v>0</v>
      </c>
    </row>
    <row r="2198" spans="1:11">
      <c r="A2198" t="s">
        <v>2765</v>
      </c>
      <c r="B2198" t="s">
        <v>309</v>
      </c>
      <c r="E2198" t="str">
        <f t="shared" si="151"/>
        <v/>
      </c>
      <c r="G2198" s="5" t="str">
        <f t="shared" si="152"/>
        <v/>
      </c>
      <c r="I2198" s="6" t="str">
        <f t="shared" si="153"/>
        <v>0</v>
      </c>
    </row>
    <row r="2199" spans="1:11">
      <c r="A2199" t="s">
        <v>2766</v>
      </c>
      <c r="B2199" t="s">
        <v>309</v>
      </c>
      <c r="E2199" t="str">
        <f t="shared" si="151"/>
        <v/>
      </c>
      <c r="G2199" s="5" t="str">
        <f t="shared" si="152"/>
        <v/>
      </c>
      <c r="I2199" s="6" t="str">
        <f t="shared" si="153"/>
        <v>0</v>
      </c>
    </row>
    <row r="2200" spans="1:11">
      <c r="A2200" t="s">
        <v>2767</v>
      </c>
      <c r="B2200" t="s">
        <v>309</v>
      </c>
      <c r="E2200" t="str">
        <f t="shared" si="151"/>
        <v/>
      </c>
      <c r="G2200" s="5" t="str">
        <f t="shared" si="152"/>
        <v/>
      </c>
      <c r="I2200" s="6" t="str">
        <f t="shared" si="153"/>
        <v>0</v>
      </c>
    </row>
    <row r="2201" spans="1:11">
      <c r="A2201" t="s">
        <v>2768</v>
      </c>
      <c r="B2201" t="s">
        <v>309</v>
      </c>
      <c r="E2201" t="str">
        <f t="shared" si="151"/>
        <v/>
      </c>
      <c r="G2201" s="5" t="str">
        <f t="shared" si="152"/>
        <v/>
      </c>
      <c r="I2201" s="6" t="str">
        <f t="shared" si="153"/>
        <v>0</v>
      </c>
    </row>
    <row r="2202" spans="1:11">
      <c r="A2202" t="s">
        <v>2769</v>
      </c>
      <c r="B2202" t="s">
        <v>2770</v>
      </c>
      <c r="E2202" t="str">
        <f t="shared" si="151"/>
        <v/>
      </c>
      <c r="G2202" s="5" t="str">
        <f t="shared" si="152"/>
        <v/>
      </c>
      <c r="I2202" s="6" t="str">
        <f t="shared" si="153"/>
        <v>0</v>
      </c>
    </row>
    <row r="2203" spans="1:11">
      <c r="A2203" t="s">
        <v>2771</v>
      </c>
      <c r="B2203" t="s">
        <v>2772</v>
      </c>
      <c r="E2203" t="str">
        <f t="shared" si="151"/>
        <v/>
      </c>
      <c r="G2203" s="5" t="str">
        <f t="shared" si="152"/>
        <v/>
      </c>
      <c r="I2203" s="6" t="str">
        <f t="shared" si="153"/>
        <v>0</v>
      </c>
    </row>
    <row r="2204" spans="1:11">
      <c r="A2204" t="s">
        <v>2773</v>
      </c>
      <c r="B2204" t="s">
        <v>5568</v>
      </c>
      <c r="G2204" s="5" t="str">
        <f t="shared" si="152"/>
        <v/>
      </c>
      <c r="I2204" s="6" t="str">
        <f t="shared" si="153"/>
        <v>0</v>
      </c>
      <c r="K2204" s="19" t="s">
        <v>5569</v>
      </c>
    </row>
    <row r="2205" spans="1:11">
      <c r="A2205" t="s">
        <v>2774</v>
      </c>
      <c r="B2205" t="s">
        <v>5570</v>
      </c>
      <c r="G2205" s="5" t="str">
        <f t="shared" si="152"/>
        <v/>
      </c>
      <c r="I2205" s="6" t="str">
        <f t="shared" si="153"/>
        <v>0</v>
      </c>
      <c r="K2205" s="19" t="s">
        <v>5571</v>
      </c>
    </row>
    <row r="2206" spans="1:11" ht="17" customHeight="1">
      <c r="A2206" t="s">
        <v>2775</v>
      </c>
      <c r="B2206" t="s">
        <v>5837</v>
      </c>
      <c r="G2206" s="5" t="str">
        <f t="shared" si="152"/>
        <v/>
      </c>
      <c r="I2206" s="6" t="str">
        <f t="shared" si="153"/>
        <v>0</v>
      </c>
      <c r="K2206" s="19" t="s">
        <v>5838</v>
      </c>
    </row>
    <row r="2207" spans="1:11">
      <c r="A2207" t="s">
        <v>2776</v>
      </c>
      <c r="B2207" t="s">
        <v>2777</v>
      </c>
      <c r="E2207" t="str">
        <f t="shared" ref="E2207:E2235" si="154">IF(D2207&lt;&gt;"",C2207&amp;"/"&amp;D2207,"")</f>
        <v/>
      </c>
      <c r="G2207" s="5" t="str">
        <f t="shared" si="152"/>
        <v/>
      </c>
      <c r="I2207" s="6" t="str">
        <f t="shared" si="153"/>
        <v>0</v>
      </c>
    </row>
    <row r="2208" spans="1:11">
      <c r="A2208" t="s">
        <v>2778</v>
      </c>
      <c r="B2208" t="s">
        <v>2779</v>
      </c>
      <c r="E2208" t="str">
        <f t="shared" si="154"/>
        <v/>
      </c>
      <c r="G2208" s="5" t="str">
        <f t="shared" si="152"/>
        <v/>
      </c>
      <c r="I2208" s="6" t="str">
        <f t="shared" si="153"/>
        <v>0</v>
      </c>
    </row>
    <row r="2209" spans="1:9">
      <c r="A2209" t="s">
        <v>2780</v>
      </c>
      <c r="B2209" t="s">
        <v>2781</v>
      </c>
      <c r="E2209" t="str">
        <f t="shared" si="154"/>
        <v/>
      </c>
      <c r="G2209" s="5" t="str">
        <f t="shared" si="152"/>
        <v/>
      </c>
      <c r="I2209" s="6" t="str">
        <f t="shared" si="153"/>
        <v>0</v>
      </c>
    </row>
    <row r="2210" spans="1:9">
      <c r="A2210" t="s">
        <v>2782</v>
      </c>
      <c r="B2210" t="s">
        <v>2783</v>
      </c>
      <c r="E2210" t="str">
        <f t="shared" si="154"/>
        <v/>
      </c>
      <c r="G2210" s="5" t="str">
        <f t="shared" si="152"/>
        <v/>
      </c>
      <c r="I2210" s="6" t="str">
        <f t="shared" si="153"/>
        <v>0</v>
      </c>
    </row>
    <row r="2211" spans="1:9">
      <c r="A2211" t="s">
        <v>2784</v>
      </c>
      <c r="B2211" t="s">
        <v>2785</v>
      </c>
      <c r="E2211" t="str">
        <f t="shared" si="154"/>
        <v/>
      </c>
      <c r="G2211" s="5" t="str">
        <f t="shared" si="152"/>
        <v/>
      </c>
      <c r="I2211" s="6" t="str">
        <f t="shared" si="153"/>
        <v>0</v>
      </c>
    </row>
    <row r="2212" spans="1:9">
      <c r="A2212" t="s">
        <v>2786</v>
      </c>
      <c r="B2212" t="s">
        <v>2787</v>
      </c>
      <c r="E2212" t="str">
        <f t="shared" si="154"/>
        <v/>
      </c>
      <c r="G2212" s="5" t="str">
        <f t="shared" si="152"/>
        <v/>
      </c>
      <c r="I2212" s="6" t="str">
        <f t="shared" si="153"/>
        <v>0</v>
      </c>
    </row>
    <row r="2213" spans="1:9">
      <c r="A2213" t="s">
        <v>2788</v>
      </c>
      <c r="B2213" t="s">
        <v>2789</v>
      </c>
      <c r="E2213" t="str">
        <f t="shared" si="154"/>
        <v/>
      </c>
      <c r="G2213" s="5" t="str">
        <f t="shared" si="152"/>
        <v/>
      </c>
      <c r="I2213" s="6" t="str">
        <f t="shared" si="153"/>
        <v>0</v>
      </c>
    </row>
    <row r="2214" spans="1:9">
      <c r="A2214" t="s">
        <v>2790</v>
      </c>
      <c r="B2214" t="s">
        <v>2791</v>
      </c>
      <c r="E2214" t="str">
        <f t="shared" si="154"/>
        <v/>
      </c>
      <c r="G2214" s="5" t="str">
        <f t="shared" si="152"/>
        <v/>
      </c>
      <c r="I2214" s="6" t="str">
        <f t="shared" si="153"/>
        <v>0</v>
      </c>
    </row>
    <row r="2215" spans="1:9">
      <c r="A2215" t="s">
        <v>2792</v>
      </c>
      <c r="B2215" t="s">
        <v>2793</v>
      </c>
      <c r="E2215" t="str">
        <f t="shared" si="154"/>
        <v/>
      </c>
      <c r="G2215" s="5" t="str">
        <f t="shared" si="152"/>
        <v/>
      </c>
      <c r="I2215" s="6" t="str">
        <f t="shared" si="153"/>
        <v>0</v>
      </c>
    </row>
    <row r="2216" spans="1:9">
      <c r="A2216" t="s">
        <v>2794</v>
      </c>
      <c r="B2216" t="s">
        <v>2795</v>
      </c>
      <c r="E2216" t="str">
        <f t="shared" si="154"/>
        <v/>
      </c>
      <c r="G2216" s="5" t="str">
        <f t="shared" si="152"/>
        <v/>
      </c>
      <c r="I2216" s="6" t="str">
        <f t="shared" si="153"/>
        <v>0</v>
      </c>
    </row>
    <row r="2217" spans="1:9">
      <c r="A2217" t="s">
        <v>2796</v>
      </c>
      <c r="B2217" t="s">
        <v>2797</v>
      </c>
      <c r="E2217" t="str">
        <f t="shared" si="154"/>
        <v/>
      </c>
      <c r="G2217" s="5" t="str">
        <f t="shared" si="152"/>
        <v/>
      </c>
      <c r="I2217" s="6" t="str">
        <f t="shared" si="153"/>
        <v>0</v>
      </c>
    </row>
    <row r="2218" spans="1:9">
      <c r="A2218" t="s">
        <v>2798</v>
      </c>
      <c r="B2218" t="s">
        <v>2799</v>
      </c>
      <c r="E2218" t="str">
        <f t="shared" si="154"/>
        <v/>
      </c>
      <c r="G2218" s="5" t="str">
        <f t="shared" si="152"/>
        <v/>
      </c>
      <c r="I2218" s="6" t="str">
        <f t="shared" si="153"/>
        <v>0</v>
      </c>
    </row>
    <row r="2219" spans="1:9">
      <c r="A2219" t="s">
        <v>2800</v>
      </c>
      <c r="B2219" t="s">
        <v>2801</v>
      </c>
      <c r="E2219" t="str">
        <f t="shared" si="154"/>
        <v/>
      </c>
      <c r="G2219" s="5" t="str">
        <f t="shared" si="152"/>
        <v/>
      </c>
      <c r="I2219" s="6" t="str">
        <f t="shared" si="153"/>
        <v>0</v>
      </c>
    </row>
    <row r="2220" spans="1:9">
      <c r="A2220" t="s">
        <v>2802</v>
      </c>
      <c r="B2220" t="s">
        <v>2803</v>
      </c>
      <c r="E2220" t="str">
        <f t="shared" si="154"/>
        <v/>
      </c>
      <c r="G2220" s="5" t="str">
        <f t="shared" si="152"/>
        <v/>
      </c>
      <c r="I2220" s="6" t="str">
        <f t="shared" si="153"/>
        <v>0</v>
      </c>
    </row>
    <row r="2221" spans="1:9">
      <c r="A2221" t="s">
        <v>2804</v>
      </c>
      <c r="B2221" t="s">
        <v>309</v>
      </c>
      <c r="E2221" t="str">
        <f t="shared" si="154"/>
        <v/>
      </c>
      <c r="G2221" s="5" t="str">
        <f t="shared" si="152"/>
        <v/>
      </c>
      <c r="I2221" s="6" t="str">
        <f t="shared" si="153"/>
        <v>0</v>
      </c>
    </row>
    <row r="2222" spans="1:9">
      <c r="A2222" t="s">
        <v>2805</v>
      </c>
      <c r="B2222" t="s">
        <v>309</v>
      </c>
      <c r="E2222" t="str">
        <f t="shared" si="154"/>
        <v/>
      </c>
      <c r="G2222" s="5" t="str">
        <f t="shared" si="152"/>
        <v/>
      </c>
      <c r="I2222" s="6" t="str">
        <f t="shared" si="153"/>
        <v>0</v>
      </c>
    </row>
    <row r="2223" spans="1:9">
      <c r="A2223" t="s">
        <v>2806</v>
      </c>
      <c r="B2223" t="s">
        <v>2807</v>
      </c>
      <c r="E2223" t="str">
        <f t="shared" si="154"/>
        <v/>
      </c>
      <c r="G2223" s="5" t="str">
        <f t="shared" si="152"/>
        <v/>
      </c>
      <c r="I2223" s="6" t="str">
        <f t="shared" si="153"/>
        <v>0</v>
      </c>
    </row>
    <row r="2224" spans="1:9">
      <c r="A2224" t="s">
        <v>2808</v>
      </c>
      <c r="B2224" t="s">
        <v>2809</v>
      </c>
      <c r="E2224" t="str">
        <f t="shared" si="154"/>
        <v/>
      </c>
      <c r="G2224" s="5" t="str">
        <f t="shared" si="152"/>
        <v/>
      </c>
      <c r="I2224" s="6" t="str">
        <f t="shared" si="153"/>
        <v>0</v>
      </c>
    </row>
    <row r="2225" spans="1:11">
      <c r="A2225" t="s">
        <v>2810</v>
      </c>
      <c r="B2225" t="s">
        <v>2811</v>
      </c>
      <c r="E2225" t="str">
        <f t="shared" si="154"/>
        <v/>
      </c>
      <c r="G2225" s="5" t="str">
        <f t="shared" si="152"/>
        <v/>
      </c>
      <c r="I2225" s="6" t="str">
        <f t="shared" si="153"/>
        <v>0</v>
      </c>
    </row>
    <row r="2226" spans="1:11">
      <c r="A2226" t="s">
        <v>2812</v>
      </c>
      <c r="B2226" t="s">
        <v>2813</v>
      </c>
      <c r="E2226" t="str">
        <f t="shared" si="154"/>
        <v/>
      </c>
      <c r="G2226" s="5" t="str">
        <f t="shared" si="152"/>
        <v/>
      </c>
      <c r="I2226" s="6" t="str">
        <f t="shared" si="153"/>
        <v>0</v>
      </c>
    </row>
    <row r="2227" spans="1:11">
      <c r="A2227" t="s">
        <v>2814</v>
      </c>
      <c r="B2227" t="s">
        <v>309</v>
      </c>
      <c r="E2227" t="str">
        <f t="shared" si="154"/>
        <v/>
      </c>
      <c r="G2227" s="5" t="str">
        <f t="shared" si="152"/>
        <v/>
      </c>
      <c r="I2227" s="6" t="str">
        <f t="shared" si="153"/>
        <v>0</v>
      </c>
    </row>
    <row r="2228" spans="1:11">
      <c r="A2228" t="s">
        <v>2815</v>
      </c>
      <c r="B2228" t="s">
        <v>309</v>
      </c>
      <c r="E2228" t="str">
        <f t="shared" si="154"/>
        <v/>
      </c>
      <c r="G2228" s="5" t="str">
        <f t="shared" si="152"/>
        <v/>
      </c>
      <c r="I2228" s="6" t="str">
        <f t="shared" si="153"/>
        <v>0</v>
      </c>
    </row>
    <row r="2229" spans="1:11">
      <c r="A2229" t="s">
        <v>2816</v>
      </c>
      <c r="B2229" t="s">
        <v>2817</v>
      </c>
      <c r="E2229" t="str">
        <f t="shared" si="154"/>
        <v/>
      </c>
      <c r="G2229" s="5" t="str">
        <f t="shared" si="152"/>
        <v/>
      </c>
      <c r="I2229" s="6" t="str">
        <f t="shared" si="153"/>
        <v>0</v>
      </c>
    </row>
    <row r="2230" spans="1:11">
      <c r="A2230" t="s">
        <v>2818</v>
      </c>
      <c r="E2230" t="str">
        <f t="shared" si="154"/>
        <v/>
      </c>
      <c r="G2230" s="5" t="str">
        <f t="shared" si="152"/>
        <v/>
      </c>
      <c r="I2230" s="6" t="str">
        <f t="shared" si="153"/>
        <v>0</v>
      </c>
    </row>
    <row r="2231" spans="1:11">
      <c r="A2231" t="s">
        <v>2819</v>
      </c>
      <c r="B2231" t="s">
        <v>5572</v>
      </c>
      <c r="G2231" s="5" t="str">
        <f t="shared" si="152"/>
        <v/>
      </c>
      <c r="I2231" s="6" t="str">
        <f t="shared" si="153"/>
        <v>0</v>
      </c>
      <c r="K2231" s="19" t="s">
        <v>5573</v>
      </c>
    </row>
    <row r="2232" spans="1:11">
      <c r="A2232" t="s">
        <v>2820</v>
      </c>
      <c r="B2232" t="s">
        <v>5574</v>
      </c>
      <c r="G2232" s="5" t="str">
        <f t="shared" si="152"/>
        <v/>
      </c>
      <c r="I2232" s="6" t="str">
        <f t="shared" si="153"/>
        <v>0</v>
      </c>
      <c r="K2232" s="19" t="s">
        <v>5575</v>
      </c>
    </row>
    <row r="2233" spans="1:11">
      <c r="A2233" t="s">
        <v>2821</v>
      </c>
      <c r="B2233" t="s">
        <v>309</v>
      </c>
      <c r="E2233" t="str">
        <f t="shared" si="154"/>
        <v/>
      </c>
      <c r="G2233" s="5" t="str">
        <f t="shared" si="152"/>
        <v/>
      </c>
      <c r="I2233" s="6" t="str">
        <f t="shared" si="153"/>
        <v>0</v>
      </c>
    </row>
    <row r="2234" spans="1:11">
      <c r="A2234" t="s">
        <v>2822</v>
      </c>
      <c r="B2234" t="s">
        <v>309</v>
      </c>
      <c r="E2234" t="str">
        <f t="shared" si="154"/>
        <v/>
      </c>
      <c r="G2234" s="5" t="str">
        <f t="shared" si="152"/>
        <v/>
      </c>
      <c r="I2234" s="6" t="str">
        <f t="shared" si="153"/>
        <v>0</v>
      </c>
    </row>
    <row r="2235" spans="1:11">
      <c r="A2235" t="s">
        <v>2823</v>
      </c>
      <c r="B2235" t="s">
        <v>309</v>
      </c>
      <c r="E2235" t="str">
        <f t="shared" si="154"/>
        <v/>
      </c>
      <c r="G2235" s="5" t="str">
        <f t="shared" si="152"/>
        <v/>
      </c>
      <c r="I2235" s="6" t="str">
        <f t="shared" si="153"/>
        <v>0</v>
      </c>
    </row>
    <row r="2236" spans="1:11">
      <c r="A2236" t="s">
        <v>2824</v>
      </c>
      <c r="B2236" t="s">
        <v>309</v>
      </c>
      <c r="E2236" t="str">
        <f t="shared" ref="E2236:E2266" si="155">IF(D2236&lt;&gt;"",C2236&amp;"/"&amp;D2236,"")</f>
        <v/>
      </c>
      <c r="G2236" s="5" t="str">
        <f t="shared" si="152"/>
        <v/>
      </c>
      <c r="I2236" s="6" t="str">
        <f t="shared" si="153"/>
        <v>0</v>
      </c>
    </row>
    <row r="2237" spans="1:11">
      <c r="A2237" t="s">
        <v>2825</v>
      </c>
      <c r="B2237" t="s">
        <v>6081</v>
      </c>
      <c r="G2237" s="5" t="str">
        <f t="shared" si="152"/>
        <v/>
      </c>
      <c r="I2237" s="6" t="str">
        <f t="shared" si="153"/>
        <v>0</v>
      </c>
      <c r="K2237" s="19" t="s">
        <v>6082</v>
      </c>
    </row>
    <row r="2238" spans="1:11">
      <c r="A2238" t="s">
        <v>2826</v>
      </c>
      <c r="B2238" t="s">
        <v>6083</v>
      </c>
      <c r="G2238" s="5" t="str">
        <f t="shared" si="152"/>
        <v/>
      </c>
      <c r="I2238" s="6" t="str">
        <f t="shared" si="153"/>
        <v>0</v>
      </c>
      <c r="K2238" s="19" t="s">
        <v>6084</v>
      </c>
    </row>
    <row r="2239" spans="1:11">
      <c r="A2239" t="s">
        <v>2827</v>
      </c>
      <c r="B2239" t="s">
        <v>6085</v>
      </c>
      <c r="G2239" s="5" t="str">
        <f t="shared" si="152"/>
        <v/>
      </c>
      <c r="I2239" s="6" t="str">
        <f t="shared" si="153"/>
        <v>0</v>
      </c>
      <c r="K2239" s="19" t="s">
        <v>6086</v>
      </c>
    </row>
    <row r="2240" spans="1:11">
      <c r="A2240" t="s">
        <v>2828</v>
      </c>
      <c r="B2240" t="s">
        <v>6087</v>
      </c>
      <c r="G2240" s="5" t="str">
        <f t="shared" si="152"/>
        <v/>
      </c>
      <c r="I2240" s="6" t="str">
        <f t="shared" si="153"/>
        <v>0</v>
      </c>
      <c r="K2240" s="19" t="s">
        <v>6088</v>
      </c>
    </row>
    <row r="2241" spans="1:11">
      <c r="A2241" t="s">
        <v>2829</v>
      </c>
      <c r="B2241" t="s">
        <v>2830</v>
      </c>
      <c r="E2241" t="str">
        <f t="shared" si="155"/>
        <v/>
      </c>
      <c r="G2241" s="5" t="str">
        <f t="shared" si="152"/>
        <v/>
      </c>
      <c r="I2241" s="6" t="str">
        <f t="shared" si="153"/>
        <v>0</v>
      </c>
    </row>
    <row r="2242" spans="1:11">
      <c r="A2242" t="s">
        <v>2831</v>
      </c>
      <c r="B2242" t="s">
        <v>2832</v>
      </c>
      <c r="E2242" t="str">
        <f t="shared" si="155"/>
        <v/>
      </c>
      <c r="G2242" s="5" t="str">
        <f t="shared" ref="G2242:G2305" si="156">IF(F2242&lt;&gt;"",HEX2DEC(SUBSTITUTE(SUBSTITUTE(F2242,"adrEA",""),"$","")),"")</f>
        <v/>
      </c>
      <c r="I2242" s="6" t="str">
        <f t="shared" ref="I2242:I2305" si="157">IFERROR(DEC2HEX(H2242),"")</f>
        <v>0</v>
      </c>
    </row>
    <row r="2243" spans="1:11">
      <c r="A2243" t="s">
        <v>2833</v>
      </c>
      <c r="B2243" t="s">
        <v>2834</v>
      </c>
      <c r="E2243" t="str">
        <f t="shared" si="155"/>
        <v/>
      </c>
      <c r="G2243" s="5" t="str">
        <f t="shared" si="156"/>
        <v/>
      </c>
      <c r="I2243" s="6" t="str">
        <f t="shared" si="157"/>
        <v>0</v>
      </c>
    </row>
    <row r="2244" spans="1:11">
      <c r="A2244" t="s">
        <v>2835</v>
      </c>
      <c r="B2244" t="s">
        <v>2835</v>
      </c>
      <c r="E2244" t="str">
        <f t="shared" si="155"/>
        <v/>
      </c>
      <c r="G2244" s="5" t="str">
        <f t="shared" si="156"/>
        <v/>
      </c>
      <c r="I2244" s="6" t="str">
        <f t="shared" si="157"/>
        <v>0</v>
      </c>
    </row>
    <row r="2245" spans="1:11">
      <c r="A2245" t="s">
        <v>2836</v>
      </c>
      <c r="B2245" t="s">
        <v>305</v>
      </c>
      <c r="E2245" t="str">
        <f t="shared" si="155"/>
        <v/>
      </c>
      <c r="G2245" s="5" t="str">
        <f t="shared" si="156"/>
        <v/>
      </c>
      <c r="I2245" s="6" t="str">
        <f t="shared" si="157"/>
        <v>0</v>
      </c>
    </row>
    <row r="2246" spans="1:11">
      <c r="A2246" t="s">
        <v>2837</v>
      </c>
      <c r="B2246" t="s">
        <v>2837</v>
      </c>
      <c r="E2246" t="str">
        <f t="shared" si="155"/>
        <v/>
      </c>
      <c r="G2246" s="5" t="str">
        <f t="shared" si="156"/>
        <v/>
      </c>
      <c r="I2246" s="6" t="str">
        <f t="shared" si="157"/>
        <v>0</v>
      </c>
    </row>
    <row r="2247" spans="1:11">
      <c r="A2247" t="s">
        <v>2838</v>
      </c>
      <c r="B2247" t="s">
        <v>2838</v>
      </c>
      <c r="E2247" t="str">
        <f t="shared" si="155"/>
        <v/>
      </c>
      <c r="G2247" s="5" t="str">
        <f t="shared" si="156"/>
        <v/>
      </c>
      <c r="I2247" s="6" t="str">
        <f t="shared" si="157"/>
        <v>0</v>
      </c>
    </row>
    <row r="2248" spans="1:11">
      <c r="A2248" t="s">
        <v>2839</v>
      </c>
      <c r="B2248" t="s">
        <v>2839</v>
      </c>
      <c r="E2248" t="str">
        <f t="shared" si="155"/>
        <v/>
      </c>
      <c r="G2248" s="5" t="str">
        <f t="shared" si="156"/>
        <v/>
      </c>
      <c r="I2248" s="6" t="str">
        <f t="shared" si="157"/>
        <v>0</v>
      </c>
    </row>
    <row r="2249" spans="1:11">
      <c r="A2249" t="s">
        <v>2840</v>
      </c>
      <c r="B2249" t="s">
        <v>2840</v>
      </c>
      <c r="E2249" t="str">
        <f t="shared" si="155"/>
        <v/>
      </c>
      <c r="G2249" s="5" t="str">
        <f t="shared" si="156"/>
        <v/>
      </c>
      <c r="I2249" s="6" t="str">
        <f t="shared" si="157"/>
        <v>0</v>
      </c>
    </row>
    <row r="2250" spans="1:11">
      <c r="A2250" t="s">
        <v>2841</v>
      </c>
      <c r="B2250" t="s">
        <v>2841</v>
      </c>
      <c r="E2250" t="str">
        <f t="shared" si="155"/>
        <v/>
      </c>
      <c r="G2250" s="5" t="str">
        <f t="shared" si="156"/>
        <v/>
      </c>
      <c r="I2250" s="6" t="str">
        <f t="shared" si="157"/>
        <v>0</v>
      </c>
    </row>
    <row r="2251" spans="1:11">
      <c r="A2251" t="s">
        <v>2842</v>
      </c>
      <c r="B2251" t="s">
        <v>2843</v>
      </c>
      <c r="E2251" t="str">
        <f t="shared" si="155"/>
        <v/>
      </c>
      <c r="G2251" s="5" t="str">
        <f t="shared" si="156"/>
        <v/>
      </c>
      <c r="I2251" s="6" t="str">
        <f t="shared" si="157"/>
        <v>0</v>
      </c>
    </row>
    <row r="2252" spans="1:11">
      <c r="A2252" t="s">
        <v>2844</v>
      </c>
      <c r="B2252" t="s">
        <v>2844</v>
      </c>
      <c r="E2252" t="str">
        <f t="shared" si="155"/>
        <v/>
      </c>
      <c r="G2252" s="5" t="str">
        <f t="shared" si="156"/>
        <v/>
      </c>
      <c r="I2252" s="6" t="str">
        <f t="shared" si="157"/>
        <v>0</v>
      </c>
    </row>
    <row r="2253" spans="1:11">
      <c r="A2253" t="s">
        <v>2845</v>
      </c>
      <c r="B2253" t="s">
        <v>2845</v>
      </c>
      <c r="E2253" t="str">
        <f t="shared" si="155"/>
        <v/>
      </c>
      <c r="G2253" s="5" t="str">
        <f t="shared" si="156"/>
        <v/>
      </c>
      <c r="I2253" s="6" t="str">
        <f t="shared" si="157"/>
        <v>0</v>
      </c>
    </row>
    <row r="2254" spans="1:11">
      <c r="A2254" t="s">
        <v>2846</v>
      </c>
      <c r="B2254" t="s">
        <v>2846</v>
      </c>
      <c r="E2254" t="str">
        <f t="shared" si="155"/>
        <v/>
      </c>
      <c r="G2254" s="5" t="str">
        <f t="shared" si="156"/>
        <v/>
      </c>
      <c r="I2254" s="6" t="str">
        <f t="shared" si="157"/>
        <v>0</v>
      </c>
    </row>
    <row r="2255" spans="1:11">
      <c r="A2255" t="s">
        <v>2847</v>
      </c>
      <c r="B2255" t="s">
        <v>5611</v>
      </c>
      <c r="G2255" s="5" t="str">
        <f t="shared" si="156"/>
        <v/>
      </c>
      <c r="I2255" s="6" t="str">
        <f t="shared" si="157"/>
        <v>0</v>
      </c>
      <c r="K2255" s="19" t="s">
        <v>5612</v>
      </c>
    </row>
    <row r="2256" spans="1:11">
      <c r="A2256" t="s">
        <v>2848</v>
      </c>
      <c r="B2256" t="s">
        <v>2848</v>
      </c>
      <c r="E2256" t="str">
        <f t="shared" si="155"/>
        <v/>
      </c>
      <c r="G2256" s="5" t="str">
        <f t="shared" si="156"/>
        <v/>
      </c>
      <c r="I2256" s="6" t="str">
        <f t="shared" si="157"/>
        <v>0</v>
      </c>
    </row>
    <row r="2257" spans="1:11">
      <c r="A2257" t="s">
        <v>2849</v>
      </c>
      <c r="E2257" t="str">
        <f t="shared" si="155"/>
        <v/>
      </c>
      <c r="G2257" s="5" t="str">
        <f t="shared" si="156"/>
        <v/>
      </c>
      <c r="I2257" s="6" t="str">
        <f t="shared" si="157"/>
        <v>0</v>
      </c>
    </row>
    <row r="2258" spans="1:11">
      <c r="A2258" t="s">
        <v>2850</v>
      </c>
      <c r="B2258" t="s">
        <v>309</v>
      </c>
      <c r="E2258" t="str">
        <f t="shared" si="155"/>
        <v/>
      </c>
      <c r="G2258" s="5" t="str">
        <f t="shared" si="156"/>
        <v/>
      </c>
      <c r="I2258" s="6" t="str">
        <f t="shared" si="157"/>
        <v>0</v>
      </c>
    </row>
    <row r="2259" spans="1:11">
      <c r="A2259" t="s">
        <v>2851</v>
      </c>
      <c r="B2259" t="s">
        <v>309</v>
      </c>
      <c r="E2259" t="str">
        <f t="shared" si="155"/>
        <v/>
      </c>
      <c r="G2259" s="5" t="str">
        <f t="shared" si="156"/>
        <v/>
      </c>
      <c r="I2259" s="6" t="str">
        <f t="shared" si="157"/>
        <v>0</v>
      </c>
    </row>
    <row r="2260" spans="1:11">
      <c r="A2260" t="s">
        <v>2852</v>
      </c>
      <c r="B2260" t="s">
        <v>309</v>
      </c>
      <c r="E2260" t="str">
        <f t="shared" si="155"/>
        <v/>
      </c>
      <c r="G2260" s="5" t="str">
        <f t="shared" si="156"/>
        <v/>
      </c>
      <c r="I2260" s="6" t="str">
        <f t="shared" si="157"/>
        <v>0</v>
      </c>
    </row>
    <row r="2261" spans="1:11">
      <c r="A2261" t="s">
        <v>2853</v>
      </c>
      <c r="B2261" t="s">
        <v>309</v>
      </c>
      <c r="E2261" t="str">
        <f t="shared" si="155"/>
        <v/>
      </c>
      <c r="G2261" s="5" t="str">
        <f t="shared" si="156"/>
        <v/>
      </c>
      <c r="I2261" s="6" t="str">
        <f t="shared" si="157"/>
        <v>0</v>
      </c>
    </row>
    <row r="2262" spans="1:11">
      <c r="A2262" t="s">
        <v>2854</v>
      </c>
      <c r="B2262" t="s">
        <v>309</v>
      </c>
      <c r="E2262" t="str">
        <f t="shared" si="155"/>
        <v/>
      </c>
      <c r="G2262" s="5" t="str">
        <f t="shared" si="156"/>
        <v/>
      </c>
      <c r="I2262" s="6" t="str">
        <f t="shared" si="157"/>
        <v>0</v>
      </c>
    </row>
    <row r="2263" spans="1:11">
      <c r="A2263" t="s">
        <v>2855</v>
      </c>
      <c r="B2263" t="s">
        <v>2855</v>
      </c>
      <c r="E2263" t="str">
        <f t="shared" si="155"/>
        <v/>
      </c>
      <c r="G2263" s="5" t="str">
        <f t="shared" si="156"/>
        <v/>
      </c>
      <c r="I2263" s="6" t="str">
        <f t="shared" si="157"/>
        <v>0</v>
      </c>
    </row>
    <row r="2264" spans="1:11">
      <c r="A2264" t="s">
        <v>2856</v>
      </c>
      <c r="B2264" t="s">
        <v>2856</v>
      </c>
      <c r="E2264" t="str">
        <f t="shared" si="155"/>
        <v/>
      </c>
      <c r="G2264" s="5" t="str">
        <f t="shared" si="156"/>
        <v/>
      </c>
      <c r="I2264" s="6" t="str">
        <f t="shared" si="157"/>
        <v>0</v>
      </c>
    </row>
    <row r="2265" spans="1:11">
      <c r="A2265" t="s">
        <v>2858</v>
      </c>
      <c r="B2265" t="s">
        <v>3944</v>
      </c>
      <c r="E2265" t="str">
        <f t="shared" si="155"/>
        <v/>
      </c>
      <c r="G2265" s="5" t="str">
        <f t="shared" si="156"/>
        <v/>
      </c>
      <c r="I2265" s="6" t="str">
        <f t="shared" si="157"/>
        <v>0</v>
      </c>
    </row>
    <row r="2266" spans="1:11">
      <c r="A2266" t="s">
        <v>2859</v>
      </c>
      <c r="B2266" t="s">
        <v>3945</v>
      </c>
      <c r="E2266" t="str">
        <f t="shared" si="155"/>
        <v/>
      </c>
      <c r="G2266" s="5" t="str">
        <f t="shared" si="156"/>
        <v/>
      </c>
      <c r="I2266" s="6" t="str">
        <f t="shared" si="157"/>
        <v>0</v>
      </c>
    </row>
    <row r="2267" spans="1:11" ht="17">
      <c r="A2267" t="s">
        <v>2860</v>
      </c>
      <c r="B2267" t="s">
        <v>3879</v>
      </c>
      <c r="C2267" s="5" t="s">
        <v>48</v>
      </c>
      <c r="D2267" t="s">
        <v>3881</v>
      </c>
      <c r="E2267" t="s">
        <v>3882</v>
      </c>
      <c r="F2267" s="5" t="s">
        <v>3880</v>
      </c>
      <c r="G2267" s="5">
        <f t="shared" si="156"/>
        <v>57662</v>
      </c>
      <c r="H2267" s="5">
        <v>440</v>
      </c>
      <c r="I2267" s="6" t="str">
        <f t="shared" si="157"/>
        <v>1B8</v>
      </c>
      <c r="K2267" s="19" t="s">
        <v>3883</v>
      </c>
    </row>
    <row r="2268" spans="1:11" ht="17">
      <c r="A2268" t="s">
        <v>2861</v>
      </c>
      <c r="B2268" t="s">
        <v>3884</v>
      </c>
      <c r="G2268" s="5" t="str">
        <f t="shared" si="156"/>
        <v/>
      </c>
      <c r="I2268" s="6" t="str">
        <f t="shared" si="157"/>
        <v>0</v>
      </c>
      <c r="K2268" s="19" t="s">
        <v>3885</v>
      </c>
    </row>
    <row r="2269" spans="1:11" ht="17">
      <c r="A2269" t="s">
        <v>2862</v>
      </c>
      <c r="B2269" t="s">
        <v>3886</v>
      </c>
      <c r="G2269" s="5" t="str">
        <f t="shared" si="156"/>
        <v/>
      </c>
      <c r="I2269" s="6" t="str">
        <f t="shared" si="157"/>
        <v>0</v>
      </c>
      <c r="K2269" s="19" t="s">
        <v>3887</v>
      </c>
    </row>
    <row r="2270" spans="1:11">
      <c r="A2270" t="s">
        <v>2868</v>
      </c>
      <c r="B2270" t="s">
        <v>6089</v>
      </c>
      <c r="G2270" s="5" t="str">
        <f t="shared" si="156"/>
        <v/>
      </c>
      <c r="I2270" s="6" t="str">
        <f t="shared" si="157"/>
        <v>0</v>
      </c>
      <c r="K2270" s="19" t="s">
        <v>6090</v>
      </c>
    </row>
    <row r="2271" spans="1:11">
      <c r="A2271" t="s">
        <v>2869</v>
      </c>
      <c r="B2271" t="s">
        <v>2870</v>
      </c>
      <c r="E2271" t="str">
        <f>IF(D2271&lt;&gt;"",C2271&amp;"/"&amp;D2271,"")</f>
        <v/>
      </c>
      <c r="G2271" s="5" t="str">
        <f t="shared" si="156"/>
        <v/>
      </c>
      <c r="I2271" s="6" t="str">
        <f t="shared" si="157"/>
        <v>0</v>
      </c>
    </row>
    <row r="2272" spans="1:11" ht="17">
      <c r="A2272" t="s">
        <v>2871</v>
      </c>
      <c r="B2272" s="17" t="s">
        <v>3763</v>
      </c>
      <c r="C2272" s="5" t="s">
        <v>48</v>
      </c>
      <c r="D2272" s="17" t="s">
        <v>3764</v>
      </c>
      <c r="E2272" t="s">
        <v>3765</v>
      </c>
      <c r="F2272" s="16" t="s">
        <v>3766</v>
      </c>
      <c r="G2272" s="5">
        <f t="shared" si="156"/>
        <v>58980</v>
      </c>
      <c r="H2272" s="5">
        <v>24</v>
      </c>
      <c r="I2272" s="6" t="str">
        <f t="shared" si="157"/>
        <v>18</v>
      </c>
      <c r="K2272" s="19" t="s">
        <v>3767</v>
      </c>
    </row>
    <row r="2273" spans="1:11">
      <c r="A2273" t="s">
        <v>2872</v>
      </c>
      <c r="B2273" t="s">
        <v>6091</v>
      </c>
      <c r="G2273" s="5" t="str">
        <f t="shared" si="156"/>
        <v/>
      </c>
      <c r="I2273" s="6" t="str">
        <f t="shared" si="157"/>
        <v>0</v>
      </c>
      <c r="K2273" s="19" t="s">
        <v>6092</v>
      </c>
    </row>
    <row r="2274" spans="1:11">
      <c r="A2274" t="s">
        <v>2873</v>
      </c>
      <c r="B2274" t="s">
        <v>6093</v>
      </c>
      <c r="G2274" s="5" t="str">
        <f t="shared" si="156"/>
        <v/>
      </c>
      <c r="I2274" s="6" t="str">
        <f t="shared" si="157"/>
        <v>0</v>
      </c>
      <c r="K2274" s="19" t="s">
        <v>6094</v>
      </c>
    </row>
    <row r="2275" spans="1:11">
      <c r="A2275" t="s">
        <v>2874</v>
      </c>
      <c r="B2275" t="s">
        <v>6095</v>
      </c>
      <c r="G2275" s="5" t="str">
        <f t="shared" si="156"/>
        <v/>
      </c>
      <c r="I2275" s="6" t="str">
        <f t="shared" si="157"/>
        <v>0</v>
      </c>
      <c r="K2275" s="19" t="s">
        <v>6096</v>
      </c>
    </row>
    <row r="2276" spans="1:11">
      <c r="A2276" t="s">
        <v>2875</v>
      </c>
      <c r="B2276" t="s">
        <v>6097</v>
      </c>
      <c r="G2276" s="5" t="str">
        <f t="shared" si="156"/>
        <v/>
      </c>
      <c r="I2276" s="6" t="str">
        <f t="shared" si="157"/>
        <v>0</v>
      </c>
      <c r="K2276" s="19" t="s">
        <v>6098</v>
      </c>
    </row>
    <row r="2277" spans="1:11">
      <c r="A2277" t="s">
        <v>2876</v>
      </c>
      <c r="B2277" t="s">
        <v>6099</v>
      </c>
      <c r="G2277" s="5" t="str">
        <f t="shared" si="156"/>
        <v/>
      </c>
      <c r="I2277" s="6" t="str">
        <f t="shared" si="157"/>
        <v>0</v>
      </c>
      <c r="K2277" s="19" t="s">
        <v>6100</v>
      </c>
    </row>
    <row r="2278" spans="1:11">
      <c r="A2278" t="s">
        <v>2877</v>
      </c>
      <c r="B2278" t="s">
        <v>3140</v>
      </c>
      <c r="E2278" t="str">
        <f t="shared" ref="E2278" si="158">IF(D2278&lt;&gt;"",C2278&amp;"/"&amp;D2278,"")</f>
        <v/>
      </c>
      <c r="G2278" s="5" t="str">
        <f t="shared" si="156"/>
        <v/>
      </c>
      <c r="I2278" s="6" t="str">
        <f t="shared" si="157"/>
        <v>0</v>
      </c>
    </row>
    <row r="2279" spans="1:11">
      <c r="A2279" t="s">
        <v>2878</v>
      </c>
      <c r="B2279" t="s">
        <v>4943</v>
      </c>
      <c r="C2279" s="5" t="s">
        <v>48</v>
      </c>
      <c r="D2279" t="s">
        <v>4944</v>
      </c>
      <c r="E2279" t="s">
        <v>4945</v>
      </c>
      <c r="F2279" s="5" t="s">
        <v>4946</v>
      </c>
      <c r="G2279" s="5">
        <f t="shared" si="156"/>
        <v>59118</v>
      </c>
      <c r="H2279" s="5">
        <v>136</v>
      </c>
      <c r="I2279" s="6" t="str">
        <f t="shared" si="157"/>
        <v>88</v>
      </c>
      <c r="J2279" s="6" t="s">
        <v>3414</v>
      </c>
      <c r="K2279" s="19" t="s">
        <v>4947</v>
      </c>
    </row>
    <row r="2280" spans="1:11">
      <c r="A2280" t="s">
        <v>2879</v>
      </c>
      <c r="B2280" t="s">
        <v>4948</v>
      </c>
      <c r="C2280" s="5" t="s">
        <v>48</v>
      </c>
      <c r="D2280" t="s">
        <v>4949</v>
      </c>
      <c r="E2280" t="s">
        <v>4950</v>
      </c>
      <c r="F2280" s="5" t="s">
        <v>4951</v>
      </c>
      <c r="G2280" s="5">
        <f t="shared" si="156"/>
        <v>59254</v>
      </c>
      <c r="H2280" s="5">
        <v>48</v>
      </c>
      <c r="I2280" s="6" t="str">
        <f t="shared" si="157"/>
        <v>30</v>
      </c>
      <c r="J2280" s="6" t="s">
        <v>3414</v>
      </c>
      <c r="K2280" s="19" t="s">
        <v>4952</v>
      </c>
    </row>
    <row r="2281" spans="1:11">
      <c r="A2281" t="s">
        <v>2882</v>
      </c>
      <c r="B2281" t="s">
        <v>3276</v>
      </c>
      <c r="E2281" t="str">
        <f t="shared" ref="E2281:E2291" si="159">IF(D2281&lt;&gt;"",C2281&amp;"/"&amp;D2281,"")</f>
        <v/>
      </c>
      <c r="G2281" s="5" t="str">
        <f t="shared" si="156"/>
        <v/>
      </c>
      <c r="I2281" s="6" t="str">
        <f t="shared" si="157"/>
        <v>0</v>
      </c>
    </row>
    <row r="2282" spans="1:11">
      <c r="A2282" t="s">
        <v>2883</v>
      </c>
      <c r="B2282" t="s">
        <v>3277</v>
      </c>
      <c r="E2282" t="str">
        <f t="shared" si="159"/>
        <v/>
      </c>
      <c r="G2282" s="5" t="str">
        <f t="shared" si="156"/>
        <v/>
      </c>
      <c r="I2282" s="6" t="str">
        <f t="shared" si="157"/>
        <v>0</v>
      </c>
    </row>
    <row r="2283" spans="1:11">
      <c r="A2283" t="s">
        <v>2884</v>
      </c>
      <c r="B2283" t="s">
        <v>3278</v>
      </c>
      <c r="E2283" t="str">
        <f t="shared" si="159"/>
        <v/>
      </c>
      <c r="G2283" s="5" t="str">
        <f t="shared" si="156"/>
        <v/>
      </c>
      <c r="I2283" s="6" t="str">
        <f t="shared" si="157"/>
        <v>0</v>
      </c>
    </row>
    <row r="2284" spans="1:11">
      <c r="A2284" t="s">
        <v>2886</v>
      </c>
      <c r="B2284" t="s">
        <v>3279</v>
      </c>
      <c r="E2284" t="str">
        <f t="shared" si="159"/>
        <v/>
      </c>
      <c r="G2284" s="5" t="str">
        <f t="shared" si="156"/>
        <v/>
      </c>
      <c r="I2284" s="6" t="str">
        <f t="shared" si="157"/>
        <v>0</v>
      </c>
    </row>
    <row r="2285" spans="1:11">
      <c r="A2285" t="s">
        <v>2887</v>
      </c>
      <c r="B2285" t="s">
        <v>309</v>
      </c>
      <c r="E2285" t="str">
        <f t="shared" si="159"/>
        <v/>
      </c>
      <c r="G2285" s="5" t="str">
        <f t="shared" si="156"/>
        <v/>
      </c>
      <c r="I2285" s="6" t="str">
        <f t="shared" si="157"/>
        <v>0</v>
      </c>
    </row>
    <row r="2286" spans="1:11">
      <c r="A2286" t="s">
        <v>2888</v>
      </c>
      <c r="B2286" t="s">
        <v>6101</v>
      </c>
      <c r="G2286" s="5" t="str">
        <f t="shared" si="156"/>
        <v/>
      </c>
      <c r="I2286" s="6" t="str">
        <f t="shared" si="157"/>
        <v>0</v>
      </c>
      <c r="K2286" s="19" t="s">
        <v>6102</v>
      </c>
    </row>
    <row r="2287" spans="1:11">
      <c r="A2287" t="s">
        <v>2889</v>
      </c>
      <c r="B2287" t="s">
        <v>6383</v>
      </c>
      <c r="K2287" s="19" t="s">
        <v>6384</v>
      </c>
    </row>
    <row r="2288" spans="1:11">
      <c r="A2288" t="s">
        <v>2890</v>
      </c>
      <c r="B2288" t="s">
        <v>2890</v>
      </c>
      <c r="E2288" t="str">
        <f t="shared" si="159"/>
        <v/>
      </c>
      <c r="G2288" s="5" t="str">
        <f t="shared" si="156"/>
        <v/>
      </c>
      <c r="I2288" s="6" t="str">
        <f t="shared" si="157"/>
        <v>0</v>
      </c>
    </row>
    <row r="2289" spans="1:11">
      <c r="A2289" t="s">
        <v>2891</v>
      </c>
      <c r="B2289" t="s">
        <v>3139</v>
      </c>
      <c r="E2289" t="str">
        <f t="shared" si="159"/>
        <v/>
      </c>
      <c r="G2289" s="5" t="str">
        <f t="shared" si="156"/>
        <v/>
      </c>
      <c r="I2289" s="6" t="str">
        <f t="shared" si="157"/>
        <v>0</v>
      </c>
    </row>
    <row r="2290" spans="1:11">
      <c r="A2290" t="s">
        <v>2892</v>
      </c>
      <c r="B2290" t="s">
        <v>2892</v>
      </c>
      <c r="E2290" t="str">
        <f t="shared" si="159"/>
        <v/>
      </c>
      <c r="G2290" s="5" t="str">
        <f t="shared" si="156"/>
        <v/>
      </c>
      <c r="I2290" s="6" t="str">
        <f t="shared" si="157"/>
        <v>0</v>
      </c>
    </row>
    <row r="2291" spans="1:11">
      <c r="A2291" t="s">
        <v>2893</v>
      </c>
      <c r="B2291" t="s">
        <v>2894</v>
      </c>
      <c r="E2291" t="str">
        <f t="shared" si="159"/>
        <v/>
      </c>
      <c r="G2291" s="5" t="str">
        <f t="shared" si="156"/>
        <v/>
      </c>
      <c r="I2291" s="6" t="str">
        <f t="shared" si="157"/>
        <v>0</v>
      </c>
    </row>
    <row r="2292" spans="1:11">
      <c r="A2292" t="s">
        <v>2895</v>
      </c>
      <c r="B2292" t="s">
        <v>6103</v>
      </c>
      <c r="G2292" s="5" t="str">
        <f t="shared" si="156"/>
        <v/>
      </c>
      <c r="I2292" s="6" t="str">
        <f t="shared" si="157"/>
        <v>0</v>
      </c>
      <c r="K2292" s="19" t="s">
        <v>6104</v>
      </c>
    </row>
    <row r="2293" spans="1:11">
      <c r="A2293" t="s">
        <v>2896</v>
      </c>
      <c r="B2293" t="s">
        <v>6105</v>
      </c>
      <c r="G2293" s="5" t="str">
        <f t="shared" si="156"/>
        <v/>
      </c>
      <c r="I2293" s="6" t="str">
        <f t="shared" si="157"/>
        <v>0</v>
      </c>
      <c r="K2293" s="19" t="s">
        <v>6106</v>
      </c>
    </row>
    <row r="2294" spans="1:11">
      <c r="A2294" t="s">
        <v>2897</v>
      </c>
      <c r="B2294" t="s">
        <v>6107</v>
      </c>
      <c r="G2294" s="5" t="str">
        <f t="shared" si="156"/>
        <v/>
      </c>
      <c r="I2294" s="6" t="str">
        <f t="shared" si="157"/>
        <v>0</v>
      </c>
      <c r="K2294" s="19" t="s">
        <v>6108</v>
      </c>
    </row>
    <row r="2295" spans="1:11">
      <c r="A2295" t="s">
        <v>2898</v>
      </c>
      <c r="B2295" t="s">
        <v>6109</v>
      </c>
      <c r="G2295" s="5" t="str">
        <f t="shared" si="156"/>
        <v/>
      </c>
      <c r="I2295" s="6" t="str">
        <f t="shared" si="157"/>
        <v>0</v>
      </c>
      <c r="K2295" s="19" t="s">
        <v>6110</v>
      </c>
    </row>
    <row r="2296" spans="1:11">
      <c r="A2296" t="s">
        <v>2899</v>
      </c>
      <c r="B2296" t="s">
        <v>6289</v>
      </c>
      <c r="K2296" s="19" t="s">
        <v>6290</v>
      </c>
    </row>
    <row r="2297" spans="1:11">
      <c r="A2297" t="s">
        <v>2900</v>
      </c>
      <c r="B2297" t="s">
        <v>6111</v>
      </c>
      <c r="G2297" s="5" t="str">
        <f t="shared" si="156"/>
        <v/>
      </c>
      <c r="I2297" s="6" t="str">
        <f t="shared" si="157"/>
        <v>0</v>
      </c>
      <c r="K2297" s="19" t="s">
        <v>6112</v>
      </c>
    </row>
    <row r="2298" spans="1:11">
      <c r="A2298" t="s">
        <v>2901</v>
      </c>
      <c r="B2298" t="s">
        <v>4372</v>
      </c>
      <c r="G2298" s="5" t="str">
        <f t="shared" si="156"/>
        <v/>
      </c>
      <c r="I2298" s="6" t="str">
        <f t="shared" si="157"/>
        <v>0</v>
      </c>
      <c r="K2298" s="24" t="s">
        <v>4373</v>
      </c>
    </row>
    <row r="2299" spans="1:11">
      <c r="A2299" t="s">
        <v>2902</v>
      </c>
      <c r="B2299" t="s">
        <v>6113</v>
      </c>
      <c r="G2299" s="5" t="str">
        <f t="shared" si="156"/>
        <v/>
      </c>
      <c r="I2299" s="6" t="str">
        <f t="shared" si="157"/>
        <v>0</v>
      </c>
      <c r="K2299" s="19" t="s">
        <v>6114</v>
      </c>
    </row>
    <row r="2300" spans="1:11">
      <c r="A2300" t="s">
        <v>2903</v>
      </c>
      <c r="B2300" t="s">
        <v>6115</v>
      </c>
      <c r="G2300" s="5" t="str">
        <f t="shared" si="156"/>
        <v/>
      </c>
      <c r="I2300" s="6" t="str">
        <f t="shared" si="157"/>
        <v>0</v>
      </c>
      <c r="K2300" s="19" t="s">
        <v>6116</v>
      </c>
    </row>
    <row r="2301" spans="1:11">
      <c r="A2301" t="s">
        <v>2904</v>
      </c>
      <c r="B2301" t="s">
        <v>6117</v>
      </c>
      <c r="G2301" s="5" t="str">
        <f t="shared" si="156"/>
        <v/>
      </c>
      <c r="I2301" s="6" t="str">
        <f t="shared" si="157"/>
        <v>0</v>
      </c>
      <c r="K2301" s="19" t="s">
        <v>6118</v>
      </c>
    </row>
    <row r="2302" spans="1:11">
      <c r="A2302" t="s">
        <v>2905</v>
      </c>
      <c r="B2302" t="s">
        <v>6119</v>
      </c>
      <c r="G2302" s="5" t="str">
        <f t="shared" si="156"/>
        <v/>
      </c>
      <c r="I2302" s="6" t="str">
        <f t="shared" si="157"/>
        <v>0</v>
      </c>
      <c r="K2302" s="19" t="s">
        <v>6120</v>
      </c>
    </row>
    <row r="2303" spans="1:11">
      <c r="A2303" t="s">
        <v>2906</v>
      </c>
      <c r="B2303" t="s">
        <v>6121</v>
      </c>
      <c r="G2303" s="5" t="str">
        <f t="shared" si="156"/>
        <v/>
      </c>
      <c r="I2303" s="6" t="str">
        <f t="shared" si="157"/>
        <v>0</v>
      </c>
      <c r="K2303" s="19" t="s">
        <v>6122</v>
      </c>
    </row>
    <row r="2304" spans="1:11">
      <c r="A2304" t="s">
        <v>2907</v>
      </c>
      <c r="B2304" t="s">
        <v>6123</v>
      </c>
      <c r="G2304" s="5" t="str">
        <f t="shared" si="156"/>
        <v/>
      </c>
      <c r="I2304" s="6" t="str">
        <f t="shared" si="157"/>
        <v>0</v>
      </c>
      <c r="K2304" s="19" t="s">
        <v>6124</v>
      </c>
    </row>
    <row r="2305" spans="1:11">
      <c r="A2305" t="s">
        <v>2908</v>
      </c>
      <c r="B2305" t="s">
        <v>309</v>
      </c>
      <c r="E2305" t="str">
        <f t="shared" ref="E2305" si="160">IF(D2305&lt;&gt;"",C2305&amp;"/"&amp;D2305,"")</f>
        <v/>
      </c>
      <c r="G2305" s="5" t="str">
        <f t="shared" si="156"/>
        <v/>
      </c>
      <c r="I2305" s="6" t="str">
        <f t="shared" si="157"/>
        <v>0</v>
      </c>
    </row>
    <row r="2306" spans="1:11">
      <c r="A2306" t="s">
        <v>2909</v>
      </c>
      <c r="B2306" t="s">
        <v>4368</v>
      </c>
      <c r="G2306" s="5" t="str">
        <f t="shared" ref="G2306:G2369" si="161">IF(F2306&lt;&gt;"",HEX2DEC(SUBSTITUTE(SUBSTITUTE(F2306,"adrEA",""),"$","")),"")</f>
        <v/>
      </c>
      <c r="I2306" s="6" t="str">
        <f t="shared" ref="I2306:I2369" si="162">IFERROR(DEC2HEX(H2306),"")</f>
        <v>0</v>
      </c>
      <c r="K2306" s="24" t="s">
        <v>4369</v>
      </c>
    </row>
    <row r="2307" spans="1:11">
      <c r="A2307" t="s">
        <v>2910</v>
      </c>
      <c r="B2307" t="s">
        <v>2910</v>
      </c>
      <c r="E2307" t="str">
        <f t="shared" ref="E2307" si="163">IF(D2307&lt;&gt;"",C2307&amp;"/"&amp;D2307,"")</f>
        <v/>
      </c>
      <c r="G2307" s="5" t="str">
        <f t="shared" si="161"/>
        <v/>
      </c>
      <c r="I2307" s="6" t="str">
        <f t="shared" si="162"/>
        <v>0</v>
      </c>
    </row>
    <row r="2308" spans="1:11">
      <c r="A2308" t="s">
        <v>2911</v>
      </c>
      <c r="B2308" t="s">
        <v>6125</v>
      </c>
      <c r="G2308" s="5" t="str">
        <f t="shared" si="161"/>
        <v/>
      </c>
      <c r="I2308" s="6" t="str">
        <f t="shared" si="162"/>
        <v>0</v>
      </c>
      <c r="K2308" s="19" t="s">
        <v>6126</v>
      </c>
    </row>
    <row r="2309" spans="1:11">
      <c r="A2309" t="s">
        <v>2912</v>
      </c>
      <c r="B2309" t="s">
        <v>6127</v>
      </c>
      <c r="G2309" s="5" t="str">
        <f t="shared" si="161"/>
        <v/>
      </c>
      <c r="I2309" s="6" t="str">
        <f t="shared" si="162"/>
        <v>0</v>
      </c>
      <c r="K2309" s="19" t="s">
        <v>6128</v>
      </c>
    </row>
    <row r="2310" spans="1:11">
      <c r="A2310" t="s">
        <v>2913</v>
      </c>
      <c r="B2310" t="s">
        <v>6129</v>
      </c>
      <c r="G2310" s="5" t="str">
        <f t="shared" si="161"/>
        <v/>
      </c>
      <c r="I2310" s="6" t="str">
        <f t="shared" si="162"/>
        <v>0</v>
      </c>
      <c r="K2310" s="19" t="s">
        <v>6130</v>
      </c>
    </row>
    <row r="2311" spans="1:11">
      <c r="A2311" t="s">
        <v>2914</v>
      </c>
      <c r="B2311" t="s">
        <v>6131</v>
      </c>
      <c r="G2311" s="5" t="str">
        <f t="shared" si="161"/>
        <v/>
      </c>
      <c r="I2311" s="6" t="str">
        <f t="shared" si="162"/>
        <v>0</v>
      </c>
      <c r="K2311" s="19" t="s">
        <v>6132</v>
      </c>
    </row>
    <row r="2312" spans="1:11">
      <c r="A2312" t="s">
        <v>2915</v>
      </c>
      <c r="B2312" t="s">
        <v>6133</v>
      </c>
      <c r="G2312" s="5" t="str">
        <f t="shared" si="161"/>
        <v/>
      </c>
      <c r="I2312" s="6" t="str">
        <f t="shared" si="162"/>
        <v>0</v>
      </c>
      <c r="K2312" s="19" t="s">
        <v>6134</v>
      </c>
    </row>
    <row r="2313" spans="1:11">
      <c r="A2313" t="s">
        <v>2916</v>
      </c>
      <c r="B2313" t="s">
        <v>5039</v>
      </c>
      <c r="G2313" s="5" t="str">
        <f t="shared" si="161"/>
        <v/>
      </c>
      <c r="I2313" s="6" t="str">
        <f t="shared" si="162"/>
        <v>0</v>
      </c>
      <c r="K2313" s="19" t="s">
        <v>5040</v>
      </c>
    </row>
    <row r="2314" spans="1:11">
      <c r="A2314" t="s">
        <v>2917</v>
      </c>
      <c r="B2314" t="s">
        <v>3190</v>
      </c>
      <c r="E2314" t="str">
        <f t="shared" ref="E2314:E2360" si="164">IF(D2314&lt;&gt;"",C2314&amp;"/"&amp;D2314,"")</f>
        <v/>
      </c>
      <c r="G2314" s="5" t="str">
        <f t="shared" si="161"/>
        <v/>
      </c>
      <c r="I2314" s="6" t="str">
        <f t="shared" si="162"/>
        <v>0</v>
      </c>
    </row>
    <row r="2315" spans="1:11">
      <c r="A2315" t="s">
        <v>2918</v>
      </c>
      <c r="B2315" t="s">
        <v>6135</v>
      </c>
      <c r="G2315" s="5" t="str">
        <f t="shared" si="161"/>
        <v/>
      </c>
      <c r="I2315" s="6" t="str">
        <f t="shared" si="162"/>
        <v>0</v>
      </c>
      <c r="K2315" s="19" t="s">
        <v>6136</v>
      </c>
    </row>
    <row r="2316" spans="1:11">
      <c r="A2316" t="s">
        <v>2919</v>
      </c>
      <c r="B2316" t="s">
        <v>6137</v>
      </c>
      <c r="G2316" s="5" t="str">
        <f t="shared" si="161"/>
        <v/>
      </c>
      <c r="I2316" s="6" t="str">
        <f t="shared" si="162"/>
        <v>0</v>
      </c>
      <c r="K2316" s="19" t="s">
        <v>6138</v>
      </c>
    </row>
    <row r="2317" spans="1:11">
      <c r="A2317" t="s">
        <v>2920</v>
      </c>
      <c r="B2317" t="s">
        <v>3192</v>
      </c>
      <c r="E2317" t="str">
        <f t="shared" si="164"/>
        <v/>
      </c>
      <c r="G2317" s="5" t="str">
        <f t="shared" si="161"/>
        <v/>
      </c>
      <c r="I2317" s="6" t="str">
        <f t="shared" si="162"/>
        <v>0</v>
      </c>
    </row>
    <row r="2318" spans="1:11">
      <c r="A2318" t="s">
        <v>2921</v>
      </c>
      <c r="B2318" t="s">
        <v>6139</v>
      </c>
      <c r="G2318" s="5" t="str">
        <f t="shared" si="161"/>
        <v/>
      </c>
      <c r="I2318" s="6" t="str">
        <f t="shared" si="162"/>
        <v>0</v>
      </c>
      <c r="K2318" s="19" t="s">
        <v>6140</v>
      </c>
    </row>
    <row r="2319" spans="1:11">
      <c r="A2319" t="s">
        <v>2922</v>
      </c>
      <c r="B2319" t="s">
        <v>6141</v>
      </c>
      <c r="G2319" s="5" t="str">
        <f t="shared" si="161"/>
        <v/>
      </c>
      <c r="I2319" s="6" t="str">
        <f t="shared" si="162"/>
        <v>0</v>
      </c>
      <c r="K2319" s="19" t="s">
        <v>6142</v>
      </c>
    </row>
    <row r="2320" spans="1:11">
      <c r="A2320" t="s">
        <v>2923</v>
      </c>
      <c r="B2320" t="s">
        <v>6143</v>
      </c>
      <c r="G2320" s="5" t="str">
        <f t="shared" si="161"/>
        <v/>
      </c>
      <c r="I2320" s="6" t="str">
        <f t="shared" si="162"/>
        <v>0</v>
      </c>
      <c r="K2320" s="19" t="s">
        <v>6144</v>
      </c>
    </row>
    <row r="2321" spans="1:11">
      <c r="A2321" t="s">
        <v>2924</v>
      </c>
      <c r="B2321" t="s">
        <v>6145</v>
      </c>
      <c r="G2321" s="5" t="str">
        <f t="shared" si="161"/>
        <v/>
      </c>
      <c r="I2321" s="6" t="str">
        <f t="shared" si="162"/>
        <v>0</v>
      </c>
      <c r="K2321" s="19" t="s">
        <v>6146</v>
      </c>
    </row>
    <row r="2322" spans="1:11">
      <c r="A2322" t="s">
        <v>2925</v>
      </c>
      <c r="B2322" t="s">
        <v>6147</v>
      </c>
      <c r="G2322" s="5" t="str">
        <f t="shared" si="161"/>
        <v/>
      </c>
      <c r="I2322" s="6" t="str">
        <f t="shared" si="162"/>
        <v>0</v>
      </c>
      <c r="K2322" s="19" t="s">
        <v>6148</v>
      </c>
    </row>
    <row r="2323" spans="1:11">
      <c r="A2323" t="s">
        <v>2927</v>
      </c>
      <c r="B2323" t="s">
        <v>6149</v>
      </c>
      <c r="G2323" s="5" t="str">
        <f t="shared" si="161"/>
        <v/>
      </c>
      <c r="I2323" s="6" t="str">
        <f t="shared" si="162"/>
        <v>0</v>
      </c>
      <c r="K2323" s="19" t="s">
        <v>6150</v>
      </c>
    </row>
    <row r="2324" spans="1:11">
      <c r="A2324" t="s">
        <v>2928</v>
      </c>
      <c r="B2324" t="s">
        <v>6151</v>
      </c>
      <c r="G2324" s="5" t="str">
        <f t="shared" si="161"/>
        <v/>
      </c>
      <c r="I2324" s="6" t="str">
        <f t="shared" si="162"/>
        <v>0</v>
      </c>
      <c r="K2324" s="19" t="s">
        <v>6152</v>
      </c>
    </row>
    <row r="2325" spans="1:11">
      <c r="A2325" t="s">
        <v>2929</v>
      </c>
      <c r="B2325" t="s">
        <v>2929</v>
      </c>
      <c r="E2325" t="str">
        <f t="shared" si="164"/>
        <v/>
      </c>
      <c r="G2325" s="5" t="str">
        <f t="shared" si="161"/>
        <v/>
      </c>
      <c r="I2325" s="6" t="str">
        <f t="shared" si="162"/>
        <v>0</v>
      </c>
    </row>
    <row r="2326" spans="1:11">
      <c r="A2326" t="s">
        <v>2930</v>
      </c>
      <c r="B2326" t="s">
        <v>6153</v>
      </c>
      <c r="G2326" s="5" t="str">
        <f t="shared" si="161"/>
        <v/>
      </c>
      <c r="I2326" s="6" t="str">
        <f t="shared" si="162"/>
        <v>0</v>
      </c>
      <c r="K2326" s="19" t="s">
        <v>6154</v>
      </c>
    </row>
    <row r="2327" spans="1:11">
      <c r="A2327" t="s">
        <v>2931</v>
      </c>
      <c r="B2327" t="s">
        <v>6155</v>
      </c>
      <c r="G2327" s="5" t="str">
        <f t="shared" si="161"/>
        <v/>
      </c>
      <c r="I2327" s="6" t="str">
        <f t="shared" si="162"/>
        <v>0</v>
      </c>
      <c r="K2327" s="19" t="s">
        <v>6156</v>
      </c>
    </row>
    <row r="2328" spans="1:11">
      <c r="A2328" t="s">
        <v>2932</v>
      </c>
      <c r="B2328" t="s">
        <v>6157</v>
      </c>
      <c r="G2328" s="5" t="str">
        <f t="shared" si="161"/>
        <v/>
      </c>
      <c r="I2328" s="6" t="str">
        <f t="shared" si="162"/>
        <v>0</v>
      </c>
      <c r="K2328" s="19" t="s">
        <v>6158</v>
      </c>
    </row>
    <row r="2329" spans="1:11">
      <c r="A2329" t="s">
        <v>2933</v>
      </c>
      <c r="B2329" t="s">
        <v>3191</v>
      </c>
      <c r="E2329" t="str">
        <f t="shared" si="164"/>
        <v/>
      </c>
      <c r="G2329" s="5" t="str">
        <f t="shared" si="161"/>
        <v/>
      </c>
      <c r="I2329" s="6" t="str">
        <f t="shared" si="162"/>
        <v>0</v>
      </c>
    </row>
    <row r="2330" spans="1:11">
      <c r="A2330" t="s">
        <v>2934</v>
      </c>
      <c r="B2330" t="s">
        <v>6159</v>
      </c>
      <c r="G2330" s="5" t="str">
        <f t="shared" si="161"/>
        <v/>
      </c>
      <c r="I2330" s="6" t="str">
        <f t="shared" si="162"/>
        <v>0</v>
      </c>
      <c r="K2330" s="19" t="s">
        <v>6160</v>
      </c>
    </row>
    <row r="2331" spans="1:11">
      <c r="A2331" t="s">
        <v>2935</v>
      </c>
      <c r="B2331" t="s">
        <v>3193</v>
      </c>
      <c r="E2331" t="str">
        <f t="shared" si="164"/>
        <v/>
      </c>
      <c r="G2331" s="5" t="str">
        <f t="shared" si="161"/>
        <v/>
      </c>
      <c r="I2331" s="6" t="str">
        <f t="shared" si="162"/>
        <v>0</v>
      </c>
    </row>
    <row r="2332" spans="1:11">
      <c r="A2332" t="s">
        <v>2936</v>
      </c>
      <c r="B2332" t="s">
        <v>6161</v>
      </c>
      <c r="G2332" s="5" t="str">
        <f t="shared" si="161"/>
        <v/>
      </c>
      <c r="I2332" s="6" t="str">
        <f t="shared" si="162"/>
        <v>0</v>
      </c>
      <c r="K2332" s="19" t="s">
        <v>6162</v>
      </c>
    </row>
    <row r="2333" spans="1:11">
      <c r="A2333" t="s">
        <v>2937</v>
      </c>
      <c r="B2333" t="s">
        <v>6163</v>
      </c>
      <c r="G2333" s="5" t="str">
        <f t="shared" si="161"/>
        <v/>
      </c>
      <c r="I2333" s="6" t="str">
        <f t="shared" si="162"/>
        <v>0</v>
      </c>
      <c r="K2333" s="19" t="s">
        <v>6164</v>
      </c>
    </row>
    <row r="2334" spans="1:11">
      <c r="A2334" t="s">
        <v>2938</v>
      </c>
      <c r="B2334" t="s">
        <v>6165</v>
      </c>
      <c r="G2334" s="5" t="str">
        <f t="shared" si="161"/>
        <v/>
      </c>
      <c r="I2334" s="6" t="str">
        <f t="shared" si="162"/>
        <v>0</v>
      </c>
      <c r="K2334" s="19" t="s">
        <v>6166</v>
      </c>
    </row>
    <row r="2335" spans="1:11">
      <c r="A2335" t="s">
        <v>2939</v>
      </c>
      <c r="B2335" t="s">
        <v>6167</v>
      </c>
      <c r="G2335" s="5" t="str">
        <f t="shared" si="161"/>
        <v/>
      </c>
      <c r="I2335" s="6" t="str">
        <f t="shared" si="162"/>
        <v>0</v>
      </c>
      <c r="K2335" s="19" t="s">
        <v>6168</v>
      </c>
    </row>
    <row r="2336" spans="1:11">
      <c r="A2336" t="s">
        <v>2940</v>
      </c>
      <c r="B2336" t="s">
        <v>6169</v>
      </c>
      <c r="G2336" s="5" t="str">
        <f t="shared" si="161"/>
        <v/>
      </c>
      <c r="I2336" s="6" t="str">
        <f t="shared" si="162"/>
        <v>0</v>
      </c>
      <c r="K2336" s="19" t="s">
        <v>6170</v>
      </c>
    </row>
    <row r="2337" spans="1:13">
      <c r="A2337" t="s">
        <v>2942</v>
      </c>
      <c r="B2337" t="s">
        <v>6171</v>
      </c>
      <c r="G2337" s="5" t="str">
        <f t="shared" si="161"/>
        <v/>
      </c>
      <c r="I2337" s="6" t="str">
        <f t="shared" si="162"/>
        <v>0</v>
      </c>
      <c r="K2337" s="19" t="s">
        <v>6172</v>
      </c>
    </row>
    <row r="2338" spans="1:13">
      <c r="A2338" t="s">
        <v>2943</v>
      </c>
      <c r="B2338" t="s">
        <v>6173</v>
      </c>
      <c r="G2338" s="5" t="str">
        <f t="shared" si="161"/>
        <v/>
      </c>
      <c r="I2338" s="6" t="str">
        <f t="shared" si="162"/>
        <v>0</v>
      </c>
      <c r="K2338" s="19" t="s">
        <v>6174</v>
      </c>
    </row>
    <row r="2339" spans="1:13" s="11" customFormat="1">
      <c r="A2339" s="11" t="s">
        <v>2946</v>
      </c>
      <c r="B2339" t="s">
        <v>3066</v>
      </c>
      <c r="C2339" s="5"/>
      <c r="E2339" t="str">
        <f t="shared" si="164"/>
        <v/>
      </c>
      <c r="F2339" s="12"/>
      <c r="G2339" s="5" t="str">
        <f t="shared" si="161"/>
        <v/>
      </c>
      <c r="H2339" s="12"/>
      <c r="I2339" s="6" t="str">
        <f t="shared" si="162"/>
        <v>0</v>
      </c>
      <c r="J2339" s="13"/>
      <c r="K2339" s="20"/>
      <c r="L2339" s="30"/>
      <c r="M2339" s="30"/>
    </row>
    <row r="2340" spans="1:13" s="11" customFormat="1">
      <c r="A2340" t="s">
        <v>2947</v>
      </c>
      <c r="B2340" t="s">
        <v>3067</v>
      </c>
      <c r="C2340" s="5"/>
      <c r="E2340" t="str">
        <f t="shared" si="164"/>
        <v/>
      </c>
      <c r="F2340" s="12"/>
      <c r="G2340" s="5" t="str">
        <f t="shared" si="161"/>
        <v/>
      </c>
      <c r="H2340" s="12"/>
      <c r="I2340" s="6" t="str">
        <f t="shared" si="162"/>
        <v>0</v>
      </c>
      <c r="J2340" s="13"/>
      <c r="K2340" s="20"/>
      <c r="L2340" s="30"/>
      <c r="M2340" s="30"/>
    </row>
    <row r="2341" spans="1:13">
      <c r="A2341" t="s">
        <v>2957</v>
      </c>
      <c r="B2341" t="s">
        <v>6175</v>
      </c>
      <c r="G2341" s="5" t="str">
        <f t="shared" si="161"/>
        <v/>
      </c>
      <c r="I2341" s="6" t="str">
        <f t="shared" si="162"/>
        <v>0</v>
      </c>
      <c r="K2341" s="19" t="s">
        <v>6176</v>
      </c>
    </row>
    <row r="2342" spans="1:13">
      <c r="A2342" t="s">
        <v>2958</v>
      </c>
      <c r="B2342" t="s">
        <v>6177</v>
      </c>
      <c r="G2342" s="5" t="str">
        <f t="shared" si="161"/>
        <v/>
      </c>
      <c r="I2342" s="6" t="str">
        <f t="shared" si="162"/>
        <v>0</v>
      </c>
      <c r="K2342" s="19" t="s">
        <v>6178</v>
      </c>
    </row>
    <row r="2343" spans="1:13">
      <c r="A2343" t="s">
        <v>2960</v>
      </c>
      <c r="B2343" t="s">
        <v>3271</v>
      </c>
      <c r="E2343" t="str">
        <f t="shared" si="164"/>
        <v/>
      </c>
      <c r="G2343" s="5" t="str">
        <f t="shared" si="161"/>
        <v/>
      </c>
      <c r="H2343" s="5">
        <f>16*8*4</f>
        <v>512</v>
      </c>
      <c r="I2343" s="6" t="str">
        <f t="shared" si="162"/>
        <v>200</v>
      </c>
    </row>
    <row r="2344" spans="1:13">
      <c r="A2344" t="s">
        <v>2961</v>
      </c>
      <c r="B2344" t="s">
        <v>2961</v>
      </c>
      <c r="E2344" t="str">
        <f t="shared" si="164"/>
        <v/>
      </c>
      <c r="G2344" s="5" t="str">
        <f t="shared" si="161"/>
        <v/>
      </c>
      <c r="I2344" s="6" t="str">
        <f t="shared" si="162"/>
        <v>0</v>
      </c>
    </row>
    <row r="2345" spans="1:13">
      <c r="A2345" t="s">
        <v>2965</v>
      </c>
      <c r="B2345" t="s">
        <v>6179</v>
      </c>
      <c r="G2345" s="5" t="str">
        <f t="shared" si="161"/>
        <v/>
      </c>
      <c r="I2345" s="6" t="str">
        <f t="shared" si="162"/>
        <v>0</v>
      </c>
      <c r="K2345" s="19" t="s">
        <v>6180</v>
      </c>
    </row>
    <row r="2346" spans="1:13">
      <c r="A2346" t="s">
        <v>2968</v>
      </c>
      <c r="B2346" t="s">
        <v>6181</v>
      </c>
      <c r="G2346" s="5" t="str">
        <f t="shared" si="161"/>
        <v/>
      </c>
      <c r="I2346" s="6" t="str">
        <f t="shared" si="162"/>
        <v>0</v>
      </c>
      <c r="K2346" s="19" t="s">
        <v>6182</v>
      </c>
    </row>
    <row r="2347" spans="1:13">
      <c r="A2347" t="s">
        <v>2969</v>
      </c>
      <c r="B2347" t="s">
        <v>6183</v>
      </c>
      <c r="G2347" s="5" t="str">
        <f t="shared" si="161"/>
        <v/>
      </c>
      <c r="I2347" s="6" t="str">
        <f t="shared" si="162"/>
        <v>0</v>
      </c>
      <c r="K2347" s="19" t="s">
        <v>6184</v>
      </c>
    </row>
    <row r="2348" spans="1:13" ht="13" customHeight="1">
      <c r="A2348" t="s">
        <v>2970</v>
      </c>
      <c r="B2348" t="s">
        <v>6185</v>
      </c>
      <c r="G2348" s="5" t="str">
        <f t="shared" si="161"/>
        <v/>
      </c>
      <c r="I2348" s="6" t="str">
        <f t="shared" si="162"/>
        <v>0</v>
      </c>
      <c r="K2348" s="19" t="s">
        <v>6186</v>
      </c>
    </row>
    <row r="2349" spans="1:13" s="11" customFormat="1">
      <c r="A2349" s="11" t="s">
        <v>2973</v>
      </c>
      <c r="C2349" s="12"/>
      <c r="E2349" s="11" t="str">
        <f t="shared" si="164"/>
        <v/>
      </c>
      <c r="F2349" s="12"/>
      <c r="G2349" s="5" t="str">
        <f t="shared" si="161"/>
        <v/>
      </c>
      <c r="H2349" s="12"/>
      <c r="I2349" s="6" t="str">
        <f t="shared" si="162"/>
        <v>0</v>
      </c>
      <c r="J2349" s="13"/>
      <c r="K2349" s="20"/>
      <c r="L2349" s="30"/>
      <c r="M2349" s="30"/>
    </row>
    <row r="2350" spans="1:13">
      <c r="A2350" t="s">
        <v>2974</v>
      </c>
      <c r="B2350" t="s">
        <v>2975</v>
      </c>
      <c r="E2350" t="str">
        <f t="shared" si="164"/>
        <v/>
      </c>
      <c r="G2350" s="5" t="str">
        <f t="shared" si="161"/>
        <v/>
      </c>
      <c r="I2350" s="6" t="str">
        <f t="shared" si="162"/>
        <v>0</v>
      </c>
    </row>
    <row r="2351" spans="1:13">
      <c r="A2351" t="s">
        <v>2976</v>
      </c>
      <c r="B2351" t="s">
        <v>3141</v>
      </c>
      <c r="E2351" t="str">
        <f t="shared" si="164"/>
        <v/>
      </c>
      <c r="G2351" s="5" t="str">
        <f t="shared" si="161"/>
        <v/>
      </c>
      <c r="I2351" s="6" t="str">
        <f t="shared" si="162"/>
        <v>0</v>
      </c>
    </row>
    <row r="2352" spans="1:13" ht="17">
      <c r="A2352" t="s">
        <v>2977</v>
      </c>
      <c r="B2352" s="17" t="s">
        <v>3554</v>
      </c>
      <c r="C2352" s="5" t="s">
        <v>48</v>
      </c>
      <c r="D2352" s="17" t="s">
        <v>3555</v>
      </c>
      <c r="E2352" t="str">
        <f t="shared" si="164"/>
        <v>data/characters-standard-render.layout</v>
      </c>
      <c r="F2352" s="16" t="s">
        <v>3556</v>
      </c>
      <c r="G2352" s="5">
        <f t="shared" si="161"/>
        <v>99456</v>
      </c>
      <c r="H2352" s="5">
        <v>304</v>
      </c>
      <c r="I2352" s="6" t="str">
        <f t="shared" si="162"/>
        <v>130</v>
      </c>
    </row>
    <row r="2353" spans="1:11" ht="17">
      <c r="A2353" t="s">
        <v>2978</v>
      </c>
      <c r="B2353" s="17" t="s">
        <v>3557</v>
      </c>
      <c r="C2353" s="5" t="s">
        <v>48</v>
      </c>
      <c r="D2353" s="17" t="s">
        <v>3558</v>
      </c>
      <c r="E2353" t="str">
        <f t="shared" si="164"/>
        <v>data/characters-standard-distant-4.positions</v>
      </c>
      <c r="F2353" s="16" t="s">
        <v>3559</v>
      </c>
      <c r="G2353" s="5">
        <f t="shared" si="161"/>
        <v>99760</v>
      </c>
      <c r="H2353" s="5">
        <v>8</v>
      </c>
      <c r="I2353" s="6" t="str">
        <f t="shared" si="162"/>
        <v>8</v>
      </c>
      <c r="K2353" s="19" t="s">
        <v>3574</v>
      </c>
    </row>
    <row r="2354" spans="1:11" ht="17">
      <c r="A2354" t="s">
        <v>2979</v>
      </c>
      <c r="B2354" s="17" t="s">
        <v>3560</v>
      </c>
      <c r="C2354" s="5" t="s">
        <v>48</v>
      </c>
      <c r="D2354" s="17" t="s">
        <v>3561</v>
      </c>
      <c r="E2354" t="str">
        <f t="shared" si="164"/>
        <v>data/characters-standard-distant-5.positions</v>
      </c>
      <c r="F2354" s="16" t="s">
        <v>3562</v>
      </c>
      <c r="G2354" s="5">
        <f t="shared" si="161"/>
        <v>99768</v>
      </c>
      <c r="H2354" s="5">
        <v>8</v>
      </c>
      <c r="I2354" s="6" t="str">
        <f t="shared" si="162"/>
        <v>8</v>
      </c>
      <c r="K2354" s="19" t="s">
        <v>3574</v>
      </c>
    </row>
    <row r="2355" spans="1:11" ht="17">
      <c r="A2355" t="s">
        <v>2980</v>
      </c>
      <c r="B2355" s="17" t="s">
        <v>3563</v>
      </c>
      <c r="C2355" s="5" t="s">
        <v>48</v>
      </c>
      <c r="D2355" s="17" t="s">
        <v>3564</v>
      </c>
      <c r="E2355" t="str">
        <f t="shared" si="164"/>
        <v>data/characters-alternate-render.layout</v>
      </c>
      <c r="F2355" s="16" t="s">
        <v>3565</v>
      </c>
      <c r="G2355" s="5">
        <f t="shared" si="161"/>
        <v>99776</v>
      </c>
      <c r="H2355" s="5">
        <v>304</v>
      </c>
      <c r="I2355" s="6" t="str">
        <f t="shared" si="162"/>
        <v>130</v>
      </c>
    </row>
    <row r="2356" spans="1:11" ht="17">
      <c r="A2356" t="s">
        <v>2981</v>
      </c>
      <c r="B2356" s="17" t="s">
        <v>3566</v>
      </c>
      <c r="C2356" s="5" t="s">
        <v>48</v>
      </c>
      <c r="D2356" s="17" t="s">
        <v>3567</v>
      </c>
      <c r="E2356" t="str">
        <f t="shared" si="164"/>
        <v>data/characters-alternate-distant-4.positions</v>
      </c>
      <c r="F2356" s="16" t="s">
        <v>3568</v>
      </c>
      <c r="G2356" s="5">
        <f t="shared" si="161"/>
        <v>100080</v>
      </c>
      <c r="H2356" s="5">
        <v>8</v>
      </c>
      <c r="I2356" s="6" t="str">
        <f t="shared" si="162"/>
        <v>8</v>
      </c>
      <c r="K2356" s="19" t="s">
        <v>3574</v>
      </c>
    </row>
    <row r="2357" spans="1:11" ht="17">
      <c r="A2357" t="s">
        <v>2982</v>
      </c>
      <c r="B2357" s="17" t="s">
        <v>3569</v>
      </c>
      <c r="C2357" s="5" t="s">
        <v>48</v>
      </c>
      <c r="D2357" s="17" t="s">
        <v>3570</v>
      </c>
      <c r="E2357" t="str">
        <f t="shared" si="164"/>
        <v>data/characters-alternate-distant-5.positions</v>
      </c>
      <c r="F2357" s="16" t="s">
        <v>3571</v>
      </c>
      <c r="G2357" s="5">
        <f t="shared" si="161"/>
        <v>100088</v>
      </c>
      <c r="H2357" s="5">
        <v>8</v>
      </c>
      <c r="I2357" s="6" t="str">
        <f t="shared" si="162"/>
        <v>8</v>
      </c>
      <c r="K2357" s="19" t="s">
        <v>3574</v>
      </c>
    </row>
    <row r="2358" spans="1:11">
      <c r="A2358" t="s">
        <v>2984</v>
      </c>
      <c r="B2358" t="s">
        <v>3085</v>
      </c>
      <c r="E2358" t="str">
        <f t="shared" si="164"/>
        <v/>
      </c>
      <c r="G2358" s="5" t="str">
        <f t="shared" si="161"/>
        <v/>
      </c>
      <c r="I2358" s="6" t="str">
        <f t="shared" si="162"/>
        <v>0</v>
      </c>
    </row>
    <row r="2359" spans="1:11" ht="17">
      <c r="A2359" t="s">
        <v>2991</v>
      </c>
      <c r="B2359" t="s">
        <v>2992</v>
      </c>
      <c r="E2359" t="str">
        <f t="shared" si="164"/>
        <v/>
      </c>
      <c r="F2359" s="16" t="s">
        <v>4366</v>
      </c>
      <c r="G2359" s="5">
        <f t="shared" si="161"/>
        <v>105226</v>
      </c>
      <c r="I2359" s="6" t="str">
        <f t="shared" si="162"/>
        <v>0</v>
      </c>
    </row>
    <row r="2360" spans="1:11" ht="17">
      <c r="A2360" t="s">
        <v>2993</v>
      </c>
      <c r="B2360" t="s">
        <v>2994</v>
      </c>
      <c r="E2360" t="str">
        <f t="shared" si="164"/>
        <v/>
      </c>
      <c r="F2360" s="16" t="s">
        <v>4367</v>
      </c>
      <c r="G2360" s="5">
        <f t="shared" si="161"/>
        <v>105483</v>
      </c>
      <c r="I2360" s="6" t="str">
        <f t="shared" si="162"/>
        <v>0</v>
      </c>
    </row>
    <row r="2361" spans="1:11">
      <c r="A2361" t="s">
        <v>3822</v>
      </c>
      <c r="B2361" t="s">
        <v>3823</v>
      </c>
      <c r="C2361" s="5" t="s">
        <v>48</v>
      </c>
      <c r="D2361" t="s">
        <v>3824</v>
      </c>
      <c r="E2361" t="s">
        <v>3825</v>
      </c>
      <c r="F2361" s="5" t="s">
        <v>3826</v>
      </c>
      <c r="G2361" s="5">
        <f t="shared" si="161"/>
        <v>24566</v>
      </c>
      <c r="H2361" s="5">
        <v>8</v>
      </c>
      <c r="I2361" s="6" t="str">
        <f t="shared" si="162"/>
        <v>8</v>
      </c>
      <c r="K2361" s="19" t="s">
        <v>3827</v>
      </c>
    </row>
    <row r="2362" spans="1:11">
      <c r="A2362" t="s">
        <v>1634</v>
      </c>
      <c r="B2362" t="s">
        <v>3303</v>
      </c>
      <c r="G2362" s="5" t="str">
        <f t="shared" si="161"/>
        <v/>
      </c>
      <c r="I2362" s="6" t="str">
        <f t="shared" si="162"/>
        <v>0</v>
      </c>
      <c r="K2362" s="19" t="s">
        <v>4293</v>
      </c>
    </row>
    <row r="2363" spans="1:11">
      <c r="A2363" t="s">
        <v>1640</v>
      </c>
      <c r="B2363" t="s">
        <v>4291</v>
      </c>
      <c r="G2363" s="5" t="str">
        <f t="shared" si="161"/>
        <v/>
      </c>
      <c r="I2363" s="6" t="str">
        <f t="shared" si="162"/>
        <v>0</v>
      </c>
      <c r="K2363" s="19" t="s">
        <v>4294</v>
      </c>
    </row>
    <row r="2364" spans="1:11">
      <c r="A2364" t="s">
        <v>1651</v>
      </c>
      <c r="B2364" t="s">
        <v>4295</v>
      </c>
      <c r="G2364" s="5" t="str">
        <f t="shared" si="161"/>
        <v/>
      </c>
      <c r="I2364" s="6" t="str">
        <f t="shared" si="162"/>
        <v>0</v>
      </c>
      <c r="K2364" s="19" t="s">
        <v>4296</v>
      </c>
    </row>
    <row r="2365" spans="1:11">
      <c r="A2365" t="s">
        <v>1655</v>
      </c>
      <c r="B2365" t="s">
        <v>4292</v>
      </c>
      <c r="G2365" s="5" t="str">
        <f t="shared" si="161"/>
        <v/>
      </c>
      <c r="I2365" s="6" t="str">
        <f t="shared" si="162"/>
        <v>0</v>
      </c>
      <c r="K2365" s="19" t="s">
        <v>4297</v>
      </c>
    </row>
    <row r="2366" spans="1:11">
      <c r="A2366" t="s">
        <v>355</v>
      </c>
      <c r="B2366" t="s">
        <v>4298</v>
      </c>
      <c r="G2366" s="5" t="str">
        <f t="shared" si="161"/>
        <v/>
      </c>
      <c r="I2366" s="6" t="str">
        <f t="shared" si="162"/>
        <v>0</v>
      </c>
      <c r="K2366" s="19" t="s">
        <v>4299</v>
      </c>
    </row>
    <row r="2367" spans="1:11">
      <c r="A2367" t="s">
        <v>356</v>
      </c>
      <c r="B2367" t="s">
        <v>4300</v>
      </c>
      <c r="G2367" s="5" t="str">
        <f t="shared" si="161"/>
        <v/>
      </c>
      <c r="I2367" s="6" t="str">
        <f t="shared" si="162"/>
        <v>0</v>
      </c>
    </row>
    <row r="2368" spans="1:11">
      <c r="A2368" t="s">
        <v>357</v>
      </c>
      <c r="B2368" t="s">
        <v>4301</v>
      </c>
      <c r="G2368" s="5" t="str">
        <f t="shared" si="161"/>
        <v/>
      </c>
      <c r="I2368" s="6" t="str">
        <f t="shared" si="162"/>
        <v>0</v>
      </c>
      <c r="K2368" s="19" t="s">
        <v>4302</v>
      </c>
    </row>
    <row r="2369" spans="1:11">
      <c r="A2369" t="s">
        <v>358</v>
      </c>
      <c r="B2369" t="s">
        <v>4303</v>
      </c>
      <c r="G2369" s="5" t="str">
        <f t="shared" si="161"/>
        <v/>
      </c>
      <c r="I2369" s="6" t="str">
        <f t="shared" si="162"/>
        <v>0</v>
      </c>
      <c r="K2369" s="19" t="s">
        <v>4304</v>
      </c>
    </row>
    <row r="2370" spans="1:11">
      <c r="A2370" t="s">
        <v>359</v>
      </c>
      <c r="B2370" t="s">
        <v>4305</v>
      </c>
      <c r="G2370" s="5" t="str">
        <f t="shared" ref="G2370:G2433" si="165">IF(F2370&lt;&gt;"",HEX2DEC(SUBSTITUTE(SUBSTITUTE(F2370,"adrEA",""),"$","")),"")</f>
        <v/>
      </c>
      <c r="I2370" s="6" t="str">
        <f t="shared" ref="I2370:I2433" si="166">IFERROR(DEC2HEX(H2370),"")</f>
        <v>0</v>
      </c>
      <c r="K2370" s="19" t="s">
        <v>4306</v>
      </c>
    </row>
    <row r="2371" spans="1:11">
      <c r="A2371" t="s">
        <v>360</v>
      </c>
      <c r="B2371" t="s">
        <v>4307</v>
      </c>
      <c r="G2371" s="5" t="str">
        <f t="shared" si="165"/>
        <v/>
      </c>
      <c r="I2371" s="6" t="str">
        <f t="shared" si="166"/>
        <v>0</v>
      </c>
      <c r="K2371" s="19" t="s">
        <v>4308</v>
      </c>
    </row>
    <row r="2372" spans="1:11">
      <c r="A2372" t="s">
        <v>361</v>
      </c>
      <c r="B2372" t="s">
        <v>4309</v>
      </c>
      <c r="G2372" s="5" t="str">
        <f t="shared" si="165"/>
        <v/>
      </c>
      <c r="I2372" s="6" t="str">
        <f t="shared" si="166"/>
        <v>0</v>
      </c>
      <c r="K2372" s="19" t="s">
        <v>4310</v>
      </c>
    </row>
    <row r="2373" spans="1:11">
      <c r="A2373" t="s">
        <v>362</v>
      </c>
      <c r="B2373" t="s">
        <v>4311</v>
      </c>
      <c r="G2373" s="5" t="str">
        <f t="shared" si="165"/>
        <v/>
      </c>
      <c r="I2373" s="6" t="str">
        <f t="shared" si="166"/>
        <v>0</v>
      </c>
      <c r="K2373" s="19" t="s">
        <v>4312</v>
      </c>
    </row>
    <row r="2374" spans="1:11">
      <c r="A2374" t="s">
        <v>363</v>
      </c>
      <c r="B2374" t="s">
        <v>4313</v>
      </c>
      <c r="G2374" s="5" t="str">
        <f t="shared" si="165"/>
        <v/>
      </c>
      <c r="I2374" s="6" t="str">
        <f t="shared" si="166"/>
        <v>0</v>
      </c>
      <c r="K2374" s="19" t="s">
        <v>4314</v>
      </c>
    </row>
    <row r="2375" spans="1:11">
      <c r="A2375" t="s">
        <v>364</v>
      </c>
      <c r="B2375" t="s">
        <v>4315</v>
      </c>
      <c r="G2375" s="5" t="str">
        <f t="shared" si="165"/>
        <v/>
      </c>
      <c r="I2375" s="6" t="str">
        <f t="shared" si="166"/>
        <v>0</v>
      </c>
      <c r="K2375" s="19" t="s">
        <v>4316</v>
      </c>
    </row>
    <row r="2376" spans="1:11">
      <c r="A2376" t="s">
        <v>365</v>
      </c>
      <c r="B2376" t="s">
        <v>4317</v>
      </c>
      <c r="G2376" s="5" t="str">
        <f t="shared" si="165"/>
        <v/>
      </c>
      <c r="I2376" s="6" t="str">
        <f t="shared" si="166"/>
        <v>0</v>
      </c>
      <c r="K2376" s="19" t="s">
        <v>4318</v>
      </c>
    </row>
    <row r="2377" spans="1:11">
      <c r="A2377" t="s">
        <v>1515</v>
      </c>
      <c r="B2377" t="s">
        <v>4319</v>
      </c>
      <c r="G2377" s="5" t="str">
        <f t="shared" si="165"/>
        <v/>
      </c>
      <c r="I2377" s="6" t="str">
        <f t="shared" si="166"/>
        <v>0</v>
      </c>
      <c r="K2377" s="19" t="s">
        <v>4320</v>
      </c>
    </row>
    <row r="2378" spans="1:11">
      <c r="A2378" t="s">
        <v>1516</v>
      </c>
      <c r="B2378" t="s">
        <v>4321</v>
      </c>
      <c r="G2378" s="5" t="str">
        <f t="shared" si="165"/>
        <v/>
      </c>
      <c r="I2378" s="6" t="str">
        <f t="shared" si="166"/>
        <v>0</v>
      </c>
      <c r="K2378" s="19" t="s">
        <v>4322</v>
      </c>
    </row>
    <row r="2379" spans="1:11">
      <c r="A2379" t="s">
        <v>1518</v>
      </c>
      <c r="B2379" t="s">
        <v>4323</v>
      </c>
      <c r="G2379" s="5" t="str">
        <f t="shared" si="165"/>
        <v/>
      </c>
      <c r="I2379" s="6" t="str">
        <f t="shared" si="166"/>
        <v>0</v>
      </c>
    </row>
    <row r="2380" spans="1:11">
      <c r="A2380" t="s">
        <v>1519</v>
      </c>
      <c r="B2380" t="s">
        <v>4324</v>
      </c>
      <c r="G2380" s="5" t="str">
        <f t="shared" si="165"/>
        <v/>
      </c>
      <c r="I2380" s="6" t="str">
        <f t="shared" si="166"/>
        <v>0</v>
      </c>
      <c r="K2380" s="19" t="s">
        <v>4325</v>
      </c>
    </row>
    <row r="2381" spans="1:11">
      <c r="A2381" t="s">
        <v>1520</v>
      </c>
      <c r="B2381" t="s">
        <v>4326</v>
      </c>
      <c r="G2381" s="5" t="str">
        <f t="shared" si="165"/>
        <v/>
      </c>
      <c r="I2381" s="6" t="str">
        <f t="shared" si="166"/>
        <v>0</v>
      </c>
      <c r="K2381" s="19" t="s">
        <v>4327</v>
      </c>
    </row>
    <row r="2382" spans="1:11">
      <c r="A2382" t="s">
        <v>1521</v>
      </c>
      <c r="B2382" t="s">
        <v>4328</v>
      </c>
      <c r="G2382" s="5" t="str">
        <f t="shared" si="165"/>
        <v/>
      </c>
      <c r="I2382" s="6" t="str">
        <f t="shared" si="166"/>
        <v>0</v>
      </c>
      <c r="K2382" s="19" t="s">
        <v>4329</v>
      </c>
    </row>
    <row r="2383" spans="1:11">
      <c r="A2383" t="s">
        <v>1522</v>
      </c>
      <c r="B2383" t="s">
        <v>4330</v>
      </c>
      <c r="G2383" s="5" t="str">
        <f t="shared" si="165"/>
        <v/>
      </c>
      <c r="I2383" s="6" t="str">
        <f t="shared" si="166"/>
        <v>0</v>
      </c>
    </row>
    <row r="2384" spans="1:11">
      <c r="A2384" t="s">
        <v>1523</v>
      </c>
      <c r="B2384" t="s">
        <v>4331</v>
      </c>
      <c r="G2384" s="5" t="str">
        <f t="shared" si="165"/>
        <v/>
      </c>
      <c r="I2384" s="6" t="str">
        <f t="shared" si="166"/>
        <v>0</v>
      </c>
      <c r="K2384" s="19" t="s">
        <v>4332</v>
      </c>
    </row>
    <row r="2385" spans="1:11">
      <c r="A2385" t="s">
        <v>1524</v>
      </c>
      <c r="B2385" t="s">
        <v>4333</v>
      </c>
      <c r="G2385" s="5" t="str">
        <f t="shared" si="165"/>
        <v/>
      </c>
      <c r="I2385" s="6" t="str">
        <f t="shared" si="166"/>
        <v>0</v>
      </c>
      <c r="K2385" s="19" t="s">
        <v>4334</v>
      </c>
    </row>
    <row r="2386" spans="1:11">
      <c r="A2386" t="s">
        <v>1525</v>
      </c>
      <c r="B2386" t="s">
        <v>4335</v>
      </c>
      <c r="G2386" s="5" t="str">
        <f t="shared" si="165"/>
        <v/>
      </c>
      <c r="I2386" s="6" t="str">
        <f t="shared" si="166"/>
        <v>0</v>
      </c>
    </row>
    <row r="2387" spans="1:11">
      <c r="A2387" t="s">
        <v>1533</v>
      </c>
      <c r="B2387" t="s">
        <v>4336</v>
      </c>
      <c r="G2387" s="5" t="str">
        <f t="shared" si="165"/>
        <v/>
      </c>
      <c r="I2387" s="6" t="str">
        <f t="shared" si="166"/>
        <v>0</v>
      </c>
      <c r="K2387" s="19" t="s">
        <v>4337</v>
      </c>
    </row>
    <row r="2388" spans="1:11">
      <c r="A2388" t="s">
        <v>1534</v>
      </c>
      <c r="B2388" t="s">
        <v>4338</v>
      </c>
      <c r="G2388" s="5" t="str">
        <f t="shared" si="165"/>
        <v/>
      </c>
      <c r="I2388" s="6" t="str">
        <f t="shared" si="166"/>
        <v>0</v>
      </c>
      <c r="K2388" s="19" t="s">
        <v>4339</v>
      </c>
    </row>
    <row r="2389" spans="1:11">
      <c r="A2389" t="s">
        <v>1535</v>
      </c>
      <c r="B2389" t="s">
        <v>4340</v>
      </c>
      <c r="G2389" s="5" t="str">
        <f t="shared" si="165"/>
        <v/>
      </c>
      <c r="I2389" s="6" t="str">
        <f t="shared" si="166"/>
        <v>0</v>
      </c>
      <c r="K2389" s="19" t="s">
        <v>4341</v>
      </c>
    </row>
    <row r="2390" spans="1:11">
      <c r="A2390" t="s">
        <v>1536</v>
      </c>
      <c r="B2390" t="s">
        <v>4342</v>
      </c>
      <c r="G2390" s="5" t="str">
        <f t="shared" si="165"/>
        <v/>
      </c>
      <c r="I2390" s="6" t="str">
        <f t="shared" si="166"/>
        <v>0</v>
      </c>
      <c r="K2390" s="19" t="s">
        <v>4343</v>
      </c>
    </row>
    <row r="2391" spans="1:11">
      <c r="A2391" t="s">
        <v>1537</v>
      </c>
      <c r="B2391" t="s">
        <v>4344</v>
      </c>
      <c r="G2391" s="5" t="str">
        <f t="shared" si="165"/>
        <v/>
      </c>
      <c r="I2391" s="6" t="str">
        <f t="shared" si="166"/>
        <v>0</v>
      </c>
    </row>
    <row r="2392" spans="1:11">
      <c r="A2392" t="s">
        <v>1539</v>
      </c>
      <c r="B2392" t="s">
        <v>4345</v>
      </c>
      <c r="G2392" s="5" t="str">
        <f t="shared" si="165"/>
        <v/>
      </c>
      <c r="I2392" s="6" t="str">
        <f t="shared" si="166"/>
        <v>0</v>
      </c>
      <c r="K2392" s="19" t="s">
        <v>4346</v>
      </c>
    </row>
    <row r="2393" spans="1:11">
      <c r="A2393" t="s">
        <v>1540</v>
      </c>
      <c r="B2393" t="s">
        <v>4347</v>
      </c>
      <c r="G2393" s="5" t="str">
        <f t="shared" si="165"/>
        <v/>
      </c>
      <c r="I2393" s="6" t="str">
        <f t="shared" si="166"/>
        <v>0</v>
      </c>
      <c r="K2393" s="19" t="s">
        <v>4348</v>
      </c>
    </row>
    <row r="2394" spans="1:11">
      <c r="A2394" t="s">
        <v>1541</v>
      </c>
      <c r="B2394" t="s">
        <v>4349</v>
      </c>
      <c r="G2394" s="5" t="str">
        <f t="shared" si="165"/>
        <v/>
      </c>
      <c r="I2394" s="6" t="str">
        <f t="shared" si="166"/>
        <v>0</v>
      </c>
      <c r="K2394" s="19" t="s">
        <v>4350</v>
      </c>
    </row>
    <row r="2395" spans="1:11">
      <c r="A2395" t="s">
        <v>1542</v>
      </c>
      <c r="B2395" t="s">
        <v>4351</v>
      </c>
      <c r="G2395" s="5" t="str">
        <f t="shared" si="165"/>
        <v/>
      </c>
      <c r="I2395" s="6" t="str">
        <f t="shared" si="166"/>
        <v>0</v>
      </c>
    </row>
    <row r="2396" spans="1:11">
      <c r="A2396" t="s">
        <v>1545</v>
      </c>
      <c r="B2396" t="s">
        <v>4352</v>
      </c>
      <c r="G2396" s="5" t="str">
        <f t="shared" si="165"/>
        <v/>
      </c>
      <c r="I2396" s="6" t="str">
        <f t="shared" si="166"/>
        <v>0</v>
      </c>
      <c r="K2396" s="19" t="s">
        <v>4353</v>
      </c>
    </row>
    <row r="2397" spans="1:11">
      <c r="A2397" t="s">
        <v>1548</v>
      </c>
      <c r="B2397" t="s">
        <v>4354</v>
      </c>
      <c r="G2397" s="5" t="str">
        <f t="shared" si="165"/>
        <v/>
      </c>
      <c r="I2397" s="6" t="str">
        <f t="shared" si="166"/>
        <v>0</v>
      </c>
      <c r="K2397" s="19" t="s">
        <v>4355</v>
      </c>
    </row>
    <row r="2398" spans="1:11">
      <c r="A2398" t="s">
        <v>1549</v>
      </c>
      <c r="B2398" t="s">
        <v>4356</v>
      </c>
      <c r="G2398" s="5" t="str">
        <f t="shared" si="165"/>
        <v/>
      </c>
      <c r="I2398" s="6" t="str">
        <f t="shared" si="166"/>
        <v>0</v>
      </c>
      <c r="K2398" s="19" t="s">
        <v>4357</v>
      </c>
    </row>
    <row r="2399" spans="1:11">
      <c r="A2399" t="s">
        <v>1550</v>
      </c>
      <c r="B2399" t="s">
        <v>4358</v>
      </c>
      <c r="G2399" s="5" t="str">
        <f t="shared" si="165"/>
        <v/>
      </c>
      <c r="I2399" s="6" t="str">
        <f t="shared" si="166"/>
        <v>0</v>
      </c>
      <c r="K2399" s="19" t="s">
        <v>4359</v>
      </c>
    </row>
    <row r="2400" spans="1:11">
      <c r="A2400" t="s">
        <v>1572</v>
      </c>
      <c r="B2400" t="s">
        <v>4360</v>
      </c>
      <c r="G2400" s="5" t="str">
        <f t="shared" si="165"/>
        <v/>
      </c>
      <c r="I2400" s="6" t="str">
        <f t="shared" si="166"/>
        <v>0</v>
      </c>
      <c r="K2400" s="19" t="s">
        <v>4361</v>
      </c>
    </row>
    <row r="2401" spans="1:11">
      <c r="A2401" t="s">
        <v>1573</v>
      </c>
      <c r="B2401" t="s">
        <v>4362</v>
      </c>
      <c r="G2401" s="5" t="str">
        <f t="shared" si="165"/>
        <v/>
      </c>
      <c r="I2401" s="6" t="str">
        <f t="shared" si="166"/>
        <v>0</v>
      </c>
      <c r="K2401" s="19" t="s">
        <v>4363</v>
      </c>
    </row>
    <row r="2402" spans="1:11">
      <c r="A2402" t="s">
        <v>2963</v>
      </c>
      <c r="B2402" t="s">
        <v>4364</v>
      </c>
      <c r="G2402" s="5" t="str">
        <f t="shared" si="165"/>
        <v/>
      </c>
      <c r="I2402" s="6" t="str">
        <f t="shared" si="166"/>
        <v>0</v>
      </c>
      <c r="K2402" s="19" t="s">
        <v>4365</v>
      </c>
    </row>
    <row r="2403" spans="1:11">
      <c r="A2403" t="s">
        <v>2926</v>
      </c>
      <c r="B2403" t="s">
        <v>4374</v>
      </c>
      <c r="C2403" s="5" t="s">
        <v>7</v>
      </c>
      <c r="F2403" s="5" t="s">
        <v>4375</v>
      </c>
      <c r="G2403" s="5">
        <f t="shared" si="165"/>
        <v>61138</v>
      </c>
      <c r="H2403" s="5">
        <v>1</v>
      </c>
      <c r="I2403" s="6" t="str">
        <f t="shared" si="166"/>
        <v>1</v>
      </c>
      <c r="K2403" s="19" t="s">
        <v>4376</v>
      </c>
    </row>
    <row r="2404" spans="1:11">
      <c r="A2404" t="s">
        <v>2941</v>
      </c>
      <c r="B2404" t="s">
        <v>4377</v>
      </c>
      <c r="C2404" s="5" t="s">
        <v>7</v>
      </c>
      <c r="F2404" s="5" t="s">
        <v>4378</v>
      </c>
      <c r="G2404" s="5">
        <f t="shared" si="165"/>
        <v>61236</v>
      </c>
      <c r="H2404" s="5">
        <v>1</v>
      </c>
      <c r="I2404" s="6" t="str">
        <f t="shared" si="166"/>
        <v>1</v>
      </c>
      <c r="K2404" s="19" t="s">
        <v>4379</v>
      </c>
    </row>
    <row r="2405" spans="1:11">
      <c r="A2405" t="s">
        <v>1055</v>
      </c>
      <c r="B2405" t="s">
        <v>4380</v>
      </c>
      <c r="C2405" s="5" t="s">
        <v>7</v>
      </c>
      <c r="F2405" s="5" t="s">
        <v>4381</v>
      </c>
      <c r="G2405" s="5">
        <f t="shared" si="165"/>
        <v>16790</v>
      </c>
      <c r="I2405" s="6" t="str">
        <f t="shared" si="166"/>
        <v>0</v>
      </c>
      <c r="K2405" s="19" t="s">
        <v>4382</v>
      </c>
    </row>
    <row r="2406" spans="1:11">
      <c r="A2406" t="s">
        <v>1081</v>
      </c>
      <c r="B2406" t="s">
        <v>4383</v>
      </c>
      <c r="C2406" s="5" t="s">
        <v>7</v>
      </c>
      <c r="F2406" s="5" t="s">
        <v>4384</v>
      </c>
      <c r="G2406" s="5">
        <f t="shared" si="165"/>
        <v>17162</v>
      </c>
      <c r="I2406" s="6" t="str">
        <f t="shared" si="166"/>
        <v>0</v>
      </c>
      <c r="K2406" s="19" t="s">
        <v>4385</v>
      </c>
    </row>
    <row r="2407" spans="1:11">
      <c r="A2407" t="s">
        <v>1173</v>
      </c>
      <c r="B2407" t="s">
        <v>4386</v>
      </c>
      <c r="C2407" s="5" t="s">
        <v>7</v>
      </c>
      <c r="F2407" s="5" t="s">
        <v>4387</v>
      </c>
      <c r="G2407" s="5">
        <f t="shared" si="165"/>
        <v>19600</v>
      </c>
      <c r="I2407" s="6" t="str">
        <f t="shared" si="166"/>
        <v>0</v>
      </c>
      <c r="K2407" s="19" t="s">
        <v>4388</v>
      </c>
    </row>
    <row r="2408" spans="1:11">
      <c r="A2408" t="s">
        <v>1177</v>
      </c>
      <c r="B2408" t="s">
        <v>4389</v>
      </c>
      <c r="C2408" s="5" t="s">
        <v>7</v>
      </c>
      <c r="F2408" s="5" t="s">
        <v>4390</v>
      </c>
      <c r="G2408" s="5">
        <f t="shared" si="165"/>
        <v>19762</v>
      </c>
      <c r="I2408" s="6" t="str">
        <f t="shared" si="166"/>
        <v>0</v>
      </c>
      <c r="K2408" s="19" t="s">
        <v>4391</v>
      </c>
    </row>
    <row r="2409" spans="1:11">
      <c r="A2409" t="s">
        <v>1183</v>
      </c>
      <c r="B2409" t="s">
        <v>4392</v>
      </c>
      <c r="C2409" s="5" t="s">
        <v>7</v>
      </c>
      <c r="F2409" s="5" t="s">
        <v>4393</v>
      </c>
      <c r="G2409" s="5">
        <f t="shared" si="165"/>
        <v>19892</v>
      </c>
      <c r="I2409" s="6" t="str">
        <f t="shared" si="166"/>
        <v>0</v>
      </c>
      <c r="K2409" s="19" t="s">
        <v>4394</v>
      </c>
    </row>
    <row r="2410" spans="1:11">
      <c r="A2410" t="s">
        <v>1186</v>
      </c>
      <c r="B2410" t="s">
        <v>4395</v>
      </c>
      <c r="C2410" s="5" t="s">
        <v>7</v>
      </c>
      <c r="F2410" s="5" t="s">
        <v>4396</v>
      </c>
      <c r="G2410" s="5">
        <f t="shared" si="165"/>
        <v>19928</v>
      </c>
      <c r="I2410" s="6" t="str">
        <f t="shared" si="166"/>
        <v>0</v>
      </c>
      <c r="K2410" s="19" t="s">
        <v>4397</v>
      </c>
    </row>
    <row r="2411" spans="1:11">
      <c r="A2411" t="s">
        <v>1189</v>
      </c>
      <c r="B2411" t="s">
        <v>4398</v>
      </c>
      <c r="C2411" s="5" t="s">
        <v>7</v>
      </c>
      <c r="F2411" s="5" t="s">
        <v>4399</v>
      </c>
      <c r="G2411" s="5">
        <f t="shared" si="165"/>
        <v>19946</v>
      </c>
      <c r="I2411" s="6" t="str">
        <f t="shared" si="166"/>
        <v>0</v>
      </c>
      <c r="K2411" s="19" t="s">
        <v>4400</v>
      </c>
    </row>
    <row r="2412" spans="1:11">
      <c r="A2412" t="s">
        <v>1200</v>
      </c>
      <c r="B2412" t="s">
        <v>4741</v>
      </c>
      <c r="C2412" s="5" t="s">
        <v>7</v>
      </c>
      <c r="F2412" s="5" t="s">
        <v>4401</v>
      </c>
      <c r="G2412" s="5">
        <f t="shared" si="165"/>
        <v>20110</v>
      </c>
      <c r="I2412" s="6" t="str">
        <f t="shared" si="166"/>
        <v>0</v>
      </c>
      <c r="K2412" s="19" t="s">
        <v>4742</v>
      </c>
    </row>
    <row r="2413" spans="1:11">
      <c r="A2413" t="s">
        <v>1383</v>
      </c>
      <c r="B2413" t="s">
        <v>4402</v>
      </c>
      <c r="C2413" s="5" t="s">
        <v>7</v>
      </c>
      <c r="F2413" s="5" t="s">
        <v>4403</v>
      </c>
      <c r="G2413" s="5">
        <f t="shared" si="165"/>
        <v>22418</v>
      </c>
      <c r="I2413" s="6" t="str">
        <f t="shared" si="166"/>
        <v>0</v>
      </c>
      <c r="K2413" s="19" t="s">
        <v>4404</v>
      </c>
    </row>
    <row r="2414" spans="1:11">
      <c r="A2414" t="s">
        <v>1386</v>
      </c>
      <c r="B2414" t="s">
        <v>4405</v>
      </c>
      <c r="C2414" s="5" t="s">
        <v>7</v>
      </c>
      <c r="F2414" s="5" t="s">
        <v>4406</v>
      </c>
      <c r="G2414" s="5">
        <f t="shared" si="165"/>
        <v>22444</v>
      </c>
      <c r="I2414" s="6" t="str">
        <f t="shared" si="166"/>
        <v>0</v>
      </c>
      <c r="K2414" s="19" t="s">
        <v>4407</v>
      </c>
    </row>
    <row r="2415" spans="1:11">
      <c r="A2415" t="s">
        <v>1387</v>
      </c>
      <c r="B2415" t="s">
        <v>4408</v>
      </c>
      <c r="C2415" s="5" t="s">
        <v>7</v>
      </c>
      <c r="F2415" s="5" t="s">
        <v>4409</v>
      </c>
      <c r="G2415" s="5">
        <f t="shared" si="165"/>
        <v>22458</v>
      </c>
      <c r="I2415" s="6" t="str">
        <f t="shared" si="166"/>
        <v>0</v>
      </c>
      <c r="K2415" s="19" t="s">
        <v>4410</v>
      </c>
    </row>
    <row r="2416" spans="1:11">
      <c r="A2416" t="s">
        <v>1391</v>
      </c>
      <c r="B2416" t="s">
        <v>4411</v>
      </c>
      <c r="C2416" s="5" t="s">
        <v>5205</v>
      </c>
      <c r="G2416" s="5" t="str">
        <f t="shared" si="165"/>
        <v/>
      </c>
      <c r="I2416" s="6" t="str">
        <f t="shared" si="166"/>
        <v>0</v>
      </c>
      <c r="K2416" s="24" t="s">
        <v>5220</v>
      </c>
    </row>
    <row r="2417" spans="1:11">
      <c r="A2417" t="s">
        <v>1394</v>
      </c>
      <c r="B2417" t="s">
        <v>4412</v>
      </c>
      <c r="C2417" s="5" t="s">
        <v>5205</v>
      </c>
      <c r="G2417" s="5" t="str">
        <f t="shared" si="165"/>
        <v/>
      </c>
      <c r="I2417" s="6" t="str">
        <f t="shared" si="166"/>
        <v>0</v>
      </c>
      <c r="K2417" s="24" t="s">
        <v>5222</v>
      </c>
    </row>
    <row r="2418" spans="1:11">
      <c r="A2418" t="s">
        <v>1482</v>
      </c>
      <c r="B2418" t="s">
        <v>4413</v>
      </c>
      <c r="C2418" s="5" t="s">
        <v>7</v>
      </c>
      <c r="F2418" s="5" t="s">
        <v>4414</v>
      </c>
      <c r="G2418" s="5">
        <f t="shared" si="165"/>
        <v>24478</v>
      </c>
      <c r="I2418" s="6" t="str">
        <f t="shared" si="166"/>
        <v>0</v>
      </c>
      <c r="K2418" s="19" t="s">
        <v>4415</v>
      </c>
    </row>
    <row r="2419" spans="1:11">
      <c r="A2419" t="s">
        <v>1483</v>
      </c>
      <c r="B2419" t="s">
        <v>4416</v>
      </c>
      <c r="C2419" s="5" t="s">
        <v>7</v>
      </c>
      <c r="F2419" s="5" t="s">
        <v>4417</v>
      </c>
      <c r="G2419" s="5">
        <f t="shared" si="165"/>
        <v>24486</v>
      </c>
      <c r="I2419" s="6" t="str">
        <f t="shared" si="166"/>
        <v>0</v>
      </c>
      <c r="K2419" s="19" t="s">
        <v>4418</v>
      </c>
    </row>
    <row r="2420" spans="1:11">
      <c r="A2420" t="s">
        <v>1553</v>
      </c>
      <c r="B2420" t="s">
        <v>4419</v>
      </c>
      <c r="C2420" s="5" t="s">
        <v>7</v>
      </c>
      <c r="F2420" s="5" t="s">
        <v>4420</v>
      </c>
      <c r="G2420" s="5">
        <f t="shared" si="165"/>
        <v>25794</v>
      </c>
      <c r="I2420" s="6" t="str">
        <f t="shared" si="166"/>
        <v>0</v>
      </c>
      <c r="K2420" s="19" t="s">
        <v>4421</v>
      </c>
    </row>
    <row r="2421" spans="1:11">
      <c r="A2421" t="s">
        <v>1559</v>
      </c>
      <c r="B2421" t="s">
        <v>4422</v>
      </c>
      <c r="C2421" s="5" t="s">
        <v>7</v>
      </c>
      <c r="F2421" s="5" t="s">
        <v>4423</v>
      </c>
      <c r="G2421" s="5">
        <f t="shared" si="165"/>
        <v>25938</v>
      </c>
      <c r="I2421" s="6" t="str">
        <f t="shared" si="166"/>
        <v>0</v>
      </c>
      <c r="K2421" s="19" t="s">
        <v>4424</v>
      </c>
    </row>
    <row r="2422" spans="1:11">
      <c r="A2422" t="s">
        <v>1562</v>
      </c>
      <c r="B2422" t="s">
        <v>4425</v>
      </c>
      <c r="C2422" s="5" t="s">
        <v>5205</v>
      </c>
      <c r="G2422" s="5" t="str">
        <f t="shared" si="165"/>
        <v/>
      </c>
      <c r="I2422" s="6" t="str">
        <f t="shared" si="166"/>
        <v>0</v>
      </c>
      <c r="K2422" s="24" t="s">
        <v>5231</v>
      </c>
    </row>
    <row r="2423" spans="1:11">
      <c r="A2423" t="s">
        <v>2562</v>
      </c>
      <c r="B2423" t="s">
        <v>4426</v>
      </c>
      <c r="C2423" s="5" t="s">
        <v>7</v>
      </c>
      <c r="F2423" s="5" t="s">
        <v>4427</v>
      </c>
      <c r="G2423" s="5">
        <f t="shared" si="165"/>
        <v>49714</v>
      </c>
      <c r="I2423" s="6" t="str">
        <f t="shared" si="166"/>
        <v>0</v>
      </c>
      <c r="K2423" s="19" t="s">
        <v>4428</v>
      </c>
    </row>
    <row r="2424" spans="1:11">
      <c r="A2424" t="s">
        <v>2564</v>
      </c>
      <c r="B2424" t="s">
        <v>4429</v>
      </c>
      <c r="C2424" s="5" t="s">
        <v>7</v>
      </c>
      <c r="F2424" s="5" t="s">
        <v>4430</v>
      </c>
      <c r="G2424" s="5">
        <f t="shared" si="165"/>
        <v>49746</v>
      </c>
      <c r="I2424" s="6" t="str">
        <f t="shared" si="166"/>
        <v>0</v>
      </c>
      <c r="K2424" s="19" t="s">
        <v>4431</v>
      </c>
    </row>
    <row r="2425" spans="1:11">
      <c r="A2425" t="s">
        <v>2565</v>
      </c>
      <c r="B2425" t="s">
        <v>4432</v>
      </c>
      <c r="C2425" s="5" t="s">
        <v>7</v>
      </c>
      <c r="F2425" s="5" t="s">
        <v>4433</v>
      </c>
      <c r="G2425" s="5">
        <f t="shared" si="165"/>
        <v>49762</v>
      </c>
      <c r="I2425" s="6" t="str">
        <f t="shared" si="166"/>
        <v>0</v>
      </c>
      <c r="K2425" s="19" t="s">
        <v>4434</v>
      </c>
    </row>
    <row r="2426" spans="1:11">
      <c r="A2426" t="s">
        <v>1388</v>
      </c>
      <c r="B2426" t="s">
        <v>4435</v>
      </c>
      <c r="C2426" s="5" t="s">
        <v>7</v>
      </c>
      <c r="F2426" s="5" t="s">
        <v>4436</v>
      </c>
      <c r="G2426" s="5">
        <f t="shared" si="165"/>
        <v>22478</v>
      </c>
      <c r="I2426" s="6" t="str">
        <f t="shared" si="166"/>
        <v>0</v>
      </c>
      <c r="K2426" s="19" t="s">
        <v>4437</v>
      </c>
    </row>
    <row r="2427" spans="1:11">
      <c r="A2427" t="s">
        <v>783</v>
      </c>
      <c r="B2427" t="s">
        <v>4026</v>
      </c>
      <c r="G2427" s="5" t="str">
        <f t="shared" si="165"/>
        <v/>
      </c>
      <c r="I2427" s="6" t="str">
        <f t="shared" si="166"/>
        <v>0</v>
      </c>
      <c r="K2427" s="19" t="s">
        <v>4027</v>
      </c>
    </row>
    <row r="2428" spans="1:11">
      <c r="A2428" t="s">
        <v>784</v>
      </c>
      <c r="B2428" t="s">
        <v>4028</v>
      </c>
      <c r="G2428" s="5" t="str">
        <f t="shared" si="165"/>
        <v/>
      </c>
      <c r="I2428" s="6" t="str">
        <f t="shared" si="166"/>
        <v>0</v>
      </c>
      <c r="K2428" s="19" t="s">
        <v>4029</v>
      </c>
    </row>
    <row r="2429" spans="1:11">
      <c r="A2429" t="s">
        <v>3059</v>
      </c>
      <c r="B2429" t="s">
        <v>4030</v>
      </c>
      <c r="G2429" s="5" t="str">
        <f t="shared" si="165"/>
        <v/>
      </c>
      <c r="I2429" s="6" t="str">
        <f t="shared" si="166"/>
        <v>0</v>
      </c>
      <c r="K2429" s="19" t="s">
        <v>4031</v>
      </c>
    </row>
    <row r="2430" spans="1:11">
      <c r="A2430" t="s">
        <v>794</v>
      </c>
      <c r="B2430" t="s">
        <v>4032</v>
      </c>
      <c r="G2430" s="5" t="str">
        <f t="shared" si="165"/>
        <v/>
      </c>
      <c r="I2430" s="6" t="str">
        <f t="shared" si="166"/>
        <v>0</v>
      </c>
      <c r="K2430" s="19" t="s">
        <v>4033</v>
      </c>
    </row>
    <row r="2431" spans="1:11">
      <c r="A2431" t="s">
        <v>795</v>
      </c>
      <c r="B2431" t="s">
        <v>4034</v>
      </c>
      <c r="G2431" s="5" t="str">
        <f t="shared" si="165"/>
        <v/>
      </c>
      <c r="I2431" s="6" t="str">
        <f t="shared" si="166"/>
        <v>0</v>
      </c>
      <c r="K2431" s="19" t="s">
        <v>4035</v>
      </c>
    </row>
    <row r="2432" spans="1:11">
      <c r="A2432" t="s">
        <v>798</v>
      </c>
      <c r="B2432" t="s">
        <v>4036</v>
      </c>
      <c r="G2432" s="5" t="str">
        <f t="shared" si="165"/>
        <v/>
      </c>
      <c r="I2432" s="6" t="str">
        <f t="shared" si="166"/>
        <v>0</v>
      </c>
      <c r="K2432" s="19" t="s">
        <v>4037</v>
      </c>
    </row>
    <row r="2433" spans="1:11">
      <c r="A2433" t="s">
        <v>799</v>
      </c>
      <c r="B2433" t="s">
        <v>4038</v>
      </c>
      <c r="G2433" s="5" t="str">
        <f t="shared" si="165"/>
        <v/>
      </c>
      <c r="I2433" s="6" t="str">
        <f t="shared" si="166"/>
        <v>0</v>
      </c>
      <c r="K2433" s="19" t="s">
        <v>4039</v>
      </c>
    </row>
    <row r="2434" spans="1:11">
      <c r="A2434" t="s">
        <v>801</v>
      </c>
      <c r="B2434" t="s">
        <v>4040</v>
      </c>
      <c r="G2434" s="5" t="str">
        <f t="shared" ref="G2434:G2497" si="167">IF(F2434&lt;&gt;"",HEX2DEC(SUBSTITUTE(SUBSTITUTE(F2434,"adrEA",""),"$","")),"")</f>
        <v/>
      </c>
      <c r="I2434" s="6" t="str">
        <f t="shared" ref="I2434:I2497" si="168">IFERROR(DEC2HEX(H2434),"")</f>
        <v>0</v>
      </c>
      <c r="K2434" s="19" t="s">
        <v>4041</v>
      </c>
    </row>
    <row r="2435" spans="1:11">
      <c r="A2435" t="s">
        <v>803</v>
      </c>
      <c r="B2435" t="s">
        <v>4042</v>
      </c>
      <c r="G2435" s="5" t="str">
        <f t="shared" si="167"/>
        <v/>
      </c>
      <c r="I2435" s="6" t="str">
        <f t="shared" si="168"/>
        <v>0</v>
      </c>
      <c r="K2435" s="19" t="s">
        <v>4043</v>
      </c>
    </row>
    <row r="2436" spans="1:11">
      <c r="A2436" t="s">
        <v>805</v>
      </c>
      <c r="B2436" t="s">
        <v>4044</v>
      </c>
      <c r="G2436" s="5" t="str">
        <f t="shared" si="167"/>
        <v/>
      </c>
      <c r="I2436" s="6" t="str">
        <f t="shared" si="168"/>
        <v>0</v>
      </c>
      <c r="K2436" s="19" t="s">
        <v>4045</v>
      </c>
    </row>
    <row r="2437" spans="1:11">
      <c r="A2437" t="s">
        <v>808</v>
      </c>
      <c r="B2437" t="s">
        <v>4046</v>
      </c>
      <c r="G2437" s="5" t="str">
        <f t="shared" si="167"/>
        <v/>
      </c>
      <c r="I2437" s="6" t="str">
        <f t="shared" si="168"/>
        <v>0</v>
      </c>
      <c r="K2437" s="19" t="s">
        <v>4047</v>
      </c>
    </row>
    <row r="2438" spans="1:11">
      <c r="A2438" t="s">
        <v>814</v>
      </c>
      <c r="B2438" t="s">
        <v>4048</v>
      </c>
      <c r="G2438" s="5" t="str">
        <f t="shared" si="167"/>
        <v/>
      </c>
      <c r="I2438" s="6" t="str">
        <f t="shared" si="168"/>
        <v>0</v>
      </c>
      <c r="K2438" s="19" t="s">
        <v>4049</v>
      </c>
    </row>
    <row r="2439" spans="1:11">
      <c r="A2439" t="s">
        <v>3298</v>
      </c>
      <c r="B2439" t="s">
        <v>4050</v>
      </c>
      <c r="G2439" s="5" t="str">
        <f t="shared" si="167"/>
        <v/>
      </c>
      <c r="I2439" s="6" t="str">
        <f t="shared" si="168"/>
        <v>0</v>
      </c>
      <c r="K2439" s="19" t="s">
        <v>4051</v>
      </c>
    </row>
    <row r="2440" spans="1:11">
      <c r="A2440" t="s">
        <v>818</v>
      </c>
      <c r="B2440" t="s">
        <v>4052</v>
      </c>
      <c r="G2440" s="5" t="str">
        <f t="shared" si="167"/>
        <v/>
      </c>
      <c r="I2440" s="6" t="str">
        <f t="shared" si="168"/>
        <v>0</v>
      </c>
      <c r="K2440" s="19" t="s">
        <v>4053</v>
      </c>
    </row>
    <row r="2441" spans="1:11">
      <c r="A2441" t="s">
        <v>293</v>
      </c>
      <c r="B2441" t="s">
        <v>4054</v>
      </c>
      <c r="G2441" s="5" t="str">
        <f t="shared" si="167"/>
        <v/>
      </c>
      <c r="I2441" s="6" t="str">
        <f t="shared" si="168"/>
        <v>0</v>
      </c>
      <c r="K2441" s="19" t="s">
        <v>4055</v>
      </c>
    </row>
    <row r="2442" spans="1:11">
      <c r="A2442" t="s">
        <v>297</v>
      </c>
      <c r="B2442" t="s">
        <v>4056</v>
      </c>
      <c r="G2442" s="5" t="str">
        <f t="shared" si="167"/>
        <v/>
      </c>
      <c r="I2442" s="6" t="str">
        <f t="shared" si="168"/>
        <v>0</v>
      </c>
      <c r="K2442" s="19" t="s">
        <v>4057</v>
      </c>
    </row>
    <row r="2443" spans="1:11">
      <c r="A2443" t="s">
        <v>300</v>
      </c>
      <c r="B2443" t="s">
        <v>4058</v>
      </c>
      <c r="G2443" s="5" t="str">
        <f t="shared" si="167"/>
        <v/>
      </c>
      <c r="I2443" s="6" t="str">
        <f t="shared" si="168"/>
        <v>0</v>
      </c>
      <c r="K2443" s="19" t="s">
        <v>4059</v>
      </c>
    </row>
    <row r="2444" spans="1:11">
      <c r="A2444" t="s">
        <v>823</v>
      </c>
      <c r="B2444" t="s">
        <v>4060</v>
      </c>
      <c r="G2444" s="5" t="str">
        <f t="shared" si="167"/>
        <v/>
      </c>
      <c r="I2444" s="6" t="str">
        <f t="shared" si="168"/>
        <v>0</v>
      </c>
      <c r="K2444" s="19" t="s">
        <v>4061</v>
      </c>
    </row>
    <row r="2445" spans="1:11">
      <c r="A2445" t="s">
        <v>833</v>
      </c>
      <c r="B2445" t="s">
        <v>4062</v>
      </c>
      <c r="G2445" s="5" t="str">
        <f t="shared" si="167"/>
        <v/>
      </c>
      <c r="I2445" s="6" t="str">
        <f t="shared" si="168"/>
        <v>0</v>
      </c>
      <c r="K2445" s="19" t="s">
        <v>4063</v>
      </c>
    </row>
    <row r="2446" spans="1:11">
      <c r="A2446" t="s">
        <v>834</v>
      </c>
      <c r="B2446" t="s">
        <v>4064</v>
      </c>
      <c r="G2446" s="5" t="str">
        <f t="shared" si="167"/>
        <v/>
      </c>
      <c r="I2446" s="6" t="str">
        <f t="shared" si="168"/>
        <v>0</v>
      </c>
      <c r="K2446" s="19" t="s">
        <v>4065</v>
      </c>
    </row>
    <row r="2447" spans="1:11">
      <c r="A2447" t="s">
        <v>836</v>
      </c>
      <c r="B2447" t="s">
        <v>4066</v>
      </c>
      <c r="G2447" s="5" t="str">
        <f t="shared" si="167"/>
        <v/>
      </c>
      <c r="I2447" s="6" t="str">
        <f t="shared" si="168"/>
        <v>0</v>
      </c>
      <c r="K2447" s="19" t="s">
        <v>4067</v>
      </c>
    </row>
    <row r="2448" spans="1:11">
      <c r="A2448" t="s">
        <v>837</v>
      </c>
      <c r="B2448" t="s">
        <v>4068</v>
      </c>
      <c r="G2448" s="5" t="str">
        <f t="shared" si="167"/>
        <v/>
      </c>
      <c r="I2448" s="6" t="str">
        <f t="shared" si="168"/>
        <v>0</v>
      </c>
      <c r="K2448" s="19" t="s">
        <v>4069</v>
      </c>
    </row>
    <row r="2449" spans="1:11">
      <c r="A2449" t="s">
        <v>838</v>
      </c>
      <c r="B2449" t="s">
        <v>4070</v>
      </c>
      <c r="G2449" s="5" t="str">
        <f t="shared" si="167"/>
        <v/>
      </c>
      <c r="I2449" s="6" t="str">
        <f t="shared" si="168"/>
        <v>0</v>
      </c>
      <c r="K2449" s="19" t="s">
        <v>4071</v>
      </c>
    </row>
    <row r="2450" spans="1:11">
      <c r="A2450" t="s">
        <v>839</v>
      </c>
      <c r="B2450" t="s">
        <v>4072</v>
      </c>
      <c r="G2450" s="5" t="str">
        <f t="shared" si="167"/>
        <v/>
      </c>
      <c r="I2450" s="6" t="str">
        <f t="shared" si="168"/>
        <v>0</v>
      </c>
      <c r="K2450" s="19" t="s">
        <v>4073</v>
      </c>
    </row>
    <row r="2451" spans="1:11">
      <c r="A2451" t="s">
        <v>840</v>
      </c>
      <c r="B2451" t="s">
        <v>4074</v>
      </c>
      <c r="G2451" s="5" t="str">
        <f t="shared" si="167"/>
        <v/>
      </c>
      <c r="I2451" s="6" t="str">
        <f t="shared" si="168"/>
        <v>0</v>
      </c>
      <c r="K2451" s="19" t="s">
        <v>4075</v>
      </c>
    </row>
    <row r="2452" spans="1:11">
      <c r="A2452" t="s">
        <v>4076</v>
      </c>
      <c r="B2452" t="s">
        <v>4077</v>
      </c>
      <c r="G2452" s="5" t="str">
        <f t="shared" si="167"/>
        <v/>
      </c>
      <c r="I2452" s="6" t="str">
        <f t="shared" si="168"/>
        <v>0</v>
      </c>
      <c r="K2452" s="19" t="s">
        <v>4078</v>
      </c>
    </row>
    <row r="2453" spans="1:11">
      <c r="A2453" t="s">
        <v>841</v>
      </c>
      <c r="B2453" t="s">
        <v>4079</v>
      </c>
      <c r="G2453" s="5" t="str">
        <f t="shared" si="167"/>
        <v/>
      </c>
      <c r="I2453" s="6" t="str">
        <f t="shared" si="168"/>
        <v>0</v>
      </c>
      <c r="K2453" s="19" t="s">
        <v>4080</v>
      </c>
    </row>
    <row r="2454" spans="1:11">
      <c r="A2454" t="s">
        <v>842</v>
      </c>
      <c r="B2454" t="s">
        <v>4081</v>
      </c>
      <c r="G2454" s="5" t="str">
        <f t="shared" si="167"/>
        <v/>
      </c>
      <c r="I2454" s="6" t="str">
        <f t="shared" si="168"/>
        <v>0</v>
      </c>
      <c r="K2454" s="19" t="s">
        <v>4082</v>
      </c>
    </row>
    <row r="2455" spans="1:11">
      <c r="A2455" t="s">
        <v>843</v>
      </c>
      <c r="B2455" t="s">
        <v>4083</v>
      </c>
      <c r="G2455" s="5" t="str">
        <f t="shared" si="167"/>
        <v/>
      </c>
      <c r="I2455" s="6" t="str">
        <f t="shared" si="168"/>
        <v>0</v>
      </c>
      <c r="K2455" s="19" t="s">
        <v>4084</v>
      </c>
    </row>
    <row r="2456" spans="1:11">
      <c r="A2456" t="s">
        <v>844</v>
      </c>
      <c r="B2456" t="s">
        <v>4085</v>
      </c>
      <c r="G2456" s="5" t="str">
        <f t="shared" si="167"/>
        <v/>
      </c>
      <c r="I2456" s="6" t="str">
        <f t="shared" si="168"/>
        <v>0</v>
      </c>
      <c r="K2456" s="19" t="s">
        <v>4086</v>
      </c>
    </row>
    <row r="2457" spans="1:11">
      <c r="A2457" t="s">
        <v>845</v>
      </c>
      <c r="B2457" t="s">
        <v>4087</v>
      </c>
      <c r="G2457" s="5" t="str">
        <f t="shared" si="167"/>
        <v/>
      </c>
      <c r="I2457" s="6" t="str">
        <f t="shared" si="168"/>
        <v>0</v>
      </c>
      <c r="K2457" s="19" t="s">
        <v>4088</v>
      </c>
    </row>
    <row r="2458" spans="1:11">
      <c r="A2458" t="s">
        <v>846</v>
      </c>
      <c r="B2458" t="s">
        <v>4089</v>
      </c>
      <c r="G2458" s="5" t="str">
        <f t="shared" si="167"/>
        <v/>
      </c>
      <c r="I2458" s="6" t="str">
        <f t="shared" si="168"/>
        <v>0</v>
      </c>
      <c r="K2458" s="19" t="s">
        <v>4090</v>
      </c>
    </row>
    <row r="2459" spans="1:11">
      <c r="A2459" t="s">
        <v>847</v>
      </c>
      <c r="B2459" t="s">
        <v>4091</v>
      </c>
      <c r="G2459" s="5" t="str">
        <f t="shared" si="167"/>
        <v/>
      </c>
      <c r="I2459" s="6" t="str">
        <f t="shared" si="168"/>
        <v>0</v>
      </c>
      <c r="K2459" s="19" t="s">
        <v>4092</v>
      </c>
    </row>
    <row r="2460" spans="1:11">
      <c r="A2460" t="s">
        <v>848</v>
      </c>
      <c r="B2460" t="s">
        <v>4093</v>
      </c>
      <c r="G2460" s="5" t="str">
        <f t="shared" si="167"/>
        <v/>
      </c>
      <c r="I2460" s="6" t="str">
        <f t="shared" si="168"/>
        <v>0</v>
      </c>
      <c r="K2460" s="19" t="s">
        <v>4094</v>
      </c>
    </row>
    <row r="2461" spans="1:11">
      <c r="A2461" t="s">
        <v>3297</v>
      </c>
      <c r="B2461" t="s">
        <v>4095</v>
      </c>
      <c r="G2461" s="5" t="str">
        <f t="shared" si="167"/>
        <v/>
      </c>
      <c r="I2461" s="6" t="str">
        <f t="shared" si="168"/>
        <v>0</v>
      </c>
      <c r="K2461" s="19" t="s">
        <v>4096</v>
      </c>
    </row>
    <row r="2462" spans="1:11">
      <c r="A2462" t="s">
        <v>850</v>
      </c>
      <c r="B2462" t="s">
        <v>4097</v>
      </c>
      <c r="G2462" s="5" t="str">
        <f t="shared" si="167"/>
        <v/>
      </c>
      <c r="I2462" s="6" t="str">
        <f t="shared" si="168"/>
        <v>0</v>
      </c>
      <c r="K2462" s="19" t="s">
        <v>4098</v>
      </c>
    </row>
    <row r="2463" spans="1:11">
      <c r="A2463" t="s">
        <v>3299</v>
      </c>
      <c r="B2463" t="s">
        <v>4099</v>
      </c>
      <c r="G2463" s="5" t="str">
        <f t="shared" si="167"/>
        <v/>
      </c>
      <c r="I2463" s="6" t="str">
        <f t="shared" si="168"/>
        <v>0</v>
      </c>
      <c r="K2463" s="19" t="s">
        <v>4100</v>
      </c>
    </row>
    <row r="2464" spans="1:11">
      <c r="A2464" t="s">
        <v>296</v>
      </c>
      <c r="B2464" t="s">
        <v>4101</v>
      </c>
      <c r="G2464" s="5" t="str">
        <f t="shared" si="167"/>
        <v/>
      </c>
      <c r="I2464" s="6" t="str">
        <f t="shared" si="168"/>
        <v>0</v>
      </c>
      <c r="K2464" s="19" t="s">
        <v>4102</v>
      </c>
    </row>
    <row r="2465" spans="1:11">
      <c r="A2465" t="s">
        <v>876</v>
      </c>
      <c r="B2465" t="s">
        <v>4103</v>
      </c>
      <c r="G2465" s="5" t="str">
        <f t="shared" si="167"/>
        <v/>
      </c>
      <c r="I2465" s="6" t="str">
        <f t="shared" si="168"/>
        <v>0</v>
      </c>
      <c r="K2465" s="19" t="s">
        <v>4104</v>
      </c>
    </row>
    <row r="2466" spans="1:11">
      <c r="A2466" t="s">
        <v>882</v>
      </c>
      <c r="B2466" t="s">
        <v>4105</v>
      </c>
      <c r="G2466" s="5" t="str">
        <f t="shared" si="167"/>
        <v/>
      </c>
      <c r="I2466" s="6" t="str">
        <f t="shared" si="168"/>
        <v>0</v>
      </c>
      <c r="K2466" s="19" t="s">
        <v>4106</v>
      </c>
    </row>
    <row r="2467" spans="1:11">
      <c r="A2467" t="s">
        <v>886</v>
      </c>
      <c r="B2467" t="s">
        <v>4107</v>
      </c>
      <c r="G2467" s="5" t="str">
        <f t="shared" si="167"/>
        <v/>
      </c>
      <c r="I2467" s="6" t="str">
        <f t="shared" si="168"/>
        <v>0</v>
      </c>
      <c r="K2467" s="19" t="s">
        <v>4108</v>
      </c>
    </row>
    <row r="2468" spans="1:11">
      <c r="A2468" t="s">
        <v>887</v>
      </c>
      <c r="B2468" t="s">
        <v>4109</v>
      </c>
      <c r="G2468" s="5" t="str">
        <f t="shared" si="167"/>
        <v/>
      </c>
      <c r="I2468" s="6" t="str">
        <f t="shared" si="168"/>
        <v>0</v>
      </c>
      <c r="K2468" s="19" t="s">
        <v>4110</v>
      </c>
    </row>
    <row r="2469" spans="1:11">
      <c r="A2469" t="s">
        <v>888</v>
      </c>
      <c r="B2469" t="s">
        <v>4111</v>
      </c>
      <c r="G2469" s="5" t="str">
        <f t="shared" si="167"/>
        <v/>
      </c>
      <c r="I2469" s="6" t="str">
        <f t="shared" si="168"/>
        <v>0</v>
      </c>
      <c r="K2469" s="19" t="s">
        <v>4112</v>
      </c>
    </row>
    <row r="2470" spans="1:11">
      <c r="A2470" t="s">
        <v>889</v>
      </c>
      <c r="B2470" t="s">
        <v>4113</v>
      </c>
      <c r="G2470" s="5" t="str">
        <f t="shared" si="167"/>
        <v/>
      </c>
      <c r="I2470" s="6" t="str">
        <f t="shared" si="168"/>
        <v>0</v>
      </c>
      <c r="K2470" s="19" t="s">
        <v>4114</v>
      </c>
    </row>
    <row r="2471" spans="1:11">
      <c r="A2471" t="s">
        <v>890</v>
      </c>
      <c r="B2471" t="s">
        <v>4115</v>
      </c>
      <c r="G2471" s="5" t="str">
        <f t="shared" si="167"/>
        <v/>
      </c>
      <c r="I2471" s="6" t="str">
        <f t="shared" si="168"/>
        <v>0</v>
      </c>
      <c r="K2471" s="19" t="s">
        <v>4116</v>
      </c>
    </row>
    <row r="2472" spans="1:11">
      <c r="A2472" t="s">
        <v>891</v>
      </c>
      <c r="B2472" t="s">
        <v>4117</v>
      </c>
      <c r="G2472" s="5" t="str">
        <f t="shared" si="167"/>
        <v/>
      </c>
      <c r="I2472" s="6" t="str">
        <f t="shared" si="168"/>
        <v>0</v>
      </c>
      <c r="K2472" s="19" t="s">
        <v>4118</v>
      </c>
    </row>
    <row r="2473" spans="1:11">
      <c r="A2473" t="s">
        <v>892</v>
      </c>
      <c r="B2473" t="s">
        <v>4119</v>
      </c>
      <c r="G2473" s="5" t="str">
        <f t="shared" si="167"/>
        <v/>
      </c>
      <c r="I2473" s="6" t="str">
        <f t="shared" si="168"/>
        <v>0</v>
      </c>
      <c r="K2473" s="19" t="s">
        <v>4120</v>
      </c>
    </row>
    <row r="2474" spans="1:11">
      <c r="A2474" t="s">
        <v>893</v>
      </c>
      <c r="B2474" t="s">
        <v>4121</v>
      </c>
      <c r="G2474" s="5" t="str">
        <f t="shared" si="167"/>
        <v/>
      </c>
      <c r="I2474" s="6" t="str">
        <f t="shared" si="168"/>
        <v>0</v>
      </c>
      <c r="K2474" s="19" t="s">
        <v>4122</v>
      </c>
    </row>
    <row r="2475" spans="1:11">
      <c r="A2475" t="s">
        <v>894</v>
      </c>
      <c r="B2475" t="s">
        <v>4123</v>
      </c>
      <c r="G2475" s="5" t="str">
        <f t="shared" si="167"/>
        <v/>
      </c>
      <c r="I2475" s="6" t="str">
        <f t="shared" si="168"/>
        <v>0</v>
      </c>
      <c r="K2475" s="19" t="s">
        <v>4124</v>
      </c>
    </row>
    <row r="2476" spans="1:11">
      <c r="A2476" t="s">
        <v>895</v>
      </c>
      <c r="B2476" t="s">
        <v>4125</v>
      </c>
      <c r="G2476" s="5" t="str">
        <f t="shared" si="167"/>
        <v/>
      </c>
      <c r="I2476" s="6" t="str">
        <f t="shared" si="168"/>
        <v>0</v>
      </c>
      <c r="K2476" s="19" t="s">
        <v>4126</v>
      </c>
    </row>
    <row r="2477" spans="1:11">
      <c r="A2477" t="s">
        <v>900</v>
      </c>
      <c r="B2477" t="s">
        <v>4127</v>
      </c>
      <c r="G2477" s="5" t="str">
        <f t="shared" si="167"/>
        <v/>
      </c>
      <c r="I2477" s="6" t="str">
        <f t="shared" si="168"/>
        <v>0</v>
      </c>
      <c r="K2477" s="19" t="s">
        <v>4128</v>
      </c>
    </row>
    <row r="2478" spans="1:11">
      <c r="A2478" t="s">
        <v>903</v>
      </c>
      <c r="B2478" t="s">
        <v>4129</v>
      </c>
      <c r="G2478" s="5" t="str">
        <f t="shared" si="167"/>
        <v/>
      </c>
      <c r="I2478" s="6" t="str">
        <f t="shared" si="168"/>
        <v>0</v>
      </c>
      <c r="K2478" s="19" t="s">
        <v>4130</v>
      </c>
    </row>
    <row r="2479" spans="1:11">
      <c r="A2479" t="s">
        <v>904</v>
      </c>
      <c r="B2479" t="s">
        <v>4131</v>
      </c>
      <c r="G2479" s="5" t="str">
        <f t="shared" si="167"/>
        <v/>
      </c>
      <c r="I2479" s="6" t="str">
        <f t="shared" si="168"/>
        <v>0</v>
      </c>
      <c r="K2479" s="19" t="s">
        <v>4132</v>
      </c>
    </row>
    <row r="2480" spans="1:11">
      <c r="A2480" t="s">
        <v>911</v>
      </c>
      <c r="B2480" t="s">
        <v>4133</v>
      </c>
      <c r="G2480" s="5" t="str">
        <f t="shared" si="167"/>
        <v/>
      </c>
      <c r="I2480" s="6" t="str">
        <f t="shared" si="168"/>
        <v>0</v>
      </c>
      <c r="K2480" s="19" t="s">
        <v>4134</v>
      </c>
    </row>
    <row r="2481" spans="1:11">
      <c r="A2481" t="s">
        <v>913</v>
      </c>
      <c r="B2481" t="s">
        <v>4135</v>
      </c>
      <c r="G2481" s="5" t="str">
        <f t="shared" si="167"/>
        <v/>
      </c>
      <c r="I2481" s="6" t="str">
        <f t="shared" si="168"/>
        <v>0</v>
      </c>
      <c r="K2481" s="19" t="s">
        <v>4136</v>
      </c>
    </row>
    <row r="2482" spans="1:11">
      <c r="A2482" t="s">
        <v>914</v>
      </c>
      <c r="B2482" t="s">
        <v>4137</v>
      </c>
      <c r="G2482" s="5" t="str">
        <f t="shared" si="167"/>
        <v/>
      </c>
      <c r="I2482" s="6" t="str">
        <f t="shared" si="168"/>
        <v>0</v>
      </c>
      <c r="K2482" s="19" t="s">
        <v>4138</v>
      </c>
    </row>
    <row r="2483" spans="1:11">
      <c r="A2483" t="s">
        <v>915</v>
      </c>
      <c r="B2483" t="s">
        <v>4139</v>
      </c>
      <c r="G2483" s="5" t="str">
        <f t="shared" si="167"/>
        <v/>
      </c>
      <c r="I2483" s="6" t="str">
        <f t="shared" si="168"/>
        <v>0</v>
      </c>
      <c r="K2483" s="19" t="s">
        <v>4140</v>
      </c>
    </row>
    <row r="2484" spans="1:11">
      <c r="A2484" t="s">
        <v>916</v>
      </c>
      <c r="B2484" t="s">
        <v>4141</v>
      </c>
      <c r="G2484" s="5" t="str">
        <f t="shared" si="167"/>
        <v/>
      </c>
      <c r="I2484" s="6" t="str">
        <f t="shared" si="168"/>
        <v>0</v>
      </c>
      <c r="K2484" s="19" t="s">
        <v>4142</v>
      </c>
    </row>
    <row r="2485" spans="1:11">
      <c r="A2485" t="s">
        <v>917</v>
      </c>
      <c r="B2485" t="s">
        <v>4143</v>
      </c>
      <c r="G2485" s="5" t="str">
        <f t="shared" si="167"/>
        <v/>
      </c>
      <c r="I2485" s="6" t="str">
        <f t="shared" si="168"/>
        <v>0</v>
      </c>
      <c r="K2485" s="19" t="s">
        <v>4144</v>
      </c>
    </row>
    <row r="2486" spans="1:11">
      <c r="A2486" t="s">
        <v>919</v>
      </c>
      <c r="B2486" t="s">
        <v>4145</v>
      </c>
      <c r="G2486" s="5" t="str">
        <f t="shared" si="167"/>
        <v/>
      </c>
      <c r="I2486" s="6" t="str">
        <f t="shared" si="168"/>
        <v>0</v>
      </c>
      <c r="K2486" s="19" t="s">
        <v>4146</v>
      </c>
    </row>
    <row r="2487" spans="1:11">
      <c r="A2487" t="s">
        <v>920</v>
      </c>
      <c r="B2487" t="s">
        <v>4147</v>
      </c>
      <c r="G2487" s="5" t="str">
        <f t="shared" si="167"/>
        <v/>
      </c>
      <c r="I2487" s="6" t="str">
        <f t="shared" si="168"/>
        <v>0</v>
      </c>
      <c r="K2487" s="19" t="s">
        <v>4148</v>
      </c>
    </row>
    <row r="2488" spans="1:11">
      <c r="A2488" t="s">
        <v>921</v>
      </c>
      <c r="B2488" t="s">
        <v>4149</v>
      </c>
      <c r="G2488" s="5" t="str">
        <f t="shared" si="167"/>
        <v/>
      </c>
      <c r="I2488" s="6" t="str">
        <f t="shared" si="168"/>
        <v>0</v>
      </c>
      <c r="K2488" s="19" t="s">
        <v>4150</v>
      </c>
    </row>
    <row r="2489" spans="1:11">
      <c r="A2489" t="s">
        <v>922</v>
      </c>
      <c r="B2489" t="s">
        <v>4151</v>
      </c>
      <c r="G2489" s="5" t="str">
        <f t="shared" si="167"/>
        <v/>
      </c>
      <c r="I2489" s="6" t="str">
        <f t="shared" si="168"/>
        <v>0</v>
      </c>
      <c r="K2489" s="19" t="s">
        <v>4152</v>
      </c>
    </row>
    <row r="2490" spans="1:11">
      <c r="A2490" t="s">
        <v>923</v>
      </c>
      <c r="B2490" t="s">
        <v>4153</v>
      </c>
      <c r="G2490" s="5" t="str">
        <f t="shared" si="167"/>
        <v/>
      </c>
      <c r="I2490" s="6" t="str">
        <f t="shared" si="168"/>
        <v>0</v>
      </c>
      <c r="K2490" s="19" t="s">
        <v>4154</v>
      </c>
    </row>
    <row r="2491" spans="1:11">
      <c r="A2491" t="s">
        <v>924</v>
      </c>
      <c r="B2491" t="s">
        <v>4155</v>
      </c>
      <c r="G2491" s="5" t="str">
        <f t="shared" si="167"/>
        <v/>
      </c>
      <c r="I2491" s="6" t="str">
        <f t="shared" si="168"/>
        <v>0</v>
      </c>
      <c r="K2491" s="19" t="s">
        <v>4156</v>
      </c>
    </row>
    <row r="2492" spans="1:11">
      <c r="A2492" t="s">
        <v>925</v>
      </c>
      <c r="B2492" t="s">
        <v>4157</v>
      </c>
      <c r="G2492" s="5" t="str">
        <f t="shared" si="167"/>
        <v/>
      </c>
      <c r="I2492" s="6" t="str">
        <f t="shared" si="168"/>
        <v>0</v>
      </c>
      <c r="K2492" s="19" t="s">
        <v>4158</v>
      </c>
    </row>
    <row r="2493" spans="1:11">
      <c r="A2493" t="s">
        <v>926</v>
      </c>
      <c r="B2493" t="s">
        <v>4159</v>
      </c>
      <c r="G2493" s="5" t="str">
        <f t="shared" si="167"/>
        <v/>
      </c>
      <c r="I2493" s="6" t="str">
        <f t="shared" si="168"/>
        <v>0</v>
      </c>
      <c r="K2493" s="19" t="s">
        <v>4160</v>
      </c>
    </row>
    <row r="2494" spans="1:11">
      <c r="A2494" t="s">
        <v>927</v>
      </c>
      <c r="B2494" t="s">
        <v>4161</v>
      </c>
      <c r="G2494" s="5" t="str">
        <f t="shared" si="167"/>
        <v/>
      </c>
      <c r="I2494" s="6" t="str">
        <f t="shared" si="168"/>
        <v>0</v>
      </c>
      <c r="K2494" s="19" t="s">
        <v>4162</v>
      </c>
    </row>
    <row r="2495" spans="1:11">
      <c r="A2495" t="s">
        <v>931</v>
      </c>
      <c r="B2495" t="s">
        <v>4163</v>
      </c>
      <c r="G2495" s="5" t="str">
        <f t="shared" si="167"/>
        <v/>
      </c>
      <c r="I2495" s="6" t="str">
        <f t="shared" si="168"/>
        <v>0</v>
      </c>
      <c r="K2495" s="19" t="s">
        <v>4164</v>
      </c>
    </row>
    <row r="2496" spans="1:11">
      <c r="A2496" t="s">
        <v>934</v>
      </c>
      <c r="B2496" t="s">
        <v>4165</v>
      </c>
      <c r="G2496" s="5" t="str">
        <f t="shared" si="167"/>
        <v/>
      </c>
      <c r="I2496" s="6" t="str">
        <f t="shared" si="168"/>
        <v>0</v>
      </c>
      <c r="K2496" s="19" t="s">
        <v>4166</v>
      </c>
    </row>
    <row r="2497" spans="1:11">
      <c r="A2497" t="s">
        <v>935</v>
      </c>
      <c r="B2497" t="s">
        <v>4167</v>
      </c>
      <c r="G2497" s="5" t="str">
        <f t="shared" si="167"/>
        <v/>
      </c>
      <c r="I2497" s="6" t="str">
        <f t="shared" si="168"/>
        <v>0</v>
      </c>
      <c r="K2497" s="19" t="s">
        <v>4168</v>
      </c>
    </row>
    <row r="2498" spans="1:11">
      <c r="A2498" t="s">
        <v>939</v>
      </c>
      <c r="B2498" t="s">
        <v>4169</v>
      </c>
      <c r="G2498" s="5" t="str">
        <f t="shared" ref="G2498:G2561" si="169">IF(F2498&lt;&gt;"",HEX2DEC(SUBSTITUTE(SUBSTITUTE(F2498,"adrEA",""),"$","")),"")</f>
        <v/>
      </c>
      <c r="I2498" s="6" t="str">
        <f t="shared" ref="I2498:I2561" si="170">IFERROR(DEC2HEX(H2498),"")</f>
        <v>0</v>
      </c>
      <c r="K2498" s="19" t="s">
        <v>4170</v>
      </c>
    </row>
    <row r="2499" spans="1:11">
      <c r="A2499" t="s">
        <v>941</v>
      </c>
      <c r="B2499" t="s">
        <v>4171</v>
      </c>
      <c r="G2499" s="5" t="str">
        <f t="shared" si="169"/>
        <v/>
      </c>
      <c r="I2499" s="6" t="str">
        <f t="shared" si="170"/>
        <v>0</v>
      </c>
      <c r="K2499" s="19" t="s">
        <v>4172</v>
      </c>
    </row>
    <row r="2500" spans="1:11">
      <c r="A2500" t="s">
        <v>942</v>
      </c>
      <c r="B2500" t="s">
        <v>4173</v>
      </c>
      <c r="G2500" s="5" t="str">
        <f t="shared" si="169"/>
        <v/>
      </c>
      <c r="I2500" s="6" t="str">
        <f t="shared" si="170"/>
        <v>0</v>
      </c>
      <c r="K2500" s="19" t="s">
        <v>4174</v>
      </c>
    </row>
    <row r="2501" spans="1:11">
      <c r="A2501" t="s">
        <v>947</v>
      </c>
      <c r="B2501" t="s">
        <v>4175</v>
      </c>
      <c r="G2501" s="5" t="str">
        <f t="shared" si="169"/>
        <v/>
      </c>
      <c r="I2501" s="6" t="str">
        <f t="shared" si="170"/>
        <v>0</v>
      </c>
      <c r="K2501" s="19" t="s">
        <v>4176</v>
      </c>
    </row>
    <row r="2502" spans="1:11">
      <c r="A2502" t="s">
        <v>950</v>
      </c>
      <c r="B2502" t="s">
        <v>4177</v>
      </c>
      <c r="G2502" s="5" t="str">
        <f t="shared" si="169"/>
        <v/>
      </c>
      <c r="I2502" s="6" t="str">
        <f t="shared" si="170"/>
        <v>0</v>
      </c>
      <c r="K2502" s="19" t="s">
        <v>4178</v>
      </c>
    </row>
    <row r="2503" spans="1:11">
      <c r="A2503" t="s">
        <v>958</v>
      </c>
      <c r="B2503" t="s">
        <v>4179</v>
      </c>
      <c r="G2503" s="5" t="str">
        <f t="shared" si="169"/>
        <v/>
      </c>
      <c r="I2503" s="6" t="str">
        <f t="shared" si="170"/>
        <v>0</v>
      </c>
      <c r="K2503" s="19" t="s">
        <v>4180</v>
      </c>
    </row>
    <row r="2504" spans="1:11">
      <c r="A2504" t="s">
        <v>960</v>
      </c>
      <c r="B2504" t="s">
        <v>4181</v>
      </c>
      <c r="G2504" s="5" t="str">
        <f t="shared" si="169"/>
        <v/>
      </c>
      <c r="I2504" s="6" t="str">
        <f t="shared" si="170"/>
        <v>0</v>
      </c>
      <c r="K2504" s="19" t="s">
        <v>4182</v>
      </c>
    </row>
    <row r="2505" spans="1:11">
      <c r="A2505" t="s">
        <v>961</v>
      </c>
      <c r="B2505" t="s">
        <v>4183</v>
      </c>
      <c r="G2505" s="5" t="str">
        <f t="shared" si="169"/>
        <v/>
      </c>
      <c r="I2505" s="6" t="str">
        <f t="shared" si="170"/>
        <v>0</v>
      </c>
      <c r="K2505" s="19" t="s">
        <v>4184</v>
      </c>
    </row>
    <row r="2506" spans="1:11">
      <c r="A2506" t="s">
        <v>962</v>
      </c>
      <c r="B2506" t="s">
        <v>4185</v>
      </c>
      <c r="G2506" s="5" t="str">
        <f t="shared" si="169"/>
        <v/>
      </c>
      <c r="I2506" s="6" t="str">
        <f t="shared" si="170"/>
        <v>0</v>
      </c>
      <c r="K2506" s="19" t="s">
        <v>4186</v>
      </c>
    </row>
    <row r="2507" spans="1:11">
      <c r="A2507" t="s">
        <v>963</v>
      </c>
      <c r="B2507" t="s">
        <v>4187</v>
      </c>
      <c r="G2507" s="5" t="str">
        <f t="shared" si="169"/>
        <v/>
      </c>
      <c r="I2507" s="6" t="str">
        <f t="shared" si="170"/>
        <v>0</v>
      </c>
      <c r="K2507" s="19" t="s">
        <v>4188</v>
      </c>
    </row>
    <row r="2508" spans="1:11">
      <c r="A2508" t="s">
        <v>964</v>
      </c>
      <c r="B2508" t="s">
        <v>4189</v>
      </c>
      <c r="G2508" s="5" t="str">
        <f t="shared" si="169"/>
        <v/>
      </c>
      <c r="I2508" s="6" t="str">
        <f t="shared" si="170"/>
        <v>0</v>
      </c>
      <c r="K2508" s="19" t="s">
        <v>4190</v>
      </c>
    </row>
    <row r="2509" spans="1:11">
      <c r="A2509" t="s">
        <v>965</v>
      </c>
      <c r="B2509" t="s">
        <v>4191</v>
      </c>
      <c r="G2509" s="5" t="str">
        <f t="shared" si="169"/>
        <v/>
      </c>
      <c r="I2509" s="6" t="str">
        <f t="shared" si="170"/>
        <v>0</v>
      </c>
      <c r="K2509" s="19" t="s">
        <v>4192</v>
      </c>
    </row>
    <row r="2510" spans="1:11">
      <c r="A2510" t="s">
        <v>4193</v>
      </c>
      <c r="B2510" t="s">
        <v>4194</v>
      </c>
      <c r="G2510" s="5" t="str">
        <f t="shared" si="169"/>
        <v/>
      </c>
      <c r="I2510" s="6" t="str">
        <f t="shared" si="170"/>
        <v>0</v>
      </c>
      <c r="K2510" s="19" t="s">
        <v>4195</v>
      </c>
    </row>
    <row r="2511" spans="1:11">
      <c r="A2511" t="s">
        <v>966</v>
      </c>
      <c r="B2511" t="s">
        <v>4196</v>
      </c>
      <c r="G2511" s="5" t="str">
        <f t="shared" si="169"/>
        <v/>
      </c>
      <c r="I2511" s="6" t="str">
        <f t="shared" si="170"/>
        <v>0</v>
      </c>
      <c r="K2511" s="19" t="s">
        <v>4197</v>
      </c>
    </row>
    <row r="2512" spans="1:11">
      <c r="A2512" t="s">
        <v>967</v>
      </c>
      <c r="B2512" t="s">
        <v>4198</v>
      </c>
      <c r="G2512" s="5" t="str">
        <f t="shared" si="169"/>
        <v/>
      </c>
      <c r="I2512" s="6" t="str">
        <f t="shared" si="170"/>
        <v>0</v>
      </c>
      <c r="K2512" s="19" t="s">
        <v>4199</v>
      </c>
    </row>
    <row r="2513" spans="1:11">
      <c r="A2513" t="s">
        <v>968</v>
      </c>
      <c r="B2513" t="s">
        <v>4200</v>
      </c>
      <c r="G2513" s="5" t="str">
        <f t="shared" si="169"/>
        <v/>
      </c>
      <c r="I2513" s="6" t="str">
        <f t="shared" si="170"/>
        <v>0</v>
      </c>
      <c r="K2513" s="19" t="s">
        <v>4201</v>
      </c>
    </row>
    <row r="2514" spans="1:11">
      <c r="A2514" t="s">
        <v>969</v>
      </c>
      <c r="B2514" t="s">
        <v>4202</v>
      </c>
      <c r="G2514" s="5" t="str">
        <f t="shared" si="169"/>
        <v/>
      </c>
      <c r="I2514" s="6" t="str">
        <f t="shared" si="170"/>
        <v>0</v>
      </c>
      <c r="K2514" s="19" t="s">
        <v>4203</v>
      </c>
    </row>
    <row r="2515" spans="1:11">
      <c r="A2515" t="s">
        <v>970</v>
      </c>
      <c r="B2515" t="s">
        <v>4204</v>
      </c>
      <c r="G2515" s="5" t="str">
        <f t="shared" si="169"/>
        <v/>
      </c>
      <c r="I2515" s="6" t="str">
        <f t="shared" si="170"/>
        <v>0</v>
      </c>
      <c r="K2515" s="19" t="s">
        <v>4205</v>
      </c>
    </row>
    <row r="2516" spans="1:11">
      <c r="A2516" t="s">
        <v>971</v>
      </c>
      <c r="B2516" t="s">
        <v>4206</v>
      </c>
      <c r="G2516" s="5" t="str">
        <f t="shared" si="169"/>
        <v/>
      </c>
      <c r="I2516" s="6" t="str">
        <f t="shared" si="170"/>
        <v>0</v>
      </c>
      <c r="K2516" s="19" t="s">
        <v>4207</v>
      </c>
    </row>
    <row r="2517" spans="1:11">
      <c r="A2517" t="s">
        <v>972</v>
      </c>
      <c r="B2517" t="s">
        <v>4208</v>
      </c>
      <c r="G2517" s="5" t="str">
        <f t="shared" si="169"/>
        <v/>
      </c>
      <c r="I2517" s="6" t="str">
        <f t="shared" si="170"/>
        <v>0</v>
      </c>
      <c r="K2517" s="19" t="s">
        <v>4209</v>
      </c>
    </row>
    <row r="2518" spans="1:11">
      <c r="A2518" t="s">
        <v>973</v>
      </c>
      <c r="B2518" t="s">
        <v>4210</v>
      </c>
      <c r="G2518" s="5" t="str">
        <f t="shared" si="169"/>
        <v/>
      </c>
      <c r="I2518" s="6" t="str">
        <f t="shared" si="170"/>
        <v>0</v>
      </c>
      <c r="K2518" s="19" t="s">
        <v>4211</v>
      </c>
    </row>
    <row r="2519" spans="1:11">
      <c r="A2519" t="s">
        <v>974</v>
      </c>
      <c r="B2519" t="s">
        <v>4212</v>
      </c>
      <c r="G2519" s="5" t="str">
        <f t="shared" si="169"/>
        <v/>
      </c>
      <c r="I2519" s="6" t="str">
        <f t="shared" si="170"/>
        <v>0</v>
      </c>
      <c r="K2519" s="19" t="s">
        <v>4213</v>
      </c>
    </row>
    <row r="2520" spans="1:11">
      <c r="A2520" t="s">
        <v>975</v>
      </c>
      <c r="B2520" t="s">
        <v>4214</v>
      </c>
      <c r="G2520" s="5" t="str">
        <f t="shared" si="169"/>
        <v/>
      </c>
      <c r="I2520" s="6" t="str">
        <f t="shared" si="170"/>
        <v>0</v>
      </c>
      <c r="K2520" s="19" t="s">
        <v>4215</v>
      </c>
    </row>
    <row r="2521" spans="1:11">
      <c r="A2521" t="s">
        <v>976</v>
      </c>
      <c r="B2521" t="s">
        <v>4216</v>
      </c>
      <c r="G2521" s="5" t="str">
        <f t="shared" si="169"/>
        <v/>
      </c>
      <c r="I2521" s="6" t="str">
        <f t="shared" si="170"/>
        <v>0</v>
      </c>
      <c r="K2521" s="19" t="s">
        <v>4217</v>
      </c>
    </row>
    <row r="2522" spans="1:11">
      <c r="A2522" t="s">
        <v>977</v>
      </c>
      <c r="B2522" t="s">
        <v>4218</v>
      </c>
      <c r="G2522" s="5" t="str">
        <f t="shared" si="169"/>
        <v/>
      </c>
      <c r="I2522" s="6" t="str">
        <f t="shared" si="170"/>
        <v>0</v>
      </c>
      <c r="K2522" s="19" t="s">
        <v>4219</v>
      </c>
    </row>
    <row r="2523" spans="1:11">
      <c r="A2523" t="s">
        <v>978</v>
      </c>
      <c r="B2523" t="s">
        <v>4220</v>
      </c>
      <c r="G2523" s="5" t="str">
        <f t="shared" si="169"/>
        <v/>
      </c>
      <c r="I2523" s="6" t="str">
        <f t="shared" si="170"/>
        <v>0</v>
      </c>
      <c r="K2523" s="19" t="s">
        <v>4221</v>
      </c>
    </row>
    <row r="2524" spans="1:11">
      <c r="A2524" t="s">
        <v>979</v>
      </c>
      <c r="B2524" t="s">
        <v>4222</v>
      </c>
      <c r="G2524" s="5" t="str">
        <f t="shared" si="169"/>
        <v/>
      </c>
      <c r="I2524" s="6" t="str">
        <f t="shared" si="170"/>
        <v>0</v>
      </c>
      <c r="K2524" s="19" t="s">
        <v>4223</v>
      </c>
    </row>
    <row r="2525" spans="1:11">
      <c r="A2525" t="s">
        <v>980</v>
      </c>
      <c r="B2525" t="s">
        <v>4224</v>
      </c>
      <c r="G2525" s="5" t="str">
        <f t="shared" si="169"/>
        <v/>
      </c>
      <c r="I2525" s="6" t="str">
        <f t="shared" si="170"/>
        <v>0</v>
      </c>
      <c r="K2525" s="19" t="s">
        <v>4225</v>
      </c>
    </row>
    <row r="2526" spans="1:11">
      <c r="A2526" t="s">
        <v>981</v>
      </c>
      <c r="B2526" t="s">
        <v>4226</v>
      </c>
      <c r="G2526" s="5" t="str">
        <f t="shared" si="169"/>
        <v/>
      </c>
      <c r="I2526" s="6" t="str">
        <f t="shared" si="170"/>
        <v>0</v>
      </c>
      <c r="K2526" s="19" t="s">
        <v>4227</v>
      </c>
    </row>
    <row r="2527" spans="1:11">
      <c r="A2527" t="s">
        <v>982</v>
      </c>
      <c r="B2527" t="s">
        <v>4228</v>
      </c>
      <c r="G2527" s="5" t="str">
        <f t="shared" si="169"/>
        <v/>
      </c>
      <c r="I2527" s="6" t="str">
        <f t="shared" si="170"/>
        <v>0</v>
      </c>
      <c r="K2527" s="19" t="s">
        <v>4229</v>
      </c>
    </row>
    <row r="2528" spans="1:11">
      <c r="A2528" t="s">
        <v>983</v>
      </c>
      <c r="B2528" t="s">
        <v>4230</v>
      </c>
      <c r="G2528" s="5" t="str">
        <f t="shared" si="169"/>
        <v/>
      </c>
      <c r="I2528" s="6" t="str">
        <f t="shared" si="170"/>
        <v>0</v>
      </c>
      <c r="K2528" s="19" t="s">
        <v>4231</v>
      </c>
    </row>
    <row r="2529" spans="1:11">
      <c r="A2529" t="s">
        <v>984</v>
      </c>
      <c r="B2529" t="s">
        <v>4232</v>
      </c>
      <c r="G2529" s="5" t="str">
        <f t="shared" si="169"/>
        <v/>
      </c>
      <c r="I2529" s="6" t="str">
        <f t="shared" si="170"/>
        <v>0</v>
      </c>
      <c r="K2529" s="19" t="s">
        <v>4233</v>
      </c>
    </row>
    <row r="2530" spans="1:11">
      <c r="A2530" t="s">
        <v>985</v>
      </c>
      <c r="B2530" t="s">
        <v>4234</v>
      </c>
      <c r="G2530" s="5" t="str">
        <f t="shared" si="169"/>
        <v/>
      </c>
      <c r="I2530" s="6" t="str">
        <f t="shared" si="170"/>
        <v>0</v>
      </c>
      <c r="K2530" s="19" t="s">
        <v>4235</v>
      </c>
    </row>
    <row r="2531" spans="1:11">
      <c r="A2531" t="s">
        <v>986</v>
      </c>
      <c r="B2531" t="s">
        <v>4236</v>
      </c>
      <c r="G2531" s="5" t="str">
        <f t="shared" si="169"/>
        <v/>
      </c>
      <c r="I2531" s="6" t="str">
        <f t="shared" si="170"/>
        <v>0</v>
      </c>
      <c r="K2531" s="19" t="s">
        <v>4237</v>
      </c>
    </row>
    <row r="2532" spans="1:11">
      <c r="A2532" t="s">
        <v>987</v>
      </c>
      <c r="B2532" t="s">
        <v>4238</v>
      </c>
      <c r="G2532" s="5" t="str">
        <f t="shared" si="169"/>
        <v/>
      </c>
      <c r="I2532" s="6" t="str">
        <f t="shared" si="170"/>
        <v>0</v>
      </c>
      <c r="K2532" s="19" t="s">
        <v>4239</v>
      </c>
    </row>
    <row r="2533" spans="1:11">
      <c r="A2533" t="s">
        <v>988</v>
      </c>
      <c r="B2533" t="s">
        <v>4240</v>
      </c>
      <c r="G2533" s="5" t="str">
        <f t="shared" si="169"/>
        <v/>
      </c>
      <c r="I2533" s="6" t="str">
        <f t="shared" si="170"/>
        <v>0</v>
      </c>
      <c r="K2533" s="19" t="s">
        <v>4241</v>
      </c>
    </row>
    <row r="2534" spans="1:11">
      <c r="A2534" t="s">
        <v>989</v>
      </c>
      <c r="B2534" t="s">
        <v>4242</v>
      </c>
      <c r="G2534" s="5" t="str">
        <f t="shared" si="169"/>
        <v/>
      </c>
      <c r="I2534" s="6" t="str">
        <f t="shared" si="170"/>
        <v>0</v>
      </c>
      <c r="K2534" s="19" t="s">
        <v>4243</v>
      </c>
    </row>
    <row r="2535" spans="1:11">
      <c r="A2535" t="s">
        <v>990</v>
      </c>
      <c r="B2535" t="s">
        <v>4244</v>
      </c>
      <c r="G2535" s="5" t="str">
        <f t="shared" si="169"/>
        <v/>
      </c>
      <c r="I2535" s="6" t="str">
        <f t="shared" si="170"/>
        <v>0</v>
      </c>
      <c r="K2535" s="19" t="s">
        <v>4245</v>
      </c>
    </row>
    <row r="2536" spans="1:11">
      <c r="A2536" t="s">
        <v>991</v>
      </c>
      <c r="B2536" t="s">
        <v>4246</v>
      </c>
      <c r="G2536" s="5" t="str">
        <f t="shared" si="169"/>
        <v/>
      </c>
      <c r="I2536" s="6" t="str">
        <f t="shared" si="170"/>
        <v>0</v>
      </c>
      <c r="K2536" s="19" t="s">
        <v>4247</v>
      </c>
    </row>
    <row r="2537" spans="1:11">
      <c r="A2537" t="s">
        <v>992</v>
      </c>
      <c r="B2537" t="s">
        <v>4248</v>
      </c>
      <c r="G2537" s="5" t="str">
        <f t="shared" si="169"/>
        <v/>
      </c>
      <c r="I2537" s="6" t="str">
        <f t="shared" si="170"/>
        <v>0</v>
      </c>
      <c r="K2537" s="19" t="s">
        <v>4249</v>
      </c>
    </row>
    <row r="2538" spans="1:11">
      <c r="A2538" t="s">
        <v>993</v>
      </c>
      <c r="B2538" t="s">
        <v>4250</v>
      </c>
      <c r="G2538" s="5" t="str">
        <f t="shared" si="169"/>
        <v/>
      </c>
      <c r="I2538" s="6" t="str">
        <f t="shared" si="170"/>
        <v>0</v>
      </c>
      <c r="K2538" s="19" t="s">
        <v>4251</v>
      </c>
    </row>
    <row r="2539" spans="1:11">
      <c r="A2539" t="s">
        <v>997</v>
      </c>
      <c r="B2539" t="s">
        <v>4252</v>
      </c>
      <c r="G2539" s="5" t="str">
        <f t="shared" si="169"/>
        <v/>
      </c>
      <c r="I2539" s="6" t="str">
        <f t="shared" si="170"/>
        <v>0</v>
      </c>
      <c r="K2539" s="19" t="s">
        <v>4253</v>
      </c>
    </row>
    <row r="2540" spans="1:11">
      <c r="A2540" t="s">
        <v>998</v>
      </c>
      <c r="B2540" t="s">
        <v>4254</v>
      </c>
      <c r="G2540" s="5" t="str">
        <f t="shared" si="169"/>
        <v/>
      </c>
      <c r="I2540" s="6" t="str">
        <f t="shared" si="170"/>
        <v>0</v>
      </c>
      <c r="K2540" s="19" t="s">
        <v>4255</v>
      </c>
    </row>
    <row r="2541" spans="1:11">
      <c r="A2541" t="s">
        <v>999</v>
      </c>
      <c r="B2541" t="s">
        <v>4256</v>
      </c>
      <c r="G2541" s="5" t="str">
        <f t="shared" si="169"/>
        <v/>
      </c>
      <c r="I2541" s="6" t="str">
        <f t="shared" si="170"/>
        <v>0</v>
      </c>
      <c r="K2541" s="19" t="s">
        <v>4257</v>
      </c>
    </row>
    <row r="2542" spans="1:11">
      <c r="A2542" t="s">
        <v>1000</v>
      </c>
      <c r="B2542" t="s">
        <v>4258</v>
      </c>
      <c r="G2542" s="5" t="str">
        <f t="shared" si="169"/>
        <v/>
      </c>
      <c r="I2542" s="6" t="str">
        <f t="shared" si="170"/>
        <v>0</v>
      </c>
      <c r="K2542" s="19" t="s">
        <v>4259</v>
      </c>
    </row>
    <row r="2543" spans="1:11">
      <c r="A2543" t="s">
        <v>1001</v>
      </c>
      <c r="B2543" t="s">
        <v>4260</v>
      </c>
      <c r="G2543" s="5" t="str">
        <f t="shared" si="169"/>
        <v/>
      </c>
      <c r="I2543" s="6" t="str">
        <f t="shared" si="170"/>
        <v>0</v>
      </c>
      <c r="K2543" s="19" t="s">
        <v>4261</v>
      </c>
    </row>
    <row r="2544" spans="1:11">
      <c r="A2544" t="s">
        <v>1002</v>
      </c>
      <c r="B2544" t="s">
        <v>4262</v>
      </c>
      <c r="G2544" s="5" t="str">
        <f t="shared" si="169"/>
        <v/>
      </c>
      <c r="I2544" s="6" t="str">
        <f t="shared" si="170"/>
        <v>0</v>
      </c>
      <c r="K2544" s="19" t="s">
        <v>4263</v>
      </c>
    </row>
    <row r="2545" spans="1:11">
      <c r="A2545" t="s">
        <v>1003</v>
      </c>
      <c r="B2545" t="s">
        <v>4264</v>
      </c>
      <c r="G2545" s="5" t="str">
        <f t="shared" si="169"/>
        <v/>
      </c>
      <c r="I2545" s="6" t="str">
        <f t="shared" si="170"/>
        <v>0</v>
      </c>
      <c r="K2545" s="19" t="s">
        <v>4265</v>
      </c>
    </row>
    <row r="2546" spans="1:11">
      <c r="A2546" t="s">
        <v>1004</v>
      </c>
      <c r="B2546" t="s">
        <v>4266</v>
      </c>
      <c r="G2546" s="5" t="str">
        <f t="shared" si="169"/>
        <v/>
      </c>
      <c r="I2546" s="6" t="str">
        <f t="shared" si="170"/>
        <v>0</v>
      </c>
      <c r="K2546" s="19" t="s">
        <v>4267</v>
      </c>
    </row>
    <row r="2547" spans="1:11">
      <c r="A2547" t="s">
        <v>1005</v>
      </c>
      <c r="B2547" t="s">
        <v>4268</v>
      </c>
      <c r="G2547" s="5" t="str">
        <f t="shared" si="169"/>
        <v/>
      </c>
      <c r="I2547" s="6" t="str">
        <f t="shared" si="170"/>
        <v>0</v>
      </c>
      <c r="K2547" s="19" t="s">
        <v>4269</v>
      </c>
    </row>
    <row r="2548" spans="1:11">
      <c r="A2548" t="s">
        <v>1006</v>
      </c>
      <c r="B2548" t="s">
        <v>4270</v>
      </c>
      <c r="G2548" s="5" t="str">
        <f t="shared" si="169"/>
        <v/>
      </c>
      <c r="I2548" s="6" t="str">
        <f t="shared" si="170"/>
        <v>0</v>
      </c>
      <c r="K2548" s="19" t="s">
        <v>4271</v>
      </c>
    </row>
    <row r="2549" spans="1:11">
      <c r="A2549" t="s">
        <v>1007</v>
      </c>
      <c r="B2549" t="s">
        <v>4272</v>
      </c>
      <c r="G2549" s="5" t="str">
        <f t="shared" si="169"/>
        <v/>
      </c>
      <c r="I2549" s="6" t="str">
        <f t="shared" si="170"/>
        <v>0</v>
      </c>
      <c r="K2549" s="19" t="s">
        <v>4273</v>
      </c>
    </row>
    <row r="2550" spans="1:11">
      <c r="A2550" t="s">
        <v>1008</v>
      </c>
      <c r="B2550" t="s">
        <v>4274</v>
      </c>
      <c r="G2550" s="5" t="str">
        <f t="shared" si="169"/>
        <v/>
      </c>
      <c r="I2550" s="6" t="str">
        <f t="shared" si="170"/>
        <v>0</v>
      </c>
      <c r="K2550" s="19" t="s">
        <v>4275</v>
      </c>
    </row>
    <row r="2551" spans="1:11">
      <c r="A2551" t="s">
        <v>1009</v>
      </c>
      <c r="B2551" t="s">
        <v>4276</v>
      </c>
      <c r="G2551" s="5" t="str">
        <f t="shared" si="169"/>
        <v/>
      </c>
      <c r="I2551" s="6" t="str">
        <f t="shared" si="170"/>
        <v>0</v>
      </c>
      <c r="K2551" s="19" t="s">
        <v>4277</v>
      </c>
    </row>
    <row r="2552" spans="1:11">
      <c r="A2552" t="s">
        <v>1010</v>
      </c>
      <c r="B2552" t="s">
        <v>4278</v>
      </c>
      <c r="G2552" s="5" t="str">
        <f t="shared" si="169"/>
        <v/>
      </c>
      <c r="I2552" s="6" t="str">
        <f t="shared" si="170"/>
        <v>0</v>
      </c>
      <c r="K2552" s="19" t="s">
        <v>4279</v>
      </c>
    </row>
    <row r="2553" spans="1:11">
      <c r="A2553" t="s">
        <v>1011</v>
      </c>
      <c r="B2553" t="s">
        <v>4280</v>
      </c>
      <c r="G2553" s="5" t="str">
        <f t="shared" si="169"/>
        <v/>
      </c>
      <c r="I2553" s="6" t="str">
        <f t="shared" si="170"/>
        <v>0</v>
      </c>
      <c r="K2553" s="19" t="s">
        <v>4281</v>
      </c>
    </row>
    <row r="2554" spans="1:11">
      <c r="A2554" t="s">
        <v>1012</v>
      </c>
      <c r="B2554" t="s">
        <v>4282</v>
      </c>
      <c r="G2554" s="5" t="str">
        <f t="shared" si="169"/>
        <v/>
      </c>
      <c r="I2554" s="6" t="str">
        <f t="shared" si="170"/>
        <v>0</v>
      </c>
      <c r="K2554" s="19" t="s">
        <v>4283</v>
      </c>
    </row>
    <row r="2555" spans="1:11">
      <c r="A2555" t="s">
        <v>1013</v>
      </c>
      <c r="B2555" t="s">
        <v>3941</v>
      </c>
      <c r="G2555" s="5" t="str">
        <f t="shared" si="169"/>
        <v/>
      </c>
      <c r="I2555" s="6" t="str">
        <f t="shared" si="170"/>
        <v>0</v>
      </c>
      <c r="K2555" s="19" t="s">
        <v>4284</v>
      </c>
    </row>
    <row r="2556" spans="1:11">
      <c r="A2556" t="s">
        <v>1069</v>
      </c>
      <c r="B2556" t="s">
        <v>4285</v>
      </c>
      <c r="G2556" s="5" t="str">
        <f t="shared" si="169"/>
        <v/>
      </c>
      <c r="I2556" s="6" t="str">
        <f t="shared" si="170"/>
        <v>0</v>
      </c>
      <c r="K2556" s="19" t="s">
        <v>4286</v>
      </c>
    </row>
    <row r="2557" spans="1:11">
      <c r="A2557" t="s">
        <v>1229</v>
      </c>
      <c r="B2557" t="s">
        <v>4287</v>
      </c>
      <c r="G2557" s="5" t="str">
        <f t="shared" si="169"/>
        <v/>
      </c>
      <c r="I2557" s="6" t="str">
        <f t="shared" si="170"/>
        <v>0</v>
      </c>
      <c r="K2557" s="19" t="s">
        <v>4288</v>
      </c>
    </row>
    <row r="2558" spans="1:11">
      <c r="A2558" t="s">
        <v>2962</v>
      </c>
      <c r="B2558" t="s">
        <v>4289</v>
      </c>
      <c r="G2558" s="5" t="str">
        <f t="shared" si="169"/>
        <v/>
      </c>
      <c r="I2558" s="6" t="str">
        <f t="shared" si="170"/>
        <v>0</v>
      </c>
      <c r="K2558" s="19" t="s">
        <v>4290</v>
      </c>
    </row>
    <row r="2559" spans="1:11">
      <c r="A2559" t="s">
        <v>369</v>
      </c>
      <c r="B2559" t="s">
        <v>369</v>
      </c>
      <c r="G2559" s="5" t="str">
        <f t="shared" si="169"/>
        <v/>
      </c>
      <c r="I2559" s="6" t="str">
        <f t="shared" si="170"/>
        <v>0</v>
      </c>
      <c r="K2559" s="19" t="s">
        <v>4439</v>
      </c>
    </row>
    <row r="2560" spans="1:11">
      <c r="A2560" t="s">
        <v>370</v>
      </c>
      <c r="B2560" t="s">
        <v>4440</v>
      </c>
      <c r="G2560" s="5" t="str">
        <f t="shared" si="169"/>
        <v/>
      </c>
      <c r="I2560" s="6" t="str">
        <f t="shared" si="170"/>
        <v>0</v>
      </c>
      <c r="K2560" s="19" t="s">
        <v>4441</v>
      </c>
    </row>
    <row r="2561" spans="1:11">
      <c r="A2561" t="s">
        <v>371</v>
      </c>
      <c r="B2561" t="s">
        <v>4442</v>
      </c>
      <c r="G2561" s="5" t="str">
        <f t="shared" si="169"/>
        <v/>
      </c>
      <c r="I2561" s="6" t="str">
        <f t="shared" si="170"/>
        <v>0</v>
      </c>
      <c r="K2561" s="19" t="s">
        <v>4443</v>
      </c>
    </row>
    <row r="2562" spans="1:11">
      <c r="A2562" t="s">
        <v>372</v>
      </c>
      <c r="B2562" t="s">
        <v>4438</v>
      </c>
      <c r="G2562" s="5" t="str">
        <f t="shared" ref="G2562:G2625" si="171">IF(F2562&lt;&gt;"",HEX2DEC(SUBSTITUTE(SUBSTITUTE(F2562,"adrEA",""),"$","")),"")</f>
        <v/>
      </c>
      <c r="I2562" s="6" t="str">
        <f t="shared" ref="I2562:I2625" si="172">IFERROR(DEC2HEX(H2562),"")</f>
        <v>0</v>
      </c>
      <c r="K2562" s="19" t="s">
        <v>4444</v>
      </c>
    </row>
    <row r="2563" spans="1:11">
      <c r="A2563" t="s">
        <v>373</v>
      </c>
      <c r="B2563" t="s">
        <v>4445</v>
      </c>
      <c r="G2563" s="5" t="str">
        <f t="shared" si="171"/>
        <v/>
      </c>
      <c r="I2563" s="6" t="str">
        <f t="shared" si="172"/>
        <v>0</v>
      </c>
      <c r="K2563" s="19" t="s">
        <v>4446</v>
      </c>
    </row>
    <row r="2564" spans="1:11">
      <c r="A2564" t="s">
        <v>374</v>
      </c>
      <c r="B2564" t="s">
        <v>4447</v>
      </c>
      <c r="G2564" s="5" t="str">
        <f t="shared" si="171"/>
        <v/>
      </c>
      <c r="I2564" s="6" t="str">
        <f t="shared" si="172"/>
        <v>0</v>
      </c>
      <c r="K2564" s="19" t="s">
        <v>4448</v>
      </c>
    </row>
    <row r="2565" spans="1:11">
      <c r="A2565" t="s">
        <v>375</v>
      </c>
      <c r="B2565" t="s">
        <v>5093</v>
      </c>
      <c r="G2565" s="5" t="str">
        <f t="shared" si="171"/>
        <v/>
      </c>
      <c r="I2565" s="6" t="str">
        <f t="shared" si="172"/>
        <v>0</v>
      </c>
      <c r="K2565" s="19" t="s">
        <v>4449</v>
      </c>
    </row>
    <row r="2566" spans="1:11">
      <c r="A2566" t="s">
        <v>376</v>
      </c>
      <c r="B2566" t="s">
        <v>4450</v>
      </c>
      <c r="G2566" s="5" t="str">
        <f t="shared" si="171"/>
        <v/>
      </c>
      <c r="I2566" s="6" t="str">
        <f t="shared" si="172"/>
        <v>0</v>
      </c>
      <c r="K2566" s="19" t="s">
        <v>4451</v>
      </c>
    </row>
    <row r="2567" spans="1:11">
      <c r="A2567" t="s">
        <v>377</v>
      </c>
      <c r="B2567" t="s">
        <v>4452</v>
      </c>
      <c r="G2567" s="5" t="str">
        <f t="shared" si="171"/>
        <v/>
      </c>
      <c r="I2567" s="6" t="str">
        <f t="shared" si="172"/>
        <v>0</v>
      </c>
      <c r="K2567" s="19" t="s">
        <v>4453</v>
      </c>
    </row>
    <row r="2568" spans="1:11">
      <c r="A2568" t="s">
        <v>378</v>
      </c>
      <c r="B2568" t="s">
        <v>4454</v>
      </c>
      <c r="G2568" s="5" t="str">
        <f t="shared" si="171"/>
        <v/>
      </c>
      <c r="I2568" s="6" t="str">
        <f t="shared" si="172"/>
        <v>0</v>
      </c>
      <c r="K2568" s="19" t="s">
        <v>4455</v>
      </c>
    </row>
    <row r="2569" spans="1:11">
      <c r="A2569" t="s">
        <v>379</v>
      </c>
      <c r="B2569" t="s">
        <v>4456</v>
      </c>
      <c r="G2569" s="5" t="str">
        <f t="shared" si="171"/>
        <v/>
      </c>
      <c r="I2569" s="6" t="str">
        <f t="shared" si="172"/>
        <v>0</v>
      </c>
      <c r="K2569" s="19" t="s">
        <v>4457</v>
      </c>
    </row>
    <row r="2570" spans="1:11">
      <c r="A2570" t="s">
        <v>380</v>
      </c>
      <c r="B2570" t="s">
        <v>4737</v>
      </c>
      <c r="G2570" s="5" t="str">
        <f t="shared" si="171"/>
        <v/>
      </c>
      <c r="I2570" s="6" t="str">
        <f t="shared" si="172"/>
        <v>0</v>
      </c>
      <c r="K2570" s="19" t="s">
        <v>4738</v>
      </c>
    </row>
    <row r="2571" spans="1:11">
      <c r="A2571" t="s">
        <v>381</v>
      </c>
      <c r="B2571" t="s">
        <v>5092</v>
      </c>
      <c r="G2571" s="5" t="str">
        <f t="shared" si="171"/>
        <v/>
      </c>
      <c r="I2571" s="6" t="str">
        <f t="shared" si="172"/>
        <v>0</v>
      </c>
      <c r="K2571" s="24" t="s">
        <v>4458</v>
      </c>
    </row>
    <row r="2572" spans="1:11">
      <c r="A2572" t="s">
        <v>382</v>
      </c>
      <c r="B2572" t="s">
        <v>4459</v>
      </c>
      <c r="G2572" s="5" t="str">
        <f t="shared" si="171"/>
        <v/>
      </c>
      <c r="I2572" s="6" t="str">
        <f t="shared" si="172"/>
        <v>0</v>
      </c>
      <c r="K2572" s="24" t="s">
        <v>4460</v>
      </c>
    </row>
    <row r="2573" spans="1:11">
      <c r="A2573" t="s">
        <v>383</v>
      </c>
      <c r="B2573" t="s">
        <v>4461</v>
      </c>
      <c r="G2573" s="5" t="str">
        <f t="shared" si="171"/>
        <v/>
      </c>
      <c r="I2573" s="6" t="str">
        <f t="shared" si="172"/>
        <v>0</v>
      </c>
      <c r="K2573" s="24" t="s">
        <v>4462</v>
      </c>
    </row>
    <row r="2574" spans="1:11">
      <c r="A2574" t="s">
        <v>384</v>
      </c>
      <c r="B2574" t="s">
        <v>4463</v>
      </c>
      <c r="G2574" s="5" t="str">
        <f t="shared" si="171"/>
        <v/>
      </c>
      <c r="I2574" s="6" t="str">
        <f t="shared" si="172"/>
        <v>0</v>
      </c>
      <c r="K2574" s="24" t="s">
        <v>4464</v>
      </c>
    </row>
    <row r="2575" spans="1:11">
      <c r="A2575" t="s">
        <v>385</v>
      </c>
      <c r="B2575" t="s">
        <v>4465</v>
      </c>
      <c r="G2575" s="5" t="str">
        <f t="shared" si="171"/>
        <v/>
      </c>
      <c r="I2575" s="6" t="str">
        <f t="shared" si="172"/>
        <v>0</v>
      </c>
      <c r="K2575" s="24" t="s">
        <v>4466</v>
      </c>
    </row>
    <row r="2576" spans="1:11">
      <c r="A2576" t="s">
        <v>386</v>
      </c>
      <c r="B2576" t="s">
        <v>4370</v>
      </c>
      <c r="C2576" s="5" t="s">
        <v>3115</v>
      </c>
      <c r="G2576" s="5" t="str">
        <f t="shared" si="171"/>
        <v/>
      </c>
      <c r="I2576" s="6" t="str">
        <f t="shared" si="172"/>
        <v>0</v>
      </c>
      <c r="K2576" s="24" t="s">
        <v>4467</v>
      </c>
    </row>
    <row r="2577" spans="1:11">
      <c r="A2577" t="s">
        <v>387</v>
      </c>
      <c r="B2577" t="s">
        <v>4468</v>
      </c>
      <c r="G2577" s="5" t="str">
        <f t="shared" si="171"/>
        <v/>
      </c>
      <c r="I2577" s="6" t="str">
        <f t="shared" si="172"/>
        <v>0</v>
      </c>
      <c r="K2577" s="24" t="s">
        <v>4469</v>
      </c>
    </row>
    <row r="2578" spans="1:11">
      <c r="A2578" t="s">
        <v>2964</v>
      </c>
      <c r="B2578" t="s">
        <v>2964</v>
      </c>
      <c r="G2578" s="5" t="str">
        <f t="shared" si="171"/>
        <v/>
      </c>
      <c r="I2578" s="6" t="str">
        <f t="shared" si="172"/>
        <v>0</v>
      </c>
      <c r="K2578" s="24" t="s">
        <v>4470</v>
      </c>
    </row>
    <row r="2579" spans="1:11">
      <c r="A2579" t="s">
        <v>2966</v>
      </c>
      <c r="B2579" t="s">
        <v>4471</v>
      </c>
      <c r="G2579" s="5" t="str">
        <f t="shared" si="171"/>
        <v/>
      </c>
      <c r="I2579" s="6" t="str">
        <f t="shared" si="172"/>
        <v>0</v>
      </c>
      <c r="K2579" s="24" t="s">
        <v>4472</v>
      </c>
    </row>
    <row r="2580" spans="1:11">
      <c r="A2580" t="s">
        <v>2967</v>
      </c>
      <c r="B2580" t="s">
        <v>4473</v>
      </c>
      <c r="G2580" s="5" t="str">
        <f t="shared" si="171"/>
        <v/>
      </c>
      <c r="I2580" s="6" t="str">
        <f t="shared" si="172"/>
        <v>0</v>
      </c>
      <c r="K2580" s="24" t="s">
        <v>4474</v>
      </c>
    </row>
    <row r="2581" spans="1:11">
      <c r="A2581" t="s">
        <v>875</v>
      </c>
      <c r="B2581" t="s">
        <v>4477</v>
      </c>
      <c r="G2581" s="5" t="str">
        <f t="shared" si="171"/>
        <v/>
      </c>
      <c r="I2581" s="6" t="str">
        <f t="shared" si="172"/>
        <v>0</v>
      </c>
      <c r="K2581" s="24" t="s">
        <v>4478</v>
      </c>
    </row>
    <row r="2582" spans="1:11">
      <c r="A2582" t="s">
        <v>1023</v>
      </c>
      <c r="B2582" t="s">
        <v>4479</v>
      </c>
      <c r="G2582" s="5" t="str">
        <f t="shared" si="171"/>
        <v/>
      </c>
      <c r="I2582" s="6" t="str">
        <f t="shared" si="172"/>
        <v>0</v>
      </c>
      <c r="K2582" s="19" t="s">
        <v>4480</v>
      </c>
    </row>
    <row r="2583" spans="1:11">
      <c r="A2583" t="s">
        <v>1024</v>
      </c>
      <c r="B2583" t="s">
        <v>4481</v>
      </c>
      <c r="G2583" s="5" t="str">
        <f t="shared" si="171"/>
        <v/>
      </c>
      <c r="I2583" s="6" t="str">
        <f t="shared" si="172"/>
        <v>0</v>
      </c>
      <c r="K2583" s="19" t="s">
        <v>4482</v>
      </c>
    </row>
    <row r="2584" spans="1:11">
      <c r="A2584" t="s">
        <v>1026</v>
      </c>
      <c r="B2584" t="s">
        <v>4483</v>
      </c>
      <c r="G2584" s="5" t="str">
        <f t="shared" si="171"/>
        <v/>
      </c>
      <c r="I2584" s="6" t="str">
        <f t="shared" si="172"/>
        <v>0</v>
      </c>
      <c r="K2584" s="19" t="s">
        <v>4484</v>
      </c>
    </row>
    <row r="2585" spans="1:11">
      <c r="A2585" t="s">
        <v>1042</v>
      </c>
      <c r="B2585" t="s">
        <v>4485</v>
      </c>
      <c r="G2585" s="5" t="str">
        <f t="shared" si="171"/>
        <v/>
      </c>
      <c r="I2585" s="6" t="str">
        <f t="shared" si="172"/>
        <v>0</v>
      </c>
      <c r="K2585" s="19" t="s">
        <v>4486</v>
      </c>
    </row>
    <row r="2586" spans="1:11">
      <c r="A2586" t="s">
        <v>1043</v>
      </c>
      <c r="B2586" t="s">
        <v>4487</v>
      </c>
      <c r="G2586" s="5" t="str">
        <f t="shared" si="171"/>
        <v/>
      </c>
      <c r="I2586" s="6" t="str">
        <f t="shared" si="172"/>
        <v>0</v>
      </c>
      <c r="K2586" s="19" t="s">
        <v>4488</v>
      </c>
    </row>
    <row r="2587" spans="1:11">
      <c r="A2587" t="s">
        <v>1045</v>
      </c>
      <c r="B2587" t="s">
        <v>4489</v>
      </c>
      <c r="G2587" s="5" t="str">
        <f t="shared" si="171"/>
        <v/>
      </c>
      <c r="I2587" s="6" t="str">
        <f t="shared" si="172"/>
        <v>0</v>
      </c>
      <c r="K2587" s="19" t="s">
        <v>4490</v>
      </c>
    </row>
    <row r="2588" spans="1:11">
      <c r="A2588" t="s">
        <v>1046</v>
      </c>
      <c r="B2588" t="s">
        <v>4491</v>
      </c>
      <c r="G2588" s="5" t="str">
        <f t="shared" si="171"/>
        <v/>
      </c>
      <c r="I2588" s="6" t="str">
        <f t="shared" si="172"/>
        <v>0</v>
      </c>
      <c r="K2588" s="19" t="s">
        <v>4492</v>
      </c>
    </row>
    <row r="2589" spans="1:11">
      <c r="A2589" t="s">
        <v>1050</v>
      </c>
      <c r="B2589" t="s">
        <v>4493</v>
      </c>
      <c r="G2589" s="5" t="str">
        <f t="shared" si="171"/>
        <v/>
      </c>
      <c r="I2589" s="6" t="str">
        <f t="shared" si="172"/>
        <v>0</v>
      </c>
      <c r="K2589" s="19" t="s">
        <v>4494</v>
      </c>
    </row>
    <row r="2590" spans="1:11">
      <c r="A2590" t="s">
        <v>1053</v>
      </c>
      <c r="B2590" t="s">
        <v>4495</v>
      </c>
      <c r="G2590" s="5" t="str">
        <f t="shared" si="171"/>
        <v/>
      </c>
      <c r="I2590" s="6" t="str">
        <f t="shared" si="172"/>
        <v>0</v>
      </c>
      <c r="K2590" s="19" t="s">
        <v>4496</v>
      </c>
    </row>
    <row r="2591" spans="1:11">
      <c r="A2591" t="s">
        <v>1054</v>
      </c>
      <c r="B2591" t="s">
        <v>4497</v>
      </c>
      <c r="G2591" s="5" t="str">
        <f t="shared" si="171"/>
        <v/>
      </c>
      <c r="I2591" s="6" t="str">
        <f t="shared" si="172"/>
        <v>0</v>
      </c>
      <c r="K2591" s="19" t="s">
        <v>4498</v>
      </c>
    </row>
    <row r="2592" spans="1:11">
      <c r="A2592" t="s">
        <v>1822</v>
      </c>
      <c r="B2592" t="s">
        <v>4499</v>
      </c>
      <c r="G2592" s="5" t="str">
        <f t="shared" si="171"/>
        <v/>
      </c>
      <c r="I2592" s="6" t="str">
        <f t="shared" si="172"/>
        <v>0</v>
      </c>
      <c r="K2592" s="19" t="s">
        <v>4500</v>
      </c>
    </row>
    <row r="2593" spans="1:11">
      <c r="A2593" t="s">
        <v>1823</v>
      </c>
      <c r="B2593" t="s">
        <v>4501</v>
      </c>
      <c r="G2593" s="5" t="str">
        <f t="shared" si="171"/>
        <v/>
      </c>
      <c r="I2593" s="6" t="str">
        <f t="shared" si="172"/>
        <v>0</v>
      </c>
      <c r="K2593" s="19" t="s">
        <v>4502</v>
      </c>
    </row>
    <row r="2594" spans="1:11">
      <c r="A2594" t="s">
        <v>2111</v>
      </c>
      <c r="B2594" t="s">
        <v>4586</v>
      </c>
      <c r="G2594" s="5" t="str">
        <f t="shared" si="171"/>
        <v/>
      </c>
      <c r="I2594" s="6" t="str">
        <f t="shared" si="172"/>
        <v>0</v>
      </c>
      <c r="K2594" s="19" t="s">
        <v>4587</v>
      </c>
    </row>
    <row r="2595" spans="1:11">
      <c r="A2595" t="s">
        <v>2113</v>
      </c>
      <c r="B2595" t="s">
        <v>4588</v>
      </c>
      <c r="G2595" s="5" t="str">
        <f t="shared" si="171"/>
        <v/>
      </c>
      <c r="I2595" s="6" t="str">
        <f t="shared" si="172"/>
        <v>0</v>
      </c>
      <c r="K2595" s="19" t="s">
        <v>4589</v>
      </c>
    </row>
    <row r="2596" spans="1:11">
      <c r="A2596" t="s">
        <v>2114</v>
      </c>
      <c r="B2596" t="s">
        <v>4590</v>
      </c>
      <c r="G2596" s="5" t="str">
        <f t="shared" si="171"/>
        <v/>
      </c>
      <c r="I2596" s="6" t="str">
        <f t="shared" si="172"/>
        <v>0</v>
      </c>
      <c r="K2596" s="19" t="s">
        <v>4591</v>
      </c>
    </row>
    <row r="2597" spans="1:11">
      <c r="A2597" t="s">
        <v>2117</v>
      </c>
      <c r="B2597" t="s">
        <v>4592</v>
      </c>
      <c r="G2597" s="5" t="str">
        <f t="shared" si="171"/>
        <v/>
      </c>
      <c r="I2597" s="6" t="str">
        <f t="shared" si="172"/>
        <v>0</v>
      </c>
      <c r="K2597" s="19" t="s">
        <v>4593</v>
      </c>
    </row>
    <row r="2598" spans="1:11">
      <c r="A2598" t="s">
        <v>2120</v>
      </c>
      <c r="B2598" t="s">
        <v>4594</v>
      </c>
      <c r="G2598" s="5" t="str">
        <f t="shared" si="171"/>
        <v/>
      </c>
      <c r="I2598" s="6" t="str">
        <f t="shared" si="172"/>
        <v>0</v>
      </c>
      <c r="K2598" s="19" t="s">
        <v>4595</v>
      </c>
    </row>
    <row r="2599" spans="1:11">
      <c r="A2599" t="s">
        <v>2121</v>
      </c>
      <c r="B2599" t="s">
        <v>4596</v>
      </c>
      <c r="G2599" s="5" t="str">
        <f t="shared" si="171"/>
        <v/>
      </c>
      <c r="I2599" s="6" t="str">
        <f t="shared" si="172"/>
        <v>0</v>
      </c>
      <c r="K2599" s="19" t="s">
        <v>4597</v>
      </c>
    </row>
    <row r="2600" spans="1:11">
      <c r="A2600" t="s">
        <v>2122</v>
      </c>
      <c r="B2600" t="s">
        <v>4598</v>
      </c>
      <c r="G2600" s="5" t="str">
        <f t="shared" si="171"/>
        <v/>
      </c>
      <c r="I2600" s="6" t="str">
        <f t="shared" si="172"/>
        <v>0</v>
      </c>
      <c r="K2600" s="19" t="s">
        <v>4599</v>
      </c>
    </row>
    <row r="2601" spans="1:11">
      <c r="A2601" t="s">
        <v>2126</v>
      </c>
      <c r="B2601" t="s">
        <v>4600</v>
      </c>
      <c r="G2601" s="5" t="str">
        <f t="shared" si="171"/>
        <v/>
      </c>
      <c r="I2601" s="6" t="str">
        <f t="shared" si="172"/>
        <v>0</v>
      </c>
      <c r="K2601" s="19" t="s">
        <v>4601</v>
      </c>
    </row>
    <row r="2602" spans="1:11">
      <c r="A2602" t="s">
        <v>2130</v>
      </c>
      <c r="B2602" t="s">
        <v>4602</v>
      </c>
      <c r="G2602" s="5" t="str">
        <f t="shared" si="171"/>
        <v/>
      </c>
      <c r="I2602" s="6" t="str">
        <f t="shared" si="172"/>
        <v>0</v>
      </c>
      <c r="K2602" s="19" t="s">
        <v>4603</v>
      </c>
    </row>
    <row r="2603" spans="1:11">
      <c r="A2603" t="s">
        <v>2136</v>
      </c>
      <c r="B2603" t="s">
        <v>4604</v>
      </c>
      <c r="G2603" s="5" t="str">
        <f t="shared" si="171"/>
        <v/>
      </c>
      <c r="I2603" s="6" t="str">
        <f t="shared" si="172"/>
        <v>0</v>
      </c>
      <c r="K2603" s="19" t="s">
        <v>4605</v>
      </c>
    </row>
    <row r="2604" spans="1:11">
      <c r="A2604" t="s">
        <v>2140</v>
      </c>
      <c r="B2604" t="s">
        <v>4606</v>
      </c>
      <c r="G2604" s="5" t="str">
        <f t="shared" si="171"/>
        <v/>
      </c>
      <c r="I2604" s="6" t="str">
        <f t="shared" si="172"/>
        <v>0</v>
      </c>
      <c r="K2604" s="19" t="s">
        <v>4607</v>
      </c>
    </row>
    <row r="2605" spans="1:11">
      <c r="A2605" t="s">
        <v>2141</v>
      </c>
      <c r="B2605" t="s">
        <v>4608</v>
      </c>
      <c r="G2605" s="5" t="str">
        <f t="shared" si="171"/>
        <v/>
      </c>
      <c r="I2605" s="6" t="str">
        <f t="shared" si="172"/>
        <v>0</v>
      </c>
      <c r="K2605" s="19" t="s">
        <v>4609</v>
      </c>
    </row>
    <row r="2606" spans="1:11">
      <c r="A2606" t="s">
        <v>2159</v>
      </c>
      <c r="B2606" t="s">
        <v>4610</v>
      </c>
      <c r="G2606" s="5" t="str">
        <f t="shared" si="171"/>
        <v/>
      </c>
      <c r="I2606" s="6" t="str">
        <f t="shared" si="172"/>
        <v>0</v>
      </c>
      <c r="K2606" s="19" t="s">
        <v>4611</v>
      </c>
    </row>
    <row r="2607" spans="1:11">
      <c r="A2607" t="s">
        <v>2180</v>
      </c>
      <c r="B2607" t="s">
        <v>4612</v>
      </c>
      <c r="G2607" s="5" t="str">
        <f t="shared" si="171"/>
        <v/>
      </c>
      <c r="I2607" s="6" t="str">
        <f t="shared" si="172"/>
        <v>0</v>
      </c>
      <c r="K2607" s="19" t="s">
        <v>4613</v>
      </c>
    </row>
    <row r="2608" spans="1:11">
      <c r="A2608" t="s">
        <v>2182</v>
      </c>
      <c r="B2608" t="s">
        <v>4614</v>
      </c>
      <c r="G2608" s="5" t="str">
        <f t="shared" si="171"/>
        <v/>
      </c>
      <c r="I2608" s="6" t="str">
        <f t="shared" si="172"/>
        <v>0</v>
      </c>
      <c r="K2608" s="19" t="s">
        <v>4615</v>
      </c>
    </row>
    <row r="2609" spans="1:11">
      <c r="A2609" t="s">
        <v>2427</v>
      </c>
      <c r="B2609" t="s">
        <v>4616</v>
      </c>
      <c r="G2609" s="5" t="str">
        <f t="shared" si="171"/>
        <v/>
      </c>
      <c r="I2609" s="6" t="str">
        <f t="shared" si="172"/>
        <v>0</v>
      </c>
      <c r="K2609" s="19" t="s">
        <v>4617</v>
      </c>
    </row>
    <row r="2610" spans="1:11">
      <c r="A2610" t="s">
        <v>2428</v>
      </c>
      <c r="B2610" t="s">
        <v>4618</v>
      </c>
      <c r="G2610" s="5" t="str">
        <f t="shared" si="171"/>
        <v/>
      </c>
      <c r="I2610" s="6" t="str">
        <f t="shared" si="172"/>
        <v>0</v>
      </c>
      <c r="K2610" s="19" t="s">
        <v>4619</v>
      </c>
    </row>
    <row r="2611" spans="1:11">
      <c r="A2611" t="s">
        <v>2429</v>
      </c>
      <c r="B2611" t="s">
        <v>4620</v>
      </c>
      <c r="G2611" s="5" t="str">
        <f t="shared" si="171"/>
        <v/>
      </c>
      <c r="I2611" s="6" t="str">
        <f t="shared" si="172"/>
        <v>0</v>
      </c>
      <c r="K2611" s="19" t="s">
        <v>4621</v>
      </c>
    </row>
    <row r="2612" spans="1:11">
      <c r="A2612" t="s">
        <v>2430</v>
      </c>
      <c r="B2612" t="s">
        <v>4622</v>
      </c>
      <c r="G2612" s="5" t="str">
        <f t="shared" si="171"/>
        <v/>
      </c>
      <c r="I2612" s="6" t="str">
        <f t="shared" si="172"/>
        <v>0</v>
      </c>
      <c r="K2612" s="19" t="s">
        <v>4623</v>
      </c>
    </row>
    <row r="2613" spans="1:11">
      <c r="A2613" t="s">
        <v>2436</v>
      </c>
      <c r="B2613" t="s">
        <v>4624</v>
      </c>
      <c r="G2613" s="5" t="str">
        <f t="shared" si="171"/>
        <v/>
      </c>
      <c r="I2613" s="6" t="str">
        <f t="shared" si="172"/>
        <v>0</v>
      </c>
      <c r="K2613" s="19" t="s">
        <v>4625</v>
      </c>
    </row>
    <row r="2614" spans="1:11">
      <c r="A2614" t="s">
        <v>2437</v>
      </c>
      <c r="B2614" t="s">
        <v>4626</v>
      </c>
      <c r="G2614" s="5" t="str">
        <f t="shared" si="171"/>
        <v/>
      </c>
      <c r="I2614" s="6" t="str">
        <f t="shared" si="172"/>
        <v>0</v>
      </c>
      <c r="K2614" s="19" t="s">
        <v>4627</v>
      </c>
    </row>
    <row r="2615" spans="1:11">
      <c r="A2615" t="s">
        <v>2440</v>
      </c>
      <c r="B2615" t="s">
        <v>4628</v>
      </c>
      <c r="G2615" s="5" t="str">
        <f t="shared" si="171"/>
        <v/>
      </c>
      <c r="I2615" s="6" t="str">
        <f t="shared" si="172"/>
        <v>0</v>
      </c>
      <c r="K2615" s="19" t="s">
        <v>4629</v>
      </c>
    </row>
    <row r="2616" spans="1:11">
      <c r="A2616" t="s">
        <v>2442</v>
      </c>
      <c r="B2616" t="s">
        <v>4630</v>
      </c>
      <c r="G2616" s="5" t="str">
        <f t="shared" si="171"/>
        <v/>
      </c>
      <c r="I2616" s="6" t="str">
        <f t="shared" si="172"/>
        <v>0</v>
      </c>
      <c r="K2616" s="19" t="s">
        <v>4631</v>
      </c>
    </row>
    <row r="2617" spans="1:11">
      <c r="A2617" t="s">
        <v>2449</v>
      </c>
      <c r="B2617" t="s">
        <v>4632</v>
      </c>
      <c r="G2617" s="5" t="str">
        <f t="shared" si="171"/>
        <v/>
      </c>
      <c r="I2617" s="6" t="str">
        <f t="shared" si="172"/>
        <v>0</v>
      </c>
      <c r="K2617" s="19" t="s">
        <v>4633</v>
      </c>
    </row>
    <row r="2618" spans="1:11">
      <c r="A2618" t="s">
        <v>2454</v>
      </c>
      <c r="B2618" t="s">
        <v>4634</v>
      </c>
      <c r="G2618" s="5" t="str">
        <f t="shared" si="171"/>
        <v/>
      </c>
      <c r="I2618" s="6" t="str">
        <f t="shared" si="172"/>
        <v>0</v>
      </c>
      <c r="K2618" s="19" t="s">
        <v>4635</v>
      </c>
    </row>
    <row r="2619" spans="1:11">
      <c r="A2619" t="s">
        <v>2460</v>
      </c>
      <c r="B2619" t="s">
        <v>4513</v>
      </c>
      <c r="G2619" s="5" t="str">
        <f t="shared" si="171"/>
        <v/>
      </c>
      <c r="I2619" s="6" t="str">
        <f t="shared" si="172"/>
        <v>0</v>
      </c>
      <c r="K2619" s="19" t="s">
        <v>4636</v>
      </c>
    </row>
    <row r="2620" spans="1:11">
      <c r="A2620" t="s">
        <v>2465</v>
      </c>
      <c r="B2620" t="s">
        <v>4637</v>
      </c>
      <c r="G2620" s="5" t="str">
        <f t="shared" si="171"/>
        <v/>
      </c>
      <c r="I2620" s="6" t="str">
        <f t="shared" si="172"/>
        <v>0</v>
      </c>
      <c r="K2620" s="19" t="s">
        <v>4638</v>
      </c>
    </row>
    <row r="2621" spans="1:11">
      <c r="A2621" t="s">
        <v>2467</v>
      </c>
      <c r="B2621" t="s">
        <v>4639</v>
      </c>
      <c r="G2621" s="5" t="str">
        <f t="shared" si="171"/>
        <v/>
      </c>
      <c r="I2621" s="6" t="str">
        <f t="shared" si="172"/>
        <v>0</v>
      </c>
      <c r="K2621" s="19" t="s">
        <v>4640</v>
      </c>
    </row>
    <row r="2622" spans="1:11">
      <c r="A2622" t="s">
        <v>2469</v>
      </c>
      <c r="B2622" t="s">
        <v>4641</v>
      </c>
      <c r="G2622" s="5" t="str">
        <f t="shared" si="171"/>
        <v/>
      </c>
      <c r="I2622" s="6" t="str">
        <f t="shared" si="172"/>
        <v>0</v>
      </c>
      <c r="K2622" s="19" t="s">
        <v>4642</v>
      </c>
    </row>
    <row r="2623" spans="1:11">
      <c r="A2623" t="s">
        <v>2470</v>
      </c>
      <c r="B2623" t="s">
        <v>4643</v>
      </c>
      <c r="G2623" s="5" t="str">
        <f t="shared" si="171"/>
        <v/>
      </c>
      <c r="I2623" s="6" t="str">
        <f t="shared" si="172"/>
        <v>0</v>
      </c>
      <c r="K2623" s="19" t="s">
        <v>4644</v>
      </c>
    </row>
    <row r="2624" spans="1:11">
      <c r="A2624" t="s">
        <v>2471</v>
      </c>
      <c r="B2624" t="s">
        <v>4645</v>
      </c>
      <c r="G2624" s="5" t="str">
        <f t="shared" si="171"/>
        <v/>
      </c>
      <c r="I2624" s="6" t="str">
        <f t="shared" si="172"/>
        <v>0</v>
      </c>
      <c r="K2624" s="19" t="s">
        <v>4646</v>
      </c>
    </row>
    <row r="2625" spans="1:11">
      <c r="A2625" t="s">
        <v>2472</v>
      </c>
      <c r="B2625" t="s">
        <v>4647</v>
      </c>
      <c r="G2625" s="5" t="str">
        <f t="shared" si="171"/>
        <v/>
      </c>
      <c r="I2625" s="6" t="str">
        <f t="shared" si="172"/>
        <v>0</v>
      </c>
      <c r="K2625" s="19" t="s">
        <v>4648</v>
      </c>
    </row>
    <row r="2626" spans="1:11">
      <c r="A2626" t="s">
        <v>2478</v>
      </c>
      <c r="B2626" t="s">
        <v>4649</v>
      </c>
      <c r="G2626" s="5" t="str">
        <f t="shared" ref="G2626:G2665" si="173">IF(F2626&lt;&gt;"",HEX2DEC(SUBSTITUTE(SUBSTITUTE(F2626,"adrEA",""),"$","")),"")</f>
        <v/>
      </c>
      <c r="I2626" s="6" t="str">
        <f t="shared" ref="I2626:I2665" si="174">IFERROR(DEC2HEX(H2626),"")</f>
        <v>0</v>
      </c>
      <c r="K2626" s="19" t="s">
        <v>4650</v>
      </c>
    </row>
    <row r="2627" spans="1:11">
      <c r="A2627" t="s">
        <v>2484</v>
      </c>
      <c r="B2627" t="s">
        <v>4651</v>
      </c>
      <c r="G2627" s="5" t="str">
        <f t="shared" si="173"/>
        <v/>
      </c>
      <c r="I2627" s="6" t="str">
        <f t="shared" si="174"/>
        <v>0</v>
      </c>
      <c r="K2627" s="19" t="s">
        <v>4652</v>
      </c>
    </row>
    <row r="2628" spans="1:11">
      <c r="A2628" t="s">
        <v>2485</v>
      </c>
      <c r="B2628" t="s">
        <v>4653</v>
      </c>
      <c r="G2628" s="5" t="str">
        <f t="shared" si="173"/>
        <v/>
      </c>
      <c r="I2628" s="6" t="str">
        <f t="shared" si="174"/>
        <v>0</v>
      </c>
      <c r="K2628" s="19" t="s">
        <v>4654</v>
      </c>
    </row>
    <row r="2629" spans="1:11">
      <c r="A2629" t="s">
        <v>2486</v>
      </c>
      <c r="B2629" t="s">
        <v>4655</v>
      </c>
      <c r="G2629" s="5" t="str">
        <f t="shared" si="173"/>
        <v/>
      </c>
      <c r="I2629" s="6" t="str">
        <f t="shared" si="174"/>
        <v>0</v>
      </c>
      <c r="K2629" s="19" t="s">
        <v>4656</v>
      </c>
    </row>
    <row r="2630" spans="1:11">
      <c r="A2630" t="s">
        <v>2487</v>
      </c>
      <c r="B2630" t="s">
        <v>4657</v>
      </c>
      <c r="G2630" s="5" t="str">
        <f t="shared" si="173"/>
        <v/>
      </c>
      <c r="I2630" s="6" t="str">
        <f t="shared" si="174"/>
        <v>0</v>
      </c>
      <c r="K2630" s="19" t="s">
        <v>4658</v>
      </c>
    </row>
    <row r="2631" spans="1:11">
      <c r="A2631" t="s">
        <v>2489</v>
      </c>
      <c r="B2631" t="s">
        <v>4659</v>
      </c>
      <c r="G2631" s="5" t="str">
        <f t="shared" si="173"/>
        <v/>
      </c>
      <c r="I2631" s="6" t="str">
        <f t="shared" si="174"/>
        <v>0</v>
      </c>
      <c r="K2631" s="19" t="s">
        <v>4660</v>
      </c>
    </row>
    <row r="2632" spans="1:11">
      <c r="A2632" t="s">
        <v>2490</v>
      </c>
      <c r="B2632" t="s">
        <v>4661</v>
      </c>
      <c r="G2632" s="5" t="str">
        <f t="shared" si="173"/>
        <v/>
      </c>
      <c r="I2632" s="6" t="str">
        <f t="shared" si="174"/>
        <v>0</v>
      </c>
      <c r="K2632" s="19" t="s">
        <v>4662</v>
      </c>
    </row>
    <row r="2633" spans="1:11">
      <c r="A2633" t="s">
        <v>2491</v>
      </c>
      <c r="B2633" t="s">
        <v>4663</v>
      </c>
      <c r="G2633" s="5" t="str">
        <f t="shared" si="173"/>
        <v/>
      </c>
      <c r="I2633" s="6" t="str">
        <f t="shared" si="174"/>
        <v>0</v>
      </c>
      <c r="K2633" s="19" t="s">
        <v>4664</v>
      </c>
    </row>
    <row r="2634" spans="1:11">
      <c r="A2634" t="s">
        <v>2494</v>
      </c>
      <c r="B2634" t="s">
        <v>4665</v>
      </c>
      <c r="G2634" s="5" t="str">
        <f t="shared" si="173"/>
        <v/>
      </c>
      <c r="I2634" s="6" t="str">
        <f t="shared" si="174"/>
        <v>0</v>
      </c>
      <c r="K2634" s="19" t="s">
        <v>4666</v>
      </c>
    </row>
    <row r="2635" spans="1:11">
      <c r="A2635" t="s">
        <v>2514</v>
      </c>
      <c r="B2635" t="s">
        <v>4667</v>
      </c>
      <c r="G2635" s="5" t="str">
        <f t="shared" si="173"/>
        <v/>
      </c>
      <c r="I2635" s="6" t="str">
        <f t="shared" si="174"/>
        <v>0</v>
      </c>
      <c r="K2635" s="19" t="s">
        <v>4668</v>
      </c>
    </row>
    <row r="2636" spans="1:11">
      <c r="A2636" t="s">
        <v>2515</v>
      </c>
      <c r="B2636" t="s">
        <v>4669</v>
      </c>
      <c r="G2636" s="5" t="str">
        <f t="shared" si="173"/>
        <v/>
      </c>
      <c r="I2636" s="6" t="str">
        <f t="shared" si="174"/>
        <v>0</v>
      </c>
      <c r="K2636" s="19" t="s">
        <v>4670</v>
      </c>
    </row>
    <row r="2637" spans="1:11">
      <c r="A2637" t="s">
        <v>2517</v>
      </c>
      <c r="B2637" t="s">
        <v>4671</v>
      </c>
      <c r="G2637" s="5" t="str">
        <f t="shared" si="173"/>
        <v/>
      </c>
      <c r="I2637" s="6" t="str">
        <f t="shared" si="174"/>
        <v>0</v>
      </c>
      <c r="K2637" s="19" t="s">
        <v>4672</v>
      </c>
    </row>
    <row r="2638" spans="1:11">
      <c r="A2638" t="s">
        <v>2530</v>
      </c>
      <c r="B2638" t="s">
        <v>4673</v>
      </c>
      <c r="G2638" s="5" t="str">
        <f t="shared" si="173"/>
        <v/>
      </c>
      <c r="I2638" s="6" t="str">
        <f t="shared" si="174"/>
        <v>0</v>
      </c>
      <c r="K2638" s="19" t="s">
        <v>4674</v>
      </c>
    </row>
    <row r="2639" spans="1:11">
      <c r="A2639" t="s">
        <v>2531</v>
      </c>
      <c r="B2639" t="s">
        <v>4675</v>
      </c>
      <c r="G2639" s="5" t="str">
        <f t="shared" si="173"/>
        <v/>
      </c>
      <c r="I2639" s="6" t="str">
        <f t="shared" si="174"/>
        <v>0</v>
      </c>
      <c r="K2639" s="19" t="s">
        <v>4676</v>
      </c>
    </row>
    <row r="2640" spans="1:11">
      <c r="A2640" t="s">
        <v>865</v>
      </c>
      <c r="B2640" t="s">
        <v>4690</v>
      </c>
      <c r="G2640" s="5" t="str">
        <f t="shared" si="173"/>
        <v/>
      </c>
      <c r="I2640" s="6" t="str">
        <f t="shared" si="174"/>
        <v>0</v>
      </c>
      <c r="K2640" s="19" t="s">
        <v>4691</v>
      </c>
    </row>
    <row r="2641" spans="1:11">
      <c r="A2641" t="s">
        <v>869</v>
      </c>
      <c r="B2641" t="s">
        <v>4692</v>
      </c>
      <c r="G2641" s="5" t="str">
        <f t="shared" si="173"/>
        <v/>
      </c>
      <c r="I2641" s="6" t="str">
        <f t="shared" si="174"/>
        <v>0</v>
      </c>
      <c r="K2641" s="19" t="s">
        <v>4693</v>
      </c>
    </row>
    <row r="2642" spans="1:11">
      <c r="A2642" t="s">
        <v>870</v>
      </c>
      <c r="B2642" t="s">
        <v>4694</v>
      </c>
      <c r="G2642" s="5" t="str">
        <f t="shared" si="173"/>
        <v/>
      </c>
      <c r="I2642" s="6" t="str">
        <f t="shared" si="174"/>
        <v>0</v>
      </c>
      <c r="K2642" s="19" t="s">
        <v>4695</v>
      </c>
    </row>
    <row r="2643" spans="1:11">
      <c r="A2643" t="s">
        <v>871</v>
      </c>
      <c r="B2643" t="s">
        <v>4696</v>
      </c>
      <c r="G2643" s="5" t="str">
        <f t="shared" si="173"/>
        <v/>
      </c>
      <c r="I2643" s="6" t="str">
        <f t="shared" si="174"/>
        <v>0</v>
      </c>
      <c r="K2643" s="19" t="s">
        <v>4697</v>
      </c>
    </row>
    <row r="2644" spans="1:11">
      <c r="A2644" t="s">
        <v>872</v>
      </c>
      <c r="B2644" t="s">
        <v>4476</v>
      </c>
      <c r="G2644" s="5" t="str">
        <f t="shared" si="173"/>
        <v/>
      </c>
      <c r="I2644" s="6" t="str">
        <f t="shared" si="174"/>
        <v>0</v>
      </c>
      <c r="K2644" s="19" t="s">
        <v>4698</v>
      </c>
    </row>
    <row r="2645" spans="1:11">
      <c r="A2645" t="s">
        <v>874</v>
      </c>
      <c r="B2645" t="s">
        <v>4699</v>
      </c>
      <c r="G2645" s="5" t="str">
        <f t="shared" si="173"/>
        <v/>
      </c>
      <c r="I2645" s="6" t="str">
        <f t="shared" si="174"/>
        <v>0</v>
      </c>
      <c r="K2645" s="19" t="s">
        <v>4700</v>
      </c>
    </row>
    <row r="2646" spans="1:11">
      <c r="A2646" t="s">
        <v>1014</v>
      </c>
      <c r="B2646" t="s">
        <v>4701</v>
      </c>
      <c r="G2646" s="5" t="str">
        <f t="shared" si="173"/>
        <v/>
      </c>
      <c r="I2646" s="6" t="str">
        <f t="shared" si="174"/>
        <v>0</v>
      </c>
      <c r="K2646" s="19" t="s">
        <v>4702</v>
      </c>
    </row>
    <row r="2647" spans="1:11">
      <c r="A2647" t="s">
        <v>1021</v>
      </c>
      <c r="B2647" t="s">
        <v>4703</v>
      </c>
      <c r="G2647" s="5" t="str">
        <f t="shared" si="173"/>
        <v/>
      </c>
      <c r="I2647" s="6" t="str">
        <f t="shared" si="174"/>
        <v>0</v>
      </c>
      <c r="K2647" s="19" t="s">
        <v>4704</v>
      </c>
    </row>
    <row r="2648" spans="1:11">
      <c r="A2648" t="s">
        <v>1022</v>
      </c>
      <c r="B2648" t="s">
        <v>4705</v>
      </c>
      <c r="G2648" s="5" t="str">
        <f t="shared" si="173"/>
        <v/>
      </c>
      <c r="I2648" s="6" t="str">
        <f t="shared" si="174"/>
        <v>0</v>
      </c>
      <c r="K2648" s="19" t="s">
        <v>4706</v>
      </c>
    </row>
    <row r="2649" spans="1:11">
      <c r="A2649" t="s">
        <v>1047</v>
      </c>
      <c r="B2649" t="s">
        <v>4707</v>
      </c>
      <c r="G2649" s="5" t="str">
        <f t="shared" si="173"/>
        <v/>
      </c>
      <c r="I2649" s="6" t="str">
        <f t="shared" si="174"/>
        <v>0</v>
      </c>
      <c r="K2649" s="19" t="s">
        <v>4708</v>
      </c>
    </row>
    <row r="2650" spans="1:11">
      <c r="A2650" t="s">
        <v>1051</v>
      </c>
      <c r="B2650" t="s">
        <v>4709</v>
      </c>
      <c r="G2650" s="5" t="str">
        <f t="shared" si="173"/>
        <v/>
      </c>
      <c r="I2650" s="6" t="str">
        <f t="shared" si="174"/>
        <v>0</v>
      </c>
      <c r="K2650" s="19" t="s">
        <v>4710</v>
      </c>
    </row>
    <row r="2651" spans="1:11">
      <c r="A2651" t="s">
        <v>1052</v>
      </c>
      <c r="B2651" t="s">
        <v>4711</v>
      </c>
      <c r="G2651" s="5" t="str">
        <f t="shared" si="173"/>
        <v/>
      </c>
      <c r="I2651" s="6" t="str">
        <f t="shared" si="174"/>
        <v>0</v>
      </c>
      <c r="K2651" s="19" t="s">
        <v>4712</v>
      </c>
    </row>
    <row r="2652" spans="1:11">
      <c r="A2652" t="s">
        <v>1056</v>
      </c>
      <c r="B2652" t="s">
        <v>4504</v>
      </c>
      <c r="G2652" s="5" t="str">
        <f t="shared" si="173"/>
        <v/>
      </c>
      <c r="I2652" s="6" t="str">
        <f t="shared" si="174"/>
        <v>0</v>
      </c>
      <c r="K2652" s="19" t="s">
        <v>4505</v>
      </c>
    </row>
    <row r="2653" spans="1:11">
      <c r="A2653" t="s">
        <v>1057</v>
      </c>
      <c r="B2653" t="s">
        <v>4713</v>
      </c>
      <c r="G2653" s="5" t="str">
        <f t="shared" si="173"/>
        <v/>
      </c>
      <c r="I2653" s="6" t="str">
        <f t="shared" si="174"/>
        <v>0</v>
      </c>
      <c r="K2653" s="19" t="s">
        <v>4506</v>
      </c>
    </row>
    <row r="2654" spans="1:11">
      <c r="A2654" t="s">
        <v>1058</v>
      </c>
      <c r="B2654" t="s">
        <v>4714</v>
      </c>
      <c r="G2654" s="5" t="str">
        <f t="shared" si="173"/>
        <v/>
      </c>
      <c r="I2654" s="6" t="str">
        <f t="shared" si="174"/>
        <v>0</v>
      </c>
      <c r="K2654" s="19" t="s">
        <v>4507</v>
      </c>
    </row>
    <row r="2655" spans="1:11">
      <c r="A2655" t="s">
        <v>1059</v>
      </c>
      <c r="B2655" t="s">
        <v>4715</v>
      </c>
      <c r="G2655" s="5" t="str">
        <f t="shared" si="173"/>
        <v/>
      </c>
      <c r="I2655" s="6" t="str">
        <f t="shared" si="174"/>
        <v>0</v>
      </c>
      <c r="K2655" s="19" t="s">
        <v>4716</v>
      </c>
    </row>
    <row r="2656" spans="1:11">
      <c r="A2656" t="s">
        <v>1060</v>
      </c>
      <c r="B2656" t="s">
        <v>4717</v>
      </c>
      <c r="G2656" s="5" t="str">
        <f t="shared" si="173"/>
        <v/>
      </c>
      <c r="I2656" s="6" t="str">
        <f t="shared" si="174"/>
        <v>0</v>
      </c>
      <c r="K2656" s="19" t="s">
        <v>4508</v>
      </c>
    </row>
    <row r="2657" spans="1:11">
      <c r="A2657" t="s">
        <v>1061</v>
      </c>
      <c r="B2657" t="s">
        <v>4718</v>
      </c>
      <c r="G2657" s="5" t="str">
        <f t="shared" si="173"/>
        <v/>
      </c>
      <c r="I2657" s="6" t="str">
        <f t="shared" si="174"/>
        <v>0</v>
      </c>
      <c r="K2657" s="19" t="s">
        <v>4509</v>
      </c>
    </row>
    <row r="2658" spans="1:11">
      <c r="A2658" t="s">
        <v>1062</v>
      </c>
      <c r="B2658" t="s">
        <v>4719</v>
      </c>
      <c r="G2658" s="5" t="str">
        <f t="shared" si="173"/>
        <v/>
      </c>
      <c r="I2658" s="6" t="str">
        <f t="shared" si="174"/>
        <v>0</v>
      </c>
      <c r="K2658" s="19" t="s">
        <v>4510</v>
      </c>
    </row>
    <row r="2659" spans="1:11">
      <c r="A2659" t="s">
        <v>1063</v>
      </c>
      <c r="B2659" t="s">
        <v>4720</v>
      </c>
      <c r="G2659" s="5" t="str">
        <f t="shared" si="173"/>
        <v/>
      </c>
      <c r="I2659" s="6" t="str">
        <f t="shared" si="174"/>
        <v>0</v>
      </c>
      <c r="K2659" s="19" t="s">
        <v>4511</v>
      </c>
    </row>
    <row r="2660" spans="1:11">
      <c r="A2660" t="s">
        <v>1064</v>
      </c>
      <c r="B2660" t="s">
        <v>4503</v>
      </c>
      <c r="G2660" s="5" t="str">
        <f t="shared" si="173"/>
        <v/>
      </c>
      <c r="I2660" s="6" t="str">
        <f t="shared" si="174"/>
        <v>0</v>
      </c>
      <c r="K2660" s="19" t="s">
        <v>4721</v>
      </c>
    </row>
    <row r="2661" spans="1:11">
      <c r="A2661" t="s">
        <v>1065</v>
      </c>
      <c r="B2661" t="s">
        <v>4722</v>
      </c>
      <c r="G2661" s="5" t="str">
        <f t="shared" si="173"/>
        <v/>
      </c>
      <c r="I2661" s="6" t="str">
        <f t="shared" si="174"/>
        <v>0</v>
      </c>
      <c r="K2661" s="19" t="s">
        <v>4723</v>
      </c>
    </row>
    <row r="2662" spans="1:11">
      <c r="A2662" t="s">
        <v>1066</v>
      </c>
      <c r="B2662" t="s">
        <v>4724</v>
      </c>
      <c r="G2662" s="5" t="str">
        <f t="shared" si="173"/>
        <v/>
      </c>
      <c r="I2662" s="6" t="str">
        <f t="shared" si="174"/>
        <v>0</v>
      </c>
      <c r="K2662" s="19" t="s">
        <v>4725</v>
      </c>
    </row>
    <row r="2663" spans="1:11">
      <c r="A2663" t="s">
        <v>1067</v>
      </c>
      <c r="B2663" t="s">
        <v>4726</v>
      </c>
      <c r="G2663" s="5" t="str">
        <f t="shared" si="173"/>
        <v/>
      </c>
      <c r="I2663" s="6" t="str">
        <f t="shared" si="174"/>
        <v>0</v>
      </c>
      <c r="K2663" s="19" t="s">
        <v>4512</v>
      </c>
    </row>
    <row r="2664" spans="1:11">
      <c r="A2664" t="s">
        <v>1068</v>
      </c>
      <c r="B2664" t="s">
        <v>4727</v>
      </c>
      <c r="G2664" s="5" t="str">
        <f t="shared" si="173"/>
        <v/>
      </c>
      <c r="I2664" s="6" t="str">
        <f t="shared" si="174"/>
        <v>0</v>
      </c>
      <c r="K2664" s="19" t="s">
        <v>4728</v>
      </c>
    </row>
    <row r="2665" spans="1:11">
      <c r="A2665" t="s">
        <v>4953</v>
      </c>
      <c r="B2665" t="s">
        <v>4953</v>
      </c>
      <c r="C2665" s="5" t="s">
        <v>3114</v>
      </c>
      <c r="D2665" t="s">
        <v>4954</v>
      </c>
      <c r="E2665" t="s">
        <v>4955</v>
      </c>
      <c r="F2665" s="5" t="s">
        <v>4956</v>
      </c>
      <c r="G2665" s="5">
        <f t="shared" si="173"/>
        <v>34918</v>
      </c>
      <c r="H2665" s="5">
        <v>48</v>
      </c>
      <c r="I2665" s="6" t="str">
        <f t="shared" si="174"/>
        <v>30</v>
      </c>
      <c r="J2665" s="6" t="s">
        <v>3414</v>
      </c>
      <c r="K2665" s="19" t="s">
        <v>5028</v>
      </c>
    </row>
    <row r="2666" spans="1:11">
      <c r="A2666" t="s">
        <v>5934</v>
      </c>
      <c r="B2666" t="s">
        <v>5935</v>
      </c>
      <c r="I2666" s="6">
        <v>0</v>
      </c>
      <c r="K2666" s="19" t="s">
        <v>5936</v>
      </c>
    </row>
    <row r="2667" spans="1:11">
      <c r="G2667" s="5" t="str">
        <f t="shared" ref="G2667" si="175">IF(F2667&lt;&gt;"",HEX2DEC(SUBSTITUTE(SUBSTITUTE(F2667,"adrEA",""),"$","")),"")</f>
        <v/>
      </c>
      <c r="I2667" s="6" t="str">
        <f t="shared" ref="I2667" si="176">IFERROR(DEC2HEX(H2667),"")</f>
        <v>0</v>
      </c>
    </row>
    <row r="2840" spans="1:500" ht="17" customHeight="1"/>
    <row r="2842" spans="1:500">
      <c r="A2842" s="37"/>
      <c r="B2842" s="37"/>
      <c r="C2842" s="37"/>
      <c r="D2842" s="37"/>
      <c r="E2842" s="37"/>
      <c r="F2842" s="37"/>
      <c r="G2842" s="37"/>
      <c r="H2842" s="37"/>
      <c r="I2842" s="37"/>
      <c r="J2842" s="37"/>
      <c r="K2842" s="37"/>
      <c r="L2842" s="37"/>
      <c r="M2842" s="37"/>
      <c r="N2842" s="37"/>
      <c r="O2842" s="37"/>
      <c r="P2842" s="37"/>
      <c r="Q2842" s="37"/>
      <c r="R2842" s="37"/>
      <c r="S2842" s="37"/>
      <c r="T2842" s="37"/>
      <c r="U2842" s="37"/>
      <c r="V2842" s="37"/>
      <c r="W2842" s="37"/>
      <c r="X2842" s="37"/>
      <c r="Y2842" s="37"/>
      <c r="Z2842" s="37"/>
      <c r="AA2842" s="37"/>
      <c r="AB2842" s="37"/>
      <c r="AC2842" s="37"/>
      <c r="AD2842" s="37"/>
      <c r="AE2842" s="37"/>
      <c r="AF2842" s="37"/>
      <c r="AG2842" s="37"/>
      <c r="AH2842" s="37"/>
      <c r="AI2842" s="37"/>
      <c r="AJ2842" s="37"/>
      <c r="AK2842" s="37"/>
      <c r="AL2842" s="37"/>
      <c r="AM2842" s="37"/>
      <c r="AN2842" s="37"/>
      <c r="AO2842" s="37"/>
      <c r="AP2842" s="37"/>
      <c r="AQ2842" s="37"/>
      <c r="AR2842" s="37"/>
      <c r="AS2842" s="37"/>
      <c r="AT2842" s="37"/>
      <c r="AU2842" s="37"/>
      <c r="AV2842" s="37"/>
      <c r="AW2842" s="37"/>
      <c r="AX2842" s="37"/>
      <c r="AY2842" s="37"/>
      <c r="AZ2842" s="37"/>
      <c r="BA2842" s="37"/>
      <c r="BB2842" s="37"/>
      <c r="BC2842" s="37"/>
      <c r="BD2842" s="37"/>
      <c r="BE2842" s="37"/>
      <c r="BF2842" s="37"/>
      <c r="BG2842" s="37"/>
      <c r="BH2842" s="37"/>
      <c r="BI2842" s="37"/>
      <c r="BJ2842" s="37"/>
      <c r="BK2842" s="37"/>
      <c r="BL2842" s="37"/>
      <c r="BM2842" s="37"/>
      <c r="BN2842" s="37"/>
      <c r="BO2842" s="37"/>
      <c r="BP2842" s="37"/>
      <c r="BQ2842" s="37"/>
      <c r="BR2842" s="37"/>
      <c r="BS2842" s="37"/>
      <c r="BT2842" s="37"/>
      <c r="BU2842" s="37"/>
      <c r="BV2842" s="37"/>
      <c r="BW2842" s="37"/>
      <c r="BX2842" s="37"/>
      <c r="BY2842" s="37"/>
      <c r="BZ2842" s="37"/>
      <c r="CA2842" s="37"/>
      <c r="CB2842" s="37"/>
      <c r="CC2842" s="37"/>
      <c r="CD2842" s="37"/>
      <c r="CE2842" s="37"/>
      <c r="CF2842" s="37"/>
      <c r="CG2842" s="37"/>
      <c r="CH2842" s="37"/>
      <c r="CI2842" s="37"/>
      <c r="CJ2842" s="37"/>
      <c r="CK2842" s="37"/>
      <c r="CL2842" s="37"/>
      <c r="CM2842" s="37"/>
      <c r="CN2842" s="37"/>
      <c r="CO2842" s="37"/>
      <c r="CP2842" s="37"/>
      <c r="CQ2842" s="37"/>
      <c r="CR2842" s="37"/>
      <c r="CS2842" s="37"/>
      <c r="CT2842" s="37"/>
      <c r="CU2842" s="37"/>
      <c r="CV2842" s="37"/>
      <c r="CW2842" s="37"/>
      <c r="CX2842" s="37"/>
      <c r="CY2842" s="37"/>
      <c r="CZ2842" s="37"/>
      <c r="DA2842" s="37"/>
      <c r="DB2842" s="37"/>
      <c r="DC2842" s="37"/>
      <c r="DD2842" s="37"/>
      <c r="DE2842" s="37"/>
      <c r="DF2842" s="37"/>
      <c r="DG2842" s="37"/>
      <c r="DH2842" s="37"/>
      <c r="DI2842" s="37"/>
      <c r="DJ2842" s="37"/>
      <c r="DK2842" s="37"/>
      <c r="DL2842" s="37"/>
      <c r="DM2842" s="37"/>
      <c r="DN2842" s="37"/>
      <c r="DO2842" s="37"/>
      <c r="DP2842" s="37"/>
      <c r="DQ2842" s="37"/>
      <c r="DR2842" s="37"/>
      <c r="DS2842" s="37"/>
      <c r="DT2842" s="37"/>
      <c r="DU2842" s="37"/>
      <c r="DV2842" s="37"/>
      <c r="DW2842" s="37"/>
      <c r="DX2842" s="37"/>
      <c r="DY2842" s="37"/>
      <c r="DZ2842" s="37"/>
      <c r="EA2842" s="37"/>
      <c r="EB2842" s="37"/>
      <c r="EC2842" s="37"/>
      <c r="ED2842" s="37"/>
      <c r="EE2842" s="37"/>
      <c r="EF2842" s="37"/>
      <c r="EG2842" s="37"/>
      <c r="EH2842" s="37"/>
      <c r="EI2842" s="37"/>
      <c r="EJ2842" s="37"/>
      <c r="EK2842" s="37"/>
      <c r="EL2842" s="37"/>
      <c r="EM2842" s="37"/>
      <c r="EN2842" s="37"/>
      <c r="EO2842" s="37"/>
      <c r="EP2842" s="37"/>
      <c r="EQ2842" s="37"/>
      <c r="ER2842" s="37"/>
      <c r="ES2842" s="37"/>
      <c r="ET2842" s="37"/>
      <c r="EU2842" s="37"/>
      <c r="EV2842" s="37"/>
      <c r="EW2842" s="37"/>
      <c r="EX2842" s="37"/>
      <c r="EY2842" s="37"/>
      <c r="EZ2842" s="37"/>
      <c r="FA2842" s="37"/>
      <c r="FB2842" s="37"/>
      <c r="FC2842" s="37"/>
      <c r="FD2842" s="37"/>
      <c r="FE2842" s="37"/>
      <c r="FF2842" s="37"/>
      <c r="FG2842" s="37"/>
      <c r="FH2842" s="37"/>
      <c r="FI2842" s="37"/>
      <c r="FJ2842" s="37"/>
      <c r="FK2842" s="37"/>
      <c r="FL2842" s="37"/>
      <c r="FM2842" s="37"/>
      <c r="FN2842" s="37"/>
      <c r="FO2842" s="37"/>
      <c r="FP2842" s="37"/>
      <c r="FQ2842" s="37"/>
      <c r="FR2842" s="37"/>
      <c r="FS2842" s="37"/>
      <c r="FT2842" s="37"/>
      <c r="FU2842" s="37"/>
      <c r="FV2842" s="37"/>
      <c r="FW2842" s="37"/>
      <c r="FX2842" s="37"/>
      <c r="FY2842" s="37"/>
      <c r="FZ2842" s="37"/>
      <c r="GA2842" s="37"/>
      <c r="GB2842" s="37"/>
      <c r="GC2842" s="37"/>
      <c r="GD2842" s="37"/>
      <c r="GE2842" s="37"/>
      <c r="GF2842" s="37"/>
      <c r="GG2842" s="37"/>
      <c r="GH2842" s="37"/>
      <c r="GI2842" s="37"/>
      <c r="GJ2842" s="37"/>
      <c r="GK2842" s="37"/>
      <c r="GL2842" s="37"/>
      <c r="GM2842" s="37"/>
      <c r="GN2842" s="37"/>
      <c r="GO2842" s="37"/>
      <c r="GP2842" s="37"/>
      <c r="GQ2842" s="37"/>
      <c r="GR2842" s="37"/>
      <c r="GS2842" s="37"/>
      <c r="GT2842" s="37"/>
      <c r="GU2842" s="37"/>
      <c r="GV2842" s="37"/>
      <c r="GW2842" s="37"/>
      <c r="GX2842" s="37"/>
      <c r="GY2842" s="37"/>
      <c r="GZ2842" s="37"/>
      <c r="HA2842" s="37"/>
      <c r="HB2842" s="37"/>
      <c r="HC2842" s="37"/>
      <c r="HD2842" s="37"/>
      <c r="HE2842" s="37"/>
      <c r="HF2842" s="37"/>
      <c r="HG2842" s="37"/>
      <c r="HH2842" s="37"/>
      <c r="HI2842" s="37"/>
      <c r="HJ2842" s="37"/>
      <c r="HK2842" s="37"/>
      <c r="HL2842" s="37"/>
      <c r="HM2842" s="37"/>
      <c r="HN2842" s="37"/>
      <c r="HO2842" s="37"/>
      <c r="HP2842" s="37"/>
      <c r="HQ2842" s="37"/>
      <c r="HR2842" s="37"/>
      <c r="HS2842" s="37"/>
      <c r="HT2842" s="37"/>
      <c r="HU2842" s="37"/>
      <c r="HV2842" s="37"/>
      <c r="HW2842" s="37"/>
      <c r="HX2842" s="37"/>
      <c r="HY2842" s="37"/>
      <c r="HZ2842" s="37"/>
      <c r="IA2842" s="37"/>
      <c r="IB2842" s="37"/>
      <c r="IC2842" s="37"/>
      <c r="ID2842" s="37"/>
      <c r="IE2842" s="37"/>
      <c r="IF2842" s="37"/>
      <c r="IG2842" s="37"/>
      <c r="IH2842" s="37"/>
      <c r="II2842" s="37"/>
      <c r="IJ2842" s="37"/>
      <c r="IK2842" s="37"/>
      <c r="IL2842" s="37"/>
      <c r="IM2842" s="37"/>
      <c r="IN2842" s="37"/>
      <c r="IO2842" s="37"/>
      <c r="IP2842" s="37"/>
      <c r="IQ2842" s="37"/>
      <c r="IR2842" s="37"/>
      <c r="IS2842" s="37"/>
      <c r="IT2842" s="37"/>
      <c r="IU2842" s="37"/>
      <c r="IV2842" s="37"/>
      <c r="IW2842" s="37"/>
      <c r="IX2842" s="37"/>
      <c r="IY2842" s="37"/>
      <c r="IZ2842" s="37"/>
      <c r="JA2842" s="37"/>
      <c r="JB2842" s="37"/>
      <c r="JC2842" s="37"/>
      <c r="JD2842" s="37"/>
      <c r="JE2842" s="37"/>
      <c r="JF2842" s="37"/>
      <c r="JG2842" s="37"/>
      <c r="JH2842" s="37"/>
      <c r="JI2842" s="37"/>
      <c r="JJ2842" s="37"/>
      <c r="JK2842" s="37"/>
      <c r="JL2842" s="37"/>
      <c r="JM2842" s="37"/>
      <c r="JN2842" s="37"/>
      <c r="JO2842" s="37"/>
      <c r="JP2842" s="37"/>
      <c r="JQ2842" s="37"/>
      <c r="JR2842" s="37"/>
      <c r="JS2842" s="37"/>
      <c r="JT2842" s="37"/>
      <c r="JU2842" s="37"/>
      <c r="JV2842" s="37"/>
      <c r="JW2842" s="37"/>
      <c r="JX2842" s="37"/>
      <c r="JY2842" s="37"/>
      <c r="JZ2842" s="37"/>
      <c r="KA2842" s="37"/>
      <c r="KB2842" s="37"/>
      <c r="KC2842" s="37"/>
      <c r="KD2842" s="37"/>
      <c r="KE2842" s="37"/>
      <c r="KF2842" s="37"/>
      <c r="KG2842" s="37"/>
      <c r="KH2842" s="37"/>
      <c r="KI2842" s="37"/>
      <c r="KJ2842" s="37"/>
      <c r="KK2842" s="37"/>
      <c r="KL2842" s="37"/>
      <c r="KM2842" s="37"/>
      <c r="KN2842" s="37"/>
      <c r="KO2842" s="37"/>
      <c r="KP2842" s="37"/>
      <c r="KQ2842" s="37"/>
      <c r="KR2842" s="37"/>
      <c r="KS2842" s="37"/>
      <c r="KT2842" s="37"/>
      <c r="KU2842" s="37"/>
      <c r="KV2842" s="37"/>
      <c r="KW2842" s="37"/>
      <c r="KX2842" s="37"/>
      <c r="KY2842" s="37"/>
      <c r="KZ2842" s="37"/>
      <c r="LA2842" s="37"/>
      <c r="LB2842" s="37"/>
      <c r="LC2842" s="37"/>
      <c r="LD2842" s="37"/>
      <c r="LE2842" s="37"/>
      <c r="LF2842" s="37"/>
      <c r="LG2842" s="37"/>
      <c r="LH2842" s="37"/>
      <c r="LI2842" s="37"/>
      <c r="LJ2842" s="37"/>
      <c r="LK2842" s="37"/>
      <c r="LL2842" s="37"/>
      <c r="LM2842" s="37"/>
      <c r="LN2842" s="37"/>
      <c r="LO2842" s="37"/>
      <c r="LP2842" s="37"/>
      <c r="LQ2842" s="37"/>
      <c r="LR2842" s="37"/>
      <c r="LS2842" s="37"/>
      <c r="LT2842" s="37"/>
      <c r="LU2842" s="37"/>
      <c r="LV2842" s="37"/>
      <c r="LW2842" s="37"/>
      <c r="LX2842" s="37"/>
      <c r="LY2842" s="37"/>
      <c r="LZ2842" s="37"/>
      <c r="MA2842" s="37"/>
      <c r="MB2842" s="37"/>
      <c r="MC2842" s="37"/>
      <c r="MD2842" s="37"/>
      <c r="ME2842" s="37"/>
      <c r="MF2842" s="37"/>
      <c r="MG2842" s="37"/>
      <c r="MH2842" s="37"/>
      <c r="MI2842" s="37"/>
      <c r="MJ2842" s="37"/>
      <c r="MK2842" s="37"/>
      <c r="ML2842" s="37"/>
      <c r="MM2842" s="37"/>
      <c r="MN2842" s="37"/>
      <c r="MO2842" s="37"/>
      <c r="MP2842" s="37"/>
      <c r="MQ2842" s="37"/>
      <c r="MR2842" s="37"/>
      <c r="MS2842" s="37"/>
      <c r="MT2842" s="37"/>
      <c r="MU2842" s="37"/>
      <c r="MV2842" s="37"/>
      <c r="MW2842" s="37"/>
      <c r="MX2842" s="37"/>
      <c r="MY2842" s="37"/>
      <c r="MZ2842" s="37"/>
      <c r="NA2842" s="37"/>
      <c r="NB2842" s="37"/>
      <c r="NC2842" s="37"/>
      <c r="ND2842" s="37"/>
      <c r="NE2842" s="37"/>
      <c r="NF2842" s="37"/>
      <c r="NG2842" s="37"/>
      <c r="NH2842" s="37"/>
      <c r="NI2842" s="37"/>
      <c r="NJ2842" s="37"/>
      <c r="NK2842" s="37"/>
      <c r="NL2842" s="37"/>
      <c r="NM2842" s="37"/>
      <c r="NN2842" s="37"/>
      <c r="NO2842" s="37"/>
      <c r="NP2842" s="37"/>
      <c r="NQ2842" s="37"/>
      <c r="NR2842" s="37"/>
      <c r="NS2842" s="37"/>
      <c r="NT2842" s="37"/>
      <c r="NU2842" s="37"/>
      <c r="NV2842" s="37"/>
      <c r="NW2842" s="37"/>
      <c r="NX2842" s="37"/>
      <c r="NY2842" s="37"/>
      <c r="NZ2842" s="37"/>
      <c r="OA2842" s="37"/>
      <c r="OB2842" s="37"/>
      <c r="OC2842" s="37"/>
      <c r="OD2842" s="37"/>
      <c r="OE2842" s="37"/>
      <c r="OF2842" s="37"/>
      <c r="OG2842" s="37"/>
      <c r="OH2842" s="37"/>
      <c r="OI2842" s="37"/>
      <c r="OJ2842" s="37"/>
      <c r="OK2842" s="37"/>
      <c r="OL2842" s="37"/>
      <c r="OM2842" s="37"/>
      <c r="ON2842" s="37"/>
      <c r="OO2842" s="37"/>
      <c r="OP2842" s="37"/>
      <c r="OQ2842" s="37"/>
      <c r="OR2842" s="37"/>
      <c r="OS2842" s="37"/>
      <c r="OT2842" s="37"/>
      <c r="OU2842" s="37"/>
      <c r="OV2842" s="37"/>
      <c r="OW2842" s="37"/>
      <c r="OX2842" s="37"/>
      <c r="OY2842" s="37"/>
      <c r="OZ2842" s="37"/>
      <c r="PA2842" s="37"/>
      <c r="PB2842" s="37"/>
      <c r="PC2842" s="37"/>
      <c r="PD2842" s="37"/>
      <c r="PE2842" s="37"/>
      <c r="PF2842" s="37"/>
      <c r="PG2842" s="37"/>
      <c r="PH2842" s="37"/>
      <c r="PI2842" s="37"/>
      <c r="PJ2842" s="37"/>
      <c r="PK2842" s="37"/>
      <c r="PL2842" s="37"/>
      <c r="PM2842" s="37"/>
      <c r="PN2842" s="37"/>
      <c r="PO2842" s="37"/>
      <c r="PP2842" s="37"/>
      <c r="PQ2842" s="37"/>
      <c r="PR2842" s="37"/>
      <c r="PS2842" s="37"/>
      <c r="PT2842" s="37"/>
      <c r="PU2842" s="37"/>
      <c r="PV2842" s="37"/>
      <c r="PW2842" s="37"/>
      <c r="PX2842" s="37"/>
      <c r="PY2842" s="37"/>
      <c r="PZ2842" s="37"/>
      <c r="QA2842" s="37"/>
      <c r="QB2842" s="37"/>
      <c r="QC2842" s="37"/>
      <c r="QD2842" s="37"/>
      <c r="QE2842" s="37"/>
      <c r="QF2842" s="37"/>
      <c r="QG2842" s="37"/>
      <c r="QH2842" s="37"/>
      <c r="QI2842" s="37"/>
      <c r="QJ2842" s="37"/>
      <c r="QK2842" s="37"/>
      <c r="QL2842" s="37"/>
      <c r="QM2842" s="37"/>
      <c r="QN2842" s="37"/>
      <c r="QO2842" s="37"/>
      <c r="QP2842" s="37"/>
      <c r="QQ2842" s="37"/>
      <c r="QR2842" s="37"/>
      <c r="QS2842" s="37"/>
      <c r="QT2842" s="37"/>
      <c r="QU2842" s="37"/>
      <c r="QV2842" s="37"/>
      <c r="QW2842" s="37"/>
      <c r="QX2842" s="37"/>
      <c r="QY2842" s="37"/>
      <c r="QZ2842" s="37"/>
      <c r="RA2842" s="37"/>
      <c r="RB2842" s="37"/>
      <c r="RC2842" s="37"/>
      <c r="RD2842" s="37"/>
      <c r="RE2842" s="37"/>
      <c r="RF2842" s="37"/>
      <c r="RG2842" s="37"/>
      <c r="RH2842" s="37"/>
      <c r="RI2842" s="37"/>
      <c r="RJ2842" s="37"/>
      <c r="RK2842" s="37"/>
      <c r="RL2842" s="37"/>
      <c r="RM2842" s="37"/>
      <c r="RN2842" s="37"/>
      <c r="RO2842" s="37"/>
      <c r="RP2842" s="37"/>
      <c r="RQ2842" s="37"/>
      <c r="RR2842" s="37"/>
      <c r="RS2842" s="37"/>
      <c r="RT2842" s="37"/>
      <c r="RU2842" s="37"/>
      <c r="RV2842" s="37"/>
      <c r="RW2842" s="37"/>
      <c r="RX2842" s="37"/>
      <c r="RY2842" s="37"/>
      <c r="RZ2842" s="37"/>
      <c r="SA2842" s="37"/>
      <c r="SB2842" s="37"/>
      <c r="SC2842" s="37"/>
      <c r="SD2842" s="37"/>
      <c r="SE2842" s="37"/>
      <c r="SF2842" s="37"/>
    </row>
    <row r="2843" spans="1:500">
      <c r="A2843" s="37"/>
      <c r="B2843" s="37"/>
      <c r="C2843" s="37"/>
      <c r="D2843" s="37"/>
      <c r="E2843" s="37"/>
      <c r="F2843" s="37"/>
      <c r="G2843" s="37"/>
      <c r="H2843" s="37"/>
      <c r="I2843" s="37"/>
      <c r="J2843" s="37"/>
      <c r="K2843" s="37"/>
      <c r="L2843" s="37"/>
      <c r="M2843" s="37"/>
      <c r="N2843" s="37"/>
      <c r="O2843" s="37"/>
      <c r="P2843" s="37"/>
      <c r="Q2843" s="37"/>
      <c r="R2843" s="37"/>
      <c r="S2843" s="37"/>
      <c r="T2843" s="37"/>
      <c r="U2843" s="37"/>
      <c r="V2843" s="37"/>
      <c r="W2843" s="37"/>
      <c r="X2843" s="37"/>
      <c r="Y2843" s="37"/>
      <c r="Z2843" s="37"/>
      <c r="AA2843" s="37"/>
      <c r="AB2843" s="37"/>
      <c r="AC2843" s="37"/>
      <c r="AD2843" s="37"/>
      <c r="AE2843" s="37"/>
      <c r="AF2843" s="37"/>
      <c r="AG2843" s="37"/>
      <c r="AH2843" s="37"/>
      <c r="AI2843" s="37"/>
      <c r="AJ2843" s="37"/>
      <c r="AK2843" s="37"/>
      <c r="AL2843" s="37"/>
      <c r="AM2843" s="37"/>
      <c r="AN2843" s="37"/>
      <c r="AO2843" s="37"/>
      <c r="AP2843" s="37"/>
      <c r="AQ2843" s="37"/>
      <c r="AR2843" s="37"/>
      <c r="AS2843" s="37"/>
      <c r="AT2843" s="37"/>
      <c r="AU2843" s="37"/>
      <c r="AV2843" s="37"/>
      <c r="AW2843" s="37"/>
      <c r="AX2843" s="37"/>
      <c r="AY2843" s="37"/>
      <c r="AZ2843" s="37"/>
      <c r="BA2843" s="37"/>
      <c r="BB2843" s="37"/>
      <c r="BC2843" s="37"/>
      <c r="BD2843" s="37"/>
      <c r="BE2843" s="37"/>
      <c r="BF2843" s="37"/>
      <c r="BG2843" s="37"/>
      <c r="BH2843" s="37"/>
      <c r="BI2843" s="37"/>
      <c r="BJ2843" s="37"/>
      <c r="BK2843" s="37"/>
      <c r="BL2843" s="37"/>
      <c r="BM2843" s="37"/>
      <c r="BN2843" s="37"/>
      <c r="BO2843" s="37"/>
      <c r="BP2843" s="37"/>
      <c r="BQ2843" s="37"/>
      <c r="BR2843" s="37"/>
      <c r="BS2843" s="37"/>
      <c r="BT2843" s="37"/>
      <c r="BU2843" s="37"/>
      <c r="BV2843" s="37"/>
      <c r="BW2843" s="37"/>
      <c r="BX2843" s="37"/>
      <c r="BY2843" s="37"/>
      <c r="BZ2843" s="37"/>
      <c r="CA2843" s="37"/>
      <c r="CB2843" s="37"/>
      <c r="CC2843" s="37"/>
      <c r="CD2843" s="37"/>
      <c r="CE2843" s="37"/>
      <c r="CF2843" s="37"/>
      <c r="CG2843" s="37"/>
      <c r="CH2843" s="37"/>
      <c r="CI2843" s="37"/>
      <c r="CJ2843" s="37"/>
      <c r="CK2843" s="37"/>
      <c r="CL2843" s="37"/>
      <c r="CM2843" s="37"/>
      <c r="CN2843" s="37"/>
      <c r="CO2843" s="37"/>
      <c r="CP2843" s="37"/>
      <c r="CQ2843" s="37"/>
      <c r="CR2843" s="37"/>
      <c r="CS2843" s="37"/>
      <c r="CT2843" s="37"/>
      <c r="CU2843" s="37"/>
      <c r="CV2843" s="37"/>
      <c r="CW2843" s="37"/>
      <c r="CX2843" s="37"/>
      <c r="CY2843" s="37"/>
      <c r="CZ2843" s="37"/>
      <c r="DA2843" s="37"/>
      <c r="DB2843" s="37"/>
      <c r="DC2843" s="37"/>
      <c r="DD2843" s="37"/>
      <c r="DE2843" s="37"/>
      <c r="DF2843" s="37"/>
      <c r="DG2843" s="37"/>
      <c r="DH2843" s="37"/>
      <c r="DI2843" s="37"/>
      <c r="DJ2843" s="37"/>
      <c r="DK2843" s="37"/>
      <c r="DL2843" s="37"/>
      <c r="DM2843" s="37"/>
      <c r="DN2843" s="37"/>
      <c r="DO2843" s="37"/>
      <c r="DP2843" s="37"/>
      <c r="DQ2843" s="37"/>
      <c r="DR2843" s="37"/>
      <c r="DS2843" s="37"/>
      <c r="DT2843" s="37"/>
      <c r="DU2843" s="37"/>
      <c r="DV2843" s="37"/>
      <c r="DW2843" s="37"/>
      <c r="DX2843" s="37"/>
      <c r="DY2843" s="37"/>
      <c r="DZ2843" s="37"/>
      <c r="EA2843" s="37"/>
      <c r="EB2843" s="37"/>
      <c r="EC2843" s="37"/>
      <c r="ED2843" s="37"/>
      <c r="EE2843" s="37"/>
      <c r="EF2843" s="37"/>
      <c r="EG2843" s="37"/>
      <c r="EH2843" s="37"/>
      <c r="EI2843" s="37"/>
      <c r="EJ2843" s="37"/>
      <c r="EK2843" s="37"/>
      <c r="EL2843" s="37"/>
      <c r="EM2843" s="37"/>
      <c r="EN2843" s="37"/>
      <c r="EO2843" s="37"/>
      <c r="EP2843" s="37"/>
      <c r="EQ2843" s="37"/>
      <c r="ER2843" s="37"/>
      <c r="ES2843" s="37"/>
      <c r="ET2843" s="37"/>
      <c r="EU2843" s="37"/>
      <c r="EV2843" s="37"/>
      <c r="EW2843" s="37"/>
      <c r="EX2843" s="37"/>
      <c r="EY2843" s="37"/>
      <c r="EZ2843" s="37"/>
      <c r="FA2843" s="37"/>
      <c r="FB2843" s="37"/>
      <c r="FC2843" s="37"/>
      <c r="FD2843" s="37"/>
      <c r="FE2843" s="37"/>
      <c r="FF2843" s="37"/>
      <c r="FG2843" s="37"/>
      <c r="FH2843" s="37"/>
      <c r="FI2843" s="37"/>
      <c r="FJ2843" s="37"/>
      <c r="FK2843" s="37"/>
      <c r="FL2843" s="37"/>
      <c r="FM2843" s="37"/>
      <c r="FN2843" s="37"/>
      <c r="FO2843" s="37"/>
      <c r="FP2843" s="37"/>
      <c r="FQ2843" s="37"/>
      <c r="FR2843" s="37"/>
      <c r="FS2843" s="37"/>
      <c r="FT2843" s="37"/>
      <c r="FU2843" s="37"/>
      <c r="FV2843" s="37"/>
      <c r="FW2843" s="37"/>
      <c r="FX2843" s="37"/>
      <c r="FY2843" s="37"/>
      <c r="FZ2843" s="37"/>
      <c r="GA2843" s="37"/>
      <c r="GB2843" s="37"/>
      <c r="GC2843" s="37"/>
      <c r="GD2843" s="37"/>
      <c r="GE2843" s="37"/>
      <c r="GF2843" s="37"/>
      <c r="GG2843" s="37"/>
      <c r="GH2843" s="37"/>
      <c r="GI2843" s="37"/>
      <c r="GJ2843" s="37"/>
      <c r="GK2843" s="37"/>
      <c r="GL2843" s="37"/>
      <c r="GM2843" s="37"/>
      <c r="GN2843" s="37"/>
      <c r="GO2843" s="37"/>
      <c r="GP2843" s="37"/>
      <c r="GQ2843" s="37"/>
      <c r="GR2843" s="37"/>
      <c r="GS2843" s="37"/>
      <c r="GT2843" s="37"/>
      <c r="GU2843" s="37"/>
      <c r="GV2843" s="37"/>
      <c r="GW2843" s="37"/>
      <c r="GX2843" s="37"/>
      <c r="GY2843" s="37"/>
      <c r="GZ2843" s="37"/>
      <c r="HA2843" s="37"/>
      <c r="HB2843" s="37"/>
      <c r="HC2843" s="37"/>
      <c r="HD2843" s="37"/>
      <c r="HE2843" s="37"/>
      <c r="HF2843" s="37"/>
      <c r="HG2843" s="37"/>
      <c r="HH2843" s="37"/>
      <c r="HI2843" s="37"/>
      <c r="HJ2843" s="37"/>
      <c r="HK2843" s="37"/>
      <c r="HL2843" s="37"/>
      <c r="HM2843" s="37"/>
      <c r="HN2843" s="37"/>
      <c r="HO2843" s="37"/>
      <c r="HP2843" s="37"/>
      <c r="HQ2843" s="37"/>
      <c r="HR2843" s="37"/>
      <c r="HS2843" s="37"/>
      <c r="HT2843" s="37"/>
      <c r="HU2843" s="37"/>
      <c r="HV2843" s="37"/>
      <c r="HW2843" s="37"/>
      <c r="HX2843" s="37"/>
      <c r="HY2843" s="37"/>
      <c r="HZ2843" s="37"/>
      <c r="IA2843" s="37"/>
      <c r="IB2843" s="37"/>
      <c r="IC2843" s="37"/>
      <c r="ID2843" s="37"/>
      <c r="IE2843" s="37"/>
      <c r="IF2843" s="37"/>
      <c r="IG2843" s="37"/>
      <c r="IH2843" s="37"/>
      <c r="II2843" s="37"/>
      <c r="IJ2843" s="37"/>
      <c r="IK2843" s="37"/>
      <c r="IL2843" s="37"/>
      <c r="IM2843" s="37"/>
      <c r="IN2843" s="37"/>
      <c r="IO2843" s="37"/>
      <c r="IP2843" s="37"/>
      <c r="IQ2843" s="37"/>
      <c r="IR2843" s="37"/>
      <c r="IS2843" s="37"/>
      <c r="IT2843" s="37"/>
      <c r="IU2843" s="37"/>
      <c r="IV2843" s="37"/>
      <c r="IW2843" s="37"/>
      <c r="IX2843" s="37"/>
      <c r="IY2843" s="37"/>
      <c r="IZ2843" s="37"/>
      <c r="JA2843" s="37"/>
      <c r="JB2843" s="37"/>
      <c r="JC2843" s="37"/>
      <c r="JD2843" s="37"/>
      <c r="JE2843" s="37"/>
      <c r="JF2843" s="37"/>
      <c r="JG2843" s="37"/>
      <c r="JH2843" s="37"/>
      <c r="JI2843" s="37"/>
      <c r="JJ2843" s="37"/>
      <c r="JK2843" s="37"/>
      <c r="JL2843" s="37"/>
      <c r="JM2843" s="37"/>
      <c r="JN2843" s="37"/>
      <c r="JO2843" s="37"/>
      <c r="JP2843" s="37"/>
      <c r="JQ2843" s="37"/>
      <c r="JR2843" s="37"/>
      <c r="JS2843" s="37"/>
      <c r="JT2843" s="37"/>
      <c r="JU2843" s="37"/>
      <c r="JV2843" s="37"/>
      <c r="JW2843" s="37"/>
      <c r="JX2843" s="37"/>
      <c r="JY2843" s="37"/>
      <c r="JZ2843" s="37"/>
      <c r="KA2843" s="37"/>
      <c r="KB2843" s="37"/>
      <c r="KC2843" s="37"/>
      <c r="KD2843" s="37"/>
      <c r="KE2843" s="37"/>
      <c r="KF2843" s="37"/>
      <c r="KG2843" s="37"/>
      <c r="KH2843" s="37"/>
      <c r="KI2843" s="37"/>
      <c r="KJ2843" s="37"/>
      <c r="KK2843" s="37"/>
      <c r="KL2843" s="37"/>
      <c r="KM2843" s="37"/>
      <c r="KN2843" s="37"/>
      <c r="KO2843" s="37"/>
      <c r="KP2843" s="37"/>
      <c r="KQ2843" s="37"/>
      <c r="KR2843" s="37"/>
      <c r="KS2843" s="37"/>
      <c r="KT2843" s="37"/>
      <c r="KU2843" s="37"/>
      <c r="KV2843" s="37"/>
      <c r="KW2843" s="37"/>
      <c r="KX2843" s="37"/>
      <c r="KY2843" s="37"/>
      <c r="KZ2843" s="37"/>
      <c r="LA2843" s="37"/>
      <c r="LB2843" s="37"/>
      <c r="LC2843" s="37"/>
      <c r="LD2843" s="37"/>
      <c r="LE2843" s="37"/>
      <c r="LF2843" s="37"/>
      <c r="LG2843" s="37"/>
      <c r="LH2843" s="37"/>
      <c r="LI2843" s="37"/>
      <c r="LJ2843" s="37"/>
      <c r="LK2843" s="37"/>
      <c r="LL2843" s="37"/>
      <c r="LM2843" s="37"/>
      <c r="LN2843" s="37"/>
      <c r="LO2843" s="37"/>
      <c r="LP2843" s="37"/>
      <c r="LQ2843" s="37"/>
      <c r="LR2843" s="37"/>
      <c r="LS2843" s="37"/>
      <c r="LT2843" s="37"/>
      <c r="LU2843" s="37"/>
      <c r="LV2843" s="37"/>
      <c r="LW2843" s="37"/>
      <c r="LX2843" s="37"/>
      <c r="LY2843" s="37"/>
      <c r="LZ2843" s="37"/>
      <c r="MA2843" s="37"/>
      <c r="MB2843" s="37"/>
      <c r="MC2843" s="37"/>
      <c r="MD2843" s="37"/>
      <c r="ME2843" s="37"/>
      <c r="MF2843" s="37"/>
      <c r="MG2843" s="37"/>
      <c r="MH2843" s="37"/>
      <c r="MI2843" s="37"/>
      <c r="MJ2843" s="37"/>
      <c r="MK2843" s="37"/>
      <c r="ML2843" s="37"/>
      <c r="MM2843" s="37"/>
      <c r="MN2843" s="37"/>
      <c r="MO2843" s="37"/>
      <c r="MP2843" s="37"/>
      <c r="MQ2843" s="37"/>
      <c r="MR2843" s="37"/>
      <c r="MS2843" s="37"/>
      <c r="MT2843" s="37"/>
      <c r="MU2843" s="37"/>
      <c r="MV2843" s="37"/>
      <c r="MW2843" s="37"/>
      <c r="MX2843" s="37"/>
      <c r="MY2843" s="37"/>
      <c r="MZ2843" s="37"/>
      <c r="NA2843" s="37"/>
      <c r="NB2843" s="37"/>
      <c r="NC2843" s="37"/>
      <c r="ND2843" s="37"/>
      <c r="NE2843" s="37"/>
      <c r="NF2843" s="37"/>
      <c r="NG2843" s="37"/>
      <c r="NH2843" s="37"/>
      <c r="NI2843" s="37"/>
      <c r="NJ2843" s="37"/>
      <c r="NK2843" s="37"/>
      <c r="NL2843" s="37"/>
      <c r="NM2843" s="37"/>
      <c r="NN2843" s="37"/>
      <c r="NO2843" s="37"/>
      <c r="NP2843" s="37"/>
      <c r="NQ2843" s="37"/>
      <c r="NR2843" s="37"/>
      <c r="NS2843" s="37"/>
      <c r="NT2843" s="37"/>
      <c r="NU2843" s="37"/>
      <c r="NV2843" s="37"/>
      <c r="NW2843" s="37"/>
      <c r="NX2843" s="37"/>
      <c r="NY2843" s="37"/>
      <c r="NZ2843" s="37"/>
      <c r="OA2843" s="37"/>
      <c r="OB2843" s="37"/>
      <c r="OC2843" s="37"/>
      <c r="OD2843" s="37"/>
      <c r="OE2843" s="37"/>
      <c r="OF2843" s="37"/>
      <c r="OG2843" s="37"/>
      <c r="OH2843" s="37"/>
      <c r="OI2843" s="37"/>
      <c r="OJ2843" s="37"/>
      <c r="OK2843" s="37"/>
      <c r="OL2843" s="37"/>
      <c r="OM2843" s="37"/>
      <c r="ON2843" s="37"/>
      <c r="OO2843" s="37"/>
      <c r="OP2843" s="37"/>
      <c r="OQ2843" s="37"/>
      <c r="OR2843" s="37"/>
      <c r="OS2843" s="37"/>
      <c r="OT2843" s="37"/>
      <c r="OU2843" s="37"/>
      <c r="OV2843" s="37"/>
      <c r="OW2843" s="37"/>
      <c r="OX2843" s="37"/>
      <c r="OY2843" s="37"/>
      <c r="OZ2843" s="37"/>
      <c r="PA2843" s="37"/>
      <c r="PB2843" s="37"/>
      <c r="PC2843" s="37"/>
      <c r="PD2843" s="37"/>
      <c r="PE2843" s="37"/>
      <c r="PF2843" s="37"/>
      <c r="PG2843" s="37"/>
      <c r="PH2843" s="37"/>
      <c r="PI2843" s="37"/>
      <c r="PJ2843" s="37"/>
      <c r="PK2843" s="37"/>
      <c r="PL2843" s="37"/>
      <c r="PM2843" s="37"/>
      <c r="PN2843" s="37"/>
      <c r="PO2843" s="37"/>
      <c r="PP2843" s="37"/>
      <c r="PQ2843" s="37"/>
      <c r="PR2843" s="37"/>
      <c r="PS2843" s="37"/>
      <c r="PT2843" s="37"/>
      <c r="PU2843" s="37"/>
      <c r="PV2843" s="37"/>
      <c r="PW2843" s="37"/>
      <c r="PX2843" s="37"/>
      <c r="PY2843" s="37"/>
      <c r="PZ2843" s="37"/>
      <c r="QA2843" s="37"/>
      <c r="QB2843" s="37"/>
      <c r="QC2843" s="37"/>
      <c r="QD2843" s="37"/>
      <c r="QE2843" s="37"/>
      <c r="QF2843" s="37"/>
      <c r="QG2843" s="37"/>
      <c r="QH2843" s="37"/>
      <c r="QI2843" s="37"/>
      <c r="QJ2843" s="37"/>
      <c r="QK2843" s="37"/>
      <c r="QL2843" s="37"/>
      <c r="QM2843" s="37"/>
      <c r="QN2843" s="37"/>
      <c r="QO2843" s="37"/>
      <c r="QP2843" s="37"/>
      <c r="QQ2843" s="37"/>
      <c r="QR2843" s="37"/>
      <c r="QS2843" s="37"/>
      <c r="QT2843" s="37"/>
      <c r="QU2843" s="37"/>
      <c r="QV2843" s="37"/>
      <c r="QW2843" s="37"/>
      <c r="QX2843" s="37"/>
      <c r="QY2843" s="37"/>
      <c r="QZ2843" s="37"/>
      <c r="RA2843" s="37"/>
      <c r="RB2843" s="37"/>
      <c r="RC2843" s="37"/>
      <c r="RD2843" s="37"/>
      <c r="RE2843" s="37"/>
      <c r="RF2843" s="37"/>
      <c r="RG2843" s="37"/>
      <c r="RH2843" s="37"/>
      <c r="RI2843" s="37"/>
      <c r="RJ2843" s="37"/>
      <c r="RK2843" s="37"/>
      <c r="RL2843" s="37"/>
      <c r="RM2843" s="37"/>
      <c r="RN2843" s="37"/>
      <c r="RO2843" s="37"/>
      <c r="RP2843" s="37"/>
      <c r="RQ2843" s="37"/>
      <c r="RR2843" s="37"/>
      <c r="RS2843" s="37"/>
      <c r="RT2843" s="37"/>
      <c r="RU2843" s="37"/>
      <c r="RV2843" s="37"/>
      <c r="RW2843" s="37"/>
      <c r="RX2843" s="37"/>
      <c r="RY2843" s="37"/>
      <c r="RZ2843" s="37"/>
      <c r="SA2843" s="37"/>
      <c r="SB2843" s="37"/>
      <c r="SC2843" s="37"/>
      <c r="SD2843" s="37"/>
      <c r="SE2843" s="37"/>
      <c r="SF2843" s="37"/>
    </row>
    <row r="2844" spans="1:500">
      <c r="A2844" s="37"/>
      <c r="B2844" s="37"/>
      <c r="C2844" s="37"/>
      <c r="D2844" s="37"/>
      <c r="E2844" s="37"/>
      <c r="F2844" s="37"/>
      <c r="G2844" s="37"/>
      <c r="H2844" s="37"/>
      <c r="I2844" s="37"/>
      <c r="J2844" s="37"/>
      <c r="K2844" s="37"/>
      <c r="L2844" s="37"/>
      <c r="M2844" s="37"/>
      <c r="N2844" s="37"/>
      <c r="O2844" s="37"/>
      <c r="P2844" s="37"/>
      <c r="Q2844" s="37"/>
      <c r="R2844" s="37"/>
      <c r="S2844" s="37"/>
      <c r="T2844" s="37"/>
      <c r="U2844" s="37"/>
      <c r="V2844" s="37"/>
      <c r="W2844" s="37"/>
      <c r="X2844" s="37"/>
      <c r="Y2844" s="37"/>
      <c r="Z2844" s="37"/>
      <c r="AA2844" s="37"/>
      <c r="AB2844" s="37"/>
      <c r="AC2844" s="37"/>
      <c r="AD2844" s="37"/>
      <c r="AE2844" s="37"/>
      <c r="AF2844" s="37"/>
      <c r="AG2844" s="37"/>
      <c r="AH2844" s="37"/>
      <c r="AI2844" s="37"/>
      <c r="AJ2844" s="37"/>
      <c r="AK2844" s="37"/>
      <c r="AL2844" s="37"/>
      <c r="AM2844" s="37"/>
      <c r="AN2844" s="37"/>
      <c r="AO2844" s="37"/>
      <c r="AP2844" s="37"/>
      <c r="AQ2844" s="37"/>
      <c r="AR2844" s="37"/>
      <c r="AS2844" s="37"/>
      <c r="AT2844" s="37"/>
      <c r="AU2844" s="37"/>
      <c r="AV2844" s="37"/>
      <c r="AW2844" s="37"/>
      <c r="AX2844" s="37"/>
      <c r="AY2844" s="37"/>
      <c r="AZ2844" s="37"/>
      <c r="BA2844" s="37"/>
      <c r="BB2844" s="37"/>
      <c r="BC2844" s="37"/>
      <c r="BD2844" s="37"/>
      <c r="BE2844" s="37"/>
      <c r="BF2844" s="37"/>
      <c r="BG2844" s="37"/>
      <c r="BH2844" s="37"/>
      <c r="BI2844" s="37"/>
      <c r="BJ2844" s="37"/>
      <c r="BK2844" s="37"/>
      <c r="BL2844" s="37"/>
      <c r="BM2844" s="37"/>
      <c r="BN2844" s="37"/>
      <c r="BO2844" s="37"/>
      <c r="BP2844" s="37"/>
      <c r="BQ2844" s="37"/>
      <c r="BR2844" s="37"/>
      <c r="BS2844" s="37"/>
      <c r="BT2844" s="37"/>
      <c r="BU2844" s="37"/>
      <c r="BV2844" s="37"/>
      <c r="BW2844" s="37"/>
      <c r="BX2844" s="37"/>
      <c r="BY2844" s="37"/>
      <c r="BZ2844" s="37"/>
      <c r="CA2844" s="37"/>
      <c r="CB2844" s="37"/>
      <c r="CC2844" s="37"/>
      <c r="CD2844" s="37"/>
      <c r="CE2844" s="37"/>
      <c r="CF2844" s="37"/>
      <c r="CG2844" s="37"/>
      <c r="CH2844" s="37"/>
      <c r="CI2844" s="37"/>
      <c r="CJ2844" s="37"/>
      <c r="CK2844" s="37"/>
      <c r="CL2844" s="37"/>
      <c r="CM2844" s="37"/>
      <c r="CN2844" s="37"/>
      <c r="CO2844" s="37"/>
      <c r="CP2844" s="37"/>
      <c r="CQ2844" s="37"/>
      <c r="CR2844" s="37"/>
      <c r="CS2844" s="37"/>
      <c r="CT2844" s="37"/>
      <c r="CU2844" s="37"/>
      <c r="CV2844" s="37"/>
      <c r="CW2844" s="37"/>
      <c r="CX2844" s="37"/>
      <c r="CY2844" s="37"/>
      <c r="CZ2844" s="37"/>
      <c r="DA2844" s="37"/>
      <c r="DB2844" s="37"/>
      <c r="DC2844" s="37"/>
      <c r="DD2844" s="37"/>
      <c r="DE2844" s="37"/>
      <c r="DF2844" s="37"/>
      <c r="DG2844" s="37"/>
      <c r="DH2844" s="37"/>
      <c r="DI2844" s="37"/>
      <c r="DJ2844" s="37"/>
      <c r="DK2844" s="37"/>
      <c r="DL2844" s="37"/>
      <c r="DM2844" s="37"/>
      <c r="DN2844" s="37"/>
      <c r="DO2844" s="37"/>
      <c r="DP2844" s="37"/>
      <c r="DQ2844" s="37"/>
      <c r="DR2844" s="37"/>
      <c r="DS2844" s="37"/>
      <c r="DT2844" s="37"/>
      <c r="DU2844" s="37"/>
      <c r="DV2844" s="37"/>
      <c r="DW2844" s="37"/>
      <c r="DX2844" s="37"/>
      <c r="DY2844" s="37"/>
      <c r="DZ2844" s="37"/>
      <c r="EA2844" s="37"/>
      <c r="EB2844" s="37"/>
      <c r="EC2844" s="37"/>
      <c r="ED2844" s="37"/>
      <c r="EE2844" s="37"/>
      <c r="EF2844" s="37"/>
      <c r="EG2844" s="37"/>
      <c r="EH2844" s="37"/>
      <c r="EI2844" s="37"/>
      <c r="EJ2844" s="37"/>
      <c r="EK2844" s="37"/>
      <c r="EL2844" s="37"/>
      <c r="EM2844" s="37"/>
      <c r="EN2844" s="37"/>
      <c r="EO2844" s="37"/>
      <c r="EP2844" s="37"/>
      <c r="EQ2844" s="37"/>
      <c r="ER2844" s="37"/>
      <c r="ES2844" s="37"/>
      <c r="ET2844" s="37"/>
      <c r="EU2844" s="37"/>
      <c r="EV2844" s="37"/>
      <c r="EW2844" s="37"/>
      <c r="EX2844" s="37"/>
      <c r="EY2844" s="37"/>
      <c r="EZ2844" s="37"/>
      <c r="FA2844" s="37"/>
      <c r="FB2844" s="37"/>
      <c r="FC2844" s="37"/>
      <c r="FD2844" s="37"/>
      <c r="FE2844" s="37"/>
      <c r="FF2844" s="37"/>
      <c r="FG2844" s="37"/>
      <c r="FH2844" s="37"/>
      <c r="FI2844" s="37"/>
      <c r="FJ2844" s="37"/>
      <c r="FK2844" s="37"/>
      <c r="FL2844" s="37"/>
      <c r="FM2844" s="37"/>
      <c r="FN2844" s="37"/>
      <c r="FO2844" s="37"/>
      <c r="FP2844" s="37"/>
      <c r="FQ2844" s="37"/>
      <c r="FR2844" s="37"/>
      <c r="FS2844" s="37"/>
      <c r="FT2844" s="37"/>
      <c r="FU2844" s="37"/>
      <c r="FV2844" s="37"/>
      <c r="FW2844" s="37"/>
      <c r="FX2844" s="37"/>
      <c r="FY2844" s="37"/>
      <c r="FZ2844" s="37"/>
      <c r="GA2844" s="37"/>
      <c r="GB2844" s="37"/>
      <c r="GC2844" s="37"/>
      <c r="GD2844" s="37"/>
      <c r="GE2844" s="37"/>
      <c r="GF2844" s="37"/>
      <c r="GG2844" s="37"/>
      <c r="GH2844" s="37"/>
      <c r="GI2844" s="37"/>
      <c r="GJ2844" s="37"/>
      <c r="GK2844" s="37"/>
      <c r="GL2844" s="37"/>
      <c r="GM2844" s="37"/>
      <c r="GN2844" s="37"/>
      <c r="GO2844" s="37"/>
      <c r="GP2844" s="37"/>
      <c r="GQ2844" s="37"/>
      <c r="GR2844" s="37"/>
      <c r="GS2844" s="37"/>
      <c r="GT2844" s="37"/>
      <c r="GU2844" s="37"/>
      <c r="GV2844" s="37"/>
      <c r="GW2844" s="37"/>
      <c r="GX2844" s="37"/>
      <c r="GY2844" s="37"/>
      <c r="GZ2844" s="37"/>
      <c r="HA2844" s="37"/>
      <c r="HB2844" s="37"/>
      <c r="HC2844" s="37"/>
      <c r="HD2844" s="37"/>
      <c r="HE2844" s="37"/>
      <c r="HF2844" s="37"/>
      <c r="HG2844" s="37"/>
      <c r="HH2844" s="37"/>
      <c r="HI2844" s="37"/>
      <c r="HJ2844" s="37"/>
      <c r="HK2844" s="37"/>
      <c r="HL2844" s="37"/>
      <c r="HM2844" s="37"/>
      <c r="HN2844" s="37"/>
      <c r="HO2844" s="37"/>
      <c r="HP2844" s="37"/>
      <c r="HQ2844" s="37"/>
      <c r="HR2844" s="37"/>
      <c r="HS2844" s="37"/>
      <c r="HT2844" s="37"/>
      <c r="HU2844" s="37"/>
      <c r="HV2844" s="37"/>
      <c r="HW2844" s="37"/>
      <c r="HX2844" s="37"/>
      <c r="HY2844" s="37"/>
      <c r="HZ2844" s="37"/>
      <c r="IA2844" s="37"/>
      <c r="IB2844" s="37"/>
      <c r="IC2844" s="37"/>
      <c r="ID2844" s="37"/>
      <c r="IE2844" s="37"/>
      <c r="IF2844" s="37"/>
      <c r="IG2844" s="37"/>
      <c r="IH2844" s="37"/>
      <c r="II2844" s="37"/>
      <c r="IJ2844" s="37"/>
      <c r="IK2844" s="37"/>
      <c r="IL2844" s="37"/>
      <c r="IM2844" s="37"/>
      <c r="IN2844" s="37"/>
      <c r="IO2844" s="37"/>
      <c r="IP2844" s="37"/>
      <c r="IQ2844" s="37"/>
      <c r="IR2844" s="37"/>
      <c r="IS2844" s="37"/>
      <c r="IT2844" s="37"/>
      <c r="IU2844" s="37"/>
      <c r="IV2844" s="37"/>
      <c r="IW2844" s="37"/>
      <c r="IX2844" s="37"/>
      <c r="IY2844" s="37"/>
      <c r="IZ2844" s="37"/>
      <c r="JA2844" s="37"/>
      <c r="JB2844" s="37"/>
      <c r="JC2844" s="37"/>
      <c r="JD2844" s="37"/>
      <c r="JE2844" s="37"/>
      <c r="JF2844" s="37"/>
      <c r="JG2844" s="37"/>
      <c r="JH2844" s="37"/>
      <c r="JI2844" s="37"/>
      <c r="JJ2844" s="37"/>
      <c r="JK2844" s="37"/>
      <c r="JL2844" s="37"/>
      <c r="JM2844" s="37"/>
      <c r="JN2844" s="37"/>
      <c r="JO2844" s="37"/>
      <c r="JP2844" s="37"/>
      <c r="JQ2844" s="37"/>
      <c r="JR2844" s="37"/>
      <c r="JS2844" s="37"/>
      <c r="JT2844" s="37"/>
      <c r="JU2844" s="37"/>
      <c r="JV2844" s="37"/>
      <c r="JW2844" s="37"/>
      <c r="JX2844" s="37"/>
      <c r="JY2844" s="37"/>
      <c r="JZ2844" s="37"/>
      <c r="KA2844" s="37"/>
      <c r="KB2844" s="37"/>
      <c r="KC2844" s="37"/>
      <c r="KD2844" s="37"/>
      <c r="KE2844" s="37"/>
      <c r="KF2844" s="37"/>
      <c r="KG2844" s="37"/>
      <c r="KH2844" s="37"/>
      <c r="KI2844" s="37"/>
      <c r="KJ2844" s="37"/>
      <c r="KK2844" s="37"/>
      <c r="KL2844" s="37"/>
      <c r="KM2844" s="37"/>
      <c r="KN2844" s="37"/>
      <c r="KO2844" s="37"/>
      <c r="KP2844" s="37"/>
      <c r="KQ2844" s="37"/>
      <c r="KR2844" s="37"/>
      <c r="KS2844" s="37"/>
      <c r="KT2844" s="37"/>
      <c r="KU2844" s="37"/>
      <c r="KV2844" s="37"/>
      <c r="KW2844" s="37"/>
      <c r="KX2844" s="37"/>
      <c r="KY2844" s="37"/>
      <c r="KZ2844" s="37"/>
      <c r="LA2844" s="37"/>
      <c r="LB2844" s="37"/>
      <c r="LC2844" s="37"/>
      <c r="LD2844" s="37"/>
      <c r="LE2844" s="37"/>
      <c r="LF2844" s="37"/>
      <c r="LG2844" s="37"/>
      <c r="LH2844" s="37"/>
      <c r="LI2844" s="37"/>
      <c r="LJ2844" s="37"/>
      <c r="LK2844" s="37"/>
      <c r="LL2844" s="37"/>
      <c r="LM2844" s="37"/>
      <c r="LN2844" s="37"/>
      <c r="LO2844" s="37"/>
      <c r="LP2844" s="37"/>
      <c r="LQ2844" s="37"/>
      <c r="LR2844" s="37"/>
      <c r="LS2844" s="37"/>
      <c r="LT2844" s="37"/>
      <c r="LU2844" s="37"/>
      <c r="LV2844" s="37"/>
      <c r="LW2844" s="37"/>
      <c r="LX2844" s="37"/>
      <c r="LY2844" s="37"/>
      <c r="LZ2844" s="37"/>
      <c r="MA2844" s="37"/>
      <c r="MB2844" s="37"/>
      <c r="MC2844" s="37"/>
      <c r="MD2844" s="37"/>
      <c r="ME2844" s="37"/>
      <c r="MF2844" s="37"/>
      <c r="MG2844" s="37"/>
      <c r="MH2844" s="37"/>
      <c r="MI2844" s="37"/>
      <c r="MJ2844" s="37"/>
      <c r="MK2844" s="37"/>
      <c r="ML2844" s="37"/>
      <c r="MM2844" s="37"/>
      <c r="MN2844" s="37"/>
      <c r="MO2844" s="37"/>
      <c r="MP2844" s="37"/>
      <c r="MQ2844" s="37"/>
      <c r="MR2844" s="37"/>
      <c r="MS2844" s="37"/>
      <c r="MT2844" s="37"/>
      <c r="MU2844" s="37"/>
      <c r="MV2844" s="37"/>
      <c r="MW2844" s="37"/>
      <c r="MX2844" s="37"/>
      <c r="MY2844" s="37"/>
      <c r="MZ2844" s="37"/>
      <c r="NA2844" s="37"/>
      <c r="NB2844" s="37"/>
      <c r="NC2844" s="37"/>
      <c r="ND2844" s="37"/>
      <c r="NE2844" s="37"/>
      <c r="NF2844" s="37"/>
      <c r="NG2844" s="37"/>
      <c r="NH2844" s="37"/>
      <c r="NI2844" s="37"/>
      <c r="NJ2844" s="37"/>
      <c r="NK2844" s="37"/>
      <c r="NL2844" s="37"/>
      <c r="NM2844" s="37"/>
      <c r="NN2844" s="37"/>
      <c r="NO2844" s="37"/>
      <c r="NP2844" s="37"/>
      <c r="NQ2844" s="37"/>
      <c r="NR2844" s="37"/>
      <c r="NS2844" s="37"/>
      <c r="NT2844" s="37"/>
      <c r="NU2844" s="37"/>
      <c r="NV2844" s="37"/>
      <c r="NW2844" s="37"/>
      <c r="NX2844" s="37"/>
      <c r="NY2844" s="37"/>
      <c r="NZ2844" s="37"/>
      <c r="OA2844" s="37"/>
      <c r="OB2844" s="37"/>
      <c r="OC2844" s="37"/>
      <c r="OD2844" s="37"/>
      <c r="OE2844" s="37"/>
      <c r="OF2844" s="37"/>
      <c r="OG2844" s="37"/>
      <c r="OH2844" s="37"/>
      <c r="OI2844" s="37"/>
      <c r="OJ2844" s="37"/>
      <c r="OK2844" s="37"/>
      <c r="OL2844" s="37"/>
      <c r="OM2844" s="37"/>
      <c r="ON2844" s="37"/>
      <c r="OO2844" s="37"/>
      <c r="OP2844" s="37"/>
      <c r="OQ2844" s="37"/>
      <c r="OR2844" s="37"/>
      <c r="OS2844" s="37"/>
      <c r="OT2844" s="37"/>
      <c r="OU2844" s="37"/>
      <c r="OV2844" s="37"/>
      <c r="OW2844" s="37"/>
      <c r="OX2844" s="37"/>
      <c r="OY2844" s="37"/>
      <c r="OZ2844" s="37"/>
      <c r="PA2844" s="37"/>
      <c r="PB2844" s="37"/>
      <c r="PC2844" s="37"/>
      <c r="PD2844" s="37"/>
      <c r="PE2844" s="37"/>
      <c r="PF2844" s="37"/>
      <c r="PG2844" s="37"/>
      <c r="PH2844" s="37"/>
      <c r="PI2844" s="37"/>
      <c r="PJ2844" s="37"/>
      <c r="PK2844" s="37"/>
      <c r="PL2844" s="37"/>
      <c r="PM2844" s="37"/>
      <c r="PN2844" s="37"/>
      <c r="PO2844" s="37"/>
      <c r="PP2844" s="37"/>
      <c r="PQ2844" s="37"/>
      <c r="PR2844" s="37"/>
      <c r="PS2844" s="37"/>
      <c r="PT2844" s="37"/>
      <c r="PU2844" s="37"/>
      <c r="PV2844" s="37"/>
      <c r="PW2844" s="37"/>
      <c r="PX2844" s="37"/>
      <c r="PY2844" s="37"/>
      <c r="PZ2844" s="37"/>
      <c r="QA2844" s="37"/>
      <c r="QB2844" s="37"/>
      <c r="QC2844" s="37"/>
      <c r="QD2844" s="37"/>
      <c r="QE2844" s="37"/>
      <c r="QF2844" s="37"/>
      <c r="QG2844" s="37"/>
      <c r="QH2844" s="37"/>
      <c r="QI2844" s="37"/>
      <c r="QJ2844" s="37"/>
      <c r="QK2844" s="37"/>
      <c r="QL2844" s="37"/>
      <c r="QM2844" s="37"/>
      <c r="QN2844" s="37"/>
      <c r="QO2844" s="37"/>
      <c r="QP2844" s="37"/>
      <c r="QQ2844" s="37"/>
      <c r="QR2844" s="37"/>
      <c r="QS2844" s="37"/>
      <c r="QT2844" s="37"/>
      <c r="QU2844" s="37"/>
      <c r="QV2844" s="37"/>
      <c r="QW2844" s="37"/>
      <c r="QX2844" s="37"/>
      <c r="QY2844" s="37"/>
      <c r="QZ2844" s="37"/>
      <c r="RA2844" s="37"/>
      <c r="RB2844" s="37"/>
      <c r="RC2844" s="37"/>
      <c r="RD2844" s="37"/>
      <c r="RE2844" s="37"/>
      <c r="RF2844" s="37"/>
      <c r="RG2844" s="37"/>
      <c r="RH2844" s="37"/>
      <c r="RI2844" s="37"/>
      <c r="RJ2844" s="37"/>
      <c r="RK2844" s="37"/>
      <c r="RL2844" s="37"/>
      <c r="RM2844" s="37"/>
      <c r="RN2844" s="37"/>
      <c r="RO2844" s="37"/>
      <c r="RP2844" s="37"/>
      <c r="RQ2844" s="37"/>
      <c r="RR2844" s="37"/>
      <c r="RS2844" s="37"/>
      <c r="RT2844" s="37"/>
      <c r="RU2844" s="37"/>
      <c r="RV2844" s="37"/>
      <c r="RW2844" s="37"/>
      <c r="RX2844" s="37"/>
      <c r="RY2844" s="37"/>
      <c r="RZ2844" s="37"/>
      <c r="SA2844" s="37"/>
      <c r="SB2844" s="37"/>
      <c r="SC2844" s="37"/>
      <c r="SD2844" s="37"/>
      <c r="SE2844" s="37"/>
      <c r="SF2844" s="37"/>
    </row>
    <row r="2845" spans="1:500">
      <c r="A2845" s="37"/>
      <c r="B2845" s="37"/>
      <c r="C2845" s="37"/>
      <c r="D2845" s="37"/>
      <c r="E2845" s="37"/>
      <c r="F2845" s="37"/>
      <c r="G2845" s="37"/>
      <c r="H2845" s="37"/>
      <c r="I2845" s="37"/>
      <c r="J2845" s="37"/>
      <c r="K2845" s="37"/>
      <c r="L2845" s="37"/>
      <c r="M2845" s="37"/>
      <c r="N2845" s="37"/>
      <c r="O2845" s="37"/>
      <c r="P2845" s="37"/>
      <c r="Q2845" s="37"/>
      <c r="R2845" s="37"/>
      <c r="S2845" s="37"/>
      <c r="T2845" s="37"/>
      <c r="U2845" s="37"/>
      <c r="V2845" s="37"/>
      <c r="W2845" s="37"/>
      <c r="X2845" s="37"/>
      <c r="Y2845" s="37"/>
      <c r="Z2845" s="37"/>
      <c r="AA2845" s="37"/>
      <c r="AB2845" s="37"/>
      <c r="AC2845" s="37"/>
      <c r="AD2845" s="37"/>
      <c r="AE2845" s="37"/>
      <c r="AF2845" s="37"/>
      <c r="AG2845" s="37"/>
      <c r="AH2845" s="37"/>
      <c r="AI2845" s="37"/>
      <c r="AJ2845" s="37"/>
      <c r="AK2845" s="37"/>
      <c r="AL2845" s="37"/>
      <c r="AM2845" s="37"/>
      <c r="AN2845" s="37"/>
      <c r="AO2845" s="37"/>
      <c r="AP2845" s="37"/>
      <c r="AQ2845" s="37"/>
      <c r="AR2845" s="37"/>
      <c r="AS2845" s="37"/>
      <c r="AT2845" s="37"/>
      <c r="AU2845" s="37"/>
      <c r="AV2845" s="37"/>
      <c r="AW2845" s="37"/>
      <c r="AX2845" s="37"/>
      <c r="AY2845" s="37"/>
      <c r="AZ2845" s="37"/>
      <c r="BA2845" s="37"/>
      <c r="BB2845" s="37"/>
      <c r="BC2845" s="37"/>
      <c r="BD2845" s="37"/>
      <c r="BE2845" s="37"/>
      <c r="BF2845" s="37"/>
      <c r="BG2845" s="37"/>
      <c r="BH2845" s="37"/>
      <c r="BI2845" s="37"/>
      <c r="BJ2845" s="37"/>
      <c r="BK2845" s="37"/>
      <c r="BL2845" s="37"/>
      <c r="BM2845" s="37"/>
      <c r="BN2845" s="37"/>
      <c r="BO2845" s="37"/>
      <c r="BP2845" s="37"/>
      <c r="BQ2845" s="37"/>
      <c r="BR2845" s="37"/>
      <c r="BS2845" s="37"/>
      <c r="BT2845" s="37"/>
      <c r="BU2845" s="37"/>
      <c r="BV2845" s="37"/>
      <c r="BW2845" s="37"/>
      <c r="BX2845" s="37"/>
      <c r="BY2845" s="37"/>
      <c r="BZ2845" s="37"/>
      <c r="CA2845" s="37"/>
      <c r="CB2845" s="37"/>
      <c r="CC2845" s="37"/>
      <c r="CD2845" s="37"/>
      <c r="CE2845" s="37"/>
      <c r="CF2845" s="37"/>
      <c r="CG2845" s="37"/>
      <c r="CH2845" s="37"/>
      <c r="CI2845" s="37"/>
      <c r="CJ2845" s="37"/>
      <c r="CK2845" s="37"/>
      <c r="CL2845" s="37"/>
      <c r="CM2845" s="37"/>
      <c r="CN2845" s="37"/>
      <c r="CO2845" s="37"/>
      <c r="CP2845" s="37"/>
      <c r="CQ2845" s="37"/>
      <c r="CR2845" s="37"/>
      <c r="CS2845" s="37"/>
      <c r="CT2845" s="37"/>
      <c r="CU2845" s="37"/>
      <c r="CV2845" s="37"/>
      <c r="CW2845" s="37"/>
      <c r="CX2845" s="37"/>
      <c r="CY2845" s="37"/>
      <c r="CZ2845" s="37"/>
      <c r="DA2845" s="37"/>
      <c r="DB2845" s="37"/>
      <c r="DC2845" s="37"/>
      <c r="DD2845" s="37"/>
      <c r="DE2845" s="37"/>
      <c r="DF2845" s="37"/>
      <c r="DG2845" s="37"/>
      <c r="DH2845" s="37"/>
      <c r="DI2845" s="37"/>
      <c r="DJ2845" s="37"/>
      <c r="DK2845" s="37"/>
      <c r="DL2845" s="37"/>
      <c r="DM2845" s="37"/>
      <c r="DN2845" s="37"/>
      <c r="DO2845" s="37"/>
      <c r="DP2845" s="37"/>
      <c r="DQ2845" s="37"/>
      <c r="DR2845" s="37"/>
      <c r="DS2845" s="37"/>
      <c r="DT2845" s="37"/>
      <c r="DU2845" s="37"/>
      <c r="DV2845" s="37"/>
      <c r="DW2845" s="37"/>
      <c r="DX2845" s="37"/>
      <c r="DY2845" s="37"/>
      <c r="DZ2845" s="37"/>
      <c r="EA2845" s="37"/>
      <c r="EB2845" s="37"/>
      <c r="EC2845" s="37"/>
      <c r="ED2845" s="37"/>
      <c r="EE2845" s="37"/>
      <c r="EF2845" s="37"/>
      <c r="EG2845" s="37"/>
      <c r="EH2845" s="37"/>
      <c r="EI2845" s="37"/>
      <c r="EJ2845" s="37"/>
      <c r="EK2845" s="37"/>
      <c r="EL2845" s="37"/>
      <c r="EM2845" s="37"/>
      <c r="EN2845" s="37"/>
      <c r="EO2845" s="37"/>
      <c r="EP2845" s="37"/>
      <c r="EQ2845" s="37"/>
      <c r="ER2845" s="37"/>
      <c r="ES2845" s="37"/>
      <c r="ET2845" s="37"/>
      <c r="EU2845" s="37"/>
      <c r="EV2845" s="37"/>
      <c r="EW2845" s="37"/>
      <c r="EX2845" s="37"/>
      <c r="EY2845" s="37"/>
      <c r="EZ2845" s="37"/>
      <c r="FA2845" s="37"/>
      <c r="FB2845" s="37"/>
      <c r="FC2845" s="37"/>
      <c r="FD2845" s="37"/>
      <c r="FE2845" s="37"/>
      <c r="FF2845" s="37"/>
      <c r="FG2845" s="37"/>
      <c r="FH2845" s="37"/>
      <c r="FI2845" s="37"/>
      <c r="FJ2845" s="37"/>
      <c r="FK2845" s="37"/>
      <c r="FL2845" s="37"/>
      <c r="FM2845" s="37"/>
      <c r="FN2845" s="37"/>
      <c r="FO2845" s="37"/>
      <c r="FP2845" s="37"/>
      <c r="FQ2845" s="37"/>
      <c r="FR2845" s="37"/>
      <c r="FS2845" s="37"/>
      <c r="FT2845" s="37"/>
      <c r="FU2845" s="37"/>
      <c r="FV2845" s="37"/>
      <c r="FW2845" s="37"/>
      <c r="FX2845" s="37"/>
      <c r="FY2845" s="37"/>
      <c r="FZ2845" s="37"/>
      <c r="GA2845" s="37"/>
      <c r="GB2845" s="37"/>
      <c r="GC2845" s="37"/>
      <c r="GD2845" s="37"/>
      <c r="GE2845" s="37"/>
      <c r="GF2845" s="37"/>
      <c r="GG2845" s="37"/>
      <c r="GH2845" s="37"/>
      <c r="GI2845" s="37"/>
      <c r="GJ2845" s="37"/>
      <c r="GK2845" s="37"/>
      <c r="GL2845" s="37"/>
      <c r="GM2845" s="37"/>
      <c r="GN2845" s="37"/>
      <c r="GO2845" s="37"/>
      <c r="GP2845" s="37"/>
      <c r="GQ2845" s="37"/>
      <c r="GR2845" s="37"/>
      <c r="GS2845" s="37"/>
      <c r="GT2845" s="37"/>
      <c r="GU2845" s="37"/>
      <c r="GV2845" s="37"/>
      <c r="GW2845" s="37"/>
      <c r="GX2845" s="37"/>
      <c r="GY2845" s="37"/>
      <c r="GZ2845" s="37"/>
      <c r="HA2845" s="37"/>
      <c r="HB2845" s="37"/>
      <c r="HC2845" s="37"/>
      <c r="HD2845" s="37"/>
      <c r="HE2845" s="37"/>
      <c r="HF2845" s="37"/>
      <c r="HG2845" s="37"/>
      <c r="HH2845" s="37"/>
      <c r="HI2845" s="37"/>
      <c r="HJ2845" s="37"/>
      <c r="HK2845" s="37"/>
      <c r="HL2845" s="37"/>
      <c r="HM2845" s="37"/>
      <c r="HN2845" s="37"/>
      <c r="HO2845" s="37"/>
      <c r="HP2845" s="37"/>
      <c r="HQ2845" s="37"/>
      <c r="HR2845" s="37"/>
      <c r="HS2845" s="37"/>
      <c r="HT2845" s="37"/>
      <c r="HU2845" s="37"/>
      <c r="HV2845" s="37"/>
      <c r="HW2845" s="37"/>
      <c r="HX2845" s="37"/>
      <c r="HY2845" s="37"/>
      <c r="HZ2845" s="37"/>
      <c r="IA2845" s="37"/>
      <c r="IB2845" s="37"/>
      <c r="IC2845" s="37"/>
      <c r="ID2845" s="37"/>
      <c r="IE2845" s="37"/>
      <c r="IF2845" s="37"/>
      <c r="IG2845" s="37"/>
      <c r="IH2845" s="37"/>
      <c r="II2845" s="37"/>
      <c r="IJ2845" s="37"/>
      <c r="IK2845" s="37"/>
      <c r="IL2845" s="37"/>
      <c r="IM2845" s="37"/>
      <c r="IN2845" s="37"/>
      <c r="IO2845" s="37"/>
      <c r="IP2845" s="37"/>
      <c r="IQ2845" s="37"/>
      <c r="IR2845" s="37"/>
      <c r="IS2845" s="37"/>
      <c r="IT2845" s="37"/>
      <c r="IU2845" s="37"/>
      <c r="IV2845" s="37"/>
      <c r="IW2845" s="37"/>
      <c r="IX2845" s="37"/>
      <c r="IY2845" s="37"/>
      <c r="IZ2845" s="37"/>
      <c r="JA2845" s="37"/>
      <c r="JB2845" s="37"/>
      <c r="JC2845" s="37"/>
      <c r="JD2845" s="37"/>
      <c r="JE2845" s="37"/>
      <c r="JF2845" s="37"/>
      <c r="JG2845" s="37"/>
      <c r="JH2845" s="37"/>
      <c r="JI2845" s="37"/>
      <c r="JJ2845" s="37"/>
      <c r="JK2845" s="37"/>
      <c r="JL2845" s="37"/>
      <c r="JM2845" s="37"/>
      <c r="JN2845" s="37"/>
      <c r="JO2845" s="37"/>
      <c r="JP2845" s="37"/>
      <c r="JQ2845" s="37"/>
      <c r="JR2845" s="37"/>
      <c r="JS2845" s="37"/>
      <c r="JT2845" s="37"/>
      <c r="JU2845" s="37"/>
      <c r="JV2845" s="37"/>
      <c r="JW2845" s="37"/>
      <c r="JX2845" s="37"/>
      <c r="JY2845" s="37"/>
      <c r="JZ2845" s="37"/>
      <c r="KA2845" s="37"/>
      <c r="KB2845" s="37"/>
      <c r="KC2845" s="37"/>
      <c r="KD2845" s="37"/>
      <c r="KE2845" s="37"/>
      <c r="KF2845" s="37"/>
      <c r="KG2845" s="37"/>
      <c r="KH2845" s="37"/>
      <c r="KI2845" s="37"/>
      <c r="KJ2845" s="37"/>
      <c r="KK2845" s="37"/>
      <c r="KL2845" s="37"/>
      <c r="KM2845" s="37"/>
      <c r="KN2845" s="37"/>
      <c r="KO2845" s="37"/>
      <c r="KP2845" s="37"/>
      <c r="KQ2845" s="37"/>
      <c r="KR2845" s="37"/>
      <c r="KS2845" s="37"/>
      <c r="KT2845" s="37"/>
      <c r="KU2845" s="37"/>
      <c r="KV2845" s="37"/>
      <c r="KW2845" s="37"/>
      <c r="KX2845" s="37"/>
      <c r="KY2845" s="37"/>
      <c r="KZ2845" s="37"/>
      <c r="LA2845" s="37"/>
      <c r="LB2845" s="37"/>
      <c r="LC2845" s="37"/>
      <c r="LD2845" s="37"/>
      <c r="LE2845" s="37"/>
      <c r="LF2845" s="37"/>
      <c r="LG2845" s="37"/>
      <c r="LH2845" s="37"/>
      <c r="LI2845" s="37"/>
      <c r="LJ2845" s="37"/>
      <c r="LK2845" s="37"/>
      <c r="LL2845" s="37"/>
      <c r="LM2845" s="37"/>
      <c r="LN2845" s="37"/>
      <c r="LO2845" s="37"/>
      <c r="LP2845" s="37"/>
      <c r="LQ2845" s="37"/>
      <c r="LR2845" s="37"/>
      <c r="LS2845" s="37"/>
      <c r="LT2845" s="37"/>
      <c r="LU2845" s="37"/>
      <c r="LV2845" s="37"/>
      <c r="LW2845" s="37"/>
      <c r="LX2845" s="37"/>
      <c r="LY2845" s="37"/>
      <c r="LZ2845" s="37"/>
      <c r="MA2845" s="37"/>
      <c r="MB2845" s="37"/>
      <c r="MC2845" s="37"/>
      <c r="MD2845" s="37"/>
      <c r="ME2845" s="37"/>
      <c r="MF2845" s="37"/>
      <c r="MG2845" s="37"/>
      <c r="MH2845" s="37"/>
      <c r="MI2845" s="37"/>
      <c r="MJ2845" s="37"/>
      <c r="MK2845" s="37"/>
      <c r="ML2845" s="37"/>
      <c r="MM2845" s="37"/>
      <c r="MN2845" s="37"/>
      <c r="MO2845" s="37"/>
      <c r="MP2845" s="37"/>
      <c r="MQ2845" s="37"/>
      <c r="MR2845" s="37"/>
      <c r="MS2845" s="37"/>
      <c r="MT2845" s="37"/>
      <c r="MU2845" s="37"/>
      <c r="MV2845" s="37"/>
      <c r="MW2845" s="37"/>
      <c r="MX2845" s="37"/>
      <c r="MY2845" s="37"/>
      <c r="MZ2845" s="37"/>
      <c r="NA2845" s="37"/>
      <c r="NB2845" s="37"/>
      <c r="NC2845" s="37"/>
      <c r="ND2845" s="37"/>
      <c r="NE2845" s="37"/>
      <c r="NF2845" s="37"/>
      <c r="NG2845" s="37"/>
      <c r="NH2845" s="37"/>
      <c r="NI2845" s="37"/>
      <c r="NJ2845" s="37"/>
      <c r="NK2845" s="37"/>
      <c r="NL2845" s="37"/>
      <c r="NM2845" s="37"/>
      <c r="NN2845" s="37"/>
      <c r="NO2845" s="37"/>
      <c r="NP2845" s="37"/>
      <c r="NQ2845" s="37"/>
      <c r="NR2845" s="37"/>
      <c r="NS2845" s="37"/>
      <c r="NT2845" s="37"/>
      <c r="NU2845" s="37"/>
      <c r="NV2845" s="37"/>
      <c r="NW2845" s="37"/>
      <c r="NX2845" s="37"/>
      <c r="NY2845" s="37"/>
      <c r="NZ2845" s="37"/>
      <c r="OA2845" s="37"/>
      <c r="OB2845" s="37"/>
      <c r="OC2845" s="37"/>
      <c r="OD2845" s="37"/>
      <c r="OE2845" s="37"/>
      <c r="OF2845" s="37"/>
      <c r="OG2845" s="37"/>
      <c r="OH2845" s="37"/>
      <c r="OI2845" s="37"/>
      <c r="OJ2845" s="37"/>
      <c r="OK2845" s="37"/>
      <c r="OL2845" s="37"/>
      <c r="OM2845" s="37"/>
      <c r="ON2845" s="37"/>
      <c r="OO2845" s="37"/>
      <c r="OP2845" s="37"/>
      <c r="OQ2845" s="37"/>
      <c r="OR2845" s="37"/>
      <c r="OS2845" s="37"/>
      <c r="OT2845" s="37"/>
      <c r="OU2845" s="37"/>
      <c r="OV2845" s="37"/>
      <c r="OW2845" s="37"/>
      <c r="OX2845" s="37"/>
      <c r="OY2845" s="37"/>
      <c r="OZ2845" s="37"/>
      <c r="PA2845" s="37"/>
      <c r="PB2845" s="37"/>
      <c r="PC2845" s="37"/>
      <c r="PD2845" s="37"/>
      <c r="PE2845" s="37"/>
      <c r="PF2845" s="37"/>
      <c r="PG2845" s="37"/>
      <c r="PH2845" s="37"/>
      <c r="PI2845" s="37"/>
      <c r="PJ2845" s="37"/>
      <c r="PK2845" s="37"/>
      <c r="PL2845" s="37"/>
      <c r="PM2845" s="37"/>
      <c r="PN2845" s="37"/>
      <c r="PO2845" s="37"/>
      <c r="PP2845" s="37"/>
      <c r="PQ2845" s="37"/>
      <c r="PR2845" s="37"/>
      <c r="PS2845" s="37"/>
      <c r="PT2845" s="37"/>
      <c r="PU2845" s="37"/>
      <c r="PV2845" s="37"/>
      <c r="PW2845" s="37"/>
      <c r="PX2845" s="37"/>
      <c r="PY2845" s="37"/>
      <c r="PZ2845" s="37"/>
      <c r="QA2845" s="37"/>
      <c r="QB2845" s="37"/>
      <c r="QC2845" s="37"/>
      <c r="QD2845" s="37"/>
      <c r="QE2845" s="37"/>
      <c r="QF2845" s="37"/>
      <c r="QG2845" s="37"/>
      <c r="QH2845" s="37"/>
      <c r="QI2845" s="37"/>
      <c r="QJ2845" s="37"/>
      <c r="QK2845" s="37"/>
      <c r="QL2845" s="37"/>
      <c r="QM2845" s="37"/>
      <c r="QN2845" s="37"/>
      <c r="QO2845" s="37"/>
      <c r="QP2845" s="37"/>
      <c r="QQ2845" s="37"/>
      <c r="QR2845" s="37"/>
      <c r="QS2845" s="37"/>
      <c r="QT2845" s="37"/>
      <c r="QU2845" s="37"/>
      <c r="QV2845" s="37"/>
      <c r="QW2845" s="37"/>
      <c r="QX2845" s="37"/>
      <c r="QY2845" s="37"/>
      <c r="QZ2845" s="37"/>
      <c r="RA2845" s="37"/>
      <c r="RB2845" s="37"/>
      <c r="RC2845" s="37"/>
      <c r="RD2845" s="37"/>
      <c r="RE2845" s="37"/>
      <c r="RF2845" s="37"/>
      <c r="RG2845" s="37"/>
      <c r="RH2845" s="37"/>
      <c r="RI2845" s="37"/>
      <c r="RJ2845" s="37"/>
      <c r="RK2845" s="37"/>
      <c r="RL2845" s="37"/>
      <c r="RM2845" s="37"/>
      <c r="RN2845" s="37"/>
      <c r="RO2845" s="37"/>
      <c r="RP2845" s="37"/>
      <c r="RQ2845" s="37"/>
      <c r="RR2845" s="37"/>
      <c r="RS2845" s="37"/>
      <c r="RT2845" s="37"/>
      <c r="RU2845" s="37"/>
      <c r="RV2845" s="37"/>
      <c r="RW2845" s="37"/>
      <c r="RX2845" s="37"/>
      <c r="RY2845" s="37"/>
      <c r="RZ2845" s="37"/>
      <c r="SA2845" s="37"/>
      <c r="SB2845" s="37"/>
      <c r="SC2845" s="37"/>
      <c r="SD2845" s="37"/>
      <c r="SE2845" s="37"/>
      <c r="SF2845" s="37"/>
    </row>
    <row r="2846" spans="1:500">
      <c r="A2846" s="37"/>
      <c r="B2846" s="37"/>
      <c r="C2846" s="37"/>
      <c r="D2846" s="37"/>
      <c r="E2846" s="37"/>
      <c r="F2846" s="37"/>
      <c r="G2846" s="37"/>
      <c r="H2846" s="37"/>
      <c r="I2846" s="37"/>
      <c r="J2846" s="37"/>
      <c r="K2846" s="37"/>
      <c r="L2846" s="37"/>
      <c r="M2846" s="37"/>
      <c r="N2846" s="37"/>
      <c r="O2846" s="37"/>
      <c r="P2846" s="37"/>
      <c r="Q2846" s="37"/>
      <c r="R2846" s="37"/>
      <c r="S2846" s="37"/>
      <c r="T2846" s="37"/>
      <c r="U2846" s="37"/>
      <c r="V2846" s="37"/>
      <c r="W2846" s="37"/>
      <c r="X2846" s="37"/>
      <c r="Y2846" s="37"/>
      <c r="Z2846" s="37"/>
      <c r="AA2846" s="37"/>
      <c r="AB2846" s="37"/>
      <c r="AC2846" s="37"/>
      <c r="AD2846" s="37"/>
      <c r="AE2846" s="37"/>
      <c r="AF2846" s="37"/>
      <c r="AG2846" s="37"/>
      <c r="AH2846" s="37"/>
      <c r="AI2846" s="37"/>
      <c r="AJ2846" s="37"/>
      <c r="AK2846" s="37"/>
      <c r="AL2846" s="37"/>
      <c r="AM2846" s="37"/>
      <c r="AN2846" s="37"/>
      <c r="AO2846" s="37"/>
      <c r="AP2846" s="37"/>
      <c r="AQ2846" s="37"/>
      <c r="AR2846" s="37"/>
      <c r="AS2846" s="37"/>
      <c r="AT2846" s="37"/>
      <c r="AU2846" s="37"/>
      <c r="AV2846" s="37"/>
      <c r="AW2846" s="37"/>
      <c r="AX2846" s="37"/>
      <c r="AY2846" s="37"/>
      <c r="AZ2846" s="37"/>
      <c r="BA2846" s="37"/>
      <c r="BB2846" s="37"/>
      <c r="BC2846" s="37"/>
      <c r="BD2846" s="37"/>
      <c r="BE2846" s="37"/>
      <c r="BF2846" s="37"/>
      <c r="BG2846" s="37"/>
      <c r="BH2846" s="37"/>
      <c r="BI2846" s="37"/>
      <c r="BJ2846" s="37"/>
      <c r="BK2846" s="37"/>
      <c r="BL2846" s="37"/>
      <c r="BM2846" s="37"/>
      <c r="BN2846" s="37"/>
      <c r="BO2846" s="37"/>
      <c r="BP2846" s="37"/>
      <c r="BQ2846" s="37"/>
      <c r="BR2846" s="37"/>
      <c r="BS2846" s="37"/>
      <c r="BT2846" s="37"/>
      <c r="BU2846" s="37"/>
      <c r="BV2846" s="37"/>
      <c r="BW2846" s="37"/>
      <c r="BX2846" s="37"/>
      <c r="BY2846" s="37"/>
      <c r="BZ2846" s="37"/>
      <c r="CA2846" s="37"/>
      <c r="CB2846" s="37"/>
      <c r="CC2846" s="37"/>
      <c r="CD2846" s="37"/>
      <c r="CE2846" s="37"/>
      <c r="CF2846" s="37"/>
      <c r="CG2846" s="37"/>
      <c r="CH2846" s="37"/>
      <c r="CI2846" s="37"/>
      <c r="CJ2846" s="37"/>
      <c r="CK2846" s="37"/>
      <c r="CL2846" s="37"/>
      <c r="CM2846" s="37"/>
      <c r="CN2846" s="37"/>
      <c r="CO2846" s="37"/>
      <c r="CP2846" s="37"/>
      <c r="CQ2846" s="37"/>
      <c r="CR2846" s="37"/>
      <c r="CS2846" s="37"/>
      <c r="CT2846" s="37"/>
      <c r="CU2846" s="37"/>
      <c r="CV2846" s="37"/>
      <c r="CW2846" s="37"/>
      <c r="CX2846" s="37"/>
      <c r="CY2846" s="37"/>
      <c r="CZ2846" s="37"/>
      <c r="DA2846" s="37"/>
      <c r="DB2846" s="37"/>
      <c r="DC2846" s="37"/>
      <c r="DD2846" s="37"/>
      <c r="DE2846" s="37"/>
      <c r="DF2846" s="37"/>
      <c r="DG2846" s="37"/>
      <c r="DH2846" s="37"/>
      <c r="DI2846" s="37"/>
      <c r="DJ2846" s="37"/>
      <c r="DK2846" s="37"/>
      <c r="DL2846" s="37"/>
      <c r="DM2846" s="37"/>
      <c r="DN2846" s="37"/>
      <c r="DO2846" s="37"/>
      <c r="DP2846" s="37"/>
      <c r="DQ2846" s="37"/>
      <c r="DR2846" s="37"/>
      <c r="DS2846" s="37"/>
      <c r="DT2846" s="37"/>
      <c r="DU2846" s="37"/>
      <c r="DV2846" s="37"/>
      <c r="DW2846" s="37"/>
      <c r="DX2846" s="37"/>
      <c r="DY2846" s="37"/>
      <c r="DZ2846" s="37"/>
      <c r="EA2846" s="37"/>
      <c r="EB2846" s="37"/>
      <c r="EC2846" s="37"/>
      <c r="ED2846" s="37"/>
      <c r="EE2846" s="37"/>
      <c r="EF2846" s="37"/>
      <c r="EG2846" s="37"/>
      <c r="EH2846" s="37"/>
      <c r="EI2846" s="37"/>
      <c r="EJ2846" s="37"/>
      <c r="EK2846" s="37"/>
      <c r="EL2846" s="37"/>
      <c r="EM2846" s="37"/>
      <c r="EN2846" s="37"/>
      <c r="EO2846" s="37"/>
      <c r="EP2846" s="37"/>
      <c r="EQ2846" s="37"/>
      <c r="ER2846" s="37"/>
      <c r="ES2846" s="37"/>
      <c r="ET2846" s="37"/>
      <c r="EU2846" s="37"/>
      <c r="EV2846" s="37"/>
      <c r="EW2846" s="37"/>
      <c r="EX2846" s="37"/>
      <c r="EY2846" s="37"/>
      <c r="EZ2846" s="37"/>
      <c r="FA2846" s="37"/>
      <c r="FB2846" s="37"/>
      <c r="FC2846" s="37"/>
      <c r="FD2846" s="37"/>
      <c r="FE2846" s="37"/>
      <c r="FF2846" s="37"/>
      <c r="FG2846" s="37"/>
      <c r="FH2846" s="37"/>
      <c r="FI2846" s="37"/>
      <c r="FJ2846" s="37"/>
      <c r="FK2846" s="37"/>
      <c r="FL2846" s="37"/>
      <c r="FM2846" s="37"/>
      <c r="FN2846" s="37"/>
      <c r="FO2846" s="37"/>
      <c r="FP2846" s="37"/>
      <c r="FQ2846" s="37"/>
      <c r="FR2846" s="37"/>
      <c r="FS2846" s="37"/>
      <c r="FT2846" s="37"/>
      <c r="FU2846" s="37"/>
      <c r="FV2846" s="37"/>
      <c r="FW2846" s="37"/>
      <c r="FX2846" s="37"/>
      <c r="FY2846" s="37"/>
      <c r="FZ2846" s="37"/>
      <c r="GA2846" s="37"/>
      <c r="GB2846" s="37"/>
      <c r="GC2846" s="37"/>
      <c r="GD2846" s="37"/>
      <c r="GE2846" s="37"/>
      <c r="GF2846" s="37"/>
      <c r="GG2846" s="37"/>
      <c r="GH2846" s="37"/>
      <c r="GI2846" s="37"/>
      <c r="GJ2846" s="37"/>
      <c r="GK2846" s="37"/>
      <c r="GL2846" s="37"/>
      <c r="GM2846" s="37"/>
      <c r="GN2846" s="37"/>
      <c r="GO2846" s="37"/>
      <c r="GP2846" s="37"/>
      <c r="GQ2846" s="37"/>
      <c r="GR2846" s="37"/>
      <c r="GS2846" s="37"/>
      <c r="GT2846" s="37"/>
      <c r="GU2846" s="37"/>
      <c r="GV2846" s="37"/>
      <c r="GW2846" s="37"/>
      <c r="GX2846" s="37"/>
      <c r="GY2846" s="37"/>
      <c r="GZ2846" s="37"/>
      <c r="HA2846" s="37"/>
      <c r="HB2846" s="37"/>
      <c r="HC2846" s="37"/>
      <c r="HD2846" s="37"/>
      <c r="HE2846" s="37"/>
      <c r="HF2846" s="37"/>
      <c r="HG2846" s="37"/>
      <c r="HH2846" s="37"/>
      <c r="HI2846" s="37"/>
      <c r="HJ2846" s="37"/>
      <c r="HK2846" s="37"/>
      <c r="HL2846" s="37"/>
      <c r="HM2846" s="37"/>
      <c r="HN2846" s="37"/>
      <c r="HO2846" s="37"/>
      <c r="HP2846" s="37"/>
      <c r="HQ2846" s="37"/>
      <c r="HR2846" s="37"/>
      <c r="HS2846" s="37"/>
      <c r="HT2846" s="37"/>
      <c r="HU2846" s="37"/>
      <c r="HV2846" s="37"/>
      <c r="HW2846" s="37"/>
      <c r="HX2846" s="37"/>
      <c r="HY2846" s="37"/>
      <c r="HZ2846" s="37"/>
      <c r="IA2846" s="37"/>
      <c r="IB2846" s="37"/>
      <c r="IC2846" s="37"/>
      <c r="ID2846" s="37"/>
      <c r="IE2846" s="37"/>
      <c r="IF2846" s="37"/>
      <c r="IG2846" s="37"/>
      <c r="IH2846" s="37"/>
      <c r="II2846" s="37"/>
      <c r="IJ2846" s="37"/>
      <c r="IK2846" s="37"/>
      <c r="IL2846" s="37"/>
      <c r="IM2846" s="37"/>
      <c r="IN2846" s="37"/>
      <c r="IO2846" s="37"/>
      <c r="IP2846" s="37"/>
      <c r="IQ2846" s="37"/>
      <c r="IR2846" s="37"/>
      <c r="IS2846" s="37"/>
      <c r="IT2846" s="37"/>
      <c r="IU2846" s="37"/>
      <c r="IV2846" s="37"/>
      <c r="IW2846" s="37"/>
      <c r="IX2846" s="37"/>
      <c r="IY2846" s="37"/>
      <c r="IZ2846" s="37"/>
      <c r="JA2846" s="37"/>
      <c r="JB2846" s="37"/>
      <c r="JC2846" s="37"/>
      <c r="JD2846" s="37"/>
      <c r="JE2846" s="37"/>
      <c r="JF2846" s="37"/>
      <c r="JG2846" s="37"/>
      <c r="JH2846" s="37"/>
      <c r="JI2846" s="37"/>
      <c r="JJ2846" s="37"/>
      <c r="JK2846" s="37"/>
      <c r="JL2846" s="37"/>
      <c r="JM2846" s="37"/>
      <c r="JN2846" s="37"/>
      <c r="JO2846" s="37"/>
      <c r="JP2846" s="37"/>
      <c r="JQ2846" s="37"/>
      <c r="JR2846" s="37"/>
      <c r="JS2846" s="37"/>
      <c r="JT2846" s="37"/>
      <c r="JU2846" s="37"/>
      <c r="JV2846" s="37"/>
      <c r="JW2846" s="37"/>
      <c r="JX2846" s="37"/>
      <c r="JY2846" s="37"/>
      <c r="JZ2846" s="37"/>
      <c r="KA2846" s="37"/>
      <c r="KB2846" s="37"/>
      <c r="KC2846" s="37"/>
      <c r="KD2846" s="37"/>
      <c r="KE2846" s="37"/>
      <c r="KF2846" s="37"/>
      <c r="KG2846" s="37"/>
      <c r="KH2846" s="37"/>
      <c r="KI2846" s="37"/>
      <c r="KJ2846" s="37"/>
      <c r="KK2846" s="37"/>
      <c r="KL2846" s="37"/>
      <c r="KM2846" s="37"/>
      <c r="KN2846" s="37"/>
      <c r="KO2846" s="37"/>
      <c r="KP2846" s="37"/>
      <c r="KQ2846" s="37"/>
      <c r="KR2846" s="37"/>
      <c r="KS2846" s="37"/>
      <c r="KT2846" s="37"/>
      <c r="KU2846" s="37"/>
      <c r="KV2846" s="37"/>
      <c r="KW2846" s="37"/>
      <c r="KX2846" s="37"/>
      <c r="KY2846" s="37"/>
      <c r="KZ2846" s="37"/>
      <c r="LA2846" s="37"/>
      <c r="LB2846" s="37"/>
      <c r="LC2846" s="37"/>
      <c r="LD2846" s="37"/>
      <c r="LE2846" s="37"/>
      <c r="LF2846" s="37"/>
      <c r="LG2846" s="37"/>
      <c r="LH2846" s="37"/>
      <c r="LI2846" s="37"/>
      <c r="LJ2846" s="37"/>
      <c r="LK2846" s="37"/>
      <c r="LL2846" s="37"/>
      <c r="LM2846" s="37"/>
      <c r="LN2846" s="37"/>
      <c r="LO2846" s="37"/>
      <c r="LP2846" s="37"/>
      <c r="LQ2846" s="37"/>
      <c r="LR2846" s="37"/>
      <c r="LS2846" s="37"/>
      <c r="LT2846" s="37"/>
      <c r="LU2846" s="37"/>
      <c r="LV2846" s="37"/>
      <c r="LW2846" s="37"/>
      <c r="LX2846" s="37"/>
      <c r="LY2846" s="37"/>
      <c r="LZ2846" s="37"/>
      <c r="MA2846" s="37"/>
      <c r="MB2846" s="37"/>
      <c r="MC2846" s="37"/>
      <c r="MD2846" s="37"/>
      <c r="ME2846" s="37"/>
      <c r="MF2846" s="37"/>
      <c r="MG2846" s="37"/>
      <c r="MH2846" s="37"/>
      <c r="MI2846" s="37"/>
      <c r="MJ2846" s="37"/>
      <c r="MK2846" s="37"/>
      <c r="ML2846" s="37"/>
      <c r="MM2846" s="37"/>
      <c r="MN2846" s="37"/>
      <c r="MO2846" s="37"/>
      <c r="MP2846" s="37"/>
      <c r="MQ2846" s="37"/>
      <c r="MR2846" s="37"/>
      <c r="MS2846" s="37"/>
      <c r="MT2846" s="37"/>
      <c r="MU2846" s="37"/>
      <c r="MV2846" s="37"/>
      <c r="MW2846" s="37"/>
      <c r="MX2846" s="37"/>
      <c r="MY2846" s="37"/>
      <c r="MZ2846" s="37"/>
      <c r="NA2846" s="37"/>
      <c r="NB2846" s="37"/>
      <c r="NC2846" s="37"/>
      <c r="ND2846" s="37"/>
      <c r="NE2846" s="37"/>
      <c r="NF2846" s="37"/>
      <c r="NG2846" s="37"/>
      <c r="NH2846" s="37"/>
      <c r="NI2846" s="37"/>
      <c r="NJ2846" s="37"/>
      <c r="NK2846" s="37"/>
      <c r="NL2846" s="37"/>
      <c r="NM2846" s="37"/>
      <c r="NN2846" s="37"/>
      <c r="NO2846" s="37"/>
      <c r="NP2846" s="37"/>
      <c r="NQ2846" s="37"/>
      <c r="NR2846" s="37"/>
      <c r="NS2846" s="37"/>
      <c r="NT2846" s="37"/>
      <c r="NU2846" s="37"/>
      <c r="NV2846" s="37"/>
      <c r="NW2846" s="37"/>
      <c r="NX2846" s="37"/>
      <c r="NY2846" s="37"/>
      <c r="NZ2846" s="37"/>
      <c r="OA2846" s="37"/>
      <c r="OB2846" s="37"/>
      <c r="OC2846" s="37"/>
      <c r="OD2846" s="37"/>
      <c r="OE2846" s="37"/>
      <c r="OF2846" s="37"/>
      <c r="OG2846" s="37"/>
      <c r="OH2846" s="37"/>
      <c r="OI2846" s="37"/>
      <c r="OJ2846" s="37"/>
      <c r="OK2846" s="37"/>
      <c r="OL2846" s="37"/>
      <c r="OM2846" s="37"/>
      <c r="ON2846" s="37"/>
      <c r="OO2846" s="37"/>
      <c r="OP2846" s="37"/>
      <c r="OQ2846" s="37"/>
      <c r="OR2846" s="37"/>
      <c r="OS2846" s="37"/>
      <c r="OT2846" s="37"/>
      <c r="OU2846" s="37"/>
      <c r="OV2846" s="37"/>
      <c r="OW2846" s="37"/>
      <c r="OX2846" s="37"/>
      <c r="OY2846" s="37"/>
      <c r="OZ2846" s="37"/>
      <c r="PA2846" s="37"/>
      <c r="PB2846" s="37"/>
      <c r="PC2846" s="37"/>
      <c r="PD2846" s="37"/>
      <c r="PE2846" s="37"/>
      <c r="PF2846" s="37"/>
      <c r="PG2846" s="37"/>
      <c r="PH2846" s="37"/>
      <c r="PI2846" s="37"/>
      <c r="PJ2846" s="37"/>
      <c r="PK2846" s="37"/>
      <c r="PL2846" s="37"/>
      <c r="PM2846" s="37"/>
      <c r="PN2846" s="37"/>
      <c r="PO2846" s="37"/>
      <c r="PP2846" s="37"/>
      <c r="PQ2846" s="37"/>
      <c r="PR2846" s="37"/>
      <c r="PS2846" s="37"/>
      <c r="PT2846" s="37"/>
      <c r="PU2846" s="37"/>
      <c r="PV2846" s="37"/>
      <c r="PW2846" s="37"/>
      <c r="PX2846" s="37"/>
      <c r="PY2846" s="37"/>
      <c r="PZ2846" s="37"/>
      <c r="QA2846" s="37"/>
      <c r="QB2846" s="37"/>
      <c r="QC2846" s="37"/>
      <c r="QD2846" s="37"/>
      <c r="QE2846" s="37"/>
      <c r="QF2846" s="37"/>
      <c r="QG2846" s="37"/>
      <c r="QH2846" s="37"/>
      <c r="QI2846" s="37"/>
      <c r="QJ2846" s="37"/>
      <c r="QK2846" s="37"/>
      <c r="QL2846" s="37"/>
      <c r="QM2846" s="37"/>
      <c r="QN2846" s="37"/>
      <c r="QO2846" s="37"/>
      <c r="QP2846" s="37"/>
      <c r="QQ2846" s="37"/>
      <c r="QR2846" s="37"/>
      <c r="QS2846" s="37"/>
      <c r="QT2846" s="37"/>
      <c r="QU2846" s="37"/>
      <c r="QV2846" s="37"/>
      <c r="QW2846" s="37"/>
      <c r="QX2846" s="37"/>
      <c r="QY2846" s="37"/>
      <c r="QZ2846" s="37"/>
      <c r="RA2846" s="37"/>
      <c r="RB2846" s="37"/>
      <c r="RC2846" s="37"/>
      <c r="RD2846" s="37"/>
      <c r="RE2846" s="37"/>
      <c r="RF2846" s="37"/>
      <c r="RG2846" s="37"/>
      <c r="RH2846" s="37"/>
      <c r="RI2846" s="37"/>
      <c r="RJ2846" s="37"/>
      <c r="RK2846" s="37"/>
      <c r="RL2846" s="37"/>
      <c r="RM2846" s="37"/>
      <c r="RN2846" s="37"/>
      <c r="RO2846" s="37"/>
      <c r="RP2846" s="37"/>
      <c r="RQ2846" s="37"/>
      <c r="RR2846" s="37"/>
      <c r="RS2846" s="37"/>
      <c r="RT2846" s="37"/>
      <c r="RU2846" s="37"/>
      <c r="RV2846" s="37"/>
      <c r="RW2846" s="37"/>
      <c r="RX2846" s="37"/>
      <c r="RY2846" s="37"/>
      <c r="RZ2846" s="37"/>
      <c r="SA2846" s="37"/>
      <c r="SB2846" s="37"/>
      <c r="SC2846" s="37"/>
      <c r="SD2846" s="37"/>
      <c r="SE2846" s="37"/>
      <c r="SF2846" s="37"/>
    </row>
    <row r="2847" spans="1:500">
      <c r="A2847" s="37"/>
      <c r="B2847" s="37"/>
      <c r="C2847" s="37"/>
      <c r="D2847" s="37"/>
      <c r="E2847" s="37"/>
      <c r="F2847" s="37"/>
      <c r="G2847" s="37"/>
      <c r="H2847" s="37"/>
      <c r="I2847" s="37"/>
      <c r="J2847" s="37"/>
      <c r="K2847" s="37"/>
      <c r="L2847" s="37"/>
      <c r="M2847" s="37"/>
      <c r="N2847" s="37"/>
      <c r="O2847" s="37"/>
      <c r="P2847" s="37"/>
      <c r="Q2847" s="37"/>
      <c r="R2847" s="37"/>
      <c r="S2847" s="37"/>
      <c r="T2847" s="37"/>
      <c r="U2847" s="37"/>
      <c r="V2847" s="37"/>
      <c r="W2847" s="37"/>
      <c r="X2847" s="37"/>
      <c r="Y2847" s="37"/>
      <c r="Z2847" s="37"/>
      <c r="AA2847" s="37"/>
      <c r="AB2847" s="37"/>
      <c r="AC2847" s="37"/>
      <c r="AD2847" s="37"/>
      <c r="AE2847" s="37"/>
      <c r="AF2847" s="37"/>
      <c r="AG2847" s="37"/>
      <c r="AH2847" s="37"/>
      <c r="AI2847" s="37"/>
      <c r="AJ2847" s="37"/>
      <c r="AK2847" s="37"/>
      <c r="AL2847" s="37"/>
      <c r="AM2847" s="37"/>
      <c r="AN2847" s="37"/>
      <c r="AO2847" s="37"/>
      <c r="AP2847" s="37"/>
      <c r="AQ2847" s="37"/>
      <c r="AR2847" s="37"/>
      <c r="AS2847" s="37"/>
      <c r="AT2847" s="37"/>
      <c r="AU2847" s="37"/>
      <c r="AV2847" s="37"/>
      <c r="AW2847" s="37"/>
      <c r="AX2847" s="37"/>
      <c r="AY2847" s="37"/>
      <c r="AZ2847" s="37"/>
      <c r="BA2847" s="37"/>
      <c r="BB2847" s="37"/>
      <c r="BC2847" s="37"/>
      <c r="BD2847" s="37"/>
      <c r="BE2847" s="37"/>
      <c r="BF2847" s="37"/>
      <c r="BG2847" s="37"/>
      <c r="BH2847" s="37"/>
      <c r="BI2847" s="37"/>
      <c r="BJ2847" s="37"/>
      <c r="BK2847" s="37"/>
      <c r="BL2847" s="37"/>
      <c r="BM2847" s="37"/>
      <c r="BN2847" s="37"/>
      <c r="BO2847" s="37"/>
      <c r="BP2847" s="37"/>
      <c r="BQ2847" s="37"/>
      <c r="BR2847" s="37"/>
      <c r="BS2847" s="37"/>
      <c r="BT2847" s="37"/>
      <c r="BU2847" s="37"/>
      <c r="BV2847" s="37"/>
      <c r="BW2847" s="37"/>
      <c r="BX2847" s="37"/>
      <c r="BY2847" s="37"/>
      <c r="BZ2847" s="37"/>
      <c r="CA2847" s="37"/>
      <c r="CB2847" s="37"/>
      <c r="CC2847" s="37"/>
      <c r="CD2847" s="37"/>
      <c r="CE2847" s="37"/>
      <c r="CF2847" s="37"/>
      <c r="CG2847" s="37"/>
      <c r="CH2847" s="37"/>
      <c r="CI2847" s="37"/>
      <c r="CJ2847" s="37"/>
      <c r="CK2847" s="37"/>
      <c r="CL2847" s="37"/>
      <c r="CM2847" s="37"/>
      <c r="CN2847" s="37"/>
      <c r="CO2847" s="37"/>
      <c r="CP2847" s="37"/>
      <c r="CQ2847" s="37"/>
      <c r="CR2847" s="37"/>
      <c r="CS2847" s="37"/>
      <c r="CT2847" s="37"/>
      <c r="CU2847" s="37"/>
      <c r="CV2847" s="37"/>
      <c r="CW2847" s="37"/>
      <c r="CX2847" s="37"/>
      <c r="CY2847" s="37"/>
      <c r="CZ2847" s="37"/>
      <c r="DA2847" s="37"/>
      <c r="DB2847" s="37"/>
      <c r="DC2847" s="37"/>
      <c r="DD2847" s="37"/>
      <c r="DE2847" s="37"/>
      <c r="DF2847" s="37"/>
      <c r="DG2847" s="37"/>
      <c r="DH2847" s="37"/>
      <c r="DI2847" s="37"/>
      <c r="DJ2847" s="37"/>
      <c r="DK2847" s="37"/>
      <c r="DL2847" s="37"/>
      <c r="DM2847" s="37"/>
      <c r="DN2847" s="37"/>
      <c r="DO2847" s="37"/>
      <c r="DP2847" s="37"/>
      <c r="DQ2847" s="37"/>
      <c r="DR2847" s="37"/>
      <c r="DS2847" s="37"/>
      <c r="DT2847" s="37"/>
      <c r="DU2847" s="37"/>
      <c r="DV2847" s="37"/>
      <c r="DW2847" s="37"/>
      <c r="DX2847" s="37"/>
      <c r="DY2847" s="37"/>
      <c r="DZ2847" s="37"/>
      <c r="EA2847" s="37"/>
      <c r="EB2847" s="37"/>
      <c r="EC2847" s="37"/>
      <c r="ED2847" s="37"/>
      <c r="EE2847" s="37"/>
      <c r="EF2847" s="37"/>
      <c r="EG2847" s="37"/>
      <c r="EH2847" s="37"/>
      <c r="EI2847" s="37"/>
      <c r="EJ2847" s="37"/>
      <c r="EK2847" s="37"/>
      <c r="EL2847" s="37"/>
      <c r="EM2847" s="37"/>
      <c r="EN2847" s="37"/>
      <c r="EO2847" s="37"/>
      <c r="EP2847" s="37"/>
      <c r="EQ2847" s="37"/>
      <c r="ER2847" s="37"/>
      <c r="ES2847" s="37"/>
      <c r="ET2847" s="37"/>
      <c r="EU2847" s="37"/>
      <c r="EV2847" s="37"/>
      <c r="EW2847" s="37"/>
      <c r="EX2847" s="37"/>
      <c r="EY2847" s="37"/>
      <c r="EZ2847" s="37"/>
      <c r="FA2847" s="37"/>
      <c r="FB2847" s="37"/>
      <c r="FC2847" s="37"/>
      <c r="FD2847" s="37"/>
      <c r="FE2847" s="37"/>
      <c r="FF2847" s="37"/>
      <c r="FG2847" s="37"/>
      <c r="FH2847" s="37"/>
      <c r="FI2847" s="37"/>
      <c r="FJ2847" s="37"/>
      <c r="FK2847" s="37"/>
      <c r="FL2847" s="37"/>
      <c r="FM2847" s="37"/>
      <c r="FN2847" s="37"/>
      <c r="FO2847" s="37"/>
      <c r="FP2847" s="37"/>
      <c r="FQ2847" s="37"/>
      <c r="FR2847" s="37"/>
      <c r="FS2847" s="37"/>
      <c r="FT2847" s="37"/>
      <c r="FU2847" s="37"/>
      <c r="FV2847" s="37"/>
      <c r="FW2847" s="37"/>
      <c r="FX2847" s="37"/>
      <c r="FY2847" s="37"/>
      <c r="FZ2847" s="37"/>
      <c r="GA2847" s="37"/>
      <c r="GB2847" s="37"/>
      <c r="GC2847" s="37"/>
      <c r="GD2847" s="37"/>
      <c r="GE2847" s="37"/>
      <c r="GF2847" s="37"/>
      <c r="GG2847" s="37"/>
      <c r="GH2847" s="37"/>
      <c r="GI2847" s="37"/>
      <c r="GJ2847" s="37"/>
      <c r="GK2847" s="37"/>
      <c r="GL2847" s="37"/>
      <c r="GM2847" s="37"/>
      <c r="GN2847" s="37"/>
      <c r="GO2847" s="37"/>
      <c r="GP2847" s="37"/>
      <c r="GQ2847" s="37"/>
      <c r="GR2847" s="37"/>
      <c r="GS2847" s="37"/>
      <c r="GT2847" s="37"/>
      <c r="GU2847" s="37"/>
      <c r="GV2847" s="37"/>
      <c r="GW2847" s="37"/>
      <c r="GX2847" s="37"/>
      <c r="GY2847" s="37"/>
      <c r="GZ2847" s="37"/>
      <c r="HA2847" s="37"/>
      <c r="HB2847" s="37"/>
      <c r="HC2847" s="37"/>
      <c r="HD2847" s="37"/>
      <c r="HE2847" s="37"/>
      <c r="HF2847" s="37"/>
      <c r="HG2847" s="37"/>
      <c r="HH2847" s="37"/>
      <c r="HI2847" s="37"/>
      <c r="HJ2847" s="37"/>
      <c r="HK2847" s="37"/>
      <c r="HL2847" s="37"/>
      <c r="HM2847" s="37"/>
      <c r="HN2847" s="37"/>
      <c r="HO2847" s="37"/>
      <c r="HP2847" s="37"/>
      <c r="HQ2847" s="37"/>
      <c r="HR2847" s="37"/>
      <c r="HS2847" s="37"/>
      <c r="HT2847" s="37"/>
      <c r="HU2847" s="37"/>
      <c r="HV2847" s="37"/>
      <c r="HW2847" s="37"/>
      <c r="HX2847" s="37"/>
      <c r="HY2847" s="37"/>
      <c r="HZ2847" s="37"/>
      <c r="IA2847" s="37"/>
      <c r="IB2847" s="37"/>
      <c r="IC2847" s="37"/>
      <c r="ID2847" s="37"/>
      <c r="IE2847" s="37"/>
      <c r="IF2847" s="37"/>
      <c r="IG2847" s="37"/>
      <c r="IH2847" s="37"/>
      <c r="II2847" s="37"/>
      <c r="IJ2847" s="37"/>
      <c r="IK2847" s="37"/>
      <c r="IL2847" s="37"/>
      <c r="IM2847" s="37"/>
      <c r="IN2847" s="37"/>
      <c r="IO2847" s="37"/>
      <c r="IP2847" s="37"/>
      <c r="IQ2847" s="37"/>
      <c r="IR2847" s="37"/>
      <c r="IS2847" s="37"/>
      <c r="IT2847" s="37"/>
      <c r="IU2847" s="37"/>
      <c r="IV2847" s="37"/>
      <c r="IW2847" s="37"/>
      <c r="IX2847" s="37"/>
      <c r="IY2847" s="37"/>
      <c r="IZ2847" s="37"/>
      <c r="JA2847" s="37"/>
      <c r="JB2847" s="37"/>
      <c r="JC2847" s="37"/>
      <c r="JD2847" s="37"/>
      <c r="JE2847" s="37"/>
      <c r="JF2847" s="37"/>
      <c r="JG2847" s="37"/>
      <c r="JH2847" s="37"/>
      <c r="JI2847" s="37"/>
      <c r="JJ2847" s="37"/>
      <c r="JK2847" s="37"/>
      <c r="JL2847" s="37"/>
      <c r="JM2847" s="37"/>
      <c r="JN2847" s="37"/>
      <c r="JO2847" s="37"/>
      <c r="JP2847" s="37"/>
      <c r="JQ2847" s="37"/>
      <c r="JR2847" s="37"/>
      <c r="JS2847" s="37"/>
      <c r="JT2847" s="37"/>
      <c r="JU2847" s="37"/>
      <c r="JV2847" s="37"/>
      <c r="JW2847" s="37"/>
      <c r="JX2847" s="37"/>
      <c r="JY2847" s="37"/>
      <c r="JZ2847" s="37"/>
      <c r="KA2847" s="37"/>
      <c r="KB2847" s="37"/>
      <c r="KC2847" s="37"/>
      <c r="KD2847" s="37"/>
      <c r="KE2847" s="37"/>
      <c r="KF2847" s="37"/>
      <c r="KG2847" s="37"/>
      <c r="KH2847" s="37"/>
      <c r="KI2847" s="37"/>
      <c r="KJ2847" s="37"/>
      <c r="KK2847" s="37"/>
      <c r="KL2847" s="37"/>
      <c r="KM2847" s="37"/>
      <c r="KN2847" s="37"/>
      <c r="KO2847" s="37"/>
      <c r="KP2847" s="37"/>
      <c r="KQ2847" s="37"/>
      <c r="KR2847" s="37"/>
      <c r="KS2847" s="37"/>
      <c r="KT2847" s="37"/>
      <c r="KU2847" s="37"/>
      <c r="KV2847" s="37"/>
      <c r="KW2847" s="37"/>
      <c r="KX2847" s="37"/>
      <c r="KY2847" s="37"/>
      <c r="KZ2847" s="37"/>
      <c r="LA2847" s="37"/>
      <c r="LB2847" s="37"/>
      <c r="LC2847" s="37"/>
      <c r="LD2847" s="37"/>
      <c r="LE2847" s="37"/>
      <c r="LF2847" s="37"/>
      <c r="LG2847" s="37"/>
      <c r="LH2847" s="37"/>
      <c r="LI2847" s="37"/>
      <c r="LJ2847" s="37"/>
      <c r="LK2847" s="37"/>
      <c r="LL2847" s="37"/>
      <c r="LM2847" s="37"/>
      <c r="LN2847" s="37"/>
      <c r="LO2847" s="37"/>
      <c r="LP2847" s="37"/>
      <c r="LQ2847" s="37"/>
      <c r="LR2847" s="37"/>
      <c r="LS2847" s="37"/>
      <c r="LT2847" s="37"/>
      <c r="LU2847" s="37"/>
      <c r="LV2847" s="37"/>
      <c r="LW2847" s="37"/>
      <c r="LX2847" s="37"/>
      <c r="LY2847" s="37"/>
      <c r="LZ2847" s="37"/>
      <c r="MA2847" s="37"/>
      <c r="MB2847" s="37"/>
      <c r="MC2847" s="37"/>
      <c r="MD2847" s="37"/>
      <c r="ME2847" s="37"/>
      <c r="MF2847" s="37"/>
      <c r="MG2847" s="37"/>
      <c r="MH2847" s="37"/>
      <c r="MI2847" s="37"/>
      <c r="MJ2847" s="37"/>
      <c r="MK2847" s="37"/>
      <c r="ML2847" s="37"/>
      <c r="MM2847" s="37"/>
      <c r="MN2847" s="37"/>
      <c r="MO2847" s="37"/>
      <c r="MP2847" s="37"/>
      <c r="MQ2847" s="37"/>
      <c r="MR2847" s="37"/>
      <c r="MS2847" s="37"/>
      <c r="MT2847" s="37"/>
      <c r="MU2847" s="37"/>
      <c r="MV2847" s="37"/>
      <c r="MW2847" s="37"/>
      <c r="MX2847" s="37"/>
      <c r="MY2847" s="37"/>
      <c r="MZ2847" s="37"/>
      <c r="NA2847" s="37"/>
      <c r="NB2847" s="37"/>
      <c r="NC2847" s="37"/>
      <c r="ND2847" s="37"/>
      <c r="NE2847" s="37"/>
      <c r="NF2847" s="37"/>
      <c r="NG2847" s="37"/>
      <c r="NH2847" s="37"/>
      <c r="NI2847" s="37"/>
      <c r="NJ2847" s="37"/>
      <c r="NK2847" s="37"/>
      <c r="NL2847" s="37"/>
      <c r="NM2847" s="37"/>
      <c r="NN2847" s="37"/>
      <c r="NO2847" s="37"/>
      <c r="NP2847" s="37"/>
      <c r="NQ2847" s="37"/>
      <c r="NR2847" s="37"/>
      <c r="NS2847" s="37"/>
      <c r="NT2847" s="37"/>
      <c r="NU2847" s="37"/>
      <c r="NV2847" s="37"/>
      <c r="NW2847" s="37"/>
      <c r="NX2847" s="37"/>
      <c r="NY2847" s="37"/>
      <c r="NZ2847" s="37"/>
      <c r="OA2847" s="37"/>
      <c r="OB2847" s="37"/>
      <c r="OC2847" s="37"/>
      <c r="OD2847" s="37"/>
      <c r="OE2847" s="37"/>
      <c r="OF2847" s="37"/>
      <c r="OG2847" s="37"/>
      <c r="OH2847" s="37"/>
      <c r="OI2847" s="37"/>
      <c r="OJ2847" s="37"/>
      <c r="OK2847" s="37"/>
      <c r="OL2847" s="37"/>
      <c r="OM2847" s="37"/>
      <c r="ON2847" s="37"/>
      <c r="OO2847" s="37"/>
      <c r="OP2847" s="37"/>
      <c r="OQ2847" s="37"/>
      <c r="OR2847" s="37"/>
      <c r="OS2847" s="37"/>
      <c r="OT2847" s="37"/>
      <c r="OU2847" s="37"/>
      <c r="OV2847" s="37"/>
      <c r="OW2847" s="37"/>
      <c r="OX2847" s="37"/>
      <c r="OY2847" s="37"/>
      <c r="OZ2847" s="37"/>
      <c r="PA2847" s="37"/>
      <c r="PB2847" s="37"/>
      <c r="PC2847" s="37"/>
      <c r="PD2847" s="37"/>
      <c r="PE2847" s="37"/>
      <c r="PF2847" s="37"/>
      <c r="PG2847" s="37"/>
      <c r="PH2847" s="37"/>
      <c r="PI2847" s="37"/>
      <c r="PJ2847" s="37"/>
      <c r="PK2847" s="37"/>
      <c r="PL2847" s="37"/>
      <c r="PM2847" s="37"/>
      <c r="PN2847" s="37"/>
      <c r="PO2847" s="37"/>
      <c r="PP2847" s="37"/>
      <c r="PQ2847" s="37"/>
      <c r="PR2847" s="37"/>
      <c r="PS2847" s="37"/>
      <c r="PT2847" s="37"/>
      <c r="PU2847" s="37"/>
      <c r="PV2847" s="37"/>
      <c r="PW2847" s="37"/>
      <c r="PX2847" s="37"/>
      <c r="PY2847" s="37"/>
      <c r="PZ2847" s="37"/>
      <c r="QA2847" s="37"/>
      <c r="QB2847" s="37"/>
      <c r="QC2847" s="37"/>
      <c r="QD2847" s="37"/>
      <c r="QE2847" s="37"/>
      <c r="QF2847" s="37"/>
      <c r="QG2847" s="37"/>
      <c r="QH2847" s="37"/>
      <c r="QI2847" s="37"/>
      <c r="QJ2847" s="37"/>
      <c r="QK2847" s="37"/>
      <c r="QL2847" s="37"/>
      <c r="QM2847" s="37"/>
      <c r="QN2847" s="37"/>
      <c r="QO2847" s="37"/>
      <c r="QP2847" s="37"/>
      <c r="QQ2847" s="37"/>
      <c r="QR2847" s="37"/>
      <c r="QS2847" s="37"/>
      <c r="QT2847" s="37"/>
      <c r="QU2847" s="37"/>
      <c r="QV2847" s="37"/>
      <c r="QW2847" s="37"/>
      <c r="QX2847" s="37"/>
      <c r="QY2847" s="37"/>
      <c r="QZ2847" s="37"/>
      <c r="RA2847" s="37"/>
      <c r="RB2847" s="37"/>
      <c r="RC2847" s="37"/>
      <c r="RD2847" s="37"/>
      <c r="RE2847" s="37"/>
      <c r="RF2847" s="37"/>
      <c r="RG2847" s="37"/>
      <c r="RH2847" s="37"/>
      <c r="RI2847" s="37"/>
      <c r="RJ2847" s="37"/>
      <c r="RK2847" s="37"/>
      <c r="RL2847" s="37"/>
      <c r="RM2847" s="37"/>
      <c r="RN2847" s="37"/>
      <c r="RO2847" s="37"/>
      <c r="RP2847" s="37"/>
      <c r="RQ2847" s="37"/>
      <c r="RR2847" s="37"/>
      <c r="RS2847" s="37"/>
      <c r="RT2847" s="37"/>
      <c r="RU2847" s="37"/>
      <c r="RV2847" s="37"/>
      <c r="RW2847" s="37"/>
      <c r="RX2847" s="37"/>
      <c r="RY2847" s="37"/>
      <c r="RZ2847" s="37"/>
      <c r="SA2847" s="37"/>
      <c r="SB2847" s="37"/>
      <c r="SC2847" s="37"/>
      <c r="SD2847" s="37"/>
      <c r="SE2847" s="37"/>
      <c r="SF2847" s="37"/>
    </row>
    <row r="2848" spans="1:500">
      <c r="A2848" s="37"/>
      <c r="B2848" s="37"/>
      <c r="C2848" s="37"/>
      <c r="D2848" s="37"/>
      <c r="E2848" s="37"/>
      <c r="F2848" s="37"/>
      <c r="G2848" s="37"/>
      <c r="H2848" s="37"/>
      <c r="I2848" s="37"/>
      <c r="J2848" s="37"/>
      <c r="K2848" s="37"/>
      <c r="L2848" s="37"/>
      <c r="M2848" s="37"/>
      <c r="N2848" s="37"/>
      <c r="O2848" s="37"/>
      <c r="P2848" s="37"/>
      <c r="Q2848" s="37"/>
      <c r="R2848" s="37"/>
      <c r="S2848" s="37"/>
      <c r="T2848" s="37"/>
      <c r="U2848" s="37"/>
      <c r="V2848" s="37"/>
      <c r="W2848" s="37"/>
      <c r="X2848" s="37"/>
      <c r="Y2848" s="37"/>
      <c r="Z2848" s="37"/>
      <c r="AA2848" s="37"/>
      <c r="AB2848" s="37"/>
      <c r="AC2848" s="37"/>
      <c r="AD2848" s="37"/>
      <c r="AE2848" s="37"/>
      <c r="AF2848" s="37"/>
      <c r="AG2848" s="37"/>
      <c r="AH2848" s="37"/>
      <c r="AI2848" s="37"/>
      <c r="AJ2848" s="37"/>
      <c r="AK2848" s="37"/>
      <c r="AL2848" s="37"/>
      <c r="AM2848" s="37"/>
      <c r="AN2848" s="37"/>
      <c r="AO2848" s="37"/>
      <c r="AP2848" s="37"/>
      <c r="AQ2848" s="37"/>
      <c r="AR2848" s="37"/>
      <c r="AS2848" s="37"/>
      <c r="AT2848" s="37"/>
      <c r="AU2848" s="37"/>
      <c r="AV2848" s="37"/>
      <c r="AW2848" s="37"/>
      <c r="AX2848" s="37"/>
      <c r="AY2848" s="37"/>
      <c r="AZ2848" s="37"/>
      <c r="BA2848" s="37"/>
      <c r="BB2848" s="37"/>
      <c r="BC2848" s="37"/>
      <c r="BD2848" s="37"/>
      <c r="BE2848" s="37"/>
      <c r="BF2848" s="37"/>
      <c r="BG2848" s="37"/>
      <c r="BH2848" s="37"/>
      <c r="BI2848" s="37"/>
      <c r="BJ2848" s="37"/>
      <c r="BK2848" s="37"/>
      <c r="BL2848" s="37"/>
      <c r="BM2848" s="37"/>
      <c r="BN2848" s="37"/>
      <c r="BO2848" s="37"/>
      <c r="BP2848" s="37"/>
      <c r="BQ2848" s="37"/>
      <c r="BR2848" s="37"/>
      <c r="BS2848" s="37"/>
      <c r="BT2848" s="37"/>
      <c r="BU2848" s="37"/>
      <c r="BV2848" s="37"/>
      <c r="BW2848" s="37"/>
      <c r="BX2848" s="37"/>
      <c r="BY2848" s="37"/>
      <c r="BZ2848" s="37"/>
      <c r="CA2848" s="37"/>
      <c r="CB2848" s="37"/>
      <c r="CC2848" s="37"/>
      <c r="CD2848" s="37"/>
      <c r="CE2848" s="37"/>
      <c r="CF2848" s="37"/>
      <c r="CG2848" s="37"/>
      <c r="CH2848" s="37"/>
      <c r="CI2848" s="37"/>
      <c r="CJ2848" s="37"/>
      <c r="CK2848" s="37"/>
      <c r="CL2848" s="37"/>
      <c r="CM2848" s="37"/>
      <c r="CN2848" s="37"/>
      <c r="CO2848" s="37"/>
      <c r="CP2848" s="37"/>
      <c r="CQ2848" s="37"/>
      <c r="CR2848" s="37"/>
      <c r="CS2848" s="37"/>
      <c r="CT2848" s="37"/>
      <c r="CU2848" s="37"/>
      <c r="CV2848" s="37"/>
      <c r="CW2848" s="37"/>
      <c r="CX2848" s="37"/>
      <c r="CY2848" s="37"/>
      <c r="CZ2848" s="37"/>
      <c r="DA2848" s="37"/>
      <c r="DB2848" s="37"/>
      <c r="DC2848" s="37"/>
      <c r="DD2848" s="37"/>
      <c r="DE2848" s="37"/>
      <c r="DF2848" s="37"/>
      <c r="DG2848" s="37"/>
      <c r="DH2848" s="37"/>
      <c r="DI2848" s="37"/>
      <c r="DJ2848" s="37"/>
      <c r="DK2848" s="37"/>
      <c r="DL2848" s="37"/>
      <c r="DM2848" s="37"/>
      <c r="DN2848" s="37"/>
      <c r="DO2848" s="37"/>
      <c r="DP2848" s="37"/>
      <c r="DQ2848" s="37"/>
      <c r="DR2848" s="37"/>
      <c r="DS2848" s="37"/>
      <c r="DT2848" s="37"/>
      <c r="DU2848" s="37"/>
      <c r="DV2848" s="37"/>
      <c r="DW2848" s="37"/>
      <c r="DX2848" s="37"/>
      <c r="DY2848" s="37"/>
      <c r="DZ2848" s="37"/>
      <c r="EA2848" s="37"/>
      <c r="EB2848" s="37"/>
      <c r="EC2848" s="37"/>
      <c r="ED2848" s="37"/>
      <c r="EE2848" s="37"/>
      <c r="EF2848" s="37"/>
      <c r="EG2848" s="37"/>
      <c r="EH2848" s="37"/>
      <c r="EI2848" s="37"/>
      <c r="EJ2848" s="37"/>
      <c r="EK2848" s="37"/>
      <c r="EL2848" s="37"/>
      <c r="EM2848" s="37"/>
      <c r="EN2848" s="37"/>
      <c r="EO2848" s="37"/>
      <c r="EP2848" s="37"/>
      <c r="EQ2848" s="37"/>
      <c r="ER2848" s="37"/>
      <c r="ES2848" s="37"/>
      <c r="ET2848" s="37"/>
      <c r="EU2848" s="37"/>
      <c r="EV2848" s="37"/>
      <c r="EW2848" s="37"/>
      <c r="EX2848" s="37"/>
      <c r="EY2848" s="37"/>
      <c r="EZ2848" s="37"/>
      <c r="FA2848" s="37"/>
      <c r="FB2848" s="37"/>
      <c r="FC2848" s="37"/>
      <c r="FD2848" s="37"/>
      <c r="FE2848" s="37"/>
      <c r="FF2848" s="37"/>
      <c r="FG2848" s="37"/>
      <c r="FH2848" s="37"/>
      <c r="FI2848" s="37"/>
      <c r="FJ2848" s="37"/>
      <c r="FK2848" s="37"/>
      <c r="FL2848" s="37"/>
      <c r="FM2848" s="37"/>
      <c r="FN2848" s="37"/>
      <c r="FO2848" s="37"/>
      <c r="FP2848" s="37"/>
      <c r="FQ2848" s="37"/>
      <c r="FR2848" s="37"/>
      <c r="FS2848" s="37"/>
      <c r="FT2848" s="37"/>
      <c r="FU2848" s="37"/>
      <c r="FV2848" s="37"/>
      <c r="FW2848" s="37"/>
      <c r="FX2848" s="37"/>
      <c r="FY2848" s="37"/>
      <c r="FZ2848" s="37"/>
      <c r="GA2848" s="37"/>
      <c r="GB2848" s="37"/>
      <c r="GC2848" s="37"/>
      <c r="GD2848" s="37"/>
      <c r="GE2848" s="37"/>
      <c r="GF2848" s="37"/>
      <c r="GG2848" s="37"/>
      <c r="GH2848" s="37"/>
      <c r="GI2848" s="37"/>
      <c r="GJ2848" s="37"/>
      <c r="GK2848" s="37"/>
      <c r="GL2848" s="37"/>
      <c r="GM2848" s="37"/>
      <c r="GN2848" s="37"/>
      <c r="GO2848" s="37"/>
      <c r="GP2848" s="37"/>
      <c r="GQ2848" s="37"/>
      <c r="GR2848" s="37"/>
      <c r="GS2848" s="37"/>
      <c r="GT2848" s="37"/>
      <c r="GU2848" s="37"/>
      <c r="GV2848" s="37"/>
      <c r="GW2848" s="37"/>
      <c r="GX2848" s="37"/>
      <c r="GY2848" s="37"/>
      <c r="GZ2848" s="37"/>
      <c r="HA2848" s="37"/>
      <c r="HB2848" s="37"/>
      <c r="HC2848" s="37"/>
      <c r="HD2848" s="37"/>
      <c r="HE2848" s="37"/>
      <c r="HF2848" s="37"/>
      <c r="HG2848" s="37"/>
      <c r="HH2848" s="37"/>
      <c r="HI2848" s="37"/>
      <c r="HJ2848" s="37"/>
      <c r="HK2848" s="37"/>
      <c r="HL2848" s="37"/>
      <c r="HM2848" s="37"/>
      <c r="HN2848" s="37"/>
      <c r="HO2848" s="37"/>
      <c r="HP2848" s="37"/>
      <c r="HQ2848" s="37"/>
      <c r="HR2848" s="37"/>
      <c r="HS2848" s="37"/>
      <c r="HT2848" s="37"/>
      <c r="HU2848" s="37"/>
      <c r="HV2848" s="37"/>
      <c r="HW2848" s="37"/>
      <c r="HX2848" s="37"/>
      <c r="HY2848" s="37"/>
      <c r="HZ2848" s="37"/>
      <c r="IA2848" s="37"/>
      <c r="IB2848" s="37"/>
      <c r="IC2848" s="37"/>
      <c r="ID2848" s="37"/>
      <c r="IE2848" s="37"/>
      <c r="IF2848" s="37"/>
      <c r="IG2848" s="37"/>
      <c r="IH2848" s="37"/>
      <c r="II2848" s="37"/>
      <c r="IJ2848" s="37"/>
      <c r="IK2848" s="37"/>
      <c r="IL2848" s="37"/>
      <c r="IM2848" s="37"/>
      <c r="IN2848" s="37"/>
      <c r="IO2848" s="37"/>
      <c r="IP2848" s="37"/>
      <c r="IQ2848" s="37"/>
      <c r="IR2848" s="37"/>
      <c r="IS2848" s="37"/>
      <c r="IT2848" s="37"/>
      <c r="IU2848" s="37"/>
      <c r="IV2848" s="37"/>
      <c r="IW2848" s="37"/>
      <c r="IX2848" s="37"/>
      <c r="IY2848" s="37"/>
      <c r="IZ2848" s="37"/>
      <c r="JA2848" s="37"/>
      <c r="JB2848" s="37"/>
      <c r="JC2848" s="37"/>
      <c r="JD2848" s="37"/>
      <c r="JE2848" s="37"/>
      <c r="JF2848" s="37"/>
      <c r="JG2848" s="37"/>
      <c r="JH2848" s="37"/>
      <c r="JI2848" s="37"/>
      <c r="JJ2848" s="37"/>
      <c r="JK2848" s="37"/>
      <c r="JL2848" s="37"/>
      <c r="JM2848" s="37"/>
      <c r="JN2848" s="37"/>
      <c r="JO2848" s="37"/>
      <c r="JP2848" s="37"/>
      <c r="JQ2848" s="37"/>
      <c r="JR2848" s="37"/>
      <c r="JS2848" s="37"/>
      <c r="JT2848" s="37"/>
      <c r="JU2848" s="37"/>
      <c r="JV2848" s="37"/>
      <c r="JW2848" s="37"/>
      <c r="JX2848" s="37"/>
      <c r="JY2848" s="37"/>
      <c r="JZ2848" s="37"/>
      <c r="KA2848" s="37"/>
      <c r="KB2848" s="37"/>
      <c r="KC2848" s="37"/>
      <c r="KD2848" s="37"/>
      <c r="KE2848" s="37"/>
      <c r="KF2848" s="37"/>
      <c r="KG2848" s="37"/>
      <c r="KH2848" s="37"/>
      <c r="KI2848" s="37"/>
      <c r="KJ2848" s="37"/>
      <c r="KK2848" s="37"/>
      <c r="KL2848" s="37"/>
      <c r="KM2848" s="37"/>
      <c r="KN2848" s="37"/>
      <c r="KO2848" s="37"/>
      <c r="KP2848" s="37"/>
      <c r="KQ2848" s="37"/>
      <c r="KR2848" s="37"/>
      <c r="KS2848" s="37"/>
      <c r="KT2848" s="37"/>
      <c r="KU2848" s="37"/>
      <c r="KV2848" s="37"/>
      <c r="KW2848" s="37"/>
      <c r="KX2848" s="37"/>
      <c r="KY2848" s="37"/>
      <c r="KZ2848" s="37"/>
      <c r="LA2848" s="37"/>
      <c r="LB2848" s="37"/>
      <c r="LC2848" s="37"/>
      <c r="LD2848" s="37"/>
      <c r="LE2848" s="37"/>
      <c r="LF2848" s="37"/>
      <c r="LG2848" s="37"/>
      <c r="LH2848" s="37"/>
      <c r="LI2848" s="37"/>
      <c r="LJ2848" s="37"/>
      <c r="LK2848" s="37"/>
      <c r="LL2848" s="37"/>
      <c r="LM2848" s="37"/>
      <c r="LN2848" s="37"/>
      <c r="LO2848" s="37"/>
      <c r="LP2848" s="37"/>
      <c r="LQ2848" s="37"/>
      <c r="LR2848" s="37"/>
      <c r="LS2848" s="37"/>
      <c r="LT2848" s="37"/>
      <c r="LU2848" s="37"/>
      <c r="LV2848" s="37"/>
      <c r="LW2848" s="37"/>
      <c r="LX2848" s="37"/>
      <c r="LY2848" s="37"/>
      <c r="LZ2848" s="37"/>
      <c r="MA2848" s="37"/>
      <c r="MB2848" s="37"/>
      <c r="MC2848" s="37"/>
      <c r="MD2848" s="37"/>
      <c r="ME2848" s="37"/>
      <c r="MF2848" s="37"/>
      <c r="MG2848" s="37"/>
      <c r="MH2848" s="37"/>
      <c r="MI2848" s="37"/>
      <c r="MJ2848" s="37"/>
      <c r="MK2848" s="37"/>
      <c r="ML2848" s="37"/>
      <c r="MM2848" s="37"/>
      <c r="MN2848" s="37"/>
      <c r="MO2848" s="37"/>
      <c r="MP2848" s="37"/>
      <c r="MQ2848" s="37"/>
      <c r="MR2848" s="37"/>
      <c r="MS2848" s="37"/>
      <c r="MT2848" s="37"/>
      <c r="MU2848" s="37"/>
      <c r="MV2848" s="37"/>
      <c r="MW2848" s="37"/>
      <c r="MX2848" s="37"/>
      <c r="MY2848" s="37"/>
      <c r="MZ2848" s="37"/>
      <c r="NA2848" s="37"/>
      <c r="NB2848" s="37"/>
      <c r="NC2848" s="37"/>
      <c r="ND2848" s="37"/>
      <c r="NE2848" s="37"/>
      <c r="NF2848" s="37"/>
      <c r="NG2848" s="37"/>
      <c r="NH2848" s="37"/>
      <c r="NI2848" s="37"/>
      <c r="NJ2848" s="37"/>
      <c r="NK2848" s="37"/>
      <c r="NL2848" s="37"/>
      <c r="NM2848" s="37"/>
      <c r="NN2848" s="37"/>
      <c r="NO2848" s="37"/>
      <c r="NP2848" s="37"/>
      <c r="NQ2848" s="37"/>
      <c r="NR2848" s="37"/>
      <c r="NS2848" s="37"/>
      <c r="NT2848" s="37"/>
      <c r="NU2848" s="37"/>
      <c r="NV2848" s="37"/>
      <c r="NW2848" s="37"/>
      <c r="NX2848" s="37"/>
      <c r="NY2848" s="37"/>
      <c r="NZ2848" s="37"/>
      <c r="OA2848" s="37"/>
      <c r="OB2848" s="37"/>
      <c r="OC2848" s="37"/>
      <c r="OD2848" s="37"/>
      <c r="OE2848" s="37"/>
      <c r="OF2848" s="37"/>
      <c r="OG2848" s="37"/>
      <c r="OH2848" s="37"/>
      <c r="OI2848" s="37"/>
      <c r="OJ2848" s="37"/>
      <c r="OK2848" s="37"/>
      <c r="OL2848" s="37"/>
      <c r="OM2848" s="37"/>
      <c r="ON2848" s="37"/>
      <c r="OO2848" s="37"/>
      <c r="OP2848" s="37"/>
      <c r="OQ2848" s="37"/>
      <c r="OR2848" s="37"/>
      <c r="OS2848" s="37"/>
      <c r="OT2848" s="37"/>
      <c r="OU2848" s="37"/>
      <c r="OV2848" s="37"/>
      <c r="OW2848" s="37"/>
      <c r="OX2848" s="37"/>
      <c r="OY2848" s="37"/>
      <c r="OZ2848" s="37"/>
      <c r="PA2848" s="37"/>
      <c r="PB2848" s="37"/>
      <c r="PC2848" s="37"/>
      <c r="PD2848" s="37"/>
      <c r="PE2848" s="37"/>
      <c r="PF2848" s="37"/>
      <c r="PG2848" s="37"/>
      <c r="PH2848" s="37"/>
      <c r="PI2848" s="37"/>
      <c r="PJ2848" s="37"/>
      <c r="PK2848" s="37"/>
      <c r="PL2848" s="37"/>
      <c r="PM2848" s="37"/>
      <c r="PN2848" s="37"/>
      <c r="PO2848" s="37"/>
      <c r="PP2848" s="37"/>
      <c r="PQ2848" s="37"/>
      <c r="PR2848" s="37"/>
      <c r="PS2848" s="37"/>
      <c r="PT2848" s="37"/>
      <c r="PU2848" s="37"/>
      <c r="PV2848" s="37"/>
      <c r="PW2848" s="37"/>
      <c r="PX2848" s="37"/>
      <c r="PY2848" s="37"/>
      <c r="PZ2848" s="37"/>
      <c r="QA2848" s="37"/>
      <c r="QB2848" s="37"/>
      <c r="QC2848" s="37"/>
      <c r="QD2848" s="37"/>
      <c r="QE2848" s="37"/>
      <c r="QF2848" s="37"/>
      <c r="QG2848" s="37"/>
      <c r="QH2848" s="37"/>
      <c r="QI2848" s="37"/>
      <c r="QJ2848" s="37"/>
      <c r="QK2848" s="37"/>
      <c r="QL2848" s="37"/>
      <c r="QM2848" s="37"/>
      <c r="QN2848" s="37"/>
      <c r="QO2848" s="37"/>
      <c r="QP2848" s="37"/>
      <c r="QQ2848" s="37"/>
      <c r="QR2848" s="37"/>
      <c r="QS2848" s="37"/>
      <c r="QT2848" s="37"/>
      <c r="QU2848" s="37"/>
      <c r="QV2848" s="37"/>
      <c r="QW2848" s="37"/>
      <c r="QX2848" s="37"/>
      <c r="QY2848" s="37"/>
      <c r="QZ2848" s="37"/>
      <c r="RA2848" s="37"/>
      <c r="RB2848" s="37"/>
      <c r="RC2848" s="37"/>
      <c r="RD2848" s="37"/>
      <c r="RE2848" s="37"/>
      <c r="RF2848" s="37"/>
      <c r="RG2848" s="37"/>
      <c r="RH2848" s="37"/>
      <c r="RI2848" s="37"/>
      <c r="RJ2848" s="37"/>
      <c r="RK2848" s="37"/>
      <c r="RL2848" s="37"/>
      <c r="RM2848" s="37"/>
      <c r="RN2848" s="37"/>
      <c r="RO2848" s="37"/>
      <c r="RP2848" s="37"/>
      <c r="RQ2848" s="37"/>
      <c r="RR2848" s="37"/>
      <c r="RS2848" s="37"/>
      <c r="RT2848" s="37"/>
      <c r="RU2848" s="37"/>
      <c r="RV2848" s="37"/>
      <c r="RW2848" s="37"/>
      <c r="RX2848" s="37"/>
      <c r="RY2848" s="37"/>
      <c r="RZ2848" s="37"/>
      <c r="SA2848" s="37"/>
      <c r="SB2848" s="37"/>
      <c r="SC2848" s="37"/>
      <c r="SD2848" s="37"/>
      <c r="SE2848" s="37"/>
      <c r="SF2848" s="37"/>
    </row>
    <row r="2849" spans="1:500">
      <c r="A2849" s="37"/>
      <c r="B2849" s="37"/>
      <c r="C2849" s="37"/>
      <c r="D2849" s="37"/>
      <c r="E2849" s="37"/>
      <c r="F2849" s="37"/>
      <c r="G2849" s="37"/>
      <c r="H2849" s="37"/>
      <c r="I2849" s="37"/>
      <c r="J2849" s="37"/>
      <c r="K2849" s="37"/>
      <c r="L2849" s="37"/>
      <c r="M2849" s="37"/>
      <c r="N2849" s="37"/>
      <c r="O2849" s="37"/>
      <c r="P2849" s="37"/>
      <c r="Q2849" s="37"/>
      <c r="R2849" s="37"/>
      <c r="S2849" s="37"/>
      <c r="T2849" s="37"/>
      <c r="U2849" s="37"/>
      <c r="V2849" s="37"/>
      <c r="W2849" s="37"/>
      <c r="X2849" s="37"/>
      <c r="Y2849" s="37"/>
      <c r="Z2849" s="37"/>
      <c r="AA2849" s="37"/>
      <c r="AB2849" s="37"/>
      <c r="AC2849" s="37"/>
      <c r="AD2849" s="37"/>
      <c r="AE2849" s="37"/>
      <c r="AF2849" s="37"/>
      <c r="AG2849" s="37"/>
      <c r="AH2849" s="37"/>
      <c r="AI2849" s="37"/>
      <c r="AJ2849" s="37"/>
      <c r="AK2849" s="37"/>
      <c r="AL2849" s="37"/>
      <c r="AM2849" s="37"/>
      <c r="AN2849" s="37"/>
      <c r="AO2849" s="37"/>
      <c r="AP2849" s="37"/>
      <c r="AQ2849" s="37"/>
      <c r="AR2849" s="37"/>
      <c r="AS2849" s="37"/>
      <c r="AT2849" s="37"/>
      <c r="AU2849" s="37"/>
      <c r="AV2849" s="37"/>
      <c r="AW2849" s="37"/>
      <c r="AX2849" s="37"/>
      <c r="AY2849" s="37"/>
      <c r="AZ2849" s="37"/>
      <c r="BA2849" s="37"/>
      <c r="BB2849" s="37"/>
      <c r="BC2849" s="37"/>
      <c r="BD2849" s="37"/>
      <c r="BE2849" s="37"/>
      <c r="BF2849" s="37"/>
      <c r="BG2849" s="37"/>
      <c r="BH2849" s="37"/>
      <c r="BI2849" s="37"/>
      <c r="BJ2849" s="37"/>
      <c r="BK2849" s="37"/>
      <c r="BL2849" s="37"/>
      <c r="BM2849" s="37"/>
      <c r="BN2849" s="37"/>
      <c r="BO2849" s="37"/>
      <c r="BP2849" s="37"/>
      <c r="BQ2849" s="37"/>
      <c r="BR2849" s="37"/>
      <c r="BS2849" s="37"/>
      <c r="BT2849" s="37"/>
      <c r="BU2849" s="37"/>
      <c r="BV2849" s="37"/>
      <c r="BW2849" s="37"/>
      <c r="BX2849" s="37"/>
      <c r="BY2849" s="37"/>
      <c r="BZ2849" s="37"/>
      <c r="CA2849" s="37"/>
      <c r="CB2849" s="37"/>
      <c r="CC2849" s="37"/>
      <c r="CD2849" s="37"/>
      <c r="CE2849" s="37"/>
      <c r="CF2849" s="37"/>
      <c r="CG2849" s="37"/>
      <c r="CH2849" s="37"/>
      <c r="CI2849" s="37"/>
      <c r="CJ2849" s="37"/>
      <c r="CK2849" s="37"/>
      <c r="CL2849" s="37"/>
      <c r="CM2849" s="37"/>
      <c r="CN2849" s="37"/>
      <c r="CO2849" s="37"/>
      <c r="CP2849" s="37"/>
      <c r="CQ2849" s="37"/>
      <c r="CR2849" s="37"/>
      <c r="CS2849" s="37"/>
      <c r="CT2849" s="37"/>
      <c r="CU2849" s="37"/>
      <c r="CV2849" s="37"/>
      <c r="CW2849" s="37"/>
      <c r="CX2849" s="37"/>
      <c r="CY2849" s="37"/>
      <c r="CZ2849" s="37"/>
      <c r="DA2849" s="37"/>
      <c r="DB2849" s="37"/>
      <c r="DC2849" s="37"/>
      <c r="DD2849" s="37"/>
      <c r="DE2849" s="37"/>
      <c r="DF2849" s="37"/>
      <c r="DG2849" s="37"/>
      <c r="DH2849" s="37"/>
      <c r="DI2849" s="37"/>
      <c r="DJ2849" s="37"/>
      <c r="DK2849" s="37"/>
      <c r="DL2849" s="37"/>
      <c r="DM2849" s="37"/>
      <c r="DN2849" s="37"/>
      <c r="DO2849" s="37"/>
      <c r="DP2849" s="37"/>
      <c r="DQ2849" s="37"/>
      <c r="DR2849" s="37"/>
      <c r="DS2849" s="37"/>
      <c r="DT2849" s="37"/>
      <c r="DU2849" s="37"/>
      <c r="DV2849" s="37"/>
      <c r="DW2849" s="37"/>
      <c r="DX2849" s="37"/>
      <c r="DY2849" s="37"/>
      <c r="DZ2849" s="37"/>
      <c r="EA2849" s="37"/>
      <c r="EB2849" s="37"/>
      <c r="EC2849" s="37"/>
      <c r="ED2849" s="37"/>
      <c r="EE2849" s="37"/>
      <c r="EF2849" s="37"/>
      <c r="EG2849" s="37"/>
      <c r="EH2849" s="37"/>
      <c r="EI2849" s="37"/>
      <c r="EJ2849" s="37"/>
      <c r="EK2849" s="37"/>
      <c r="EL2849" s="37"/>
      <c r="EM2849" s="37"/>
      <c r="EN2849" s="37"/>
      <c r="EO2849" s="37"/>
      <c r="EP2849" s="37"/>
      <c r="EQ2849" s="37"/>
      <c r="ER2849" s="37"/>
      <c r="ES2849" s="37"/>
      <c r="ET2849" s="37"/>
      <c r="EU2849" s="37"/>
      <c r="EV2849" s="37"/>
      <c r="EW2849" s="37"/>
      <c r="EX2849" s="37"/>
      <c r="EY2849" s="37"/>
      <c r="EZ2849" s="37"/>
      <c r="FA2849" s="37"/>
      <c r="FB2849" s="37"/>
      <c r="FC2849" s="37"/>
      <c r="FD2849" s="37"/>
      <c r="FE2849" s="37"/>
      <c r="FF2849" s="37"/>
      <c r="FG2849" s="37"/>
      <c r="FH2849" s="37"/>
      <c r="FI2849" s="37"/>
      <c r="FJ2849" s="37"/>
      <c r="FK2849" s="37"/>
      <c r="FL2849" s="37"/>
      <c r="FM2849" s="37"/>
      <c r="FN2849" s="37"/>
      <c r="FO2849" s="37"/>
      <c r="FP2849" s="37"/>
      <c r="FQ2849" s="37"/>
      <c r="FR2849" s="37"/>
      <c r="FS2849" s="37"/>
      <c r="FT2849" s="37"/>
      <c r="FU2849" s="37"/>
      <c r="FV2849" s="37"/>
      <c r="FW2849" s="37"/>
      <c r="FX2849" s="37"/>
      <c r="FY2849" s="37"/>
      <c r="FZ2849" s="37"/>
      <c r="GA2849" s="37"/>
      <c r="GB2849" s="37"/>
      <c r="GC2849" s="37"/>
      <c r="GD2849" s="37"/>
      <c r="GE2849" s="37"/>
      <c r="GF2849" s="37"/>
      <c r="GG2849" s="37"/>
      <c r="GH2849" s="37"/>
      <c r="GI2849" s="37"/>
      <c r="GJ2849" s="37"/>
      <c r="GK2849" s="37"/>
      <c r="GL2849" s="37"/>
      <c r="GM2849" s="37"/>
      <c r="GN2849" s="37"/>
      <c r="GO2849" s="37"/>
      <c r="GP2849" s="37"/>
      <c r="GQ2849" s="37"/>
      <c r="GR2849" s="37"/>
      <c r="GS2849" s="37"/>
      <c r="GT2849" s="37"/>
      <c r="GU2849" s="37"/>
      <c r="GV2849" s="37"/>
      <c r="GW2849" s="37"/>
      <c r="GX2849" s="37"/>
      <c r="GY2849" s="37"/>
      <c r="GZ2849" s="37"/>
      <c r="HA2849" s="37"/>
      <c r="HB2849" s="37"/>
      <c r="HC2849" s="37"/>
      <c r="HD2849" s="37"/>
      <c r="HE2849" s="37"/>
      <c r="HF2849" s="37"/>
      <c r="HG2849" s="37"/>
      <c r="HH2849" s="37"/>
      <c r="HI2849" s="37"/>
      <c r="HJ2849" s="37"/>
      <c r="HK2849" s="37"/>
      <c r="HL2849" s="37"/>
      <c r="HM2849" s="37"/>
      <c r="HN2849" s="37"/>
      <c r="HO2849" s="37"/>
      <c r="HP2849" s="37"/>
      <c r="HQ2849" s="37"/>
      <c r="HR2849" s="37"/>
      <c r="HS2849" s="37"/>
      <c r="HT2849" s="37"/>
      <c r="HU2849" s="37"/>
      <c r="HV2849" s="37"/>
      <c r="HW2849" s="37"/>
      <c r="HX2849" s="37"/>
      <c r="HY2849" s="37"/>
      <c r="HZ2849" s="37"/>
      <c r="IA2849" s="37"/>
      <c r="IB2849" s="37"/>
      <c r="IC2849" s="37"/>
      <c r="ID2849" s="37"/>
      <c r="IE2849" s="37"/>
      <c r="IF2849" s="37"/>
      <c r="IG2849" s="37"/>
      <c r="IH2849" s="37"/>
      <c r="II2849" s="37"/>
      <c r="IJ2849" s="37"/>
      <c r="IK2849" s="37"/>
      <c r="IL2849" s="37"/>
      <c r="IM2849" s="37"/>
      <c r="IN2849" s="37"/>
      <c r="IO2849" s="37"/>
      <c r="IP2849" s="37"/>
      <c r="IQ2849" s="37"/>
      <c r="IR2849" s="37"/>
      <c r="IS2849" s="37"/>
      <c r="IT2849" s="37"/>
      <c r="IU2849" s="37"/>
      <c r="IV2849" s="37"/>
      <c r="IW2849" s="37"/>
      <c r="IX2849" s="37"/>
      <c r="IY2849" s="37"/>
      <c r="IZ2849" s="37"/>
      <c r="JA2849" s="37"/>
      <c r="JB2849" s="37"/>
      <c r="JC2849" s="37"/>
      <c r="JD2849" s="37"/>
      <c r="JE2849" s="37"/>
      <c r="JF2849" s="37"/>
      <c r="JG2849" s="37"/>
      <c r="JH2849" s="37"/>
      <c r="JI2849" s="37"/>
      <c r="JJ2849" s="37"/>
      <c r="JK2849" s="37"/>
      <c r="JL2849" s="37"/>
      <c r="JM2849" s="37"/>
      <c r="JN2849" s="37"/>
      <c r="JO2849" s="37"/>
      <c r="JP2849" s="37"/>
      <c r="JQ2849" s="37"/>
      <c r="JR2849" s="37"/>
      <c r="JS2849" s="37"/>
      <c r="JT2849" s="37"/>
      <c r="JU2849" s="37"/>
      <c r="JV2849" s="37"/>
      <c r="JW2849" s="37"/>
      <c r="JX2849" s="37"/>
      <c r="JY2849" s="37"/>
      <c r="JZ2849" s="37"/>
      <c r="KA2849" s="37"/>
      <c r="KB2849" s="37"/>
      <c r="KC2849" s="37"/>
      <c r="KD2849" s="37"/>
      <c r="KE2849" s="37"/>
      <c r="KF2849" s="37"/>
      <c r="KG2849" s="37"/>
      <c r="KH2849" s="37"/>
      <c r="KI2849" s="37"/>
      <c r="KJ2849" s="37"/>
      <c r="KK2849" s="37"/>
      <c r="KL2849" s="37"/>
      <c r="KM2849" s="37"/>
      <c r="KN2849" s="37"/>
      <c r="KO2849" s="37"/>
      <c r="KP2849" s="37"/>
      <c r="KQ2849" s="37"/>
      <c r="KR2849" s="37"/>
      <c r="KS2849" s="37"/>
      <c r="KT2849" s="37"/>
      <c r="KU2849" s="37"/>
      <c r="KV2849" s="37"/>
      <c r="KW2849" s="37"/>
      <c r="KX2849" s="37"/>
      <c r="KY2849" s="37"/>
      <c r="KZ2849" s="37"/>
      <c r="LA2849" s="37"/>
      <c r="LB2849" s="37"/>
      <c r="LC2849" s="37"/>
      <c r="LD2849" s="37"/>
      <c r="LE2849" s="37"/>
      <c r="LF2849" s="37"/>
      <c r="LG2849" s="37"/>
      <c r="LH2849" s="37"/>
      <c r="LI2849" s="37"/>
      <c r="LJ2849" s="37"/>
      <c r="LK2849" s="37"/>
      <c r="LL2849" s="37"/>
      <c r="LM2849" s="37"/>
      <c r="LN2849" s="37"/>
      <c r="LO2849" s="37"/>
      <c r="LP2849" s="37"/>
      <c r="LQ2849" s="37"/>
      <c r="LR2849" s="37"/>
      <c r="LS2849" s="37"/>
      <c r="LT2849" s="37"/>
      <c r="LU2849" s="37"/>
      <c r="LV2849" s="37"/>
      <c r="LW2849" s="37"/>
      <c r="LX2849" s="37"/>
      <c r="LY2849" s="37"/>
      <c r="LZ2849" s="37"/>
      <c r="MA2849" s="37"/>
      <c r="MB2849" s="37"/>
      <c r="MC2849" s="37"/>
      <c r="MD2849" s="37"/>
      <c r="ME2849" s="37"/>
      <c r="MF2849" s="37"/>
      <c r="MG2849" s="37"/>
      <c r="MH2849" s="37"/>
      <c r="MI2849" s="37"/>
      <c r="MJ2849" s="37"/>
      <c r="MK2849" s="37"/>
      <c r="ML2849" s="37"/>
      <c r="MM2849" s="37"/>
      <c r="MN2849" s="37"/>
      <c r="MO2849" s="37"/>
      <c r="MP2849" s="37"/>
      <c r="MQ2849" s="37"/>
      <c r="MR2849" s="37"/>
      <c r="MS2849" s="37"/>
      <c r="MT2849" s="37"/>
      <c r="MU2849" s="37"/>
      <c r="MV2849" s="37"/>
      <c r="MW2849" s="37"/>
      <c r="MX2849" s="37"/>
      <c r="MY2849" s="37"/>
      <c r="MZ2849" s="37"/>
      <c r="NA2849" s="37"/>
      <c r="NB2849" s="37"/>
      <c r="NC2849" s="37"/>
      <c r="ND2849" s="37"/>
      <c r="NE2849" s="37"/>
      <c r="NF2849" s="37"/>
      <c r="NG2849" s="37"/>
      <c r="NH2849" s="37"/>
      <c r="NI2849" s="37"/>
      <c r="NJ2849" s="37"/>
      <c r="NK2849" s="37"/>
      <c r="NL2849" s="37"/>
      <c r="NM2849" s="37"/>
      <c r="NN2849" s="37"/>
      <c r="NO2849" s="37"/>
      <c r="NP2849" s="37"/>
      <c r="NQ2849" s="37"/>
      <c r="NR2849" s="37"/>
      <c r="NS2849" s="37"/>
      <c r="NT2849" s="37"/>
      <c r="NU2849" s="37"/>
      <c r="NV2849" s="37"/>
      <c r="NW2849" s="37"/>
      <c r="NX2849" s="37"/>
      <c r="NY2849" s="37"/>
      <c r="NZ2849" s="37"/>
      <c r="OA2849" s="37"/>
      <c r="OB2849" s="37"/>
      <c r="OC2849" s="37"/>
      <c r="OD2849" s="37"/>
      <c r="OE2849" s="37"/>
      <c r="OF2849" s="37"/>
      <c r="OG2849" s="37"/>
      <c r="OH2849" s="37"/>
      <c r="OI2849" s="37"/>
      <c r="OJ2849" s="37"/>
      <c r="OK2849" s="37"/>
      <c r="OL2849" s="37"/>
      <c r="OM2849" s="37"/>
      <c r="ON2849" s="37"/>
      <c r="OO2849" s="37"/>
      <c r="OP2849" s="37"/>
      <c r="OQ2849" s="37"/>
      <c r="OR2849" s="37"/>
      <c r="OS2849" s="37"/>
      <c r="OT2849" s="37"/>
      <c r="OU2849" s="37"/>
      <c r="OV2849" s="37"/>
      <c r="OW2849" s="37"/>
      <c r="OX2849" s="37"/>
      <c r="OY2849" s="37"/>
      <c r="OZ2849" s="37"/>
      <c r="PA2849" s="37"/>
      <c r="PB2849" s="37"/>
      <c r="PC2849" s="37"/>
      <c r="PD2849" s="37"/>
      <c r="PE2849" s="37"/>
      <c r="PF2849" s="37"/>
      <c r="PG2849" s="37"/>
      <c r="PH2849" s="37"/>
      <c r="PI2849" s="37"/>
      <c r="PJ2849" s="37"/>
      <c r="PK2849" s="37"/>
      <c r="PL2849" s="37"/>
      <c r="PM2849" s="37"/>
      <c r="PN2849" s="37"/>
      <c r="PO2849" s="37"/>
      <c r="PP2849" s="37"/>
      <c r="PQ2849" s="37"/>
      <c r="PR2849" s="37"/>
      <c r="PS2849" s="37"/>
      <c r="PT2849" s="37"/>
      <c r="PU2849" s="37"/>
      <c r="PV2849" s="37"/>
      <c r="PW2849" s="37"/>
      <c r="PX2849" s="37"/>
      <c r="PY2849" s="37"/>
      <c r="PZ2849" s="37"/>
      <c r="QA2849" s="37"/>
      <c r="QB2849" s="37"/>
      <c r="QC2849" s="37"/>
      <c r="QD2849" s="37"/>
      <c r="QE2849" s="37"/>
      <c r="QF2849" s="37"/>
      <c r="QG2849" s="37"/>
      <c r="QH2849" s="37"/>
      <c r="QI2849" s="37"/>
      <c r="QJ2849" s="37"/>
      <c r="QK2849" s="37"/>
      <c r="QL2849" s="37"/>
      <c r="QM2849" s="37"/>
      <c r="QN2849" s="37"/>
      <c r="QO2849" s="37"/>
      <c r="QP2849" s="37"/>
      <c r="QQ2849" s="37"/>
      <c r="QR2849" s="37"/>
      <c r="QS2849" s="37"/>
      <c r="QT2849" s="37"/>
      <c r="QU2849" s="37"/>
      <c r="QV2849" s="37"/>
      <c r="QW2849" s="37"/>
      <c r="QX2849" s="37"/>
      <c r="QY2849" s="37"/>
      <c r="QZ2849" s="37"/>
      <c r="RA2849" s="37"/>
      <c r="RB2849" s="37"/>
      <c r="RC2849" s="37"/>
      <c r="RD2849" s="37"/>
      <c r="RE2849" s="37"/>
      <c r="RF2849" s="37"/>
      <c r="RG2849" s="37"/>
      <c r="RH2849" s="37"/>
      <c r="RI2849" s="37"/>
      <c r="RJ2849" s="37"/>
      <c r="RK2849" s="37"/>
      <c r="RL2849" s="37"/>
      <c r="RM2849" s="37"/>
      <c r="RN2849" s="37"/>
      <c r="RO2849" s="37"/>
      <c r="RP2849" s="37"/>
      <c r="RQ2849" s="37"/>
      <c r="RR2849" s="37"/>
      <c r="RS2849" s="37"/>
      <c r="RT2849" s="37"/>
      <c r="RU2849" s="37"/>
      <c r="RV2849" s="37"/>
      <c r="RW2849" s="37"/>
      <c r="RX2849" s="37"/>
      <c r="RY2849" s="37"/>
      <c r="RZ2849" s="37"/>
      <c r="SA2849" s="37"/>
      <c r="SB2849" s="37"/>
      <c r="SC2849" s="37"/>
      <c r="SD2849" s="37"/>
      <c r="SE2849" s="37"/>
      <c r="SF2849" s="37"/>
    </row>
    <row r="2850" spans="1:500">
      <c r="A2850" s="37"/>
      <c r="B2850" s="37"/>
      <c r="C2850" s="37"/>
      <c r="D2850" s="37"/>
      <c r="E2850" s="37"/>
      <c r="F2850" s="37"/>
      <c r="G2850" s="37"/>
      <c r="H2850" s="37"/>
      <c r="I2850" s="37"/>
      <c r="J2850" s="37"/>
      <c r="K2850" s="37"/>
      <c r="L2850" s="37"/>
      <c r="M2850" s="37"/>
      <c r="N2850" s="37"/>
      <c r="O2850" s="37"/>
      <c r="P2850" s="37"/>
      <c r="Q2850" s="37"/>
      <c r="R2850" s="37"/>
      <c r="S2850" s="37"/>
      <c r="T2850" s="37"/>
      <c r="U2850" s="37"/>
      <c r="V2850" s="37"/>
      <c r="W2850" s="37"/>
      <c r="X2850" s="37"/>
      <c r="Y2850" s="37"/>
      <c r="Z2850" s="37"/>
      <c r="AA2850" s="37"/>
      <c r="AB2850" s="37"/>
      <c r="AC2850" s="37"/>
      <c r="AD2850" s="37"/>
      <c r="AE2850" s="37"/>
      <c r="AF2850" s="37"/>
      <c r="AG2850" s="37"/>
      <c r="AH2850" s="37"/>
      <c r="AI2850" s="37"/>
      <c r="AJ2850" s="37"/>
      <c r="AK2850" s="37"/>
      <c r="AL2850" s="37"/>
      <c r="AM2850" s="37"/>
      <c r="AN2850" s="37"/>
      <c r="AO2850" s="37"/>
      <c r="AP2850" s="37"/>
      <c r="AQ2850" s="37"/>
      <c r="AR2850" s="37"/>
      <c r="AS2850" s="37"/>
      <c r="AT2850" s="37"/>
      <c r="AU2850" s="37"/>
      <c r="AV2850" s="37"/>
      <c r="AW2850" s="37"/>
      <c r="AX2850" s="37"/>
      <c r="AY2850" s="37"/>
      <c r="AZ2850" s="37"/>
      <c r="BA2850" s="37"/>
      <c r="BB2850" s="37"/>
      <c r="BC2850" s="37"/>
      <c r="BD2850" s="37"/>
      <c r="BE2850" s="37"/>
      <c r="BF2850" s="37"/>
      <c r="BG2850" s="37"/>
      <c r="BH2850" s="37"/>
      <c r="BI2850" s="37"/>
      <c r="BJ2850" s="37"/>
      <c r="BK2850" s="37"/>
      <c r="BL2850" s="37"/>
      <c r="BM2850" s="37"/>
      <c r="BN2850" s="37"/>
      <c r="BO2850" s="37"/>
      <c r="BP2850" s="37"/>
      <c r="BQ2850" s="37"/>
      <c r="BR2850" s="37"/>
      <c r="BS2850" s="37"/>
      <c r="BT2850" s="37"/>
      <c r="BU2850" s="37"/>
      <c r="BV2850" s="37"/>
      <c r="BW2850" s="37"/>
      <c r="BX2850" s="37"/>
      <c r="BY2850" s="37"/>
      <c r="BZ2850" s="37"/>
      <c r="CA2850" s="37"/>
      <c r="CB2850" s="37"/>
      <c r="CC2850" s="37"/>
      <c r="CD2850" s="37"/>
      <c r="CE2850" s="37"/>
      <c r="CF2850" s="37"/>
      <c r="CG2850" s="37"/>
      <c r="CH2850" s="37"/>
      <c r="CI2850" s="37"/>
      <c r="CJ2850" s="37"/>
      <c r="CK2850" s="37"/>
      <c r="CL2850" s="37"/>
      <c r="CM2850" s="37"/>
      <c r="CN2850" s="37"/>
      <c r="CO2850" s="37"/>
      <c r="CP2850" s="37"/>
      <c r="CQ2850" s="37"/>
      <c r="CR2850" s="37"/>
      <c r="CS2850" s="37"/>
      <c r="CT2850" s="37"/>
      <c r="CU2850" s="37"/>
      <c r="CV2850" s="37"/>
      <c r="CW2850" s="37"/>
      <c r="CX2850" s="37"/>
      <c r="CY2850" s="37"/>
      <c r="CZ2850" s="37"/>
      <c r="DA2850" s="37"/>
      <c r="DB2850" s="37"/>
      <c r="DC2850" s="37"/>
      <c r="DD2850" s="37"/>
      <c r="DE2850" s="37"/>
      <c r="DF2850" s="37"/>
      <c r="DG2850" s="37"/>
      <c r="DH2850" s="37"/>
      <c r="DI2850" s="37"/>
      <c r="DJ2850" s="37"/>
      <c r="DK2850" s="37"/>
      <c r="DL2850" s="37"/>
      <c r="DM2850" s="37"/>
      <c r="DN2850" s="37"/>
      <c r="DO2850" s="37"/>
      <c r="DP2850" s="37"/>
      <c r="DQ2850" s="37"/>
      <c r="DR2850" s="37"/>
      <c r="DS2850" s="37"/>
      <c r="DT2850" s="37"/>
      <c r="DU2850" s="37"/>
      <c r="DV2850" s="37"/>
      <c r="DW2850" s="37"/>
      <c r="DX2850" s="37"/>
      <c r="DY2850" s="37"/>
      <c r="DZ2850" s="37"/>
      <c r="EA2850" s="37"/>
      <c r="EB2850" s="37"/>
      <c r="EC2850" s="37"/>
      <c r="ED2850" s="37"/>
      <c r="EE2850" s="37"/>
      <c r="EF2850" s="37"/>
      <c r="EG2850" s="37"/>
      <c r="EH2850" s="37"/>
      <c r="EI2850" s="37"/>
      <c r="EJ2850" s="37"/>
      <c r="EK2850" s="37"/>
      <c r="EL2850" s="37"/>
      <c r="EM2850" s="37"/>
      <c r="EN2850" s="37"/>
      <c r="EO2850" s="37"/>
      <c r="EP2850" s="37"/>
      <c r="EQ2850" s="37"/>
      <c r="ER2850" s="37"/>
      <c r="ES2850" s="37"/>
      <c r="ET2850" s="37"/>
      <c r="EU2850" s="37"/>
      <c r="EV2850" s="37"/>
      <c r="EW2850" s="37"/>
      <c r="EX2850" s="37"/>
      <c r="EY2850" s="37"/>
      <c r="EZ2850" s="37"/>
      <c r="FA2850" s="37"/>
      <c r="FB2850" s="37"/>
      <c r="FC2850" s="37"/>
      <c r="FD2850" s="37"/>
      <c r="FE2850" s="37"/>
      <c r="FF2850" s="37"/>
      <c r="FG2850" s="37"/>
      <c r="FH2850" s="37"/>
      <c r="FI2850" s="37"/>
      <c r="FJ2850" s="37"/>
      <c r="FK2850" s="37"/>
      <c r="FL2850" s="37"/>
      <c r="FM2850" s="37"/>
      <c r="FN2850" s="37"/>
      <c r="FO2850" s="37"/>
      <c r="FP2850" s="37"/>
      <c r="FQ2850" s="37"/>
      <c r="FR2850" s="37"/>
      <c r="FS2850" s="37"/>
      <c r="FT2850" s="37"/>
      <c r="FU2850" s="37"/>
      <c r="FV2850" s="37"/>
      <c r="FW2850" s="37"/>
      <c r="FX2850" s="37"/>
      <c r="FY2850" s="37"/>
      <c r="FZ2850" s="37"/>
      <c r="GA2850" s="37"/>
      <c r="GB2850" s="37"/>
      <c r="GC2850" s="37"/>
      <c r="GD2850" s="37"/>
      <c r="GE2850" s="37"/>
      <c r="GF2850" s="37"/>
      <c r="GG2850" s="37"/>
      <c r="GH2850" s="37"/>
      <c r="GI2850" s="37"/>
      <c r="GJ2850" s="37"/>
      <c r="GK2850" s="37"/>
      <c r="GL2850" s="37"/>
      <c r="GM2850" s="37"/>
      <c r="GN2850" s="37"/>
      <c r="GO2850" s="37"/>
      <c r="GP2850" s="37"/>
      <c r="GQ2850" s="37"/>
      <c r="GR2850" s="37"/>
      <c r="GS2850" s="37"/>
      <c r="GT2850" s="37"/>
      <c r="GU2850" s="37"/>
      <c r="GV2850" s="37"/>
      <c r="GW2850" s="37"/>
      <c r="GX2850" s="37"/>
      <c r="GY2850" s="37"/>
      <c r="GZ2850" s="37"/>
      <c r="HA2850" s="37"/>
      <c r="HB2850" s="37"/>
      <c r="HC2850" s="37"/>
      <c r="HD2850" s="37"/>
      <c r="HE2850" s="37"/>
      <c r="HF2850" s="37"/>
      <c r="HG2850" s="37"/>
      <c r="HH2850" s="37"/>
      <c r="HI2850" s="37"/>
      <c r="HJ2850" s="37"/>
      <c r="HK2850" s="37"/>
      <c r="HL2850" s="37"/>
      <c r="HM2850" s="37"/>
      <c r="HN2850" s="37"/>
      <c r="HO2850" s="37"/>
      <c r="HP2850" s="37"/>
      <c r="HQ2850" s="37"/>
      <c r="HR2850" s="37"/>
      <c r="HS2850" s="37"/>
      <c r="HT2850" s="37"/>
      <c r="HU2850" s="37"/>
      <c r="HV2850" s="37"/>
      <c r="HW2850" s="37"/>
      <c r="HX2850" s="37"/>
      <c r="HY2850" s="37"/>
      <c r="HZ2850" s="37"/>
      <c r="IA2850" s="37"/>
      <c r="IB2850" s="37"/>
      <c r="IC2850" s="37"/>
      <c r="ID2850" s="37"/>
      <c r="IE2850" s="37"/>
      <c r="IF2850" s="37"/>
      <c r="IG2850" s="37"/>
      <c r="IH2850" s="37"/>
      <c r="II2850" s="37"/>
      <c r="IJ2850" s="37"/>
      <c r="IK2850" s="37"/>
      <c r="IL2850" s="37"/>
      <c r="IM2850" s="37"/>
      <c r="IN2850" s="37"/>
      <c r="IO2850" s="37"/>
      <c r="IP2850" s="37"/>
      <c r="IQ2850" s="37"/>
      <c r="IR2850" s="37"/>
      <c r="IS2850" s="37"/>
      <c r="IT2850" s="37"/>
      <c r="IU2850" s="37"/>
      <c r="IV2850" s="37"/>
      <c r="IW2850" s="37"/>
      <c r="IX2850" s="37"/>
      <c r="IY2850" s="37"/>
      <c r="IZ2850" s="37"/>
      <c r="JA2850" s="37"/>
      <c r="JB2850" s="37"/>
      <c r="JC2850" s="37"/>
      <c r="JD2850" s="37"/>
      <c r="JE2850" s="37"/>
      <c r="JF2850" s="37"/>
      <c r="JG2850" s="37"/>
      <c r="JH2850" s="37"/>
      <c r="JI2850" s="37"/>
      <c r="JJ2850" s="37"/>
      <c r="JK2850" s="37"/>
      <c r="JL2850" s="37"/>
      <c r="JM2850" s="37"/>
      <c r="JN2850" s="37"/>
      <c r="JO2850" s="37"/>
      <c r="JP2850" s="37"/>
      <c r="JQ2850" s="37"/>
      <c r="JR2850" s="37"/>
      <c r="JS2850" s="37"/>
      <c r="JT2850" s="37"/>
      <c r="JU2850" s="37"/>
      <c r="JV2850" s="37"/>
      <c r="JW2850" s="37"/>
      <c r="JX2850" s="37"/>
      <c r="JY2850" s="37"/>
      <c r="JZ2850" s="37"/>
      <c r="KA2850" s="37"/>
      <c r="KB2850" s="37"/>
      <c r="KC2850" s="37"/>
      <c r="KD2850" s="37"/>
      <c r="KE2850" s="37"/>
      <c r="KF2850" s="37"/>
      <c r="KG2850" s="37"/>
      <c r="KH2850" s="37"/>
      <c r="KI2850" s="37"/>
      <c r="KJ2850" s="37"/>
      <c r="KK2850" s="37"/>
      <c r="KL2850" s="37"/>
      <c r="KM2850" s="37"/>
      <c r="KN2850" s="37"/>
      <c r="KO2850" s="37"/>
      <c r="KP2850" s="37"/>
      <c r="KQ2850" s="37"/>
      <c r="KR2850" s="37"/>
      <c r="KS2850" s="37"/>
      <c r="KT2850" s="37"/>
      <c r="KU2850" s="37"/>
      <c r="KV2850" s="37"/>
      <c r="KW2850" s="37"/>
      <c r="KX2850" s="37"/>
      <c r="KY2850" s="37"/>
      <c r="KZ2850" s="37"/>
      <c r="LA2850" s="37"/>
      <c r="LB2850" s="37"/>
      <c r="LC2850" s="37"/>
      <c r="LD2850" s="37"/>
      <c r="LE2850" s="37"/>
      <c r="LF2850" s="37"/>
      <c r="LG2850" s="37"/>
      <c r="LH2850" s="37"/>
      <c r="LI2850" s="37"/>
      <c r="LJ2850" s="37"/>
      <c r="LK2850" s="37"/>
      <c r="LL2850" s="37"/>
      <c r="LM2850" s="37"/>
      <c r="LN2850" s="37"/>
      <c r="LO2850" s="37"/>
      <c r="LP2850" s="37"/>
      <c r="LQ2850" s="37"/>
      <c r="LR2850" s="37"/>
      <c r="LS2850" s="37"/>
      <c r="LT2850" s="37"/>
      <c r="LU2850" s="37"/>
      <c r="LV2850" s="37"/>
      <c r="LW2850" s="37"/>
      <c r="LX2850" s="37"/>
      <c r="LY2850" s="37"/>
      <c r="LZ2850" s="37"/>
      <c r="MA2850" s="37"/>
      <c r="MB2850" s="37"/>
      <c r="MC2850" s="37"/>
      <c r="MD2850" s="37"/>
      <c r="ME2850" s="37"/>
      <c r="MF2850" s="37"/>
      <c r="MG2850" s="37"/>
      <c r="MH2850" s="37"/>
      <c r="MI2850" s="37"/>
      <c r="MJ2850" s="37"/>
      <c r="MK2850" s="37"/>
      <c r="ML2850" s="37"/>
      <c r="MM2850" s="37"/>
      <c r="MN2850" s="37"/>
      <c r="MO2850" s="37"/>
      <c r="MP2850" s="37"/>
      <c r="MQ2850" s="37"/>
      <c r="MR2850" s="37"/>
      <c r="MS2850" s="37"/>
      <c r="MT2850" s="37"/>
      <c r="MU2850" s="37"/>
      <c r="MV2850" s="37"/>
      <c r="MW2850" s="37"/>
      <c r="MX2850" s="37"/>
      <c r="MY2850" s="37"/>
      <c r="MZ2850" s="37"/>
      <c r="NA2850" s="37"/>
      <c r="NB2850" s="37"/>
      <c r="NC2850" s="37"/>
      <c r="ND2850" s="37"/>
      <c r="NE2850" s="37"/>
      <c r="NF2850" s="37"/>
      <c r="NG2850" s="37"/>
      <c r="NH2850" s="37"/>
      <c r="NI2850" s="37"/>
      <c r="NJ2850" s="37"/>
      <c r="NK2850" s="37"/>
      <c r="NL2850" s="37"/>
      <c r="NM2850" s="37"/>
      <c r="NN2850" s="37"/>
      <c r="NO2850" s="37"/>
      <c r="NP2850" s="37"/>
      <c r="NQ2850" s="37"/>
      <c r="NR2850" s="37"/>
      <c r="NS2850" s="37"/>
      <c r="NT2850" s="37"/>
      <c r="NU2850" s="37"/>
      <c r="NV2850" s="37"/>
      <c r="NW2850" s="37"/>
      <c r="NX2850" s="37"/>
      <c r="NY2850" s="37"/>
      <c r="NZ2850" s="37"/>
      <c r="OA2850" s="37"/>
      <c r="OB2850" s="37"/>
      <c r="OC2850" s="37"/>
      <c r="OD2850" s="37"/>
      <c r="OE2850" s="37"/>
      <c r="OF2850" s="37"/>
      <c r="OG2850" s="37"/>
      <c r="OH2850" s="37"/>
      <c r="OI2850" s="37"/>
      <c r="OJ2850" s="37"/>
      <c r="OK2850" s="37"/>
      <c r="OL2850" s="37"/>
      <c r="OM2850" s="37"/>
      <c r="ON2850" s="37"/>
      <c r="OO2850" s="37"/>
      <c r="OP2850" s="37"/>
      <c r="OQ2850" s="37"/>
      <c r="OR2850" s="37"/>
      <c r="OS2850" s="37"/>
      <c r="OT2850" s="37"/>
      <c r="OU2850" s="37"/>
      <c r="OV2850" s="37"/>
      <c r="OW2850" s="37"/>
      <c r="OX2850" s="37"/>
      <c r="OY2850" s="37"/>
      <c r="OZ2850" s="37"/>
      <c r="PA2850" s="37"/>
      <c r="PB2850" s="37"/>
      <c r="PC2850" s="37"/>
      <c r="PD2850" s="37"/>
      <c r="PE2850" s="37"/>
      <c r="PF2850" s="37"/>
      <c r="PG2850" s="37"/>
      <c r="PH2850" s="37"/>
      <c r="PI2850" s="37"/>
      <c r="PJ2850" s="37"/>
      <c r="PK2850" s="37"/>
      <c r="PL2850" s="37"/>
      <c r="PM2850" s="37"/>
      <c r="PN2850" s="37"/>
      <c r="PO2850" s="37"/>
      <c r="PP2850" s="37"/>
      <c r="PQ2850" s="37"/>
      <c r="PR2850" s="37"/>
      <c r="PS2850" s="37"/>
      <c r="PT2850" s="37"/>
      <c r="PU2850" s="37"/>
      <c r="PV2850" s="37"/>
      <c r="PW2850" s="37"/>
      <c r="PX2850" s="37"/>
      <c r="PY2850" s="37"/>
      <c r="PZ2850" s="37"/>
      <c r="QA2850" s="37"/>
      <c r="QB2850" s="37"/>
      <c r="QC2850" s="37"/>
      <c r="QD2850" s="37"/>
      <c r="QE2850" s="37"/>
      <c r="QF2850" s="37"/>
      <c r="QG2850" s="37"/>
      <c r="QH2850" s="37"/>
      <c r="QI2850" s="37"/>
      <c r="QJ2850" s="37"/>
      <c r="QK2850" s="37"/>
      <c r="QL2850" s="37"/>
      <c r="QM2850" s="37"/>
      <c r="QN2850" s="37"/>
      <c r="QO2850" s="37"/>
      <c r="QP2850" s="37"/>
      <c r="QQ2850" s="37"/>
      <c r="QR2850" s="37"/>
      <c r="QS2850" s="37"/>
      <c r="QT2850" s="37"/>
      <c r="QU2850" s="37"/>
      <c r="QV2850" s="37"/>
      <c r="QW2850" s="37"/>
      <c r="QX2850" s="37"/>
      <c r="QY2850" s="37"/>
      <c r="QZ2850" s="37"/>
      <c r="RA2850" s="37"/>
      <c r="RB2850" s="37"/>
      <c r="RC2850" s="37"/>
      <c r="RD2850" s="37"/>
      <c r="RE2850" s="37"/>
      <c r="RF2850" s="37"/>
      <c r="RG2850" s="37"/>
      <c r="RH2850" s="37"/>
      <c r="RI2850" s="37"/>
      <c r="RJ2850" s="37"/>
      <c r="RK2850" s="37"/>
      <c r="RL2850" s="37"/>
      <c r="RM2850" s="37"/>
      <c r="RN2850" s="37"/>
      <c r="RO2850" s="37"/>
      <c r="RP2850" s="37"/>
      <c r="RQ2850" s="37"/>
      <c r="RR2850" s="37"/>
      <c r="RS2850" s="37"/>
      <c r="RT2850" s="37"/>
      <c r="RU2850" s="37"/>
      <c r="RV2850" s="37"/>
      <c r="RW2850" s="37"/>
      <c r="RX2850" s="37"/>
      <c r="RY2850" s="37"/>
      <c r="RZ2850" s="37"/>
      <c r="SA2850" s="37"/>
      <c r="SB2850" s="37"/>
      <c r="SC2850" s="37"/>
      <c r="SD2850" s="37"/>
      <c r="SE2850" s="37"/>
      <c r="SF2850" s="37"/>
    </row>
    <row r="2851" spans="1:500">
      <c r="A2851" s="37"/>
      <c r="B2851" s="37"/>
      <c r="C2851" s="37"/>
      <c r="D2851" s="37"/>
      <c r="E2851" s="37"/>
      <c r="F2851" s="37"/>
      <c r="G2851" s="37"/>
      <c r="H2851" s="37"/>
      <c r="I2851" s="37"/>
      <c r="J2851" s="37"/>
      <c r="K2851" s="37"/>
      <c r="L2851" s="37"/>
      <c r="M2851" s="37"/>
      <c r="N2851" s="37"/>
      <c r="O2851" s="37"/>
      <c r="P2851" s="37"/>
      <c r="Q2851" s="37"/>
      <c r="R2851" s="37"/>
      <c r="S2851" s="37"/>
      <c r="T2851" s="37"/>
      <c r="U2851" s="37"/>
      <c r="V2851" s="37"/>
      <c r="W2851" s="37"/>
      <c r="X2851" s="37"/>
      <c r="Y2851" s="37"/>
      <c r="Z2851" s="37"/>
      <c r="AA2851" s="37"/>
      <c r="AB2851" s="37"/>
      <c r="AC2851" s="37"/>
      <c r="AD2851" s="37"/>
      <c r="AE2851" s="37"/>
      <c r="AF2851" s="37"/>
      <c r="AG2851" s="37"/>
      <c r="AH2851" s="37"/>
      <c r="AI2851" s="37"/>
      <c r="AJ2851" s="37"/>
      <c r="AK2851" s="37"/>
      <c r="AL2851" s="37"/>
      <c r="AM2851" s="37"/>
      <c r="AN2851" s="37"/>
      <c r="AO2851" s="37"/>
      <c r="AP2851" s="37"/>
      <c r="AQ2851" s="37"/>
      <c r="AR2851" s="37"/>
      <c r="AS2851" s="37"/>
      <c r="AT2851" s="37"/>
      <c r="AU2851" s="37"/>
      <c r="AV2851" s="37"/>
      <c r="AW2851" s="37"/>
      <c r="AX2851" s="37"/>
      <c r="AY2851" s="37"/>
      <c r="AZ2851" s="37"/>
      <c r="BA2851" s="37"/>
      <c r="BB2851" s="37"/>
      <c r="BC2851" s="37"/>
      <c r="BD2851" s="37"/>
      <c r="BE2851" s="37"/>
      <c r="BF2851" s="37"/>
      <c r="BG2851" s="37"/>
      <c r="BH2851" s="37"/>
      <c r="BI2851" s="37"/>
      <c r="BJ2851" s="37"/>
      <c r="BK2851" s="37"/>
      <c r="BL2851" s="37"/>
      <c r="BM2851" s="37"/>
      <c r="BN2851" s="37"/>
      <c r="BO2851" s="37"/>
      <c r="BP2851" s="37"/>
      <c r="BQ2851" s="37"/>
      <c r="BR2851" s="37"/>
      <c r="BS2851" s="37"/>
      <c r="BT2851" s="37"/>
      <c r="BU2851" s="37"/>
      <c r="BV2851" s="37"/>
      <c r="BW2851" s="37"/>
      <c r="BX2851" s="37"/>
      <c r="BY2851" s="37"/>
      <c r="BZ2851" s="37"/>
      <c r="CA2851" s="37"/>
      <c r="CB2851" s="37"/>
      <c r="CC2851" s="37"/>
      <c r="CD2851" s="37"/>
      <c r="CE2851" s="37"/>
      <c r="CF2851" s="37"/>
      <c r="CG2851" s="37"/>
      <c r="CH2851" s="37"/>
      <c r="CI2851" s="37"/>
      <c r="CJ2851" s="37"/>
      <c r="CK2851" s="37"/>
      <c r="CL2851" s="37"/>
      <c r="CM2851" s="37"/>
      <c r="CN2851" s="37"/>
      <c r="CO2851" s="37"/>
      <c r="CP2851" s="37"/>
      <c r="CQ2851" s="37"/>
      <c r="CR2851" s="37"/>
      <c r="CS2851" s="37"/>
      <c r="CT2851" s="37"/>
      <c r="CU2851" s="37"/>
      <c r="CV2851" s="37"/>
      <c r="CW2851" s="37"/>
      <c r="CX2851" s="37"/>
      <c r="CY2851" s="37"/>
      <c r="CZ2851" s="37"/>
      <c r="DA2851" s="37"/>
      <c r="DB2851" s="37"/>
      <c r="DC2851" s="37"/>
      <c r="DD2851" s="37"/>
      <c r="DE2851" s="37"/>
      <c r="DF2851" s="37"/>
      <c r="DG2851" s="37"/>
      <c r="DH2851" s="37"/>
      <c r="DI2851" s="37"/>
      <c r="DJ2851" s="37"/>
      <c r="DK2851" s="37"/>
      <c r="DL2851" s="37"/>
      <c r="DM2851" s="37"/>
      <c r="DN2851" s="37"/>
      <c r="DO2851" s="37"/>
      <c r="DP2851" s="37"/>
      <c r="DQ2851" s="37"/>
      <c r="DR2851" s="37"/>
      <c r="DS2851" s="37"/>
      <c r="DT2851" s="37"/>
      <c r="DU2851" s="37"/>
      <c r="DV2851" s="37"/>
      <c r="DW2851" s="37"/>
      <c r="DX2851" s="37"/>
      <c r="DY2851" s="37"/>
      <c r="DZ2851" s="37"/>
      <c r="EA2851" s="37"/>
      <c r="EB2851" s="37"/>
      <c r="EC2851" s="37"/>
      <c r="ED2851" s="37"/>
      <c r="EE2851" s="37"/>
      <c r="EF2851" s="37"/>
      <c r="EG2851" s="37"/>
      <c r="EH2851" s="37"/>
      <c r="EI2851" s="37"/>
      <c r="EJ2851" s="37"/>
      <c r="EK2851" s="37"/>
      <c r="EL2851" s="37"/>
      <c r="EM2851" s="37"/>
      <c r="EN2851" s="37"/>
      <c r="EO2851" s="37"/>
      <c r="EP2851" s="37"/>
      <c r="EQ2851" s="37"/>
      <c r="ER2851" s="37"/>
      <c r="ES2851" s="37"/>
      <c r="ET2851" s="37"/>
      <c r="EU2851" s="37"/>
      <c r="EV2851" s="37"/>
      <c r="EW2851" s="37"/>
      <c r="EX2851" s="37"/>
      <c r="EY2851" s="37"/>
      <c r="EZ2851" s="37"/>
      <c r="FA2851" s="37"/>
      <c r="FB2851" s="37"/>
      <c r="FC2851" s="37"/>
      <c r="FD2851" s="37"/>
      <c r="FE2851" s="37"/>
      <c r="FF2851" s="37"/>
      <c r="FG2851" s="37"/>
      <c r="FH2851" s="37"/>
      <c r="FI2851" s="37"/>
      <c r="FJ2851" s="37"/>
      <c r="FK2851" s="37"/>
      <c r="FL2851" s="37"/>
      <c r="FM2851" s="37"/>
      <c r="FN2851" s="37"/>
      <c r="FO2851" s="37"/>
      <c r="FP2851" s="37"/>
      <c r="FQ2851" s="37"/>
      <c r="FR2851" s="37"/>
      <c r="FS2851" s="37"/>
      <c r="FT2851" s="37"/>
      <c r="FU2851" s="37"/>
      <c r="FV2851" s="37"/>
      <c r="FW2851" s="37"/>
      <c r="FX2851" s="37"/>
      <c r="FY2851" s="37"/>
      <c r="FZ2851" s="37"/>
      <c r="GA2851" s="37"/>
      <c r="GB2851" s="37"/>
      <c r="GC2851" s="37"/>
      <c r="GD2851" s="37"/>
      <c r="GE2851" s="37"/>
      <c r="GF2851" s="37"/>
      <c r="GG2851" s="37"/>
      <c r="GH2851" s="37"/>
      <c r="GI2851" s="37"/>
      <c r="GJ2851" s="37"/>
      <c r="GK2851" s="37"/>
      <c r="GL2851" s="37"/>
      <c r="GM2851" s="37"/>
      <c r="GN2851" s="37"/>
      <c r="GO2851" s="37"/>
      <c r="GP2851" s="37"/>
      <c r="GQ2851" s="37"/>
      <c r="GR2851" s="37"/>
      <c r="GS2851" s="37"/>
      <c r="GT2851" s="37"/>
      <c r="GU2851" s="37"/>
      <c r="GV2851" s="37"/>
      <c r="GW2851" s="37"/>
      <c r="GX2851" s="37"/>
      <c r="GY2851" s="37"/>
      <c r="GZ2851" s="37"/>
      <c r="HA2851" s="37"/>
      <c r="HB2851" s="37"/>
      <c r="HC2851" s="37"/>
      <c r="HD2851" s="37"/>
      <c r="HE2851" s="37"/>
      <c r="HF2851" s="37"/>
      <c r="HG2851" s="37"/>
      <c r="HH2851" s="37"/>
      <c r="HI2851" s="37"/>
      <c r="HJ2851" s="37"/>
      <c r="HK2851" s="37"/>
      <c r="HL2851" s="37"/>
      <c r="HM2851" s="37"/>
      <c r="HN2851" s="37"/>
      <c r="HO2851" s="37"/>
      <c r="HP2851" s="37"/>
      <c r="HQ2851" s="37"/>
      <c r="HR2851" s="37"/>
      <c r="HS2851" s="37"/>
      <c r="HT2851" s="37"/>
      <c r="HU2851" s="37"/>
      <c r="HV2851" s="37"/>
      <c r="HW2851" s="37"/>
      <c r="HX2851" s="37"/>
      <c r="HY2851" s="37"/>
      <c r="HZ2851" s="37"/>
      <c r="IA2851" s="37"/>
      <c r="IB2851" s="37"/>
      <c r="IC2851" s="37"/>
      <c r="ID2851" s="37"/>
      <c r="IE2851" s="37"/>
      <c r="IF2851" s="37"/>
      <c r="IG2851" s="37"/>
      <c r="IH2851" s="37"/>
      <c r="II2851" s="37"/>
      <c r="IJ2851" s="37"/>
      <c r="IK2851" s="37"/>
      <c r="IL2851" s="37"/>
      <c r="IM2851" s="37"/>
      <c r="IN2851" s="37"/>
      <c r="IO2851" s="37"/>
      <c r="IP2851" s="37"/>
      <c r="IQ2851" s="37"/>
      <c r="IR2851" s="37"/>
      <c r="IS2851" s="37"/>
      <c r="IT2851" s="37"/>
      <c r="IU2851" s="37"/>
      <c r="IV2851" s="37"/>
      <c r="IW2851" s="37"/>
      <c r="IX2851" s="37"/>
      <c r="IY2851" s="37"/>
      <c r="IZ2851" s="37"/>
      <c r="JA2851" s="37"/>
      <c r="JB2851" s="37"/>
      <c r="JC2851" s="37"/>
      <c r="JD2851" s="37"/>
      <c r="JE2851" s="37"/>
      <c r="JF2851" s="37"/>
      <c r="JG2851" s="37"/>
      <c r="JH2851" s="37"/>
      <c r="JI2851" s="37"/>
      <c r="JJ2851" s="37"/>
      <c r="JK2851" s="37"/>
      <c r="JL2851" s="37"/>
      <c r="JM2851" s="37"/>
      <c r="JN2851" s="37"/>
      <c r="JO2851" s="37"/>
      <c r="JP2851" s="37"/>
      <c r="JQ2851" s="37"/>
      <c r="JR2851" s="37"/>
      <c r="JS2851" s="37"/>
      <c r="JT2851" s="37"/>
      <c r="JU2851" s="37"/>
      <c r="JV2851" s="37"/>
      <c r="JW2851" s="37"/>
      <c r="JX2851" s="37"/>
      <c r="JY2851" s="37"/>
      <c r="JZ2851" s="37"/>
      <c r="KA2851" s="37"/>
      <c r="KB2851" s="37"/>
      <c r="KC2851" s="37"/>
      <c r="KD2851" s="37"/>
      <c r="KE2851" s="37"/>
      <c r="KF2851" s="37"/>
      <c r="KG2851" s="37"/>
      <c r="KH2851" s="37"/>
      <c r="KI2851" s="37"/>
      <c r="KJ2851" s="37"/>
      <c r="KK2851" s="37"/>
      <c r="KL2851" s="37"/>
      <c r="KM2851" s="37"/>
      <c r="KN2851" s="37"/>
      <c r="KO2851" s="37"/>
      <c r="KP2851" s="37"/>
      <c r="KQ2851" s="37"/>
      <c r="KR2851" s="37"/>
      <c r="KS2851" s="37"/>
      <c r="KT2851" s="37"/>
      <c r="KU2851" s="37"/>
      <c r="KV2851" s="37"/>
      <c r="KW2851" s="37"/>
      <c r="KX2851" s="37"/>
      <c r="KY2851" s="37"/>
      <c r="KZ2851" s="37"/>
      <c r="LA2851" s="37"/>
      <c r="LB2851" s="37"/>
      <c r="LC2851" s="37"/>
      <c r="LD2851" s="37"/>
      <c r="LE2851" s="37"/>
      <c r="LF2851" s="37"/>
      <c r="LG2851" s="37"/>
      <c r="LH2851" s="37"/>
      <c r="LI2851" s="37"/>
      <c r="LJ2851" s="37"/>
      <c r="LK2851" s="37"/>
      <c r="LL2851" s="37"/>
      <c r="LM2851" s="37"/>
      <c r="LN2851" s="37"/>
      <c r="LO2851" s="37"/>
      <c r="LP2851" s="37"/>
      <c r="LQ2851" s="37"/>
      <c r="LR2851" s="37"/>
      <c r="LS2851" s="37"/>
      <c r="LT2851" s="37"/>
      <c r="LU2851" s="37"/>
      <c r="LV2851" s="37"/>
      <c r="LW2851" s="37"/>
      <c r="LX2851" s="37"/>
      <c r="LY2851" s="37"/>
      <c r="LZ2851" s="37"/>
      <c r="MA2851" s="37"/>
      <c r="MB2851" s="37"/>
      <c r="MC2851" s="37"/>
      <c r="MD2851" s="37"/>
      <c r="ME2851" s="37"/>
      <c r="MF2851" s="37"/>
      <c r="MG2851" s="37"/>
      <c r="MH2851" s="37"/>
      <c r="MI2851" s="37"/>
      <c r="MJ2851" s="37"/>
      <c r="MK2851" s="37"/>
      <c r="ML2851" s="37"/>
      <c r="MM2851" s="37"/>
      <c r="MN2851" s="37"/>
      <c r="MO2851" s="37"/>
      <c r="MP2851" s="37"/>
      <c r="MQ2851" s="37"/>
      <c r="MR2851" s="37"/>
      <c r="MS2851" s="37"/>
      <c r="MT2851" s="37"/>
      <c r="MU2851" s="37"/>
      <c r="MV2851" s="37"/>
      <c r="MW2851" s="37"/>
      <c r="MX2851" s="37"/>
      <c r="MY2851" s="37"/>
      <c r="MZ2851" s="37"/>
      <c r="NA2851" s="37"/>
      <c r="NB2851" s="37"/>
      <c r="NC2851" s="37"/>
      <c r="ND2851" s="37"/>
      <c r="NE2851" s="37"/>
      <c r="NF2851" s="37"/>
      <c r="NG2851" s="37"/>
      <c r="NH2851" s="37"/>
      <c r="NI2851" s="37"/>
      <c r="NJ2851" s="37"/>
      <c r="NK2851" s="37"/>
      <c r="NL2851" s="37"/>
      <c r="NM2851" s="37"/>
      <c r="NN2851" s="37"/>
      <c r="NO2851" s="37"/>
      <c r="NP2851" s="37"/>
      <c r="NQ2851" s="37"/>
      <c r="NR2851" s="37"/>
      <c r="NS2851" s="37"/>
      <c r="NT2851" s="37"/>
      <c r="NU2851" s="37"/>
      <c r="NV2851" s="37"/>
      <c r="NW2851" s="37"/>
      <c r="NX2851" s="37"/>
      <c r="NY2851" s="37"/>
      <c r="NZ2851" s="37"/>
      <c r="OA2851" s="37"/>
      <c r="OB2851" s="37"/>
      <c r="OC2851" s="37"/>
      <c r="OD2851" s="37"/>
      <c r="OE2851" s="37"/>
      <c r="OF2851" s="37"/>
      <c r="OG2851" s="37"/>
      <c r="OH2851" s="37"/>
      <c r="OI2851" s="37"/>
      <c r="OJ2851" s="37"/>
      <c r="OK2851" s="37"/>
      <c r="OL2851" s="37"/>
      <c r="OM2851" s="37"/>
      <c r="ON2851" s="37"/>
      <c r="OO2851" s="37"/>
      <c r="OP2851" s="37"/>
      <c r="OQ2851" s="37"/>
      <c r="OR2851" s="37"/>
      <c r="OS2851" s="37"/>
      <c r="OT2851" s="37"/>
      <c r="OU2851" s="37"/>
      <c r="OV2851" s="37"/>
      <c r="OW2851" s="37"/>
      <c r="OX2851" s="37"/>
      <c r="OY2851" s="37"/>
      <c r="OZ2851" s="37"/>
      <c r="PA2851" s="37"/>
      <c r="PB2851" s="37"/>
      <c r="PC2851" s="37"/>
      <c r="PD2851" s="37"/>
      <c r="PE2851" s="37"/>
      <c r="PF2851" s="37"/>
      <c r="PG2851" s="37"/>
      <c r="PH2851" s="37"/>
      <c r="PI2851" s="37"/>
      <c r="PJ2851" s="37"/>
      <c r="PK2851" s="37"/>
      <c r="PL2851" s="37"/>
      <c r="PM2851" s="37"/>
      <c r="PN2851" s="37"/>
      <c r="PO2851" s="37"/>
      <c r="PP2851" s="37"/>
      <c r="PQ2851" s="37"/>
      <c r="PR2851" s="37"/>
      <c r="PS2851" s="37"/>
      <c r="PT2851" s="37"/>
      <c r="PU2851" s="37"/>
      <c r="PV2851" s="37"/>
      <c r="PW2851" s="37"/>
      <c r="PX2851" s="37"/>
      <c r="PY2851" s="37"/>
      <c r="PZ2851" s="37"/>
      <c r="QA2851" s="37"/>
      <c r="QB2851" s="37"/>
      <c r="QC2851" s="37"/>
      <c r="QD2851" s="37"/>
      <c r="QE2851" s="37"/>
      <c r="QF2851" s="37"/>
      <c r="QG2851" s="37"/>
      <c r="QH2851" s="37"/>
      <c r="QI2851" s="37"/>
      <c r="QJ2851" s="37"/>
      <c r="QK2851" s="37"/>
      <c r="QL2851" s="37"/>
      <c r="QM2851" s="37"/>
      <c r="QN2851" s="37"/>
      <c r="QO2851" s="37"/>
      <c r="QP2851" s="37"/>
      <c r="QQ2851" s="37"/>
      <c r="QR2851" s="37"/>
      <c r="QS2851" s="37"/>
      <c r="QT2851" s="37"/>
      <c r="QU2851" s="37"/>
      <c r="QV2851" s="37"/>
      <c r="QW2851" s="37"/>
      <c r="QX2851" s="37"/>
      <c r="QY2851" s="37"/>
      <c r="QZ2851" s="37"/>
      <c r="RA2851" s="37"/>
      <c r="RB2851" s="37"/>
      <c r="RC2851" s="37"/>
      <c r="RD2851" s="37"/>
      <c r="RE2851" s="37"/>
      <c r="RF2851" s="37"/>
      <c r="RG2851" s="37"/>
      <c r="RH2851" s="37"/>
      <c r="RI2851" s="37"/>
      <c r="RJ2851" s="37"/>
      <c r="RK2851" s="37"/>
      <c r="RL2851" s="37"/>
      <c r="RM2851" s="37"/>
      <c r="RN2851" s="37"/>
      <c r="RO2851" s="37"/>
      <c r="RP2851" s="37"/>
      <c r="RQ2851" s="37"/>
      <c r="RR2851" s="37"/>
      <c r="RS2851" s="37"/>
      <c r="RT2851" s="37"/>
      <c r="RU2851" s="37"/>
      <c r="RV2851" s="37"/>
      <c r="RW2851" s="37"/>
      <c r="RX2851" s="37"/>
      <c r="RY2851" s="37"/>
      <c r="RZ2851" s="37"/>
      <c r="SA2851" s="37"/>
      <c r="SB2851" s="37"/>
      <c r="SC2851" s="37"/>
      <c r="SD2851" s="37"/>
      <c r="SE2851" s="37"/>
      <c r="SF2851" s="37"/>
    </row>
    <row r="2852" spans="1:500">
      <c r="A2852" s="37"/>
      <c r="B2852" s="37"/>
      <c r="C2852" s="37"/>
      <c r="D2852" s="37"/>
      <c r="E2852" s="37"/>
      <c r="F2852" s="37"/>
      <c r="G2852" s="37"/>
      <c r="H2852" s="37"/>
      <c r="I2852" s="37"/>
      <c r="J2852" s="37"/>
      <c r="K2852" s="37"/>
      <c r="L2852" s="37"/>
      <c r="M2852" s="37"/>
      <c r="N2852" s="37"/>
      <c r="O2852" s="37"/>
      <c r="P2852" s="37"/>
      <c r="Q2852" s="37"/>
      <c r="R2852" s="37"/>
      <c r="S2852" s="37"/>
      <c r="T2852" s="37"/>
      <c r="U2852" s="37"/>
      <c r="V2852" s="37"/>
      <c r="W2852" s="37"/>
      <c r="X2852" s="37"/>
      <c r="Y2852" s="37"/>
      <c r="Z2852" s="37"/>
      <c r="AA2852" s="37"/>
      <c r="AB2852" s="37"/>
      <c r="AC2852" s="37"/>
      <c r="AD2852" s="37"/>
      <c r="AE2852" s="37"/>
      <c r="AF2852" s="37"/>
      <c r="AG2852" s="37"/>
      <c r="AH2852" s="37"/>
      <c r="AI2852" s="37"/>
      <c r="AJ2852" s="37"/>
      <c r="AK2852" s="37"/>
      <c r="AL2852" s="37"/>
      <c r="AM2852" s="37"/>
      <c r="AN2852" s="37"/>
      <c r="AO2852" s="37"/>
      <c r="AP2852" s="37"/>
      <c r="AQ2852" s="37"/>
      <c r="AR2852" s="37"/>
      <c r="AS2852" s="37"/>
      <c r="AT2852" s="37"/>
      <c r="AU2852" s="37"/>
      <c r="AV2852" s="37"/>
      <c r="AW2852" s="37"/>
      <c r="AX2852" s="37"/>
      <c r="AY2852" s="37"/>
      <c r="AZ2852" s="37"/>
      <c r="BA2852" s="37"/>
      <c r="BB2852" s="37"/>
      <c r="BC2852" s="37"/>
      <c r="BD2852" s="37"/>
      <c r="BE2852" s="37"/>
      <c r="BF2852" s="37"/>
      <c r="BG2852" s="37"/>
      <c r="BH2852" s="37"/>
      <c r="BI2852" s="37"/>
      <c r="BJ2852" s="37"/>
      <c r="BK2852" s="37"/>
      <c r="BL2852" s="37"/>
      <c r="BM2852" s="37"/>
      <c r="BN2852" s="37"/>
      <c r="BO2852" s="37"/>
      <c r="BP2852" s="37"/>
      <c r="BQ2852" s="37"/>
      <c r="BR2852" s="37"/>
      <c r="BS2852" s="37"/>
      <c r="BT2852" s="37"/>
      <c r="BU2852" s="37"/>
      <c r="BV2852" s="37"/>
      <c r="BW2852" s="37"/>
      <c r="BX2852" s="37"/>
      <c r="BY2852" s="37"/>
      <c r="BZ2852" s="37"/>
      <c r="CA2852" s="37"/>
      <c r="CB2852" s="37"/>
      <c r="CC2852" s="37"/>
      <c r="CD2852" s="37"/>
      <c r="CE2852" s="37"/>
      <c r="CF2852" s="37"/>
      <c r="CG2852" s="37"/>
      <c r="CH2852" s="37"/>
      <c r="CI2852" s="37"/>
      <c r="CJ2852" s="37"/>
      <c r="CK2852" s="37"/>
      <c r="CL2852" s="37"/>
      <c r="CM2852" s="37"/>
      <c r="CN2852" s="37"/>
      <c r="CO2852" s="37"/>
      <c r="CP2852" s="37"/>
      <c r="CQ2852" s="37"/>
      <c r="CR2852" s="37"/>
      <c r="CS2852" s="37"/>
      <c r="CT2852" s="37"/>
      <c r="CU2852" s="37"/>
      <c r="CV2852" s="37"/>
      <c r="CW2852" s="37"/>
      <c r="CX2852" s="37"/>
      <c r="CY2852" s="37"/>
      <c r="CZ2852" s="37"/>
      <c r="DA2852" s="37"/>
      <c r="DB2852" s="37"/>
      <c r="DC2852" s="37"/>
      <c r="DD2852" s="37"/>
      <c r="DE2852" s="37"/>
      <c r="DF2852" s="37"/>
      <c r="DG2852" s="37"/>
      <c r="DH2852" s="37"/>
      <c r="DI2852" s="37"/>
      <c r="DJ2852" s="37"/>
      <c r="DK2852" s="37"/>
      <c r="DL2852" s="37"/>
      <c r="DM2852" s="37"/>
      <c r="DN2852" s="37"/>
      <c r="DO2852" s="37"/>
      <c r="DP2852" s="37"/>
      <c r="DQ2852" s="37"/>
      <c r="DR2852" s="37"/>
      <c r="DS2852" s="37"/>
      <c r="DT2852" s="37"/>
      <c r="DU2852" s="37"/>
      <c r="DV2852" s="37"/>
      <c r="DW2852" s="37"/>
      <c r="DX2852" s="37"/>
      <c r="DY2852" s="37"/>
      <c r="DZ2852" s="37"/>
      <c r="EA2852" s="37"/>
      <c r="EB2852" s="37"/>
      <c r="EC2852" s="37"/>
      <c r="ED2852" s="37"/>
      <c r="EE2852" s="37"/>
      <c r="EF2852" s="37"/>
      <c r="EG2852" s="37"/>
      <c r="EH2852" s="37"/>
      <c r="EI2852" s="37"/>
      <c r="EJ2852" s="37"/>
      <c r="EK2852" s="37"/>
      <c r="EL2852" s="37"/>
      <c r="EM2852" s="37"/>
      <c r="EN2852" s="37"/>
      <c r="EO2852" s="37"/>
      <c r="EP2852" s="37"/>
      <c r="EQ2852" s="37"/>
      <c r="ER2852" s="37"/>
      <c r="ES2852" s="37"/>
      <c r="ET2852" s="37"/>
      <c r="EU2852" s="37"/>
      <c r="EV2852" s="37"/>
      <c r="EW2852" s="37"/>
      <c r="EX2852" s="37"/>
      <c r="EY2852" s="37"/>
      <c r="EZ2852" s="37"/>
      <c r="FA2852" s="37"/>
      <c r="FB2852" s="37"/>
      <c r="FC2852" s="37"/>
      <c r="FD2852" s="37"/>
      <c r="FE2852" s="37"/>
      <c r="FF2852" s="37"/>
      <c r="FG2852" s="37"/>
      <c r="FH2852" s="37"/>
      <c r="FI2852" s="37"/>
      <c r="FJ2852" s="37"/>
      <c r="FK2852" s="37"/>
      <c r="FL2852" s="37"/>
      <c r="FM2852" s="37"/>
      <c r="FN2852" s="37"/>
      <c r="FO2852" s="37"/>
      <c r="FP2852" s="37"/>
      <c r="FQ2852" s="37"/>
      <c r="FR2852" s="37"/>
      <c r="FS2852" s="37"/>
      <c r="FT2852" s="37"/>
      <c r="FU2852" s="37"/>
      <c r="FV2852" s="37"/>
      <c r="FW2852" s="37"/>
      <c r="FX2852" s="37"/>
      <c r="FY2852" s="37"/>
      <c r="FZ2852" s="37"/>
      <c r="GA2852" s="37"/>
      <c r="GB2852" s="37"/>
      <c r="GC2852" s="37"/>
      <c r="GD2852" s="37"/>
      <c r="GE2852" s="37"/>
      <c r="GF2852" s="37"/>
      <c r="GG2852" s="37"/>
      <c r="GH2852" s="37"/>
      <c r="GI2852" s="37"/>
      <c r="GJ2852" s="37"/>
      <c r="GK2852" s="37"/>
      <c r="GL2852" s="37"/>
      <c r="GM2852" s="37"/>
      <c r="GN2852" s="37"/>
      <c r="GO2852" s="37"/>
      <c r="GP2852" s="37"/>
      <c r="GQ2852" s="37"/>
      <c r="GR2852" s="37"/>
      <c r="GS2852" s="37"/>
      <c r="GT2852" s="37"/>
      <c r="GU2852" s="37"/>
      <c r="GV2852" s="37"/>
      <c r="GW2852" s="37"/>
      <c r="GX2852" s="37"/>
      <c r="GY2852" s="37"/>
      <c r="GZ2852" s="37"/>
      <c r="HA2852" s="37"/>
      <c r="HB2852" s="37"/>
      <c r="HC2852" s="37"/>
      <c r="HD2852" s="37"/>
      <c r="HE2852" s="37"/>
      <c r="HF2852" s="37"/>
      <c r="HG2852" s="37"/>
      <c r="HH2852" s="37"/>
      <c r="HI2852" s="37"/>
      <c r="HJ2852" s="37"/>
      <c r="HK2852" s="37"/>
      <c r="HL2852" s="37"/>
      <c r="HM2852" s="37"/>
      <c r="HN2852" s="37"/>
      <c r="HO2852" s="37"/>
      <c r="HP2852" s="37"/>
      <c r="HQ2852" s="37"/>
      <c r="HR2852" s="37"/>
      <c r="HS2852" s="37"/>
      <c r="HT2852" s="37"/>
      <c r="HU2852" s="37"/>
      <c r="HV2852" s="37"/>
      <c r="HW2852" s="37"/>
      <c r="HX2852" s="37"/>
      <c r="HY2852" s="37"/>
      <c r="HZ2852" s="37"/>
      <c r="IA2852" s="37"/>
      <c r="IB2852" s="37"/>
      <c r="IC2852" s="37"/>
      <c r="ID2852" s="37"/>
      <c r="IE2852" s="37"/>
      <c r="IF2852" s="37"/>
      <c r="IG2852" s="37"/>
      <c r="IH2852" s="37"/>
      <c r="II2852" s="37"/>
      <c r="IJ2852" s="37"/>
      <c r="IK2852" s="37"/>
      <c r="IL2852" s="37"/>
      <c r="IM2852" s="37"/>
      <c r="IN2852" s="37"/>
      <c r="IO2852" s="37"/>
      <c r="IP2852" s="37"/>
      <c r="IQ2852" s="37"/>
      <c r="IR2852" s="37"/>
      <c r="IS2852" s="37"/>
      <c r="IT2852" s="37"/>
      <c r="IU2852" s="37"/>
      <c r="IV2852" s="37"/>
      <c r="IW2852" s="37"/>
      <c r="IX2852" s="37"/>
      <c r="IY2852" s="37"/>
      <c r="IZ2852" s="37"/>
      <c r="JA2852" s="37"/>
      <c r="JB2852" s="37"/>
      <c r="JC2852" s="37"/>
      <c r="JD2852" s="37"/>
      <c r="JE2852" s="37"/>
      <c r="JF2852" s="37"/>
      <c r="JG2852" s="37"/>
      <c r="JH2852" s="37"/>
      <c r="JI2852" s="37"/>
      <c r="JJ2852" s="37"/>
      <c r="JK2852" s="37"/>
      <c r="JL2852" s="37"/>
      <c r="JM2852" s="37"/>
      <c r="JN2852" s="37"/>
      <c r="JO2852" s="37"/>
      <c r="JP2852" s="37"/>
      <c r="JQ2852" s="37"/>
      <c r="JR2852" s="37"/>
      <c r="JS2852" s="37"/>
      <c r="JT2852" s="37"/>
      <c r="JU2852" s="37"/>
      <c r="JV2852" s="37"/>
      <c r="JW2852" s="37"/>
      <c r="JX2852" s="37"/>
      <c r="JY2852" s="37"/>
      <c r="JZ2852" s="37"/>
      <c r="KA2852" s="37"/>
      <c r="KB2852" s="37"/>
      <c r="KC2852" s="37"/>
      <c r="KD2852" s="37"/>
      <c r="KE2852" s="37"/>
      <c r="KF2852" s="37"/>
      <c r="KG2852" s="37"/>
      <c r="KH2852" s="37"/>
      <c r="KI2852" s="37"/>
      <c r="KJ2852" s="37"/>
      <c r="KK2852" s="37"/>
      <c r="KL2852" s="37"/>
      <c r="KM2852" s="37"/>
      <c r="KN2852" s="37"/>
      <c r="KO2852" s="37"/>
      <c r="KP2852" s="37"/>
      <c r="KQ2852" s="37"/>
      <c r="KR2852" s="37"/>
      <c r="KS2852" s="37"/>
      <c r="KT2852" s="37"/>
      <c r="KU2852" s="37"/>
      <c r="KV2852" s="37"/>
      <c r="KW2852" s="37"/>
      <c r="KX2852" s="37"/>
      <c r="KY2852" s="37"/>
      <c r="KZ2852" s="37"/>
      <c r="LA2852" s="37"/>
      <c r="LB2852" s="37"/>
      <c r="LC2852" s="37"/>
      <c r="LD2852" s="37"/>
      <c r="LE2852" s="37"/>
      <c r="LF2852" s="37"/>
      <c r="LG2852" s="37"/>
      <c r="LH2852" s="37"/>
      <c r="LI2852" s="37"/>
      <c r="LJ2852" s="37"/>
      <c r="LK2852" s="37"/>
      <c r="LL2852" s="37"/>
      <c r="LM2852" s="37"/>
      <c r="LN2852" s="37"/>
      <c r="LO2852" s="37"/>
      <c r="LP2852" s="37"/>
      <c r="LQ2852" s="37"/>
      <c r="LR2852" s="37"/>
      <c r="LS2852" s="37"/>
      <c r="LT2852" s="37"/>
      <c r="LU2852" s="37"/>
      <c r="LV2852" s="37"/>
      <c r="LW2852" s="37"/>
      <c r="LX2852" s="37"/>
      <c r="LY2852" s="37"/>
      <c r="LZ2852" s="37"/>
      <c r="MA2852" s="37"/>
      <c r="MB2852" s="37"/>
      <c r="MC2852" s="37"/>
      <c r="MD2852" s="37"/>
      <c r="ME2852" s="37"/>
      <c r="MF2852" s="37"/>
      <c r="MG2852" s="37"/>
      <c r="MH2852" s="37"/>
      <c r="MI2852" s="37"/>
      <c r="MJ2852" s="37"/>
      <c r="MK2852" s="37"/>
      <c r="ML2852" s="37"/>
      <c r="MM2852" s="37"/>
      <c r="MN2852" s="37"/>
      <c r="MO2852" s="37"/>
      <c r="MP2852" s="37"/>
      <c r="MQ2852" s="37"/>
      <c r="MR2852" s="37"/>
      <c r="MS2852" s="37"/>
      <c r="MT2852" s="37"/>
      <c r="MU2852" s="37"/>
      <c r="MV2852" s="37"/>
      <c r="MW2852" s="37"/>
      <c r="MX2852" s="37"/>
      <c r="MY2852" s="37"/>
      <c r="MZ2852" s="37"/>
      <c r="NA2852" s="37"/>
      <c r="NB2852" s="37"/>
      <c r="NC2852" s="37"/>
      <c r="ND2852" s="37"/>
      <c r="NE2852" s="37"/>
      <c r="NF2852" s="37"/>
      <c r="NG2852" s="37"/>
      <c r="NH2852" s="37"/>
      <c r="NI2852" s="37"/>
      <c r="NJ2852" s="37"/>
      <c r="NK2852" s="37"/>
      <c r="NL2852" s="37"/>
      <c r="NM2852" s="37"/>
      <c r="NN2852" s="37"/>
      <c r="NO2852" s="37"/>
      <c r="NP2852" s="37"/>
      <c r="NQ2852" s="37"/>
      <c r="NR2852" s="37"/>
      <c r="NS2852" s="37"/>
      <c r="NT2852" s="37"/>
      <c r="NU2852" s="37"/>
      <c r="NV2852" s="37"/>
      <c r="NW2852" s="37"/>
      <c r="NX2852" s="37"/>
      <c r="NY2852" s="37"/>
      <c r="NZ2852" s="37"/>
      <c r="OA2852" s="37"/>
      <c r="OB2852" s="37"/>
      <c r="OC2852" s="37"/>
      <c r="OD2852" s="37"/>
      <c r="OE2852" s="37"/>
      <c r="OF2852" s="37"/>
      <c r="OG2852" s="37"/>
      <c r="OH2852" s="37"/>
      <c r="OI2852" s="37"/>
      <c r="OJ2852" s="37"/>
      <c r="OK2852" s="37"/>
      <c r="OL2852" s="37"/>
      <c r="OM2852" s="37"/>
      <c r="ON2852" s="37"/>
      <c r="OO2852" s="37"/>
      <c r="OP2852" s="37"/>
      <c r="OQ2852" s="37"/>
      <c r="OR2852" s="37"/>
      <c r="OS2852" s="37"/>
      <c r="OT2852" s="37"/>
      <c r="OU2852" s="37"/>
      <c r="OV2852" s="37"/>
      <c r="OW2852" s="37"/>
      <c r="OX2852" s="37"/>
      <c r="OY2852" s="37"/>
      <c r="OZ2852" s="37"/>
      <c r="PA2852" s="37"/>
      <c r="PB2852" s="37"/>
      <c r="PC2852" s="37"/>
      <c r="PD2852" s="37"/>
      <c r="PE2852" s="37"/>
      <c r="PF2852" s="37"/>
      <c r="PG2852" s="37"/>
      <c r="PH2852" s="37"/>
      <c r="PI2852" s="37"/>
      <c r="PJ2852" s="37"/>
      <c r="PK2852" s="37"/>
      <c r="PL2852" s="37"/>
      <c r="PM2852" s="37"/>
      <c r="PN2852" s="37"/>
      <c r="PO2852" s="37"/>
      <c r="PP2852" s="37"/>
      <c r="PQ2852" s="37"/>
      <c r="PR2852" s="37"/>
      <c r="PS2852" s="37"/>
      <c r="PT2852" s="37"/>
      <c r="PU2852" s="37"/>
      <c r="PV2852" s="37"/>
      <c r="PW2852" s="37"/>
      <c r="PX2852" s="37"/>
      <c r="PY2852" s="37"/>
      <c r="PZ2852" s="37"/>
      <c r="QA2852" s="37"/>
      <c r="QB2852" s="37"/>
      <c r="QC2852" s="37"/>
      <c r="QD2852" s="37"/>
      <c r="QE2852" s="37"/>
      <c r="QF2852" s="37"/>
      <c r="QG2852" s="37"/>
      <c r="QH2852" s="37"/>
      <c r="QI2852" s="37"/>
      <c r="QJ2852" s="37"/>
      <c r="QK2852" s="37"/>
      <c r="QL2852" s="37"/>
      <c r="QM2852" s="37"/>
      <c r="QN2852" s="37"/>
      <c r="QO2852" s="37"/>
      <c r="QP2852" s="37"/>
      <c r="QQ2852" s="37"/>
      <c r="QR2852" s="37"/>
      <c r="QS2852" s="37"/>
      <c r="QT2852" s="37"/>
      <c r="QU2852" s="37"/>
      <c r="QV2852" s="37"/>
      <c r="QW2852" s="37"/>
      <c r="QX2852" s="37"/>
      <c r="QY2852" s="37"/>
      <c r="QZ2852" s="37"/>
      <c r="RA2852" s="37"/>
      <c r="RB2852" s="37"/>
      <c r="RC2852" s="37"/>
      <c r="RD2852" s="37"/>
      <c r="RE2852" s="37"/>
      <c r="RF2852" s="37"/>
      <c r="RG2852" s="37"/>
      <c r="RH2852" s="37"/>
      <c r="RI2852" s="37"/>
      <c r="RJ2852" s="37"/>
      <c r="RK2852" s="37"/>
      <c r="RL2852" s="37"/>
      <c r="RM2852" s="37"/>
      <c r="RN2852" s="37"/>
      <c r="RO2852" s="37"/>
      <c r="RP2852" s="37"/>
      <c r="RQ2852" s="37"/>
      <c r="RR2852" s="37"/>
      <c r="RS2852" s="37"/>
      <c r="RT2852" s="37"/>
      <c r="RU2852" s="37"/>
      <c r="RV2852" s="37"/>
      <c r="RW2852" s="37"/>
      <c r="RX2852" s="37"/>
      <c r="RY2852" s="37"/>
      <c r="RZ2852" s="37"/>
      <c r="SA2852" s="37"/>
      <c r="SB2852" s="37"/>
      <c r="SC2852" s="37"/>
      <c r="SD2852" s="37"/>
      <c r="SE2852" s="37"/>
      <c r="SF2852" s="37"/>
    </row>
    <row r="2853" spans="1:500">
      <c r="A2853" s="37"/>
      <c r="B2853" s="37"/>
      <c r="C2853" s="37"/>
      <c r="D2853" s="37"/>
      <c r="E2853" s="37"/>
      <c r="F2853" s="37"/>
      <c r="G2853" s="37"/>
      <c r="H2853" s="37"/>
      <c r="I2853" s="37"/>
      <c r="J2853" s="37"/>
      <c r="K2853" s="37"/>
      <c r="L2853" s="37"/>
      <c r="M2853" s="37"/>
      <c r="N2853" s="37"/>
      <c r="O2853" s="37"/>
      <c r="P2853" s="37"/>
      <c r="Q2853" s="37"/>
      <c r="R2853" s="37"/>
      <c r="S2853" s="37"/>
      <c r="T2853" s="37"/>
      <c r="U2853" s="37"/>
      <c r="V2853" s="37"/>
      <c r="W2853" s="37"/>
      <c r="X2853" s="37"/>
      <c r="Y2853" s="37"/>
      <c r="Z2853" s="37"/>
      <c r="AA2853" s="37"/>
      <c r="AB2853" s="37"/>
      <c r="AC2853" s="37"/>
      <c r="AD2853" s="37"/>
      <c r="AE2853" s="37"/>
      <c r="AF2853" s="37"/>
      <c r="AG2853" s="37"/>
      <c r="AH2853" s="37"/>
      <c r="AI2853" s="37"/>
      <c r="AJ2853" s="37"/>
      <c r="AK2853" s="37"/>
      <c r="AL2853" s="37"/>
      <c r="AM2853" s="37"/>
      <c r="AN2853" s="37"/>
      <c r="AO2853" s="37"/>
      <c r="AP2853" s="37"/>
      <c r="AQ2853" s="37"/>
      <c r="AR2853" s="37"/>
      <c r="AS2853" s="37"/>
      <c r="AT2853" s="37"/>
      <c r="AU2853" s="37"/>
      <c r="AV2853" s="37"/>
      <c r="AW2853" s="37"/>
      <c r="AX2853" s="37"/>
      <c r="AY2853" s="37"/>
      <c r="AZ2853" s="37"/>
      <c r="BA2853" s="37"/>
      <c r="BB2853" s="37"/>
      <c r="BC2853" s="37"/>
      <c r="BD2853" s="37"/>
      <c r="BE2853" s="37"/>
      <c r="BF2853" s="37"/>
      <c r="BG2853" s="37"/>
      <c r="BH2853" s="37"/>
      <c r="BI2853" s="37"/>
      <c r="BJ2853" s="37"/>
      <c r="BK2853" s="37"/>
      <c r="BL2853" s="37"/>
      <c r="BM2853" s="37"/>
      <c r="BN2853" s="37"/>
      <c r="BO2853" s="37"/>
      <c r="BP2853" s="37"/>
      <c r="BQ2853" s="37"/>
      <c r="BR2853" s="37"/>
      <c r="BS2853" s="37"/>
      <c r="BT2853" s="37"/>
      <c r="BU2853" s="37"/>
      <c r="BV2853" s="37"/>
      <c r="BW2853" s="37"/>
      <c r="BX2853" s="37"/>
      <c r="BY2853" s="37"/>
      <c r="BZ2853" s="37"/>
      <c r="CA2853" s="37"/>
      <c r="CB2853" s="37"/>
      <c r="CC2853" s="37"/>
      <c r="CD2853" s="37"/>
      <c r="CE2853" s="37"/>
      <c r="CF2853" s="37"/>
      <c r="CG2853" s="37"/>
      <c r="CH2853" s="37"/>
      <c r="CI2853" s="37"/>
      <c r="CJ2853" s="37"/>
      <c r="CK2853" s="37"/>
      <c r="CL2853" s="37"/>
      <c r="CM2853" s="37"/>
      <c r="CN2853" s="37"/>
      <c r="CO2853" s="37"/>
      <c r="CP2853" s="37"/>
      <c r="CQ2853" s="37"/>
      <c r="CR2853" s="37"/>
      <c r="CS2853" s="37"/>
      <c r="CT2853" s="37"/>
      <c r="CU2853" s="37"/>
      <c r="CV2853" s="37"/>
      <c r="CW2853" s="37"/>
      <c r="CX2853" s="37"/>
      <c r="CY2853" s="37"/>
      <c r="CZ2853" s="37"/>
      <c r="DA2853" s="37"/>
      <c r="DB2853" s="37"/>
      <c r="DC2853" s="37"/>
      <c r="DD2853" s="37"/>
      <c r="DE2853" s="37"/>
      <c r="DF2853" s="37"/>
      <c r="DG2853" s="37"/>
      <c r="DH2853" s="37"/>
      <c r="DI2853" s="37"/>
      <c r="DJ2853" s="37"/>
      <c r="DK2853" s="37"/>
      <c r="DL2853" s="37"/>
      <c r="DM2853" s="37"/>
      <c r="DN2853" s="37"/>
      <c r="DO2853" s="37"/>
      <c r="DP2853" s="37"/>
      <c r="DQ2853" s="37"/>
      <c r="DR2853" s="37"/>
      <c r="DS2853" s="37"/>
      <c r="DT2853" s="37"/>
      <c r="DU2853" s="37"/>
      <c r="DV2853" s="37"/>
      <c r="DW2853" s="37"/>
      <c r="DX2853" s="37"/>
      <c r="DY2853" s="37"/>
      <c r="DZ2853" s="37"/>
      <c r="EA2853" s="37"/>
      <c r="EB2853" s="37"/>
      <c r="EC2853" s="37"/>
      <c r="ED2853" s="37"/>
      <c r="EE2853" s="37"/>
      <c r="EF2853" s="37"/>
      <c r="EG2853" s="37"/>
      <c r="EH2853" s="37"/>
      <c r="EI2853" s="37"/>
      <c r="EJ2853" s="37"/>
      <c r="EK2853" s="37"/>
      <c r="EL2853" s="37"/>
      <c r="EM2853" s="37"/>
      <c r="EN2853" s="37"/>
      <c r="EO2853" s="37"/>
      <c r="EP2853" s="37"/>
      <c r="EQ2853" s="37"/>
      <c r="ER2853" s="37"/>
      <c r="ES2853" s="37"/>
      <c r="ET2853" s="37"/>
      <c r="EU2853" s="37"/>
      <c r="EV2853" s="37"/>
      <c r="EW2853" s="37"/>
      <c r="EX2853" s="37"/>
      <c r="EY2853" s="37"/>
      <c r="EZ2853" s="37"/>
      <c r="FA2853" s="37"/>
      <c r="FB2853" s="37"/>
      <c r="FC2853" s="37"/>
      <c r="FD2853" s="37"/>
      <c r="FE2853" s="37"/>
      <c r="FF2853" s="37"/>
      <c r="FG2853" s="37"/>
      <c r="FH2853" s="37"/>
      <c r="FI2853" s="37"/>
      <c r="FJ2853" s="37"/>
      <c r="FK2853" s="37"/>
      <c r="FL2853" s="37"/>
      <c r="FM2853" s="37"/>
      <c r="FN2853" s="37"/>
      <c r="FO2853" s="37"/>
      <c r="FP2853" s="37"/>
      <c r="FQ2853" s="37"/>
      <c r="FR2853" s="37"/>
      <c r="FS2853" s="37"/>
      <c r="FT2853" s="37"/>
      <c r="FU2853" s="37"/>
      <c r="FV2853" s="37"/>
      <c r="FW2853" s="37"/>
      <c r="FX2853" s="37"/>
      <c r="FY2853" s="37"/>
      <c r="FZ2853" s="37"/>
      <c r="GA2853" s="37"/>
      <c r="GB2853" s="37"/>
      <c r="GC2853" s="37"/>
      <c r="GD2853" s="37"/>
      <c r="GE2853" s="37"/>
      <c r="GF2853" s="37"/>
      <c r="GG2853" s="37"/>
      <c r="GH2853" s="37"/>
      <c r="GI2853" s="37"/>
      <c r="GJ2853" s="37"/>
      <c r="GK2853" s="37"/>
      <c r="GL2853" s="37"/>
      <c r="GM2853" s="37"/>
      <c r="GN2853" s="37"/>
      <c r="GO2853" s="37"/>
      <c r="GP2853" s="37"/>
      <c r="GQ2853" s="37"/>
      <c r="GR2853" s="37"/>
      <c r="GS2853" s="37"/>
      <c r="GT2853" s="37"/>
      <c r="GU2853" s="37"/>
      <c r="GV2853" s="37"/>
      <c r="GW2853" s="37"/>
      <c r="GX2853" s="37"/>
      <c r="GY2853" s="37"/>
      <c r="GZ2853" s="37"/>
      <c r="HA2853" s="37"/>
      <c r="HB2853" s="37"/>
      <c r="HC2853" s="37"/>
      <c r="HD2853" s="37"/>
      <c r="HE2853" s="37"/>
      <c r="HF2853" s="37"/>
      <c r="HG2853" s="37"/>
      <c r="HH2853" s="37"/>
      <c r="HI2853" s="37"/>
      <c r="HJ2853" s="37"/>
      <c r="HK2853" s="37"/>
      <c r="HL2853" s="37"/>
      <c r="HM2853" s="37"/>
      <c r="HN2853" s="37"/>
      <c r="HO2853" s="37"/>
      <c r="HP2853" s="37"/>
      <c r="HQ2853" s="37"/>
      <c r="HR2853" s="37"/>
      <c r="HS2853" s="37"/>
      <c r="HT2853" s="37"/>
      <c r="HU2853" s="37"/>
      <c r="HV2853" s="37"/>
      <c r="HW2853" s="37"/>
      <c r="HX2853" s="37"/>
      <c r="HY2853" s="37"/>
      <c r="HZ2853" s="37"/>
      <c r="IA2853" s="37"/>
      <c r="IB2853" s="37"/>
      <c r="IC2853" s="37"/>
      <c r="ID2853" s="37"/>
      <c r="IE2853" s="37"/>
      <c r="IF2853" s="37"/>
      <c r="IG2853" s="37"/>
      <c r="IH2853" s="37"/>
      <c r="II2853" s="37"/>
      <c r="IJ2853" s="37"/>
      <c r="IK2853" s="37"/>
      <c r="IL2853" s="37"/>
      <c r="IM2853" s="37"/>
      <c r="IN2853" s="37"/>
      <c r="IO2853" s="37"/>
      <c r="IP2853" s="37"/>
      <c r="IQ2853" s="37"/>
      <c r="IR2853" s="37"/>
      <c r="IS2853" s="37"/>
      <c r="IT2853" s="37"/>
      <c r="IU2853" s="37"/>
      <c r="IV2853" s="37"/>
      <c r="IW2853" s="37"/>
      <c r="IX2853" s="37"/>
      <c r="IY2853" s="37"/>
      <c r="IZ2853" s="37"/>
      <c r="JA2853" s="37"/>
      <c r="JB2853" s="37"/>
      <c r="JC2853" s="37"/>
      <c r="JD2853" s="37"/>
      <c r="JE2853" s="37"/>
      <c r="JF2853" s="37"/>
      <c r="JG2853" s="37"/>
      <c r="JH2853" s="37"/>
      <c r="JI2853" s="37"/>
      <c r="JJ2853" s="37"/>
      <c r="JK2853" s="37"/>
      <c r="JL2853" s="37"/>
      <c r="JM2853" s="37"/>
      <c r="JN2853" s="37"/>
      <c r="JO2853" s="37"/>
      <c r="JP2853" s="37"/>
      <c r="JQ2853" s="37"/>
      <c r="JR2853" s="37"/>
      <c r="JS2853" s="37"/>
      <c r="JT2853" s="37"/>
      <c r="JU2853" s="37"/>
      <c r="JV2853" s="37"/>
      <c r="JW2853" s="37"/>
      <c r="JX2853" s="37"/>
      <c r="JY2853" s="37"/>
      <c r="JZ2853" s="37"/>
      <c r="KA2853" s="37"/>
      <c r="KB2853" s="37"/>
      <c r="KC2853" s="37"/>
      <c r="KD2853" s="37"/>
      <c r="KE2853" s="37"/>
      <c r="KF2853" s="37"/>
      <c r="KG2853" s="37"/>
      <c r="KH2853" s="37"/>
      <c r="KI2853" s="37"/>
      <c r="KJ2853" s="37"/>
      <c r="KK2853" s="37"/>
      <c r="KL2853" s="37"/>
      <c r="KM2853" s="37"/>
      <c r="KN2853" s="37"/>
      <c r="KO2853" s="37"/>
      <c r="KP2853" s="37"/>
      <c r="KQ2853" s="37"/>
      <c r="KR2853" s="37"/>
      <c r="KS2853" s="37"/>
      <c r="KT2853" s="37"/>
      <c r="KU2853" s="37"/>
      <c r="KV2853" s="37"/>
      <c r="KW2853" s="37"/>
      <c r="KX2853" s="37"/>
      <c r="KY2853" s="37"/>
      <c r="KZ2853" s="37"/>
      <c r="LA2853" s="37"/>
      <c r="LB2853" s="37"/>
      <c r="LC2853" s="37"/>
      <c r="LD2853" s="37"/>
      <c r="LE2853" s="37"/>
      <c r="LF2853" s="37"/>
      <c r="LG2853" s="37"/>
      <c r="LH2853" s="37"/>
      <c r="LI2853" s="37"/>
      <c r="LJ2853" s="37"/>
      <c r="LK2853" s="37"/>
      <c r="LL2853" s="37"/>
      <c r="LM2853" s="37"/>
      <c r="LN2853" s="37"/>
      <c r="LO2853" s="37"/>
      <c r="LP2853" s="37"/>
      <c r="LQ2853" s="37"/>
      <c r="LR2853" s="37"/>
      <c r="LS2853" s="37"/>
      <c r="LT2853" s="37"/>
      <c r="LU2853" s="37"/>
      <c r="LV2853" s="37"/>
      <c r="LW2853" s="37"/>
      <c r="LX2853" s="37"/>
      <c r="LY2853" s="37"/>
      <c r="LZ2853" s="37"/>
      <c r="MA2853" s="37"/>
      <c r="MB2853" s="37"/>
      <c r="MC2853" s="37"/>
      <c r="MD2853" s="37"/>
      <c r="ME2853" s="37"/>
      <c r="MF2853" s="37"/>
      <c r="MG2853" s="37"/>
      <c r="MH2853" s="37"/>
      <c r="MI2853" s="37"/>
      <c r="MJ2853" s="37"/>
      <c r="MK2853" s="37"/>
      <c r="ML2853" s="37"/>
      <c r="MM2853" s="37"/>
      <c r="MN2853" s="37"/>
      <c r="MO2853" s="37"/>
      <c r="MP2853" s="37"/>
      <c r="MQ2853" s="37"/>
      <c r="MR2853" s="37"/>
      <c r="MS2853" s="37"/>
      <c r="MT2853" s="37"/>
      <c r="MU2853" s="37"/>
      <c r="MV2853" s="37"/>
      <c r="MW2853" s="37"/>
      <c r="MX2853" s="37"/>
      <c r="MY2853" s="37"/>
      <c r="MZ2853" s="37"/>
      <c r="NA2853" s="37"/>
      <c r="NB2853" s="37"/>
      <c r="NC2853" s="37"/>
      <c r="ND2853" s="37"/>
      <c r="NE2853" s="37"/>
      <c r="NF2853" s="37"/>
      <c r="NG2853" s="37"/>
      <c r="NH2853" s="37"/>
      <c r="NI2853" s="37"/>
      <c r="NJ2853" s="37"/>
      <c r="NK2853" s="37"/>
      <c r="NL2853" s="37"/>
      <c r="NM2853" s="37"/>
      <c r="NN2853" s="37"/>
      <c r="NO2853" s="37"/>
      <c r="NP2853" s="37"/>
      <c r="NQ2853" s="37"/>
      <c r="NR2853" s="37"/>
      <c r="NS2853" s="37"/>
      <c r="NT2853" s="37"/>
      <c r="NU2853" s="37"/>
      <c r="NV2853" s="37"/>
      <c r="NW2853" s="37"/>
      <c r="NX2853" s="37"/>
      <c r="NY2853" s="37"/>
      <c r="NZ2853" s="37"/>
      <c r="OA2853" s="37"/>
      <c r="OB2853" s="37"/>
      <c r="OC2853" s="37"/>
      <c r="OD2853" s="37"/>
      <c r="OE2853" s="37"/>
      <c r="OF2853" s="37"/>
      <c r="OG2853" s="37"/>
      <c r="OH2853" s="37"/>
      <c r="OI2853" s="37"/>
      <c r="OJ2853" s="37"/>
      <c r="OK2853" s="37"/>
      <c r="OL2853" s="37"/>
      <c r="OM2853" s="37"/>
      <c r="ON2853" s="37"/>
      <c r="OO2853" s="37"/>
      <c r="OP2853" s="37"/>
      <c r="OQ2853" s="37"/>
      <c r="OR2853" s="37"/>
      <c r="OS2853" s="37"/>
      <c r="OT2853" s="37"/>
      <c r="OU2853" s="37"/>
      <c r="OV2853" s="37"/>
      <c r="OW2853" s="37"/>
      <c r="OX2853" s="37"/>
      <c r="OY2853" s="37"/>
      <c r="OZ2853" s="37"/>
      <c r="PA2853" s="37"/>
      <c r="PB2853" s="37"/>
      <c r="PC2853" s="37"/>
      <c r="PD2853" s="37"/>
      <c r="PE2853" s="37"/>
      <c r="PF2853" s="37"/>
      <c r="PG2853" s="37"/>
      <c r="PH2853" s="37"/>
      <c r="PI2853" s="37"/>
      <c r="PJ2853" s="37"/>
      <c r="PK2853" s="37"/>
      <c r="PL2853" s="37"/>
      <c r="PM2853" s="37"/>
      <c r="PN2853" s="37"/>
      <c r="PO2853" s="37"/>
      <c r="PP2853" s="37"/>
      <c r="PQ2853" s="37"/>
      <c r="PR2853" s="37"/>
      <c r="PS2853" s="37"/>
      <c r="PT2853" s="37"/>
      <c r="PU2853" s="37"/>
      <c r="PV2853" s="37"/>
      <c r="PW2853" s="37"/>
      <c r="PX2853" s="37"/>
      <c r="PY2853" s="37"/>
      <c r="PZ2853" s="37"/>
      <c r="QA2853" s="37"/>
      <c r="QB2853" s="37"/>
      <c r="QC2853" s="37"/>
      <c r="QD2853" s="37"/>
      <c r="QE2853" s="37"/>
      <c r="QF2853" s="37"/>
      <c r="QG2853" s="37"/>
      <c r="QH2853" s="37"/>
      <c r="QI2853" s="37"/>
      <c r="QJ2853" s="37"/>
      <c r="QK2853" s="37"/>
      <c r="QL2853" s="37"/>
      <c r="QM2853" s="37"/>
      <c r="QN2853" s="37"/>
      <c r="QO2853" s="37"/>
      <c r="QP2853" s="37"/>
      <c r="QQ2853" s="37"/>
      <c r="QR2853" s="37"/>
      <c r="QS2853" s="37"/>
      <c r="QT2853" s="37"/>
      <c r="QU2853" s="37"/>
      <c r="QV2853" s="37"/>
      <c r="QW2853" s="37"/>
      <c r="QX2853" s="37"/>
      <c r="QY2853" s="37"/>
      <c r="QZ2853" s="37"/>
      <c r="RA2853" s="37"/>
      <c r="RB2853" s="37"/>
      <c r="RC2853" s="37"/>
      <c r="RD2853" s="37"/>
      <c r="RE2853" s="37"/>
      <c r="RF2853" s="37"/>
      <c r="RG2853" s="37"/>
      <c r="RH2853" s="37"/>
      <c r="RI2853" s="37"/>
      <c r="RJ2853" s="37"/>
      <c r="RK2853" s="37"/>
      <c r="RL2853" s="37"/>
      <c r="RM2853" s="37"/>
      <c r="RN2853" s="37"/>
      <c r="RO2853" s="37"/>
      <c r="RP2853" s="37"/>
      <c r="RQ2853" s="37"/>
      <c r="RR2853" s="37"/>
      <c r="RS2853" s="37"/>
      <c r="RT2853" s="37"/>
      <c r="RU2853" s="37"/>
      <c r="RV2853" s="37"/>
      <c r="RW2853" s="37"/>
      <c r="RX2853" s="37"/>
      <c r="RY2853" s="37"/>
      <c r="RZ2853" s="37"/>
      <c r="SA2853" s="37"/>
      <c r="SB2853" s="37"/>
      <c r="SC2853" s="37"/>
      <c r="SD2853" s="37"/>
      <c r="SE2853" s="37"/>
      <c r="SF2853" s="37"/>
    </row>
    <row r="2854" spans="1:500">
      <c r="A2854" s="37"/>
      <c r="B2854" s="37"/>
      <c r="C2854" s="37"/>
      <c r="D2854" s="37"/>
      <c r="E2854" s="37"/>
      <c r="F2854" s="37"/>
      <c r="G2854" s="37"/>
      <c r="H2854" s="37"/>
      <c r="I2854" s="37"/>
      <c r="J2854" s="37"/>
      <c r="K2854" s="37"/>
      <c r="L2854" s="37"/>
      <c r="M2854" s="37"/>
      <c r="N2854" s="37"/>
      <c r="O2854" s="37"/>
      <c r="P2854" s="37"/>
      <c r="Q2854" s="37"/>
      <c r="R2854" s="37"/>
      <c r="S2854" s="37"/>
      <c r="T2854" s="37"/>
      <c r="U2854" s="37"/>
      <c r="V2854" s="37"/>
      <c r="W2854" s="37"/>
      <c r="X2854" s="37"/>
      <c r="Y2854" s="37"/>
      <c r="Z2854" s="37"/>
      <c r="AA2854" s="37"/>
      <c r="AB2854" s="37"/>
      <c r="AC2854" s="37"/>
      <c r="AD2854" s="37"/>
      <c r="AE2854" s="37"/>
      <c r="AF2854" s="37"/>
      <c r="AG2854" s="37"/>
      <c r="AH2854" s="37"/>
      <c r="AI2854" s="37"/>
      <c r="AJ2854" s="37"/>
      <c r="AK2854" s="37"/>
      <c r="AL2854" s="37"/>
      <c r="AM2854" s="37"/>
      <c r="AN2854" s="37"/>
      <c r="AO2854" s="37"/>
      <c r="AP2854" s="37"/>
      <c r="AQ2854" s="37"/>
      <c r="AR2854" s="37"/>
      <c r="AS2854" s="37"/>
      <c r="AT2854" s="37"/>
      <c r="AU2854" s="37"/>
      <c r="AV2854" s="37"/>
      <c r="AW2854" s="37"/>
      <c r="AX2854" s="37"/>
      <c r="AY2854" s="37"/>
      <c r="AZ2854" s="37"/>
      <c r="BA2854" s="37"/>
      <c r="BB2854" s="37"/>
      <c r="BC2854" s="37"/>
      <c r="BD2854" s="37"/>
      <c r="BE2854" s="37"/>
      <c r="BF2854" s="37"/>
      <c r="BG2854" s="37"/>
      <c r="BH2854" s="37"/>
      <c r="BI2854" s="37"/>
      <c r="BJ2854" s="37"/>
      <c r="BK2854" s="37"/>
      <c r="BL2854" s="37"/>
      <c r="BM2854" s="37"/>
      <c r="BN2854" s="37"/>
      <c r="BO2854" s="37"/>
      <c r="BP2854" s="37"/>
      <c r="BQ2854" s="37"/>
      <c r="BR2854" s="37"/>
      <c r="BS2854" s="37"/>
      <c r="BT2854" s="37"/>
      <c r="BU2854" s="37"/>
      <c r="BV2854" s="37"/>
      <c r="BW2854" s="37"/>
      <c r="BX2854" s="37"/>
      <c r="BY2854" s="37"/>
      <c r="BZ2854" s="37"/>
      <c r="CA2854" s="37"/>
      <c r="CB2854" s="37"/>
      <c r="CC2854" s="37"/>
      <c r="CD2854" s="37"/>
      <c r="CE2854" s="37"/>
      <c r="CF2854" s="37"/>
      <c r="CG2854" s="37"/>
      <c r="CH2854" s="37"/>
      <c r="CI2854" s="37"/>
      <c r="CJ2854" s="37"/>
      <c r="CK2854" s="37"/>
      <c r="CL2854" s="37"/>
      <c r="CM2854" s="37"/>
      <c r="CN2854" s="37"/>
      <c r="CO2854" s="37"/>
      <c r="CP2854" s="37"/>
      <c r="CQ2854" s="37"/>
      <c r="CR2854" s="37"/>
      <c r="CS2854" s="37"/>
      <c r="CT2854" s="37"/>
      <c r="CU2854" s="37"/>
      <c r="CV2854" s="37"/>
      <c r="CW2854" s="37"/>
      <c r="CX2854" s="37"/>
      <c r="CY2854" s="37"/>
      <c r="CZ2854" s="37"/>
      <c r="DA2854" s="37"/>
      <c r="DB2854" s="37"/>
      <c r="DC2854" s="37"/>
      <c r="DD2854" s="37"/>
      <c r="DE2854" s="37"/>
      <c r="DF2854" s="37"/>
      <c r="DG2854" s="37"/>
      <c r="DH2854" s="37"/>
      <c r="DI2854" s="37"/>
      <c r="DJ2854" s="37"/>
      <c r="DK2854" s="37"/>
      <c r="DL2854" s="37"/>
      <c r="DM2854" s="37"/>
      <c r="DN2854" s="37"/>
      <c r="DO2854" s="37"/>
      <c r="DP2854" s="37"/>
      <c r="DQ2854" s="37"/>
      <c r="DR2854" s="37"/>
      <c r="DS2854" s="37"/>
      <c r="DT2854" s="37"/>
      <c r="DU2854" s="37"/>
      <c r="DV2854" s="37"/>
      <c r="DW2854" s="37"/>
      <c r="DX2854" s="37"/>
      <c r="DY2854" s="37"/>
      <c r="DZ2854" s="37"/>
      <c r="EA2854" s="37"/>
      <c r="EB2854" s="37"/>
      <c r="EC2854" s="37"/>
      <c r="ED2854" s="37"/>
      <c r="EE2854" s="37"/>
      <c r="EF2854" s="37"/>
      <c r="EG2854" s="37"/>
      <c r="EH2854" s="37"/>
      <c r="EI2854" s="37"/>
      <c r="EJ2854" s="37"/>
      <c r="EK2854" s="37"/>
      <c r="EL2854" s="37"/>
      <c r="EM2854" s="37"/>
      <c r="EN2854" s="37"/>
      <c r="EO2854" s="37"/>
      <c r="EP2854" s="37"/>
      <c r="EQ2854" s="37"/>
      <c r="ER2854" s="37"/>
      <c r="ES2854" s="37"/>
      <c r="ET2854" s="37"/>
      <c r="EU2854" s="37"/>
      <c r="EV2854" s="37"/>
      <c r="EW2854" s="37"/>
      <c r="EX2854" s="37"/>
      <c r="EY2854" s="37"/>
      <c r="EZ2854" s="37"/>
      <c r="FA2854" s="37"/>
      <c r="FB2854" s="37"/>
      <c r="FC2854" s="37"/>
      <c r="FD2854" s="37"/>
      <c r="FE2854" s="37"/>
      <c r="FF2854" s="37"/>
      <c r="FG2854" s="37"/>
      <c r="FH2854" s="37"/>
      <c r="FI2854" s="37"/>
      <c r="FJ2854" s="37"/>
      <c r="FK2854" s="37"/>
      <c r="FL2854" s="37"/>
      <c r="FM2854" s="37"/>
      <c r="FN2854" s="37"/>
      <c r="FO2854" s="37"/>
      <c r="FP2854" s="37"/>
      <c r="FQ2854" s="37"/>
      <c r="FR2854" s="37"/>
      <c r="FS2854" s="37"/>
      <c r="FT2854" s="37"/>
      <c r="FU2854" s="37"/>
      <c r="FV2854" s="37"/>
      <c r="FW2854" s="37"/>
      <c r="FX2854" s="37"/>
      <c r="FY2854" s="37"/>
      <c r="FZ2854" s="37"/>
      <c r="GA2854" s="37"/>
      <c r="GB2854" s="37"/>
      <c r="GC2854" s="37"/>
      <c r="GD2854" s="37"/>
      <c r="GE2854" s="37"/>
      <c r="GF2854" s="37"/>
      <c r="GG2854" s="37"/>
      <c r="GH2854" s="37"/>
      <c r="GI2854" s="37"/>
      <c r="GJ2854" s="37"/>
      <c r="GK2854" s="37"/>
      <c r="GL2854" s="37"/>
      <c r="GM2854" s="37"/>
      <c r="GN2854" s="37"/>
      <c r="GO2854" s="37"/>
      <c r="GP2854" s="37"/>
      <c r="GQ2854" s="37"/>
      <c r="GR2854" s="37"/>
      <c r="GS2854" s="37"/>
      <c r="GT2854" s="37"/>
      <c r="GU2854" s="37"/>
      <c r="GV2854" s="37"/>
      <c r="GW2854" s="37"/>
      <c r="GX2854" s="37"/>
      <c r="GY2854" s="37"/>
      <c r="GZ2854" s="37"/>
      <c r="HA2854" s="37"/>
      <c r="HB2854" s="37"/>
      <c r="HC2854" s="37"/>
      <c r="HD2854" s="37"/>
      <c r="HE2854" s="37"/>
      <c r="HF2854" s="37"/>
      <c r="HG2854" s="37"/>
      <c r="HH2854" s="37"/>
      <c r="HI2854" s="37"/>
      <c r="HJ2854" s="37"/>
      <c r="HK2854" s="37"/>
      <c r="HL2854" s="37"/>
      <c r="HM2854" s="37"/>
      <c r="HN2854" s="37"/>
      <c r="HO2854" s="37"/>
      <c r="HP2854" s="37"/>
      <c r="HQ2854" s="37"/>
      <c r="HR2854" s="37"/>
      <c r="HS2854" s="37"/>
      <c r="HT2854" s="37"/>
      <c r="HU2854" s="37"/>
      <c r="HV2854" s="37"/>
      <c r="HW2854" s="37"/>
      <c r="HX2854" s="37"/>
      <c r="HY2854" s="37"/>
      <c r="HZ2854" s="37"/>
      <c r="IA2854" s="37"/>
      <c r="IB2854" s="37"/>
      <c r="IC2854" s="37"/>
      <c r="ID2854" s="37"/>
      <c r="IE2854" s="37"/>
      <c r="IF2854" s="37"/>
      <c r="IG2854" s="37"/>
      <c r="IH2854" s="37"/>
      <c r="II2854" s="37"/>
      <c r="IJ2854" s="37"/>
      <c r="IK2854" s="37"/>
      <c r="IL2854" s="37"/>
      <c r="IM2854" s="37"/>
      <c r="IN2854" s="37"/>
      <c r="IO2854" s="37"/>
      <c r="IP2854" s="37"/>
      <c r="IQ2854" s="37"/>
      <c r="IR2854" s="37"/>
      <c r="IS2854" s="37"/>
      <c r="IT2854" s="37"/>
      <c r="IU2854" s="37"/>
      <c r="IV2854" s="37"/>
      <c r="IW2854" s="37"/>
      <c r="IX2854" s="37"/>
      <c r="IY2854" s="37"/>
      <c r="IZ2854" s="37"/>
      <c r="JA2854" s="37"/>
      <c r="JB2854" s="37"/>
      <c r="JC2854" s="37"/>
      <c r="JD2854" s="37"/>
      <c r="JE2854" s="37"/>
      <c r="JF2854" s="37"/>
      <c r="JG2854" s="37"/>
      <c r="JH2854" s="37"/>
      <c r="JI2854" s="37"/>
      <c r="JJ2854" s="37"/>
      <c r="JK2854" s="37"/>
      <c r="JL2854" s="37"/>
      <c r="JM2854" s="37"/>
      <c r="JN2854" s="37"/>
      <c r="JO2854" s="37"/>
      <c r="JP2854" s="37"/>
      <c r="JQ2854" s="37"/>
      <c r="JR2854" s="37"/>
      <c r="JS2854" s="37"/>
      <c r="JT2854" s="37"/>
      <c r="JU2854" s="37"/>
      <c r="JV2854" s="37"/>
      <c r="JW2854" s="37"/>
      <c r="JX2854" s="37"/>
      <c r="JY2854" s="37"/>
      <c r="JZ2854" s="37"/>
      <c r="KA2854" s="37"/>
      <c r="KB2854" s="37"/>
      <c r="KC2854" s="37"/>
      <c r="KD2854" s="37"/>
      <c r="KE2854" s="37"/>
      <c r="KF2854" s="37"/>
      <c r="KG2854" s="37"/>
      <c r="KH2854" s="37"/>
      <c r="KI2854" s="37"/>
      <c r="KJ2854" s="37"/>
      <c r="KK2854" s="37"/>
      <c r="KL2854" s="37"/>
      <c r="KM2854" s="37"/>
      <c r="KN2854" s="37"/>
      <c r="KO2854" s="37"/>
      <c r="KP2854" s="37"/>
      <c r="KQ2854" s="37"/>
      <c r="KR2854" s="37"/>
      <c r="KS2854" s="37"/>
      <c r="KT2854" s="37"/>
      <c r="KU2854" s="37"/>
      <c r="KV2854" s="37"/>
      <c r="KW2854" s="37"/>
      <c r="KX2854" s="37"/>
      <c r="KY2854" s="37"/>
      <c r="KZ2854" s="37"/>
      <c r="LA2854" s="37"/>
      <c r="LB2854" s="37"/>
      <c r="LC2854" s="37"/>
      <c r="LD2854" s="37"/>
      <c r="LE2854" s="37"/>
      <c r="LF2854" s="37"/>
      <c r="LG2854" s="37"/>
      <c r="LH2854" s="37"/>
      <c r="LI2854" s="37"/>
      <c r="LJ2854" s="37"/>
      <c r="LK2854" s="37"/>
      <c r="LL2854" s="37"/>
      <c r="LM2854" s="37"/>
      <c r="LN2854" s="37"/>
      <c r="LO2854" s="37"/>
      <c r="LP2854" s="37"/>
      <c r="LQ2854" s="37"/>
      <c r="LR2854" s="37"/>
      <c r="LS2854" s="37"/>
      <c r="LT2854" s="37"/>
      <c r="LU2854" s="37"/>
      <c r="LV2854" s="37"/>
      <c r="LW2854" s="37"/>
      <c r="LX2854" s="37"/>
      <c r="LY2854" s="37"/>
      <c r="LZ2854" s="37"/>
      <c r="MA2854" s="37"/>
      <c r="MB2854" s="37"/>
      <c r="MC2854" s="37"/>
      <c r="MD2854" s="37"/>
      <c r="ME2854" s="37"/>
      <c r="MF2854" s="37"/>
      <c r="MG2854" s="37"/>
      <c r="MH2854" s="37"/>
      <c r="MI2854" s="37"/>
      <c r="MJ2854" s="37"/>
      <c r="MK2854" s="37"/>
      <c r="ML2854" s="37"/>
      <c r="MM2854" s="37"/>
      <c r="MN2854" s="37"/>
      <c r="MO2854" s="37"/>
      <c r="MP2854" s="37"/>
      <c r="MQ2854" s="37"/>
      <c r="MR2854" s="37"/>
      <c r="MS2854" s="37"/>
      <c r="MT2854" s="37"/>
      <c r="MU2854" s="37"/>
      <c r="MV2854" s="37"/>
      <c r="MW2854" s="37"/>
      <c r="MX2854" s="37"/>
      <c r="MY2854" s="37"/>
      <c r="MZ2854" s="37"/>
      <c r="NA2854" s="37"/>
      <c r="NB2854" s="37"/>
      <c r="NC2854" s="37"/>
      <c r="ND2854" s="37"/>
      <c r="NE2854" s="37"/>
      <c r="NF2854" s="37"/>
      <c r="NG2854" s="37"/>
      <c r="NH2854" s="37"/>
      <c r="NI2854" s="37"/>
      <c r="NJ2854" s="37"/>
      <c r="NK2854" s="37"/>
      <c r="NL2854" s="37"/>
      <c r="NM2854" s="37"/>
      <c r="NN2854" s="37"/>
      <c r="NO2854" s="37"/>
      <c r="NP2854" s="37"/>
      <c r="NQ2854" s="37"/>
      <c r="NR2854" s="37"/>
      <c r="NS2854" s="37"/>
      <c r="NT2854" s="37"/>
      <c r="NU2854" s="37"/>
      <c r="NV2854" s="37"/>
      <c r="NW2854" s="37"/>
      <c r="NX2854" s="37"/>
      <c r="NY2854" s="37"/>
      <c r="NZ2854" s="37"/>
      <c r="OA2854" s="37"/>
      <c r="OB2854" s="37"/>
      <c r="OC2854" s="37"/>
      <c r="OD2854" s="37"/>
      <c r="OE2854" s="37"/>
      <c r="OF2854" s="37"/>
      <c r="OG2854" s="37"/>
      <c r="OH2854" s="37"/>
      <c r="OI2854" s="37"/>
      <c r="OJ2854" s="37"/>
      <c r="OK2854" s="37"/>
      <c r="OL2854" s="37"/>
      <c r="OM2854" s="37"/>
      <c r="ON2854" s="37"/>
      <c r="OO2854" s="37"/>
      <c r="OP2854" s="37"/>
      <c r="OQ2854" s="37"/>
      <c r="OR2854" s="37"/>
      <c r="OS2854" s="37"/>
      <c r="OT2854" s="37"/>
      <c r="OU2854" s="37"/>
      <c r="OV2854" s="37"/>
      <c r="OW2854" s="37"/>
      <c r="OX2854" s="37"/>
      <c r="OY2854" s="37"/>
      <c r="OZ2854" s="37"/>
      <c r="PA2854" s="37"/>
      <c r="PB2854" s="37"/>
      <c r="PC2854" s="37"/>
      <c r="PD2854" s="37"/>
      <c r="PE2854" s="37"/>
      <c r="PF2854" s="37"/>
      <c r="PG2854" s="37"/>
      <c r="PH2854" s="37"/>
      <c r="PI2854" s="37"/>
      <c r="PJ2854" s="37"/>
      <c r="PK2854" s="37"/>
      <c r="PL2854" s="37"/>
      <c r="PM2854" s="37"/>
      <c r="PN2854" s="37"/>
      <c r="PO2854" s="37"/>
      <c r="PP2854" s="37"/>
      <c r="PQ2854" s="37"/>
      <c r="PR2854" s="37"/>
      <c r="PS2854" s="37"/>
      <c r="PT2854" s="37"/>
      <c r="PU2854" s="37"/>
      <c r="PV2854" s="37"/>
      <c r="PW2854" s="37"/>
      <c r="PX2854" s="37"/>
      <c r="PY2854" s="37"/>
      <c r="PZ2854" s="37"/>
      <c r="QA2854" s="37"/>
      <c r="QB2854" s="37"/>
      <c r="QC2854" s="37"/>
      <c r="QD2854" s="37"/>
      <c r="QE2854" s="37"/>
      <c r="QF2854" s="37"/>
      <c r="QG2854" s="37"/>
      <c r="QH2854" s="37"/>
      <c r="QI2854" s="37"/>
      <c r="QJ2854" s="37"/>
      <c r="QK2854" s="37"/>
      <c r="QL2854" s="37"/>
      <c r="QM2854" s="37"/>
      <c r="QN2854" s="37"/>
      <c r="QO2854" s="37"/>
      <c r="QP2854" s="37"/>
      <c r="QQ2854" s="37"/>
      <c r="QR2854" s="37"/>
      <c r="QS2854" s="37"/>
      <c r="QT2854" s="37"/>
      <c r="QU2854" s="37"/>
      <c r="QV2854" s="37"/>
      <c r="QW2854" s="37"/>
      <c r="QX2854" s="37"/>
      <c r="QY2854" s="37"/>
      <c r="QZ2854" s="37"/>
      <c r="RA2854" s="37"/>
      <c r="RB2854" s="37"/>
      <c r="RC2854" s="37"/>
      <c r="RD2854" s="37"/>
      <c r="RE2854" s="37"/>
      <c r="RF2854" s="37"/>
      <c r="RG2854" s="37"/>
      <c r="RH2854" s="37"/>
      <c r="RI2854" s="37"/>
      <c r="RJ2854" s="37"/>
      <c r="RK2854" s="37"/>
      <c r="RL2854" s="37"/>
      <c r="RM2854" s="37"/>
      <c r="RN2854" s="37"/>
      <c r="RO2854" s="37"/>
      <c r="RP2854" s="37"/>
      <c r="RQ2854" s="37"/>
      <c r="RR2854" s="37"/>
      <c r="RS2854" s="37"/>
      <c r="RT2854" s="37"/>
      <c r="RU2854" s="37"/>
      <c r="RV2854" s="37"/>
      <c r="RW2854" s="37"/>
      <c r="RX2854" s="37"/>
      <c r="RY2854" s="37"/>
      <c r="RZ2854" s="37"/>
      <c r="SA2854" s="37"/>
      <c r="SB2854" s="37"/>
      <c r="SC2854" s="37"/>
      <c r="SD2854" s="37"/>
      <c r="SE2854" s="37"/>
      <c r="SF2854" s="37"/>
    </row>
    <row r="2855" spans="1:500">
      <c r="A2855" s="37"/>
      <c r="B2855" s="37"/>
      <c r="C2855" s="37"/>
      <c r="D2855" s="37"/>
      <c r="E2855" s="37"/>
      <c r="F2855" s="37"/>
      <c r="G2855" s="37"/>
      <c r="H2855" s="37"/>
      <c r="I2855" s="37"/>
      <c r="J2855" s="37"/>
      <c r="K2855" s="37"/>
      <c r="L2855" s="37"/>
      <c r="M2855" s="37"/>
      <c r="N2855" s="37"/>
      <c r="O2855" s="37"/>
      <c r="P2855" s="37"/>
      <c r="Q2855" s="37"/>
      <c r="R2855" s="37"/>
      <c r="S2855" s="37"/>
      <c r="T2855" s="37"/>
      <c r="U2855" s="37"/>
      <c r="V2855" s="37"/>
      <c r="W2855" s="37"/>
      <c r="X2855" s="37"/>
      <c r="Y2855" s="37"/>
      <c r="Z2855" s="37"/>
      <c r="AA2855" s="37"/>
      <c r="AB2855" s="37"/>
      <c r="AC2855" s="37"/>
      <c r="AD2855" s="37"/>
      <c r="AE2855" s="37"/>
      <c r="AF2855" s="37"/>
      <c r="AG2855" s="37"/>
      <c r="AH2855" s="37"/>
      <c r="AI2855" s="37"/>
      <c r="AJ2855" s="37"/>
      <c r="AK2855" s="37"/>
      <c r="AL2855" s="37"/>
      <c r="AM2855" s="37"/>
      <c r="AN2855" s="37"/>
      <c r="AO2855" s="37"/>
      <c r="AP2855" s="37"/>
      <c r="AQ2855" s="37"/>
      <c r="AR2855" s="37"/>
      <c r="AS2855" s="37"/>
      <c r="AT2855" s="37"/>
      <c r="AU2855" s="37"/>
      <c r="AV2855" s="37"/>
      <c r="AW2855" s="37"/>
      <c r="AX2855" s="37"/>
      <c r="AY2855" s="37"/>
      <c r="AZ2855" s="37"/>
      <c r="BA2855" s="37"/>
      <c r="BB2855" s="37"/>
      <c r="BC2855" s="37"/>
      <c r="BD2855" s="37"/>
      <c r="BE2855" s="37"/>
      <c r="BF2855" s="37"/>
      <c r="BG2855" s="37"/>
      <c r="BH2855" s="37"/>
      <c r="BI2855" s="37"/>
      <c r="BJ2855" s="37"/>
      <c r="BK2855" s="37"/>
      <c r="BL2855" s="37"/>
      <c r="BM2855" s="37"/>
      <c r="BN2855" s="37"/>
      <c r="BO2855" s="37"/>
      <c r="BP2855" s="37"/>
      <c r="BQ2855" s="37"/>
      <c r="BR2855" s="37"/>
      <c r="BS2855" s="37"/>
      <c r="BT2855" s="37"/>
      <c r="BU2855" s="37"/>
      <c r="BV2855" s="37"/>
      <c r="BW2855" s="37"/>
      <c r="BX2855" s="37"/>
      <c r="BY2855" s="37"/>
      <c r="BZ2855" s="37"/>
      <c r="CA2855" s="37"/>
      <c r="CB2855" s="37"/>
      <c r="CC2855" s="37"/>
      <c r="CD2855" s="37"/>
      <c r="CE2855" s="37"/>
      <c r="CF2855" s="37"/>
      <c r="CG2855" s="37"/>
      <c r="CH2855" s="37"/>
      <c r="CI2855" s="37"/>
      <c r="CJ2855" s="37"/>
      <c r="CK2855" s="37"/>
      <c r="CL2855" s="37"/>
      <c r="CM2855" s="37"/>
      <c r="CN2855" s="37"/>
      <c r="CO2855" s="37"/>
      <c r="CP2855" s="37"/>
      <c r="CQ2855" s="37"/>
      <c r="CR2855" s="37"/>
      <c r="CS2855" s="37"/>
      <c r="CT2855" s="37"/>
      <c r="CU2855" s="37"/>
      <c r="CV2855" s="37"/>
      <c r="CW2855" s="37"/>
      <c r="CX2855" s="37"/>
      <c r="CY2855" s="37"/>
      <c r="CZ2855" s="37"/>
      <c r="DA2855" s="37"/>
      <c r="DB2855" s="37"/>
      <c r="DC2855" s="37"/>
      <c r="DD2855" s="37"/>
      <c r="DE2855" s="37"/>
      <c r="DF2855" s="37"/>
      <c r="DG2855" s="37"/>
      <c r="DH2855" s="37"/>
      <c r="DI2855" s="37"/>
      <c r="DJ2855" s="37"/>
      <c r="DK2855" s="37"/>
      <c r="DL2855" s="37"/>
      <c r="DM2855" s="37"/>
      <c r="DN2855" s="37"/>
      <c r="DO2855" s="37"/>
      <c r="DP2855" s="37"/>
      <c r="DQ2855" s="37"/>
      <c r="DR2855" s="37"/>
      <c r="DS2855" s="37"/>
      <c r="DT2855" s="37"/>
      <c r="DU2855" s="37"/>
      <c r="DV2855" s="37"/>
      <c r="DW2855" s="37"/>
      <c r="DX2855" s="37"/>
      <c r="DY2855" s="37"/>
      <c r="DZ2855" s="37"/>
      <c r="EA2855" s="37"/>
      <c r="EB2855" s="37"/>
      <c r="EC2855" s="37"/>
      <c r="ED2855" s="37"/>
      <c r="EE2855" s="37"/>
      <c r="EF2855" s="37"/>
      <c r="EG2855" s="37"/>
      <c r="EH2855" s="37"/>
      <c r="EI2855" s="37"/>
      <c r="EJ2855" s="37"/>
      <c r="EK2855" s="37"/>
      <c r="EL2855" s="37"/>
      <c r="EM2855" s="37"/>
      <c r="EN2855" s="37"/>
      <c r="EO2855" s="37"/>
      <c r="EP2855" s="37"/>
      <c r="EQ2855" s="37"/>
      <c r="ER2855" s="37"/>
      <c r="ES2855" s="37"/>
      <c r="ET2855" s="37"/>
      <c r="EU2855" s="37"/>
      <c r="EV2855" s="37"/>
      <c r="EW2855" s="37"/>
      <c r="EX2855" s="37"/>
      <c r="EY2855" s="37"/>
      <c r="EZ2855" s="37"/>
      <c r="FA2855" s="37"/>
      <c r="FB2855" s="37"/>
      <c r="FC2855" s="37"/>
      <c r="FD2855" s="37"/>
      <c r="FE2855" s="37"/>
      <c r="FF2855" s="37"/>
      <c r="FG2855" s="37"/>
      <c r="FH2855" s="37"/>
      <c r="FI2855" s="37"/>
      <c r="FJ2855" s="37"/>
      <c r="FK2855" s="37"/>
      <c r="FL2855" s="37"/>
      <c r="FM2855" s="37"/>
      <c r="FN2855" s="37"/>
      <c r="FO2855" s="37"/>
      <c r="FP2855" s="37"/>
      <c r="FQ2855" s="37"/>
      <c r="FR2855" s="37"/>
      <c r="FS2855" s="37"/>
      <c r="FT2855" s="37"/>
      <c r="FU2855" s="37"/>
      <c r="FV2855" s="37"/>
      <c r="FW2855" s="37"/>
      <c r="FX2855" s="37"/>
      <c r="FY2855" s="37"/>
      <c r="FZ2855" s="37"/>
      <c r="GA2855" s="37"/>
      <c r="GB2855" s="37"/>
      <c r="GC2855" s="37"/>
      <c r="GD2855" s="37"/>
      <c r="GE2855" s="37"/>
      <c r="GF2855" s="37"/>
      <c r="GG2855" s="37"/>
      <c r="GH2855" s="37"/>
      <c r="GI2855" s="37"/>
      <c r="GJ2855" s="37"/>
      <c r="GK2855" s="37"/>
      <c r="GL2855" s="37"/>
      <c r="GM2855" s="37"/>
      <c r="GN2855" s="37"/>
      <c r="GO2855" s="37"/>
      <c r="GP2855" s="37"/>
      <c r="GQ2855" s="37"/>
      <c r="GR2855" s="37"/>
      <c r="GS2855" s="37"/>
      <c r="GT2855" s="37"/>
      <c r="GU2855" s="37"/>
      <c r="GV2855" s="37"/>
      <c r="GW2855" s="37"/>
      <c r="GX2855" s="37"/>
      <c r="GY2855" s="37"/>
      <c r="GZ2855" s="37"/>
      <c r="HA2855" s="37"/>
      <c r="HB2855" s="37"/>
      <c r="HC2855" s="37"/>
      <c r="HD2855" s="37"/>
      <c r="HE2855" s="37"/>
      <c r="HF2855" s="37"/>
      <c r="HG2855" s="37"/>
      <c r="HH2855" s="37"/>
      <c r="HI2855" s="37"/>
      <c r="HJ2855" s="37"/>
      <c r="HK2855" s="37"/>
      <c r="HL2855" s="37"/>
      <c r="HM2855" s="37"/>
      <c r="HN2855" s="37"/>
      <c r="HO2855" s="37"/>
      <c r="HP2855" s="37"/>
      <c r="HQ2855" s="37"/>
      <c r="HR2855" s="37"/>
      <c r="HS2855" s="37"/>
      <c r="HT2855" s="37"/>
      <c r="HU2855" s="37"/>
      <c r="HV2855" s="37"/>
      <c r="HW2855" s="37"/>
      <c r="HX2855" s="37"/>
      <c r="HY2855" s="37"/>
      <c r="HZ2855" s="37"/>
      <c r="IA2855" s="37"/>
      <c r="IB2855" s="37"/>
      <c r="IC2855" s="37"/>
      <c r="ID2855" s="37"/>
      <c r="IE2855" s="37"/>
      <c r="IF2855" s="37"/>
      <c r="IG2855" s="37"/>
      <c r="IH2855" s="37"/>
      <c r="II2855" s="37"/>
      <c r="IJ2855" s="37"/>
      <c r="IK2855" s="37"/>
      <c r="IL2855" s="37"/>
      <c r="IM2855" s="37"/>
      <c r="IN2855" s="37"/>
      <c r="IO2855" s="37"/>
      <c r="IP2855" s="37"/>
      <c r="IQ2855" s="37"/>
      <c r="IR2855" s="37"/>
      <c r="IS2855" s="37"/>
      <c r="IT2855" s="37"/>
      <c r="IU2855" s="37"/>
      <c r="IV2855" s="37"/>
      <c r="IW2855" s="37"/>
      <c r="IX2855" s="37"/>
      <c r="IY2855" s="37"/>
      <c r="IZ2855" s="37"/>
      <c r="JA2855" s="37"/>
      <c r="JB2855" s="37"/>
      <c r="JC2855" s="37"/>
      <c r="JD2855" s="37"/>
      <c r="JE2855" s="37"/>
      <c r="JF2855" s="37"/>
      <c r="JG2855" s="37"/>
      <c r="JH2855" s="37"/>
      <c r="JI2855" s="37"/>
      <c r="JJ2855" s="37"/>
      <c r="JK2855" s="37"/>
      <c r="JL2855" s="37"/>
      <c r="JM2855" s="37"/>
      <c r="JN2855" s="37"/>
      <c r="JO2855" s="37"/>
      <c r="JP2855" s="37"/>
      <c r="JQ2855" s="37"/>
      <c r="JR2855" s="37"/>
      <c r="JS2855" s="37"/>
      <c r="JT2855" s="37"/>
      <c r="JU2855" s="37"/>
      <c r="JV2855" s="37"/>
      <c r="JW2855" s="37"/>
      <c r="JX2855" s="37"/>
      <c r="JY2855" s="37"/>
      <c r="JZ2855" s="37"/>
      <c r="KA2855" s="37"/>
      <c r="KB2855" s="37"/>
      <c r="KC2855" s="37"/>
      <c r="KD2855" s="37"/>
      <c r="KE2855" s="37"/>
      <c r="KF2855" s="37"/>
      <c r="KG2855" s="37"/>
      <c r="KH2855" s="37"/>
      <c r="KI2855" s="37"/>
      <c r="KJ2855" s="37"/>
      <c r="KK2855" s="37"/>
      <c r="KL2855" s="37"/>
      <c r="KM2855" s="37"/>
      <c r="KN2855" s="37"/>
      <c r="KO2855" s="37"/>
      <c r="KP2855" s="37"/>
      <c r="KQ2855" s="37"/>
      <c r="KR2855" s="37"/>
      <c r="KS2855" s="37"/>
      <c r="KT2855" s="37"/>
      <c r="KU2855" s="37"/>
      <c r="KV2855" s="37"/>
      <c r="KW2855" s="37"/>
      <c r="KX2855" s="37"/>
      <c r="KY2855" s="37"/>
      <c r="KZ2855" s="37"/>
      <c r="LA2855" s="37"/>
      <c r="LB2855" s="37"/>
      <c r="LC2855" s="37"/>
      <c r="LD2855" s="37"/>
      <c r="LE2855" s="37"/>
      <c r="LF2855" s="37"/>
      <c r="LG2855" s="37"/>
      <c r="LH2855" s="37"/>
      <c r="LI2855" s="37"/>
      <c r="LJ2855" s="37"/>
      <c r="LK2855" s="37"/>
      <c r="LL2855" s="37"/>
      <c r="LM2855" s="37"/>
      <c r="LN2855" s="37"/>
      <c r="LO2855" s="37"/>
      <c r="LP2855" s="37"/>
      <c r="LQ2855" s="37"/>
      <c r="LR2855" s="37"/>
      <c r="LS2855" s="37"/>
      <c r="LT2855" s="37"/>
      <c r="LU2855" s="37"/>
      <c r="LV2855" s="37"/>
      <c r="LW2855" s="37"/>
      <c r="LX2855" s="37"/>
      <c r="LY2855" s="37"/>
      <c r="LZ2855" s="37"/>
      <c r="MA2855" s="37"/>
      <c r="MB2855" s="37"/>
      <c r="MC2855" s="37"/>
      <c r="MD2855" s="37"/>
      <c r="ME2855" s="37"/>
      <c r="MF2855" s="37"/>
      <c r="MG2855" s="37"/>
      <c r="MH2855" s="37"/>
      <c r="MI2855" s="37"/>
      <c r="MJ2855" s="37"/>
      <c r="MK2855" s="37"/>
      <c r="ML2855" s="37"/>
      <c r="MM2855" s="37"/>
      <c r="MN2855" s="37"/>
      <c r="MO2855" s="37"/>
      <c r="MP2855" s="37"/>
      <c r="MQ2855" s="37"/>
      <c r="MR2855" s="37"/>
      <c r="MS2855" s="37"/>
      <c r="MT2855" s="37"/>
      <c r="MU2855" s="37"/>
      <c r="MV2855" s="37"/>
      <c r="MW2855" s="37"/>
      <c r="MX2855" s="37"/>
      <c r="MY2855" s="37"/>
      <c r="MZ2855" s="37"/>
      <c r="NA2855" s="37"/>
      <c r="NB2855" s="37"/>
      <c r="NC2855" s="37"/>
      <c r="ND2855" s="37"/>
      <c r="NE2855" s="37"/>
      <c r="NF2855" s="37"/>
      <c r="NG2855" s="37"/>
      <c r="NH2855" s="37"/>
      <c r="NI2855" s="37"/>
      <c r="NJ2855" s="37"/>
      <c r="NK2855" s="37"/>
      <c r="NL2855" s="37"/>
      <c r="NM2855" s="37"/>
      <c r="NN2855" s="37"/>
      <c r="NO2855" s="37"/>
      <c r="NP2855" s="37"/>
      <c r="NQ2855" s="37"/>
      <c r="NR2855" s="37"/>
      <c r="NS2855" s="37"/>
      <c r="NT2855" s="37"/>
      <c r="NU2855" s="37"/>
      <c r="NV2855" s="37"/>
      <c r="NW2855" s="37"/>
      <c r="NX2855" s="37"/>
      <c r="NY2855" s="37"/>
      <c r="NZ2855" s="37"/>
      <c r="OA2855" s="37"/>
      <c r="OB2855" s="37"/>
      <c r="OC2855" s="37"/>
      <c r="OD2855" s="37"/>
      <c r="OE2855" s="37"/>
      <c r="OF2855" s="37"/>
      <c r="OG2855" s="37"/>
      <c r="OH2855" s="37"/>
      <c r="OI2855" s="37"/>
      <c r="OJ2855" s="37"/>
      <c r="OK2855" s="37"/>
      <c r="OL2855" s="37"/>
      <c r="OM2855" s="37"/>
      <c r="ON2855" s="37"/>
      <c r="OO2855" s="37"/>
      <c r="OP2855" s="37"/>
      <c r="OQ2855" s="37"/>
      <c r="OR2855" s="37"/>
      <c r="OS2855" s="37"/>
      <c r="OT2855" s="37"/>
      <c r="OU2855" s="37"/>
      <c r="OV2855" s="37"/>
      <c r="OW2855" s="37"/>
      <c r="OX2855" s="37"/>
      <c r="OY2855" s="37"/>
      <c r="OZ2855" s="37"/>
      <c r="PA2855" s="37"/>
      <c r="PB2855" s="37"/>
      <c r="PC2855" s="37"/>
      <c r="PD2855" s="37"/>
      <c r="PE2855" s="37"/>
      <c r="PF2855" s="37"/>
      <c r="PG2855" s="37"/>
      <c r="PH2855" s="37"/>
      <c r="PI2855" s="37"/>
      <c r="PJ2855" s="37"/>
      <c r="PK2855" s="37"/>
      <c r="PL2855" s="37"/>
      <c r="PM2855" s="37"/>
      <c r="PN2855" s="37"/>
      <c r="PO2855" s="37"/>
      <c r="PP2855" s="37"/>
      <c r="PQ2855" s="37"/>
      <c r="PR2855" s="37"/>
      <c r="PS2855" s="37"/>
      <c r="PT2855" s="37"/>
      <c r="PU2855" s="37"/>
      <c r="PV2855" s="37"/>
      <c r="PW2855" s="37"/>
      <c r="PX2855" s="37"/>
      <c r="PY2855" s="37"/>
      <c r="PZ2855" s="37"/>
      <c r="QA2855" s="37"/>
      <c r="QB2855" s="37"/>
      <c r="QC2855" s="37"/>
      <c r="QD2855" s="37"/>
      <c r="QE2855" s="37"/>
      <c r="QF2855" s="37"/>
      <c r="QG2855" s="37"/>
      <c r="QH2855" s="37"/>
      <c r="QI2855" s="37"/>
      <c r="QJ2855" s="37"/>
      <c r="QK2855" s="37"/>
      <c r="QL2855" s="37"/>
      <c r="QM2855" s="37"/>
      <c r="QN2855" s="37"/>
      <c r="QO2855" s="37"/>
      <c r="QP2855" s="37"/>
      <c r="QQ2855" s="37"/>
      <c r="QR2855" s="37"/>
      <c r="QS2855" s="37"/>
      <c r="QT2855" s="37"/>
      <c r="QU2855" s="37"/>
      <c r="QV2855" s="37"/>
      <c r="QW2855" s="37"/>
      <c r="QX2855" s="37"/>
      <c r="QY2855" s="37"/>
      <c r="QZ2855" s="37"/>
      <c r="RA2855" s="37"/>
      <c r="RB2855" s="37"/>
      <c r="RC2855" s="37"/>
      <c r="RD2855" s="37"/>
      <c r="RE2855" s="37"/>
      <c r="RF2855" s="37"/>
      <c r="RG2855" s="37"/>
      <c r="RH2855" s="37"/>
      <c r="RI2855" s="37"/>
      <c r="RJ2855" s="37"/>
      <c r="RK2855" s="37"/>
      <c r="RL2855" s="37"/>
      <c r="RM2855" s="37"/>
      <c r="RN2855" s="37"/>
      <c r="RO2855" s="37"/>
      <c r="RP2855" s="37"/>
      <c r="RQ2855" s="37"/>
      <c r="RR2855" s="37"/>
      <c r="RS2855" s="37"/>
      <c r="RT2855" s="37"/>
      <c r="RU2855" s="37"/>
      <c r="RV2855" s="37"/>
      <c r="RW2855" s="37"/>
      <c r="RX2855" s="37"/>
      <c r="RY2855" s="37"/>
      <c r="RZ2855" s="37"/>
      <c r="SA2855" s="37"/>
      <c r="SB2855" s="37"/>
      <c r="SC2855" s="37"/>
      <c r="SD2855" s="37"/>
      <c r="SE2855" s="37"/>
      <c r="SF2855" s="37"/>
    </row>
    <row r="2856" spans="1:500">
      <c r="A2856" s="37"/>
      <c r="B2856" s="37"/>
      <c r="C2856" s="37"/>
      <c r="D2856" s="37"/>
      <c r="E2856" s="37"/>
      <c r="F2856" s="37"/>
      <c r="G2856" s="37"/>
      <c r="H2856" s="37"/>
      <c r="I2856" s="37"/>
      <c r="J2856" s="37"/>
      <c r="K2856" s="37"/>
      <c r="L2856" s="37"/>
      <c r="M2856" s="37"/>
      <c r="N2856" s="37"/>
      <c r="O2856" s="37"/>
      <c r="P2856" s="37"/>
      <c r="Q2856" s="37"/>
      <c r="R2856" s="37"/>
      <c r="S2856" s="37"/>
      <c r="T2856" s="37"/>
      <c r="U2856" s="37"/>
      <c r="V2856" s="37"/>
      <c r="W2856" s="37"/>
      <c r="X2856" s="37"/>
      <c r="Y2856" s="37"/>
      <c r="Z2856" s="37"/>
      <c r="AA2856" s="37"/>
      <c r="AB2856" s="37"/>
      <c r="AC2856" s="37"/>
      <c r="AD2856" s="37"/>
      <c r="AE2856" s="37"/>
      <c r="AF2856" s="37"/>
      <c r="AG2856" s="37"/>
      <c r="AH2856" s="37"/>
      <c r="AI2856" s="37"/>
      <c r="AJ2856" s="37"/>
      <c r="AK2856" s="37"/>
      <c r="AL2856" s="37"/>
      <c r="AM2856" s="37"/>
      <c r="AN2856" s="37"/>
      <c r="AO2856" s="37"/>
      <c r="AP2856" s="37"/>
      <c r="AQ2856" s="37"/>
      <c r="AR2856" s="37"/>
      <c r="AS2856" s="37"/>
      <c r="AT2856" s="37"/>
      <c r="AU2856" s="37"/>
      <c r="AV2856" s="37"/>
      <c r="AW2856" s="37"/>
      <c r="AX2856" s="37"/>
      <c r="AY2856" s="37"/>
      <c r="AZ2856" s="37"/>
      <c r="BA2856" s="37"/>
      <c r="BB2856" s="37"/>
      <c r="BC2856" s="37"/>
      <c r="BD2856" s="37"/>
      <c r="BE2856" s="37"/>
      <c r="BF2856" s="37"/>
      <c r="BG2856" s="37"/>
      <c r="BH2856" s="37"/>
      <c r="BI2856" s="37"/>
      <c r="BJ2856" s="37"/>
      <c r="BK2856" s="37"/>
      <c r="BL2856" s="37"/>
      <c r="BM2856" s="37"/>
      <c r="BN2856" s="37"/>
      <c r="BO2856" s="37"/>
      <c r="BP2856" s="37"/>
      <c r="BQ2856" s="37"/>
      <c r="BR2856" s="37"/>
      <c r="BS2856" s="37"/>
      <c r="BT2856" s="37"/>
      <c r="BU2856" s="37"/>
      <c r="BV2856" s="37"/>
      <c r="BW2856" s="37"/>
      <c r="BX2856" s="37"/>
      <c r="BY2856" s="37"/>
      <c r="BZ2856" s="37"/>
      <c r="CA2856" s="37"/>
      <c r="CB2856" s="37"/>
      <c r="CC2856" s="37"/>
      <c r="CD2856" s="37"/>
      <c r="CE2856" s="37"/>
      <c r="CF2856" s="37"/>
      <c r="CG2856" s="37"/>
      <c r="CH2856" s="37"/>
      <c r="CI2856" s="37"/>
      <c r="CJ2856" s="37"/>
      <c r="CK2856" s="37"/>
      <c r="CL2856" s="37"/>
      <c r="CM2856" s="37"/>
      <c r="CN2856" s="37"/>
      <c r="CO2856" s="37"/>
      <c r="CP2856" s="37"/>
      <c r="CQ2856" s="37"/>
      <c r="CR2856" s="37"/>
      <c r="CS2856" s="37"/>
      <c r="CT2856" s="37"/>
      <c r="CU2856" s="37"/>
      <c r="CV2856" s="37"/>
      <c r="CW2856" s="37"/>
      <c r="CX2856" s="37"/>
      <c r="CY2856" s="37"/>
      <c r="CZ2856" s="37"/>
      <c r="DA2856" s="37"/>
      <c r="DB2856" s="37"/>
      <c r="DC2856" s="37"/>
      <c r="DD2856" s="37"/>
      <c r="DE2856" s="37"/>
      <c r="DF2856" s="37"/>
      <c r="DG2856" s="37"/>
      <c r="DH2856" s="37"/>
      <c r="DI2856" s="37"/>
      <c r="DJ2856" s="37"/>
      <c r="DK2856" s="37"/>
      <c r="DL2856" s="37"/>
      <c r="DM2856" s="37"/>
      <c r="DN2856" s="37"/>
      <c r="DO2856" s="37"/>
      <c r="DP2856" s="37"/>
      <c r="DQ2856" s="37"/>
      <c r="DR2856" s="37"/>
      <c r="DS2856" s="37"/>
      <c r="DT2856" s="37"/>
      <c r="DU2856" s="37"/>
      <c r="DV2856" s="37"/>
      <c r="DW2856" s="37"/>
      <c r="DX2856" s="37"/>
      <c r="DY2856" s="37"/>
      <c r="DZ2856" s="37"/>
      <c r="EA2856" s="37"/>
      <c r="EB2856" s="37"/>
      <c r="EC2856" s="37"/>
      <c r="ED2856" s="37"/>
      <c r="EE2856" s="37"/>
      <c r="EF2856" s="37"/>
      <c r="EG2856" s="37"/>
      <c r="EH2856" s="37"/>
      <c r="EI2856" s="37"/>
      <c r="EJ2856" s="37"/>
      <c r="EK2856" s="37"/>
      <c r="EL2856" s="37"/>
      <c r="EM2856" s="37"/>
      <c r="EN2856" s="37"/>
      <c r="EO2856" s="37"/>
      <c r="EP2856" s="37"/>
      <c r="EQ2856" s="37"/>
      <c r="ER2856" s="37"/>
      <c r="ES2856" s="37"/>
      <c r="ET2856" s="37"/>
      <c r="EU2856" s="37"/>
      <c r="EV2856" s="37"/>
      <c r="EW2856" s="37"/>
      <c r="EX2856" s="37"/>
      <c r="EY2856" s="37"/>
      <c r="EZ2856" s="37"/>
      <c r="FA2856" s="37"/>
      <c r="FB2856" s="37"/>
      <c r="FC2856" s="37"/>
      <c r="FD2856" s="37"/>
      <c r="FE2856" s="37"/>
      <c r="FF2856" s="37"/>
      <c r="FG2856" s="37"/>
      <c r="FH2856" s="37"/>
      <c r="FI2856" s="37"/>
      <c r="FJ2856" s="37"/>
      <c r="FK2856" s="37"/>
      <c r="FL2856" s="37"/>
      <c r="FM2856" s="37"/>
      <c r="FN2856" s="37"/>
      <c r="FO2856" s="37"/>
      <c r="FP2856" s="37"/>
      <c r="FQ2856" s="37"/>
      <c r="FR2856" s="37"/>
      <c r="FS2856" s="37"/>
      <c r="FT2856" s="37"/>
      <c r="FU2856" s="37"/>
      <c r="FV2856" s="37"/>
      <c r="FW2856" s="37"/>
      <c r="FX2856" s="37"/>
      <c r="FY2856" s="37"/>
      <c r="FZ2856" s="37"/>
      <c r="GA2856" s="37"/>
      <c r="GB2856" s="37"/>
      <c r="GC2856" s="37"/>
      <c r="GD2856" s="37"/>
      <c r="GE2856" s="37"/>
      <c r="GF2856" s="37"/>
      <c r="GG2856" s="37"/>
      <c r="GH2856" s="37"/>
      <c r="GI2856" s="37"/>
      <c r="GJ2856" s="37"/>
      <c r="GK2856" s="37"/>
      <c r="GL2856" s="37"/>
      <c r="GM2856" s="37"/>
      <c r="GN2856" s="37"/>
      <c r="GO2856" s="37"/>
      <c r="GP2856" s="37"/>
      <c r="GQ2856" s="37"/>
      <c r="GR2856" s="37"/>
      <c r="GS2856" s="37"/>
      <c r="GT2856" s="37"/>
      <c r="GU2856" s="37"/>
      <c r="GV2856" s="37"/>
      <c r="GW2856" s="37"/>
      <c r="GX2856" s="37"/>
      <c r="GY2856" s="37"/>
      <c r="GZ2856" s="37"/>
      <c r="HA2856" s="37"/>
      <c r="HB2856" s="37"/>
      <c r="HC2856" s="37"/>
      <c r="HD2856" s="37"/>
      <c r="HE2856" s="37"/>
      <c r="HF2856" s="37"/>
      <c r="HG2856" s="37"/>
      <c r="HH2856" s="37"/>
      <c r="HI2856" s="37"/>
      <c r="HJ2856" s="37"/>
      <c r="HK2856" s="37"/>
      <c r="HL2856" s="37"/>
      <c r="HM2856" s="37"/>
      <c r="HN2856" s="37"/>
      <c r="HO2856" s="37"/>
      <c r="HP2856" s="37"/>
      <c r="HQ2856" s="37"/>
      <c r="HR2856" s="37"/>
      <c r="HS2856" s="37"/>
      <c r="HT2856" s="37"/>
      <c r="HU2856" s="37"/>
      <c r="HV2856" s="37"/>
      <c r="HW2856" s="37"/>
      <c r="HX2856" s="37"/>
      <c r="HY2856" s="37"/>
      <c r="HZ2856" s="37"/>
      <c r="IA2856" s="37"/>
      <c r="IB2856" s="37"/>
      <c r="IC2856" s="37"/>
      <c r="ID2856" s="37"/>
      <c r="IE2856" s="37"/>
      <c r="IF2856" s="37"/>
      <c r="IG2856" s="37"/>
      <c r="IH2856" s="37"/>
      <c r="II2856" s="37"/>
      <c r="IJ2856" s="37"/>
      <c r="IK2856" s="37"/>
      <c r="IL2856" s="37"/>
      <c r="IM2856" s="37"/>
      <c r="IN2856" s="37"/>
      <c r="IO2856" s="37"/>
      <c r="IP2856" s="37"/>
      <c r="IQ2856" s="37"/>
      <c r="IR2856" s="37"/>
      <c r="IS2856" s="37"/>
      <c r="IT2856" s="37"/>
      <c r="IU2856" s="37"/>
      <c r="IV2856" s="37"/>
      <c r="IW2856" s="37"/>
      <c r="IX2856" s="37"/>
      <c r="IY2856" s="37"/>
      <c r="IZ2856" s="37"/>
      <c r="JA2856" s="37"/>
      <c r="JB2856" s="37"/>
      <c r="JC2856" s="37"/>
      <c r="JD2856" s="37"/>
      <c r="JE2856" s="37"/>
      <c r="JF2856" s="37"/>
      <c r="JG2856" s="37"/>
      <c r="JH2856" s="37"/>
      <c r="JI2856" s="37"/>
      <c r="JJ2856" s="37"/>
      <c r="JK2856" s="37"/>
      <c r="JL2856" s="37"/>
      <c r="JM2856" s="37"/>
      <c r="JN2856" s="37"/>
      <c r="JO2856" s="37"/>
      <c r="JP2856" s="37"/>
      <c r="JQ2856" s="37"/>
      <c r="JR2856" s="37"/>
      <c r="JS2856" s="37"/>
      <c r="JT2856" s="37"/>
      <c r="JU2856" s="37"/>
      <c r="JV2856" s="37"/>
      <c r="JW2856" s="37"/>
      <c r="JX2856" s="37"/>
      <c r="JY2856" s="37"/>
      <c r="JZ2856" s="37"/>
      <c r="KA2856" s="37"/>
      <c r="KB2856" s="37"/>
      <c r="KC2856" s="37"/>
      <c r="KD2856" s="37"/>
      <c r="KE2856" s="37"/>
      <c r="KF2856" s="37"/>
      <c r="KG2856" s="37"/>
      <c r="KH2856" s="37"/>
      <c r="KI2856" s="37"/>
      <c r="KJ2856" s="37"/>
      <c r="KK2856" s="37"/>
      <c r="KL2856" s="37"/>
      <c r="KM2856" s="37"/>
      <c r="KN2856" s="37"/>
      <c r="KO2856" s="37"/>
      <c r="KP2856" s="37"/>
      <c r="KQ2856" s="37"/>
      <c r="KR2856" s="37"/>
      <c r="KS2856" s="37"/>
      <c r="KT2856" s="37"/>
      <c r="KU2856" s="37"/>
      <c r="KV2856" s="37"/>
      <c r="KW2856" s="37"/>
      <c r="KX2856" s="37"/>
      <c r="KY2856" s="37"/>
      <c r="KZ2856" s="37"/>
      <c r="LA2856" s="37"/>
      <c r="LB2856" s="37"/>
      <c r="LC2856" s="37"/>
      <c r="LD2856" s="37"/>
      <c r="LE2856" s="37"/>
      <c r="LF2856" s="37"/>
      <c r="LG2856" s="37"/>
      <c r="LH2856" s="37"/>
      <c r="LI2856" s="37"/>
      <c r="LJ2856" s="37"/>
      <c r="LK2856" s="37"/>
      <c r="LL2856" s="37"/>
      <c r="LM2856" s="37"/>
      <c r="LN2856" s="37"/>
      <c r="LO2856" s="37"/>
      <c r="LP2856" s="37"/>
      <c r="LQ2856" s="37"/>
      <c r="LR2856" s="37"/>
      <c r="LS2856" s="37"/>
      <c r="LT2856" s="37"/>
      <c r="LU2856" s="37"/>
      <c r="LV2856" s="37"/>
      <c r="LW2856" s="37"/>
      <c r="LX2856" s="37"/>
      <c r="LY2856" s="37"/>
      <c r="LZ2856" s="37"/>
      <c r="MA2856" s="37"/>
      <c r="MB2856" s="37"/>
      <c r="MC2856" s="37"/>
      <c r="MD2856" s="37"/>
      <c r="ME2856" s="37"/>
      <c r="MF2856" s="37"/>
      <c r="MG2856" s="37"/>
      <c r="MH2856" s="37"/>
      <c r="MI2856" s="37"/>
      <c r="MJ2856" s="37"/>
      <c r="MK2856" s="37"/>
      <c r="ML2856" s="37"/>
      <c r="MM2856" s="37"/>
      <c r="MN2856" s="37"/>
      <c r="MO2856" s="37"/>
      <c r="MP2856" s="37"/>
      <c r="MQ2856" s="37"/>
      <c r="MR2856" s="37"/>
      <c r="MS2856" s="37"/>
      <c r="MT2856" s="37"/>
      <c r="MU2856" s="37"/>
      <c r="MV2856" s="37"/>
      <c r="MW2856" s="37"/>
      <c r="MX2856" s="37"/>
      <c r="MY2856" s="37"/>
      <c r="MZ2856" s="37"/>
      <c r="NA2856" s="37"/>
      <c r="NB2856" s="37"/>
      <c r="NC2856" s="37"/>
      <c r="ND2856" s="37"/>
      <c r="NE2856" s="37"/>
      <c r="NF2856" s="37"/>
      <c r="NG2856" s="37"/>
      <c r="NH2856" s="37"/>
      <c r="NI2856" s="37"/>
      <c r="NJ2856" s="37"/>
      <c r="NK2856" s="37"/>
      <c r="NL2856" s="37"/>
      <c r="NM2856" s="37"/>
      <c r="NN2856" s="37"/>
      <c r="NO2856" s="37"/>
      <c r="NP2856" s="37"/>
      <c r="NQ2856" s="37"/>
      <c r="NR2856" s="37"/>
      <c r="NS2856" s="37"/>
      <c r="NT2856" s="37"/>
      <c r="NU2856" s="37"/>
      <c r="NV2856" s="37"/>
      <c r="NW2856" s="37"/>
      <c r="NX2856" s="37"/>
      <c r="NY2856" s="37"/>
      <c r="NZ2856" s="37"/>
      <c r="OA2856" s="37"/>
      <c r="OB2856" s="37"/>
      <c r="OC2856" s="37"/>
      <c r="OD2856" s="37"/>
      <c r="OE2856" s="37"/>
      <c r="OF2856" s="37"/>
      <c r="OG2856" s="37"/>
      <c r="OH2856" s="37"/>
      <c r="OI2856" s="37"/>
      <c r="OJ2856" s="37"/>
      <c r="OK2856" s="37"/>
      <c r="OL2856" s="37"/>
      <c r="OM2856" s="37"/>
      <c r="ON2856" s="37"/>
      <c r="OO2856" s="37"/>
      <c r="OP2856" s="37"/>
      <c r="OQ2856" s="37"/>
      <c r="OR2856" s="37"/>
      <c r="OS2856" s="37"/>
      <c r="OT2856" s="37"/>
      <c r="OU2856" s="37"/>
      <c r="OV2856" s="37"/>
      <c r="OW2856" s="37"/>
      <c r="OX2856" s="37"/>
      <c r="OY2856" s="37"/>
      <c r="OZ2856" s="37"/>
      <c r="PA2856" s="37"/>
      <c r="PB2856" s="37"/>
      <c r="PC2856" s="37"/>
      <c r="PD2856" s="37"/>
      <c r="PE2856" s="37"/>
      <c r="PF2856" s="37"/>
      <c r="PG2856" s="37"/>
      <c r="PH2856" s="37"/>
      <c r="PI2856" s="37"/>
      <c r="PJ2856" s="37"/>
      <c r="PK2856" s="37"/>
      <c r="PL2856" s="37"/>
      <c r="PM2856" s="37"/>
      <c r="PN2856" s="37"/>
      <c r="PO2856" s="37"/>
      <c r="PP2856" s="37"/>
      <c r="PQ2856" s="37"/>
      <c r="PR2856" s="37"/>
      <c r="PS2856" s="37"/>
      <c r="PT2856" s="37"/>
      <c r="PU2856" s="37"/>
      <c r="PV2856" s="37"/>
      <c r="PW2856" s="37"/>
      <c r="PX2856" s="37"/>
      <c r="PY2856" s="37"/>
      <c r="PZ2856" s="37"/>
      <c r="QA2856" s="37"/>
      <c r="QB2856" s="37"/>
      <c r="QC2856" s="37"/>
      <c r="QD2856" s="37"/>
      <c r="QE2856" s="37"/>
      <c r="QF2856" s="37"/>
      <c r="QG2856" s="37"/>
      <c r="QH2856" s="37"/>
      <c r="QI2856" s="37"/>
      <c r="QJ2856" s="37"/>
      <c r="QK2856" s="37"/>
      <c r="QL2856" s="37"/>
      <c r="QM2856" s="37"/>
      <c r="QN2856" s="37"/>
      <c r="QO2856" s="37"/>
      <c r="QP2856" s="37"/>
      <c r="QQ2856" s="37"/>
      <c r="QR2856" s="37"/>
      <c r="QS2856" s="37"/>
      <c r="QT2856" s="37"/>
      <c r="QU2856" s="37"/>
      <c r="QV2856" s="37"/>
      <c r="QW2856" s="37"/>
      <c r="QX2856" s="37"/>
      <c r="QY2856" s="37"/>
      <c r="QZ2856" s="37"/>
      <c r="RA2856" s="37"/>
      <c r="RB2856" s="37"/>
      <c r="RC2856" s="37"/>
      <c r="RD2856" s="37"/>
      <c r="RE2856" s="37"/>
      <c r="RF2856" s="37"/>
      <c r="RG2856" s="37"/>
      <c r="RH2856" s="37"/>
      <c r="RI2856" s="37"/>
      <c r="RJ2856" s="37"/>
      <c r="RK2856" s="37"/>
      <c r="RL2856" s="37"/>
      <c r="RM2856" s="37"/>
      <c r="RN2856" s="37"/>
      <c r="RO2856" s="37"/>
      <c r="RP2856" s="37"/>
      <c r="RQ2856" s="37"/>
      <c r="RR2856" s="37"/>
      <c r="RS2856" s="37"/>
      <c r="RT2856" s="37"/>
      <c r="RU2856" s="37"/>
      <c r="RV2856" s="37"/>
      <c r="RW2856" s="37"/>
      <c r="RX2856" s="37"/>
      <c r="RY2856" s="37"/>
      <c r="RZ2856" s="37"/>
      <c r="SA2856" s="37"/>
      <c r="SB2856" s="37"/>
      <c r="SC2856" s="37"/>
      <c r="SD2856" s="37"/>
      <c r="SE2856" s="37"/>
      <c r="SF2856" s="37"/>
    </row>
    <row r="2857" spans="1:500">
      <c r="A2857" s="37"/>
      <c r="B2857" s="37"/>
      <c r="C2857" s="37"/>
      <c r="D2857" s="37"/>
      <c r="E2857" s="37"/>
      <c r="F2857" s="37"/>
      <c r="G2857" s="37"/>
      <c r="H2857" s="37"/>
      <c r="I2857" s="37"/>
      <c r="J2857" s="37"/>
      <c r="K2857" s="37"/>
      <c r="L2857" s="37"/>
      <c r="M2857" s="37"/>
      <c r="N2857" s="37"/>
      <c r="O2857" s="37"/>
      <c r="P2857" s="37"/>
      <c r="Q2857" s="37"/>
      <c r="R2857" s="37"/>
      <c r="S2857" s="37"/>
      <c r="T2857" s="37"/>
      <c r="U2857" s="37"/>
      <c r="V2857" s="37"/>
      <c r="W2857" s="37"/>
      <c r="X2857" s="37"/>
      <c r="Y2857" s="37"/>
      <c r="Z2857" s="37"/>
      <c r="AA2857" s="37"/>
      <c r="AB2857" s="37"/>
      <c r="AC2857" s="37"/>
      <c r="AD2857" s="37"/>
      <c r="AE2857" s="37"/>
      <c r="AF2857" s="37"/>
      <c r="AG2857" s="37"/>
      <c r="AH2857" s="37"/>
      <c r="AI2857" s="37"/>
      <c r="AJ2857" s="37"/>
      <c r="AK2857" s="37"/>
      <c r="AL2857" s="37"/>
      <c r="AM2857" s="37"/>
      <c r="AN2857" s="37"/>
      <c r="AO2857" s="37"/>
      <c r="AP2857" s="37"/>
      <c r="AQ2857" s="37"/>
      <c r="AR2857" s="37"/>
      <c r="AS2857" s="37"/>
      <c r="AT2857" s="37"/>
      <c r="AU2857" s="37"/>
      <c r="AV2857" s="37"/>
      <c r="AW2857" s="37"/>
      <c r="AX2857" s="37"/>
      <c r="AY2857" s="37"/>
      <c r="AZ2857" s="37"/>
      <c r="BA2857" s="37"/>
      <c r="BB2857" s="37"/>
      <c r="BC2857" s="37"/>
      <c r="BD2857" s="37"/>
      <c r="BE2857" s="37"/>
      <c r="BF2857" s="37"/>
      <c r="BG2857" s="37"/>
      <c r="BH2857" s="37"/>
      <c r="BI2857" s="37"/>
      <c r="BJ2857" s="37"/>
      <c r="BK2857" s="37"/>
      <c r="BL2857" s="37"/>
      <c r="BM2857" s="37"/>
      <c r="BN2857" s="37"/>
      <c r="BO2857" s="37"/>
      <c r="BP2857" s="37"/>
      <c r="BQ2857" s="37"/>
      <c r="BR2857" s="37"/>
      <c r="BS2857" s="37"/>
      <c r="BT2857" s="37"/>
      <c r="BU2857" s="37"/>
      <c r="BV2857" s="37"/>
      <c r="BW2857" s="37"/>
      <c r="BX2857" s="37"/>
      <c r="BY2857" s="37"/>
      <c r="BZ2857" s="37"/>
      <c r="CA2857" s="37"/>
      <c r="CB2857" s="37"/>
      <c r="CC2857" s="37"/>
      <c r="CD2857" s="37"/>
      <c r="CE2857" s="37"/>
      <c r="CF2857" s="37"/>
      <c r="CG2857" s="37"/>
      <c r="CH2857" s="37"/>
      <c r="CI2857" s="37"/>
      <c r="CJ2857" s="37"/>
      <c r="CK2857" s="37"/>
      <c r="CL2857" s="37"/>
      <c r="CM2857" s="37"/>
      <c r="CN2857" s="37"/>
      <c r="CO2857" s="37"/>
      <c r="CP2857" s="37"/>
      <c r="CQ2857" s="37"/>
      <c r="CR2857" s="37"/>
      <c r="CS2857" s="37"/>
      <c r="CT2857" s="37"/>
      <c r="CU2857" s="37"/>
      <c r="CV2857" s="37"/>
      <c r="CW2857" s="37"/>
      <c r="CX2857" s="37"/>
      <c r="CY2857" s="37"/>
      <c r="CZ2857" s="37"/>
      <c r="DA2857" s="37"/>
      <c r="DB2857" s="37"/>
      <c r="DC2857" s="37"/>
      <c r="DD2857" s="37"/>
      <c r="DE2857" s="37"/>
      <c r="DF2857" s="37"/>
      <c r="DG2857" s="37"/>
      <c r="DH2857" s="37"/>
      <c r="DI2857" s="37"/>
      <c r="DJ2857" s="37"/>
      <c r="DK2857" s="37"/>
      <c r="DL2857" s="37"/>
      <c r="DM2857" s="37"/>
      <c r="DN2857" s="37"/>
      <c r="DO2857" s="37"/>
      <c r="DP2857" s="37"/>
      <c r="DQ2857" s="37"/>
      <c r="DR2857" s="37"/>
      <c r="DS2857" s="37"/>
      <c r="DT2857" s="37"/>
      <c r="DU2857" s="37"/>
      <c r="DV2857" s="37"/>
      <c r="DW2857" s="37"/>
      <c r="DX2857" s="37"/>
      <c r="DY2857" s="37"/>
      <c r="DZ2857" s="37"/>
      <c r="EA2857" s="37"/>
      <c r="EB2857" s="37"/>
      <c r="EC2857" s="37"/>
      <c r="ED2857" s="37"/>
      <c r="EE2857" s="37"/>
      <c r="EF2857" s="37"/>
      <c r="EG2857" s="37"/>
      <c r="EH2857" s="37"/>
      <c r="EI2857" s="37"/>
      <c r="EJ2857" s="37"/>
      <c r="EK2857" s="37"/>
      <c r="EL2857" s="37"/>
      <c r="EM2857" s="37"/>
      <c r="EN2857" s="37"/>
      <c r="EO2857" s="37"/>
      <c r="EP2857" s="37"/>
      <c r="EQ2857" s="37"/>
      <c r="ER2857" s="37"/>
      <c r="ES2857" s="37"/>
      <c r="ET2857" s="37"/>
      <c r="EU2857" s="37"/>
      <c r="EV2857" s="37"/>
      <c r="EW2857" s="37"/>
      <c r="EX2857" s="37"/>
      <c r="EY2857" s="37"/>
      <c r="EZ2857" s="37"/>
      <c r="FA2857" s="37"/>
      <c r="FB2857" s="37"/>
      <c r="FC2857" s="37"/>
      <c r="FD2857" s="37"/>
      <c r="FE2857" s="37"/>
      <c r="FF2857" s="37"/>
      <c r="FG2857" s="37"/>
      <c r="FH2857" s="37"/>
      <c r="FI2857" s="37"/>
      <c r="FJ2857" s="37"/>
      <c r="FK2857" s="37"/>
      <c r="FL2857" s="37"/>
      <c r="FM2857" s="37"/>
      <c r="FN2857" s="37"/>
      <c r="FO2857" s="37"/>
      <c r="FP2857" s="37"/>
      <c r="FQ2857" s="37"/>
      <c r="FR2857" s="37"/>
      <c r="FS2857" s="37"/>
      <c r="FT2857" s="37"/>
      <c r="FU2857" s="37"/>
      <c r="FV2857" s="37"/>
      <c r="FW2857" s="37"/>
      <c r="FX2857" s="37"/>
      <c r="FY2857" s="37"/>
      <c r="FZ2857" s="37"/>
      <c r="GA2857" s="37"/>
      <c r="GB2857" s="37"/>
      <c r="GC2857" s="37"/>
      <c r="GD2857" s="37"/>
      <c r="GE2857" s="37"/>
      <c r="GF2857" s="37"/>
      <c r="GG2857" s="37"/>
      <c r="GH2857" s="37"/>
      <c r="GI2857" s="37"/>
      <c r="GJ2857" s="37"/>
      <c r="GK2857" s="37"/>
      <c r="GL2857" s="37"/>
      <c r="GM2857" s="37"/>
      <c r="GN2857" s="37"/>
      <c r="GO2857" s="37"/>
      <c r="GP2857" s="37"/>
      <c r="GQ2857" s="37"/>
      <c r="GR2857" s="37"/>
      <c r="GS2857" s="37"/>
      <c r="GT2857" s="37"/>
      <c r="GU2857" s="37"/>
      <c r="GV2857" s="37"/>
      <c r="GW2857" s="37"/>
      <c r="GX2857" s="37"/>
      <c r="GY2857" s="37"/>
      <c r="GZ2857" s="37"/>
      <c r="HA2857" s="37"/>
      <c r="HB2857" s="37"/>
      <c r="HC2857" s="37"/>
      <c r="HD2857" s="37"/>
      <c r="HE2857" s="37"/>
      <c r="HF2857" s="37"/>
      <c r="HG2857" s="37"/>
      <c r="HH2857" s="37"/>
      <c r="HI2857" s="37"/>
      <c r="HJ2857" s="37"/>
      <c r="HK2857" s="37"/>
      <c r="HL2857" s="37"/>
      <c r="HM2857" s="37"/>
      <c r="HN2857" s="37"/>
      <c r="HO2857" s="37"/>
      <c r="HP2857" s="37"/>
      <c r="HQ2857" s="37"/>
      <c r="HR2857" s="37"/>
      <c r="HS2857" s="37"/>
      <c r="HT2857" s="37"/>
      <c r="HU2857" s="37"/>
      <c r="HV2857" s="37"/>
      <c r="HW2857" s="37"/>
      <c r="HX2857" s="37"/>
      <c r="HY2857" s="37"/>
      <c r="HZ2857" s="37"/>
      <c r="IA2857" s="37"/>
      <c r="IB2857" s="37"/>
      <c r="IC2857" s="37"/>
      <c r="ID2857" s="37"/>
      <c r="IE2857" s="37"/>
      <c r="IF2857" s="37"/>
      <c r="IG2857" s="37"/>
      <c r="IH2857" s="37"/>
      <c r="II2857" s="37"/>
      <c r="IJ2857" s="37"/>
      <c r="IK2857" s="37"/>
      <c r="IL2857" s="37"/>
      <c r="IM2857" s="37"/>
      <c r="IN2857" s="37"/>
      <c r="IO2857" s="37"/>
      <c r="IP2857" s="37"/>
      <c r="IQ2857" s="37"/>
      <c r="IR2857" s="37"/>
      <c r="IS2857" s="37"/>
      <c r="IT2857" s="37"/>
      <c r="IU2857" s="37"/>
      <c r="IV2857" s="37"/>
      <c r="IW2857" s="37"/>
      <c r="IX2857" s="37"/>
      <c r="IY2857" s="37"/>
      <c r="IZ2857" s="37"/>
      <c r="JA2857" s="37"/>
      <c r="JB2857" s="37"/>
      <c r="JC2857" s="37"/>
      <c r="JD2857" s="37"/>
      <c r="JE2857" s="37"/>
      <c r="JF2857" s="37"/>
      <c r="JG2857" s="37"/>
      <c r="JH2857" s="37"/>
      <c r="JI2857" s="37"/>
      <c r="JJ2857" s="37"/>
      <c r="JK2857" s="37"/>
      <c r="JL2857" s="37"/>
      <c r="JM2857" s="37"/>
      <c r="JN2857" s="37"/>
      <c r="JO2857" s="37"/>
      <c r="JP2857" s="37"/>
      <c r="JQ2857" s="37"/>
      <c r="JR2857" s="37"/>
      <c r="JS2857" s="37"/>
      <c r="JT2857" s="37"/>
      <c r="JU2857" s="37"/>
      <c r="JV2857" s="37"/>
      <c r="JW2857" s="37"/>
      <c r="JX2857" s="37"/>
      <c r="JY2857" s="37"/>
      <c r="JZ2857" s="37"/>
      <c r="KA2857" s="37"/>
      <c r="KB2857" s="37"/>
      <c r="KC2857" s="37"/>
      <c r="KD2857" s="37"/>
      <c r="KE2857" s="37"/>
      <c r="KF2857" s="37"/>
      <c r="KG2857" s="37"/>
      <c r="KH2857" s="37"/>
      <c r="KI2857" s="37"/>
      <c r="KJ2857" s="37"/>
      <c r="KK2857" s="37"/>
      <c r="KL2857" s="37"/>
      <c r="KM2857" s="37"/>
      <c r="KN2857" s="37"/>
      <c r="KO2857" s="37"/>
      <c r="KP2857" s="37"/>
      <c r="KQ2857" s="37"/>
      <c r="KR2857" s="37"/>
      <c r="KS2857" s="37"/>
      <c r="KT2857" s="37"/>
      <c r="KU2857" s="37"/>
      <c r="KV2857" s="37"/>
      <c r="KW2857" s="37"/>
      <c r="KX2857" s="37"/>
      <c r="KY2857" s="37"/>
      <c r="KZ2857" s="37"/>
      <c r="LA2857" s="37"/>
      <c r="LB2857" s="37"/>
      <c r="LC2857" s="37"/>
      <c r="LD2857" s="37"/>
      <c r="LE2857" s="37"/>
      <c r="LF2857" s="37"/>
      <c r="LG2857" s="37"/>
      <c r="LH2857" s="37"/>
      <c r="LI2857" s="37"/>
      <c r="LJ2857" s="37"/>
      <c r="LK2857" s="37"/>
      <c r="LL2857" s="37"/>
      <c r="LM2857" s="37"/>
      <c r="LN2857" s="37"/>
      <c r="LO2857" s="37"/>
      <c r="LP2857" s="37"/>
      <c r="LQ2857" s="37"/>
      <c r="LR2857" s="37"/>
      <c r="LS2857" s="37"/>
      <c r="LT2857" s="37"/>
      <c r="LU2857" s="37"/>
      <c r="LV2857" s="37"/>
      <c r="LW2857" s="37"/>
      <c r="LX2857" s="37"/>
      <c r="LY2857" s="37"/>
      <c r="LZ2857" s="37"/>
      <c r="MA2857" s="37"/>
      <c r="MB2857" s="37"/>
      <c r="MC2857" s="37"/>
      <c r="MD2857" s="37"/>
      <c r="ME2857" s="37"/>
      <c r="MF2857" s="37"/>
      <c r="MG2857" s="37"/>
      <c r="MH2857" s="37"/>
      <c r="MI2857" s="37"/>
      <c r="MJ2857" s="37"/>
      <c r="MK2857" s="37"/>
      <c r="ML2857" s="37"/>
      <c r="MM2857" s="37"/>
      <c r="MN2857" s="37"/>
      <c r="MO2857" s="37"/>
      <c r="MP2857" s="37"/>
      <c r="MQ2857" s="37"/>
      <c r="MR2857" s="37"/>
      <c r="MS2857" s="37"/>
      <c r="MT2857" s="37"/>
      <c r="MU2857" s="37"/>
      <c r="MV2857" s="37"/>
      <c r="MW2857" s="37"/>
      <c r="MX2857" s="37"/>
      <c r="MY2857" s="37"/>
      <c r="MZ2857" s="37"/>
      <c r="NA2857" s="37"/>
      <c r="NB2857" s="37"/>
      <c r="NC2857" s="37"/>
      <c r="ND2857" s="37"/>
      <c r="NE2857" s="37"/>
      <c r="NF2857" s="37"/>
      <c r="NG2857" s="37"/>
      <c r="NH2857" s="37"/>
      <c r="NI2857" s="37"/>
      <c r="NJ2857" s="37"/>
      <c r="NK2857" s="37"/>
      <c r="NL2857" s="37"/>
      <c r="NM2857" s="37"/>
      <c r="NN2857" s="37"/>
      <c r="NO2857" s="37"/>
      <c r="NP2857" s="37"/>
      <c r="NQ2857" s="37"/>
      <c r="NR2857" s="37"/>
      <c r="NS2857" s="37"/>
      <c r="NT2857" s="37"/>
      <c r="NU2857" s="37"/>
      <c r="NV2857" s="37"/>
      <c r="NW2857" s="37"/>
      <c r="NX2857" s="37"/>
      <c r="NY2857" s="37"/>
      <c r="NZ2857" s="37"/>
      <c r="OA2857" s="37"/>
      <c r="OB2857" s="37"/>
      <c r="OC2857" s="37"/>
      <c r="OD2857" s="37"/>
      <c r="OE2857" s="37"/>
      <c r="OF2857" s="37"/>
      <c r="OG2857" s="37"/>
      <c r="OH2857" s="37"/>
      <c r="OI2857" s="37"/>
      <c r="OJ2857" s="37"/>
      <c r="OK2857" s="37"/>
      <c r="OL2857" s="37"/>
      <c r="OM2857" s="37"/>
      <c r="ON2857" s="37"/>
      <c r="OO2857" s="37"/>
      <c r="OP2857" s="37"/>
      <c r="OQ2857" s="37"/>
      <c r="OR2857" s="37"/>
      <c r="OS2857" s="37"/>
      <c r="OT2857" s="37"/>
      <c r="OU2857" s="37"/>
      <c r="OV2857" s="37"/>
      <c r="OW2857" s="37"/>
      <c r="OX2857" s="37"/>
      <c r="OY2857" s="37"/>
      <c r="OZ2857" s="37"/>
      <c r="PA2857" s="37"/>
      <c r="PB2857" s="37"/>
      <c r="PC2857" s="37"/>
      <c r="PD2857" s="37"/>
      <c r="PE2857" s="37"/>
      <c r="PF2857" s="37"/>
      <c r="PG2857" s="37"/>
      <c r="PH2857" s="37"/>
      <c r="PI2857" s="37"/>
      <c r="PJ2857" s="37"/>
      <c r="PK2857" s="37"/>
      <c r="PL2857" s="37"/>
      <c r="PM2857" s="37"/>
      <c r="PN2857" s="37"/>
      <c r="PO2857" s="37"/>
      <c r="PP2857" s="37"/>
      <c r="PQ2857" s="37"/>
      <c r="PR2857" s="37"/>
      <c r="PS2857" s="37"/>
      <c r="PT2857" s="37"/>
      <c r="PU2857" s="37"/>
      <c r="PV2857" s="37"/>
      <c r="PW2857" s="37"/>
      <c r="PX2857" s="37"/>
      <c r="PY2857" s="37"/>
      <c r="PZ2857" s="37"/>
      <c r="QA2857" s="37"/>
      <c r="QB2857" s="37"/>
      <c r="QC2857" s="37"/>
      <c r="QD2857" s="37"/>
      <c r="QE2857" s="37"/>
      <c r="QF2857" s="37"/>
      <c r="QG2857" s="37"/>
      <c r="QH2857" s="37"/>
      <c r="QI2857" s="37"/>
      <c r="QJ2857" s="37"/>
      <c r="QK2857" s="37"/>
      <c r="QL2857" s="37"/>
      <c r="QM2857" s="37"/>
      <c r="QN2857" s="37"/>
      <c r="QO2857" s="37"/>
      <c r="QP2857" s="37"/>
      <c r="QQ2857" s="37"/>
      <c r="QR2857" s="37"/>
      <c r="QS2857" s="37"/>
      <c r="QT2857" s="37"/>
      <c r="QU2857" s="37"/>
      <c r="QV2857" s="37"/>
      <c r="QW2857" s="37"/>
      <c r="QX2857" s="37"/>
      <c r="QY2857" s="37"/>
      <c r="QZ2857" s="37"/>
      <c r="RA2857" s="37"/>
      <c r="RB2857" s="37"/>
      <c r="RC2857" s="37"/>
      <c r="RD2857" s="37"/>
      <c r="RE2857" s="37"/>
      <c r="RF2857" s="37"/>
      <c r="RG2857" s="37"/>
      <c r="RH2857" s="37"/>
      <c r="RI2857" s="37"/>
      <c r="RJ2857" s="37"/>
      <c r="RK2857" s="37"/>
      <c r="RL2857" s="37"/>
      <c r="RM2857" s="37"/>
      <c r="RN2857" s="37"/>
      <c r="RO2857" s="37"/>
      <c r="RP2857" s="37"/>
      <c r="RQ2857" s="37"/>
      <c r="RR2857" s="37"/>
      <c r="RS2857" s="37"/>
      <c r="RT2857" s="37"/>
      <c r="RU2857" s="37"/>
      <c r="RV2857" s="37"/>
      <c r="RW2857" s="37"/>
      <c r="RX2857" s="37"/>
      <c r="RY2857" s="37"/>
      <c r="RZ2857" s="37"/>
      <c r="SA2857" s="37"/>
      <c r="SB2857" s="37"/>
      <c r="SC2857" s="37"/>
      <c r="SD2857" s="37"/>
      <c r="SE2857" s="37"/>
      <c r="SF2857" s="37"/>
    </row>
    <row r="2858" spans="1:500">
      <c r="A2858" s="37"/>
      <c r="B2858" s="37"/>
      <c r="C2858" s="37"/>
      <c r="D2858" s="37"/>
      <c r="E2858" s="37"/>
      <c r="F2858" s="37"/>
      <c r="G2858" s="37"/>
      <c r="H2858" s="37"/>
      <c r="I2858" s="37"/>
      <c r="J2858" s="37"/>
      <c r="K2858" s="37"/>
      <c r="L2858" s="37"/>
      <c r="M2858" s="37"/>
      <c r="N2858" s="37"/>
      <c r="O2858" s="37"/>
      <c r="P2858" s="37"/>
      <c r="Q2858" s="37"/>
      <c r="R2858" s="37"/>
      <c r="S2858" s="37"/>
      <c r="T2858" s="37"/>
      <c r="U2858" s="37"/>
      <c r="V2858" s="37"/>
      <c r="W2858" s="37"/>
      <c r="X2858" s="37"/>
      <c r="Y2858" s="37"/>
      <c r="Z2858" s="37"/>
      <c r="AA2858" s="37"/>
      <c r="AB2858" s="37"/>
      <c r="AC2858" s="37"/>
      <c r="AD2858" s="37"/>
      <c r="AE2858" s="37"/>
      <c r="AF2858" s="37"/>
      <c r="AG2858" s="37"/>
      <c r="AH2858" s="37"/>
      <c r="AI2858" s="37"/>
      <c r="AJ2858" s="37"/>
      <c r="AK2858" s="37"/>
      <c r="AL2858" s="37"/>
      <c r="AM2858" s="37"/>
      <c r="AN2858" s="37"/>
      <c r="AO2858" s="37"/>
      <c r="AP2858" s="37"/>
      <c r="AQ2858" s="37"/>
      <c r="AR2858" s="37"/>
      <c r="AS2858" s="37"/>
      <c r="AT2858" s="37"/>
      <c r="AU2858" s="37"/>
      <c r="AV2858" s="37"/>
      <c r="AW2858" s="37"/>
      <c r="AX2858" s="37"/>
      <c r="AY2858" s="37"/>
      <c r="AZ2858" s="37"/>
      <c r="BA2858" s="37"/>
      <c r="BB2858" s="37"/>
      <c r="BC2858" s="37"/>
      <c r="BD2858" s="37"/>
      <c r="BE2858" s="37"/>
      <c r="BF2858" s="37"/>
      <c r="BG2858" s="37"/>
      <c r="BH2858" s="37"/>
      <c r="BI2858" s="37"/>
      <c r="BJ2858" s="37"/>
      <c r="BK2858" s="37"/>
      <c r="BL2858" s="37"/>
      <c r="BM2858" s="37"/>
      <c r="BN2858" s="37"/>
      <c r="BO2858" s="37"/>
      <c r="BP2858" s="37"/>
      <c r="BQ2858" s="37"/>
      <c r="BR2858" s="37"/>
      <c r="BS2858" s="37"/>
      <c r="BT2858" s="37"/>
      <c r="BU2858" s="37"/>
      <c r="BV2858" s="37"/>
      <c r="BW2858" s="37"/>
      <c r="BX2858" s="37"/>
      <c r="BY2858" s="37"/>
      <c r="BZ2858" s="37"/>
      <c r="CA2858" s="37"/>
      <c r="CB2858" s="37"/>
      <c r="CC2858" s="37"/>
      <c r="CD2858" s="37"/>
      <c r="CE2858" s="37"/>
      <c r="CF2858" s="37"/>
      <c r="CG2858" s="37"/>
      <c r="CH2858" s="37"/>
      <c r="CI2858" s="37"/>
      <c r="CJ2858" s="37"/>
      <c r="CK2858" s="37"/>
      <c r="CL2858" s="37"/>
      <c r="CM2858" s="37"/>
      <c r="CN2858" s="37"/>
      <c r="CO2858" s="37"/>
      <c r="CP2858" s="37"/>
      <c r="CQ2858" s="37"/>
      <c r="CR2858" s="37"/>
      <c r="CS2858" s="37"/>
      <c r="CT2858" s="37"/>
      <c r="CU2858" s="37"/>
      <c r="CV2858" s="37"/>
      <c r="CW2858" s="37"/>
      <c r="CX2858" s="37"/>
      <c r="CY2858" s="37"/>
      <c r="CZ2858" s="37"/>
      <c r="DA2858" s="37"/>
      <c r="DB2858" s="37"/>
      <c r="DC2858" s="37"/>
      <c r="DD2858" s="37"/>
      <c r="DE2858" s="37"/>
      <c r="DF2858" s="37"/>
      <c r="DG2858" s="37"/>
      <c r="DH2858" s="37"/>
      <c r="DI2858" s="37"/>
      <c r="DJ2858" s="37"/>
      <c r="DK2858" s="37"/>
      <c r="DL2858" s="37"/>
      <c r="DM2858" s="37"/>
      <c r="DN2858" s="37"/>
      <c r="DO2858" s="37"/>
      <c r="DP2858" s="37"/>
      <c r="DQ2858" s="37"/>
      <c r="DR2858" s="37"/>
      <c r="DS2858" s="37"/>
      <c r="DT2858" s="37"/>
      <c r="DU2858" s="37"/>
      <c r="DV2858" s="37"/>
      <c r="DW2858" s="37"/>
      <c r="DX2858" s="37"/>
      <c r="DY2858" s="37"/>
      <c r="DZ2858" s="37"/>
      <c r="EA2858" s="37"/>
      <c r="EB2858" s="37"/>
      <c r="EC2858" s="37"/>
      <c r="ED2858" s="37"/>
      <c r="EE2858" s="37"/>
      <c r="EF2858" s="37"/>
      <c r="EG2858" s="37"/>
      <c r="EH2858" s="37"/>
      <c r="EI2858" s="37"/>
      <c r="EJ2858" s="37"/>
      <c r="EK2858" s="37"/>
      <c r="EL2858" s="37"/>
      <c r="EM2858" s="37"/>
      <c r="EN2858" s="37"/>
      <c r="EO2858" s="37"/>
      <c r="EP2858" s="37"/>
      <c r="EQ2858" s="37"/>
      <c r="ER2858" s="37"/>
      <c r="ES2858" s="37"/>
      <c r="ET2858" s="37"/>
      <c r="EU2858" s="37"/>
      <c r="EV2858" s="37"/>
      <c r="EW2858" s="37"/>
      <c r="EX2858" s="37"/>
      <c r="EY2858" s="37"/>
      <c r="EZ2858" s="37"/>
      <c r="FA2858" s="37"/>
      <c r="FB2858" s="37"/>
      <c r="FC2858" s="37"/>
      <c r="FD2858" s="37"/>
      <c r="FE2858" s="37"/>
      <c r="FF2858" s="37"/>
      <c r="FG2858" s="37"/>
      <c r="FH2858" s="37"/>
      <c r="FI2858" s="37"/>
      <c r="FJ2858" s="37"/>
      <c r="FK2858" s="37"/>
      <c r="FL2858" s="37"/>
      <c r="FM2858" s="37"/>
      <c r="FN2858" s="37"/>
      <c r="FO2858" s="37"/>
      <c r="FP2858" s="37"/>
      <c r="FQ2858" s="37"/>
      <c r="FR2858" s="37"/>
      <c r="FS2858" s="37"/>
      <c r="FT2858" s="37"/>
      <c r="FU2858" s="37"/>
      <c r="FV2858" s="37"/>
      <c r="FW2858" s="37"/>
      <c r="FX2858" s="37"/>
      <c r="FY2858" s="37"/>
      <c r="FZ2858" s="37"/>
      <c r="GA2858" s="37"/>
      <c r="GB2858" s="37"/>
      <c r="GC2858" s="37"/>
      <c r="GD2858" s="37"/>
      <c r="GE2858" s="37"/>
      <c r="GF2858" s="37"/>
      <c r="GG2858" s="37"/>
      <c r="GH2858" s="37"/>
      <c r="GI2858" s="37"/>
      <c r="GJ2858" s="37"/>
      <c r="GK2858" s="37"/>
      <c r="GL2858" s="37"/>
      <c r="GM2858" s="37"/>
      <c r="GN2858" s="37"/>
      <c r="GO2858" s="37"/>
      <c r="GP2858" s="37"/>
      <c r="GQ2858" s="37"/>
      <c r="GR2858" s="37"/>
      <c r="GS2858" s="37"/>
      <c r="GT2858" s="37"/>
      <c r="GU2858" s="37"/>
      <c r="GV2858" s="37"/>
      <c r="GW2858" s="37"/>
      <c r="GX2858" s="37"/>
      <c r="GY2858" s="37"/>
      <c r="GZ2858" s="37"/>
      <c r="HA2858" s="37"/>
      <c r="HB2858" s="37"/>
      <c r="HC2858" s="37"/>
      <c r="HD2858" s="37"/>
      <c r="HE2858" s="37"/>
      <c r="HF2858" s="37"/>
      <c r="HG2858" s="37"/>
      <c r="HH2858" s="37"/>
      <c r="HI2858" s="37"/>
      <c r="HJ2858" s="37"/>
      <c r="HK2858" s="37"/>
      <c r="HL2858" s="37"/>
      <c r="HM2858" s="37"/>
      <c r="HN2858" s="37"/>
      <c r="HO2858" s="37"/>
      <c r="HP2858" s="37"/>
      <c r="HQ2858" s="37"/>
      <c r="HR2858" s="37"/>
      <c r="HS2858" s="37"/>
      <c r="HT2858" s="37"/>
      <c r="HU2858" s="37"/>
      <c r="HV2858" s="37"/>
      <c r="HW2858" s="37"/>
      <c r="HX2858" s="37"/>
      <c r="HY2858" s="37"/>
      <c r="HZ2858" s="37"/>
      <c r="IA2858" s="37"/>
      <c r="IB2858" s="37"/>
      <c r="IC2858" s="37"/>
      <c r="ID2858" s="37"/>
      <c r="IE2858" s="37"/>
      <c r="IF2858" s="37"/>
      <c r="IG2858" s="37"/>
      <c r="IH2858" s="37"/>
      <c r="II2858" s="37"/>
      <c r="IJ2858" s="37"/>
      <c r="IK2858" s="37"/>
      <c r="IL2858" s="37"/>
      <c r="IM2858" s="37"/>
      <c r="IN2858" s="37"/>
      <c r="IO2858" s="37"/>
      <c r="IP2858" s="37"/>
      <c r="IQ2858" s="37"/>
      <c r="IR2858" s="37"/>
      <c r="IS2858" s="37"/>
      <c r="IT2858" s="37"/>
      <c r="IU2858" s="37"/>
      <c r="IV2858" s="37"/>
      <c r="IW2858" s="37"/>
      <c r="IX2858" s="37"/>
      <c r="IY2858" s="37"/>
      <c r="IZ2858" s="37"/>
      <c r="JA2858" s="37"/>
      <c r="JB2858" s="37"/>
      <c r="JC2858" s="37"/>
      <c r="JD2858" s="37"/>
      <c r="JE2858" s="37"/>
      <c r="JF2858" s="37"/>
      <c r="JG2858" s="37"/>
      <c r="JH2858" s="37"/>
      <c r="JI2858" s="37"/>
      <c r="JJ2858" s="37"/>
      <c r="JK2858" s="37"/>
      <c r="JL2858" s="37"/>
      <c r="JM2858" s="37"/>
      <c r="JN2858" s="37"/>
      <c r="JO2858" s="37"/>
      <c r="JP2858" s="37"/>
      <c r="JQ2858" s="37"/>
      <c r="JR2858" s="37"/>
      <c r="JS2858" s="37"/>
      <c r="JT2858" s="37"/>
      <c r="JU2858" s="37"/>
      <c r="JV2858" s="37"/>
      <c r="JW2858" s="37"/>
      <c r="JX2858" s="37"/>
      <c r="JY2858" s="37"/>
      <c r="JZ2858" s="37"/>
      <c r="KA2858" s="37"/>
      <c r="KB2858" s="37"/>
      <c r="KC2858" s="37"/>
      <c r="KD2858" s="37"/>
      <c r="KE2858" s="37"/>
      <c r="KF2858" s="37"/>
      <c r="KG2858" s="37"/>
      <c r="KH2858" s="37"/>
      <c r="KI2858" s="37"/>
      <c r="KJ2858" s="37"/>
      <c r="KK2858" s="37"/>
      <c r="KL2858" s="37"/>
      <c r="KM2858" s="37"/>
      <c r="KN2858" s="37"/>
      <c r="KO2858" s="37"/>
      <c r="KP2858" s="37"/>
      <c r="KQ2858" s="37"/>
      <c r="KR2858" s="37"/>
      <c r="KS2858" s="37"/>
      <c r="KT2858" s="37"/>
      <c r="KU2858" s="37"/>
      <c r="KV2858" s="37"/>
      <c r="KW2858" s="37"/>
      <c r="KX2858" s="37"/>
      <c r="KY2858" s="37"/>
      <c r="KZ2858" s="37"/>
      <c r="LA2858" s="37"/>
      <c r="LB2858" s="37"/>
      <c r="LC2858" s="37"/>
      <c r="LD2858" s="37"/>
      <c r="LE2858" s="37"/>
      <c r="LF2858" s="37"/>
      <c r="LG2858" s="37"/>
      <c r="LH2858" s="37"/>
      <c r="LI2858" s="37"/>
      <c r="LJ2858" s="37"/>
      <c r="LK2858" s="37"/>
      <c r="LL2858" s="37"/>
      <c r="LM2858" s="37"/>
      <c r="LN2858" s="37"/>
      <c r="LO2858" s="37"/>
      <c r="LP2858" s="37"/>
      <c r="LQ2858" s="37"/>
      <c r="LR2858" s="37"/>
      <c r="LS2858" s="37"/>
      <c r="LT2858" s="37"/>
      <c r="LU2858" s="37"/>
      <c r="LV2858" s="37"/>
      <c r="LW2858" s="37"/>
      <c r="LX2858" s="37"/>
      <c r="LY2858" s="37"/>
      <c r="LZ2858" s="37"/>
      <c r="MA2858" s="37"/>
      <c r="MB2858" s="37"/>
      <c r="MC2858" s="37"/>
      <c r="MD2858" s="37"/>
      <c r="ME2858" s="37"/>
      <c r="MF2858" s="37"/>
      <c r="MG2858" s="37"/>
      <c r="MH2858" s="37"/>
      <c r="MI2858" s="37"/>
      <c r="MJ2858" s="37"/>
      <c r="MK2858" s="37"/>
      <c r="ML2858" s="37"/>
      <c r="MM2858" s="37"/>
      <c r="MN2858" s="37"/>
      <c r="MO2858" s="37"/>
      <c r="MP2858" s="37"/>
      <c r="MQ2858" s="37"/>
      <c r="MR2858" s="37"/>
      <c r="MS2858" s="37"/>
      <c r="MT2858" s="37"/>
      <c r="MU2858" s="37"/>
      <c r="MV2858" s="37"/>
      <c r="MW2858" s="37"/>
      <c r="MX2858" s="37"/>
      <c r="MY2858" s="37"/>
      <c r="MZ2858" s="37"/>
      <c r="NA2858" s="37"/>
      <c r="NB2858" s="37"/>
      <c r="NC2858" s="37"/>
      <c r="ND2858" s="37"/>
      <c r="NE2858" s="37"/>
      <c r="NF2858" s="37"/>
      <c r="NG2858" s="37"/>
      <c r="NH2858" s="37"/>
      <c r="NI2858" s="37"/>
      <c r="NJ2858" s="37"/>
      <c r="NK2858" s="37"/>
      <c r="NL2858" s="37"/>
      <c r="NM2858" s="37"/>
      <c r="NN2858" s="37"/>
      <c r="NO2858" s="37"/>
      <c r="NP2858" s="37"/>
      <c r="NQ2858" s="37"/>
      <c r="NR2858" s="37"/>
      <c r="NS2858" s="37"/>
      <c r="NT2858" s="37"/>
      <c r="NU2858" s="37"/>
      <c r="NV2858" s="37"/>
      <c r="NW2858" s="37"/>
      <c r="NX2858" s="37"/>
      <c r="NY2858" s="37"/>
      <c r="NZ2858" s="37"/>
      <c r="OA2858" s="37"/>
      <c r="OB2858" s="37"/>
      <c r="OC2858" s="37"/>
      <c r="OD2858" s="37"/>
      <c r="OE2858" s="37"/>
      <c r="OF2858" s="37"/>
      <c r="OG2858" s="37"/>
      <c r="OH2858" s="37"/>
      <c r="OI2858" s="37"/>
      <c r="OJ2858" s="37"/>
      <c r="OK2858" s="37"/>
      <c r="OL2858" s="37"/>
      <c r="OM2858" s="37"/>
      <c r="ON2858" s="37"/>
      <c r="OO2858" s="37"/>
      <c r="OP2858" s="37"/>
      <c r="OQ2858" s="37"/>
      <c r="OR2858" s="37"/>
      <c r="OS2858" s="37"/>
      <c r="OT2858" s="37"/>
      <c r="OU2858" s="37"/>
      <c r="OV2858" s="37"/>
      <c r="OW2858" s="37"/>
      <c r="OX2858" s="37"/>
      <c r="OY2858" s="37"/>
      <c r="OZ2858" s="37"/>
      <c r="PA2858" s="37"/>
      <c r="PB2858" s="37"/>
      <c r="PC2858" s="37"/>
      <c r="PD2858" s="37"/>
      <c r="PE2858" s="37"/>
      <c r="PF2858" s="37"/>
      <c r="PG2858" s="37"/>
      <c r="PH2858" s="37"/>
      <c r="PI2858" s="37"/>
      <c r="PJ2858" s="37"/>
      <c r="PK2858" s="37"/>
      <c r="PL2858" s="37"/>
      <c r="PM2858" s="37"/>
      <c r="PN2858" s="37"/>
      <c r="PO2858" s="37"/>
      <c r="PP2858" s="37"/>
      <c r="PQ2858" s="37"/>
      <c r="PR2858" s="37"/>
      <c r="PS2858" s="37"/>
      <c r="PT2858" s="37"/>
      <c r="PU2858" s="37"/>
      <c r="PV2858" s="37"/>
      <c r="PW2858" s="37"/>
      <c r="PX2858" s="37"/>
      <c r="PY2858" s="37"/>
      <c r="PZ2858" s="37"/>
      <c r="QA2858" s="37"/>
      <c r="QB2858" s="37"/>
      <c r="QC2858" s="37"/>
      <c r="QD2858" s="37"/>
      <c r="QE2858" s="37"/>
      <c r="QF2858" s="37"/>
      <c r="QG2858" s="37"/>
      <c r="QH2858" s="37"/>
      <c r="QI2858" s="37"/>
      <c r="QJ2858" s="37"/>
      <c r="QK2858" s="37"/>
      <c r="QL2858" s="37"/>
      <c r="QM2858" s="37"/>
      <c r="QN2858" s="37"/>
      <c r="QO2858" s="37"/>
      <c r="QP2858" s="37"/>
      <c r="QQ2858" s="37"/>
      <c r="QR2858" s="37"/>
      <c r="QS2858" s="37"/>
      <c r="QT2858" s="37"/>
      <c r="QU2858" s="37"/>
      <c r="QV2858" s="37"/>
      <c r="QW2858" s="37"/>
      <c r="QX2858" s="37"/>
      <c r="QY2858" s="37"/>
      <c r="QZ2858" s="37"/>
      <c r="RA2858" s="37"/>
      <c r="RB2858" s="37"/>
      <c r="RC2858" s="37"/>
      <c r="RD2858" s="37"/>
      <c r="RE2858" s="37"/>
      <c r="RF2858" s="37"/>
      <c r="RG2858" s="37"/>
      <c r="RH2858" s="37"/>
      <c r="RI2858" s="37"/>
      <c r="RJ2858" s="37"/>
      <c r="RK2858" s="37"/>
      <c r="RL2858" s="37"/>
      <c r="RM2858" s="37"/>
      <c r="RN2858" s="37"/>
      <c r="RO2858" s="37"/>
      <c r="RP2858" s="37"/>
      <c r="RQ2858" s="37"/>
      <c r="RR2858" s="37"/>
      <c r="RS2858" s="37"/>
      <c r="RT2858" s="37"/>
      <c r="RU2858" s="37"/>
      <c r="RV2858" s="37"/>
      <c r="RW2858" s="37"/>
      <c r="RX2858" s="37"/>
      <c r="RY2858" s="37"/>
      <c r="RZ2858" s="37"/>
      <c r="SA2858" s="37"/>
      <c r="SB2858" s="37"/>
      <c r="SC2858" s="37"/>
      <c r="SD2858" s="37"/>
      <c r="SE2858" s="37"/>
      <c r="SF2858" s="37"/>
    </row>
    <row r="2859" spans="1:500">
      <c r="A2859" s="37"/>
      <c r="B2859" s="37"/>
      <c r="C2859" s="37"/>
      <c r="D2859" s="37"/>
      <c r="E2859" s="37"/>
      <c r="F2859" s="37"/>
      <c r="G2859" s="37"/>
      <c r="H2859" s="37"/>
      <c r="I2859" s="37"/>
      <c r="J2859" s="37"/>
      <c r="K2859" s="37"/>
      <c r="L2859" s="37"/>
      <c r="M2859" s="37"/>
      <c r="N2859" s="37"/>
      <c r="O2859" s="37"/>
      <c r="P2859" s="37"/>
      <c r="Q2859" s="37"/>
      <c r="R2859" s="37"/>
      <c r="S2859" s="37"/>
      <c r="T2859" s="37"/>
      <c r="U2859" s="37"/>
      <c r="V2859" s="37"/>
      <c r="W2859" s="37"/>
      <c r="X2859" s="37"/>
      <c r="Y2859" s="37"/>
      <c r="Z2859" s="37"/>
      <c r="AA2859" s="37"/>
      <c r="AB2859" s="37"/>
      <c r="AC2859" s="37"/>
      <c r="AD2859" s="37"/>
      <c r="AE2859" s="37"/>
      <c r="AF2859" s="37"/>
      <c r="AG2859" s="37"/>
      <c r="AH2859" s="37"/>
      <c r="AI2859" s="37"/>
      <c r="AJ2859" s="37"/>
      <c r="AK2859" s="37"/>
      <c r="AL2859" s="37"/>
      <c r="AM2859" s="37"/>
      <c r="AN2859" s="37"/>
      <c r="AO2859" s="37"/>
      <c r="AP2859" s="37"/>
      <c r="AQ2859" s="37"/>
      <c r="AR2859" s="37"/>
      <c r="AS2859" s="37"/>
      <c r="AT2859" s="37"/>
      <c r="AU2859" s="37"/>
      <c r="AV2859" s="37"/>
      <c r="AW2859" s="37"/>
      <c r="AX2859" s="37"/>
      <c r="AY2859" s="37"/>
      <c r="AZ2859" s="37"/>
      <c r="BA2859" s="37"/>
      <c r="BB2859" s="37"/>
      <c r="BC2859" s="37"/>
      <c r="BD2859" s="37"/>
      <c r="BE2859" s="37"/>
      <c r="BF2859" s="37"/>
      <c r="BG2859" s="37"/>
      <c r="BH2859" s="37"/>
      <c r="BI2859" s="37"/>
      <c r="BJ2859" s="37"/>
      <c r="BK2859" s="37"/>
      <c r="BL2859" s="37"/>
      <c r="BM2859" s="37"/>
      <c r="BN2859" s="37"/>
      <c r="BO2859" s="37"/>
      <c r="BP2859" s="37"/>
      <c r="BQ2859" s="37"/>
      <c r="BR2859" s="37"/>
      <c r="BS2859" s="37"/>
      <c r="BT2859" s="37"/>
      <c r="BU2859" s="37"/>
      <c r="BV2859" s="37"/>
      <c r="BW2859" s="37"/>
      <c r="BX2859" s="37"/>
      <c r="BY2859" s="37"/>
      <c r="BZ2859" s="37"/>
      <c r="CA2859" s="37"/>
      <c r="CB2859" s="37"/>
      <c r="CC2859" s="37"/>
      <c r="CD2859" s="37"/>
      <c r="CE2859" s="37"/>
      <c r="CF2859" s="37"/>
      <c r="CG2859" s="37"/>
      <c r="CH2859" s="37"/>
      <c r="CI2859" s="37"/>
      <c r="CJ2859" s="37"/>
      <c r="CK2859" s="37"/>
      <c r="CL2859" s="37"/>
      <c r="CM2859" s="37"/>
      <c r="CN2859" s="37"/>
      <c r="CO2859" s="37"/>
      <c r="CP2859" s="37"/>
      <c r="CQ2859" s="37"/>
      <c r="CR2859" s="37"/>
      <c r="CS2859" s="37"/>
      <c r="CT2859" s="37"/>
      <c r="CU2859" s="37"/>
      <c r="CV2859" s="37"/>
      <c r="CW2859" s="37"/>
      <c r="CX2859" s="37"/>
      <c r="CY2859" s="37"/>
      <c r="CZ2859" s="37"/>
      <c r="DA2859" s="37"/>
      <c r="DB2859" s="37"/>
      <c r="DC2859" s="37"/>
      <c r="DD2859" s="37"/>
      <c r="DE2859" s="37"/>
      <c r="DF2859" s="37"/>
      <c r="DG2859" s="37"/>
      <c r="DH2859" s="37"/>
      <c r="DI2859" s="37"/>
      <c r="DJ2859" s="37"/>
      <c r="DK2859" s="37"/>
      <c r="DL2859" s="37"/>
      <c r="DM2859" s="37"/>
      <c r="DN2859" s="37"/>
      <c r="DO2859" s="37"/>
      <c r="DP2859" s="37"/>
      <c r="DQ2859" s="37"/>
      <c r="DR2859" s="37"/>
      <c r="DS2859" s="37"/>
      <c r="DT2859" s="37"/>
      <c r="DU2859" s="37"/>
      <c r="DV2859" s="37"/>
      <c r="DW2859" s="37"/>
      <c r="DX2859" s="37"/>
      <c r="DY2859" s="37"/>
      <c r="DZ2859" s="37"/>
      <c r="EA2859" s="37"/>
      <c r="EB2859" s="37"/>
      <c r="EC2859" s="37"/>
      <c r="ED2859" s="37"/>
      <c r="EE2859" s="37"/>
      <c r="EF2859" s="37"/>
      <c r="EG2859" s="37"/>
      <c r="EH2859" s="37"/>
      <c r="EI2859" s="37"/>
      <c r="EJ2859" s="37"/>
      <c r="EK2859" s="37"/>
      <c r="EL2859" s="37"/>
      <c r="EM2859" s="37"/>
      <c r="EN2859" s="37"/>
      <c r="EO2859" s="37"/>
      <c r="EP2859" s="37"/>
      <c r="EQ2859" s="37"/>
      <c r="ER2859" s="37"/>
      <c r="ES2859" s="37"/>
      <c r="ET2859" s="37"/>
      <c r="EU2859" s="37"/>
      <c r="EV2859" s="37"/>
      <c r="EW2859" s="37"/>
      <c r="EX2859" s="37"/>
      <c r="EY2859" s="37"/>
      <c r="EZ2859" s="37"/>
      <c r="FA2859" s="37"/>
      <c r="FB2859" s="37"/>
      <c r="FC2859" s="37"/>
      <c r="FD2859" s="37"/>
      <c r="FE2859" s="37"/>
      <c r="FF2859" s="37"/>
      <c r="FG2859" s="37"/>
      <c r="FH2859" s="37"/>
      <c r="FI2859" s="37"/>
      <c r="FJ2859" s="37"/>
      <c r="FK2859" s="37"/>
      <c r="FL2859" s="37"/>
      <c r="FM2859" s="37"/>
      <c r="FN2859" s="37"/>
      <c r="FO2859" s="37"/>
      <c r="FP2859" s="37"/>
      <c r="FQ2859" s="37"/>
      <c r="FR2859" s="37"/>
      <c r="FS2859" s="37"/>
      <c r="FT2859" s="37"/>
      <c r="FU2859" s="37"/>
      <c r="FV2859" s="37"/>
      <c r="FW2859" s="37"/>
      <c r="FX2859" s="37"/>
      <c r="FY2859" s="37"/>
      <c r="FZ2859" s="37"/>
      <c r="GA2859" s="37"/>
      <c r="GB2859" s="37"/>
      <c r="GC2859" s="37"/>
      <c r="GD2859" s="37"/>
      <c r="GE2859" s="37"/>
      <c r="GF2859" s="37"/>
      <c r="GG2859" s="37"/>
      <c r="GH2859" s="37"/>
      <c r="GI2859" s="37"/>
      <c r="GJ2859" s="37"/>
      <c r="GK2859" s="37"/>
      <c r="GL2859" s="37"/>
      <c r="GM2859" s="37"/>
      <c r="GN2859" s="37"/>
      <c r="GO2859" s="37"/>
      <c r="GP2859" s="37"/>
      <c r="GQ2859" s="37"/>
      <c r="GR2859" s="37"/>
      <c r="GS2859" s="37"/>
      <c r="GT2859" s="37"/>
      <c r="GU2859" s="37"/>
      <c r="GV2859" s="37"/>
      <c r="GW2859" s="37"/>
      <c r="GX2859" s="37"/>
      <c r="GY2859" s="37"/>
      <c r="GZ2859" s="37"/>
      <c r="HA2859" s="37"/>
      <c r="HB2859" s="37"/>
      <c r="HC2859" s="37"/>
      <c r="HD2859" s="37"/>
      <c r="HE2859" s="37"/>
      <c r="HF2859" s="37"/>
      <c r="HG2859" s="37"/>
      <c r="HH2859" s="37"/>
      <c r="HI2859" s="37"/>
      <c r="HJ2859" s="37"/>
      <c r="HK2859" s="37"/>
      <c r="HL2859" s="37"/>
      <c r="HM2859" s="37"/>
      <c r="HN2859" s="37"/>
      <c r="HO2859" s="37"/>
      <c r="HP2859" s="37"/>
      <c r="HQ2859" s="37"/>
      <c r="HR2859" s="37"/>
      <c r="HS2859" s="37"/>
      <c r="HT2859" s="37"/>
      <c r="HU2859" s="37"/>
      <c r="HV2859" s="37"/>
      <c r="HW2859" s="37"/>
      <c r="HX2859" s="37"/>
      <c r="HY2859" s="37"/>
      <c r="HZ2859" s="37"/>
      <c r="IA2859" s="37"/>
      <c r="IB2859" s="37"/>
      <c r="IC2859" s="37"/>
      <c r="ID2859" s="37"/>
      <c r="IE2859" s="37"/>
      <c r="IF2859" s="37"/>
      <c r="IG2859" s="37"/>
      <c r="IH2859" s="37"/>
      <c r="II2859" s="37"/>
      <c r="IJ2859" s="37"/>
      <c r="IK2859" s="37"/>
      <c r="IL2859" s="37"/>
      <c r="IM2859" s="37"/>
      <c r="IN2859" s="37"/>
      <c r="IO2859" s="37"/>
      <c r="IP2859" s="37"/>
      <c r="IQ2859" s="37"/>
      <c r="IR2859" s="37"/>
      <c r="IS2859" s="37"/>
      <c r="IT2859" s="37"/>
      <c r="IU2859" s="37"/>
      <c r="IV2859" s="37"/>
      <c r="IW2859" s="37"/>
      <c r="IX2859" s="37"/>
      <c r="IY2859" s="37"/>
      <c r="IZ2859" s="37"/>
      <c r="JA2859" s="37"/>
      <c r="JB2859" s="37"/>
      <c r="JC2859" s="37"/>
      <c r="JD2859" s="37"/>
      <c r="JE2859" s="37"/>
      <c r="JF2859" s="37"/>
      <c r="JG2859" s="37"/>
      <c r="JH2859" s="37"/>
      <c r="JI2859" s="37"/>
      <c r="JJ2859" s="37"/>
      <c r="JK2859" s="37"/>
      <c r="JL2859" s="37"/>
      <c r="JM2859" s="37"/>
      <c r="JN2859" s="37"/>
      <c r="JO2859" s="37"/>
      <c r="JP2859" s="37"/>
      <c r="JQ2859" s="37"/>
      <c r="JR2859" s="37"/>
      <c r="JS2859" s="37"/>
      <c r="JT2859" s="37"/>
      <c r="JU2859" s="37"/>
      <c r="JV2859" s="37"/>
      <c r="JW2859" s="37"/>
      <c r="JX2859" s="37"/>
      <c r="JY2859" s="37"/>
      <c r="JZ2859" s="37"/>
      <c r="KA2859" s="37"/>
      <c r="KB2859" s="37"/>
      <c r="KC2859" s="37"/>
      <c r="KD2859" s="37"/>
      <c r="KE2859" s="37"/>
      <c r="KF2859" s="37"/>
      <c r="KG2859" s="37"/>
      <c r="KH2859" s="37"/>
      <c r="KI2859" s="37"/>
      <c r="KJ2859" s="37"/>
      <c r="KK2859" s="37"/>
      <c r="KL2859" s="37"/>
      <c r="KM2859" s="37"/>
      <c r="KN2859" s="37"/>
      <c r="KO2859" s="37"/>
      <c r="KP2859" s="37"/>
      <c r="KQ2859" s="37"/>
      <c r="KR2859" s="37"/>
      <c r="KS2859" s="37"/>
      <c r="KT2859" s="37"/>
      <c r="KU2859" s="37"/>
      <c r="KV2859" s="37"/>
      <c r="KW2859" s="37"/>
      <c r="KX2859" s="37"/>
      <c r="KY2859" s="37"/>
      <c r="KZ2859" s="37"/>
      <c r="LA2859" s="37"/>
      <c r="LB2859" s="37"/>
      <c r="LC2859" s="37"/>
      <c r="LD2859" s="37"/>
      <c r="LE2859" s="37"/>
      <c r="LF2859" s="37"/>
      <c r="LG2859" s="37"/>
      <c r="LH2859" s="37"/>
      <c r="LI2859" s="37"/>
      <c r="LJ2859" s="37"/>
      <c r="LK2859" s="37"/>
      <c r="LL2859" s="37"/>
      <c r="LM2859" s="37"/>
      <c r="LN2859" s="37"/>
      <c r="LO2859" s="37"/>
      <c r="LP2859" s="37"/>
      <c r="LQ2859" s="37"/>
      <c r="LR2859" s="37"/>
      <c r="LS2859" s="37"/>
      <c r="LT2859" s="37"/>
      <c r="LU2859" s="37"/>
      <c r="LV2859" s="37"/>
      <c r="LW2859" s="37"/>
      <c r="LX2859" s="37"/>
      <c r="LY2859" s="37"/>
      <c r="LZ2859" s="37"/>
      <c r="MA2859" s="37"/>
      <c r="MB2859" s="37"/>
      <c r="MC2859" s="37"/>
      <c r="MD2859" s="37"/>
      <c r="ME2859" s="37"/>
      <c r="MF2859" s="37"/>
      <c r="MG2859" s="37"/>
      <c r="MH2859" s="37"/>
      <c r="MI2859" s="37"/>
      <c r="MJ2859" s="37"/>
      <c r="MK2859" s="37"/>
      <c r="ML2859" s="37"/>
      <c r="MM2859" s="37"/>
      <c r="MN2859" s="37"/>
      <c r="MO2859" s="37"/>
      <c r="MP2859" s="37"/>
      <c r="MQ2859" s="37"/>
      <c r="MR2859" s="37"/>
      <c r="MS2859" s="37"/>
      <c r="MT2859" s="37"/>
      <c r="MU2859" s="37"/>
      <c r="MV2859" s="37"/>
      <c r="MW2859" s="37"/>
      <c r="MX2859" s="37"/>
      <c r="MY2859" s="37"/>
      <c r="MZ2859" s="37"/>
      <c r="NA2859" s="37"/>
      <c r="NB2859" s="37"/>
      <c r="NC2859" s="37"/>
      <c r="ND2859" s="37"/>
      <c r="NE2859" s="37"/>
      <c r="NF2859" s="37"/>
      <c r="NG2859" s="37"/>
      <c r="NH2859" s="37"/>
      <c r="NI2859" s="37"/>
      <c r="NJ2859" s="37"/>
      <c r="NK2859" s="37"/>
      <c r="NL2859" s="37"/>
      <c r="NM2859" s="37"/>
      <c r="NN2859" s="37"/>
      <c r="NO2859" s="37"/>
      <c r="NP2859" s="37"/>
      <c r="NQ2859" s="37"/>
      <c r="NR2859" s="37"/>
      <c r="NS2859" s="37"/>
      <c r="NT2859" s="37"/>
      <c r="NU2859" s="37"/>
      <c r="NV2859" s="37"/>
      <c r="NW2859" s="37"/>
      <c r="NX2859" s="37"/>
      <c r="NY2859" s="37"/>
      <c r="NZ2859" s="37"/>
      <c r="OA2859" s="37"/>
      <c r="OB2859" s="37"/>
      <c r="OC2859" s="37"/>
      <c r="OD2859" s="37"/>
      <c r="OE2859" s="37"/>
      <c r="OF2859" s="37"/>
      <c r="OG2859" s="37"/>
      <c r="OH2859" s="37"/>
      <c r="OI2859" s="37"/>
      <c r="OJ2859" s="37"/>
      <c r="OK2859" s="37"/>
      <c r="OL2859" s="37"/>
      <c r="OM2859" s="37"/>
      <c r="ON2859" s="37"/>
      <c r="OO2859" s="37"/>
      <c r="OP2859" s="37"/>
      <c r="OQ2859" s="37"/>
      <c r="OR2859" s="37"/>
      <c r="OS2859" s="37"/>
      <c r="OT2859" s="37"/>
      <c r="OU2859" s="37"/>
      <c r="OV2859" s="37"/>
      <c r="OW2859" s="37"/>
      <c r="OX2859" s="37"/>
      <c r="OY2859" s="37"/>
      <c r="OZ2859" s="37"/>
      <c r="PA2859" s="37"/>
      <c r="PB2859" s="37"/>
      <c r="PC2859" s="37"/>
      <c r="PD2859" s="37"/>
      <c r="PE2859" s="37"/>
      <c r="PF2859" s="37"/>
      <c r="PG2859" s="37"/>
      <c r="PH2859" s="37"/>
      <c r="PI2859" s="37"/>
      <c r="PJ2859" s="37"/>
      <c r="PK2859" s="37"/>
      <c r="PL2859" s="37"/>
      <c r="PM2859" s="37"/>
      <c r="PN2859" s="37"/>
      <c r="PO2859" s="37"/>
      <c r="PP2859" s="37"/>
      <c r="PQ2859" s="37"/>
      <c r="PR2859" s="37"/>
      <c r="PS2859" s="37"/>
      <c r="PT2859" s="37"/>
      <c r="PU2859" s="37"/>
      <c r="PV2859" s="37"/>
      <c r="PW2859" s="37"/>
      <c r="PX2859" s="37"/>
      <c r="PY2859" s="37"/>
      <c r="PZ2859" s="37"/>
      <c r="QA2859" s="37"/>
      <c r="QB2859" s="37"/>
      <c r="QC2859" s="37"/>
      <c r="QD2859" s="37"/>
      <c r="QE2859" s="37"/>
      <c r="QF2859" s="37"/>
      <c r="QG2859" s="37"/>
      <c r="QH2859" s="37"/>
      <c r="QI2859" s="37"/>
      <c r="QJ2859" s="37"/>
      <c r="QK2859" s="37"/>
      <c r="QL2859" s="37"/>
      <c r="QM2859" s="37"/>
      <c r="QN2859" s="37"/>
      <c r="QO2859" s="37"/>
      <c r="QP2859" s="37"/>
      <c r="QQ2859" s="37"/>
      <c r="QR2859" s="37"/>
      <c r="QS2859" s="37"/>
      <c r="QT2859" s="37"/>
      <c r="QU2859" s="37"/>
      <c r="QV2859" s="37"/>
      <c r="QW2859" s="37"/>
      <c r="QX2859" s="37"/>
      <c r="QY2859" s="37"/>
      <c r="QZ2859" s="37"/>
      <c r="RA2859" s="37"/>
      <c r="RB2859" s="37"/>
      <c r="RC2859" s="37"/>
      <c r="RD2859" s="37"/>
      <c r="RE2859" s="37"/>
      <c r="RF2859" s="37"/>
      <c r="RG2859" s="37"/>
      <c r="RH2859" s="37"/>
      <c r="RI2859" s="37"/>
      <c r="RJ2859" s="37"/>
      <c r="RK2859" s="37"/>
      <c r="RL2859" s="37"/>
      <c r="RM2859" s="37"/>
      <c r="RN2859" s="37"/>
      <c r="RO2859" s="37"/>
      <c r="RP2859" s="37"/>
      <c r="RQ2859" s="37"/>
      <c r="RR2859" s="37"/>
      <c r="RS2859" s="37"/>
      <c r="RT2859" s="37"/>
      <c r="RU2859" s="37"/>
      <c r="RV2859" s="37"/>
      <c r="RW2859" s="37"/>
      <c r="RX2859" s="37"/>
      <c r="RY2859" s="37"/>
      <c r="RZ2859" s="37"/>
      <c r="SA2859" s="37"/>
      <c r="SB2859" s="37"/>
      <c r="SC2859" s="37"/>
      <c r="SD2859" s="37"/>
      <c r="SE2859" s="37"/>
      <c r="SF2859" s="37"/>
    </row>
    <row r="2860" spans="1:500">
      <c r="A2860" s="37"/>
      <c r="B2860" s="37"/>
      <c r="C2860" s="37"/>
      <c r="D2860" s="37"/>
      <c r="E2860" s="37"/>
      <c r="F2860" s="37"/>
      <c r="G2860" s="37"/>
      <c r="H2860" s="37"/>
      <c r="I2860" s="37"/>
      <c r="J2860" s="37"/>
      <c r="K2860" s="37"/>
      <c r="L2860" s="37"/>
      <c r="M2860" s="37"/>
      <c r="N2860" s="37"/>
      <c r="O2860" s="37"/>
      <c r="P2860" s="37"/>
      <c r="Q2860" s="37"/>
      <c r="R2860" s="37"/>
      <c r="S2860" s="37"/>
      <c r="T2860" s="37"/>
      <c r="U2860" s="37"/>
      <c r="V2860" s="37"/>
      <c r="W2860" s="37"/>
      <c r="X2860" s="37"/>
      <c r="Y2860" s="37"/>
      <c r="Z2860" s="37"/>
      <c r="AA2860" s="37"/>
      <c r="AB2860" s="37"/>
      <c r="AC2860" s="37"/>
      <c r="AD2860" s="37"/>
      <c r="AE2860" s="37"/>
      <c r="AF2860" s="37"/>
      <c r="AG2860" s="37"/>
      <c r="AH2860" s="37"/>
      <c r="AI2860" s="37"/>
      <c r="AJ2860" s="37"/>
      <c r="AK2860" s="37"/>
      <c r="AL2860" s="37"/>
      <c r="AM2860" s="37"/>
      <c r="AN2860" s="37"/>
      <c r="AO2860" s="37"/>
      <c r="AP2860" s="37"/>
      <c r="AQ2860" s="37"/>
      <c r="AR2860" s="37"/>
      <c r="AS2860" s="37"/>
      <c r="AT2860" s="37"/>
      <c r="AU2860" s="37"/>
      <c r="AV2860" s="37"/>
      <c r="AW2860" s="37"/>
      <c r="AX2860" s="37"/>
      <c r="AY2860" s="37"/>
      <c r="AZ2860" s="37"/>
      <c r="BA2860" s="37"/>
      <c r="BB2860" s="37"/>
      <c r="BC2860" s="37"/>
      <c r="BD2860" s="37"/>
      <c r="BE2860" s="37"/>
      <c r="BF2860" s="37"/>
      <c r="BG2860" s="37"/>
      <c r="BH2860" s="37"/>
      <c r="BI2860" s="37"/>
      <c r="BJ2860" s="37"/>
      <c r="BK2860" s="37"/>
      <c r="BL2860" s="37"/>
      <c r="BM2860" s="37"/>
      <c r="BN2860" s="37"/>
      <c r="BO2860" s="37"/>
      <c r="BP2860" s="37"/>
      <c r="BQ2860" s="37"/>
      <c r="BR2860" s="37"/>
      <c r="BS2860" s="37"/>
      <c r="BT2860" s="37"/>
      <c r="BU2860" s="37"/>
      <c r="BV2860" s="37"/>
      <c r="BW2860" s="37"/>
      <c r="BX2860" s="37"/>
      <c r="BY2860" s="37"/>
      <c r="BZ2860" s="37"/>
      <c r="CA2860" s="37"/>
      <c r="CB2860" s="37"/>
      <c r="CC2860" s="37"/>
      <c r="CD2860" s="37"/>
      <c r="CE2860" s="37"/>
      <c r="CF2860" s="37"/>
      <c r="CG2860" s="37"/>
      <c r="CH2860" s="37"/>
      <c r="CI2860" s="37"/>
      <c r="CJ2860" s="37"/>
      <c r="CK2860" s="37"/>
      <c r="CL2860" s="37"/>
      <c r="CM2860" s="37"/>
      <c r="CN2860" s="37"/>
      <c r="CO2860" s="37"/>
      <c r="CP2860" s="37"/>
      <c r="CQ2860" s="37"/>
      <c r="CR2860" s="37"/>
      <c r="CS2860" s="37"/>
      <c r="CT2860" s="37"/>
      <c r="CU2860" s="37"/>
      <c r="CV2860" s="37"/>
      <c r="CW2860" s="37"/>
      <c r="CX2860" s="37"/>
      <c r="CY2860" s="37"/>
      <c r="CZ2860" s="37"/>
      <c r="DA2860" s="37"/>
      <c r="DB2860" s="37"/>
      <c r="DC2860" s="37"/>
      <c r="DD2860" s="37"/>
      <c r="DE2860" s="37"/>
      <c r="DF2860" s="37"/>
      <c r="DG2860" s="37"/>
      <c r="DH2860" s="37"/>
      <c r="DI2860" s="37"/>
      <c r="DJ2860" s="37"/>
      <c r="DK2860" s="37"/>
      <c r="DL2860" s="37"/>
      <c r="DM2860" s="37"/>
      <c r="DN2860" s="37"/>
      <c r="DO2860" s="37"/>
      <c r="DP2860" s="37"/>
      <c r="DQ2860" s="37"/>
      <c r="DR2860" s="37"/>
      <c r="DS2860" s="37"/>
      <c r="DT2860" s="37"/>
      <c r="DU2860" s="37"/>
      <c r="DV2860" s="37"/>
      <c r="DW2860" s="37"/>
      <c r="DX2860" s="37"/>
      <c r="DY2860" s="37"/>
      <c r="DZ2860" s="37"/>
      <c r="EA2860" s="37"/>
      <c r="EB2860" s="37"/>
      <c r="EC2860" s="37"/>
      <c r="ED2860" s="37"/>
      <c r="EE2860" s="37"/>
      <c r="EF2860" s="37"/>
      <c r="EG2860" s="37"/>
      <c r="EH2860" s="37"/>
      <c r="EI2860" s="37"/>
      <c r="EJ2860" s="37"/>
      <c r="EK2860" s="37"/>
      <c r="EL2860" s="37"/>
      <c r="EM2860" s="37"/>
      <c r="EN2860" s="37"/>
      <c r="EO2860" s="37"/>
      <c r="EP2860" s="37"/>
      <c r="EQ2860" s="37"/>
      <c r="ER2860" s="37"/>
      <c r="ES2860" s="37"/>
      <c r="ET2860" s="37"/>
      <c r="EU2860" s="37"/>
      <c r="EV2860" s="37"/>
      <c r="EW2860" s="37"/>
      <c r="EX2860" s="37"/>
      <c r="EY2860" s="37"/>
      <c r="EZ2860" s="37"/>
      <c r="FA2860" s="37"/>
      <c r="FB2860" s="37"/>
      <c r="FC2860" s="37"/>
      <c r="FD2860" s="37"/>
      <c r="FE2860" s="37"/>
      <c r="FF2860" s="37"/>
      <c r="FG2860" s="37"/>
      <c r="FH2860" s="37"/>
      <c r="FI2860" s="37"/>
      <c r="FJ2860" s="37"/>
      <c r="FK2860" s="37"/>
      <c r="FL2860" s="37"/>
      <c r="FM2860" s="37"/>
      <c r="FN2860" s="37"/>
      <c r="FO2860" s="37"/>
      <c r="FP2860" s="37"/>
      <c r="FQ2860" s="37"/>
      <c r="FR2860" s="37"/>
      <c r="FS2860" s="37"/>
      <c r="FT2860" s="37"/>
      <c r="FU2860" s="37"/>
      <c r="FV2860" s="37"/>
      <c r="FW2860" s="37"/>
      <c r="FX2860" s="37"/>
      <c r="FY2860" s="37"/>
      <c r="FZ2860" s="37"/>
      <c r="GA2860" s="37"/>
      <c r="GB2860" s="37"/>
      <c r="GC2860" s="37"/>
      <c r="GD2860" s="37"/>
      <c r="GE2860" s="37"/>
      <c r="GF2860" s="37"/>
      <c r="GG2860" s="37"/>
      <c r="GH2860" s="37"/>
      <c r="GI2860" s="37"/>
      <c r="GJ2860" s="37"/>
      <c r="GK2860" s="37"/>
      <c r="GL2860" s="37"/>
      <c r="GM2860" s="37"/>
      <c r="GN2860" s="37"/>
      <c r="GO2860" s="37"/>
      <c r="GP2860" s="37"/>
      <c r="GQ2860" s="37"/>
      <c r="GR2860" s="37"/>
      <c r="GS2860" s="37"/>
      <c r="GT2860" s="37"/>
      <c r="GU2860" s="37"/>
      <c r="GV2860" s="37"/>
      <c r="GW2860" s="37"/>
      <c r="GX2860" s="37"/>
      <c r="GY2860" s="37"/>
      <c r="GZ2860" s="37"/>
      <c r="HA2860" s="37"/>
      <c r="HB2860" s="37"/>
      <c r="HC2860" s="37"/>
      <c r="HD2860" s="37"/>
      <c r="HE2860" s="37"/>
      <c r="HF2860" s="37"/>
      <c r="HG2860" s="37"/>
      <c r="HH2860" s="37"/>
      <c r="HI2860" s="37"/>
      <c r="HJ2860" s="37"/>
      <c r="HK2860" s="37"/>
      <c r="HL2860" s="37"/>
      <c r="HM2860" s="37"/>
      <c r="HN2860" s="37"/>
      <c r="HO2860" s="37"/>
      <c r="HP2860" s="37"/>
      <c r="HQ2860" s="37"/>
      <c r="HR2860" s="37"/>
      <c r="HS2860" s="37"/>
      <c r="HT2860" s="37"/>
      <c r="HU2860" s="37"/>
      <c r="HV2860" s="37"/>
      <c r="HW2860" s="37"/>
      <c r="HX2860" s="37"/>
      <c r="HY2860" s="37"/>
      <c r="HZ2860" s="37"/>
      <c r="IA2860" s="37"/>
      <c r="IB2860" s="37"/>
      <c r="IC2860" s="37"/>
      <c r="ID2860" s="37"/>
      <c r="IE2860" s="37"/>
      <c r="IF2860" s="37"/>
      <c r="IG2860" s="37"/>
      <c r="IH2860" s="37"/>
      <c r="II2860" s="37"/>
      <c r="IJ2860" s="37"/>
      <c r="IK2860" s="37"/>
      <c r="IL2860" s="37"/>
      <c r="IM2860" s="37"/>
      <c r="IN2860" s="37"/>
      <c r="IO2860" s="37"/>
      <c r="IP2860" s="37"/>
      <c r="IQ2860" s="37"/>
      <c r="IR2860" s="37"/>
      <c r="IS2860" s="37"/>
      <c r="IT2860" s="37"/>
      <c r="IU2860" s="37"/>
      <c r="IV2860" s="37"/>
      <c r="IW2860" s="37"/>
      <c r="IX2860" s="37"/>
      <c r="IY2860" s="37"/>
      <c r="IZ2860" s="37"/>
      <c r="JA2860" s="37"/>
      <c r="JB2860" s="37"/>
      <c r="JC2860" s="37"/>
      <c r="JD2860" s="37"/>
      <c r="JE2860" s="37"/>
      <c r="JF2860" s="37"/>
      <c r="JG2860" s="37"/>
      <c r="JH2860" s="37"/>
      <c r="JI2860" s="37"/>
      <c r="JJ2860" s="37"/>
      <c r="JK2860" s="37"/>
      <c r="JL2860" s="37"/>
      <c r="JM2860" s="37"/>
      <c r="JN2860" s="37"/>
      <c r="JO2860" s="37"/>
      <c r="JP2860" s="37"/>
      <c r="JQ2860" s="37"/>
      <c r="JR2860" s="37"/>
      <c r="JS2860" s="37"/>
      <c r="JT2860" s="37"/>
      <c r="JU2860" s="37"/>
      <c r="JV2860" s="37"/>
      <c r="JW2860" s="37"/>
      <c r="JX2860" s="37"/>
      <c r="JY2860" s="37"/>
      <c r="JZ2860" s="37"/>
      <c r="KA2860" s="37"/>
      <c r="KB2860" s="37"/>
      <c r="KC2860" s="37"/>
      <c r="KD2860" s="37"/>
      <c r="KE2860" s="37"/>
      <c r="KF2860" s="37"/>
      <c r="KG2860" s="37"/>
      <c r="KH2860" s="37"/>
      <c r="KI2860" s="37"/>
      <c r="KJ2860" s="37"/>
      <c r="KK2860" s="37"/>
      <c r="KL2860" s="37"/>
      <c r="KM2860" s="37"/>
      <c r="KN2860" s="37"/>
      <c r="KO2860" s="37"/>
      <c r="KP2860" s="37"/>
      <c r="KQ2860" s="37"/>
      <c r="KR2860" s="37"/>
      <c r="KS2860" s="37"/>
      <c r="KT2860" s="37"/>
      <c r="KU2860" s="37"/>
      <c r="KV2860" s="37"/>
      <c r="KW2860" s="37"/>
      <c r="KX2860" s="37"/>
      <c r="KY2860" s="37"/>
      <c r="KZ2860" s="37"/>
      <c r="LA2860" s="37"/>
      <c r="LB2860" s="37"/>
      <c r="LC2860" s="37"/>
      <c r="LD2860" s="37"/>
      <c r="LE2860" s="37"/>
      <c r="LF2860" s="37"/>
      <c r="LG2860" s="37"/>
      <c r="LH2860" s="37"/>
      <c r="LI2860" s="37"/>
      <c r="LJ2860" s="37"/>
      <c r="LK2860" s="37"/>
      <c r="LL2860" s="37"/>
      <c r="LM2860" s="37"/>
      <c r="LN2860" s="37"/>
      <c r="LO2860" s="37"/>
      <c r="LP2860" s="37"/>
      <c r="LQ2860" s="37"/>
      <c r="LR2860" s="37"/>
      <c r="LS2860" s="37"/>
      <c r="LT2860" s="37"/>
      <c r="LU2860" s="37"/>
      <c r="LV2860" s="37"/>
      <c r="LW2860" s="37"/>
      <c r="LX2860" s="37"/>
      <c r="LY2860" s="37"/>
      <c r="LZ2860" s="37"/>
      <c r="MA2860" s="37"/>
      <c r="MB2860" s="37"/>
      <c r="MC2860" s="37"/>
      <c r="MD2860" s="37"/>
      <c r="ME2860" s="37"/>
      <c r="MF2860" s="37"/>
      <c r="MG2860" s="37"/>
      <c r="MH2860" s="37"/>
      <c r="MI2860" s="37"/>
      <c r="MJ2860" s="37"/>
      <c r="MK2860" s="37"/>
      <c r="ML2860" s="37"/>
      <c r="MM2860" s="37"/>
      <c r="MN2860" s="37"/>
      <c r="MO2860" s="37"/>
      <c r="MP2860" s="37"/>
      <c r="MQ2860" s="37"/>
      <c r="MR2860" s="37"/>
      <c r="MS2860" s="37"/>
      <c r="MT2860" s="37"/>
      <c r="MU2860" s="37"/>
      <c r="MV2860" s="37"/>
      <c r="MW2860" s="37"/>
      <c r="MX2860" s="37"/>
      <c r="MY2860" s="37"/>
      <c r="MZ2860" s="37"/>
      <c r="NA2860" s="37"/>
      <c r="NB2860" s="37"/>
      <c r="NC2860" s="37"/>
      <c r="ND2860" s="37"/>
      <c r="NE2860" s="37"/>
      <c r="NF2860" s="37"/>
      <c r="NG2860" s="37"/>
      <c r="NH2860" s="37"/>
      <c r="NI2860" s="37"/>
      <c r="NJ2860" s="37"/>
      <c r="NK2860" s="37"/>
      <c r="NL2860" s="37"/>
      <c r="NM2860" s="37"/>
      <c r="NN2860" s="37"/>
      <c r="NO2860" s="37"/>
      <c r="NP2860" s="37"/>
      <c r="NQ2860" s="37"/>
      <c r="NR2860" s="37"/>
      <c r="NS2860" s="37"/>
      <c r="NT2860" s="37"/>
      <c r="NU2860" s="37"/>
      <c r="NV2860" s="37"/>
      <c r="NW2860" s="37"/>
      <c r="NX2860" s="37"/>
      <c r="NY2860" s="37"/>
      <c r="NZ2860" s="37"/>
      <c r="OA2860" s="37"/>
      <c r="OB2860" s="37"/>
      <c r="OC2860" s="37"/>
      <c r="OD2860" s="37"/>
      <c r="OE2860" s="37"/>
      <c r="OF2860" s="37"/>
      <c r="OG2860" s="37"/>
      <c r="OH2860" s="37"/>
      <c r="OI2860" s="37"/>
      <c r="OJ2860" s="37"/>
      <c r="OK2860" s="37"/>
      <c r="OL2860" s="37"/>
      <c r="OM2860" s="37"/>
      <c r="ON2860" s="37"/>
      <c r="OO2860" s="37"/>
      <c r="OP2860" s="37"/>
      <c r="OQ2860" s="37"/>
      <c r="OR2860" s="37"/>
      <c r="OS2860" s="37"/>
      <c r="OT2860" s="37"/>
      <c r="OU2860" s="37"/>
      <c r="OV2860" s="37"/>
      <c r="OW2860" s="37"/>
      <c r="OX2860" s="37"/>
      <c r="OY2860" s="37"/>
      <c r="OZ2860" s="37"/>
      <c r="PA2860" s="37"/>
      <c r="PB2860" s="37"/>
      <c r="PC2860" s="37"/>
      <c r="PD2860" s="37"/>
      <c r="PE2860" s="37"/>
      <c r="PF2860" s="37"/>
      <c r="PG2860" s="37"/>
      <c r="PH2860" s="37"/>
      <c r="PI2860" s="37"/>
      <c r="PJ2860" s="37"/>
      <c r="PK2860" s="37"/>
      <c r="PL2860" s="37"/>
      <c r="PM2860" s="37"/>
      <c r="PN2860" s="37"/>
      <c r="PO2860" s="37"/>
      <c r="PP2860" s="37"/>
      <c r="PQ2860" s="37"/>
      <c r="PR2860" s="37"/>
      <c r="PS2860" s="37"/>
      <c r="PT2860" s="37"/>
      <c r="PU2860" s="37"/>
      <c r="PV2860" s="37"/>
      <c r="PW2860" s="37"/>
      <c r="PX2860" s="37"/>
      <c r="PY2860" s="37"/>
      <c r="PZ2860" s="37"/>
      <c r="QA2860" s="37"/>
      <c r="QB2860" s="37"/>
      <c r="QC2860" s="37"/>
      <c r="QD2860" s="37"/>
      <c r="QE2860" s="37"/>
      <c r="QF2860" s="37"/>
      <c r="QG2860" s="37"/>
      <c r="QH2860" s="37"/>
      <c r="QI2860" s="37"/>
      <c r="QJ2860" s="37"/>
      <c r="QK2860" s="37"/>
      <c r="QL2860" s="37"/>
      <c r="QM2860" s="37"/>
      <c r="QN2860" s="37"/>
      <c r="QO2860" s="37"/>
      <c r="QP2860" s="37"/>
      <c r="QQ2860" s="37"/>
      <c r="QR2860" s="37"/>
      <c r="QS2860" s="37"/>
      <c r="QT2860" s="37"/>
      <c r="QU2860" s="37"/>
      <c r="QV2860" s="37"/>
      <c r="QW2860" s="37"/>
      <c r="QX2860" s="37"/>
      <c r="QY2860" s="37"/>
      <c r="QZ2860" s="37"/>
      <c r="RA2860" s="37"/>
      <c r="RB2860" s="37"/>
      <c r="RC2860" s="37"/>
      <c r="RD2860" s="37"/>
      <c r="RE2860" s="37"/>
      <c r="RF2860" s="37"/>
      <c r="RG2860" s="37"/>
      <c r="RH2860" s="37"/>
      <c r="RI2860" s="37"/>
      <c r="RJ2860" s="37"/>
      <c r="RK2860" s="37"/>
      <c r="RL2860" s="37"/>
      <c r="RM2860" s="37"/>
      <c r="RN2860" s="37"/>
      <c r="RO2860" s="37"/>
      <c r="RP2860" s="37"/>
      <c r="RQ2860" s="37"/>
      <c r="RR2860" s="37"/>
      <c r="RS2860" s="37"/>
      <c r="RT2860" s="37"/>
      <c r="RU2860" s="37"/>
      <c r="RV2860" s="37"/>
      <c r="RW2860" s="37"/>
      <c r="RX2860" s="37"/>
      <c r="RY2860" s="37"/>
      <c r="RZ2860" s="37"/>
      <c r="SA2860" s="37"/>
      <c r="SB2860" s="37"/>
      <c r="SC2860" s="37"/>
      <c r="SD2860" s="37"/>
      <c r="SE2860" s="37"/>
      <c r="SF2860" s="37"/>
    </row>
    <row r="2861" spans="1:500">
      <c r="A2861" s="37"/>
      <c r="B2861" s="37"/>
      <c r="C2861" s="37"/>
      <c r="D2861" s="37"/>
      <c r="E2861" s="37"/>
      <c r="F2861" s="37"/>
      <c r="G2861" s="37"/>
      <c r="H2861" s="37"/>
      <c r="I2861" s="37"/>
      <c r="J2861" s="37"/>
      <c r="K2861" s="37"/>
      <c r="L2861" s="37"/>
      <c r="M2861" s="37"/>
      <c r="N2861" s="37"/>
      <c r="O2861" s="37"/>
      <c r="P2861" s="37"/>
      <c r="Q2861" s="37"/>
      <c r="R2861" s="37"/>
      <c r="S2861" s="37"/>
      <c r="T2861" s="37"/>
      <c r="U2861" s="37"/>
      <c r="V2861" s="37"/>
      <c r="W2861" s="37"/>
      <c r="X2861" s="37"/>
      <c r="Y2861" s="37"/>
      <c r="Z2861" s="37"/>
      <c r="AA2861" s="37"/>
      <c r="AB2861" s="37"/>
      <c r="AC2861" s="37"/>
      <c r="AD2861" s="37"/>
      <c r="AE2861" s="37"/>
      <c r="AF2861" s="37"/>
      <c r="AG2861" s="37"/>
      <c r="AH2861" s="37"/>
      <c r="AI2861" s="37"/>
      <c r="AJ2861" s="37"/>
      <c r="AK2861" s="37"/>
      <c r="AL2861" s="37"/>
      <c r="AM2861" s="37"/>
      <c r="AN2861" s="37"/>
      <c r="AO2861" s="37"/>
      <c r="AP2861" s="37"/>
      <c r="AQ2861" s="37"/>
      <c r="AR2861" s="37"/>
      <c r="AS2861" s="37"/>
      <c r="AT2861" s="37"/>
      <c r="AU2861" s="37"/>
      <c r="AV2861" s="37"/>
      <c r="AW2861" s="37"/>
      <c r="AX2861" s="37"/>
      <c r="AY2861" s="37"/>
      <c r="AZ2861" s="37"/>
      <c r="BA2861" s="37"/>
      <c r="BB2861" s="37"/>
      <c r="BC2861" s="37"/>
      <c r="BD2861" s="37"/>
      <c r="BE2861" s="37"/>
      <c r="BF2861" s="37"/>
      <c r="BG2861" s="37"/>
      <c r="BH2861" s="37"/>
      <c r="BI2861" s="37"/>
      <c r="BJ2861" s="37"/>
      <c r="BK2861" s="37"/>
      <c r="BL2861" s="37"/>
      <c r="BM2861" s="37"/>
      <c r="BN2861" s="37"/>
      <c r="BO2861" s="37"/>
      <c r="BP2861" s="37"/>
      <c r="BQ2861" s="37"/>
      <c r="BR2861" s="37"/>
      <c r="BS2861" s="37"/>
      <c r="BT2861" s="37"/>
      <c r="BU2861" s="37"/>
      <c r="BV2861" s="37"/>
      <c r="BW2861" s="37"/>
      <c r="BX2861" s="37"/>
      <c r="BY2861" s="37"/>
      <c r="BZ2861" s="37"/>
      <c r="CA2861" s="37"/>
      <c r="CB2861" s="37"/>
      <c r="CC2861" s="37"/>
      <c r="CD2861" s="37"/>
      <c r="CE2861" s="37"/>
      <c r="CF2861" s="37"/>
      <c r="CG2861" s="37"/>
      <c r="CH2861" s="37"/>
      <c r="CI2861" s="37"/>
      <c r="CJ2861" s="37"/>
      <c r="CK2861" s="37"/>
      <c r="CL2861" s="37"/>
      <c r="CM2861" s="37"/>
      <c r="CN2861" s="37"/>
      <c r="CO2861" s="37"/>
      <c r="CP2861" s="37"/>
      <c r="CQ2861" s="37"/>
      <c r="CR2861" s="37"/>
      <c r="CS2861" s="37"/>
      <c r="CT2861" s="37"/>
      <c r="CU2861" s="37"/>
      <c r="CV2861" s="37"/>
      <c r="CW2861" s="37"/>
      <c r="CX2861" s="37"/>
      <c r="CY2861" s="37"/>
      <c r="CZ2861" s="37"/>
      <c r="DA2861" s="37"/>
      <c r="DB2861" s="37"/>
      <c r="DC2861" s="37"/>
      <c r="DD2861" s="37"/>
      <c r="DE2861" s="37"/>
      <c r="DF2861" s="37"/>
      <c r="DG2861" s="37"/>
      <c r="DH2861" s="37"/>
      <c r="DI2861" s="37"/>
      <c r="DJ2861" s="37"/>
      <c r="DK2861" s="37"/>
      <c r="DL2861" s="37"/>
      <c r="DM2861" s="37"/>
      <c r="DN2861" s="37"/>
      <c r="DO2861" s="37"/>
      <c r="DP2861" s="37"/>
      <c r="DQ2861" s="37"/>
      <c r="DR2861" s="37"/>
      <c r="DS2861" s="37"/>
      <c r="DT2861" s="37"/>
      <c r="DU2861" s="37"/>
      <c r="DV2861" s="37"/>
      <c r="DW2861" s="37"/>
      <c r="DX2861" s="37"/>
      <c r="DY2861" s="37"/>
      <c r="DZ2861" s="37"/>
      <c r="EA2861" s="37"/>
      <c r="EB2861" s="37"/>
      <c r="EC2861" s="37"/>
      <c r="ED2861" s="37"/>
      <c r="EE2861" s="37"/>
      <c r="EF2861" s="37"/>
      <c r="EG2861" s="37"/>
      <c r="EH2861" s="37"/>
      <c r="EI2861" s="37"/>
      <c r="EJ2861" s="37"/>
      <c r="EK2861" s="37"/>
      <c r="EL2861" s="37"/>
      <c r="EM2861" s="37"/>
      <c r="EN2861" s="37"/>
      <c r="EO2861" s="37"/>
      <c r="EP2861" s="37"/>
      <c r="EQ2861" s="37"/>
      <c r="ER2861" s="37"/>
      <c r="ES2861" s="37"/>
      <c r="ET2861" s="37"/>
      <c r="EU2861" s="37"/>
      <c r="EV2861" s="37"/>
      <c r="EW2861" s="37"/>
      <c r="EX2861" s="37"/>
      <c r="EY2861" s="37"/>
      <c r="EZ2861" s="37"/>
      <c r="FA2861" s="37"/>
      <c r="FB2861" s="37"/>
      <c r="FC2861" s="37"/>
      <c r="FD2861" s="37"/>
      <c r="FE2861" s="37"/>
      <c r="FF2861" s="37"/>
      <c r="FG2861" s="37"/>
      <c r="FH2861" s="37"/>
      <c r="FI2861" s="37"/>
      <c r="FJ2861" s="37"/>
      <c r="FK2861" s="37"/>
      <c r="FL2861" s="37"/>
      <c r="FM2861" s="37"/>
      <c r="FN2861" s="37"/>
      <c r="FO2861" s="37"/>
      <c r="FP2861" s="37"/>
      <c r="FQ2861" s="37"/>
      <c r="FR2861" s="37"/>
      <c r="FS2861" s="37"/>
      <c r="FT2861" s="37"/>
      <c r="FU2861" s="37"/>
      <c r="FV2861" s="37"/>
      <c r="FW2861" s="37"/>
      <c r="FX2861" s="37"/>
      <c r="FY2861" s="37"/>
      <c r="FZ2861" s="37"/>
      <c r="GA2861" s="37"/>
      <c r="GB2861" s="37"/>
      <c r="GC2861" s="37"/>
      <c r="GD2861" s="37"/>
      <c r="GE2861" s="37"/>
      <c r="GF2861" s="37"/>
      <c r="GG2861" s="37"/>
      <c r="GH2861" s="37"/>
      <c r="GI2861" s="37"/>
      <c r="GJ2861" s="37"/>
      <c r="GK2861" s="37"/>
      <c r="GL2861" s="37"/>
      <c r="GM2861" s="37"/>
      <c r="GN2861" s="37"/>
      <c r="GO2861" s="37"/>
      <c r="GP2861" s="37"/>
      <c r="GQ2861" s="37"/>
      <c r="GR2861" s="37"/>
      <c r="GS2861" s="37"/>
      <c r="GT2861" s="37"/>
      <c r="GU2861" s="37"/>
      <c r="GV2861" s="37"/>
      <c r="GW2861" s="37"/>
      <c r="GX2861" s="37"/>
      <c r="GY2861" s="37"/>
      <c r="GZ2861" s="37"/>
      <c r="HA2861" s="37"/>
      <c r="HB2861" s="37"/>
      <c r="HC2861" s="37"/>
      <c r="HD2861" s="37"/>
      <c r="HE2861" s="37"/>
      <c r="HF2861" s="37"/>
      <c r="HG2861" s="37"/>
      <c r="HH2861" s="37"/>
      <c r="HI2861" s="37"/>
      <c r="HJ2861" s="37"/>
      <c r="HK2861" s="37"/>
      <c r="HL2861" s="37"/>
      <c r="HM2861" s="37"/>
      <c r="HN2861" s="37"/>
      <c r="HO2861" s="37"/>
      <c r="HP2861" s="37"/>
      <c r="HQ2861" s="37"/>
      <c r="HR2861" s="37"/>
      <c r="HS2861" s="37"/>
      <c r="HT2861" s="37"/>
      <c r="HU2861" s="37"/>
      <c r="HV2861" s="37"/>
      <c r="HW2861" s="37"/>
      <c r="HX2861" s="37"/>
      <c r="HY2861" s="37"/>
      <c r="HZ2861" s="37"/>
      <c r="IA2861" s="37"/>
      <c r="IB2861" s="37"/>
      <c r="IC2861" s="37"/>
      <c r="ID2861" s="37"/>
      <c r="IE2861" s="37"/>
      <c r="IF2861" s="37"/>
      <c r="IG2861" s="37"/>
      <c r="IH2861" s="37"/>
      <c r="II2861" s="37"/>
      <c r="IJ2861" s="37"/>
      <c r="IK2861" s="37"/>
      <c r="IL2861" s="37"/>
      <c r="IM2861" s="37"/>
      <c r="IN2861" s="37"/>
      <c r="IO2861" s="37"/>
      <c r="IP2861" s="37"/>
      <c r="IQ2861" s="37"/>
      <c r="IR2861" s="37"/>
      <c r="IS2861" s="37"/>
      <c r="IT2861" s="37"/>
      <c r="IU2861" s="37"/>
      <c r="IV2861" s="37"/>
      <c r="IW2861" s="37"/>
      <c r="IX2861" s="37"/>
      <c r="IY2861" s="37"/>
      <c r="IZ2861" s="37"/>
      <c r="JA2861" s="37"/>
      <c r="JB2861" s="37"/>
      <c r="JC2861" s="37"/>
      <c r="JD2861" s="37"/>
      <c r="JE2861" s="37"/>
      <c r="JF2861" s="37"/>
      <c r="JG2861" s="37"/>
      <c r="JH2861" s="37"/>
      <c r="JI2861" s="37"/>
      <c r="JJ2861" s="37"/>
      <c r="JK2861" s="37"/>
      <c r="JL2861" s="37"/>
      <c r="JM2861" s="37"/>
      <c r="JN2861" s="37"/>
      <c r="JO2861" s="37"/>
      <c r="JP2861" s="37"/>
      <c r="JQ2861" s="37"/>
      <c r="JR2861" s="37"/>
      <c r="JS2861" s="37"/>
      <c r="JT2861" s="37"/>
      <c r="JU2861" s="37"/>
      <c r="JV2861" s="37"/>
      <c r="JW2861" s="37"/>
      <c r="JX2861" s="37"/>
      <c r="JY2861" s="37"/>
      <c r="JZ2861" s="37"/>
      <c r="KA2861" s="37"/>
      <c r="KB2861" s="37"/>
      <c r="KC2861" s="37"/>
      <c r="KD2861" s="37"/>
      <c r="KE2861" s="37"/>
      <c r="KF2861" s="37"/>
      <c r="KG2861" s="37"/>
      <c r="KH2861" s="37"/>
      <c r="KI2861" s="37"/>
      <c r="KJ2861" s="37"/>
      <c r="KK2861" s="37"/>
      <c r="KL2861" s="37"/>
      <c r="KM2861" s="37"/>
      <c r="KN2861" s="37"/>
      <c r="KO2861" s="37"/>
      <c r="KP2861" s="37"/>
      <c r="KQ2861" s="37"/>
      <c r="KR2861" s="37"/>
      <c r="KS2861" s="37"/>
      <c r="KT2861" s="37"/>
      <c r="KU2861" s="37"/>
      <c r="KV2861" s="37"/>
      <c r="KW2861" s="37"/>
      <c r="KX2861" s="37"/>
      <c r="KY2861" s="37"/>
      <c r="KZ2861" s="37"/>
      <c r="LA2861" s="37"/>
      <c r="LB2861" s="37"/>
      <c r="LC2861" s="37"/>
      <c r="LD2861" s="37"/>
      <c r="LE2861" s="37"/>
      <c r="LF2861" s="37"/>
      <c r="LG2861" s="37"/>
      <c r="LH2861" s="37"/>
      <c r="LI2861" s="37"/>
      <c r="LJ2861" s="37"/>
      <c r="LK2861" s="37"/>
      <c r="LL2861" s="37"/>
      <c r="LM2861" s="37"/>
      <c r="LN2861" s="37"/>
      <c r="LO2861" s="37"/>
      <c r="LP2861" s="37"/>
      <c r="LQ2861" s="37"/>
      <c r="LR2861" s="37"/>
      <c r="LS2861" s="37"/>
      <c r="LT2861" s="37"/>
      <c r="LU2861" s="37"/>
      <c r="LV2861" s="37"/>
      <c r="LW2861" s="37"/>
      <c r="LX2861" s="37"/>
      <c r="LY2861" s="37"/>
      <c r="LZ2861" s="37"/>
      <c r="MA2861" s="37"/>
      <c r="MB2861" s="37"/>
      <c r="MC2861" s="37"/>
      <c r="MD2861" s="37"/>
      <c r="ME2861" s="37"/>
      <c r="MF2861" s="37"/>
      <c r="MG2861" s="37"/>
      <c r="MH2861" s="37"/>
      <c r="MI2861" s="37"/>
      <c r="MJ2861" s="37"/>
      <c r="MK2861" s="37"/>
      <c r="ML2861" s="37"/>
      <c r="MM2861" s="37"/>
      <c r="MN2861" s="37"/>
      <c r="MO2861" s="37"/>
      <c r="MP2861" s="37"/>
      <c r="MQ2861" s="37"/>
      <c r="MR2861" s="37"/>
      <c r="MS2861" s="37"/>
      <c r="MT2861" s="37"/>
      <c r="MU2861" s="37"/>
      <c r="MV2861" s="37"/>
      <c r="MW2861" s="37"/>
      <c r="MX2861" s="37"/>
      <c r="MY2861" s="37"/>
      <c r="MZ2861" s="37"/>
      <c r="NA2861" s="37"/>
      <c r="NB2861" s="37"/>
      <c r="NC2861" s="37"/>
      <c r="ND2861" s="37"/>
      <c r="NE2861" s="37"/>
      <c r="NF2861" s="37"/>
      <c r="NG2861" s="37"/>
      <c r="NH2861" s="37"/>
      <c r="NI2861" s="37"/>
      <c r="NJ2861" s="37"/>
      <c r="NK2861" s="37"/>
      <c r="NL2861" s="37"/>
      <c r="NM2861" s="37"/>
      <c r="NN2861" s="37"/>
      <c r="NO2861" s="37"/>
      <c r="NP2861" s="37"/>
      <c r="NQ2861" s="37"/>
      <c r="NR2861" s="37"/>
      <c r="NS2861" s="37"/>
      <c r="NT2861" s="37"/>
      <c r="NU2861" s="37"/>
      <c r="NV2861" s="37"/>
      <c r="NW2861" s="37"/>
      <c r="NX2861" s="37"/>
      <c r="NY2861" s="37"/>
      <c r="NZ2861" s="37"/>
      <c r="OA2861" s="37"/>
      <c r="OB2861" s="37"/>
      <c r="OC2861" s="37"/>
      <c r="OD2861" s="37"/>
      <c r="OE2861" s="37"/>
      <c r="OF2861" s="37"/>
      <c r="OG2861" s="37"/>
      <c r="OH2861" s="37"/>
      <c r="OI2861" s="37"/>
      <c r="OJ2861" s="37"/>
      <c r="OK2861" s="37"/>
      <c r="OL2861" s="37"/>
      <c r="OM2861" s="37"/>
      <c r="ON2861" s="37"/>
      <c r="OO2861" s="37"/>
      <c r="OP2861" s="37"/>
      <c r="OQ2861" s="37"/>
      <c r="OR2861" s="37"/>
      <c r="OS2861" s="37"/>
      <c r="OT2861" s="37"/>
      <c r="OU2861" s="37"/>
      <c r="OV2861" s="37"/>
      <c r="OW2861" s="37"/>
      <c r="OX2861" s="37"/>
      <c r="OY2861" s="37"/>
      <c r="OZ2861" s="37"/>
      <c r="PA2861" s="37"/>
      <c r="PB2861" s="37"/>
      <c r="PC2861" s="37"/>
      <c r="PD2861" s="37"/>
      <c r="PE2861" s="37"/>
      <c r="PF2861" s="37"/>
      <c r="PG2861" s="37"/>
      <c r="PH2861" s="37"/>
      <c r="PI2861" s="37"/>
      <c r="PJ2861" s="37"/>
      <c r="PK2861" s="37"/>
      <c r="PL2861" s="37"/>
      <c r="PM2861" s="37"/>
      <c r="PN2861" s="37"/>
      <c r="PO2861" s="37"/>
      <c r="PP2861" s="37"/>
      <c r="PQ2861" s="37"/>
      <c r="PR2861" s="37"/>
      <c r="PS2861" s="37"/>
      <c r="PT2861" s="37"/>
      <c r="PU2861" s="37"/>
      <c r="PV2861" s="37"/>
      <c r="PW2861" s="37"/>
      <c r="PX2861" s="37"/>
      <c r="PY2861" s="37"/>
      <c r="PZ2861" s="37"/>
      <c r="QA2861" s="37"/>
      <c r="QB2861" s="37"/>
      <c r="QC2861" s="37"/>
      <c r="QD2861" s="37"/>
      <c r="QE2861" s="37"/>
      <c r="QF2861" s="37"/>
      <c r="QG2861" s="37"/>
      <c r="QH2861" s="37"/>
      <c r="QI2861" s="37"/>
      <c r="QJ2861" s="37"/>
      <c r="QK2861" s="37"/>
      <c r="QL2861" s="37"/>
      <c r="QM2861" s="37"/>
      <c r="QN2861" s="37"/>
      <c r="QO2861" s="37"/>
      <c r="QP2861" s="37"/>
      <c r="QQ2861" s="37"/>
      <c r="QR2861" s="37"/>
      <c r="QS2861" s="37"/>
      <c r="QT2861" s="37"/>
      <c r="QU2861" s="37"/>
      <c r="QV2861" s="37"/>
      <c r="QW2861" s="37"/>
      <c r="QX2861" s="37"/>
      <c r="QY2861" s="37"/>
      <c r="QZ2861" s="37"/>
      <c r="RA2861" s="37"/>
      <c r="RB2861" s="37"/>
      <c r="RC2861" s="37"/>
      <c r="RD2861" s="37"/>
      <c r="RE2861" s="37"/>
      <c r="RF2861" s="37"/>
      <c r="RG2861" s="37"/>
      <c r="RH2861" s="37"/>
      <c r="RI2861" s="37"/>
      <c r="RJ2861" s="37"/>
      <c r="RK2861" s="37"/>
      <c r="RL2861" s="37"/>
      <c r="RM2861" s="37"/>
      <c r="RN2861" s="37"/>
      <c r="RO2861" s="37"/>
      <c r="RP2861" s="37"/>
      <c r="RQ2861" s="37"/>
      <c r="RR2861" s="37"/>
      <c r="RS2861" s="37"/>
      <c r="RT2861" s="37"/>
      <c r="RU2861" s="37"/>
      <c r="RV2861" s="37"/>
      <c r="RW2861" s="37"/>
      <c r="RX2861" s="37"/>
      <c r="RY2861" s="37"/>
      <c r="RZ2861" s="37"/>
      <c r="SA2861" s="37"/>
      <c r="SB2861" s="37"/>
      <c r="SC2861" s="37"/>
      <c r="SD2861" s="37"/>
      <c r="SE2861" s="37"/>
      <c r="SF2861" s="37"/>
    </row>
    <row r="2862" spans="1:500">
      <c r="A2862" s="37"/>
      <c r="B2862" s="37"/>
      <c r="C2862" s="37"/>
      <c r="D2862" s="37"/>
      <c r="E2862" s="37"/>
      <c r="F2862" s="37"/>
      <c r="G2862" s="37"/>
      <c r="H2862" s="37"/>
      <c r="I2862" s="37"/>
      <c r="J2862" s="37"/>
      <c r="K2862" s="37"/>
      <c r="L2862" s="37"/>
      <c r="M2862" s="37"/>
      <c r="N2862" s="37"/>
      <c r="O2862" s="37"/>
      <c r="P2862" s="37"/>
      <c r="Q2862" s="37"/>
      <c r="R2862" s="37"/>
      <c r="S2862" s="37"/>
      <c r="T2862" s="37"/>
      <c r="U2862" s="37"/>
      <c r="V2862" s="37"/>
      <c r="W2862" s="37"/>
      <c r="X2862" s="37"/>
      <c r="Y2862" s="37"/>
      <c r="Z2862" s="37"/>
      <c r="AA2862" s="37"/>
      <c r="AB2862" s="37"/>
      <c r="AC2862" s="37"/>
      <c r="AD2862" s="37"/>
      <c r="AE2862" s="37"/>
      <c r="AF2862" s="37"/>
      <c r="AG2862" s="37"/>
      <c r="AH2862" s="37"/>
      <c r="AI2862" s="37"/>
      <c r="AJ2862" s="37"/>
      <c r="AK2862" s="37"/>
      <c r="AL2862" s="37"/>
      <c r="AM2862" s="37"/>
      <c r="AN2862" s="37"/>
      <c r="AO2862" s="37"/>
      <c r="AP2862" s="37"/>
      <c r="AQ2862" s="37"/>
      <c r="AR2862" s="37"/>
      <c r="AS2862" s="37"/>
      <c r="AT2862" s="37"/>
      <c r="AU2862" s="37"/>
      <c r="AV2862" s="37"/>
      <c r="AW2862" s="37"/>
      <c r="AX2862" s="37"/>
      <c r="AY2862" s="37"/>
      <c r="AZ2862" s="37"/>
      <c r="BA2862" s="37"/>
      <c r="BB2862" s="37"/>
      <c r="BC2862" s="37"/>
      <c r="BD2862" s="37"/>
      <c r="BE2862" s="37"/>
      <c r="BF2862" s="37"/>
      <c r="BG2862" s="37"/>
      <c r="BH2862" s="37"/>
      <c r="BI2862" s="37"/>
      <c r="BJ2862" s="37"/>
      <c r="BK2862" s="37"/>
      <c r="BL2862" s="37"/>
      <c r="BM2862" s="37"/>
      <c r="BN2862" s="37"/>
      <c r="BO2862" s="37"/>
      <c r="BP2862" s="37"/>
      <c r="BQ2862" s="37"/>
      <c r="BR2862" s="37"/>
      <c r="BS2862" s="37"/>
      <c r="BT2862" s="37"/>
      <c r="BU2862" s="37"/>
      <c r="BV2862" s="37"/>
      <c r="BW2862" s="37"/>
      <c r="BX2862" s="37"/>
      <c r="BY2862" s="37"/>
      <c r="BZ2862" s="37"/>
      <c r="CA2862" s="37"/>
      <c r="CB2862" s="37"/>
      <c r="CC2862" s="37"/>
      <c r="CD2862" s="37"/>
      <c r="CE2862" s="37"/>
      <c r="CF2862" s="37"/>
      <c r="CG2862" s="37"/>
      <c r="CH2862" s="37"/>
      <c r="CI2862" s="37"/>
      <c r="CJ2862" s="37"/>
      <c r="CK2862" s="37"/>
      <c r="CL2862" s="37"/>
      <c r="CM2862" s="37"/>
      <c r="CN2862" s="37"/>
      <c r="CO2862" s="37"/>
      <c r="CP2862" s="37"/>
      <c r="CQ2862" s="37"/>
      <c r="CR2862" s="37"/>
      <c r="CS2862" s="37"/>
      <c r="CT2862" s="37"/>
      <c r="CU2862" s="37"/>
      <c r="CV2862" s="37"/>
      <c r="CW2862" s="37"/>
      <c r="CX2862" s="37"/>
      <c r="CY2862" s="37"/>
      <c r="CZ2862" s="37"/>
      <c r="DA2862" s="37"/>
      <c r="DB2862" s="37"/>
      <c r="DC2862" s="37"/>
      <c r="DD2862" s="37"/>
      <c r="DE2862" s="37"/>
      <c r="DF2862" s="37"/>
      <c r="DG2862" s="37"/>
      <c r="DH2862" s="37"/>
      <c r="DI2862" s="37"/>
      <c r="DJ2862" s="37"/>
      <c r="DK2862" s="37"/>
      <c r="DL2862" s="37"/>
      <c r="DM2862" s="37"/>
      <c r="DN2862" s="37"/>
      <c r="DO2862" s="37"/>
      <c r="DP2862" s="37"/>
      <c r="DQ2862" s="37"/>
      <c r="DR2862" s="37"/>
      <c r="DS2862" s="37"/>
      <c r="DT2862" s="37"/>
      <c r="DU2862" s="37"/>
      <c r="DV2862" s="37"/>
      <c r="DW2862" s="37"/>
      <c r="DX2862" s="37"/>
      <c r="DY2862" s="37"/>
      <c r="DZ2862" s="37"/>
      <c r="EA2862" s="37"/>
      <c r="EB2862" s="37"/>
      <c r="EC2862" s="37"/>
      <c r="ED2862" s="37"/>
      <c r="EE2862" s="37"/>
      <c r="EF2862" s="37"/>
      <c r="EG2862" s="37"/>
      <c r="EH2862" s="37"/>
      <c r="EI2862" s="37"/>
      <c r="EJ2862" s="37"/>
      <c r="EK2862" s="37"/>
      <c r="EL2862" s="37"/>
      <c r="EM2862" s="37"/>
      <c r="EN2862" s="37"/>
      <c r="EO2862" s="37"/>
      <c r="EP2862" s="37"/>
      <c r="EQ2862" s="37"/>
      <c r="ER2862" s="37"/>
      <c r="ES2862" s="37"/>
      <c r="ET2862" s="37"/>
      <c r="EU2862" s="37"/>
      <c r="EV2862" s="37"/>
      <c r="EW2862" s="37"/>
      <c r="EX2862" s="37"/>
      <c r="EY2862" s="37"/>
      <c r="EZ2862" s="37"/>
      <c r="FA2862" s="37"/>
      <c r="FB2862" s="37"/>
      <c r="FC2862" s="37"/>
      <c r="FD2862" s="37"/>
      <c r="FE2862" s="37"/>
      <c r="FF2862" s="37"/>
      <c r="FG2862" s="37"/>
      <c r="FH2862" s="37"/>
      <c r="FI2862" s="37"/>
      <c r="FJ2862" s="37"/>
      <c r="FK2862" s="37"/>
      <c r="FL2862" s="37"/>
      <c r="FM2862" s="37"/>
      <c r="FN2862" s="37"/>
      <c r="FO2862" s="37"/>
      <c r="FP2862" s="37"/>
      <c r="FQ2862" s="37"/>
      <c r="FR2862" s="37"/>
      <c r="FS2862" s="37"/>
      <c r="FT2862" s="37"/>
      <c r="FU2862" s="37"/>
      <c r="FV2862" s="37"/>
      <c r="FW2862" s="37"/>
      <c r="FX2862" s="37"/>
      <c r="FY2862" s="37"/>
      <c r="FZ2862" s="37"/>
      <c r="GA2862" s="37"/>
      <c r="GB2862" s="37"/>
      <c r="GC2862" s="37"/>
      <c r="GD2862" s="37"/>
      <c r="GE2862" s="37"/>
      <c r="GF2862" s="37"/>
      <c r="GG2862" s="37"/>
      <c r="GH2862" s="37"/>
      <c r="GI2862" s="37"/>
      <c r="GJ2862" s="37"/>
      <c r="GK2862" s="37"/>
      <c r="GL2862" s="37"/>
      <c r="GM2862" s="37"/>
      <c r="GN2862" s="37"/>
      <c r="GO2862" s="37"/>
      <c r="GP2862" s="37"/>
      <c r="GQ2862" s="37"/>
      <c r="GR2862" s="37"/>
      <c r="GS2862" s="37"/>
      <c r="GT2862" s="37"/>
      <c r="GU2862" s="37"/>
      <c r="GV2862" s="37"/>
      <c r="GW2862" s="37"/>
      <c r="GX2862" s="37"/>
      <c r="GY2862" s="37"/>
      <c r="GZ2862" s="37"/>
      <c r="HA2862" s="37"/>
      <c r="HB2862" s="37"/>
      <c r="HC2862" s="37"/>
      <c r="HD2862" s="37"/>
      <c r="HE2862" s="37"/>
      <c r="HF2862" s="37"/>
      <c r="HG2862" s="37"/>
      <c r="HH2862" s="37"/>
      <c r="HI2862" s="37"/>
      <c r="HJ2862" s="37"/>
      <c r="HK2862" s="37"/>
      <c r="HL2862" s="37"/>
      <c r="HM2862" s="37"/>
      <c r="HN2862" s="37"/>
      <c r="HO2862" s="37"/>
      <c r="HP2862" s="37"/>
      <c r="HQ2862" s="37"/>
      <c r="HR2862" s="37"/>
      <c r="HS2862" s="37"/>
      <c r="HT2862" s="37"/>
      <c r="HU2862" s="37"/>
      <c r="HV2862" s="37"/>
      <c r="HW2862" s="37"/>
      <c r="HX2862" s="37"/>
      <c r="HY2862" s="37"/>
      <c r="HZ2862" s="37"/>
      <c r="IA2862" s="37"/>
      <c r="IB2862" s="37"/>
      <c r="IC2862" s="37"/>
      <c r="ID2862" s="37"/>
      <c r="IE2862" s="37"/>
      <c r="IF2862" s="37"/>
      <c r="IG2862" s="37"/>
      <c r="IH2862" s="37"/>
      <c r="II2862" s="37"/>
      <c r="IJ2862" s="37"/>
      <c r="IK2862" s="37"/>
      <c r="IL2862" s="37"/>
      <c r="IM2862" s="37"/>
      <c r="IN2862" s="37"/>
      <c r="IO2862" s="37"/>
      <c r="IP2862" s="37"/>
      <c r="IQ2862" s="37"/>
      <c r="IR2862" s="37"/>
      <c r="IS2862" s="37"/>
      <c r="IT2862" s="37"/>
      <c r="IU2862" s="37"/>
      <c r="IV2862" s="37"/>
      <c r="IW2862" s="37"/>
      <c r="IX2862" s="37"/>
      <c r="IY2862" s="37"/>
      <c r="IZ2862" s="37"/>
      <c r="JA2862" s="37"/>
      <c r="JB2862" s="37"/>
      <c r="JC2862" s="37"/>
      <c r="JD2862" s="37"/>
      <c r="JE2862" s="37"/>
      <c r="JF2862" s="37"/>
      <c r="JG2862" s="37"/>
      <c r="JH2862" s="37"/>
      <c r="JI2862" s="37"/>
      <c r="JJ2862" s="37"/>
      <c r="JK2862" s="37"/>
      <c r="JL2862" s="37"/>
      <c r="JM2862" s="37"/>
      <c r="JN2862" s="37"/>
      <c r="JO2862" s="37"/>
      <c r="JP2862" s="37"/>
      <c r="JQ2862" s="37"/>
      <c r="JR2862" s="37"/>
      <c r="JS2862" s="37"/>
      <c r="JT2862" s="37"/>
      <c r="JU2862" s="37"/>
      <c r="JV2862" s="37"/>
      <c r="JW2862" s="37"/>
      <c r="JX2862" s="37"/>
      <c r="JY2862" s="37"/>
      <c r="JZ2862" s="37"/>
      <c r="KA2862" s="37"/>
      <c r="KB2862" s="37"/>
      <c r="KC2862" s="37"/>
      <c r="KD2862" s="37"/>
      <c r="KE2862" s="37"/>
      <c r="KF2862" s="37"/>
      <c r="KG2862" s="37"/>
      <c r="KH2862" s="37"/>
      <c r="KI2862" s="37"/>
      <c r="KJ2862" s="37"/>
      <c r="KK2862" s="37"/>
      <c r="KL2862" s="37"/>
      <c r="KM2862" s="37"/>
      <c r="KN2862" s="37"/>
      <c r="KO2862" s="37"/>
      <c r="KP2862" s="37"/>
      <c r="KQ2862" s="37"/>
      <c r="KR2862" s="37"/>
      <c r="KS2862" s="37"/>
      <c r="KT2862" s="37"/>
      <c r="KU2862" s="37"/>
      <c r="KV2862" s="37"/>
      <c r="KW2862" s="37"/>
      <c r="KX2862" s="37"/>
      <c r="KY2862" s="37"/>
      <c r="KZ2862" s="37"/>
      <c r="LA2862" s="37"/>
      <c r="LB2862" s="37"/>
      <c r="LC2862" s="37"/>
      <c r="LD2862" s="37"/>
      <c r="LE2862" s="37"/>
      <c r="LF2862" s="37"/>
      <c r="LG2862" s="37"/>
      <c r="LH2862" s="37"/>
      <c r="LI2862" s="37"/>
      <c r="LJ2862" s="37"/>
      <c r="LK2862" s="37"/>
      <c r="LL2862" s="37"/>
      <c r="LM2862" s="37"/>
      <c r="LN2862" s="37"/>
      <c r="LO2862" s="37"/>
      <c r="LP2862" s="37"/>
      <c r="LQ2862" s="37"/>
      <c r="LR2862" s="37"/>
      <c r="LS2862" s="37"/>
      <c r="LT2862" s="37"/>
      <c r="LU2862" s="37"/>
      <c r="LV2862" s="37"/>
      <c r="LW2862" s="37"/>
      <c r="LX2862" s="37"/>
      <c r="LY2862" s="37"/>
      <c r="LZ2862" s="37"/>
      <c r="MA2862" s="37"/>
      <c r="MB2862" s="37"/>
      <c r="MC2862" s="37"/>
      <c r="MD2862" s="37"/>
      <c r="ME2862" s="37"/>
      <c r="MF2862" s="37"/>
      <c r="MG2862" s="37"/>
      <c r="MH2862" s="37"/>
      <c r="MI2862" s="37"/>
      <c r="MJ2862" s="37"/>
      <c r="MK2862" s="37"/>
      <c r="ML2862" s="37"/>
      <c r="MM2862" s="37"/>
      <c r="MN2862" s="37"/>
      <c r="MO2862" s="37"/>
      <c r="MP2862" s="37"/>
      <c r="MQ2862" s="37"/>
      <c r="MR2862" s="37"/>
      <c r="MS2862" s="37"/>
      <c r="MT2862" s="37"/>
      <c r="MU2862" s="37"/>
      <c r="MV2862" s="37"/>
      <c r="MW2862" s="37"/>
      <c r="MX2862" s="37"/>
      <c r="MY2862" s="37"/>
      <c r="MZ2862" s="37"/>
      <c r="NA2862" s="37"/>
      <c r="NB2862" s="37"/>
      <c r="NC2862" s="37"/>
      <c r="ND2862" s="37"/>
      <c r="NE2862" s="37"/>
      <c r="NF2862" s="37"/>
      <c r="NG2862" s="37"/>
      <c r="NH2862" s="37"/>
      <c r="NI2862" s="37"/>
      <c r="NJ2862" s="37"/>
      <c r="NK2862" s="37"/>
      <c r="NL2862" s="37"/>
      <c r="NM2862" s="37"/>
      <c r="NN2862" s="37"/>
      <c r="NO2862" s="37"/>
      <c r="NP2862" s="37"/>
      <c r="NQ2862" s="37"/>
      <c r="NR2862" s="37"/>
      <c r="NS2862" s="37"/>
      <c r="NT2862" s="37"/>
      <c r="NU2862" s="37"/>
      <c r="NV2862" s="37"/>
      <c r="NW2862" s="37"/>
      <c r="NX2862" s="37"/>
      <c r="NY2862" s="37"/>
      <c r="NZ2862" s="37"/>
      <c r="OA2862" s="37"/>
      <c r="OB2862" s="37"/>
      <c r="OC2862" s="37"/>
      <c r="OD2862" s="37"/>
      <c r="OE2862" s="37"/>
      <c r="OF2862" s="37"/>
      <c r="OG2862" s="37"/>
      <c r="OH2862" s="37"/>
      <c r="OI2862" s="37"/>
      <c r="OJ2862" s="37"/>
      <c r="OK2862" s="37"/>
      <c r="OL2862" s="37"/>
      <c r="OM2862" s="37"/>
      <c r="ON2862" s="37"/>
      <c r="OO2862" s="37"/>
      <c r="OP2862" s="37"/>
      <c r="OQ2862" s="37"/>
      <c r="OR2862" s="37"/>
      <c r="OS2862" s="37"/>
      <c r="OT2862" s="37"/>
      <c r="OU2862" s="37"/>
      <c r="OV2862" s="37"/>
      <c r="OW2862" s="37"/>
      <c r="OX2862" s="37"/>
      <c r="OY2862" s="37"/>
      <c r="OZ2862" s="37"/>
      <c r="PA2862" s="37"/>
      <c r="PB2862" s="37"/>
      <c r="PC2862" s="37"/>
      <c r="PD2862" s="37"/>
      <c r="PE2862" s="37"/>
      <c r="PF2862" s="37"/>
      <c r="PG2862" s="37"/>
      <c r="PH2862" s="37"/>
      <c r="PI2862" s="37"/>
      <c r="PJ2862" s="37"/>
      <c r="PK2862" s="37"/>
      <c r="PL2862" s="37"/>
      <c r="PM2862" s="37"/>
      <c r="PN2862" s="37"/>
      <c r="PO2862" s="37"/>
      <c r="PP2862" s="37"/>
      <c r="PQ2862" s="37"/>
      <c r="PR2862" s="37"/>
      <c r="PS2862" s="37"/>
      <c r="PT2862" s="37"/>
      <c r="PU2862" s="37"/>
      <c r="PV2862" s="37"/>
      <c r="PW2862" s="37"/>
      <c r="PX2862" s="37"/>
      <c r="PY2862" s="37"/>
      <c r="PZ2862" s="37"/>
      <c r="QA2862" s="37"/>
      <c r="QB2862" s="37"/>
      <c r="QC2862" s="37"/>
      <c r="QD2862" s="37"/>
      <c r="QE2862" s="37"/>
      <c r="QF2862" s="37"/>
      <c r="QG2862" s="37"/>
      <c r="QH2862" s="37"/>
      <c r="QI2862" s="37"/>
      <c r="QJ2862" s="37"/>
      <c r="QK2862" s="37"/>
      <c r="QL2862" s="37"/>
      <c r="QM2862" s="37"/>
      <c r="QN2862" s="37"/>
      <c r="QO2862" s="37"/>
      <c r="QP2862" s="37"/>
      <c r="QQ2862" s="37"/>
      <c r="QR2862" s="37"/>
      <c r="QS2862" s="37"/>
      <c r="QT2862" s="37"/>
      <c r="QU2862" s="37"/>
      <c r="QV2862" s="37"/>
      <c r="QW2862" s="37"/>
      <c r="QX2862" s="37"/>
      <c r="QY2862" s="37"/>
      <c r="QZ2862" s="37"/>
      <c r="RA2862" s="37"/>
      <c r="RB2862" s="37"/>
      <c r="RC2862" s="37"/>
      <c r="RD2862" s="37"/>
      <c r="RE2862" s="37"/>
      <c r="RF2862" s="37"/>
      <c r="RG2862" s="37"/>
      <c r="RH2862" s="37"/>
      <c r="RI2862" s="37"/>
      <c r="RJ2862" s="37"/>
      <c r="RK2862" s="37"/>
      <c r="RL2862" s="37"/>
      <c r="RM2862" s="37"/>
      <c r="RN2862" s="37"/>
      <c r="RO2862" s="37"/>
      <c r="RP2862" s="37"/>
      <c r="RQ2862" s="37"/>
      <c r="RR2862" s="37"/>
      <c r="RS2862" s="37"/>
      <c r="RT2862" s="37"/>
      <c r="RU2862" s="37"/>
      <c r="RV2862" s="37"/>
      <c r="RW2862" s="37"/>
      <c r="RX2862" s="37"/>
      <c r="RY2862" s="37"/>
      <c r="RZ2862" s="37"/>
      <c r="SA2862" s="37"/>
      <c r="SB2862" s="37"/>
      <c r="SC2862" s="37"/>
      <c r="SD2862" s="37"/>
      <c r="SE2862" s="37"/>
      <c r="SF2862" s="37"/>
    </row>
    <row r="2863" spans="1:500">
      <c r="A2863" s="37"/>
      <c r="B2863" s="37"/>
      <c r="C2863" s="37"/>
      <c r="D2863" s="37"/>
      <c r="E2863" s="37"/>
      <c r="F2863" s="37"/>
      <c r="G2863" s="37"/>
      <c r="H2863" s="37"/>
      <c r="I2863" s="37"/>
      <c r="J2863" s="37"/>
      <c r="K2863" s="37"/>
      <c r="L2863" s="37"/>
      <c r="M2863" s="37"/>
      <c r="N2863" s="37"/>
      <c r="O2863" s="37"/>
      <c r="P2863" s="37"/>
      <c r="Q2863" s="37"/>
      <c r="R2863" s="37"/>
      <c r="S2863" s="37"/>
      <c r="T2863" s="37"/>
      <c r="U2863" s="37"/>
      <c r="V2863" s="37"/>
      <c r="W2863" s="37"/>
      <c r="X2863" s="37"/>
      <c r="Y2863" s="37"/>
      <c r="Z2863" s="37"/>
      <c r="AA2863" s="37"/>
      <c r="AB2863" s="37"/>
      <c r="AC2863" s="37"/>
      <c r="AD2863" s="37"/>
      <c r="AE2863" s="37"/>
      <c r="AF2863" s="37"/>
      <c r="AG2863" s="37"/>
      <c r="AH2863" s="37"/>
      <c r="AI2863" s="37"/>
      <c r="AJ2863" s="37"/>
      <c r="AK2863" s="37"/>
      <c r="AL2863" s="37"/>
      <c r="AM2863" s="37"/>
      <c r="AN2863" s="37"/>
      <c r="AO2863" s="37"/>
      <c r="AP2863" s="37"/>
      <c r="AQ2863" s="37"/>
      <c r="AR2863" s="37"/>
      <c r="AS2863" s="37"/>
      <c r="AT2863" s="37"/>
      <c r="AU2863" s="37"/>
      <c r="AV2863" s="37"/>
      <c r="AW2863" s="37"/>
      <c r="AX2863" s="37"/>
      <c r="AY2863" s="37"/>
      <c r="AZ2863" s="37"/>
      <c r="BA2863" s="37"/>
      <c r="BB2863" s="37"/>
      <c r="BC2863" s="37"/>
      <c r="BD2863" s="37"/>
      <c r="BE2863" s="37"/>
      <c r="BF2863" s="37"/>
      <c r="BG2863" s="37"/>
      <c r="BH2863" s="37"/>
      <c r="BI2863" s="37"/>
      <c r="BJ2863" s="37"/>
      <c r="BK2863" s="37"/>
      <c r="BL2863" s="37"/>
      <c r="BM2863" s="37"/>
      <c r="BN2863" s="37"/>
      <c r="BO2863" s="37"/>
      <c r="BP2863" s="37"/>
      <c r="BQ2863" s="37"/>
      <c r="BR2863" s="37"/>
      <c r="BS2863" s="37"/>
      <c r="BT2863" s="37"/>
      <c r="BU2863" s="37"/>
      <c r="BV2863" s="37"/>
      <c r="BW2863" s="37"/>
      <c r="BX2863" s="37"/>
      <c r="BY2863" s="37"/>
      <c r="BZ2863" s="37"/>
      <c r="CA2863" s="37"/>
      <c r="CB2863" s="37"/>
      <c r="CC2863" s="37"/>
      <c r="CD2863" s="37"/>
      <c r="CE2863" s="37"/>
      <c r="CF2863" s="37"/>
      <c r="CG2863" s="37"/>
      <c r="CH2863" s="37"/>
      <c r="CI2863" s="37"/>
      <c r="CJ2863" s="37"/>
      <c r="CK2863" s="37"/>
      <c r="CL2863" s="37"/>
      <c r="CM2863" s="37"/>
      <c r="CN2863" s="37"/>
      <c r="CO2863" s="37"/>
      <c r="CP2863" s="37"/>
      <c r="CQ2863" s="37"/>
      <c r="CR2863" s="37"/>
      <c r="CS2863" s="37"/>
      <c r="CT2863" s="37"/>
      <c r="CU2863" s="37"/>
      <c r="CV2863" s="37"/>
      <c r="CW2863" s="37"/>
      <c r="CX2863" s="37"/>
      <c r="CY2863" s="37"/>
      <c r="CZ2863" s="37"/>
      <c r="DA2863" s="37"/>
      <c r="DB2863" s="37"/>
      <c r="DC2863" s="37"/>
      <c r="DD2863" s="37"/>
      <c r="DE2863" s="37"/>
      <c r="DF2863" s="37"/>
      <c r="DG2863" s="37"/>
      <c r="DH2863" s="37"/>
      <c r="DI2863" s="37"/>
      <c r="DJ2863" s="37"/>
      <c r="DK2863" s="37"/>
      <c r="DL2863" s="37"/>
      <c r="DM2863" s="37"/>
      <c r="DN2863" s="37"/>
      <c r="DO2863" s="37"/>
      <c r="DP2863" s="37"/>
      <c r="DQ2863" s="37"/>
      <c r="DR2863" s="37"/>
      <c r="DS2863" s="37"/>
      <c r="DT2863" s="37"/>
      <c r="DU2863" s="37"/>
      <c r="DV2863" s="37"/>
      <c r="DW2863" s="37"/>
      <c r="DX2863" s="37"/>
      <c r="DY2863" s="37"/>
      <c r="DZ2863" s="37"/>
      <c r="EA2863" s="37"/>
      <c r="EB2863" s="37"/>
      <c r="EC2863" s="37"/>
      <c r="ED2863" s="37"/>
      <c r="EE2863" s="37"/>
      <c r="EF2863" s="37"/>
      <c r="EG2863" s="37"/>
      <c r="EH2863" s="37"/>
      <c r="EI2863" s="37"/>
      <c r="EJ2863" s="37"/>
      <c r="EK2863" s="37"/>
      <c r="EL2863" s="37"/>
      <c r="EM2863" s="37"/>
      <c r="EN2863" s="37"/>
      <c r="EO2863" s="37"/>
      <c r="EP2863" s="37"/>
      <c r="EQ2863" s="37"/>
      <c r="ER2863" s="37"/>
      <c r="ES2863" s="37"/>
      <c r="ET2863" s="37"/>
      <c r="EU2863" s="37"/>
      <c r="EV2863" s="37"/>
      <c r="EW2863" s="37"/>
      <c r="EX2863" s="37"/>
      <c r="EY2863" s="37"/>
      <c r="EZ2863" s="37"/>
      <c r="FA2863" s="37"/>
      <c r="FB2863" s="37"/>
      <c r="FC2863" s="37"/>
      <c r="FD2863" s="37"/>
      <c r="FE2863" s="37"/>
      <c r="FF2863" s="37"/>
      <c r="FG2863" s="37"/>
      <c r="FH2863" s="37"/>
      <c r="FI2863" s="37"/>
      <c r="FJ2863" s="37"/>
      <c r="FK2863" s="37"/>
      <c r="FL2863" s="37"/>
      <c r="FM2863" s="37"/>
      <c r="FN2863" s="37"/>
      <c r="FO2863" s="37"/>
      <c r="FP2863" s="37"/>
      <c r="FQ2863" s="37"/>
      <c r="FR2863" s="37"/>
      <c r="FS2863" s="37"/>
      <c r="FT2863" s="37"/>
      <c r="FU2863" s="37"/>
      <c r="FV2863" s="37"/>
      <c r="FW2863" s="37"/>
      <c r="FX2863" s="37"/>
      <c r="FY2863" s="37"/>
      <c r="FZ2863" s="37"/>
      <c r="GA2863" s="37"/>
      <c r="GB2863" s="37"/>
      <c r="GC2863" s="37"/>
      <c r="GD2863" s="37"/>
      <c r="GE2863" s="37"/>
      <c r="GF2863" s="37"/>
      <c r="GG2863" s="37"/>
      <c r="GH2863" s="37"/>
      <c r="GI2863" s="37"/>
      <c r="GJ2863" s="37"/>
      <c r="GK2863" s="37"/>
      <c r="GL2863" s="37"/>
      <c r="GM2863" s="37"/>
      <c r="GN2863" s="37"/>
      <c r="GO2863" s="37"/>
      <c r="GP2863" s="37"/>
      <c r="GQ2863" s="37"/>
      <c r="GR2863" s="37"/>
      <c r="GS2863" s="37"/>
      <c r="GT2863" s="37"/>
      <c r="GU2863" s="37"/>
      <c r="GV2863" s="37"/>
      <c r="GW2863" s="37"/>
      <c r="GX2863" s="37"/>
      <c r="GY2863" s="37"/>
      <c r="GZ2863" s="37"/>
      <c r="HA2863" s="37"/>
      <c r="HB2863" s="37"/>
      <c r="HC2863" s="37"/>
      <c r="HD2863" s="37"/>
      <c r="HE2863" s="37"/>
      <c r="HF2863" s="37"/>
      <c r="HG2863" s="37"/>
      <c r="HH2863" s="37"/>
      <c r="HI2863" s="37"/>
      <c r="HJ2863" s="37"/>
      <c r="HK2863" s="37"/>
      <c r="HL2863" s="37"/>
      <c r="HM2863" s="37"/>
      <c r="HN2863" s="37"/>
      <c r="HO2863" s="37"/>
      <c r="HP2863" s="37"/>
      <c r="HQ2863" s="37"/>
      <c r="HR2863" s="37"/>
      <c r="HS2863" s="37"/>
      <c r="HT2863" s="37"/>
      <c r="HU2863" s="37"/>
      <c r="HV2863" s="37"/>
      <c r="HW2863" s="37"/>
      <c r="HX2863" s="37"/>
      <c r="HY2863" s="37"/>
      <c r="HZ2863" s="37"/>
      <c r="IA2863" s="37"/>
      <c r="IB2863" s="37"/>
      <c r="IC2863" s="37"/>
      <c r="ID2863" s="37"/>
      <c r="IE2863" s="37"/>
      <c r="IF2863" s="37"/>
      <c r="IG2863" s="37"/>
      <c r="IH2863" s="37"/>
      <c r="II2863" s="37"/>
      <c r="IJ2863" s="37"/>
      <c r="IK2863" s="37"/>
      <c r="IL2863" s="37"/>
      <c r="IM2863" s="37"/>
      <c r="IN2863" s="37"/>
      <c r="IO2863" s="37"/>
      <c r="IP2863" s="37"/>
      <c r="IQ2863" s="37"/>
      <c r="IR2863" s="37"/>
      <c r="IS2863" s="37"/>
      <c r="IT2863" s="37"/>
      <c r="IU2863" s="37"/>
      <c r="IV2863" s="37"/>
      <c r="IW2863" s="37"/>
      <c r="IX2863" s="37"/>
      <c r="IY2863" s="37"/>
      <c r="IZ2863" s="37"/>
      <c r="JA2863" s="37"/>
      <c r="JB2863" s="37"/>
      <c r="JC2863" s="37"/>
      <c r="JD2863" s="37"/>
      <c r="JE2863" s="37"/>
      <c r="JF2863" s="37"/>
      <c r="JG2863" s="37"/>
      <c r="JH2863" s="37"/>
      <c r="JI2863" s="37"/>
      <c r="JJ2863" s="37"/>
      <c r="JK2863" s="37"/>
      <c r="JL2863" s="37"/>
      <c r="JM2863" s="37"/>
      <c r="JN2863" s="37"/>
      <c r="JO2863" s="37"/>
      <c r="JP2863" s="37"/>
      <c r="JQ2863" s="37"/>
      <c r="JR2863" s="37"/>
      <c r="JS2863" s="37"/>
      <c r="JT2863" s="37"/>
      <c r="JU2863" s="37"/>
      <c r="JV2863" s="37"/>
      <c r="JW2863" s="37"/>
      <c r="JX2863" s="37"/>
      <c r="JY2863" s="37"/>
      <c r="JZ2863" s="37"/>
      <c r="KA2863" s="37"/>
      <c r="KB2863" s="37"/>
      <c r="KC2863" s="37"/>
      <c r="KD2863" s="37"/>
      <c r="KE2863" s="37"/>
      <c r="KF2863" s="37"/>
      <c r="KG2863" s="37"/>
      <c r="KH2863" s="37"/>
      <c r="KI2863" s="37"/>
      <c r="KJ2863" s="37"/>
      <c r="KK2863" s="37"/>
      <c r="KL2863" s="37"/>
      <c r="KM2863" s="37"/>
      <c r="KN2863" s="37"/>
      <c r="KO2863" s="37"/>
      <c r="KP2863" s="37"/>
      <c r="KQ2863" s="37"/>
      <c r="KR2863" s="37"/>
      <c r="KS2863" s="37"/>
      <c r="KT2863" s="37"/>
      <c r="KU2863" s="37"/>
      <c r="KV2863" s="37"/>
      <c r="KW2863" s="37"/>
      <c r="KX2863" s="37"/>
      <c r="KY2863" s="37"/>
      <c r="KZ2863" s="37"/>
      <c r="LA2863" s="37"/>
      <c r="LB2863" s="37"/>
      <c r="LC2863" s="37"/>
      <c r="LD2863" s="37"/>
      <c r="LE2863" s="37"/>
      <c r="LF2863" s="37"/>
      <c r="LG2863" s="37"/>
      <c r="LH2863" s="37"/>
      <c r="LI2863" s="37"/>
      <c r="LJ2863" s="37"/>
      <c r="LK2863" s="37"/>
      <c r="LL2863" s="37"/>
      <c r="LM2863" s="37"/>
      <c r="LN2863" s="37"/>
      <c r="LO2863" s="37"/>
      <c r="LP2863" s="37"/>
      <c r="LQ2863" s="37"/>
      <c r="LR2863" s="37"/>
      <c r="LS2863" s="37"/>
      <c r="LT2863" s="37"/>
      <c r="LU2863" s="37"/>
      <c r="LV2863" s="37"/>
      <c r="LW2863" s="37"/>
      <c r="LX2863" s="37"/>
      <c r="LY2863" s="37"/>
      <c r="LZ2863" s="37"/>
      <c r="MA2863" s="37"/>
      <c r="MB2863" s="37"/>
      <c r="MC2863" s="37"/>
      <c r="MD2863" s="37"/>
      <c r="ME2863" s="37"/>
      <c r="MF2863" s="37"/>
      <c r="MG2863" s="37"/>
      <c r="MH2863" s="37"/>
      <c r="MI2863" s="37"/>
      <c r="MJ2863" s="37"/>
      <c r="MK2863" s="37"/>
      <c r="ML2863" s="37"/>
      <c r="MM2863" s="37"/>
      <c r="MN2863" s="37"/>
      <c r="MO2863" s="37"/>
      <c r="MP2863" s="37"/>
      <c r="MQ2863" s="37"/>
      <c r="MR2863" s="37"/>
      <c r="MS2863" s="37"/>
      <c r="MT2863" s="37"/>
      <c r="MU2863" s="37"/>
      <c r="MV2863" s="37"/>
      <c r="MW2863" s="37"/>
      <c r="MX2863" s="37"/>
      <c r="MY2863" s="37"/>
      <c r="MZ2863" s="37"/>
      <c r="NA2863" s="37"/>
      <c r="NB2863" s="37"/>
      <c r="NC2863" s="37"/>
      <c r="ND2863" s="37"/>
      <c r="NE2863" s="37"/>
      <c r="NF2863" s="37"/>
      <c r="NG2863" s="37"/>
      <c r="NH2863" s="37"/>
      <c r="NI2863" s="37"/>
      <c r="NJ2863" s="37"/>
      <c r="NK2863" s="37"/>
      <c r="NL2863" s="37"/>
      <c r="NM2863" s="37"/>
      <c r="NN2863" s="37"/>
      <c r="NO2863" s="37"/>
      <c r="NP2863" s="37"/>
      <c r="NQ2863" s="37"/>
      <c r="NR2863" s="37"/>
      <c r="NS2863" s="37"/>
      <c r="NT2863" s="37"/>
      <c r="NU2863" s="37"/>
      <c r="NV2863" s="37"/>
      <c r="NW2863" s="37"/>
      <c r="NX2863" s="37"/>
      <c r="NY2863" s="37"/>
      <c r="NZ2863" s="37"/>
      <c r="OA2863" s="37"/>
      <c r="OB2863" s="37"/>
      <c r="OC2863" s="37"/>
      <c r="OD2863" s="37"/>
      <c r="OE2863" s="37"/>
      <c r="OF2863" s="37"/>
      <c r="OG2863" s="37"/>
      <c r="OH2863" s="37"/>
      <c r="OI2863" s="37"/>
      <c r="OJ2863" s="37"/>
      <c r="OK2863" s="37"/>
      <c r="OL2863" s="37"/>
      <c r="OM2863" s="37"/>
      <c r="ON2863" s="37"/>
      <c r="OO2863" s="37"/>
      <c r="OP2863" s="37"/>
      <c r="OQ2863" s="37"/>
      <c r="OR2863" s="37"/>
      <c r="OS2863" s="37"/>
      <c r="OT2863" s="37"/>
      <c r="OU2863" s="37"/>
      <c r="OV2863" s="37"/>
      <c r="OW2863" s="37"/>
      <c r="OX2863" s="37"/>
      <c r="OY2863" s="37"/>
      <c r="OZ2863" s="37"/>
      <c r="PA2863" s="37"/>
      <c r="PB2863" s="37"/>
      <c r="PC2863" s="37"/>
      <c r="PD2863" s="37"/>
      <c r="PE2863" s="37"/>
      <c r="PF2863" s="37"/>
      <c r="PG2863" s="37"/>
      <c r="PH2863" s="37"/>
      <c r="PI2863" s="37"/>
      <c r="PJ2863" s="37"/>
      <c r="PK2863" s="37"/>
      <c r="PL2863" s="37"/>
      <c r="PM2863" s="37"/>
      <c r="PN2863" s="37"/>
      <c r="PO2863" s="37"/>
      <c r="PP2863" s="37"/>
      <c r="PQ2863" s="37"/>
      <c r="PR2863" s="37"/>
      <c r="PS2863" s="37"/>
      <c r="PT2863" s="37"/>
      <c r="PU2863" s="37"/>
      <c r="PV2863" s="37"/>
      <c r="PW2863" s="37"/>
      <c r="PX2863" s="37"/>
      <c r="PY2863" s="37"/>
      <c r="PZ2863" s="37"/>
      <c r="QA2863" s="37"/>
      <c r="QB2863" s="37"/>
      <c r="QC2863" s="37"/>
      <c r="QD2863" s="37"/>
      <c r="QE2863" s="37"/>
      <c r="QF2863" s="37"/>
      <c r="QG2863" s="37"/>
      <c r="QH2863" s="37"/>
      <c r="QI2863" s="37"/>
      <c r="QJ2863" s="37"/>
      <c r="QK2863" s="37"/>
      <c r="QL2863" s="37"/>
      <c r="QM2863" s="37"/>
      <c r="QN2863" s="37"/>
      <c r="QO2863" s="37"/>
      <c r="QP2863" s="37"/>
      <c r="QQ2863" s="37"/>
      <c r="QR2863" s="37"/>
      <c r="QS2863" s="37"/>
      <c r="QT2863" s="37"/>
      <c r="QU2863" s="37"/>
      <c r="QV2863" s="37"/>
      <c r="QW2863" s="37"/>
      <c r="QX2863" s="37"/>
      <c r="QY2863" s="37"/>
      <c r="QZ2863" s="37"/>
      <c r="RA2863" s="37"/>
      <c r="RB2863" s="37"/>
      <c r="RC2863" s="37"/>
      <c r="RD2863" s="37"/>
      <c r="RE2863" s="37"/>
      <c r="RF2863" s="37"/>
      <c r="RG2863" s="37"/>
      <c r="RH2863" s="37"/>
      <c r="RI2863" s="37"/>
      <c r="RJ2863" s="37"/>
      <c r="RK2863" s="37"/>
      <c r="RL2863" s="37"/>
      <c r="RM2863" s="37"/>
      <c r="RN2863" s="37"/>
      <c r="RO2863" s="37"/>
      <c r="RP2863" s="37"/>
      <c r="RQ2863" s="37"/>
      <c r="RR2863" s="37"/>
      <c r="RS2863" s="37"/>
      <c r="RT2863" s="37"/>
      <c r="RU2863" s="37"/>
      <c r="RV2863" s="37"/>
      <c r="RW2863" s="37"/>
      <c r="RX2863" s="37"/>
      <c r="RY2863" s="37"/>
      <c r="RZ2863" s="37"/>
      <c r="SA2863" s="37"/>
      <c r="SB2863" s="37"/>
      <c r="SC2863" s="37"/>
      <c r="SD2863" s="37"/>
      <c r="SE2863" s="37"/>
      <c r="SF2863" s="37"/>
    </row>
    <row r="2864" spans="1:500">
      <c r="A2864" s="37"/>
      <c r="B2864" s="37"/>
      <c r="C2864" s="37"/>
      <c r="D2864" s="37"/>
      <c r="E2864" s="37"/>
      <c r="F2864" s="37"/>
      <c r="G2864" s="37"/>
      <c r="H2864" s="37"/>
      <c r="I2864" s="37"/>
      <c r="J2864" s="37"/>
      <c r="K2864" s="37"/>
      <c r="L2864" s="37"/>
      <c r="M2864" s="37"/>
      <c r="N2864" s="37"/>
      <c r="O2864" s="37"/>
      <c r="P2864" s="37"/>
      <c r="Q2864" s="37"/>
      <c r="R2864" s="37"/>
      <c r="S2864" s="37"/>
      <c r="T2864" s="37"/>
      <c r="U2864" s="37"/>
      <c r="V2864" s="37"/>
      <c r="W2864" s="37"/>
      <c r="X2864" s="37"/>
      <c r="Y2864" s="37"/>
      <c r="Z2864" s="37"/>
      <c r="AA2864" s="37"/>
      <c r="AB2864" s="37"/>
      <c r="AC2864" s="37"/>
      <c r="AD2864" s="37"/>
      <c r="AE2864" s="37"/>
      <c r="AF2864" s="37"/>
      <c r="AG2864" s="37"/>
      <c r="AH2864" s="37"/>
      <c r="AI2864" s="37"/>
      <c r="AJ2864" s="37"/>
      <c r="AK2864" s="37"/>
      <c r="AL2864" s="37"/>
      <c r="AM2864" s="37"/>
      <c r="AN2864" s="37"/>
      <c r="AO2864" s="37"/>
      <c r="AP2864" s="37"/>
      <c r="AQ2864" s="37"/>
      <c r="AR2864" s="37"/>
      <c r="AS2864" s="37"/>
      <c r="AT2864" s="37"/>
      <c r="AU2864" s="37"/>
      <c r="AV2864" s="37"/>
      <c r="AW2864" s="37"/>
      <c r="AX2864" s="37"/>
      <c r="AY2864" s="37"/>
      <c r="AZ2864" s="37"/>
      <c r="BA2864" s="37"/>
      <c r="BB2864" s="37"/>
      <c r="BC2864" s="37"/>
      <c r="BD2864" s="37"/>
      <c r="BE2864" s="37"/>
      <c r="BF2864" s="37"/>
      <c r="BG2864" s="37"/>
      <c r="BH2864" s="37"/>
      <c r="BI2864" s="37"/>
      <c r="BJ2864" s="37"/>
      <c r="BK2864" s="37"/>
      <c r="BL2864" s="37"/>
      <c r="BM2864" s="37"/>
      <c r="BN2864" s="37"/>
      <c r="BO2864" s="37"/>
      <c r="BP2864" s="37"/>
      <c r="BQ2864" s="37"/>
      <c r="BR2864" s="37"/>
      <c r="BS2864" s="37"/>
      <c r="BT2864" s="37"/>
      <c r="BU2864" s="37"/>
      <c r="BV2864" s="37"/>
      <c r="BW2864" s="37"/>
      <c r="BX2864" s="37"/>
      <c r="BY2864" s="37"/>
      <c r="BZ2864" s="37"/>
      <c r="CA2864" s="37"/>
      <c r="CB2864" s="37"/>
      <c r="CC2864" s="37"/>
      <c r="CD2864" s="37"/>
      <c r="CE2864" s="37"/>
      <c r="CF2864" s="37"/>
      <c r="CG2864" s="37"/>
      <c r="CH2864" s="37"/>
      <c r="CI2864" s="37"/>
      <c r="CJ2864" s="37"/>
      <c r="CK2864" s="37"/>
      <c r="CL2864" s="37"/>
      <c r="CM2864" s="37"/>
      <c r="CN2864" s="37"/>
      <c r="CO2864" s="37"/>
      <c r="CP2864" s="37"/>
      <c r="CQ2864" s="37"/>
      <c r="CR2864" s="37"/>
      <c r="CS2864" s="37"/>
      <c r="CT2864" s="37"/>
      <c r="CU2864" s="37"/>
      <c r="CV2864" s="37"/>
      <c r="CW2864" s="37"/>
      <c r="CX2864" s="37"/>
      <c r="CY2864" s="37"/>
      <c r="CZ2864" s="37"/>
      <c r="DA2864" s="37"/>
      <c r="DB2864" s="37"/>
      <c r="DC2864" s="37"/>
      <c r="DD2864" s="37"/>
      <c r="DE2864" s="37"/>
      <c r="DF2864" s="37"/>
      <c r="DG2864" s="37"/>
      <c r="DH2864" s="37"/>
      <c r="DI2864" s="37"/>
      <c r="DJ2864" s="37"/>
      <c r="DK2864" s="37"/>
      <c r="DL2864" s="37"/>
      <c r="DM2864" s="37"/>
      <c r="DN2864" s="37"/>
      <c r="DO2864" s="37"/>
      <c r="DP2864" s="37"/>
      <c r="DQ2864" s="37"/>
      <c r="DR2864" s="37"/>
      <c r="DS2864" s="37"/>
      <c r="DT2864" s="37"/>
      <c r="DU2864" s="37"/>
      <c r="DV2864" s="37"/>
      <c r="DW2864" s="37"/>
      <c r="DX2864" s="37"/>
      <c r="DY2864" s="37"/>
      <c r="DZ2864" s="37"/>
      <c r="EA2864" s="37"/>
      <c r="EB2864" s="37"/>
      <c r="EC2864" s="37"/>
      <c r="ED2864" s="37"/>
      <c r="EE2864" s="37"/>
      <c r="EF2864" s="37"/>
      <c r="EG2864" s="37"/>
      <c r="EH2864" s="37"/>
      <c r="EI2864" s="37"/>
      <c r="EJ2864" s="37"/>
      <c r="EK2864" s="37"/>
      <c r="EL2864" s="37"/>
      <c r="EM2864" s="37"/>
      <c r="EN2864" s="37"/>
      <c r="EO2864" s="37"/>
      <c r="EP2864" s="37"/>
      <c r="EQ2864" s="37"/>
      <c r="ER2864" s="37"/>
      <c r="ES2864" s="37"/>
      <c r="ET2864" s="37"/>
      <c r="EU2864" s="37"/>
      <c r="EV2864" s="37"/>
      <c r="EW2864" s="37"/>
      <c r="EX2864" s="37"/>
      <c r="EY2864" s="37"/>
      <c r="EZ2864" s="37"/>
      <c r="FA2864" s="37"/>
      <c r="FB2864" s="37"/>
      <c r="FC2864" s="37"/>
      <c r="FD2864" s="37"/>
      <c r="FE2864" s="37"/>
      <c r="FF2864" s="37"/>
      <c r="FG2864" s="37"/>
      <c r="FH2864" s="37"/>
      <c r="FI2864" s="37"/>
      <c r="FJ2864" s="37"/>
      <c r="FK2864" s="37"/>
      <c r="FL2864" s="37"/>
      <c r="FM2864" s="37"/>
      <c r="FN2864" s="37"/>
      <c r="FO2864" s="37"/>
      <c r="FP2864" s="37"/>
      <c r="FQ2864" s="37"/>
      <c r="FR2864" s="37"/>
      <c r="FS2864" s="37"/>
      <c r="FT2864" s="37"/>
      <c r="FU2864" s="37"/>
      <c r="FV2864" s="37"/>
      <c r="FW2864" s="37"/>
      <c r="FX2864" s="37"/>
      <c r="FY2864" s="37"/>
      <c r="FZ2864" s="37"/>
      <c r="GA2864" s="37"/>
      <c r="GB2864" s="37"/>
      <c r="GC2864" s="37"/>
      <c r="GD2864" s="37"/>
      <c r="GE2864" s="37"/>
      <c r="GF2864" s="37"/>
      <c r="GG2864" s="37"/>
      <c r="GH2864" s="37"/>
      <c r="GI2864" s="37"/>
      <c r="GJ2864" s="37"/>
      <c r="GK2864" s="37"/>
      <c r="GL2864" s="37"/>
      <c r="GM2864" s="37"/>
      <c r="GN2864" s="37"/>
      <c r="GO2864" s="37"/>
      <c r="GP2864" s="37"/>
      <c r="GQ2864" s="37"/>
      <c r="GR2864" s="37"/>
      <c r="GS2864" s="37"/>
      <c r="GT2864" s="37"/>
      <c r="GU2864" s="37"/>
      <c r="GV2864" s="37"/>
      <c r="GW2864" s="37"/>
      <c r="GX2864" s="37"/>
      <c r="GY2864" s="37"/>
      <c r="GZ2864" s="37"/>
      <c r="HA2864" s="37"/>
      <c r="HB2864" s="37"/>
      <c r="HC2864" s="37"/>
      <c r="HD2864" s="37"/>
      <c r="HE2864" s="37"/>
      <c r="HF2864" s="37"/>
      <c r="HG2864" s="37"/>
      <c r="HH2864" s="37"/>
      <c r="HI2864" s="37"/>
      <c r="HJ2864" s="37"/>
      <c r="HK2864" s="37"/>
      <c r="HL2864" s="37"/>
      <c r="HM2864" s="37"/>
      <c r="HN2864" s="37"/>
      <c r="HO2864" s="37"/>
      <c r="HP2864" s="37"/>
      <c r="HQ2864" s="37"/>
      <c r="HR2864" s="37"/>
      <c r="HS2864" s="37"/>
      <c r="HT2864" s="37"/>
      <c r="HU2864" s="37"/>
      <c r="HV2864" s="37"/>
      <c r="HW2864" s="37"/>
      <c r="HX2864" s="37"/>
      <c r="HY2864" s="37"/>
      <c r="HZ2864" s="37"/>
      <c r="IA2864" s="37"/>
      <c r="IB2864" s="37"/>
      <c r="IC2864" s="37"/>
      <c r="ID2864" s="37"/>
      <c r="IE2864" s="37"/>
      <c r="IF2864" s="37"/>
      <c r="IG2864" s="37"/>
      <c r="IH2864" s="37"/>
      <c r="II2864" s="37"/>
      <c r="IJ2864" s="37"/>
      <c r="IK2864" s="37"/>
      <c r="IL2864" s="37"/>
      <c r="IM2864" s="37"/>
      <c r="IN2864" s="37"/>
      <c r="IO2864" s="37"/>
      <c r="IP2864" s="37"/>
      <c r="IQ2864" s="37"/>
      <c r="IR2864" s="37"/>
      <c r="IS2864" s="37"/>
      <c r="IT2864" s="37"/>
      <c r="IU2864" s="37"/>
      <c r="IV2864" s="37"/>
      <c r="IW2864" s="37"/>
      <c r="IX2864" s="37"/>
      <c r="IY2864" s="37"/>
      <c r="IZ2864" s="37"/>
      <c r="JA2864" s="37"/>
      <c r="JB2864" s="37"/>
      <c r="JC2864" s="37"/>
      <c r="JD2864" s="37"/>
      <c r="JE2864" s="37"/>
      <c r="JF2864" s="37"/>
      <c r="JG2864" s="37"/>
      <c r="JH2864" s="37"/>
      <c r="JI2864" s="37"/>
      <c r="JJ2864" s="37"/>
      <c r="JK2864" s="37"/>
      <c r="JL2864" s="37"/>
      <c r="JM2864" s="37"/>
      <c r="JN2864" s="37"/>
      <c r="JO2864" s="37"/>
      <c r="JP2864" s="37"/>
      <c r="JQ2864" s="37"/>
      <c r="JR2864" s="37"/>
      <c r="JS2864" s="37"/>
      <c r="JT2864" s="37"/>
      <c r="JU2864" s="37"/>
      <c r="JV2864" s="37"/>
      <c r="JW2864" s="37"/>
      <c r="JX2864" s="37"/>
      <c r="JY2864" s="37"/>
      <c r="JZ2864" s="37"/>
      <c r="KA2864" s="37"/>
      <c r="KB2864" s="37"/>
      <c r="KC2864" s="37"/>
      <c r="KD2864" s="37"/>
      <c r="KE2864" s="37"/>
      <c r="KF2864" s="37"/>
      <c r="KG2864" s="37"/>
      <c r="KH2864" s="37"/>
      <c r="KI2864" s="37"/>
      <c r="KJ2864" s="37"/>
      <c r="KK2864" s="37"/>
      <c r="KL2864" s="37"/>
      <c r="KM2864" s="37"/>
      <c r="KN2864" s="37"/>
      <c r="KO2864" s="37"/>
      <c r="KP2864" s="37"/>
      <c r="KQ2864" s="37"/>
      <c r="KR2864" s="37"/>
      <c r="KS2864" s="37"/>
      <c r="KT2864" s="37"/>
      <c r="KU2864" s="37"/>
      <c r="KV2864" s="37"/>
      <c r="KW2864" s="37"/>
      <c r="KX2864" s="37"/>
      <c r="KY2864" s="37"/>
      <c r="KZ2864" s="37"/>
      <c r="LA2864" s="37"/>
      <c r="LB2864" s="37"/>
      <c r="LC2864" s="37"/>
      <c r="LD2864" s="37"/>
      <c r="LE2864" s="37"/>
      <c r="LF2864" s="37"/>
      <c r="LG2864" s="37"/>
      <c r="LH2864" s="37"/>
      <c r="LI2864" s="37"/>
      <c r="LJ2864" s="37"/>
      <c r="LK2864" s="37"/>
      <c r="LL2864" s="37"/>
      <c r="LM2864" s="37"/>
      <c r="LN2864" s="37"/>
      <c r="LO2864" s="37"/>
      <c r="LP2864" s="37"/>
      <c r="LQ2864" s="37"/>
      <c r="LR2864" s="37"/>
      <c r="LS2864" s="37"/>
      <c r="LT2864" s="37"/>
      <c r="LU2864" s="37"/>
      <c r="LV2864" s="37"/>
      <c r="LW2864" s="37"/>
      <c r="LX2864" s="37"/>
      <c r="LY2864" s="37"/>
      <c r="LZ2864" s="37"/>
      <c r="MA2864" s="37"/>
      <c r="MB2864" s="37"/>
      <c r="MC2864" s="37"/>
      <c r="MD2864" s="37"/>
      <c r="ME2864" s="37"/>
      <c r="MF2864" s="37"/>
      <c r="MG2864" s="37"/>
      <c r="MH2864" s="37"/>
      <c r="MI2864" s="37"/>
      <c r="MJ2864" s="37"/>
      <c r="MK2864" s="37"/>
      <c r="ML2864" s="37"/>
      <c r="MM2864" s="37"/>
      <c r="MN2864" s="37"/>
      <c r="MO2864" s="37"/>
      <c r="MP2864" s="37"/>
      <c r="MQ2864" s="37"/>
      <c r="MR2864" s="37"/>
      <c r="MS2864" s="37"/>
      <c r="MT2864" s="37"/>
      <c r="MU2864" s="37"/>
      <c r="MV2864" s="37"/>
      <c r="MW2864" s="37"/>
      <c r="MX2864" s="37"/>
      <c r="MY2864" s="37"/>
      <c r="MZ2864" s="37"/>
      <c r="NA2864" s="37"/>
      <c r="NB2864" s="37"/>
      <c r="NC2864" s="37"/>
      <c r="ND2864" s="37"/>
      <c r="NE2864" s="37"/>
      <c r="NF2864" s="37"/>
      <c r="NG2864" s="37"/>
      <c r="NH2864" s="37"/>
      <c r="NI2864" s="37"/>
      <c r="NJ2864" s="37"/>
      <c r="NK2864" s="37"/>
      <c r="NL2864" s="37"/>
      <c r="NM2864" s="37"/>
      <c r="NN2864" s="37"/>
      <c r="NO2864" s="37"/>
      <c r="NP2864" s="37"/>
      <c r="NQ2864" s="37"/>
      <c r="NR2864" s="37"/>
      <c r="NS2864" s="37"/>
      <c r="NT2864" s="37"/>
      <c r="NU2864" s="37"/>
      <c r="NV2864" s="37"/>
      <c r="NW2864" s="37"/>
      <c r="NX2864" s="37"/>
      <c r="NY2864" s="37"/>
      <c r="NZ2864" s="37"/>
      <c r="OA2864" s="37"/>
      <c r="OB2864" s="37"/>
      <c r="OC2864" s="37"/>
      <c r="OD2864" s="37"/>
      <c r="OE2864" s="37"/>
      <c r="OF2864" s="37"/>
      <c r="OG2864" s="37"/>
      <c r="OH2864" s="37"/>
      <c r="OI2864" s="37"/>
      <c r="OJ2864" s="37"/>
      <c r="OK2864" s="37"/>
      <c r="OL2864" s="37"/>
      <c r="OM2864" s="37"/>
      <c r="ON2864" s="37"/>
      <c r="OO2864" s="37"/>
      <c r="OP2864" s="37"/>
      <c r="OQ2864" s="37"/>
      <c r="OR2864" s="37"/>
      <c r="OS2864" s="37"/>
      <c r="OT2864" s="37"/>
      <c r="OU2864" s="37"/>
      <c r="OV2864" s="37"/>
      <c r="OW2864" s="37"/>
      <c r="OX2864" s="37"/>
      <c r="OY2864" s="37"/>
      <c r="OZ2864" s="37"/>
      <c r="PA2864" s="37"/>
      <c r="PB2864" s="37"/>
      <c r="PC2864" s="37"/>
      <c r="PD2864" s="37"/>
      <c r="PE2864" s="37"/>
      <c r="PF2864" s="37"/>
      <c r="PG2864" s="37"/>
      <c r="PH2864" s="37"/>
      <c r="PI2864" s="37"/>
      <c r="PJ2864" s="37"/>
      <c r="PK2864" s="37"/>
      <c r="PL2864" s="37"/>
      <c r="PM2864" s="37"/>
      <c r="PN2864" s="37"/>
      <c r="PO2864" s="37"/>
      <c r="PP2864" s="37"/>
      <c r="PQ2864" s="37"/>
      <c r="PR2864" s="37"/>
      <c r="PS2864" s="37"/>
      <c r="PT2864" s="37"/>
      <c r="PU2864" s="37"/>
      <c r="PV2864" s="37"/>
      <c r="PW2864" s="37"/>
      <c r="PX2864" s="37"/>
      <c r="PY2864" s="37"/>
      <c r="PZ2864" s="37"/>
      <c r="QA2864" s="37"/>
      <c r="QB2864" s="37"/>
      <c r="QC2864" s="37"/>
      <c r="QD2864" s="37"/>
      <c r="QE2864" s="37"/>
      <c r="QF2864" s="37"/>
      <c r="QG2864" s="37"/>
      <c r="QH2864" s="37"/>
      <c r="QI2864" s="37"/>
      <c r="QJ2864" s="37"/>
      <c r="QK2864" s="37"/>
      <c r="QL2864" s="37"/>
      <c r="QM2864" s="37"/>
      <c r="QN2864" s="37"/>
      <c r="QO2864" s="37"/>
      <c r="QP2864" s="37"/>
      <c r="QQ2864" s="37"/>
      <c r="QR2864" s="37"/>
      <c r="QS2864" s="37"/>
      <c r="QT2864" s="37"/>
      <c r="QU2864" s="37"/>
      <c r="QV2864" s="37"/>
      <c r="QW2864" s="37"/>
      <c r="QX2864" s="37"/>
      <c r="QY2864" s="37"/>
      <c r="QZ2864" s="37"/>
      <c r="RA2864" s="37"/>
      <c r="RB2864" s="37"/>
      <c r="RC2864" s="37"/>
      <c r="RD2864" s="37"/>
      <c r="RE2864" s="37"/>
      <c r="RF2864" s="37"/>
      <c r="RG2864" s="37"/>
      <c r="RH2864" s="37"/>
      <c r="RI2864" s="37"/>
      <c r="RJ2864" s="37"/>
      <c r="RK2864" s="37"/>
      <c r="RL2864" s="37"/>
      <c r="RM2864" s="37"/>
      <c r="RN2864" s="37"/>
      <c r="RO2864" s="37"/>
      <c r="RP2864" s="37"/>
      <c r="RQ2864" s="37"/>
      <c r="RR2864" s="37"/>
      <c r="RS2864" s="37"/>
      <c r="RT2864" s="37"/>
      <c r="RU2864" s="37"/>
      <c r="RV2864" s="37"/>
      <c r="RW2864" s="37"/>
      <c r="RX2864" s="37"/>
      <c r="RY2864" s="37"/>
      <c r="RZ2864" s="37"/>
      <c r="SA2864" s="37"/>
      <c r="SB2864" s="37"/>
      <c r="SC2864" s="37"/>
      <c r="SD2864" s="37"/>
      <c r="SE2864" s="37"/>
      <c r="SF2864" s="37"/>
    </row>
    <row r="2865" spans="1:500">
      <c r="A2865" s="37"/>
      <c r="B2865" s="37"/>
      <c r="C2865" s="37"/>
      <c r="D2865" s="37"/>
      <c r="E2865" s="37"/>
      <c r="F2865" s="37"/>
      <c r="G2865" s="37"/>
      <c r="H2865" s="37"/>
      <c r="I2865" s="37"/>
      <c r="J2865" s="37"/>
      <c r="K2865" s="37"/>
      <c r="L2865" s="37"/>
      <c r="M2865" s="37"/>
      <c r="N2865" s="37"/>
      <c r="O2865" s="37"/>
      <c r="P2865" s="37"/>
      <c r="Q2865" s="37"/>
      <c r="R2865" s="37"/>
      <c r="S2865" s="37"/>
      <c r="T2865" s="37"/>
      <c r="U2865" s="37"/>
      <c r="V2865" s="37"/>
      <c r="W2865" s="37"/>
      <c r="X2865" s="37"/>
      <c r="Y2865" s="37"/>
      <c r="Z2865" s="37"/>
      <c r="AA2865" s="37"/>
      <c r="AB2865" s="37"/>
      <c r="AC2865" s="37"/>
      <c r="AD2865" s="37"/>
      <c r="AE2865" s="37"/>
      <c r="AF2865" s="37"/>
      <c r="AG2865" s="37"/>
      <c r="AH2865" s="37"/>
      <c r="AI2865" s="37"/>
      <c r="AJ2865" s="37"/>
      <c r="AK2865" s="37"/>
      <c r="AL2865" s="37"/>
      <c r="AM2865" s="37"/>
      <c r="AN2865" s="37"/>
      <c r="AO2865" s="37"/>
      <c r="AP2865" s="37"/>
      <c r="AQ2865" s="37"/>
      <c r="AR2865" s="37"/>
      <c r="AS2865" s="37"/>
      <c r="AT2865" s="37"/>
      <c r="AU2865" s="37"/>
      <c r="AV2865" s="37"/>
      <c r="AW2865" s="37"/>
      <c r="AX2865" s="37"/>
      <c r="AY2865" s="37"/>
      <c r="AZ2865" s="37"/>
      <c r="BA2865" s="37"/>
      <c r="BB2865" s="37"/>
      <c r="BC2865" s="37"/>
      <c r="BD2865" s="37"/>
      <c r="BE2865" s="37"/>
      <c r="BF2865" s="37"/>
      <c r="BG2865" s="37"/>
      <c r="BH2865" s="37"/>
      <c r="BI2865" s="37"/>
      <c r="BJ2865" s="37"/>
      <c r="BK2865" s="37"/>
      <c r="BL2865" s="37"/>
      <c r="BM2865" s="37"/>
      <c r="BN2865" s="37"/>
      <c r="BO2865" s="37"/>
      <c r="BP2865" s="37"/>
      <c r="BQ2865" s="37"/>
      <c r="BR2865" s="37"/>
      <c r="BS2865" s="37"/>
      <c r="BT2865" s="37"/>
      <c r="BU2865" s="37"/>
      <c r="BV2865" s="37"/>
      <c r="BW2865" s="37"/>
      <c r="BX2865" s="37"/>
      <c r="BY2865" s="37"/>
      <c r="BZ2865" s="37"/>
      <c r="CA2865" s="37"/>
      <c r="CB2865" s="37"/>
      <c r="CC2865" s="37"/>
      <c r="CD2865" s="37"/>
      <c r="CE2865" s="37"/>
      <c r="CF2865" s="37"/>
      <c r="CG2865" s="37"/>
      <c r="CH2865" s="37"/>
      <c r="CI2865" s="37"/>
      <c r="CJ2865" s="37"/>
      <c r="CK2865" s="37"/>
      <c r="CL2865" s="37"/>
      <c r="CM2865" s="37"/>
      <c r="CN2865" s="37"/>
      <c r="CO2865" s="37"/>
      <c r="CP2865" s="37"/>
      <c r="CQ2865" s="37"/>
      <c r="CR2865" s="37"/>
      <c r="CS2865" s="37"/>
      <c r="CT2865" s="37"/>
      <c r="CU2865" s="37"/>
      <c r="CV2865" s="37"/>
      <c r="CW2865" s="37"/>
      <c r="CX2865" s="37"/>
      <c r="CY2865" s="37"/>
      <c r="CZ2865" s="37"/>
      <c r="DA2865" s="37"/>
      <c r="DB2865" s="37"/>
      <c r="DC2865" s="37"/>
      <c r="DD2865" s="37"/>
      <c r="DE2865" s="37"/>
      <c r="DF2865" s="37"/>
      <c r="DG2865" s="37"/>
      <c r="DH2865" s="37"/>
      <c r="DI2865" s="37"/>
      <c r="DJ2865" s="37"/>
      <c r="DK2865" s="37"/>
      <c r="DL2865" s="37"/>
      <c r="DM2865" s="37"/>
      <c r="DN2865" s="37"/>
      <c r="DO2865" s="37"/>
      <c r="DP2865" s="37"/>
      <c r="DQ2865" s="37"/>
      <c r="DR2865" s="37"/>
      <c r="DS2865" s="37"/>
      <c r="DT2865" s="37"/>
      <c r="DU2865" s="37"/>
      <c r="DV2865" s="37"/>
      <c r="DW2865" s="37"/>
      <c r="DX2865" s="37"/>
      <c r="DY2865" s="37"/>
      <c r="DZ2865" s="37"/>
      <c r="EA2865" s="37"/>
      <c r="EB2865" s="37"/>
      <c r="EC2865" s="37"/>
      <c r="ED2865" s="37"/>
      <c r="EE2865" s="37"/>
      <c r="EF2865" s="37"/>
      <c r="EG2865" s="37"/>
      <c r="EH2865" s="37"/>
      <c r="EI2865" s="37"/>
      <c r="EJ2865" s="37"/>
      <c r="EK2865" s="37"/>
      <c r="EL2865" s="37"/>
      <c r="EM2865" s="37"/>
      <c r="EN2865" s="37"/>
      <c r="EO2865" s="37"/>
      <c r="EP2865" s="37"/>
      <c r="EQ2865" s="37"/>
      <c r="ER2865" s="37"/>
      <c r="ES2865" s="37"/>
      <c r="ET2865" s="37"/>
      <c r="EU2865" s="37"/>
      <c r="EV2865" s="37"/>
      <c r="EW2865" s="37"/>
      <c r="EX2865" s="37"/>
      <c r="EY2865" s="37"/>
      <c r="EZ2865" s="37"/>
      <c r="FA2865" s="37"/>
      <c r="FB2865" s="37"/>
      <c r="FC2865" s="37"/>
      <c r="FD2865" s="37"/>
      <c r="FE2865" s="37"/>
      <c r="FF2865" s="37"/>
      <c r="FG2865" s="37"/>
      <c r="FH2865" s="37"/>
      <c r="FI2865" s="37"/>
      <c r="FJ2865" s="37"/>
      <c r="FK2865" s="37"/>
      <c r="FL2865" s="37"/>
      <c r="FM2865" s="37"/>
      <c r="FN2865" s="37"/>
      <c r="FO2865" s="37"/>
      <c r="FP2865" s="37"/>
      <c r="FQ2865" s="37"/>
      <c r="FR2865" s="37"/>
      <c r="FS2865" s="37"/>
      <c r="FT2865" s="37"/>
      <c r="FU2865" s="37"/>
      <c r="FV2865" s="37"/>
      <c r="FW2865" s="37"/>
      <c r="FX2865" s="37"/>
      <c r="FY2865" s="37"/>
      <c r="FZ2865" s="37"/>
      <c r="GA2865" s="37"/>
      <c r="GB2865" s="37"/>
      <c r="GC2865" s="37"/>
      <c r="GD2865" s="37"/>
      <c r="GE2865" s="37"/>
      <c r="GF2865" s="37"/>
      <c r="GG2865" s="37"/>
      <c r="GH2865" s="37"/>
      <c r="GI2865" s="37"/>
      <c r="GJ2865" s="37"/>
      <c r="GK2865" s="37"/>
      <c r="GL2865" s="37"/>
      <c r="GM2865" s="37"/>
      <c r="GN2865" s="37"/>
      <c r="GO2865" s="37"/>
      <c r="GP2865" s="37"/>
      <c r="GQ2865" s="37"/>
      <c r="GR2865" s="37"/>
      <c r="GS2865" s="37"/>
      <c r="GT2865" s="37"/>
      <c r="GU2865" s="37"/>
      <c r="GV2865" s="37"/>
      <c r="GW2865" s="37"/>
      <c r="GX2865" s="37"/>
      <c r="GY2865" s="37"/>
      <c r="GZ2865" s="37"/>
      <c r="HA2865" s="37"/>
      <c r="HB2865" s="37"/>
      <c r="HC2865" s="37"/>
      <c r="HD2865" s="37"/>
      <c r="HE2865" s="37"/>
      <c r="HF2865" s="37"/>
      <c r="HG2865" s="37"/>
      <c r="HH2865" s="37"/>
      <c r="HI2865" s="37"/>
      <c r="HJ2865" s="37"/>
      <c r="HK2865" s="37"/>
      <c r="HL2865" s="37"/>
      <c r="HM2865" s="37"/>
      <c r="HN2865" s="37"/>
      <c r="HO2865" s="37"/>
      <c r="HP2865" s="37"/>
      <c r="HQ2865" s="37"/>
      <c r="HR2865" s="37"/>
      <c r="HS2865" s="37"/>
      <c r="HT2865" s="37"/>
      <c r="HU2865" s="37"/>
      <c r="HV2865" s="37"/>
      <c r="HW2865" s="37"/>
      <c r="HX2865" s="37"/>
      <c r="HY2865" s="37"/>
      <c r="HZ2865" s="37"/>
      <c r="IA2865" s="37"/>
      <c r="IB2865" s="37"/>
      <c r="IC2865" s="37"/>
      <c r="ID2865" s="37"/>
      <c r="IE2865" s="37"/>
      <c r="IF2865" s="37"/>
      <c r="IG2865" s="37"/>
      <c r="IH2865" s="37"/>
      <c r="II2865" s="37"/>
      <c r="IJ2865" s="37"/>
      <c r="IK2865" s="37"/>
      <c r="IL2865" s="37"/>
      <c r="IM2865" s="37"/>
      <c r="IN2865" s="37"/>
      <c r="IO2865" s="37"/>
      <c r="IP2865" s="37"/>
      <c r="IQ2865" s="37"/>
      <c r="IR2865" s="37"/>
      <c r="IS2865" s="37"/>
      <c r="IT2865" s="37"/>
      <c r="IU2865" s="37"/>
      <c r="IV2865" s="37"/>
      <c r="IW2865" s="37"/>
      <c r="IX2865" s="37"/>
      <c r="IY2865" s="37"/>
      <c r="IZ2865" s="37"/>
      <c r="JA2865" s="37"/>
      <c r="JB2865" s="37"/>
      <c r="JC2865" s="37"/>
      <c r="JD2865" s="37"/>
      <c r="JE2865" s="37"/>
      <c r="JF2865" s="37"/>
      <c r="JG2865" s="37"/>
      <c r="JH2865" s="37"/>
      <c r="JI2865" s="37"/>
      <c r="JJ2865" s="37"/>
      <c r="JK2865" s="37"/>
      <c r="JL2865" s="37"/>
      <c r="JM2865" s="37"/>
      <c r="JN2865" s="37"/>
      <c r="JO2865" s="37"/>
      <c r="JP2865" s="37"/>
      <c r="JQ2865" s="37"/>
      <c r="JR2865" s="37"/>
      <c r="JS2865" s="37"/>
      <c r="JT2865" s="37"/>
      <c r="JU2865" s="37"/>
      <c r="JV2865" s="37"/>
      <c r="JW2865" s="37"/>
      <c r="JX2865" s="37"/>
      <c r="JY2865" s="37"/>
      <c r="JZ2865" s="37"/>
      <c r="KA2865" s="37"/>
      <c r="KB2865" s="37"/>
      <c r="KC2865" s="37"/>
      <c r="KD2865" s="37"/>
      <c r="KE2865" s="37"/>
      <c r="KF2865" s="37"/>
      <c r="KG2865" s="37"/>
      <c r="KH2865" s="37"/>
      <c r="KI2865" s="37"/>
      <c r="KJ2865" s="37"/>
      <c r="KK2865" s="37"/>
      <c r="KL2865" s="37"/>
      <c r="KM2865" s="37"/>
      <c r="KN2865" s="37"/>
      <c r="KO2865" s="37"/>
      <c r="KP2865" s="37"/>
      <c r="KQ2865" s="37"/>
      <c r="KR2865" s="37"/>
      <c r="KS2865" s="37"/>
      <c r="KT2865" s="37"/>
      <c r="KU2865" s="37"/>
      <c r="KV2865" s="37"/>
      <c r="KW2865" s="37"/>
      <c r="KX2865" s="37"/>
      <c r="KY2865" s="37"/>
      <c r="KZ2865" s="37"/>
      <c r="LA2865" s="37"/>
      <c r="LB2865" s="37"/>
      <c r="LC2865" s="37"/>
      <c r="LD2865" s="37"/>
      <c r="LE2865" s="37"/>
      <c r="LF2865" s="37"/>
      <c r="LG2865" s="37"/>
      <c r="LH2865" s="37"/>
      <c r="LI2865" s="37"/>
      <c r="LJ2865" s="37"/>
      <c r="LK2865" s="37"/>
      <c r="LL2865" s="37"/>
      <c r="LM2865" s="37"/>
      <c r="LN2865" s="37"/>
      <c r="LO2865" s="37"/>
      <c r="LP2865" s="37"/>
      <c r="LQ2865" s="37"/>
      <c r="LR2865" s="37"/>
      <c r="LS2865" s="37"/>
      <c r="LT2865" s="37"/>
      <c r="LU2865" s="37"/>
      <c r="LV2865" s="37"/>
      <c r="LW2865" s="37"/>
      <c r="LX2865" s="37"/>
      <c r="LY2865" s="37"/>
      <c r="LZ2865" s="37"/>
      <c r="MA2865" s="37"/>
      <c r="MB2865" s="37"/>
      <c r="MC2865" s="37"/>
      <c r="MD2865" s="37"/>
      <c r="ME2865" s="37"/>
      <c r="MF2865" s="37"/>
      <c r="MG2865" s="37"/>
      <c r="MH2865" s="37"/>
      <c r="MI2865" s="37"/>
      <c r="MJ2865" s="37"/>
      <c r="MK2865" s="37"/>
      <c r="ML2865" s="37"/>
      <c r="MM2865" s="37"/>
      <c r="MN2865" s="37"/>
      <c r="MO2865" s="37"/>
      <c r="MP2865" s="37"/>
      <c r="MQ2865" s="37"/>
      <c r="MR2865" s="37"/>
      <c r="MS2865" s="37"/>
      <c r="MT2865" s="37"/>
      <c r="MU2865" s="37"/>
      <c r="MV2865" s="37"/>
      <c r="MW2865" s="37"/>
      <c r="MX2865" s="37"/>
      <c r="MY2865" s="37"/>
      <c r="MZ2865" s="37"/>
      <c r="NA2865" s="37"/>
      <c r="NB2865" s="37"/>
      <c r="NC2865" s="37"/>
      <c r="ND2865" s="37"/>
      <c r="NE2865" s="37"/>
      <c r="NF2865" s="37"/>
      <c r="NG2865" s="37"/>
      <c r="NH2865" s="37"/>
      <c r="NI2865" s="37"/>
      <c r="NJ2865" s="37"/>
      <c r="NK2865" s="37"/>
      <c r="NL2865" s="37"/>
      <c r="NM2865" s="37"/>
      <c r="NN2865" s="37"/>
      <c r="NO2865" s="37"/>
      <c r="NP2865" s="37"/>
      <c r="NQ2865" s="37"/>
      <c r="NR2865" s="37"/>
      <c r="NS2865" s="37"/>
      <c r="NT2865" s="37"/>
      <c r="NU2865" s="37"/>
      <c r="NV2865" s="37"/>
      <c r="NW2865" s="37"/>
      <c r="NX2865" s="37"/>
      <c r="NY2865" s="37"/>
      <c r="NZ2865" s="37"/>
      <c r="OA2865" s="37"/>
      <c r="OB2865" s="37"/>
      <c r="OC2865" s="37"/>
      <c r="OD2865" s="37"/>
      <c r="OE2865" s="37"/>
      <c r="OF2865" s="37"/>
      <c r="OG2865" s="37"/>
      <c r="OH2865" s="37"/>
      <c r="OI2865" s="37"/>
      <c r="OJ2865" s="37"/>
      <c r="OK2865" s="37"/>
      <c r="OL2865" s="37"/>
      <c r="OM2865" s="37"/>
      <c r="ON2865" s="37"/>
      <c r="OO2865" s="37"/>
      <c r="OP2865" s="37"/>
      <c r="OQ2865" s="37"/>
      <c r="OR2865" s="37"/>
      <c r="OS2865" s="37"/>
      <c r="OT2865" s="37"/>
      <c r="OU2865" s="37"/>
      <c r="OV2865" s="37"/>
      <c r="OW2865" s="37"/>
      <c r="OX2865" s="37"/>
      <c r="OY2865" s="37"/>
      <c r="OZ2865" s="37"/>
      <c r="PA2865" s="37"/>
      <c r="PB2865" s="37"/>
      <c r="PC2865" s="37"/>
      <c r="PD2865" s="37"/>
      <c r="PE2865" s="37"/>
      <c r="PF2865" s="37"/>
      <c r="PG2865" s="37"/>
      <c r="PH2865" s="37"/>
      <c r="PI2865" s="37"/>
      <c r="PJ2865" s="37"/>
      <c r="PK2865" s="37"/>
      <c r="PL2865" s="37"/>
      <c r="PM2865" s="37"/>
      <c r="PN2865" s="37"/>
      <c r="PO2865" s="37"/>
      <c r="PP2865" s="37"/>
      <c r="PQ2865" s="37"/>
      <c r="PR2865" s="37"/>
      <c r="PS2865" s="37"/>
      <c r="PT2865" s="37"/>
      <c r="PU2865" s="37"/>
      <c r="PV2865" s="37"/>
      <c r="PW2865" s="37"/>
      <c r="PX2865" s="37"/>
      <c r="PY2865" s="37"/>
      <c r="PZ2865" s="37"/>
      <c r="QA2865" s="37"/>
      <c r="QB2865" s="37"/>
      <c r="QC2865" s="37"/>
      <c r="QD2865" s="37"/>
      <c r="QE2865" s="37"/>
      <c r="QF2865" s="37"/>
      <c r="QG2865" s="37"/>
      <c r="QH2865" s="37"/>
      <c r="QI2865" s="37"/>
      <c r="QJ2865" s="37"/>
      <c r="QK2865" s="37"/>
      <c r="QL2865" s="37"/>
      <c r="QM2865" s="37"/>
      <c r="QN2865" s="37"/>
      <c r="QO2865" s="37"/>
      <c r="QP2865" s="37"/>
      <c r="QQ2865" s="37"/>
      <c r="QR2865" s="37"/>
      <c r="QS2865" s="37"/>
      <c r="QT2865" s="37"/>
      <c r="QU2865" s="37"/>
      <c r="QV2865" s="37"/>
      <c r="QW2865" s="37"/>
      <c r="QX2865" s="37"/>
      <c r="QY2865" s="37"/>
      <c r="QZ2865" s="37"/>
      <c r="RA2865" s="37"/>
      <c r="RB2865" s="37"/>
      <c r="RC2865" s="37"/>
      <c r="RD2865" s="37"/>
      <c r="RE2865" s="37"/>
      <c r="RF2865" s="37"/>
      <c r="RG2865" s="37"/>
      <c r="RH2865" s="37"/>
      <c r="RI2865" s="37"/>
      <c r="RJ2865" s="37"/>
      <c r="RK2865" s="37"/>
      <c r="RL2865" s="37"/>
      <c r="RM2865" s="37"/>
      <c r="RN2865" s="37"/>
      <c r="RO2865" s="37"/>
      <c r="RP2865" s="37"/>
      <c r="RQ2865" s="37"/>
      <c r="RR2865" s="37"/>
      <c r="RS2865" s="37"/>
      <c r="RT2865" s="37"/>
      <c r="RU2865" s="37"/>
      <c r="RV2865" s="37"/>
      <c r="RW2865" s="37"/>
      <c r="RX2865" s="37"/>
      <c r="RY2865" s="37"/>
      <c r="RZ2865" s="37"/>
      <c r="SA2865" s="37"/>
      <c r="SB2865" s="37"/>
      <c r="SC2865" s="37"/>
      <c r="SD2865" s="37"/>
      <c r="SE2865" s="37"/>
      <c r="SF2865" s="37"/>
    </row>
    <row r="2866" spans="1:500">
      <c r="A2866" s="37"/>
      <c r="B2866" s="37"/>
      <c r="C2866" s="37"/>
      <c r="D2866" s="37"/>
      <c r="E2866" s="37"/>
      <c r="F2866" s="37"/>
      <c r="G2866" s="37"/>
      <c r="H2866" s="37"/>
      <c r="I2866" s="37"/>
      <c r="J2866" s="37"/>
      <c r="K2866" s="37"/>
      <c r="L2866" s="37"/>
      <c r="M2866" s="37"/>
      <c r="N2866" s="37"/>
      <c r="O2866" s="37"/>
      <c r="P2866" s="37"/>
      <c r="Q2866" s="37"/>
      <c r="R2866" s="37"/>
      <c r="S2866" s="37"/>
      <c r="T2866" s="37"/>
      <c r="U2866" s="37"/>
      <c r="V2866" s="37"/>
      <c r="W2866" s="37"/>
      <c r="X2866" s="37"/>
      <c r="Y2866" s="37"/>
      <c r="Z2866" s="37"/>
      <c r="AA2866" s="37"/>
      <c r="AB2866" s="37"/>
      <c r="AC2866" s="37"/>
      <c r="AD2866" s="37"/>
      <c r="AE2866" s="37"/>
      <c r="AF2866" s="37"/>
      <c r="AG2866" s="37"/>
      <c r="AH2866" s="37"/>
      <c r="AI2866" s="37"/>
      <c r="AJ2866" s="37"/>
      <c r="AK2866" s="37"/>
      <c r="AL2866" s="37"/>
      <c r="AM2866" s="37"/>
      <c r="AN2866" s="37"/>
      <c r="AO2866" s="37"/>
      <c r="AP2866" s="37"/>
      <c r="AQ2866" s="37"/>
      <c r="AR2866" s="37"/>
      <c r="AS2866" s="37"/>
      <c r="AT2866" s="37"/>
      <c r="AU2866" s="37"/>
      <c r="AV2866" s="37"/>
      <c r="AW2866" s="37"/>
      <c r="AX2866" s="37"/>
      <c r="AY2866" s="37"/>
      <c r="AZ2866" s="37"/>
      <c r="BA2866" s="37"/>
      <c r="BB2866" s="37"/>
      <c r="BC2866" s="37"/>
      <c r="BD2866" s="37"/>
      <c r="BE2866" s="37"/>
      <c r="BF2866" s="37"/>
      <c r="BG2866" s="37"/>
      <c r="BH2866" s="37"/>
      <c r="BI2866" s="37"/>
      <c r="BJ2866" s="37"/>
      <c r="BK2866" s="37"/>
      <c r="BL2866" s="37"/>
      <c r="BM2866" s="37"/>
      <c r="BN2866" s="37"/>
      <c r="BO2866" s="37"/>
      <c r="BP2866" s="37"/>
      <c r="BQ2866" s="37"/>
      <c r="BR2866" s="37"/>
      <c r="BS2866" s="37"/>
      <c r="BT2866" s="37"/>
      <c r="BU2866" s="37"/>
      <c r="BV2866" s="37"/>
      <c r="BW2866" s="37"/>
      <c r="BX2866" s="37"/>
      <c r="BY2866" s="37"/>
      <c r="BZ2866" s="37"/>
      <c r="CA2866" s="37"/>
      <c r="CB2866" s="37"/>
      <c r="CC2866" s="37"/>
      <c r="CD2866" s="37"/>
      <c r="CE2866" s="37"/>
      <c r="CF2866" s="37"/>
      <c r="CG2866" s="37"/>
      <c r="CH2866" s="37"/>
      <c r="CI2866" s="37"/>
      <c r="CJ2866" s="37"/>
      <c r="CK2866" s="37"/>
      <c r="CL2866" s="37"/>
      <c r="CM2866" s="37"/>
      <c r="CN2866" s="37"/>
      <c r="CO2866" s="37"/>
      <c r="CP2866" s="37"/>
      <c r="CQ2866" s="37"/>
      <c r="CR2866" s="37"/>
      <c r="CS2866" s="37"/>
      <c r="CT2866" s="37"/>
      <c r="CU2866" s="37"/>
      <c r="CV2866" s="37"/>
      <c r="CW2866" s="37"/>
      <c r="CX2866" s="37"/>
      <c r="CY2866" s="37"/>
      <c r="CZ2866" s="37"/>
      <c r="DA2866" s="37"/>
      <c r="DB2866" s="37"/>
      <c r="DC2866" s="37"/>
      <c r="DD2866" s="37"/>
      <c r="DE2866" s="37"/>
      <c r="DF2866" s="37"/>
      <c r="DG2866" s="37"/>
      <c r="DH2866" s="37"/>
      <c r="DI2866" s="37"/>
      <c r="DJ2866" s="37"/>
      <c r="DK2866" s="37"/>
      <c r="DL2866" s="37"/>
      <c r="DM2866" s="37"/>
      <c r="DN2866" s="37"/>
      <c r="DO2866" s="37"/>
      <c r="DP2866" s="37"/>
      <c r="DQ2866" s="37"/>
      <c r="DR2866" s="37"/>
      <c r="DS2866" s="37"/>
      <c r="DT2866" s="37"/>
      <c r="DU2866" s="37"/>
      <c r="DV2866" s="37"/>
      <c r="DW2866" s="37"/>
      <c r="DX2866" s="37"/>
      <c r="DY2866" s="37"/>
      <c r="DZ2866" s="37"/>
      <c r="EA2866" s="37"/>
      <c r="EB2866" s="37"/>
      <c r="EC2866" s="37"/>
      <c r="ED2866" s="37"/>
      <c r="EE2866" s="37"/>
      <c r="EF2866" s="37"/>
      <c r="EG2866" s="37"/>
      <c r="EH2866" s="37"/>
      <c r="EI2866" s="37"/>
      <c r="EJ2866" s="37"/>
      <c r="EK2866" s="37"/>
      <c r="EL2866" s="37"/>
      <c r="EM2866" s="37"/>
      <c r="EN2866" s="37"/>
      <c r="EO2866" s="37"/>
      <c r="EP2866" s="37"/>
      <c r="EQ2866" s="37"/>
      <c r="ER2866" s="37"/>
      <c r="ES2866" s="37"/>
      <c r="ET2866" s="37"/>
      <c r="EU2866" s="37"/>
      <c r="EV2866" s="37"/>
      <c r="EW2866" s="37"/>
      <c r="EX2866" s="37"/>
      <c r="EY2866" s="37"/>
      <c r="EZ2866" s="37"/>
      <c r="FA2866" s="37"/>
      <c r="FB2866" s="37"/>
      <c r="FC2866" s="37"/>
      <c r="FD2866" s="37"/>
      <c r="FE2866" s="37"/>
      <c r="FF2866" s="37"/>
      <c r="FG2866" s="37"/>
      <c r="FH2866" s="37"/>
      <c r="FI2866" s="37"/>
      <c r="FJ2866" s="37"/>
      <c r="FK2866" s="37"/>
      <c r="FL2866" s="37"/>
      <c r="FM2866" s="37"/>
      <c r="FN2866" s="37"/>
      <c r="FO2866" s="37"/>
      <c r="FP2866" s="37"/>
      <c r="FQ2866" s="37"/>
      <c r="FR2866" s="37"/>
      <c r="FS2866" s="37"/>
      <c r="FT2866" s="37"/>
      <c r="FU2866" s="37"/>
      <c r="FV2866" s="37"/>
      <c r="FW2866" s="37"/>
      <c r="FX2866" s="37"/>
      <c r="FY2866" s="37"/>
      <c r="FZ2866" s="37"/>
      <c r="GA2866" s="37"/>
      <c r="GB2866" s="37"/>
      <c r="GC2866" s="37"/>
      <c r="GD2866" s="37"/>
      <c r="GE2866" s="37"/>
      <c r="GF2866" s="37"/>
      <c r="GG2866" s="37"/>
      <c r="GH2866" s="37"/>
      <c r="GI2866" s="37"/>
      <c r="GJ2866" s="37"/>
      <c r="GK2866" s="37"/>
      <c r="GL2866" s="37"/>
      <c r="GM2866" s="37"/>
      <c r="GN2866" s="37"/>
      <c r="GO2866" s="37"/>
      <c r="GP2866" s="37"/>
      <c r="GQ2866" s="37"/>
      <c r="GR2866" s="37"/>
      <c r="GS2866" s="37"/>
      <c r="GT2866" s="37"/>
      <c r="GU2866" s="37"/>
      <c r="GV2866" s="37"/>
      <c r="GW2866" s="37"/>
      <c r="GX2866" s="37"/>
      <c r="GY2866" s="37"/>
      <c r="GZ2866" s="37"/>
      <c r="HA2866" s="37"/>
      <c r="HB2866" s="37"/>
      <c r="HC2866" s="37"/>
      <c r="HD2866" s="37"/>
      <c r="HE2866" s="37"/>
      <c r="HF2866" s="37"/>
      <c r="HG2866" s="37"/>
      <c r="HH2866" s="37"/>
      <c r="HI2866" s="37"/>
      <c r="HJ2866" s="37"/>
      <c r="HK2866" s="37"/>
      <c r="HL2866" s="37"/>
      <c r="HM2866" s="37"/>
      <c r="HN2866" s="37"/>
      <c r="HO2866" s="37"/>
      <c r="HP2866" s="37"/>
      <c r="HQ2866" s="37"/>
      <c r="HR2866" s="37"/>
      <c r="HS2866" s="37"/>
      <c r="HT2866" s="37"/>
      <c r="HU2866" s="37"/>
      <c r="HV2866" s="37"/>
      <c r="HW2866" s="37"/>
      <c r="HX2866" s="37"/>
      <c r="HY2866" s="37"/>
      <c r="HZ2866" s="37"/>
      <c r="IA2866" s="37"/>
      <c r="IB2866" s="37"/>
      <c r="IC2866" s="37"/>
      <c r="ID2866" s="37"/>
      <c r="IE2866" s="37"/>
      <c r="IF2866" s="37"/>
      <c r="IG2866" s="37"/>
      <c r="IH2866" s="37"/>
      <c r="II2866" s="37"/>
      <c r="IJ2866" s="37"/>
      <c r="IK2866" s="37"/>
      <c r="IL2866" s="37"/>
      <c r="IM2866" s="37"/>
      <c r="IN2866" s="37"/>
      <c r="IO2866" s="37"/>
      <c r="IP2866" s="37"/>
      <c r="IQ2866" s="37"/>
      <c r="IR2866" s="37"/>
      <c r="IS2866" s="37"/>
      <c r="IT2866" s="37"/>
      <c r="IU2866" s="37"/>
      <c r="IV2866" s="37"/>
      <c r="IW2866" s="37"/>
      <c r="IX2866" s="37"/>
      <c r="IY2866" s="37"/>
      <c r="IZ2866" s="37"/>
      <c r="JA2866" s="37"/>
      <c r="JB2866" s="37"/>
      <c r="JC2866" s="37"/>
      <c r="JD2866" s="37"/>
      <c r="JE2866" s="37"/>
      <c r="JF2866" s="37"/>
      <c r="JG2866" s="37"/>
      <c r="JH2866" s="37"/>
      <c r="JI2866" s="37"/>
      <c r="JJ2866" s="37"/>
      <c r="JK2866" s="37"/>
      <c r="JL2866" s="37"/>
      <c r="JM2866" s="37"/>
      <c r="JN2866" s="37"/>
      <c r="JO2866" s="37"/>
      <c r="JP2866" s="37"/>
      <c r="JQ2866" s="37"/>
      <c r="JR2866" s="37"/>
      <c r="JS2866" s="37"/>
      <c r="JT2866" s="37"/>
      <c r="JU2866" s="37"/>
      <c r="JV2866" s="37"/>
      <c r="JW2866" s="37"/>
      <c r="JX2866" s="37"/>
      <c r="JY2866" s="37"/>
      <c r="JZ2866" s="37"/>
      <c r="KA2866" s="37"/>
      <c r="KB2866" s="37"/>
      <c r="KC2866" s="37"/>
      <c r="KD2866" s="37"/>
      <c r="KE2866" s="37"/>
      <c r="KF2866" s="37"/>
      <c r="KG2866" s="37"/>
      <c r="KH2866" s="37"/>
      <c r="KI2866" s="37"/>
      <c r="KJ2866" s="37"/>
      <c r="KK2866" s="37"/>
      <c r="KL2866" s="37"/>
      <c r="KM2866" s="37"/>
      <c r="KN2866" s="37"/>
      <c r="KO2866" s="37"/>
      <c r="KP2866" s="37"/>
      <c r="KQ2866" s="37"/>
      <c r="KR2866" s="37"/>
      <c r="KS2866" s="37"/>
      <c r="KT2866" s="37"/>
      <c r="KU2866" s="37"/>
      <c r="KV2866" s="37"/>
      <c r="KW2866" s="37"/>
      <c r="KX2866" s="37"/>
      <c r="KY2866" s="37"/>
      <c r="KZ2866" s="37"/>
      <c r="LA2866" s="37"/>
      <c r="LB2866" s="37"/>
      <c r="LC2866" s="37"/>
      <c r="LD2866" s="37"/>
      <c r="LE2866" s="37"/>
      <c r="LF2866" s="37"/>
      <c r="LG2866" s="37"/>
      <c r="LH2866" s="37"/>
      <c r="LI2866" s="37"/>
      <c r="LJ2866" s="37"/>
      <c r="LK2866" s="37"/>
      <c r="LL2866" s="37"/>
      <c r="LM2866" s="37"/>
      <c r="LN2866" s="37"/>
      <c r="LO2866" s="37"/>
      <c r="LP2866" s="37"/>
      <c r="LQ2866" s="37"/>
      <c r="LR2866" s="37"/>
      <c r="LS2866" s="37"/>
      <c r="LT2866" s="37"/>
      <c r="LU2866" s="37"/>
      <c r="LV2866" s="37"/>
      <c r="LW2866" s="37"/>
      <c r="LX2866" s="37"/>
      <c r="LY2866" s="37"/>
      <c r="LZ2866" s="37"/>
      <c r="MA2866" s="37"/>
      <c r="MB2866" s="37"/>
      <c r="MC2866" s="37"/>
      <c r="MD2866" s="37"/>
      <c r="ME2866" s="37"/>
      <c r="MF2866" s="37"/>
      <c r="MG2866" s="37"/>
      <c r="MH2866" s="37"/>
      <c r="MI2866" s="37"/>
      <c r="MJ2866" s="37"/>
      <c r="MK2866" s="37"/>
      <c r="ML2866" s="37"/>
      <c r="MM2866" s="37"/>
      <c r="MN2866" s="37"/>
      <c r="MO2866" s="37"/>
      <c r="MP2866" s="37"/>
      <c r="MQ2866" s="37"/>
      <c r="MR2866" s="37"/>
      <c r="MS2866" s="37"/>
      <c r="MT2866" s="37"/>
      <c r="MU2866" s="37"/>
      <c r="MV2866" s="37"/>
      <c r="MW2866" s="37"/>
      <c r="MX2866" s="37"/>
      <c r="MY2866" s="37"/>
      <c r="MZ2866" s="37"/>
      <c r="NA2866" s="37"/>
      <c r="NB2866" s="37"/>
      <c r="NC2866" s="37"/>
      <c r="ND2866" s="37"/>
      <c r="NE2866" s="37"/>
      <c r="NF2866" s="37"/>
      <c r="NG2866" s="37"/>
      <c r="NH2866" s="37"/>
      <c r="NI2866" s="37"/>
      <c r="NJ2866" s="37"/>
      <c r="NK2866" s="37"/>
      <c r="NL2866" s="37"/>
      <c r="NM2866" s="37"/>
      <c r="NN2866" s="37"/>
      <c r="NO2866" s="37"/>
      <c r="NP2866" s="37"/>
      <c r="NQ2866" s="37"/>
      <c r="NR2866" s="37"/>
      <c r="NS2866" s="37"/>
      <c r="NT2866" s="37"/>
      <c r="NU2866" s="37"/>
      <c r="NV2866" s="37"/>
      <c r="NW2866" s="37"/>
      <c r="NX2866" s="37"/>
      <c r="NY2866" s="37"/>
      <c r="NZ2866" s="37"/>
      <c r="OA2866" s="37"/>
      <c r="OB2866" s="37"/>
      <c r="OC2866" s="37"/>
      <c r="OD2866" s="37"/>
      <c r="OE2866" s="37"/>
      <c r="OF2866" s="37"/>
      <c r="OG2866" s="37"/>
      <c r="OH2866" s="37"/>
      <c r="OI2866" s="37"/>
      <c r="OJ2866" s="37"/>
      <c r="OK2866" s="37"/>
      <c r="OL2866" s="37"/>
      <c r="OM2866" s="37"/>
      <c r="ON2866" s="37"/>
      <c r="OO2866" s="37"/>
      <c r="OP2866" s="37"/>
      <c r="OQ2866" s="37"/>
      <c r="OR2866" s="37"/>
      <c r="OS2866" s="37"/>
      <c r="OT2866" s="37"/>
      <c r="OU2866" s="37"/>
      <c r="OV2866" s="37"/>
      <c r="OW2866" s="37"/>
      <c r="OX2866" s="37"/>
      <c r="OY2866" s="37"/>
      <c r="OZ2866" s="37"/>
      <c r="PA2866" s="37"/>
      <c r="PB2866" s="37"/>
      <c r="PC2866" s="37"/>
      <c r="PD2866" s="37"/>
      <c r="PE2866" s="37"/>
      <c r="PF2866" s="37"/>
      <c r="PG2866" s="37"/>
      <c r="PH2866" s="37"/>
      <c r="PI2866" s="37"/>
      <c r="PJ2866" s="37"/>
      <c r="PK2866" s="37"/>
      <c r="PL2866" s="37"/>
      <c r="PM2866" s="37"/>
      <c r="PN2866" s="37"/>
      <c r="PO2866" s="37"/>
      <c r="PP2866" s="37"/>
      <c r="PQ2866" s="37"/>
      <c r="PR2866" s="37"/>
      <c r="PS2866" s="37"/>
      <c r="PT2866" s="37"/>
      <c r="PU2866" s="37"/>
      <c r="PV2866" s="37"/>
      <c r="PW2866" s="37"/>
      <c r="PX2866" s="37"/>
      <c r="PY2866" s="37"/>
      <c r="PZ2866" s="37"/>
      <c r="QA2866" s="37"/>
      <c r="QB2866" s="37"/>
      <c r="QC2866" s="37"/>
      <c r="QD2866" s="37"/>
      <c r="QE2866" s="37"/>
      <c r="QF2866" s="37"/>
      <c r="QG2866" s="37"/>
      <c r="QH2866" s="37"/>
      <c r="QI2866" s="37"/>
      <c r="QJ2866" s="37"/>
      <c r="QK2866" s="37"/>
      <c r="QL2866" s="37"/>
      <c r="QM2866" s="37"/>
      <c r="QN2866" s="37"/>
      <c r="QO2866" s="37"/>
      <c r="QP2866" s="37"/>
      <c r="QQ2866" s="37"/>
      <c r="QR2866" s="37"/>
      <c r="QS2866" s="37"/>
      <c r="QT2866" s="37"/>
      <c r="QU2866" s="37"/>
      <c r="QV2866" s="37"/>
      <c r="QW2866" s="37"/>
      <c r="QX2866" s="37"/>
      <c r="QY2866" s="37"/>
      <c r="QZ2866" s="37"/>
      <c r="RA2866" s="37"/>
      <c r="RB2866" s="37"/>
      <c r="RC2866" s="37"/>
      <c r="RD2866" s="37"/>
      <c r="RE2866" s="37"/>
      <c r="RF2866" s="37"/>
      <c r="RG2866" s="37"/>
      <c r="RH2866" s="37"/>
      <c r="RI2866" s="37"/>
      <c r="RJ2866" s="37"/>
      <c r="RK2866" s="37"/>
      <c r="RL2866" s="37"/>
      <c r="RM2866" s="37"/>
      <c r="RN2866" s="37"/>
      <c r="RO2866" s="37"/>
      <c r="RP2866" s="37"/>
      <c r="RQ2866" s="37"/>
      <c r="RR2866" s="37"/>
      <c r="RS2866" s="37"/>
      <c r="RT2866" s="37"/>
      <c r="RU2866" s="37"/>
      <c r="RV2866" s="37"/>
      <c r="RW2866" s="37"/>
      <c r="RX2866" s="37"/>
      <c r="RY2866" s="37"/>
      <c r="RZ2866" s="37"/>
      <c r="SA2866" s="37"/>
      <c r="SB2866" s="37"/>
      <c r="SC2866" s="37"/>
      <c r="SD2866" s="37"/>
      <c r="SE2866" s="37"/>
      <c r="SF2866" s="37"/>
    </row>
    <row r="2867" spans="1:500">
      <c r="A2867" s="37"/>
      <c r="B2867" s="37"/>
      <c r="C2867" s="37"/>
      <c r="D2867" s="37"/>
      <c r="E2867" s="37"/>
      <c r="F2867" s="37"/>
      <c r="G2867" s="37"/>
      <c r="H2867" s="37"/>
      <c r="I2867" s="37"/>
      <c r="J2867" s="37"/>
      <c r="K2867" s="37"/>
      <c r="L2867" s="37"/>
      <c r="M2867" s="37"/>
      <c r="N2867" s="37"/>
      <c r="O2867" s="37"/>
      <c r="P2867" s="37"/>
      <c r="Q2867" s="37"/>
      <c r="R2867" s="37"/>
      <c r="S2867" s="37"/>
      <c r="T2867" s="37"/>
      <c r="U2867" s="37"/>
      <c r="V2867" s="37"/>
      <c r="W2867" s="37"/>
      <c r="X2867" s="37"/>
      <c r="Y2867" s="37"/>
      <c r="Z2867" s="37"/>
      <c r="AA2867" s="37"/>
      <c r="AB2867" s="37"/>
      <c r="AC2867" s="37"/>
      <c r="AD2867" s="37"/>
      <c r="AE2867" s="37"/>
      <c r="AF2867" s="37"/>
      <c r="AG2867" s="37"/>
      <c r="AH2867" s="37"/>
      <c r="AI2867" s="37"/>
      <c r="AJ2867" s="37"/>
      <c r="AK2867" s="37"/>
      <c r="AL2867" s="37"/>
      <c r="AM2867" s="37"/>
      <c r="AN2867" s="37"/>
      <c r="AO2867" s="37"/>
      <c r="AP2867" s="37"/>
      <c r="AQ2867" s="37"/>
      <c r="AR2867" s="37"/>
      <c r="AS2867" s="37"/>
      <c r="AT2867" s="37"/>
      <c r="AU2867" s="37"/>
      <c r="AV2867" s="37"/>
      <c r="AW2867" s="37"/>
      <c r="AX2867" s="37"/>
      <c r="AY2867" s="37"/>
      <c r="AZ2867" s="37"/>
      <c r="BA2867" s="37"/>
      <c r="BB2867" s="37"/>
      <c r="BC2867" s="37"/>
      <c r="BD2867" s="37"/>
      <c r="BE2867" s="37"/>
      <c r="BF2867" s="37"/>
      <c r="BG2867" s="37"/>
      <c r="BH2867" s="37"/>
      <c r="BI2867" s="37"/>
      <c r="BJ2867" s="37"/>
      <c r="BK2867" s="37"/>
      <c r="BL2867" s="37"/>
      <c r="BM2867" s="37"/>
      <c r="BN2867" s="37"/>
      <c r="BO2867" s="37"/>
      <c r="BP2867" s="37"/>
      <c r="BQ2867" s="37"/>
      <c r="BR2867" s="37"/>
      <c r="BS2867" s="37"/>
      <c r="BT2867" s="37"/>
      <c r="BU2867" s="37"/>
      <c r="BV2867" s="37"/>
      <c r="BW2867" s="37"/>
      <c r="BX2867" s="37"/>
      <c r="BY2867" s="37"/>
      <c r="BZ2867" s="37"/>
      <c r="CA2867" s="37"/>
      <c r="CB2867" s="37"/>
      <c r="CC2867" s="37"/>
      <c r="CD2867" s="37"/>
      <c r="CE2867" s="37"/>
      <c r="CF2867" s="37"/>
      <c r="CG2867" s="37"/>
      <c r="CH2867" s="37"/>
      <c r="CI2867" s="37"/>
      <c r="CJ2867" s="37"/>
      <c r="CK2867" s="37"/>
      <c r="CL2867" s="37"/>
      <c r="CM2867" s="37"/>
      <c r="CN2867" s="37"/>
      <c r="CO2867" s="37"/>
      <c r="CP2867" s="37"/>
      <c r="CQ2867" s="37"/>
      <c r="CR2867" s="37"/>
      <c r="CS2867" s="37"/>
      <c r="CT2867" s="37"/>
      <c r="CU2867" s="37"/>
      <c r="CV2867" s="37"/>
      <c r="CW2867" s="37"/>
      <c r="CX2867" s="37"/>
      <c r="CY2867" s="37"/>
      <c r="CZ2867" s="37"/>
      <c r="DA2867" s="37"/>
      <c r="DB2867" s="37"/>
      <c r="DC2867" s="37"/>
      <c r="DD2867" s="37"/>
      <c r="DE2867" s="37"/>
      <c r="DF2867" s="37"/>
      <c r="DG2867" s="37"/>
      <c r="DH2867" s="37"/>
      <c r="DI2867" s="37"/>
      <c r="DJ2867" s="37"/>
      <c r="DK2867" s="37"/>
      <c r="DL2867" s="37"/>
      <c r="DM2867" s="37"/>
      <c r="DN2867" s="37"/>
      <c r="DO2867" s="37"/>
      <c r="DP2867" s="37"/>
      <c r="DQ2867" s="37"/>
      <c r="DR2867" s="37"/>
      <c r="DS2867" s="37"/>
      <c r="DT2867" s="37"/>
      <c r="DU2867" s="37"/>
      <c r="DV2867" s="37"/>
      <c r="DW2867" s="37"/>
      <c r="DX2867" s="37"/>
      <c r="DY2867" s="37"/>
      <c r="DZ2867" s="37"/>
      <c r="EA2867" s="37"/>
      <c r="EB2867" s="37"/>
      <c r="EC2867" s="37"/>
      <c r="ED2867" s="37"/>
      <c r="EE2867" s="37"/>
      <c r="EF2867" s="37"/>
      <c r="EG2867" s="37"/>
      <c r="EH2867" s="37"/>
      <c r="EI2867" s="37"/>
      <c r="EJ2867" s="37"/>
      <c r="EK2867" s="37"/>
      <c r="EL2867" s="37"/>
      <c r="EM2867" s="37"/>
      <c r="EN2867" s="37"/>
      <c r="EO2867" s="37"/>
      <c r="EP2867" s="37"/>
      <c r="EQ2867" s="37"/>
      <c r="ER2867" s="37"/>
      <c r="ES2867" s="37"/>
      <c r="ET2867" s="37"/>
      <c r="EU2867" s="37"/>
      <c r="EV2867" s="37"/>
      <c r="EW2867" s="37"/>
      <c r="EX2867" s="37"/>
      <c r="EY2867" s="37"/>
      <c r="EZ2867" s="37"/>
      <c r="FA2867" s="37"/>
      <c r="FB2867" s="37"/>
      <c r="FC2867" s="37"/>
      <c r="FD2867" s="37"/>
      <c r="FE2867" s="37"/>
      <c r="FF2867" s="37"/>
      <c r="FG2867" s="37"/>
      <c r="FH2867" s="37"/>
      <c r="FI2867" s="37"/>
      <c r="FJ2867" s="37"/>
      <c r="FK2867" s="37"/>
      <c r="FL2867" s="37"/>
      <c r="FM2867" s="37"/>
      <c r="FN2867" s="37"/>
      <c r="FO2867" s="37"/>
      <c r="FP2867" s="37"/>
      <c r="FQ2867" s="37"/>
      <c r="FR2867" s="37"/>
      <c r="FS2867" s="37"/>
      <c r="FT2867" s="37"/>
      <c r="FU2867" s="37"/>
      <c r="FV2867" s="37"/>
      <c r="FW2867" s="37"/>
      <c r="FX2867" s="37"/>
      <c r="FY2867" s="37"/>
      <c r="FZ2867" s="37"/>
      <c r="GA2867" s="37"/>
      <c r="GB2867" s="37"/>
      <c r="GC2867" s="37"/>
      <c r="GD2867" s="37"/>
      <c r="GE2867" s="37"/>
      <c r="GF2867" s="37"/>
      <c r="GG2867" s="37"/>
      <c r="GH2867" s="37"/>
      <c r="GI2867" s="37"/>
      <c r="GJ2867" s="37"/>
      <c r="GK2867" s="37"/>
      <c r="GL2867" s="37"/>
      <c r="GM2867" s="37"/>
      <c r="GN2867" s="37"/>
      <c r="GO2867" s="37"/>
      <c r="GP2867" s="37"/>
      <c r="GQ2867" s="37"/>
      <c r="GR2867" s="37"/>
      <c r="GS2867" s="37"/>
      <c r="GT2867" s="37"/>
      <c r="GU2867" s="37"/>
      <c r="GV2867" s="37"/>
      <c r="GW2867" s="37"/>
      <c r="GX2867" s="37"/>
      <c r="GY2867" s="37"/>
      <c r="GZ2867" s="37"/>
      <c r="HA2867" s="37"/>
      <c r="HB2867" s="37"/>
      <c r="HC2867" s="37"/>
      <c r="HD2867" s="37"/>
      <c r="HE2867" s="37"/>
      <c r="HF2867" s="37"/>
      <c r="HG2867" s="37"/>
      <c r="HH2867" s="37"/>
      <c r="HI2867" s="37"/>
      <c r="HJ2867" s="37"/>
      <c r="HK2867" s="37"/>
      <c r="HL2867" s="37"/>
      <c r="HM2867" s="37"/>
      <c r="HN2867" s="37"/>
      <c r="HO2867" s="37"/>
      <c r="HP2867" s="37"/>
      <c r="HQ2867" s="37"/>
      <c r="HR2867" s="37"/>
      <c r="HS2867" s="37"/>
      <c r="HT2867" s="37"/>
      <c r="HU2867" s="37"/>
      <c r="HV2867" s="37"/>
      <c r="HW2867" s="37"/>
      <c r="HX2867" s="37"/>
      <c r="HY2867" s="37"/>
      <c r="HZ2867" s="37"/>
      <c r="IA2867" s="37"/>
      <c r="IB2867" s="37"/>
      <c r="IC2867" s="37"/>
      <c r="ID2867" s="37"/>
      <c r="IE2867" s="37"/>
      <c r="IF2867" s="37"/>
      <c r="IG2867" s="37"/>
      <c r="IH2867" s="37"/>
      <c r="II2867" s="37"/>
      <c r="IJ2867" s="37"/>
      <c r="IK2867" s="37"/>
      <c r="IL2867" s="37"/>
      <c r="IM2867" s="37"/>
      <c r="IN2867" s="37"/>
      <c r="IO2867" s="37"/>
      <c r="IP2867" s="37"/>
      <c r="IQ2867" s="37"/>
      <c r="IR2867" s="37"/>
      <c r="IS2867" s="37"/>
      <c r="IT2867" s="37"/>
      <c r="IU2867" s="37"/>
      <c r="IV2867" s="37"/>
      <c r="IW2867" s="37"/>
      <c r="IX2867" s="37"/>
      <c r="IY2867" s="37"/>
      <c r="IZ2867" s="37"/>
      <c r="JA2867" s="37"/>
      <c r="JB2867" s="37"/>
      <c r="JC2867" s="37"/>
      <c r="JD2867" s="37"/>
      <c r="JE2867" s="37"/>
      <c r="JF2867" s="37"/>
      <c r="JG2867" s="37"/>
      <c r="JH2867" s="37"/>
      <c r="JI2867" s="37"/>
      <c r="JJ2867" s="37"/>
      <c r="JK2867" s="37"/>
      <c r="JL2867" s="37"/>
      <c r="JM2867" s="37"/>
      <c r="JN2867" s="37"/>
      <c r="JO2867" s="37"/>
      <c r="JP2867" s="37"/>
      <c r="JQ2867" s="37"/>
      <c r="JR2867" s="37"/>
      <c r="JS2867" s="37"/>
      <c r="JT2867" s="37"/>
      <c r="JU2867" s="37"/>
      <c r="JV2867" s="37"/>
      <c r="JW2867" s="37"/>
      <c r="JX2867" s="37"/>
      <c r="JY2867" s="37"/>
      <c r="JZ2867" s="37"/>
      <c r="KA2867" s="37"/>
      <c r="KB2867" s="37"/>
      <c r="KC2867" s="37"/>
      <c r="KD2867" s="37"/>
      <c r="KE2867" s="37"/>
      <c r="KF2867" s="37"/>
      <c r="KG2867" s="37"/>
      <c r="KH2867" s="37"/>
      <c r="KI2867" s="37"/>
      <c r="KJ2867" s="37"/>
      <c r="KK2867" s="37"/>
      <c r="KL2867" s="37"/>
      <c r="KM2867" s="37"/>
      <c r="KN2867" s="37"/>
      <c r="KO2867" s="37"/>
      <c r="KP2867" s="37"/>
      <c r="KQ2867" s="37"/>
      <c r="KR2867" s="37"/>
      <c r="KS2867" s="37"/>
      <c r="KT2867" s="37"/>
      <c r="KU2867" s="37"/>
      <c r="KV2867" s="37"/>
      <c r="KW2867" s="37"/>
      <c r="KX2867" s="37"/>
      <c r="KY2867" s="37"/>
      <c r="KZ2867" s="37"/>
      <c r="LA2867" s="37"/>
      <c r="LB2867" s="37"/>
      <c r="LC2867" s="37"/>
      <c r="LD2867" s="37"/>
      <c r="LE2867" s="37"/>
      <c r="LF2867" s="37"/>
      <c r="LG2867" s="37"/>
      <c r="LH2867" s="37"/>
      <c r="LI2867" s="37"/>
      <c r="LJ2867" s="37"/>
      <c r="LK2867" s="37"/>
      <c r="LL2867" s="37"/>
      <c r="LM2867" s="37"/>
      <c r="LN2867" s="37"/>
      <c r="LO2867" s="37"/>
      <c r="LP2867" s="37"/>
      <c r="LQ2867" s="37"/>
      <c r="LR2867" s="37"/>
      <c r="LS2867" s="37"/>
      <c r="LT2867" s="37"/>
      <c r="LU2867" s="37"/>
      <c r="LV2867" s="37"/>
      <c r="LW2867" s="37"/>
      <c r="LX2867" s="37"/>
      <c r="LY2867" s="37"/>
      <c r="LZ2867" s="37"/>
      <c r="MA2867" s="37"/>
      <c r="MB2867" s="37"/>
      <c r="MC2867" s="37"/>
      <c r="MD2867" s="37"/>
      <c r="ME2867" s="37"/>
      <c r="MF2867" s="37"/>
      <c r="MG2867" s="37"/>
      <c r="MH2867" s="37"/>
      <c r="MI2867" s="37"/>
      <c r="MJ2867" s="37"/>
      <c r="MK2867" s="37"/>
      <c r="ML2867" s="37"/>
      <c r="MM2867" s="37"/>
      <c r="MN2867" s="37"/>
      <c r="MO2867" s="37"/>
      <c r="MP2867" s="37"/>
      <c r="MQ2867" s="37"/>
      <c r="MR2867" s="37"/>
      <c r="MS2867" s="37"/>
      <c r="MT2867" s="37"/>
      <c r="MU2867" s="37"/>
      <c r="MV2867" s="37"/>
      <c r="MW2867" s="37"/>
      <c r="MX2867" s="37"/>
      <c r="MY2867" s="37"/>
      <c r="MZ2867" s="37"/>
      <c r="NA2867" s="37"/>
      <c r="NB2867" s="37"/>
      <c r="NC2867" s="37"/>
      <c r="ND2867" s="37"/>
      <c r="NE2867" s="37"/>
      <c r="NF2867" s="37"/>
      <c r="NG2867" s="37"/>
      <c r="NH2867" s="37"/>
      <c r="NI2867" s="37"/>
      <c r="NJ2867" s="37"/>
      <c r="NK2867" s="37"/>
      <c r="NL2867" s="37"/>
      <c r="NM2867" s="37"/>
      <c r="NN2867" s="37"/>
      <c r="NO2867" s="37"/>
      <c r="NP2867" s="37"/>
      <c r="NQ2867" s="37"/>
      <c r="NR2867" s="37"/>
      <c r="NS2867" s="37"/>
      <c r="NT2867" s="37"/>
      <c r="NU2867" s="37"/>
      <c r="NV2867" s="37"/>
      <c r="NW2867" s="37"/>
      <c r="NX2867" s="37"/>
      <c r="NY2867" s="37"/>
      <c r="NZ2867" s="37"/>
      <c r="OA2867" s="37"/>
      <c r="OB2867" s="37"/>
      <c r="OC2867" s="37"/>
      <c r="OD2867" s="37"/>
      <c r="OE2867" s="37"/>
      <c r="OF2867" s="37"/>
      <c r="OG2867" s="37"/>
      <c r="OH2867" s="37"/>
      <c r="OI2867" s="37"/>
      <c r="OJ2867" s="37"/>
      <c r="OK2867" s="37"/>
      <c r="OL2867" s="37"/>
      <c r="OM2867" s="37"/>
      <c r="ON2867" s="37"/>
      <c r="OO2867" s="37"/>
      <c r="OP2867" s="37"/>
      <c r="OQ2867" s="37"/>
      <c r="OR2867" s="37"/>
      <c r="OS2867" s="37"/>
      <c r="OT2867" s="37"/>
      <c r="OU2867" s="37"/>
      <c r="OV2867" s="37"/>
      <c r="OW2867" s="37"/>
      <c r="OX2867" s="37"/>
      <c r="OY2867" s="37"/>
      <c r="OZ2867" s="37"/>
      <c r="PA2867" s="37"/>
      <c r="PB2867" s="37"/>
      <c r="PC2867" s="37"/>
      <c r="PD2867" s="37"/>
      <c r="PE2867" s="37"/>
      <c r="PF2867" s="37"/>
      <c r="PG2867" s="37"/>
      <c r="PH2867" s="37"/>
      <c r="PI2867" s="37"/>
      <c r="PJ2867" s="37"/>
      <c r="PK2867" s="37"/>
      <c r="PL2867" s="37"/>
      <c r="PM2867" s="37"/>
      <c r="PN2867" s="37"/>
      <c r="PO2867" s="37"/>
      <c r="PP2867" s="37"/>
      <c r="PQ2867" s="37"/>
      <c r="PR2867" s="37"/>
      <c r="PS2867" s="37"/>
      <c r="PT2867" s="37"/>
      <c r="PU2867" s="37"/>
      <c r="PV2867" s="37"/>
      <c r="PW2867" s="37"/>
      <c r="PX2867" s="37"/>
      <c r="PY2867" s="37"/>
      <c r="PZ2867" s="37"/>
      <c r="QA2867" s="37"/>
      <c r="QB2867" s="37"/>
      <c r="QC2867" s="37"/>
      <c r="QD2867" s="37"/>
      <c r="QE2867" s="37"/>
      <c r="QF2867" s="37"/>
      <c r="QG2867" s="37"/>
      <c r="QH2867" s="37"/>
      <c r="QI2867" s="37"/>
      <c r="QJ2867" s="37"/>
      <c r="QK2867" s="37"/>
      <c r="QL2867" s="37"/>
      <c r="QM2867" s="37"/>
      <c r="QN2867" s="37"/>
      <c r="QO2867" s="37"/>
      <c r="QP2867" s="37"/>
      <c r="QQ2867" s="37"/>
      <c r="QR2867" s="37"/>
      <c r="QS2867" s="37"/>
      <c r="QT2867" s="37"/>
      <c r="QU2867" s="37"/>
      <c r="QV2867" s="37"/>
      <c r="QW2867" s="37"/>
      <c r="QX2867" s="37"/>
      <c r="QY2867" s="37"/>
      <c r="QZ2867" s="37"/>
      <c r="RA2867" s="37"/>
      <c r="RB2867" s="37"/>
      <c r="RC2867" s="37"/>
      <c r="RD2867" s="37"/>
      <c r="RE2867" s="37"/>
      <c r="RF2867" s="37"/>
      <c r="RG2867" s="37"/>
      <c r="RH2867" s="37"/>
      <c r="RI2867" s="37"/>
      <c r="RJ2867" s="37"/>
      <c r="RK2867" s="37"/>
      <c r="RL2867" s="37"/>
      <c r="RM2867" s="37"/>
      <c r="RN2867" s="37"/>
      <c r="RO2867" s="37"/>
      <c r="RP2867" s="37"/>
      <c r="RQ2867" s="37"/>
      <c r="RR2867" s="37"/>
      <c r="RS2867" s="37"/>
      <c r="RT2867" s="37"/>
      <c r="RU2867" s="37"/>
      <c r="RV2867" s="37"/>
      <c r="RW2867" s="37"/>
      <c r="RX2867" s="37"/>
      <c r="RY2867" s="37"/>
      <c r="RZ2867" s="37"/>
      <c r="SA2867" s="37"/>
      <c r="SB2867" s="37"/>
      <c r="SC2867" s="37"/>
      <c r="SD2867" s="37"/>
      <c r="SE2867" s="37"/>
      <c r="SF2867" s="37"/>
    </row>
    <row r="2868" spans="1:500">
      <c r="A2868" s="37"/>
      <c r="B2868" s="37"/>
      <c r="C2868" s="37"/>
      <c r="D2868" s="37"/>
      <c r="E2868" s="37"/>
      <c r="F2868" s="37"/>
      <c r="G2868" s="37"/>
      <c r="H2868" s="37"/>
      <c r="I2868" s="37"/>
      <c r="J2868" s="37"/>
      <c r="K2868" s="37"/>
      <c r="L2868" s="37"/>
      <c r="M2868" s="37"/>
      <c r="N2868" s="37"/>
      <c r="O2868" s="37"/>
      <c r="P2868" s="37"/>
      <c r="Q2868" s="37"/>
      <c r="R2868" s="37"/>
      <c r="S2868" s="37"/>
      <c r="T2868" s="37"/>
      <c r="U2868" s="37"/>
      <c r="V2868" s="37"/>
      <c r="W2868" s="37"/>
      <c r="X2868" s="37"/>
      <c r="Y2868" s="37"/>
      <c r="Z2868" s="37"/>
      <c r="AA2868" s="37"/>
      <c r="AB2868" s="37"/>
      <c r="AC2868" s="37"/>
      <c r="AD2868" s="37"/>
      <c r="AE2868" s="37"/>
      <c r="AF2868" s="37"/>
      <c r="AG2868" s="37"/>
      <c r="AH2868" s="37"/>
      <c r="AI2868" s="37"/>
      <c r="AJ2868" s="37"/>
      <c r="AK2868" s="37"/>
      <c r="AL2868" s="37"/>
      <c r="AM2868" s="37"/>
      <c r="AN2868" s="37"/>
      <c r="AO2868" s="37"/>
      <c r="AP2868" s="37"/>
      <c r="AQ2868" s="37"/>
      <c r="AR2868" s="37"/>
      <c r="AS2868" s="37"/>
      <c r="AT2868" s="37"/>
      <c r="AU2868" s="37"/>
      <c r="AV2868" s="37"/>
      <c r="AW2868" s="37"/>
      <c r="AX2868" s="37"/>
      <c r="AY2868" s="37"/>
      <c r="AZ2868" s="37"/>
      <c r="BA2868" s="37"/>
      <c r="BB2868" s="37"/>
      <c r="BC2868" s="37"/>
      <c r="BD2868" s="37"/>
      <c r="BE2868" s="37"/>
      <c r="BF2868" s="37"/>
      <c r="BG2868" s="37"/>
      <c r="BH2868" s="37"/>
      <c r="BI2868" s="37"/>
      <c r="BJ2868" s="37"/>
      <c r="BK2868" s="37"/>
      <c r="BL2868" s="37"/>
      <c r="BM2868" s="37"/>
      <c r="BN2868" s="37"/>
      <c r="BO2868" s="37"/>
      <c r="BP2868" s="37"/>
      <c r="BQ2868" s="37"/>
      <c r="BR2868" s="37"/>
      <c r="BS2868" s="37"/>
      <c r="BT2868" s="37"/>
      <c r="BU2868" s="37"/>
      <c r="BV2868" s="37"/>
      <c r="BW2868" s="37"/>
      <c r="BX2868" s="37"/>
      <c r="BY2868" s="37"/>
      <c r="BZ2868" s="37"/>
      <c r="CA2868" s="37"/>
      <c r="CB2868" s="37"/>
      <c r="CC2868" s="37"/>
      <c r="CD2868" s="37"/>
      <c r="CE2868" s="37"/>
      <c r="CF2868" s="37"/>
      <c r="CG2868" s="37"/>
      <c r="CH2868" s="37"/>
      <c r="CI2868" s="37"/>
      <c r="CJ2868" s="37"/>
      <c r="CK2868" s="37"/>
      <c r="CL2868" s="37"/>
      <c r="CM2868" s="37"/>
      <c r="CN2868" s="37"/>
      <c r="CO2868" s="37"/>
      <c r="CP2868" s="37"/>
      <c r="CQ2868" s="37"/>
      <c r="CR2868" s="37"/>
      <c r="CS2868" s="37"/>
      <c r="CT2868" s="37"/>
      <c r="CU2868" s="37"/>
      <c r="CV2868" s="37"/>
      <c r="CW2868" s="37"/>
      <c r="CX2868" s="37"/>
      <c r="CY2868" s="37"/>
      <c r="CZ2868" s="37"/>
      <c r="DA2868" s="37"/>
      <c r="DB2868" s="37"/>
      <c r="DC2868" s="37"/>
      <c r="DD2868" s="37"/>
      <c r="DE2868" s="37"/>
      <c r="DF2868" s="37"/>
      <c r="DG2868" s="37"/>
      <c r="DH2868" s="37"/>
      <c r="DI2868" s="37"/>
      <c r="DJ2868" s="37"/>
      <c r="DK2868" s="37"/>
      <c r="DL2868" s="37"/>
      <c r="DM2868" s="37"/>
      <c r="DN2868" s="37"/>
      <c r="DO2868" s="37"/>
      <c r="DP2868" s="37"/>
      <c r="DQ2868" s="37"/>
      <c r="DR2868" s="37"/>
      <c r="DS2868" s="37"/>
      <c r="DT2868" s="37"/>
      <c r="DU2868" s="37"/>
      <c r="DV2868" s="37"/>
      <c r="DW2868" s="37"/>
      <c r="DX2868" s="37"/>
      <c r="DY2868" s="37"/>
      <c r="DZ2868" s="37"/>
      <c r="EA2868" s="37"/>
      <c r="EB2868" s="37"/>
      <c r="EC2868" s="37"/>
      <c r="ED2868" s="37"/>
      <c r="EE2868" s="37"/>
      <c r="EF2868" s="37"/>
      <c r="EG2868" s="37"/>
      <c r="EH2868" s="37"/>
      <c r="EI2868" s="37"/>
      <c r="EJ2868" s="37"/>
      <c r="EK2868" s="37"/>
      <c r="EL2868" s="37"/>
      <c r="EM2868" s="37"/>
      <c r="EN2868" s="37"/>
      <c r="EO2868" s="37"/>
      <c r="EP2868" s="37"/>
      <c r="EQ2868" s="37"/>
      <c r="ER2868" s="37"/>
      <c r="ES2868" s="37"/>
      <c r="ET2868" s="37"/>
      <c r="EU2868" s="37"/>
      <c r="EV2868" s="37"/>
      <c r="EW2868" s="37"/>
      <c r="EX2868" s="37"/>
      <c r="EY2868" s="37"/>
      <c r="EZ2868" s="37"/>
      <c r="FA2868" s="37"/>
      <c r="FB2868" s="37"/>
      <c r="FC2868" s="37"/>
      <c r="FD2868" s="37"/>
      <c r="FE2868" s="37"/>
      <c r="FF2868" s="37"/>
      <c r="FG2868" s="37"/>
      <c r="FH2868" s="37"/>
      <c r="FI2868" s="37"/>
      <c r="FJ2868" s="37"/>
      <c r="FK2868" s="37"/>
      <c r="FL2868" s="37"/>
      <c r="FM2868" s="37"/>
      <c r="FN2868" s="37"/>
      <c r="FO2868" s="37"/>
      <c r="FP2868" s="37"/>
      <c r="FQ2868" s="37"/>
      <c r="FR2868" s="37"/>
      <c r="FS2868" s="37"/>
      <c r="FT2868" s="37"/>
      <c r="FU2868" s="37"/>
      <c r="FV2868" s="37"/>
      <c r="FW2868" s="37"/>
      <c r="FX2868" s="37"/>
      <c r="FY2868" s="37"/>
      <c r="FZ2868" s="37"/>
      <c r="GA2868" s="37"/>
      <c r="GB2868" s="37"/>
      <c r="GC2868" s="37"/>
      <c r="GD2868" s="37"/>
      <c r="GE2868" s="37"/>
      <c r="GF2868" s="37"/>
      <c r="GG2868" s="37"/>
      <c r="GH2868" s="37"/>
      <c r="GI2868" s="37"/>
      <c r="GJ2868" s="37"/>
      <c r="GK2868" s="37"/>
      <c r="GL2868" s="37"/>
      <c r="GM2868" s="37"/>
      <c r="GN2868" s="37"/>
      <c r="GO2868" s="37"/>
      <c r="GP2868" s="37"/>
      <c r="GQ2868" s="37"/>
      <c r="GR2868" s="37"/>
      <c r="GS2868" s="37"/>
      <c r="GT2868" s="37"/>
      <c r="GU2868" s="37"/>
      <c r="GV2868" s="37"/>
      <c r="GW2868" s="37"/>
      <c r="GX2868" s="37"/>
      <c r="GY2868" s="37"/>
      <c r="GZ2868" s="37"/>
      <c r="HA2868" s="37"/>
      <c r="HB2868" s="37"/>
      <c r="HC2868" s="37"/>
      <c r="HD2868" s="37"/>
      <c r="HE2868" s="37"/>
      <c r="HF2868" s="37"/>
      <c r="HG2868" s="37"/>
      <c r="HH2868" s="37"/>
      <c r="HI2868" s="37"/>
      <c r="HJ2868" s="37"/>
      <c r="HK2868" s="37"/>
      <c r="HL2868" s="37"/>
      <c r="HM2868" s="37"/>
      <c r="HN2868" s="37"/>
      <c r="HO2868" s="37"/>
      <c r="HP2868" s="37"/>
      <c r="HQ2868" s="37"/>
      <c r="HR2868" s="37"/>
      <c r="HS2868" s="37"/>
      <c r="HT2868" s="37"/>
      <c r="HU2868" s="37"/>
      <c r="HV2868" s="37"/>
      <c r="HW2868" s="37"/>
      <c r="HX2868" s="37"/>
      <c r="HY2868" s="37"/>
      <c r="HZ2868" s="37"/>
      <c r="IA2868" s="37"/>
      <c r="IB2868" s="37"/>
      <c r="IC2868" s="37"/>
      <c r="ID2868" s="37"/>
      <c r="IE2868" s="37"/>
      <c r="IF2868" s="37"/>
      <c r="IG2868" s="37"/>
      <c r="IH2868" s="37"/>
      <c r="II2868" s="37"/>
      <c r="IJ2868" s="37"/>
      <c r="IK2868" s="37"/>
      <c r="IL2868" s="37"/>
      <c r="IM2868" s="37"/>
      <c r="IN2868" s="37"/>
      <c r="IO2868" s="37"/>
      <c r="IP2868" s="37"/>
      <c r="IQ2868" s="37"/>
      <c r="IR2868" s="37"/>
      <c r="IS2868" s="37"/>
      <c r="IT2868" s="37"/>
      <c r="IU2868" s="37"/>
      <c r="IV2868" s="37"/>
      <c r="IW2868" s="37"/>
      <c r="IX2868" s="37"/>
      <c r="IY2868" s="37"/>
      <c r="IZ2868" s="37"/>
      <c r="JA2868" s="37"/>
      <c r="JB2868" s="37"/>
      <c r="JC2868" s="37"/>
      <c r="JD2868" s="37"/>
      <c r="JE2868" s="37"/>
      <c r="JF2868" s="37"/>
      <c r="JG2868" s="37"/>
      <c r="JH2868" s="37"/>
      <c r="JI2868" s="37"/>
      <c r="JJ2868" s="37"/>
      <c r="JK2868" s="37"/>
      <c r="JL2868" s="37"/>
      <c r="JM2868" s="37"/>
      <c r="JN2868" s="37"/>
      <c r="JO2868" s="37"/>
      <c r="JP2868" s="37"/>
      <c r="JQ2868" s="37"/>
      <c r="JR2868" s="37"/>
      <c r="JS2868" s="37"/>
      <c r="JT2868" s="37"/>
      <c r="JU2868" s="37"/>
      <c r="JV2868" s="37"/>
      <c r="JW2868" s="37"/>
      <c r="JX2868" s="37"/>
      <c r="JY2868" s="37"/>
      <c r="JZ2868" s="37"/>
      <c r="KA2868" s="37"/>
      <c r="KB2868" s="37"/>
      <c r="KC2868" s="37"/>
      <c r="KD2868" s="37"/>
      <c r="KE2868" s="37"/>
      <c r="KF2868" s="37"/>
      <c r="KG2868" s="37"/>
      <c r="KH2868" s="37"/>
      <c r="KI2868" s="37"/>
      <c r="KJ2868" s="37"/>
      <c r="KK2868" s="37"/>
      <c r="KL2868" s="37"/>
      <c r="KM2868" s="37"/>
      <c r="KN2868" s="37"/>
      <c r="KO2868" s="37"/>
      <c r="KP2868" s="37"/>
      <c r="KQ2868" s="37"/>
      <c r="KR2868" s="37"/>
      <c r="KS2868" s="37"/>
      <c r="KT2868" s="37"/>
      <c r="KU2868" s="37"/>
      <c r="KV2868" s="37"/>
      <c r="KW2868" s="37"/>
      <c r="KX2868" s="37"/>
      <c r="KY2868" s="37"/>
      <c r="KZ2868" s="37"/>
      <c r="LA2868" s="37"/>
      <c r="LB2868" s="37"/>
      <c r="LC2868" s="37"/>
      <c r="LD2868" s="37"/>
      <c r="LE2868" s="37"/>
      <c r="LF2868" s="37"/>
      <c r="LG2868" s="37"/>
      <c r="LH2868" s="37"/>
      <c r="LI2868" s="37"/>
      <c r="LJ2868" s="37"/>
      <c r="LK2868" s="37"/>
      <c r="LL2868" s="37"/>
      <c r="LM2868" s="37"/>
      <c r="LN2868" s="37"/>
      <c r="LO2868" s="37"/>
      <c r="LP2868" s="37"/>
      <c r="LQ2868" s="37"/>
      <c r="LR2868" s="37"/>
      <c r="LS2868" s="37"/>
      <c r="LT2868" s="37"/>
      <c r="LU2868" s="37"/>
      <c r="LV2868" s="37"/>
      <c r="LW2868" s="37"/>
      <c r="LX2868" s="37"/>
      <c r="LY2868" s="37"/>
      <c r="LZ2868" s="37"/>
      <c r="MA2868" s="37"/>
      <c r="MB2868" s="37"/>
      <c r="MC2868" s="37"/>
      <c r="MD2868" s="37"/>
      <c r="ME2868" s="37"/>
      <c r="MF2868" s="37"/>
      <c r="MG2868" s="37"/>
      <c r="MH2868" s="37"/>
      <c r="MI2868" s="37"/>
      <c r="MJ2868" s="37"/>
      <c r="MK2868" s="37"/>
      <c r="ML2868" s="37"/>
      <c r="MM2868" s="37"/>
      <c r="MN2868" s="37"/>
      <c r="MO2868" s="37"/>
      <c r="MP2868" s="37"/>
      <c r="MQ2868" s="37"/>
      <c r="MR2868" s="37"/>
      <c r="MS2868" s="37"/>
      <c r="MT2868" s="37"/>
      <c r="MU2868" s="37"/>
      <c r="MV2868" s="37"/>
      <c r="MW2868" s="37"/>
      <c r="MX2868" s="37"/>
      <c r="MY2868" s="37"/>
      <c r="MZ2868" s="37"/>
      <c r="NA2868" s="37"/>
      <c r="NB2868" s="37"/>
      <c r="NC2868" s="37"/>
      <c r="ND2868" s="37"/>
      <c r="NE2868" s="37"/>
      <c r="NF2868" s="37"/>
      <c r="NG2868" s="37"/>
      <c r="NH2868" s="37"/>
      <c r="NI2868" s="37"/>
      <c r="NJ2868" s="37"/>
      <c r="NK2868" s="37"/>
      <c r="NL2868" s="37"/>
      <c r="NM2868" s="37"/>
      <c r="NN2868" s="37"/>
      <c r="NO2868" s="37"/>
      <c r="NP2868" s="37"/>
      <c r="NQ2868" s="37"/>
      <c r="NR2868" s="37"/>
      <c r="NS2868" s="37"/>
      <c r="NT2868" s="37"/>
      <c r="NU2868" s="37"/>
      <c r="NV2868" s="37"/>
      <c r="NW2868" s="37"/>
      <c r="NX2868" s="37"/>
      <c r="NY2868" s="37"/>
      <c r="NZ2868" s="37"/>
      <c r="OA2868" s="37"/>
      <c r="OB2868" s="37"/>
      <c r="OC2868" s="37"/>
      <c r="OD2868" s="37"/>
      <c r="OE2868" s="37"/>
      <c r="OF2868" s="37"/>
      <c r="OG2868" s="37"/>
      <c r="OH2868" s="37"/>
      <c r="OI2868" s="37"/>
      <c r="OJ2868" s="37"/>
      <c r="OK2868" s="37"/>
      <c r="OL2868" s="37"/>
      <c r="OM2868" s="37"/>
      <c r="ON2868" s="37"/>
      <c r="OO2868" s="37"/>
      <c r="OP2868" s="37"/>
      <c r="OQ2868" s="37"/>
      <c r="OR2868" s="37"/>
      <c r="OS2868" s="37"/>
      <c r="OT2868" s="37"/>
      <c r="OU2868" s="37"/>
      <c r="OV2868" s="37"/>
      <c r="OW2868" s="37"/>
      <c r="OX2868" s="37"/>
      <c r="OY2868" s="37"/>
      <c r="OZ2868" s="37"/>
      <c r="PA2868" s="37"/>
      <c r="PB2868" s="37"/>
      <c r="PC2868" s="37"/>
      <c r="PD2868" s="37"/>
      <c r="PE2868" s="37"/>
      <c r="PF2868" s="37"/>
      <c r="PG2868" s="37"/>
      <c r="PH2868" s="37"/>
      <c r="PI2868" s="37"/>
      <c r="PJ2868" s="37"/>
      <c r="PK2868" s="37"/>
      <c r="PL2868" s="37"/>
      <c r="PM2868" s="37"/>
      <c r="PN2868" s="37"/>
      <c r="PO2868" s="37"/>
      <c r="PP2868" s="37"/>
      <c r="PQ2868" s="37"/>
      <c r="PR2868" s="37"/>
      <c r="PS2868" s="37"/>
      <c r="PT2868" s="37"/>
      <c r="PU2868" s="37"/>
      <c r="PV2868" s="37"/>
      <c r="PW2868" s="37"/>
      <c r="PX2868" s="37"/>
      <c r="PY2868" s="37"/>
      <c r="PZ2868" s="37"/>
      <c r="QA2868" s="37"/>
      <c r="QB2868" s="37"/>
      <c r="QC2868" s="37"/>
      <c r="QD2868" s="37"/>
      <c r="QE2868" s="37"/>
      <c r="QF2868" s="37"/>
      <c r="QG2868" s="37"/>
      <c r="QH2868" s="37"/>
      <c r="QI2868" s="37"/>
      <c r="QJ2868" s="37"/>
      <c r="QK2868" s="37"/>
      <c r="QL2868" s="37"/>
      <c r="QM2868" s="37"/>
      <c r="QN2868" s="37"/>
      <c r="QO2868" s="37"/>
      <c r="QP2868" s="37"/>
      <c r="QQ2868" s="37"/>
      <c r="QR2868" s="37"/>
      <c r="QS2868" s="37"/>
      <c r="QT2868" s="37"/>
      <c r="QU2868" s="37"/>
      <c r="QV2868" s="37"/>
      <c r="QW2868" s="37"/>
      <c r="QX2868" s="37"/>
      <c r="QY2868" s="37"/>
      <c r="QZ2868" s="37"/>
      <c r="RA2868" s="37"/>
      <c r="RB2868" s="37"/>
      <c r="RC2868" s="37"/>
      <c r="RD2868" s="37"/>
      <c r="RE2868" s="37"/>
      <c r="RF2868" s="37"/>
      <c r="RG2868" s="37"/>
      <c r="RH2868" s="37"/>
      <c r="RI2868" s="37"/>
      <c r="RJ2868" s="37"/>
      <c r="RK2868" s="37"/>
      <c r="RL2868" s="37"/>
      <c r="RM2868" s="37"/>
      <c r="RN2868" s="37"/>
      <c r="RO2868" s="37"/>
      <c r="RP2868" s="37"/>
      <c r="RQ2868" s="37"/>
      <c r="RR2868" s="37"/>
      <c r="RS2868" s="37"/>
      <c r="RT2868" s="37"/>
      <c r="RU2868" s="37"/>
      <c r="RV2868" s="37"/>
      <c r="RW2868" s="37"/>
      <c r="RX2868" s="37"/>
      <c r="RY2868" s="37"/>
      <c r="RZ2868" s="37"/>
      <c r="SA2868" s="37"/>
      <c r="SB2868" s="37"/>
      <c r="SC2868" s="37"/>
      <c r="SD2868" s="37"/>
      <c r="SE2868" s="37"/>
      <c r="SF2868" s="37"/>
    </row>
    <row r="2869" spans="1:500">
      <c r="A2869" s="37"/>
      <c r="B2869" s="37"/>
      <c r="C2869" s="37"/>
      <c r="D2869" s="37"/>
      <c r="E2869" s="37"/>
      <c r="F2869" s="37"/>
      <c r="G2869" s="37"/>
      <c r="H2869" s="37"/>
      <c r="I2869" s="37"/>
      <c r="J2869" s="37"/>
      <c r="K2869" s="37"/>
      <c r="L2869" s="37"/>
      <c r="M2869" s="37"/>
      <c r="N2869" s="37"/>
      <c r="O2869" s="37"/>
      <c r="P2869" s="37"/>
      <c r="Q2869" s="37"/>
      <c r="R2869" s="37"/>
      <c r="S2869" s="37"/>
      <c r="T2869" s="37"/>
      <c r="U2869" s="37"/>
      <c r="V2869" s="37"/>
      <c r="W2869" s="37"/>
      <c r="X2869" s="37"/>
      <c r="Y2869" s="37"/>
      <c r="Z2869" s="37"/>
      <c r="AA2869" s="37"/>
      <c r="AB2869" s="37"/>
      <c r="AC2869" s="37"/>
      <c r="AD2869" s="37"/>
      <c r="AE2869" s="37"/>
      <c r="AF2869" s="37"/>
      <c r="AG2869" s="37"/>
      <c r="AH2869" s="37"/>
      <c r="AI2869" s="37"/>
      <c r="AJ2869" s="37"/>
      <c r="AK2869" s="37"/>
      <c r="AL2869" s="37"/>
      <c r="AM2869" s="37"/>
      <c r="AN2869" s="37"/>
      <c r="AO2869" s="37"/>
      <c r="AP2869" s="37"/>
      <c r="AQ2869" s="37"/>
      <c r="AR2869" s="37"/>
      <c r="AS2869" s="37"/>
      <c r="AT2869" s="37"/>
      <c r="AU2869" s="37"/>
      <c r="AV2869" s="37"/>
      <c r="AW2869" s="37"/>
      <c r="AX2869" s="37"/>
      <c r="AY2869" s="37"/>
      <c r="AZ2869" s="37"/>
      <c r="BA2869" s="37"/>
      <c r="BB2869" s="37"/>
      <c r="BC2869" s="37"/>
      <c r="BD2869" s="37"/>
      <c r="BE2869" s="37"/>
      <c r="BF2869" s="37"/>
      <c r="BG2869" s="37"/>
      <c r="BH2869" s="37"/>
      <c r="BI2869" s="37"/>
      <c r="BJ2869" s="37"/>
      <c r="BK2869" s="37"/>
      <c r="BL2869" s="37"/>
      <c r="BM2869" s="37"/>
      <c r="BN2869" s="37"/>
      <c r="BO2869" s="37"/>
      <c r="BP2869" s="37"/>
      <c r="BQ2869" s="37"/>
      <c r="BR2869" s="37"/>
      <c r="BS2869" s="37"/>
      <c r="BT2869" s="37"/>
      <c r="BU2869" s="37"/>
      <c r="BV2869" s="37"/>
      <c r="BW2869" s="37"/>
      <c r="BX2869" s="37"/>
      <c r="BY2869" s="37"/>
      <c r="BZ2869" s="37"/>
      <c r="CA2869" s="37"/>
      <c r="CB2869" s="37"/>
      <c r="CC2869" s="37"/>
      <c r="CD2869" s="37"/>
      <c r="CE2869" s="37"/>
      <c r="CF2869" s="37"/>
      <c r="CG2869" s="37"/>
      <c r="CH2869" s="37"/>
      <c r="CI2869" s="37"/>
      <c r="CJ2869" s="37"/>
      <c r="CK2869" s="37"/>
      <c r="CL2869" s="37"/>
      <c r="CM2869" s="37"/>
      <c r="CN2869" s="37"/>
      <c r="CO2869" s="37"/>
      <c r="CP2869" s="37"/>
      <c r="CQ2869" s="37"/>
      <c r="CR2869" s="37"/>
      <c r="CS2869" s="37"/>
      <c r="CT2869" s="37"/>
      <c r="CU2869" s="37"/>
      <c r="CV2869" s="37"/>
      <c r="CW2869" s="37"/>
      <c r="CX2869" s="37"/>
      <c r="CY2869" s="37"/>
      <c r="CZ2869" s="37"/>
      <c r="DA2869" s="37"/>
      <c r="DB2869" s="37"/>
      <c r="DC2869" s="37"/>
      <c r="DD2869" s="37"/>
      <c r="DE2869" s="37"/>
      <c r="DF2869" s="37"/>
      <c r="DG2869" s="37"/>
      <c r="DH2869" s="37"/>
      <c r="DI2869" s="37"/>
      <c r="DJ2869" s="37"/>
      <c r="DK2869" s="37"/>
      <c r="DL2869" s="37"/>
      <c r="DM2869" s="37"/>
      <c r="DN2869" s="37"/>
      <c r="DO2869" s="37"/>
      <c r="DP2869" s="37"/>
      <c r="DQ2869" s="37"/>
      <c r="DR2869" s="37"/>
      <c r="DS2869" s="37"/>
      <c r="DT2869" s="37"/>
      <c r="DU2869" s="37"/>
      <c r="DV2869" s="37"/>
      <c r="DW2869" s="37"/>
      <c r="DX2869" s="37"/>
      <c r="DY2869" s="37"/>
      <c r="DZ2869" s="37"/>
      <c r="EA2869" s="37"/>
      <c r="EB2869" s="37"/>
      <c r="EC2869" s="37"/>
      <c r="ED2869" s="37"/>
      <c r="EE2869" s="37"/>
      <c r="EF2869" s="37"/>
      <c r="EG2869" s="37"/>
      <c r="EH2869" s="37"/>
      <c r="EI2869" s="37"/>
      <c r="EJ2869" s="37"/>
      <c r="EK2869" s="37"/>
      <c r="EL2869" s="37"/>
      <c r="EM2869" s="37"/>
      <c r="EN2869" s="37"/>
      <c r="EO2869" s="37"/>
      <c r="EP2869" s="37"/>
      <c r="EQ2869" s="37"/>
      <c r="ER2869" s="37"/>
      <c r="ES2869" s="37"/>
      <c r="ET2869" s="37"/>
      <c r="EU2869" s="37"/>
      <c r="EV2869" s="37"/>
      <c r="EW2869" s="37"/>
      <c r="EX2869" s="37"/>
      <c r="EY2869" s="37"/>
      <c r="EZ2869" s="37"/>
      <c r="FA2869" s="37"/>
      <c r="FB2869" s="37"/>
      <c r="FC2869" s="37"/>
      <c r="FD2869" s="37"/>
      <c r="FE2869" s="37"/>
      <c r="FF2869" s="37"/>
      <c r="FG2869" s="37"/>
      <c r="FH2869" s="37"/>
      <c r="FI2869" s="37"/>
      <c r="FJ2869" s="37"/>
      <c r="FK2869" s="37"/>
      <c r="FL2869" s="37"/>
      <c r="FM2869" s="37"/>
      <c r="FN2869" s="37"/>
      <c r="FO2869" s="37"/>
      <c r="FP2869" s="37"/>
      <c r="FQ2869" s="37"/>
      <c r="FR2869" s="37"/>
      <c r="FS2869" s="37"/>
      <c r="FT2869" s="37"/>
      <c r="FU2869" s="37"/>
      <c r="FV2869" s="37"/>
      <c r="FW2869" s="37"/>
      <c r="FX2869" s="37"/>
      <c r="FY2869" s="37"/>
      <c r="FZ2869" s="37"/>
      <c r="GA2869" s="37"/>
      <c r="GB2869" s="37"/>
      <c r="GC2869" s="37"/>
      <c r="GD2869" s="37"/>
      <c r="GE2869" s="37"/>
      <c r="GF2869" s="37"/>
      <c r="GG2869" s="37"/>
      <c r="GH2869" s="37"/>
      <c r="GI2869" s="37"/>
      <c r="GJ2869" s="37"/>
      <c r="GK2869" s="37"/>
      <c r="GL2869" s="37"/>
      <c r="GM2869" s="37"/>
      <c r="GN2869" s="37"/>
      <c r="GO2869" s="37"/>
      <c r="GP2869" s="37"/>
      <c r="GQ2869" s="37"/>
      <c r="GR2869" s="37"/>
      <c r="GS2869" s="37"/>
      <c r="GT2869" s="37"/>
      <c r="GU2869" s="37"/>
      <c r="GV2869" s="37"/>
      <c r="GW2869" s="37"/>
      <c r="GX2869" s="37"/>
      <c r="GY2869" s="37"/>
      <c r="GZ2869" s="37"/>
      <c r="HA2869" s="37"/>
      <c r="HB2869" s="37"/>
      <c r="HC2869" s="37"/>
      <c r="HD2869" s="37"/>
      <c r="HE2869" s="37"/>
      <c r="HF2869" s="37"/>
      <c r="HG2869" s="37"/>
      <c r="HH2869" s="37"/>
      <c r="HI2869" s="37"/>
      <c r="HJ2869" s="37"/>
      <c r="HK2869" s="37"/>
      <c r="HL2869" s="37"/>
      <c r="HM2869" s="37"/>
      <c r="HN2869" s="37"/>
      <c r="HO2869" s="37"/>
      <c r="HP2869" s="37"/>
      <c r="HQ2869" s="37"/>
      <c r="HR2869" s="37"/>
      <c r="HS2869" s="37"/>
      <c r="HT2869" s="37"/>
      <c r="HU2869" s="37"/>
      <c r="HV2869" s="37"/>
      <c r="HW2869" s="37"/>
      <c r="HX2869" s="37"/>
      <c r="HY2869" s="37"/>
      <c r="HZ2869" s="37"/>
      <c r="IA2869" s="37"/>
      <c r="IB2869" s="37"/>
      <c r="IC2869" s="37"/>
      <c r="ID2869" s="37"/>
      <c r="IE2869" s="37"/>
      <c r="IF2869" s="37"/>
      <c r="IG2869" s="37"/>
      <c r="IH2869" s="37"/>
      <c r="II2869" s="37"/>
      <c r="IJ2869" s="37"/>
      <c r="IK2869" s="37"/>
      <c r="IL2869" s="37"/>
      <c r="IM2869" s="37"/>
      <c r="IN2869" s="37"/>
      <c r="IO2869" s="37"/>
      <c r="IP2869" s="37"/>
      <c r="IQ2869" s="37"/>
      <c r="IR2869" s="37"/>
      <c r="IS2869" s="37"/>
      <c r="IT2869" s="37"/>
      <c r="IU2869" s="37"/>
      <c r="IV2869" s="37"/>
      <c r="IW2869" s="37"/>
      <c r="IX2869" s="37"/>
      <c r="IY2869" s="37"/>
      <c r="IZ2869" s="37"/>
      <c r="JA2869" s="37"/>
      <c r="JB2869" s="37"/>
      <c r="JC2869" s="37"/>
      <c r="JD2869" s="37"/>
      <c r="JE2869" s="37"/>
      <c r="JF2869" s="37"/>
      <c r="JG2869" s="37"/>
      <c r="JH2869" s="37"/>
      <c r="JI2869" s="37"/>
      <c r="JJ2869" s="37"/>
      <c r="JK2869" s="37"/>
      <c r="JL2869" s="37"/>
      <c r="JM2869" s="37"/>
      <c r="JN2869" s="37"/>
      <c r="JO2869" s="37"/>
      <c r="JP2869" s="37"/>
      <c r="JQ2869" s="37"/>
      <c r="JR2869" s="37"/>
      <c r="JS2869" s="37"/>
      <c r="JT2869" s="37"/>
      <c r="JU2869" s="37"/>
      <c r="JV2869" s="37"/>
      <c r="JW2869" s="37"/>
      <c r="JX2869" s="37"/>
      <c r="JY2869" s="37"/>
      <c r="JZ2869" s="37"/>
      <c r="KA2869" s="37"/>
      <c r="KB2869" s="37"/>
      <c r="KC2869" s="37"/>
      <c r="KD2869" s="37"/>
      <c r="KE2869" s="37"/>
      <c r="KF2869" s="37"/>
      <c r="KG2869" s="37"/>
      <c r="KH2869" s="37"/>
      <c r="KI2869" s="37"/>
      <c r="KJ2869" s="37"/>
      <c r="KK2869" s="37"/>
      <c r="KL2869" s="37"/>
      <c r="KM2869" s="37"/>
      <c r="KN2869" s="37"/>
      <c r="KO2869" s="37"/>
      <c r="KP2869" s="37"/>
      <c r="KQ2869" s="37"/>
      <c r="KR2869" s="37"/>
      <c r="KS2869" s="37"/>
      <c r="KT2869" s="37"/>
      <c r="KU2869" s="37"/>
      <c r="KV2869" s="37"/>
      <c r="KW2869" s="37"/>
      <c r="KX2869" s="37"/>
      <c r="KY2869" s="37"/>
      <c r="KZ2869" s="37"/>
      <c r="LA2869" s="37"/>
      <c r="LB2869" s="37"/>
      <c r="LC2869" s="37"/>
      <c r="LD2869" s="37"/>
      <c r="LE2869" s="37"/>
      <c r="LF2869" s="37"/>
      <c r="LG2869" s="37"/>
      <c r="LH2869" s="37"/>
      <c r="LI2869" s="37"/>
      <c r="LJ2869" s="37"/>
      <c r="LK2869" s="37"/>
      <c r="LL2869" s="37"/>
      <c r="LM2869" s="37"/>
      <c r="LN2869" s="37"/>
      <c r="LO2869" s="37"/>
      <c r="LP2869" s="37"/>
      <c r="LQ2869" s="37"/>
      <c r="LR2869" s="37"/>
      <c r="LS2869" s="37"/>
      <c r="LT2869" s="37"/>
      <c r="LU2869" s="37"/>
      <c r="LV2869" s="37"/>
      <c r="LW2869" s="37"/>
      <c r="LX2869" s="37"/>
      <c r="LY2869" s="37"/>
      <c r="LZ2869" s="37"/>
      <c r="MA2869" s="37"/>
      <c r="MB2869" s="37"/>
      <c r="MC2869" s="37"/>
      <c r="MD2869" s="37"/>
      <c r="ME2869" s="37"/>
      <c r="MF2869" s="37"/>
      <c r="MG2869" s="37"/>
      <c r="MH2869" s="37"/>
      <c r="MI2869" s="37"/>
      <c r="MJ2869" s="37"/>
      <c r="MK2869" s="37"/>
      <c r="ML2869" s="37"/>
      <c r="MM2869" s="37"/>
      <c r="MN2869" s="37"/>
      <c r="MO2869" s="37"/>
      <c r="MP2869" s="37"/>
      <c r="MQ2869" s="37"/>
      <c r="MR2869" s="37"/>
      <c r="MS2869" s="37"/>
      <c r="MT2869" s="37"/>
      <c r="MU2869" s="37"/>
      <c r="MV2869" s="37"/>
      <c r="MW2869" s="37"/>
      <c r="MX2869" s="37"/>
      <c r="MY2869" s="37"/>
      <c r="MZ2869" s="37"/>
      <c r="NA2869" s="37"/>
      <c r="NB2869" s="37"/>
      <c r="NC2869" s="37"/>
      <c r="ND2869" s="37"/>
      <c r="NE2869" s="37"/>
      <c r="NF2869" s="37"/>
      <c r="NG2869" s="37"/>
      <c r="NH2869" s="37"/>
      <c r="NI2869" s="37"/>
      <c r="NJ2869" s="37"/>
      <c r="NK2869" s="37"/>
      <c r="NL2869" s="37"/>
      <c r="NM2869" s="37"/>
      <c r="NN2869" s="37"/>
      <c r="NO2869" s="37"/>
      <c r="NP2869" s="37"/>
      <c r="NQ2869" s="37"/>
      <c r="NR2869" s="37"/>
      <c r="NS2869" s="37"/>
      <c r="NT2869" s="37"/>
      <c r="NU2869" s="37"/>
      <c r="NV2869" s="37"/>
      <c r="NW2869" s="37"/>
      <c r="NX2869" s="37"/>
      <c r="NY2869" s="37"/>
      <c r="NZ2869" s="37"/>
      <c r="OA2869" s="37"/>
      <c r="OB2869" s="37"/>
      <c r="OC2869" s="37"/>
      <c r="OD2869" s="37"/>
      <c r="OE2869" s="37"/>
      <c r="OF2869" s="37"/>
      <c r="OG2869" s="37"/>
      <c r="OH2869" s="37"/>
      <c r="OI2869" s="37"/>
      <c r="OJ2869" s="37"/>
      <c r="OK2869" s="37"/>
      <c r="OL2869" s="37"/>
      <c r="OM2869" s="37"/>
      <c r="ON2869" s="37"/>
      <c r="OO2869" s="37"/>
      <c r="OP2869" s="37"/>
      <c r="OQ2869" s="37"/>
      <c r="OR2869" s="37"/>
      <c r="OS2869" s="37"/>
      <c r="OT2869" s="37"/>
      <c r="OU2869" s="37"/>
      <c r="OV2869" s="37"/>
      <c r="OW2869" s="37"/>
      <c r="OX2869" s="37"/>
      <c r="OY2869" s="37"/>
      <c r="OZ2869" s="37"/>
      <c r="PA2869" s="37"/>
      <c r="PB2869" s="37"/>
      <c r="PC2869" s="37"/>
      <c r="PD2869" s="37"/>
      <c r="PE2869" s="37"/>
      <c r="PF2869" s="37"/>
      <c r="PG2869" s="37"/>
      <c r="PH2869" s="37"/>
      <c r="PI2869" s="37"/>
      <c r="PJ2869" s="37"/>
      <c r="PK2869" s="37"/>
      <c r="PL2869" s="37"/>
      <c r="PM2869" s="37"/>
      <c r="PN2869" s="37"/>
      <c r="PO2869" s="37"/>
      <c r="PP2869" s="37"/>
      <c r="PQ2869" s="37"/>
      <c r="PR2869" s="37"/>
      <c r="PS2869" s="37"/>
      <c r="PT2869" s="37"/>
      <c r="PU2869" s="37"/>
      <c r="PV2869" s="37"/>
      <c r="PW2869" s="37"/>
      <c r="PX2869" s="37"/>
      <c r="PY2869" s="37"/>
      <c r="PZ2869" s="37"/>
      <c r="QA2869" s="37"/>
      <c r="QB2869" s="37"/>
      <c r="QC2869" s="37"/>
      <c r="QD2869" s="37"/>
      <c r="QE2869" s="37"/>
      <c r="QF2869" s="37"/>
      <c r="QG2869" s="37"/>
      <c r="QH2869" s="37"/>
      <c r="QI2869" s="37"/>
      <c r="QJ2869" s="37"/>
      <c r="QK2869" s="37"/>
      <c r="QL2869" s="37"/>
      <c r="QM2869" s="37"/>
      <c r="QN2869" s="37"/>
      <c r="QO2869" s="37"/>
      <c r="QP2869" s="37"/>
      <c r="QQ2869" s="37"/>
      <c r="QR2869" s="37"/>
      <c r="QS2869" s="37"/>
      <c r="QT2869" s="37"/>
      <c r="QU2869" s="37"/>
      <c r="QV2869" s="37"/>
      <c r="QW2869" s="37"/>
      <c r="QX2869" s="37"/>
      <c r="QY2869" s="37"/>
      <c r="QZ2869" s="37"/>
      <c r="RA2869" s="37"/>
      <c r="RB2869" s="37"/>
      <c r="RC2869" s="37"/>
      <c r="RD2869" s="37"/>
      <c r="RE2869" s="37"/>
      <c r="RF2869" s="37"/>
      <c r="RG2869" s="37"/>
      <c r="RH2869" s="37"/>
      <c r="RI2869" s="37"/>
      <c r="RJ2869" s="37"/>
      <c r="RK2869" s="37"/>
      <c r="RL2869" s="37"/>
      <c r="RM2869" s="37"/>
      <c r="RN2869" s="37"/>
      <c r="RO2869" s="37"/>
      <c r="RP2869" s="37"/>
      <c r="RQ2869" s="37"/>
      <c r="RR2869" s="37"/>
      <c r="RS2869" s="37"/>
      <c r="RT2869" s="37"/>
      <c r="RU2869" s="37"/>
      <c r="RV2869" s="37"/>
      <c r="RW2869" s="37"/>
      <c r="RX2869" s="37"/>
      <c r="RY2869" s="37"/>
      <c r="RZ2869" s="37"/>
      <c r="SA2869" s="37"/>
      <c r="SB2869" s="37"/>
      <c r="SC2869" s="37"/>
      <c r="SD2869" s="37"/>
      <c r="SE2869" s="37"/>
      <c r="SF2869" s="37"/>
    </row>
    <row r="2870" spans="1:500">
      <c r="A2870" s="37"/>
      <c r="B2870" s="37"/>
      <c r="C2870" s="37"/>
      <c r="D2870" s="37"/>
      <c r="E2870" s="37"/>
      <c r="F2870" s="37"/>
      <c r="G2870" s="37"/>
      <c r="H2870" s="37"/>
      <c r="I2870" s="37"/>
      <c r="J2870" s="37"/>
      <c r="K2870" s="37"/>
      <c r="L2870" s="37"/>
      <c r="M2870" s="37"/>
      <c r="N2870" s="37"/>
      <c r="O2870" s="37"/>
      <c r="P2870" s="37"/>
      <c r="Q2870" s="37"/>
      <c r="R2870" s="37"/>
      <c r="S2870" s="37"/>
      <c r="T2870" s="37"/>
      <c r="U2870" s="37"/>
      <c r="V2870" s="37"/>
      <c r="W2870" s="37"/>
      <c r="X2870" s="37"/>
      <c r="Y2870" s="37"/>
      <c r="Z2870" s="37"/>
      <c r="AA2870" s="37"/>
      <c r="AB2870" s="37"/>
      <c r="AC2870" s="37"/>
      <c r="AD2870" s="37"/>
      <c r="AE2870" s="37"/>
      <c r="AF2870" s="37"/>
      <c r="AG2870" s="37"/>
      <c r="AH2870" s="37"/>
      <c r="AI2870" s="37"/>
      <c r="AJ2870" s="37"/>
      <c r="AK2870" s="37"/>
      <c r="AL2870" s="37"/>
      <c r="AM2870" s="37"/>
      <c r="AN2870" s="37"/>
      <c r="AO2870" s="37"/>
      <c r="AP2870" s="37"/>
      <c r="AQ2870" s="37"/>
      <c r="AR2870" s="37"/>
      <c r="AS2870" s="37"/>
      <c r="AT2870" s="37"/>
      <c r="AU2870" s="37"/>
      <c r="AV2870" s="37"/>
      <c r="AW2870" s="37"/>
      <c r="AX2870" s="37"/>
      <c r="AY2870" s="37"/>
      <c r="AZ2870" s="37"/>
      <c r="BA2870" s="37"/>
      <c r="BB2870" s="37"/>
      <c r="BC2870" s="37"/>
      <c r="BD2870" s="37"/>
      <c r="BE2870" s="37"/>
      <c r="BF2870" s="37"/>
      <c r="BG2870" s="37"/>
      <c r="BH2870" s="37"/>
      <c r="BI2870" s="37"/>
      <c r="BJ2870" s="37"/>
      <c r="BK2870" s="37"/>
      <c r="BL2870" s="37"/>
      <c r="BM2870" s="37"/>
      <c r="BN2870" s="37"/>
      <c r="BO2870" s="37"/>
      <c r="BP2870" s="37"/>
      <c r="BQ2870" s="37"/>
      <c r="BR2870" s="37"/>
      <c r="BS2870" s="37"/>
      <c r="BT2870" s="37"/>
      <c r="BU2870" s="37"/>
      <c r="BV2870" s="37"/>
      <c r="BW2870" s="37"/>
      <c r="BX2870" s="37"/>
      <c r="BY2870" s="37"/>
      <c r="BZ2870" s="37"/>
      <c r="CA2870" s="37"/>
      <c r="CB2870" s="37"/>
      <c r="CC2870" s="37"/>
      <c r="CD2870" s="37"/>
      <c r="CE2870" s="37"/>
      <c r="CF2870" s="37"/>
      <c r="CG2870" s="37"/>
      <c r="CH2870" s="37"/>
      <c r="CI2870" s="37"/>
      <c r="CJ2870" s="37"/>
      <c r="CK2870" s="37"/>
      <c r="CL2870" s="37"/>
      <c r="CM2870" s="37"/>
      <c r="CN2870" s="37"/>
      <c r="CO2870" s="37"/>
      <c r="CP2870" s="37"/>
      <c r="CQ2870" s="37"/>
      <c r="CR2870" s="37"/>
      <c r="CS2870" s="37"/>
      <c r="CT2870" s="37"/>
      <c r="CU2870" s="37"/>
      <c r="CV2870" s="37"/>
      <c r="CW2870" s="37"/>
      <c r="CX2870" s="37"/>
      <c r="CY2870" s="37"/>
      <c r="CZ2870" s="37"/>
      <c r="DA2870" s="37"/>
      <c r="DB2870" s="37"/>
      <c r="DC2870" s="37"/>
      <c r="DD2870" s="37"/>
      <c r="DE2870" s="37"/>
      <c r="DF2870" s="37"/>
      <c r="DG2870" s="37"/>
      <c r="DH2870" s="37"/>
      <c r="DI2870" s="37"/>
      <c r="DJ2870" s="37"/>
      <c r="DK2870" s="37"/>
      <c r="DL2870" s="37"/>
      <c r="DM2870" s="37"/>
      <c r="DN2870" s="37"/>
      <c r="DO2870" s="37"/>
      <c r="DP2870" s="37"/>
      <c r="DQ2870" s="37"/>
      <c r="DR2870" s="37"/>
      <c r="DS2870" s="37"/>
      <c r="DT2870" s="37"/>
      <c r="DU2870" s="37"/>
      <c r="DV2870" s="37"/>
      <c r="DW2870" s="37"/>
      <c r="DX2870" s="37"/>
      <c r="DY2870" s="37"/>
      <c r="DZ2870" s="37"/>
      <c r="EA2870" s="37"/>
      <c r="EB2870" s="37"/>
      <c r="EC2870" s="37"/>
      <c r="ED2870" s="37"/>
      <c r="EE2870" s="37"/>
      <c r="EF2870" s="37"/>
      <c r="EG2870" s="37"/>
      <c r="EH2870" s="37"/>
      <c r="EI2870" s="37"/>
      <c r="EJ2870" s="37"/>
      <c r="EK2870" s="37"/>
      <c r="EL2870" s="37"/>
      <c r="EM2870" s="37"/>
      <c r="EN2870" s="37"/>
      <c r="EO2870" s="37"/>
      <c r="EP2870" s="37"/>
      <c r="EQ2870" s="37"/>
      <c r="ER2870" s="37"/>
      <c r="ES2870" s="37"/>
      <c r="ET2870" s="37"/>
      <c r="EU2870" s="37"/>
      <c r="EV2870" s="37"/>
      <c r="EW2870" s="37"/>
      <c r="EX2870" s="37"/>
      <c r="EY2870" s="37"/>
      <c r="EZ2870" s="37"/>
      <c r="FA2870" s="37"/>
      <c r="FB2870" s="37"/>
      <c r="FC2870" s="37"/>
      <c r="FD2870" s="37"/>
      <c r="FE2870" s="37"/>
      <c r="FF2870" s="37"/>
      <c r="FG2870" s="37"/>
      <c r="FH2870" s="37"/>
      <c r="FI2870" s="37"/>
      <c r="FJ2870" s="37"/>
      <c r="FK2870" s="37"/>
      <c r="FL2870" s="37"/>
      <c r="FM2870" s="37"/>
      <c r="FN2870" s="37"/>
      <c r="FO2870" s="37"/>
      <c r="FP2870" s="37"/>
      <c r="FQ2870" s="37"/>
      <c r="FR2870" s="37"/>
      <c r="FS2870" s="37"/>
      <c r="FT2870" s="37"/>
      <c r="FU2870" s="37"/>
      <c r="FV2870" s="37"/>
      <c r="FW2870" s="37"/>
      <c r="FX2870" s="37"/>
      <c r="FY2870" s="37"/>
      <c r="FZ2870" s="37"/>
      <c r="GA2870" s="37"/>
      <c r="GB2870" s="37"/>
      <c r="GC2870" s="37"/>
      <c r="GD2870" s="37"/>
      <c r="GE2870" s="37"/>
      <c r="GF2870" s="37"/>
      <c r="GG2870" s="37"/>
      <c r="GH2870" s="37"/>
      <c r="GI2870" s="37"/>
      <c r="GJ2870" s="37"/>
      <c r="GK2870" s="37"/>
      <c r="GL2870" s="37"/>
      <c r="GM2870" s="37"/>
      <c r="GN2870" s="37"/>
      <c r="GO2870" s="37"/>
      <c r="GP2870" s="37"/>
      <c r="GQ2870" s="37"/>
      <c r="GR2870" s="37"/>
      <c r="GS2870" s="37"/>
      <c r="GT2870" s="37"/>
      <c r="GU2870" s="37"/>
      <c r="GV2870" s="37"/>
      <c r="GW2870" s="37"/>
      <c r="GX2870" s="37"/>
      <c r="GY2870" s="37"/>
      <c r="GZ2870" s="37"/>
      <c r="HA2870" s="37"/>
      <c r="HB2870" s="37"/>
      <c r="HC2870" s="37"/>
      <c r="HD2870" s="37"/>
      <c r="HE2870" s="37"/>
      <c r="HF2870" s="37"/>
      <c r="HG2870" s="37"/>
      <c r="HH2870" s="37"/>
      <c r="HI2870" s="37"/>
      <c r="HJ2870" s="37"/>
      <c r="HK2870" s="37"/>
      <c r="HL2870" s="37"/>
      <c r="HM2870" s="37"/>
      <c r="HN2870" s="37"/>
      <c r="HO2870" s="37"/>
      <c r="HP2870" s="37"/>
      <c r="HQ2870" s="37"/>
      <c r="HR2870" s="37"/>
      <c r="HS2870" s="37"/>
      <c r="HT2870" s="37"/>
      <c r="HU2870" s="37"/>
      <c r="HV2870" s="37"/>
      <c r="HW2870" s="37"/>
      <c r="HX2870" s="37"/>
      <c r="HY2870" s="37"/>
      <c r="HZ2870" s="37"/>
      <c r="IA2870" s="37"/>
      <c r="IB2870" s="37"/>
      <c r="IC2870" s="37"/>
      <c r="ID2870" s="37"/>
      <c r="IE2870" s="37"/>
      <c r="IF2870" s="37"/>
      <c r="IG2870" s="37"/>
      <c r="IH2870" s="37"/>
      <c r="II2870" s="37"/>
      <c r="IJ2870" s="37"/>
      <c r="IK2870" s="37"/>
      <c r="IL2870" s="37"/>
      <c r="IM2870" s="37"/>
      <c r="IN2870" s="37"/>
      <c r="IO2870" s="37"/>
      <c r="IP2870" s="37"/>
      <c r="IQ2870" s="37"/>
      <c r="IR2870" s="37"/>
      <c r="IS2870" s="37"/>
      <c r="IT2870" s="37"/>
      <c r="IU2870" s="37"/>
      <c r="IV2870" s="37"/>
      <c r="IW2870" s="37"/>
      <c r="IX2870" s="37"/>
      <c r="IY2870" s="37"/>
      <c r="IZ2870" s="37"/>
      <c r="JA2870" s="37"/>
      <c r="JB2870" s="37"/>
      <c r="JC2870" s="37"/>
      <c r="JD2870" s="37"/>
      <c r="JE2870" s="37"/>
      <c r="JF2870" s="37"/>
      <c r="JG2870" s="37"/>
      <c r="JH2870" s="37"/>
      <c r="JI2870" s="37"/>
      <c r="JJ2870" s="37"/>
      <c r="JK2870" s="37"/>
      <c r="JL2870" s="37"/>
      <c r="JM2870" s="37"/>
      <c r="JN2870" s="37"/>
      <c r="JO2870" s="37"/>
      <c r="JP2870" s="37"/>
      <c r="JQ2870" s="37"/>
      <c r="JR2870" s="37"/>
      <c r="JS2870" s="37"/>
      <c r="JT2870" s="37"/>
      <c r="JU2870" s="37"/>
      <c r="JV2870" s="37"/>
      <c r="JW2870" s="37"/>
      <c r="JX2870" s="37"/>
      <c r="JY2870" s="37"/>
      <c r="JZ2870" s="37"/>
      <c r="KA2870" s="37"/>
      <c r="KB2870" s="37"/>
      <c r="KC2870" s="37"/>
      <c r="KD2870" s="37"/>
      <c r="KE2870" s="37"/>
      <c r="KF2870" s="37"/>
      <c r="KG2870" s="37"/>
      <c r="KH2870" s="37"/>
      <c r="KI2870" s="37"/>
      <c r="KJ2870" s="37"/>
      <c r="KK2870" s="37"/>
      <c r="KL2870" s="37"/>
      <c r="KM2870" s="37"/>
      <c r="KN2870" s="37"/>
      <c r="KO2870" s="37"/>
      <c r="KP2870" s="37"/>
      <c r="KQ2870" s="37"/>
      <c r="KR2870" s="37"/>
      <c r="KS2870" s="37"/>
      <c r="KT2870" s="37"/>
      <c r="KU2870" s="37"/>
      <c r="KV2870" s="37"/>
      <c r="KW2870" s="37"/>
      <c r="KX2870" s="37"/>
      <c r="KY2870" s="37"/>
      <c r="KZ2870" s="37"/>
      <c r="LA2870" s="37"/>
      <c r="LB2870" s="37"/>
      <c r="LC2870" s="37"/>
      <c r="LD2870" s="37"/>
      <c r="LE2870" s="37"/>
      <c r="LF2870" s="37"/>
      <c r="LG2870" s="37"/>
      <c r="LH2870" s="37"/>
      <c r="LI2870" s="37"/>
      <c r="LJ2870" s="37"/>
      <c r="LK2870" s="37"/>
      <c r="LL2870" s="37"/>
      <c r="LM2870" s="37"/>
      <c r="LN2870" s="37"/>
      <c r="LO2870" s="37"/>
      <c r="LP2870" s="37"/>
      <c r="LQ2870" s="37"/>
      <c r="LR2870" s="37"/>
      <c r="LS2870" s="37"/>
      <c r="LT2870" s="37"/>
      <c r="LU2870" s="37"/>
      <c r="LV2870" s="37"/>
      <c r="LW2870" s="37"/>
      <c r="LX2870" s="37"/>
      <c r="LY2870" s="37"/>
      <c r="LZ2870" s="37"/>
      <c r="MA2870" s="37"/>
      <c r="MB2870" s="37"/>
      <c r="MC2870" s="37"/>
      <c r="MD2870" s="37"/>
      <c r="ME2870" s="37"/>
      <c r="MF2870" s="37"/>
      <c r="MG2870" s="37"/>
      <c r="MH2870" s="37"/>
      <c r="MI2870" s="37"/>
      <c r="MJ2870" s="37"/>
      <c r="MK2870" s="37"/>
      <c r="ML2870" s="37"/>
      <c r="MM2870" s="37"/>
      <c r="MN2870" s="37"/>
      <c r="MO2870" s="37"/>
      <c r="MP2870" s="37"/>
      <c r="MQ2870" s="37"/>
      <c r="MR2870" s="37"/>
      <c r="MS2870" s="37"/>
      <c r="MT2870" s="37"/>
      <c r="MU2870" s="37"/>
      <c r="MV2870" s="37"/>
      <c r="MW2870" s="37"/>
      <c r="MX2870" s="37"/>
      <c r="MY2870" s="37"/>
      <c r="MZ2870" s="37"/>
      <c r="NA2870" s="37"/>
      <c r="NB2870" s="37"/>
      <c r="NC2870" s="37"/>
      <c r="ND2870" s="37"/>
      <c r="NE2870" s="37"/>
      <c r="NF2870" s="37"/>
      <c r="NG2870" s="37"/>
      <c r="NH2870" s="37"/>
      <c r="NI2870" s="37"/>
      <c r="NJ2870" s="37"/>
      <c r="NK2870" s="37"/>
      <c r="NL2870" s="37"/>
      <c r="NM2870" s="37"/>
      <c r="NN2870" s="37"/>
      <c r="NO2870" s="37"/>
      <c r="NP2870" s="37"/>
      <c r="NQ2870" s="37"/>
      <c r="NR2870" s="37"/>
      <c r="NS2870" s="37"/>
      <c r="NT2870" s="37"/>
      <c r="NU2870" s="37"/>
      <c r="NV2870" s="37"/>
      <c r="NW2870" s="37"/>
      <c r="NX2870" s="37"/>
      <c r="NY2870" s="37"/>
      <c r="NZ2870" s="37"/>
      <c r="OA2870" s="37"/>
      <c r="OB2870" s="37"/>
      <c r="OC2870" s="37"/>
      <c r="OD2870" s="37"/>
      <c r="OE2870" s="37"/>
      <c r="OF2870" s="37"/>
      <c r="OG2870" s="37"/>
      <c r="OH2870" s="37"/>
      <c r="OI2870" s="37"/>
      <c r="OJ2870" s="37"/>
      <c r="OK2870" s="37"/>
      <c r="OL2870" s="37"/>
      <c r="OM2870" s="37"/>
      <c r="ON2870" s="37"/>
      <c r="OO2870" s="37"/>
      <c r="OP2870" s="37"/>
      <c r="OQ2870" s="37"/>
      <c r="OR2870" s="37"/>
      <c r="OS2870" s="37"/>
      <c r="OT2870" s="37"/>
      <c r="OU2870" s="37"/>
      <c r="OV2870" s="37"/>
      <c r="OW2870" s="37"/>
      <c r="OX2870" s="37"/>
      <c r="OY2870" s="37"/>
      <c r="OZ2870" s="37"/>
      <c r="PA2870" s="37"/>
      <c r="PB2870" s="37"/>
      <c r="PC2870" s="37"/>
      <c r="PD2870" s="37"/>
      <c r="PE2870" s="37"/>
      <c r="PF2870" s="37"/>
      <c r="PG2870" s="37"/>
      <c r="PH2870" s="37"/>
      <c r="PI2870" s="37"/>
      <c r="PJ2870" s="37"/>
      <c r="PK2870" s="37"/>
      <c r="PL2870" s="37"/>
      <c r="PM2870" s="37"/>
      <c r="PN2870" s="37"/>
      <c r="PO2870" s="37"/>
      <c r="PP2870" s="37"/>
      <c r="PQ2870" s="37"/>
      <c r="PR2870" s="37"/>
      <c r="PS2870" s="37"/>
      <c r="PT2870" s="37"/>
      <c r="PU2870" s="37"/>
      <c r="PV2870" s="37"/>
      <c r="PW2870" s="37"/>
      <c r="PX2870" s="37"/>
      <c r="PY2870" s="37"/>
      <c r="PZ2870" s="37"/>
      <c r="QA2870" s="37"/>
      <c r="QB2870" s="37"/>
      <c r="QC2870" s="37"/>
      <c r="QD2870" s="37"/>
      <c r="QE2870" s="37"/>
      <c r="QF2870" s="37"/>
      <c r="QG2870" s="37"/>
      <c r="QH2870" s="37"/>
      <c r="QI2870" s="37"/>
      <c r="QJ2870" s="37"/>
      <c r="QK2870" s="37"/>
      <c r="QL2870" s="37"/>
      <c r="QM2870" s="37"/>
      <c r="QN2870" s="37"/>
      <c r="QO2870" s="37"/>
      <c r="QP2870" s="37"/>
      <c r="QQ2870" s="37"/>
      <c r="QR2870" s="37"/>
      <c r="QS2870" s="37"/>
      <c r="QT2870" s="37"/>
      <c r="QU2870" s="37"/>
      <c r="QV2870" s="37"/>
      <c r="QW2870" s="37"/>
      <c r="QX2870" s="37"/>
      <c r="QY2870" s="37"/>
      <c r="QZ2870" s="37"/>
      <c r="RA2870" s="37"/>
      <c r="RB2870" s="37"/>
      <c r="RC2870" s="37"/>
      <c r="RD2870" s="37"/>
      <c r="RE2870" s="37"/>
      <c r="RF2870" s="37"/>
      <c r="RG2870" s="37"/>
      <c r="RH2870" s="37"/>
      <c r="RI2870" s="37"/>
      <c r="RJ2870" s="37"/>
      <c r="RK2870" s="37"/>
      <c r="RL2870" s="37"/>
      <c r="RM2870" s="37"/>
      <c r="RN2870" s="37"/>
      <c r="RO2870" s="37"/>
      <c r="RP2870" s="37"/>
      <c r="RQ2870" s="37"/>
      <c r="RR2870" s="37"/>
      <c r="RS2870" s="37"/>
      <c r="RT2870" s="37"/>
      <c r="RU2870" s="37"/>
      <c r="RV2870" s="37"/>
      <c r="RW2870" s="37"/>
      <c r="RX2870" s="37"/>
      <c r="RY2870" s="37"/>
      <c r="RZ2870" s="37"/>
      <c r="SA2870" s="37"/>
      <c r="SB2870" s="37"/>
      <c r="SC2870" s="37"/>
      <c r="SD2870" s="37"/>
      <c r="SE2870" s="37"/>
      <c r="SF2870" s="37"/>
    </row>
    <row r="2871" spans="1:500">
      <c r="A2871" s="37"/>
      <c r="B2871" s="37"/>
      <c r="C2871" s="37"/>
      <c r="D2871" s="37"/>
      <c r="E2871" s="37"/>
      <c r="F2871" s="37"/>
      <c r="G2871" s="37"/>
      <c r="H2871" s="37"/>
      <c r="I2871" s="37"/>
      <c r="J2871" s="37"/>
      <c r="K2871" s="37"/>
      <c r="L2871" s="37"/>
      <c r="M2871" s="37"/>
      <c r="N2871" s="37"/>
      <c r="O2871" s="37"/>
      <c r="P2871" s="37"/>
      <c r="Q2871" s="37"/>
      <c r="R2871" s="37"/>
      <c r="S2871" s="37"/>
      <c r="T2871" s="37"/>
      <c r="U2871" s="37"/>
      <c r="V2871" s="37"/>
      <c r="W2871" s="37"/>
      <c r="X2871" s="37"/>
      <c r="Y2871" s="37"/>
      <c r="Z2871" s="37"/>
      <c r="AA2871" s="37"/>
      <c r="AB2871" s="37"/>
      <c r="AC2871" s="37"/>
      <c r="AD2871" s="37"/>
      <c r="AE2871" s="37"/>
      <c r="AF2871" s="37"/>
      <c r="AG2871" s="37"/>
      <c r="AH2871" s="37"/>
      <c r="AI2871" s="37"/>
      <c r="AJ2871" s="37"/>
      <c r="AK2871" s="37"/>
      <c r="AL2871" s="37"/>
      <c r="AM2871" s="37"/>
      <c r="AN2871" s="37"/>
      <c r="AO2871" s="37"/>
      <c r="AP2871" s="37"/>
      <c r="AQ2871" s="37"/>
      <c r="AR2871" s="37"/>
      <c r="AS2871" s="37"/>
      <c r="AT2871" s="37"/>
      <c r="AU2871" s="37"/>
      <c r="AV2871" s="37"/>
      <c r="AW2871" s="37"/>
      <c r="AX2871" s="37"/>
      <c r="AY2871" s="37"/>
      <c r="AZ2871" s="37"/>
      <c r="BA2871" s="37"/>
      <c r="BB2871" s="37"/>
      <c r="BC2871" s="37"/>
      <c r="BD2871" s="37"/>
      <c r="BE2871" s="37"/>
      <c r="BF2871" s="37"/>
      <c r="BG2871" s="37"/>
      <c r="BH2871" s="37"/>
      <c r="BI2871" s="37"/>
      <c r="BJ2871" s="37"/>
      <c r="BK2871" s="37"/>
      <c r="BL2871" s="37"/>
      <c r="BM2871" s="37"/>
      <c r="BN2871" s="37"/>
      <c r="BO2871" s="37"/>
      <c r="BP2871" s="37"/>
      <c r="BQ2871" s="37"/>
      <c r="BR2871" s="37"/>
      <c r="BS2871" s="37"/>
      <c r="BT2871" s="37"/>
      <c r="BU2871" s="37"/>
      <c r="BV2871" s="37"/>
      <c r="BW2871" s="37"/>
      <c r="BX2871" s="37"/>
      <c r="BY2871" s="37"/>
      <c r="BZ2871" s="37"/>
      <c r="CA2871" s="37"/>
      <c r="CB2871" s="37"/>
      <c r="CC2871" s="37"/>
      <c r="CD2871" s="37"/>
      <c r="CE2871" s="37"/>
      <c r="CF2871" s="37"/>
      <c r="CG2871" s="37"/>
      <c r="CH2871" s="37"/>
      <c r="CI2871" s="37"/>
      <c r="CJ2871" s="37"/>
      <c r="CK2871" s="37"/>
      <c r="CL2871" s="37"/>
      <c r="CM2871" s="37"/>
      <c r="CN2871" s="37"/>
      <c r="CO2871" s="37"/>
      <c r="CP2871" s="37"/>
      <c r="CQ2871" s="37"/>
      <c r="CR2871" s="37"/>
      <c r="CS2871" s="37"/>
      <c r="CT2871" s="37"/>
      <c r="CU2871" s="37"/>
      <c r="CV2871" s="37"/>
      <c r="CW2871" s="37"/>
      <c r="CX2871" s="37"/>
      <c r="CY2871" s="37"/>
      <c r="CZ2871" s="37"/>
      <c r="DA2871" s="37"/>
      <c r="DB2871" s="37"/>
      <c r="DC2871" s="37"/>
      <c r="DD2871" s="37"/>
      <c r="DE2871" s="37"/>
      <c r="DF2871" s="37"/>
      <c r="DG2871" s="37"/>
      <c r="DH2871" s="37"/>
      <c r="DI2871" s="37"/>
      <c r="DJ2871" s="37"/>
      <c r="DK2871" s="37"/>
      <c r="DL2871" s="37"/>
      <c r="DM2871" s="37"/>
      <c r="DN2871" s="37"/>
      <c r="DO2871" s="37"/>
      <c r="DP2871" s="37"/>
      <c r="DQ2871" s="37"/>
      <c r="DR2871" s="37"/>
      <c r="DS2871" s="37"/>
      <c r="DT2871" s="37"/>
      <c r="DU2871" s="37"/>
      <c r="DV2871" s="37"/>
      <c r="DW2871" s="37"/>
      <c r="DX2871" s="37"/>
      <c r="DY2871" s="37"/>
      <c r="DZ2871" s="37"/>
      <c r="EA2871" s="37"/>
      <c r="EB2871" s="37"/>
      <c r="EC2871" s="37"/>
      <c r="ED2871" s="37"/>
      <c r="EE2871" s="37"/>
      <c r="EF2871" s="37"/>
      <c r="EG2871" s="37"/>
      <c r="EH2871" s="37"/>
      <c r="EI2871" s="37"/>
      <c r="EJ2871" s="37"/>
      <c r="EK2871" s="37"/>
      <c r="EL2871" s="37"/>
      <c r="EM2871" s="37"/>
      <c r="EN2871" s="37"/>
      <c r="EO2871" s="37"/>
      <c r="EP2871" s="37"/>
      <c r="EQ2871" s="37"/>
      <c r="ER2871" s="37"/>
      <c r="ES2871" s="37"/>
      <c r="ET2871" s="37"/>
      <c r="EU2871" s="37"/>
      <c r="EV2871" s="37"/>
      <c r="EW2871" s="37"/>
      <c r="EX2871" s="37"/>
      <c r="EY2871" s="37"/>
      <c r="EZ2871" s="37"/>
      <c r="FA2871" s="37"/>
      <c r="FB2871" s="37"/>
      <c r="FC2871" s="37"/>
      <c r="FD2871" s="37"/>
      <c r="FE2871" s="37"/>
      <c r="FF2871" s="37"/>
      <c r="FG2871" s="37"/>
      <c r="FH2871" s="37"/>
      <c r="FI2871" s="37"/>
      <c r="FJ2871" s="37"/>
      <c r="FK2871" s="37"/>
      <c r="FL2871" s="37"/>
      <c r="FM2871" s="37"/>
      <c r="FN2871" s="37"/>
      <c r="FO2871" s="37"/>
      <c r="FP2871" s="37"/>
      <c r="FQ2871" s="37"/>
      <c r="FR2871" s="37"/>
      <c r="FS2871" s="37"/>
      <c r="FT2871" s="37"/>
      <c r="FU2871" s="37"/>
      <c r="FV2871" s="37"/>
      <c r="FW2871" s="37"/>
      <c r="FX2871" s="37"/>
      <c r="FY2871" s="37"/>
      <c r="FZ2871" s="37"/>
      <c r="GA2871" s="37"/>
      <c r="GB2871" s="37"/>
      <c r="GC2871" s="37"/>
      <c r="GD2871" s="37"/>
      <c r="GE2871" s="37"/>
      <c r="GF2871" s="37"/>
      <c r="GG2871" s="37"/>
      <c r="GH2871" s="37"/>
      <c r="GI2871" s="37"/>
      <c r="GJ2871" s="37"/>
      <c r="GK2871" s="37"/>
      <c r="GL2871" s="37"/>
      <c r="GM2871" s="37"/>
      <c r="GN2871" s="37"/>
      <c r="GO2871" s="37"/>
      <c r="GP2871" s="37"/>
      <c r="GQ2871" s="37"/>
      <c r="GR2871" s="37"/>
      <c r="GS2871" s="37"/>
      <c r="GT2871" s="37"/>
      <c r="GU2871" s="37"/>
      <c r="GV2871" s="37"/>
      <c r="GW2871" s="37"/>
      <c r="GX2871" s="37"/>
      <c r="GY2871" s="37"/>
      <c r="GZ2871" s="37"/>
      <c r="HA2871" s="37"/>
      <c r="HB2871" s="37"/>
      <c r="HC2871" s="37"/>
      <c r="HD2871" s="37"/>
      <c r="HE2871" s="37"/>
      <c r="HF2871" s="37"/>
      <c r="HG2871" s="37"/>
      <c r="HH2871" s="37"/>
      <c r="HI2871" s="37"/>
      <c r="HJ2871" s="37"/>
      <c r="HK2871" s="37"/>
      <c r="HL2871" s="37"/>
      <c r="HM2871" s="37"/>
      <c r="HN2871" s="37"/>
      <c r="HO2871" s="37"/>
      <c r="HP2871" s="37"/>
      <c r="HQ2871" s="37"/>
      <c r="HR2871" s="37"/>
      <c r="HS2871" s="37"/>
      <c r="HT2871" s="37"/>
      <c r="HU2871" s="37"/>
      <c r="HV2871" s="37"/>
      <c r="HW2871" s="37"/>
      <c r="HX2871" s="37"/>
      <c r="HY2871" s="37"/>
      <c r="HZ2871" s="37"/>
      <c r="IA2871" s="37"/>
      <c r="IB2871" s="37"/>
      <c r="IC2871" s="37"/>
      <c r="ID2871" s="37"/>
      <c r="IE2871" s="37"/>
      <c r="IF2871" s="37"/>
      <c r="IG2871" s="37"/>
      <c r="IH2871" s="37"/>
      <c r="II2871" s="37"/>
      <c r="IJ2871" s="37"/>
      <c r="IK2871" s="37"/>
      <c r="IL2871" s="37"/>
      <c r="IM2871" s="37"/>
      <c r="IN2871" s="37"/>
      <c r="IO2871" s="37"/>
      <c r="IP2871" s="37"/>
      <c r="IQ2871" s="37"/>
      <c r="IR2871" s="37"/>
      <c r="IS2871" s="37"/>
      <c r="IT2871" s="37"/>
      <c r="IU2871" s="37"/>
      <c r="IV2871" s="37"/>
      <c r="IW2871" s="37"/>
      <c r="IX2871" s="37"/>
      <c r="IY2871" s="37"/>
      <c r="IZ2871" s="37"/>
      <c r="JA2871" s="37"/>
      <c r="JB2871" s="37"/>
      <c r="JC2871" s="37"/>
      <c r="JD2871" s="37"/>
      <c r="JE2871" s="37"/>
      <c r="JF2871" s="37"/>
      <c r="JG2871" s="37"/>
      <c r="JH2871" s="37"/>
      <c r="JI2871" s="37"/>
      <c r="JJ2871" s="37"/>
      <c r="JK2871" s="37"/>
      <c r="JL2871" s="37"/>
      <c r="JM2871" s="37"/>
      <c r="JN2871" s="37"/>
      <c r="JO2871" s="37"/>
      <c r="JP2871" s="37"/>
      <c r="JQ2871" s="37"/>
      <c r="JR2871" s="37"/>
      <c r="JS2871" s="37"/>
      <c r="JT2871" s="37"/>
      <c r="JU2871" s="37"/>
      <c r="JV2871" s="37"/>
      <c r="JW2871" s="37"/>
      <c r="JX2871" s="37"/>
      <c r="JY2871" s="37"/>
      <c r="JZ2871" s="37"/>
      <c r="KA2871" s="37"/>
      <c r="KB2871" s="37"/>
      <c r="KC2871" s="37"/>
      <c r="KD2871" s="37"/>
      <c r="KE2871" s="37"/>
      <c r="KF2871" s="37"/>
      <c r="KG2871" s="37"/>
      <c r="KH2871" s="37"/>
      <c r="KI2871" s="37"/>
      <c r="KJ2871" s="37"/>
      <c r="KK2871" s="37"/>
      <c r="KL2871" s="37"/>
      <c r="KM2871" s="37"/>
      <c r="KN2871" s="37"/>
      <c r="KO2871" s="37"/>
      <c r="KP2871" s="37"/>
      <c r="KQ2871" s="37"/>
      <c r="KR2871" s="37"/>
      <c r="KS2871" s="37"/>
      <c r="KT2871" s="37"/>
      <c r="KU2871" s="37"/>
      <c r="KV2871" s="37"/>
      <c r="KW2871" s="37"/>
      <c r="KX2871" s="37"/>
      <c r="KY2871" s="37"/>
      <c r="KZ2871" s="37"/>
      <c r="LA2871" s="37"/>
      <c r="LB2871" s="37"/>
      <c r="LC2871" s="37"/>
      <c r="LD2871" s="37"/>
      <c r="LE2871" s="37"/>
      <c r="LF2871" s="37"/>
      <c r="LG2871" s="37"/>
      <c r="LH2871" s="37"/>
      <c r="LI2871" s="37"/>
      <c r="LJ2871" s="37"/>
      <c r="LK2871" s="37"/>
      <c r="LL2871" s="37"/>
      <c r="LM2871" s="37"/>
      <c r="LN2871" s="37"/>
      <c r="LO2871" s="37"/>
      <c r="LP2871" s="37"/>
      <c r="LQ2871" s="37"/>
      <c r="LR2871" s="37"/>
      <c r="LS2871" s="37"/>
      <c r="LT2871" s="37"/>
      <c r="LU2871" s="37"/>
      <c r="LV2871" s="37"/>
      <c r="LW2871" s="37"/>
      <c r="LX2871" s="37"/>
      <c r="LY2871" s="37"/>
      <c r="LZ2871" s="37"/>
      <c r="MA2871" s="37"/>
      <c r="MB2871" s="37"/>
      <c r="MC2871" s="37"/>
      <c r="MD2871" s="37"/>
      <c r="ME2871" s="37"/>
      <c r="MF2871" s="37"/>
      <c r="MG2871" s="37"/>
      <c r="MH2871" s="37"/>
      <c r="MI2871" s="37"/>
      <c r="MJ2871" s="37"/>
      <c r="MK2871" s="37"/>
      <c r="ML2871" s="37"/>
      <c r="MM2871" s="37"/>
      <c r="MN2871" s="37"/>
      <c r="MO2871" s="37"/>
      <c r="MP2871" s="37"/>
      <c r="MQ2871" s="37"/>
      <c r="MR2871" s="37"/>
      <c r="MS2871" s="37"/>
      <c r="MT2871" s="37"/>
      <c r="MU2871" s="37"/>
      <c r="MV2871" s="37"/>
      <c r="MW2871" s="37"/>
      <c r="MX2871" s="37"/>
      <c r="MY2871" s="37"/>
      <c r="MZ2871" s="37"/>
      <c r="NA2871" s="37"/>
      <c r="NB2871" s="37"/>
      <c r="NC2871" s="37"/>
      <c r="ND2871" s="37"/>
      <c r="NE2871" s="37"/>
      <c r="NF2871" s="37"/>
      <c r="NG2871" s="37"/>
      <c r="NH2871" s="37"/>
      <c r="NI2871" s="37"/>
      <c r="NJ2871" s="37"/>
      <c r="NK2871" s="37"/>
      <c r="NL2871" s="37"/>
      <c r="NM2871" s="37"/>
      <c r="NN2871" s="37"/>
      <c r="NO2871" s="37"/>
      <c r="NP2871" s="37"/>
      <c r="NQ2871" s="37"/>
      <c r="NR2871" s="37"/>
      <c r="NS2871" s="37"/>
      <c r="NT2871" s="37"/>
      <c r="NU2871" s="37"/>
      <c r="NV2871" s="37"/>
      <c r="NW2871" s="37"/>
      <c r="NX2871" s="37"/>
      <c r="NY2871" s="37"/>
      <c r="NZ2871" s="37"/>
      <c r="OA2871" s="37"/>
      <c r="OB2871" s="37"/>
      <c r="OC2871" s="37"/>
      <c r="OD2871" s="37"/>
      <c r="OE2871" s="37"/>
      <c r="OF2871" s="37"/>
      <c r="OG2871" s="37"/>
      <c r="OH2871" s="37"/>
      <c r="OI2871" s="37"/>
      <c r="OJ2871" s="37"/>
      <c r="OK2871" s="37"/>
      <c r="OL2871" s="37"/>
      <c r="OM2871" s="37"/>
      <c r="ON2871" s="37"/>
      <c r="OO2871" s="37"/>
      <c r="OP2871" s="37"/>
      <c r="OQ2871" s="37"/>
      <c r="OR2871" s="37"/>
      <c r="OS2871" s="37"/>
      <c r="OT2871" s="37"/>
      <c r="OU2871" s="37"/>
      <c r="OV2871" s="37"/>
      <c r="OW2871" s="37"/>
      <c r="OX2871" s="37"/>
      <c r="OY2871" s="37"/>
      <c r="OZ2871" s="37"/>
      <c r="PA2871" s="37"/>
      <c r="PB2871" s="37"/>
      <c r="PC2871" s="37"/>
      <c r="PD2871" s="37"/>
      <c r="PE2871" s="37"/>
      <c r="PF2871" s="37"/>
      <c r="PG2871" s="37"/>
      <c r="PH2871" s="37"/>
      <c r="PI2871" s="37"/>
      <c r="PJ2871" s="37"/>
      <c r="PK2871" s="37"/>
      <c r="PL2871" s="37"/>
      <c r="PM2871" s="37"/>
      <c r="PN2871" s="37"/>
      <c r="PO2871" s="37"/>
      <c r="PP2871" s="37"/>
      <c r="PQ2871" s="37"/>
      <c r="PR2871" s="37"/>
      <c r="PS2871" s="37"/>
      <c r="PT2871" s="37"/>
      <c r="PU2871" s="37"/>
      <c r="PV2871" s="37"/>
      <c r="PW2871" s="37"/>
      <c r="PX2871" s="37"/>
      <c r="PY2871" s="37"/>
      <c r="PZ2871" s="37"/>
      <c r="QA2871" s="37"/>
      <c r="QB2871" s="37"/>
      <c r="QC2871" s="37"/>
      <c r="QD2871" s="37"/>
      <c r="QE2871" s="37"/>
      <c r="QF2871" s="37"/>
      <c r="QG2871" s="37"/>
      <c r="QH2871" s="37"/>
      <c r="QI2871" s="37"/>
      <c r="QJ2871" s="37"/>
      <c r="QK2871" s="37"/>
      <c r="QL2871" s="37"/>
      <c r="QM2871" s="37"/>
      <c r="QN2871" s="37"/>
      <c r="QO2871" s="37"/>
      <c r="QP2871" s="37"/>
      <c r="QQ2871" s="37"/>
      <c r="QR2871" s="37"/>
      <c r="QS2871" s="37"/>
      <c r="QT2871" s="37"/>
      <c r="QU2871" s="37"/>
      <c r="QV2871" s="37"/>
      <c r="QW2871" s="37"/>
      <c r="QX2871" s="37"/>
      <c r="QY2871" s="37"/>
      <c r="QZ2871" s="37"/>
      <c r="RA2871" s="37"/>
      <c r="RB2871" s="37"/>
      <c r="RC2871" s="37"/>
      <c r="RD2871" s="37"/>
      <c r="RE2871" s="37"/>
      <c r="RF2871" s="37"/>
      <c r="RG2871" s="37"/>
      <c r="RH2871" s="37"/>
      <c r="RI2871" s="37"/>
      <c r="RJ2871" s="37"/>
      <c r="RK2871" s="37"/>
      <c r="RL2871" s="37"/>
      <c r="RM2871" s="37"/>
      <c r="RN2871" s="37"/>
      <c r="RO2871" s="37"/>
      <c r="RP2871" s="37"/>
      <c r="RQ2871" s="37"/>
      <c r="RR2871" s="37"/>
      <c r="RS2871" s="37"/>
      <c r="RT2871" s="37"/>
      <c r="RU2871" s="37"/>
      <c r="RV2871" s="37"/>
      <c r="RW2871" s="37"/>
      <c r="RX2871" s="37"/>
      <c r="RY2871" s="37"/>
      <c r="RZ2871" s="37"/>
      <c r="SA2871" s="37"/>
      <c r="SB2871" s="37"/>
      <c r="SC2871" s="37"/>
      <c r="SD2871" s="37"/>
      <c r="SE2871" s="37"/>
      <c r="SF2871" s="37"/>
    </row>
    <row r="2872" spans="1:500">
      <c r="A2872" s="37"/>
      <c r="B2872" s="37"/>
      <c r="C2872" s="37"/>
      <c r="D2872" s="37"/>
      <c r="E2872" s="37"/>
      <c r="F2872" s="37"/>
      <c r="G2872" s="37"/>
      <c r="H2872" s="37"/>
      <c r="I2872" s="37"/>
      <c r="J2872" s="37"/>
      <c r="K2872" s="37"/>
      <c r="L2872" s="37"/>
      <c r="M2872" s="37"/>
      <c r="N2872" s="37"/>
      <c r="O2872" s="37"/>
      <c r="P2872" s="37"/>
      <c r="Q2872" s="37"/>
      <c r="R2872" s="37"/>
      <c r="S2872" s="37"/>
      <c r="T2872" s="37"/>
      <c r="U2872" s="37"/>
      <c r="V2872" s="37"/>
      <c r="W2872" s="37"/>
      <c r="X2872" s="37"/>
      <c r="Y2872" s="37"/>
      <c r="Z2872" s="37"/>
      <c r="AA2872" s="37"/>
      <c r="AB2872" s="37"/>
      <c r="AC2872" s="37"/>
      <c r="AD2872" s="37"/>
      <c r="AE2872" s="37"/>
      <c r="AF2872" s="37"/>
      <c r="AG2872" s="37"/>
      <c r="AH2872" s="37"/>
      <c r="AI2872" s="37"/>
      <c r="AJ2872" s="37"/>
      <c r="AK2872" s="37"/>
      <c r="AL2872" s="37"/>
      <c r="AM2872" s="37"/>
      <c r="AN2872" s="37"/>
      <c r="AO2872" s="37"/>
      <c r="AP2872" s="37"/>
      <c r="AQ2872" s="37"/>
      <c r="AR2872" s="37"/>
      <c r="AS2872" s="37"/>
      <c r="AT2872" s="37"/>
      <c r="AU2872" s="37"/>
      <c r="AV2872" s="37"/>
      <c r="AW2872" s="37"/>
      <c r="AX2872" s="37"/>
      <c r="AY2872" s="37"/>
      <c r="AZ2872" s="37"/>
      <c r="BA2872" s="37"/>
      <c r="BB2872" s="37"/>
      <c r="BC2872" s="37"/>
      <c r="BD2872" s="37"/>
      <c r="BE2872" s="37"/>
      <c r="BF2872" s="37"/>
      <c r="BG2872" s="37"/>
      <c r="BH2872" s="37"/>
      <c r="BI2872" s="37"/>
      <c r="BJ2872" s="37"/>
      <c r="BK2872" s="37"/>
      <c r="BL2872" s="37"/>
      <c r="BM2872" s="37"/>
      <c r="BN2872" s="37"/>
      <c r="BO2872" s="37"/>
      <c r="BP2872" s="37"/>
      <c r="BQ2872" s="37"/>
      <c r="BR2872" s="37"/>
      <c r="BS2872" s="37"/>
      <c r="BT2872" s="37"/>
      <c r="BU2872" s="37"/>
      <c r="BV2872" s="37"/>
      <c r="BW2872" s="37"/>
      <c r="BX2872" s="37"/>
      <c r="BY2872" s="37"/>
      <c r="BZ2872" s="37"/>
      <c r="CA2872" s="37"/>
      <c r="CB2872" s="37"/>
      <c r="CC2872" s="37"/>
      <c r="CD2872" s="37"/>
      <c r="CE2872" s="37"/>
      <c r="CF2872" s="37"/>
      <c r="CG2872" s="37"/>
      <c r="CH2872" s="37"/>
      <c r="CI2872" s="37"/>
      <c r="CJ2872" s="37"/>
      <c r="CK2872" s="37"/>
      <c r="CL2872" s="37"/>
      <c r="CM2872" s="37"/>
      <c r="CN2872" s="37"/>
      <c r="CO2872" s="37"/>
      <c r="CP2872" s="37"/>
      <c r="CQ2872" s="37"/>
      <c r="CR2872" s="37"/>
      <c r="CS2872" s="37"/>
      <c r="CT2872" s="37"/>
      <c r="CU2872" s="37"/>
      <c r="CV2872" s="37"/>
      <c r="CW2872" s="37"/>
      <c r="CX2872" s="37"/>
      <c r="CY2872" s="37"/>
      <c r="CZ2872" s="37"/>
      <c r="DA2872" s="37"/>
      <c r="DB2872" s="37"/>
      <c r="DC2872" s="37"/>
      <c r="DD2872" s="37"/>
      <c r="DE2872" s="37"/>
      <c r="DF2872" s="37"/>
      <c r="DG2872" s="37"/>
      <c r="DH2872" s="37"/>
      <c r="DI2872" s="37"/>
      <c r="DJ2872" s="37"/>
      <c r="DK2872" s="37"/>
      <c r="DL2872" s="37"/>
      <c r="DM2872" s="37"/>
      <c r="DN2872" s="37"/>
      <c r="DO2872" s="37"/>
      <c r="DP2872" s="37"/>
      <c r="DQ2872" s="37"/>
      <c r="DR2872" s="37"/>
      <c r="DS2872" s="37"/>
      <c r="DT2872" s="37"/>
      <c r="DU2872" s="37"/>
      <c r="DV2872" s="37"/>
      <c r="DW2872" s="37"/>
      <c r="DX2872" s="37"/>
      <c r="DY2872" s="37"/>
      <c r="DZ2872" s="37"/>
      <c r="EA2872" s="37"/>
      <c r="EB2872" s="37"/>
      <c r="EC2872" s="37"/>
      <c r="ED2872" s="37"/>
      <c r="EE2872" s="37"/>
      <c r="EF2872" s="37"/>
      <c r="EG2872" s="37"/>
      <c r="EH2872" s="37"/>
      <c r="EI2872" s="37"/>
      <c r="EJ2872" s="37"/>
      <c r="EK2872" s="37"/>
      <c r="EL2872" s="37"/>
      <c r="EM2872" s="37"/>
      <c r="EN2872" s="37"/>
      <c r="EO2872" s="37"/>
      <c r="EP2872" s="37"/>
      <c r="EQ2872" s="37"/>
      <c r="ER2872" s="37"/>
      <c r="ES2872" s="37"/>
      <c r="ET2872" s="37"/>
      <c r="EU2872" s="37"/>
      <c r="EV2872" s="37"/>
      <c r="EW2872" s="37"/>
      <c r="EX2872" s="37"/>
      <c r="EY2872" s="37"/>
      <c r="EZ2872" s="37"/>
      <c r="FA2872" s="37"/>
      <c r="FB2872" s="37"/>
      <c r="FC2872" s="37"/>
      <c r="FD2872" s="37"/>
      <c r="FE2872" s="37"/>
      <c r="FF2872" s="37"/>
      <c r="FG2872" s="37"/>
      <c r="FH2872" s="37"/>
      <c r="FI2872" s="37"/>
      <c r="FJ2872" s="37"/>
      <c r="FK2872" s="37"/>
      <c r="FL2872" s="37"/>
      <c r="FM2872" s="37"/>
      <c r="FN2872" s="37"/>
      <c r="FO2872" s="37"/>
      <c r="FP2872" s="37"/>
      <c r="FQ2872" s="37"/>
      <c r="FR2872" s="37"/>
      <c r="FS2872" s="37"/>
      <c r="FT2872" s="37"/>
      <c r="FU2872" s="37"/>
      <c r="FV2872" s="37"/>
      <c r="FW2872" s="37"/>
      <c r="FX2872" s="37"/>
      <c r="FY2872" s="37"/>
      <c r="FZ2872" s="37"/>
      <c r="GA2872" s="37"/>
      <c r="GB2872" s="37"/>
      <c r="GC2872" s="37"/>
      <c r="GD2872" s="37"/>
      <c r="GE2872" s="37"/>
      <c r="GF2872" s="37"/>
      <c r="GG2872" s="37"/>
      <c r="GH2872" s="37"/>
      <c r="GI2872" s="37"/>
      <c r="GJ2872" s="37"/>
      <c r="GK2872" s="37"/>
      <c r="GL2872" s="37"/>
      <c r="GM2872" s="37"/>
      <c r="GN2872" s="37"/>
      <c r="GO2872" s="37"/>
      <c r="GP2872" s="37"/>
      <c r="GQ2872" s="37"/>
      <c r="GR2872" s="37"/>
      <c r="GS2872" s="37"/>
      <c r="GT2872" s="37"/>
      <c r="GU2872" s="37"/>
      <c r="GV2872" s="37"/>
      <c r="GW2872" s="37"/>
      <c r="GX2872" s="37"/>
      <c r="GY2872" s="37"/>
      <c r="GZ2872" s="37"/>
      <c r="HA2872" s="37"/>
      <c r="HB2872" s="37"/>
      <c r="HC2872" s="37"/>
      <c r="HD2872" s="37"/>
      <c r="HE2872" s="37"/>
      <c r="HF2872" s="37"/>
      <c r="HG2872" s="37"/>
      <c r="HH2872" s="37"/>
      <c r="HI2872" s="37"/>
      <c r="HJ2872" s="37"/>
      <c r="HK2872" s="37"/>
      <c r="HL2872" s="37"/>
      <c r="HM2872" s="37"/>
      <c r="HN2872" s="37"/>
      <c r="HO2872" s="37"/>
      <c r="HP2872" s="37"/>
      <c r="HQ2872" s="37"/>
      <c r="HR2872" s="37"/>
      <c r="HS2872" s="37"/>
      <c r="HT2872" s="37"/>
      <c r="HU2872" s="37"/>
      <c r="HV2872" s="37"/>
      <c r="HW2872" s="37"/>
      <c r="HX2872" s="37"/>
      <c r="HY2872" s="37"/>
      <c r="HZ2872" s="37"/>
      <c r="IA2872" s="37"/>
      <c r="IB2872" s="37"/>
      <c r="IC2872" s="37"/>
      <c r="ID2872" s="37"/>
      <c r="IE2872" s="37"/>
      <c r="IF2872" s="37"/>
      <c r="IG2872" s="37"/>
      <c r="IH2872" s="37"/>
      <c r="II2872" s="37"/>
      <c r="IJ2872" s="37"/>
      <c r="IK2872" s="37"/>
      <c r="IL2872" s="37"/>
      <c r="IM2872" s="37"/>
      <c r="IN2872" s="37"/>
      <c r="IO2872" s="37"/>
      <c r="IP2872" s="37"/>
      <c r="IQ2872" s="37"/>
      <c r="IR2872" s="37"/>
      <c r="IS2872" s="37"/>
      <c r="IT2872" s="37"/>
      <c r="IU2872" s="37"/>
      <c r="IV2872" s="37"/>
      <c r="IW2872" s="37"/>
      <c r="IX2872" s="37"/>
      <c r="IY2872" s="37"/>
      <c r="IZ2872" s="37"/>
      <c r="JA2872" s="37"/>
      <c r="JB2872" s="37"/>
      <c r="JC2872" s="37"/>
      <c r="JD2872" s="37"/>
      <c r="JE2872" s="37"/>
      <c r="JF2872" s="37"/>
      <c r="JG2872" s="37"/>
      <c r="JH2872" s="37"/>
      <c r="JI2872" s="37"/>
      <c r="JJ2872" s="37"/>
      <c r="JK2872" s="37"/>
      <c r="JL2872" s="37"/>
      <c r="JM2872" s="37"/>
      <c r="JN2872" s="37"/>
      <c r="JO2872" s="37"/>
      <c r="JP2872" s="37"/>
      <c r="JQ2872" s="37"/>
      <c r="JR2872" s="37"/>
      <c r="JS2872" s="37"/>
      <c r="JT2872" s="37"/>
      <c r="JU2872" s="37"/>
      <c r="JV2872" s="37"/>
      <c r="JW2872" s="37"/>
      <c r="JX2872" s="37"/>
      <c r="JY2872" s="37"/>
      <c r="JZ2872" s="37"/>
      <c r="KA2872" s="37"/>
      <c r="KB2872" s="37"/>
      <c r="KC2872" s="37"/>
      <c r="KD2872" s="37"/>
      <c r="KE2872" s="37"/>
      <c r="KF2872" s="37"/>
      <c r="KG2872" s="37"/>
      <c r="KH2872" s="37"/>
      <c r="KI2872" s="37"/>
      <c r="KJ2872" s="37"/>
      <c r="KK2872" s="37"/>
      <c r="KL2872" s="37"/>
      <c r="KM2872" s="37"/>
      <c r="KN2872" s="37"/>
      <c r="KO2872" s="37"/>
      <c r="KP2872" s="37"/>
      <c r="KQ2872" s="37"/>
      <c r="KR2872" s="37"/>
      <c r="KS2872" s="37"/>
      <c r="KT2872" s="37"/>
      <c r="KU2872" s="37"/>
      <c r="KV2872" s="37"/>
      <c r="KW2872" s="37"/>
      <c r="KX2872" s="37"/>
      <c r="KY2872" s="37"/>
      <c r="KZ2872" s="37"/>
      <c r="LA2872" s="37"/>
      <c r="LB2872" s="37"/>
      <c r="LC2872" s="37"/>
      <c r="LD2872" s="37"/>
      <c r="LE2872" s="37"/>
      <c r="LF2872" s="37"/>
      <c r="LG2872" s="37"/>
      <c r="LH2872" s="37"/>
      <c r="LI2872" s="37"/>
      <c r="LJ2872" s="37"/>
      <c r="LK2872" s="37"/>
      <c r="LL2872" s="37"/>
      <c r="LM2872" s="37"/>
      <c r="LN2872" s="37"/>
      <c r="LO2872" s="37"/>
      <c r="LP2872" s="37"/>
      <c r="LQ2872" s="37"/>
      <c r="LR2872" s="37"/>
      <c r="LS2872" s="37"/>
      <c r="LT2872" s="37"/>
      <c r="LU2872" s="37"/>
      <c r="LV2872" s="37"/>
      <c r="LW2872" s="37"/>
      <c r="LX2872" s="37"/>
      <c r="LY2872" s="37"/>
      <c r="LZ2872" s="37"/>
      <c r="MA2872" s="37"/>
      <c r="MB2872" s="37"/>
      <c r="MC2872" s="37"/>
      <c r="MD2872" s="37"/>
      <c r="ME2872" s="37"/>
      <c r="MF2872" s="37"/>
      <c r="MG2872" s="37"/>
      <c r="MH2872" s="37"/>
      <c r="MI2872" s="37"/>
      <c r="MJ2872" s="37"/>
      <c r="MK2872" s="37"/>
      <c r="ML2872" s="37"/>
      <c r="MM2872" s="37"/>
      <c r="MN2872" s="37"/>
      <c r="MO2872" s="37"/>
      <c r="MP2872" s="37"/>
      <c r="MQ2872" s="37"/>
      <c r="MR2872" s="37"/>
      <c r="MS2872" s="37"/>
      <c r="MT2872" s="37"/>
      <c r="MU2872" s="37"/>
      <c r="MV2872" s="37"/>
      <c r="MW2872" s="37"/>
      <c r="MX2872" s="37"/>
      <c r="MY2872" s="37"/>
      <c r="MZ2872" s="37"/>
      <c r="NA2872" s="37"/>
      <c r="NB2872" s="37"/>
      <c r="NC2872" s="37"/>
      <c r="ND2872" s="37"/>
      <c r="NE2872" s="37"/>
      <c r="NF2872" s="37"/>
      <c r="NG2872" s="37"/>
      <c r="NH2872" s="37"/>
      <c r="NI2872" s="37"/>
      <c r="NJ2872" s="37"/>
      <c r="NK2872" s="37"/>
      <c r="NL2872" s="37"/>
      <c r="NM2872" s="37"/>
      <c r="NN2872" s="37"/>
      <c r="NO2872" s="37"/>
      <c r="NP2872" s="37"/>
      <c r="NQ2872" s="37"/>
      <c r="NR2872" s="37"/>
      <c r="NS2872" s="37"/>
      <c r="NT2872" s="37"/>
      <c r="NU2872" s="37"/>
      <c r="NV2872" s="37"/>
      <c r="NW2872" s="37"/>
      <c r="NX2872" s="37"/>
      <c r="NY2872" s="37"/>
      <c r="NZ2872" s="37"/>
      <c r="OA2872" s="37"/>
      <c r="OB2872" s="37"/>
      <c r="OC2872" s="37"/>
      <c r="OD2872" s="37"/>
      <c r="OE2872" s="37"/>
      <c r="OF2872" s="37"/>
      <c r="OG2872" s="37"/>
      <c r="OH2872" s="37"/>
      <c r="OI2872" s="37"/>
      <c r="OJ2872" s="37"/>
      <c r="OK2872" s="37"/>
      <c r="OL2872" s="37"/>
      <c r="OM2872" s="37"/>
      <c r="ON2872" s="37"/>
      <c r="OO2872" s="37"/>
      <c r="OP2872" s="37"/>
      <c r="OQ2872" s="37"/>
      <c r="OR2872" s="37"/>
      <c r="OS2872" s="37"/>
      <c r="OT2872" s="37"/>
      <c r="OU2872" s="37"/>
      <c r="OV2872" s="37"/>
      <c r="OW2872" s="37"/>
      <c r="OX2872" s="37"/>
      <c r="OY2872" s="37"/>
      <c r="OZ2872" s="37"/>
      <c r="PA2872" s="37"/>
      <c r="PB2872" s="37"/>
      <c r="PC2872" s="37"/>
      <c r="PD2872" s="37"/>
      <c r="PE2872" s="37"/>
      <c r="PF2872" s="37"/>
      <c r="PG2872" s="37"/>
      <c r="PH2872" s="37"/>
      <c r="PI2872" s="37"/>
      <c r="PJ2872" s="37"/>
      <c r="PK2872" s="37"/>
      <c r="PL2872" s="37"/>
      <c r="PM2872" s="37"/>
      <c r="PN2872" s="37"/>
      <c r="PO2872" s="37"/>
      <c r="PP2872" s="37"/>
      <c r="PQ2872" s="37"/>
      <c r="PR2872" s="37"/>
      <c r="PS2872" s="37"/>
      <c r="PT2872" s="37"/>
      <c r="PU2872" s="37"/>
      <c r="PV2872" s="37"/>
      <c r="PW2872" s="37"/>
      <c r="PX2872" s="37"/>
      <c r="PY2872" s="37"/>
      <c r="PZ2872" s="37"/>
      <c r="QA2872" s="37"/>
      <c r="QB2872" s="37"/>
      <c r="QC2872" s="37"/>
      <c r="QD2872" s="37"/>
      <c r="QE2872" s="37"/>
      <c r="QF2872" s="37"/>
      <c r="QG2872" s="37"/>
      <c r="QH2872" s="37"/>
      <c r="QI2872" s="37"/>
      <c r="QJ2872" s="37"/>
      <c r="QK2872" s="37"/>
      <c r="QL2872" s="37"/>
      <c r="QM2872" s="37"/>
      <c r="QN2872" s="37"/>
      <c r="QO2872" s="37"/>
      <c r="QP2872" s="37"/>
      <c r="QQ2872" s="37"/>
      <c r="QR2872" s="37"/>
      <c r="QS2872" s="37"/>
      <c r="QT2872" s="37"/>
      <c r="QU2872" s="37"/>
      <c r="QV2872" s="37"/>
      <c r="QW2872" s="37"/>
      <c r="QX2872" s="37"/>
      <c r="QY2872" s="37"/>
      <c r="QZ2872" s="37"/>
      <c r="RA2872" s="37"/>
      <c r="RB2872" s="37"/>
      <c r="RC2872" s="37"/>
      <c r="RD2872" s="37"/>
      <c r="RE2872" s="37"/>
      <c r="RF2872" s="37"/>
      <c r="RG2872" s="37"/>
      <c r="RH2872" s="37"/>
      <c r="RI2872" s="37"/>
      <c r="RJ2872" s="37"/>
      <c r="RK2872" s="37"/>
      <c r="RL2872" s="37"/>
      <c r="RM2872" s="37"/>
      <c r="RN2872" s="37"/>
      <c r="RO2872" s="37"/>
      <c r="RP2872" s="37"/>
      <c r="RQ2872" s="37"/>
      <c r="RR2872" s="37"/>
      <c r="RS2872" s="37"/>
      <c r="RT2872" s="37"/>
      <c r="RU2872" s="37"/>
      <c r="RV2872" s="37"/>
      <c r="RW2872" s="37"/>
      <c r="RX2872" s="37"/>
      <c r="RY2872" s="37"/>
      <c r="RZ2872" s="37"/>
      <c r="SA2872" s="37"/>
      <c r="SB2872" s="37"/>
      <c r="SC2872" s="37"/>
      <c r="SD2872" s="37"/>
      <c r="SE2872" s="37"/>
      <c r="SF2872" s="37"/>
    </row>
    <row r="2873" spans="1:500">
      <c r="A2873" s="37"/>
      <c r="B2873" s="37"/>
      <c r="C2873" s="37"/>
      <c r="D2873" s="37"/>
      <c r="E2873" s="37"/>
      <c r="F2873" s="37"/>
      <c r="G2873" s="37"/>
      <c r="H2873" s="37"/>
      <c r="I2873" s="37"/>
      <c r="J2873" s="37"/>
      <c r="K2873" s="37"/>
      <c r="L2873" s="37"/>
      <c r="M2873" s="37"/>
      <c r="N2873" s="37"/>
      <c r="O2873" s="37"/>
      <c r="P2873" s="37"/>
      <c r="Q2873" s="37"/>
      <c r="R2873" s="37"/>
      <c r="S2873" s="37"/>
      <c r="T2873" s="37"/>
      <c r="U2873" s="37"/>
      <c r="V2873" s="37"/>
      <c r="W2873" s="37"/>
      <c r="X2873" s="37"/>
      <c r="Y2873" s="37"/>
      <c r="Z2873" s="37"/>
      <c r="AA2873" s="37"/>
      <c r="AB2873" s="37"/>
      <c r="AC2873" s="37"/>
      <c r="AD2873" s="37"/>
      <c r="AE2873" s="37"/>
      <c r="AF2873" s="37"/>
      <c r="AG2873" s="37"/>
      <c r="AH2873" s="37"/>
      <c r="AI2873" s="37"/>
      <c r="AJ2873" s="37"/>
      <c r="AK2873" s="37"/>
      <c r="AL2873" s="37"/>
      <c r="AM2873" s="37"/>
      <c r="AN2873" s="37"/>
      <c r="AO2873" s="37"/>
      <c r="AP2873" s="37"/>
      <c r="AQ2873" s="37"/>
      <c r="AR2873" s="37"/>
      <c r="AS2873" s="37"/>
      <c r="AT2873" s="37"/>
      <c r="AU2873" s="37"/>
      <c r="AV2873" s="37"/>
      <c r="AW2873" s="37"/>
      <c r="AX2873" s="37"/>
      <c r="AY2873" s="37"/>
      <c r="AZ2873" s="37"/>
      <c r="BA2873" s="37"/>
      <c r="BB2873" s="37"/>
      <c r="BC2873" s="37"/>
      <c r="BD2873" s="37"/>
      <c r="BE2873" s="37"/>
      <c r="BF2873" s="37"/>
      <c r="BG2873" s="37"/>
      <c r="BH2873" s="37"/>
      <c r="BI2873" s="37"/>
      <c r="BJ2873" s="37"/>
      <c r="BK2873" s="37"/>
      <c r="BL2873" s="37"/>
      <c r="BM2873" s="37"/>
      <c r="BN2873" s="37"/>
      <c r="BO2873" s="37"/>
      <c r="BP2873" s="37"/>
      <c r="BQ2873" s="37"/>
      <c r="BR2873" s="37"/>
      <c r="BS2873" s="37"/>
      <c r="BT2873" s="37"/>
      <c r="BU2873" s="37"/>
      <c r="BV2873" s="37"/>
      <c r="BW2873" s="37"/>
      <c r="BX2873" s="37"/>
      <c r="BY2873" s="37"/>
      <c r="BZ2873" s="37"/>
      <c r="CA2873" s="37"/>
      <c r="CB2873" s="37"/>
      <c r="CC2873" s="37"/>
      <c r="CD2873" s="37"/>
      <c r="CE2873" s="37"/>
      <c r="CF2873" s="37"/>
      <c r="CG2873" s="37"/>
      <c r="CH2873" s="37"/>
      <c r="CI2873" s="37"/>
      <c r="CJ2873" s="37"/>
      <c r="CK2873" s="37"/>
      <c r="CL2873" s="37"/>
      <c r="CM2873" s="37"/>
      <c r="CN2873" s="37"/>
      <c r="CO2873" s="37"/>
      <c r="CP2873" s="37"/>
      <c r="CQ2873" s="37"/>
      <c r="CR2873" s="37"/>
      <c r="CS2873" s="37"/>
      <c r="CT2873" s="37"/>
      <c r="CU2873" s="37"/>
      <c r="CV2873" s="37"/>
      <c r="CW2873" s="37"/>
      <c r="CX2873" s="37"/>
      <c r="CY2873" s="37"/>
      <c r="CZ2873" s="37"/>
      <c r="DA2873" s="37"/>
      <c r="DB2873" s="37"/>
      <c r="DC2873" s="37"/>
      <c r="DD2873" s="37"/>
      <c r="DE2873" s="37"/>
      <c r="DF2873" s="37"/>
      <c r="DG2873" s="37"/>
      <c r="DH2873" s="37"/>
      <c r="DI2873" s="37"/>
      <c r="DJ2873" s="37"/>
      <c r="DK2873" s="37"/>
      <c r="DL2873" s="37"/>
      <c r="DM2873" s="37"/>
      <c r="DN2873" s="37"/>
      <c r="DO2873" s="37"/>
      <c r="DP2873" s="37"/>
      <c r="DQ2873" s="37"/>
      <c r="DR2873" s="37"/>
      <c r="DS2873" s="37"/>
      <c r="DT2873" s="37"/>
      <c r="DU2873" s="37"/>
      <c r="DV2873" s="37"/>
      <c r="DW2873" s="37"/>
      <c r="DX2873" s="37"/>
      <c r="DY2873" s="37"/>
      <c r="DZ2873" s="37"/>
      <c r="EA2873" s="37"/>
      <c r="EB2873" s="37"/>
      <c r="EC2873" s="37"/>
      <c r="ED2873" s="37"/>
      <c r="EE2873" s="37"/>
      <c r="EF2873" s="37"/>
      <c r="EG2873" s="37"/>
      <c r="EH2873" s="37"/>
      <c r="EI2873" s="37"/>
      <c r="EJ2873" s="37"/>
      <c r="EK2873" s="37"/>
      <c r="EL2873" s="37"/>
      <c r="EM2873" s="37"/>
      <c r="EN2873" s="37"/>
      <c r="EO2873" s="37"/>
      <c r="EP2873" s="37"/>
      <c r="EQ2873" s="37"/>
      <c r="ER2873" s="37"/>
      <c r="ES2873" s="37"/>
      <c r="ET2873" s="37"/>
      <c r="EU2873" s="37"/>
      <c r="EV2873" s="37"/>
      <c r="EW2873" s="37"/>
      <c r="EX2873" s="37"/>
      <c r="EY2873" s="37"/>
      <c r="EZ2873" s="37"/>
      <c r="FA2873" s="37"/>
      <c r="FB2873" s="37"/>
      <c r="FC2873" s="37"/>
      <c r="FD2873" s="37"/>
      <c r="FE2873" s="37"/>
      <c r="FF2873" s="37"/>
      <c r="FG2873" s="37"/>
      <c r="FH2873" s="37"/>
      <c r="FI2873" s="37"/>
      <c r="FJ2873" s="37"/>
      <c r="FK2873" s="37"/>
      <c r="FL2873" s="37"/>
      <c r="FM2873" s="37"/>
      <c r="FN2873" s="37"/>
      <c r="FO2873" s="37"/>
      <c r="FP2873" s="37"/>
      <c r="FQ2873" s="37"/>
      <c r="FR2873" s="37"/>
      <c r="FS2873" s="37"/>
      <c r="FT2873" s="37"/>
      <c r="FU2873" s="37"/>
      <c r="FV2873" s="37"/>
      <c r="FW2873" s="37"/>
      <c r="FX2873" s="37"/>
      <c r="FY2873" s="37"/>
      <c r="FZ2873" s="37"/>
      <c r="GA2873" s="37"/>
      <c r="GB2873" s="37"/>
      <c r="GC2873" s="37"/>
      <c r="GD2873" s="37"/>
      <c r="GE2873" s="37"/>
      <c r="GF2873" s="37"/>
      <c r="GG2873" s="37"/>
      <c r="GH2873" s="37"/>
      <c r="GI2873" s="37"/>
      <c r="GJ2873" s="37"/>
      <c r="GK2873" s="37"/>
      <c r="GL2873" s="37"/>
      <c r="GM2873" s="37"/>
      <c r="GN2873" s="37"/>
      <c r="GO2873" s="37"/>
      <c r="GP2873" s="37"/>
      <c r="GQ2873" s="37"/>
      <c r="GR2873" s="37"/>
      <c r="GS2873" s="37"/>
      <c r="GT2873" s="37"/>
      <c r="GU2873" s="37"/>
      <c r="GV2873" s="37"/>
      <c r="GW2873" s="37"/>
      <c r="GX2873" s="37"/>
      <c r="GY2873" s="37"/>
      <c r="GZ2873" s="37"/>
      <c r="HA2873" s="37"/>
      <c r="HB2873" s="37"/>
      <c r="HC2873" s="37"/>
      <c r="HD2873" s="37"/>
      <c r="HE2873" s="37"/>
      <c r="HF2873" s="37"/>
      <c r="HG2873" s="37"/>
      <c r="HH2873" s="37"/>
      <c r="HI2873" s="37"/>
      <c r="HJ2873" s="37"/>
      <c r="HK2873" s="37"/>
      <c r="HL2873" s="37"/>
      <c r="HM2873" s="37"/>
      <c r="HN2873" s="37"/>
      <c r="HO2873" s="37"/>
      <c r="HP2873" s="37"/>
      <c r="HQ2873" s="37"/>
      <c r="HR2873" s="37"/>
      <c r="HS2873" s="37"/>
      <c r="HT2873" s="37"/>
      <c r="HU2873" s="37"/>
      <c r="HV2873" s="37"/>
      <c r="HW2873" s="37"/>
      <c r="HX2873" s="37"/>
      <c r="HY2873" s="37"/>
      <c r="HZ2873" s="37"/>
      <c r="IA2873" s="37"/>
      <c r="IB2873" s="37"/>
      <c r="IC2873" s="37"/>
      <c r="ID2873" s="37"/>
      <c r="IE2873" s="37"/>
      <c r="IF2873" s="37"/>
      <c r="IG2873" s="37"/>
      <c r="IH2873" s="37"/>
      <c r="II2873" s="37"/>
      <c r="IJ2873" s="37"/>
      <c r="IK2873" s="37"/>
      <c r="IL2873" s="37"/>
      <c r="IM2873" s="37"/>
      <c r="IN2873" s="37"/>
      <c r="IO2873" s="37"/>
      <c r="IP2873" s="37"/>
      <c r="IQ2873" s="37"/>
      <c r="IR2873" s="37"/>
      <c r="IS2873" s="37"/>
      <c r="IT2873" s="37"/>
      <c r="IU2873" s="37"/>
      <c r="IV2873" s="37"/>
      <c r="IW2873" s="37"/>
      <c r="IX2873" s="37"/>
      <c r="IY2873" s="37"/>
      <c r="IZ2873" s="37"/>
      <c r="JA2873" s="37"/>
      <c r="JB2873" s="37"/>
      <c r="JC2873" s="37"/>
      <c r="JD2873" s="37"/>
      <c r="JE2873" s="37"/>
      <c r="JF2873" s="37"/>
      <c r="JG2873" s="37"/>
      <c r="JH2873" s="37"/>
      <c r="JI2873" s="37"/>
      <c r="JJ2873" s="37"/>
      <c r="JK2873" s="37"/>
      <c r="JL2873" s="37"/>
      <c r="JM2873" s="37"/>
      <c r="JN2873" s="37"/>
      <c r="JO2873" s="37"/>
      <c r="JP2873" s="37"/>
      <c r="JQ2873" s="37"/>
      <c r="JR2873" s="37"/>
      <c r="JS2873" s="37"/>
      <c r="JT2873" s="37"/>
      <c r="JU2873" s="37"/>
      <c r="JV2873" s="37"/>
      <c r="JW2873" s="37"/>
      <c r="JX2873" s="37"/>
      <c r="JY2873" s="37"/>
      <c r="JZ2873" s="37"/>
      <c r="KA2873" s="37"/>
      <c r="KB2873" s="37"/>
      <c r="KC2873" s="37"/>
      <c r="KD2873" s="37"/>
      <c r="KE2873" s="37"/>
      <c r="KF2873" s="37"/>
      <c r="KG2873" s="37"/>
      <c r="KH2873" s="37"/>
      <c r="KI2873" s="37"/>
      <c r="KJ2873" s="37"/>
      <c r="KK2873" s="37"/>
      <c r="KL2873" s="37"/>
      <c r="KM2873" s="37"/>
      <c r="KN2873" s="37"/>
      <c r="KO2873" s="37"/>
      <c r="KP2873" s="37"/>
      <c r="KQ2873" s="37"/>
      <c r="KR2873" s="37"/>
      <c r="KS2873" s="37"/>
      <c r="KT2873" s="37"/>
      <c r="KU2873" s="37"/>
      <c r="KV2873" s="37"/>
      <c r="KW2873" s="37"/>
      <c r="KX2873" s="37"/>
      <c r="KY2873" s="37"/>
      <c r="KZ2873" s="37"/>
      <c r="LA2873" s="37"/>
      <c r="LB2873" s="37"/>
      <c r="LC2873" s="37"/>
      <c r="LD2873" s="37"/>
      <c r="LE2873" s="37"/>
      <c r="LF2873" s="37"/>
      <c r="LG2873" s="37"/>
      <c r="LH2873" s="37"/>
      <c r="LI2873" s="37"/>
      <c r="LJ2873" s="37"/>
      <c r="LK2873" s="37"/>
      <c r="LL2873" s="37"/>
      <c r="LM2873" s="37"/>
      <c r="LN2873" s="37"/>
      <c r="LO2873" s="37"/>
      <c r="LP2873" s="37"/>
      <c r="LQ2873" s="37"/>
      <c r="LR2873" s="37"/>
      <c r="LS2873" s="37"/>
      <c r="LT2873" s="37"/>
      <c r="LU2873" s="37"/>
      <c r="LV2873" s="37"/>
      <c r="LW2873" s="37"/>
      <c r="LX2873" s="37"/>
      <c r="LY2873" s="37"/>
      <c r="LZ2873" s="37"/>
      <c r="MA2873" s="37"/>
      <c r="MB2873" s="37"/>
      <c r="MC2873" s="37"/>
      <c r="MD2873" s="37"/>
      <c r="ME2873" s="37"/>
      <c r="MF2873" s="37"/>
      <c r="MG2873" s="37"/>
      <c r="MH2873" s="37"/>
      <c r="MI2873" s="37"/>
      <c r="MJ2873" s="37"/>
      <c r="MK2873" s="37"/>
      <c r="ML2873" s="37"/>
      <c r="MM2873" s="37"/>
      <c r="MN2873" s="37"/>
      <c r="MO2873" s="37"/>
      <c r="MP2873" s="37"/>
      <c r="MQ2873" s="37"/>
      <c r="MR2873" s="37"/>
      <c r="MS2873" s="37"/>
      <c r="MT2873" s="37"/>
      <c r="MU2873" s="37"/>
      <c r="MV2873" s="37"/>
      <c r="MW2873" s="37"/>
      <c r="MX2873" s="37"/>
      <c r="MY2873" s="37"/>
      <c r="MZ2873" s="37"/>
      <c r="NA2873" s="37"/>
      <c r="NB2873" s="37"/>
      <c r="NC2873" s="37"/>
      <c r="ND2873" s="37"/>
      <c r="NE2873" s="37"/>
      <c r="NF2873" s="37"/>
      <c r="NG2873" s="37"/>
      <c r="NH2873" s="37"/>
      <c r="NI2873" s="37"/>
      <c r="NJ2873" s="37"/>
      <c r="NK2873" s="37"/>
      <c r="NL2873" s="37"/>
      <c r="NM2873" s="37"/>
      <c r="NN2873" s="37"/>
      <c r="NO2873" s="37"/>
      <c r="NP2873" s="37"/>
      <c r="NQ2873" s="37"/>
      <c r="NR2873" s="37"/>
      <c r="NS2873" s="37"/>
      <c r="NT2873" s="37"/>
      <c r="NU2873" s="37"/>
      <c r="NV2873" s="37"/>
      <c r="NW2873" s="37"/>
      <c r="NX2873" s="37"/>
      <c r="NY2873" s="37"/>
      <c r="NZ2873" s="37"/>
      <c r="OA2873" s="37"/>
      <c r="OB2873" s="37"/>
      <c r="OC2873" s="37"/>
      <c r="OD2873" s="37"/>
      <c r="OE2873" s="37"/>
      <c r="OF2873" s="37"/>
      <c r="OG2873" s="37"/>
      <c r="OH2873" s="37"/>
      <c r="OI2873" s="37"/>
      <c r="OJ2873" s="37"/>
      <c r="OK2873" s="37"/>
      <c r="OL2873" s="37"/>
      <c r="OM2873" s="37"/>
      <c r="ON2873" s="37"/>
      <c r="OO2873" s="37"/>
      <c r="OP2873" s="37"/>
      <c r="OQ2873" s="37"/>
      <c r="OR2873" s="37"/>
      <c r="OS2873" s="37"/>
      <c r="OT2873" s="37"/>
      <c r="OU2873" s="37"/>
      <c r="OV2873" s="37"/>
      <c r="OW2873" s="37"/>
      <c r="OX2873" s="37"/>
      <c r="OY2873" s="37"/>
      <c r="OZ2873" s="37"/>
      <c r="PA2873" s="37"/>
      <c r="PB2873" s="37"/>
      <c r="PC2873" s="37"/>
      <c r="PD2873" s="37"/>
      <c r="PE2873" s="37"/>
      <c r="PF2873" s="37"/>
      <c r="PG2873" s="37"/>
      <c r="PH2873" s="37"/>
      <c r="PI2873" s="37"/>
      <c r="PJ2873" s="37"/>
      <c r="PK2873" s="37"/>
      <c r="PL2873" s="37"/>
      <c r="PM2873" s="37"/>
      <c r="PN2873" s="37"/>
      <c r="PO2873" s="37"/>
      <c r="PP2873" s="37"/>
      <c r="PQ2873" s="37"/>
      <c r="PR2873" s="37"/>
      <c r="PS2873" s="37"/>
      <c r="PT2873" s="37"/>
      <c r="PU2873" s="37"/>
      <c r="PV2873" s="37"/>
      <c r="PW2873" s="37"/>
      <c r="PX2873" s="37"/>
      <c r="PY2873" s="37"/>
      <c r="PZ2873" s="37"/>
      <c r="QA2873" s="37"/>
      <c r="QB2873" s="37"/>
      <c r="QC2873" s="37"/>
      <c r="QD2873" s="37"/>
      <c r="QE2873" s="37"/>
      <c r="QF2873" s="37"/>
      <c r="QG2873" s="37"/>
      <c r="QH2873" s="37"/>
      <c r="QI2873" s="37"/>
      <c r="QJ2873" s="37"/>
      <c r="QK2873" s="37"/>
      <c r="QL2873" s="37"/>
      <c r="QM2873" s="37"/>
      <c r="QN2873" s="37"/>
      <c r="QO2873" s="37"/>
      <c r="QP2873" s="37"/>
      <c r="QQ2873" s="37"/>
      <c r="QR2873" s="37"/>
      <c r="QS2873" s="37"/>
      <c r="QT2873" s="37"/>
      <c r="QU2873" s="37"/>
      <c r="QV2873" s="37"/>
      <c r="QW2873" s="37"/>
      <c r="QX2873" s="37"/>
      <c r="QY2873" s="37"/>
      <c r="QZ2873" s="37"/>
      <c r="RA2873" s="37"/>
      <c r="RB2873" s="37"/>
      <c r="RC2873" s="37"/>
      <c r="RD2873" s="37"/>
      <c r="RE2873" s="37"/>
      <c r="RF2873" s="37"/>
      <c r="RG2873" s="37"/>
      <c r="RH2873" s="37"/>
      <c r="RI2873" s="37"/>
      <c r="RJ2873" s="37"/>
      <c r="RK2873" s="37"/>
      <c r="RL2873" s="37"/>
      <c r="RM2873" s="37"/>
      <c r="RN2873" s="37"/>
      <c r="RO2873" s="37"/>
      <c r="RP2873" s="37"/>
      <c r="RQ2873" s="37"/>
      <c r="RR2873" s="37"/>
      <c r="RS2873" s="37"/>
      <c r="RT2873" s="37"/>
      <c r="RU2873" s="37"/>
      <c r="RV2873" s="37"/>
      <c r="RW2873" s="37"/>
      <c r="RX2873" s="37"/>
      <c r="RY2873" s="37"/>
      <c r="RZ2873" s="37"/>
      <c r="SA2873" s="37"/>
      <c r="SB2873" s="37"/>
      <c r="SC2873" s="37"/>
      <c r="SD2873" s="37"/>
      <c r="SE2873" s="37"/>
      <c r="SF2873" s="37"/>
    </row>
    <row r="2874" spans="1:500">
      <c r="A2874" s="37"/>
      <c r="B2874" s="37"/>
      <c r="C2874" s="37"/>
      <c r="D2874" s="37"/>
      <c r="E2874" s="37"/>
      <c r="F2874" s="37"/>
      <c r="G2874" s="37"/>
      <c r="H2874" s="37"/>
      <c r="I2874" s="37"/>
      <c r="J2874" s="37"/>
      <c r="K2874" s="37"/>
      <c r="L2874" s="37"/>
      <c r="M2874" s="37"/>
      <c r="N2874" s="37"/>
      <c r="O2874" s="37"/>
      <c r="P2874" s="37"/>
      <c r="Q2874" s="37"/>
      <c r="R2874" s="37"/>
      <c r="S2874" s="37"/>
      <c r="T2874" s="37"/>
      <c r="U2874" s="37"/>
      <c r="V2874" s="37"/>
      <c r="W2874" s="37"/>
      <c r="X2874" s="37"/>
      <c r="Y2874" s="37"/>
      <c r="Z2874" s="37"/>
      <c r="AA2874" s="37"/>
      <c r="AB2874" s="37"/>
      <c r="AC2874" s="37"/>
      <c r="AD2874" s="37"/>
      <c r="AE2874" s="37"/>
      <c r="AF2874" s="37"/>
      <c r="AG2874" s="37"/>
      <c r="AH2874" s="37"/>
      <c r="AI2874" s="37"/>
      <c r="AJ2874" s="37"/>
      <c r="AK2874" s="37"/>
      <c r="AL2874" s="37"/>
      <c r="AM2874" s="37"/>
      <c r="AN2874" s="37"/>
      <c r="AO2874" s="37"/>
      <c r="AP2874" s="37"/>
      <c r="AQ2874" s="37"/>
      <c r="AR2874" s="37"/>
      <c r="AS2874" s="37"/>
      <c r="AT2874" s="37"/>
      <c r="AU2874" s="37"/>
      <c r="AV2874" s="37"/>
      <c r="AW2874" s="37"/>
      <c r="AX2874" s="37"/>
      <c r="AY2874" s="37"/>
      <c r="AZ2874" s="37"/>
      <c r="BA2874" s="37"/>
      <c r="BB2874" s="37"/>
      <c r="BC2874" s="37"/>
      <c r="BD2874" s="37"/>
      <c r="BE2874" s="37"/>
      <c r="BF2874" s="37"/>
      <c r="BG2874" s="37"/>
      <c r="BH2874" s="37"/>
      <c r="BI2874" s="37"/>
      <c r="BJ2874" s="37"/>
      <c r="BK2874" s="37"/>
      <c r="BL2874" s="37"/>
      <c r="BM2874" s="37"/>
      <c r="BN2874" s="37"/>
      <c r="BO2874" s="37"/>
      <c r="BP2874" s="37"/>
      <c r="BQ2874" s="37"/>
      <c r="BR2874" s="37"/>
      <c r="BS2874" s="37"/>
      <c r="BT2874" s="37"/>
      <c r="BU2874" s="37"/>
      <c r="BV2874" s="37"/>
      <c r="BW2874" s="37"/>
      <c r="BX2874" s="37"/>
      <c r="BY2874" s="37"/>
      <c r="BZ2874" s="37"/>
      <c r="CA2874" s="37"/>
      <c r="CB2874" s="37"/>
      <c r="CC2874" s="37"/>
      <c r="CD2874" s="37"/>
      <c r="CE2874" s="37"/>
      <c r="CF2874" s="37"/>
      <c r="CG2874" s="37"/>
      <c r="CH2874" s="37"/>
      <c r="CI2874" s="37"/>
      <c r="CJ2874" s="37"/>
      <c r="CK2874" s="37"/>
      <c r="CL2874" s="37"/>
      <c r="CM2874" s="37"/>
      <c r="CN2874" s="37"/>
      <c r="CO2874" s="37"/>
      <c r="CP2874" s="37"/>
      <c r="CQ2874" s="37"/>
      <c r="CR2874" s="37"/>
      <c r="CS2874" s="37"/>
      <c r="CT2874" s="37"/>
      <c r="CU2874" s="37"/>
      <c r="CV2874" s="37"/>
      <c r="CW2874" s="37"/>
      <c r="CX2874" s="37"/>
      <c r="CY2874" s="37"/>
      <c r="CZ2874" s="37"/>
      <c r="DA2874" s="37"/>
      <c r="DB2874" s="37"/>
      <c r="DC2874" s="37"/>
      <c r="DD2874" s="37"/>
      <c r="DE2874" s="37"/>
      <c r="DF2874" s="37"/>
      <c r="DG2874" s="37"/>
      <c r="DH2874" s="37"/>
      <c r="DI2874" s="37"/>
      <c r="DJ2874" s="37"/>
      <c r="DK2874" s="37"/>
      <c r="DL2874" s="37"/>
      <c r="DM2874" s="37"/>
      <c r="DN2874" s="37"/>
      <c r="DO2874" s="37"/>
      <c r="DP2874" s="37"/>
      <c r="DQ2874" s="37"/>
      <c r="DR2874" s="37"/>
      <c r="DS2874" s="37"/>
      <c r="DT2874" s="37"/>
      <c r="DU2874" s="37"/>
      <c r="DV2874" s="37"/>
      <c r="DW2874" s="37"/>
      <c r="DX2874" s="37"/>
      <c r="DY2874" s="37"/>
      <c r="DZ2874" s="37"/>
      <c r="EA2874" s="37"/>
      <c r="EB2874" s="37"/>
      <c r="EC2874" s="37"/>
      <c r="ED2874" s="37"/>
      <c r="EE2874" s="37"/>
      <c r="EF2874" s="37"/>
      <c r="EG2874" s="37"/>
      <c r="EH2874" s="37"/>
      <c r="EI2874" s="37"/>
      <c r="EJ2874" s="37"/>
      <c r="EK2874" s="37"/>
      <c r="EL2874" s="37"/>
      <c r="EM2874" s="37"/>
      <c r="EN2874" s="37"/>
      <c r="EO2874" s="37"/>
      <c r="EP2874" s="37"/>
      <c r="EQ2874" s="37"/>
      <c r="ER2874" s="37"/>
      <c r="ES2874" s="37"/>
      <c r="ET2874" s="37"/>
      <c r="EU2874" s="37"/>
      <c r="EV2874" s="37"/>
      <c r="EW2874" s="37"/>
      <c r="EX2874" s="37"/>
      <c r="EY2874" s="37"/>
      <c r="EZ2874" s="37"/>
      <c r="FA2874" s="37"/>
      <c r="FB2874" s="37"/>
      <c r="FC2874" s="37"/>
      <c r="FD2874" s="37"/>
      <c r="FE2874" s="37"/>
      <c r="FF2874" s="37"/>
      <c r="FG2874" s="37"/>
      <c r="FH2874" s="37"/>
      <c r="FI2874" s="37"/>
      <c r="FJ2874" s="37"/>
      <c r="FK2874" s="37"/>
      <c r="FL2874" s="37"/>
      <c r="FM2874" s="37"/>
      <c r="FN2874" s="37"/>
      <c r="FO2874" s="37"/>
      <c r="FP2874" s="37"/>
      <c r="FQ2874" s="37"/>
      <c r="FR2874" s="37"/>
      <c r="FS2874" s="37"/>
      <c r="FT2874" s="37"/>
      <c r="FU2874" s="37"/>
      <c r="FV2874" s="37"/>
      <c r="FW2874" s="37"/>
      <c r="FX2874" s="37"/>
      <c r="FY2874" s="37"/>
      <c r="FZ2874" s="37"/>
      <c r="GA2874" s="37"/>
      <c r="GB2874" s="37"/>
      <c r="GC2874" s="37"/>
      <c r="GD2874" s="37"/>
      <c r="GE2874" s="37"/>
      <c r="GF2874" s="37"/>
      <c r="GG2874" s="37"/>
      <c r="GH2874" s="37"/>
      <c r="GI2874" s="37"/>
      <c r="GJ2874" s="37"/>
      <c r="GK2874" s="37"/>
      <c r="GL2874" s="37"/>
      <c r="GM2874" s="37"/>
      <c r="GN2874" s="37"/>
      <c r="GO2874" s="37"/>
      <c r="GP2874" s="37"/>
      <c r="GQ2874" s="37"/>
      <c r="GR2874" s="37"/>
      <c r="GS2874" s="37"/>
      <c r="GT2874" s="37"/>
      <c r="GU2874" s="37"/>
      <c r="GV2874" s="37"/>
      <c r="GW2874" s="37"/>
      <c r="GX2874" s="37"/>
      <c r="GY2874" s="37"/>
      <c r="GZ2874" s="37"/>
      <c r="HA2874" s="37"/>
      <c r="HB2874" s="37"/>
      <c r="HC2874" s="37"/>
      <c r="HD2874" s="37"/>
      <c r="HE2874" s="37"/>
      <c r="HF2874" s="37"/>
      <c r="HG2874" s="37"/>
      <c r="HH2874" s="37"/>
      <c r="HI2874" s="37"/>
      <c r="HJ2874" s="37"/>
      <c r="HK2874" s="37"/>
      <c r="HL2874" s="37"/>
      <c r="HM2874" s="37"/>
      <c r="HN2874" s="37"/>
      <c r="HO2874" s="37"/>
      <c r="HP2874" s="37"/>
      <c r="HQ2874" s="37"/>
      <c r="HR2874" s="37"/>
      <c r="HS2874" s="37"/>
      <c r="HT2874" s="37"/>
      <c r="HU2874" s="37"/>
      <c r="HV2874" s="37"/>
      <c r="HW2874" s="37"/>
      <c r="HX2874" s="37"/>
      <c r="HY2874" s="37"/>
      <c r="HZ2874" s="37"/>
      <c r="IA2874" s="37"/>
      <c r="IB2874" s="37"/>
      <c r="IC2874" s="37"/>
      <c r="ID2874" s="37"/>
      <c r="IE2874" s="37"/>
      <c r="IF2874" s="37"/>
      <c r="IG2874" s="37"/>
      <c r="IH2874" s="37"/>
      <c r="II2874" s="37"/>
      <c r="IJ2874" s="37"/>
      <c r="IK2874" s="37"/>
      <c r="IL2874" s="37"/>
      <c r="IM2874" s="37"/>
      <c r="IN2874" s="37"/>
      <c r="IO2874" s="37"/>
      <c r="IP2874" s="37"/>
      <c r="IQ2874" s="37"/>
      <c r="IR2874" s="37"/>
      <c r="IS2874" s="37"/>
      <c r="IT2874" s="37"/>
      <c r="IU2874" s="37"/>
      <c r="IV2874" s="37"/>
      <c r="IW2874" s="37"/>
      <c r="IX2874" s="37"/>
      <c r="IY2874" s="37"/>
      <c r="IZ2874" s="37"/>
      <c r="JA2874" s="37"/>
      <c r="JB2874" s="37"/>
      <c r="JC2874" s="37"/>
      <c r="JD2874" s="37"/>
      <c r="JE2874" s="37"/>
      <c r="JF2874" s="37"/>
      <c r="JG2874" s="37"/>
      <c r="JH2874" s="37"/>
      <c r="JI2874" s="37"/>
      <c r="JJ2874" s="37"/>
      <c r="JK2874" s="37"/>
      <c r="JL2874" s="37"/>
      <c r="JM2874" s="37"/>
      <c r="JN2874" s="37"/>
      <c r="JO2874" s="37"/>
      <c r="JP2874" s="37"/>
      <c r="JQ2874" s="37"/>
      <c r="JR2874" s="37"/>
      <c r="JS2874" s="37"/>
      <c r="JT2874" s="37"/>
      <c r="JU2874" s="37"/>
      <c r="JV2874" s="37"/>
      <c r="JW2874" s="37"/>
      <c r="JX2874" s="37"/>
      <c r="JY2874" s="37"/>
      <c r="JZ2874" s="37"/>
      <c r="KA2874" s="37"/>
      <c r="KB2874" s="37"/>
      <c r="KC2874" s="37"/>
      <c r="KD2874" s="37"/>
      <c r="KE2874" s="37"/>
      <c r="KF2874" s="37"/>
      <c r="KG2874" s="37"/>
      <c r="KH2874" s="37"/>
      <c r="KI2874" s="37"/>
      <c r="KJ2874" s="37"/>
      <c r="KK2874" s="37"/>
      <c r="KL2874" s="37"/>
      <c r="KM2874" s="37"/>
      <c r="KN2874" s="37"/>
      <c r="KO2874" s="37"/>
      <c r="KP2874" s="37"/>
      <c r="KQ2874" s="37"/>
      <c r="KR2874" s="37"/>
      <c r="KS2874" s="37"/>
      <c r="KT2874" s="37"/>
      <c r="KU2874" s="37"/>
      <c r="KV2874" s="37"/>
      <c r="KW2874" s="37"/>
      <c r="KX2874" s="37"/>
      <c r="KY2874" s="37"/>
      <c r="KZ2874" s="37"/>
      <c r="LA2874" s="37"/>
      <c r="LB2874" s="37"/>
      <c r="LC2874" s="37"/>
      <c r="LD2874" s="37"/>
      <c r="LE2874" s="37"/>
      <c r="LF2874" s="37"/>
      <c r="LG2874" s="37"/>
      <c r="LH2874" s="37"/>
      <c r="LI2874" s="37"/>
      <c r="LJ2874" s="37"/>
      <c r="LK2874" s="37"/>
      <c r="LL2874" s="37"/>
      <c r="LM2874" s="37"/>
      <c r="LN2874" s="37"/>
      <c r="LO2874" s="37"/>
      <c r="LP2874" s="37"/>
      <c r="LQ2874" s="37"/>
      <c r="LR2874" s="37"/>
      <c r="LS2874" s="37"/>
      <c r="LT2874" s="37"/>
      <c r="LU2874" s="37"/>
      <c r="LV2874" s="37"/>
      <c r="LW2874" s="37"/>
      <c r="LX2874" s="37"/>
      <c r="LY2874" s="37"/>
      <c r="LZ2874" s="37"/>
      <c r="MA2874" s="37"/>
      <c r="MB2874" s="37"/>
      <c r="MC2874" s="37"/>
      <c r="MD2874" s="37"/>
      <c r="ME2874" s="37"/>
      <c r="MF2874" s="37"/>
      <c r="MG2874" s="37"/>
      <c r="MH2874" s="37"/>
      <c r="MI2874" s="37"/>
      <c r="MJ2874" s="37"/>
      <c r="MK2874" s="37"/>
      <c r="ML2874" s="37"/>
      <c r="MM2874" s="37"/>
      <c r="MN2874" s="37"/>
      <c r="MO2874" s="37"/>
      <c r="MP2874" s="37"/>
      <c r="MQ2874" s="37"/>
      <c r="MR2874" s="37"/>
      <c r="MS2874" s="37"/>
      <c r="MT2874" s="37"/>
      <c r="MU2874" s="37"/>
      <c r="MV2874" s="37"/>
      <c r="MW2874" s="37"/>
      <c r="MX2874" s="37"/>
      <c r="MY2874" s="37"/>
      <c r="MZ2874" s="37"/>
      <c r="NA2874" s="37"/>
      <c r="NB2874" s="37"/>
      <c r="NC2874" s="37"/>
      <c r="ND2874" s="37"/>
      <c r="NE2874" s="37"/>
      <c r="NF2874" s="37"/>
      <c r="NG2874" s="37"/>
      <c r="NH2874" s="37"/>
      <c r="NI2874" s="37"/>
      <c r="NJ2874" s="37"/>
      <c r="NK2874" s="37"/>
      <c r="NL2874" s="37"/>
      <c r="NM2874" s="37"/>
      <c r="NN2874" s="37"/>
      <c r="NO2874" s="37"/>
      <c r="NP2874" s="37"/>
      <c r="NQ2874" s="37"/>
      <c r="NR2874" s="37"/>
      <c r="NS2874" s="37"/>
      <c r="NT2874" s="37"/>
      <c r="NU2874" s="37"/>
      <c r="NV2874" s="37"/>
      <c r="NW2874" s="37"/>
      <c r="NX2874" s="37"/>
      <c r="NY2874" s="37"/>
      <c r="NZ2874" s="37"/>
      <c r="OA2874" s="37"/>
      <c r="OB2874" s="37"/>
      <c r="OC2874" s="37"/>
      <c r="OD2874" s="37"/>
      <c r="OE2874" s="37"/>
      <c r="OF2874" s="37"/>
      <c r="OG2874" s="37"/>
      <c r="OH2874" s="37"/>
      <c r="OI2874" s="37"/>
      <c r="OJ2874" s="37"/>
      <c r="OK2874" s="37"/>
      <c r="OL2874" s="37"/>
      <c r="OM2874" s="37"/>
      <c r="ON2874" s="37"/>
      <c r="OO2874" s="37"/>
      <c r="OP2874" s="37"/>
      <c r="OQ2874" s="37"/>
      <c r="OR2874" s="37"/>
      <c r="OS2874" s="37"/>
      <c r="OT2874" s="37"/>
      <c r="OU2874" s="37"/>
      <c r="OV2874" s="37"/>
      <c r="OW2874" s="37"/>
      <c r="OX2874" s="37"/>
      <c r="OY2874" s="37"/>
      <c r="OZ2874" s="37"/>
      <c r="PA2874" s="37"/>
      <c r="PB2874" s="37"/>
      <c r="PC2874" s="37"/>
      <c r="PD2874" s="37"/>
      <c r="PE2874" s="37"/>
      <c r="PF2874" s="37"/>
      <c r="PG2874" s="37"/>
      <c r="PH2874" s="37"/>
      <c r="PI2874" s="37"/>
      <c r="PJ2874" s="37"/>
      <c r="PK2874" s="37"/>
      <c r="PL2874" s="37"/>
      <c r="PM2874" s="37"/>
      <c r="PN2874" s="37"/>
      <c r="PO2874" s="37"/>
      <c r="PP2874" s="37"/>
      <c r="PQ2874" s="37"/>
      <c r="PR2874" s="37"/>
      <c r="PS2874" s="37"/>
      <c r="PT2874" s="37"/>
      <c r="PU2874" s="37"/>
      <c r="PV2874" s="37"/>
      <c r="PW2874" s="37"/>
      <c r="PX2874" s="37"/>
      <c r="PY2874" s="37"/>
      <c r="PZ2874" s="37"/>
      <c r="QA2874" s="37"/>
      <c r="QB2874" s="37"/>
      <c r="QC2874" s="37"/>
      <c r="QD2874" s="37"/>
      <c r="QE2874" s="37"/>
      <c r="QF2874" s="37"/>
      <c r="QG2874" s="37"/>
      <c r="QH2874" s="37"/>
      <c r="QI2874" s="37"/>
      <c r="QJ2874" s="37"/>
      <c r="QK2874" s="37"/>
      <c r="QL2874" s="37"/>
      <c r="QM2874" s="37"/>
      <c r="QN2874" s="37"/>
      <c r="QO2874" s="37"/>
      <c r="QP2874" s="37"/>
      <c r="QQ2874" s="37"/>
      <c r="QR2874" s="37"/>
      <c r="QS2874" s="37"/>
      <c r="QT2874" s="37"/>
      <c r="QU2874" s="37"/>
      <c r="QV2874" s="37"/>
      <c r="QW2874" s="37"/>
      <c r="QX2874" s="37"/>
      <c r="QY2874" s="37"/>
      <c r="QZ2874" s="37"/>
      <c r="RA2874" s="37"/>
      <c r="RB2874" s="37"/>
      <c r="RC2874" s="37"/>
      <c r="RD2874" s="37"/>
      <c r="RE2874" s="37"/>
      <c r="RF2874" s="37"/>
      <c r="RG2874" s="37"/>
      <c r="RH2874" s="37"/>
      <c r="RI2874" s="37"/>
      <c r="RJ2874" s="37"/>
      <c r="RK2874" s="37"/>
      <c r="RL2874" s="37"/>
      <c r="RM2874" s="37"/>
      <c r="RN2874" s="37"/>
      <c r="RO2874" s="37"/>
      <c r="RP2874" s="37"/>
      <c r="RQ2874" s="37"/>
      <c r="RR2874" s="37"/>
      <c r="RS2874" s="37"/>
      <c r="RT2874" s="37"/>
      <c r="RU2874" s="37"/>
      <c r="RV2874" s="37"/>
      <c r="RW2874" s="37"/>
      <c r="RX2874" s="37"/>
      <c r="RY2874" s="37"/>
      <c r="RZ2874" s="37"/>
      <c r="SA2874" s="37"/>
      <c r="SB2874" s="37"/>
      <c r="SC2874" s="37"/>
      <c r="SD2874" s="37"/>
      <c r="SE2874" s="37"/>
      <c r="SF2874" s="37"/>
    </row>
    <row r="2875" spans="1:500">
      <c r="A2875" s="37"/>
      <c r="B2875" s="37"/>
      <c r="C2875" s="37"/>
      <c r="D2875" s="37"/>
      <c r="E2875" s="37"/>
      <c r="F2875" s="37"/>
      <c r="G2875" s="37"/>
      <c r="H2875" s="37"/>
      <c r="I2875" s="37"/>
      <c r="J2875" s="37"/>
      <c r="K2875" s="37"/>
      <c r="L2875" s="37"/>
      <c r="M2875" s="37"/>
      <c r="N2875" s="37"/>
      <c r="O2875" s="37"/>
      <c r="P2875" s="37"/>
      <c r="Q2875" s="37"/>
      <c r="R2875" s="37"/>
      <c r="S2875" s="37"/>
      <c r="T2875" s="37"/>
      <c r="U2875" s="37"/>
      <c r="V2875" s="37"/>
      <c r="W2875" s="37"/>
      <c r="X2875" s="37"/>
      <c r="Y2875" s="37"/>
      <c r="Z2875" s="37"/>
      <c r="AA2875" s="37"/>
      <c r="AB2875" s="37"/>
      <c r="AC2875" s="37"/>
      <c r="AD2875" s="37"/>
      <c r="AE2875" s="37"/>
      <c r="AF2875" s="37"/>
      <c r="AG2875" s="37"/>
      <c r="AH2875" s="37"/>
      <c r="AI2875" s="37"/>
      <c r="AJ2875" s="37"/>
      <c r="AK2875" s="37"/>
      <c r="AL2875" s="37"/>
      <c r="AM2875" s="37"/>
      <c r="AN2875" s="37"/>
      <c r="AO2875" s="37"/>
      <c r="AP2875" s="37"/>
      <c r="AQ2875" s="37"/>
      <c r="AR2875" s="37"/>
      <c r="AS2875" s="37"/>
      <c r="AT2875" s="37"/>
      <c r="AU2875" s="37"/>
      <c r="AV2875" s="37"/>
      <c r="AW2875" s="37"/>
      <c r="AX2875" s="37"/>
      <c r="AY2875" s="37"/>
      <c r="AZ2875" s="37"/>
      <c r="BA2875" s="37"/>
      <c r="BB2875" s="37"/>
      <c r="BC2875" s="37"/>
      <c r="BD2875" s="37"/>
      <c r="BE2875" s="37"/>
      <c r="BF2875" s="37"/>
      <c r="BG2875" s="37"/>
      <c r="BH2875" s="37"/>
      <c r="BI2875" s="37"/>
      <c r="BJ2875" s="37"/>
      <c r="BK2875" s="37"/>
      <c r="BL2875" s="37"/>
      <c r="BM2875" s="37"/>
      <c r="BN2875" s="37"/>
      <c r="BO2875" s="37"/>
      <c r="BP2875" s="37"/>
      <c r="BQ2875" s="37"/>
      <c r="BR2875" s="37"/>
      <c r="BS2875" s="37"/>
      <c r="BT2875" s="37"/>
      <c r="BU2875" s="37"/>
      <c r="BV2875" s="37"/>
      <c r="BW2875" s="37"/>
      <c r="BX2875" s="37"/>
      <c r="BY2875" s="37"/>
      <c r="BZ2875" s="37"/>
      <c r="CA2875" s="37"/>
      <c r="CB2875" s="37"/>
      <c r="CC2875" s="37"/>
      <c r="CD2875" s="37"/>
      <c r="CE2875" s="37"/>
      <c r="CF2875" s="37"/>
      <c r="CG2875" s="37"/>
      <c r="CH2875" s="37"/>
      <c r="CI2875" s="37"/>
      <c r="CJ2875" s="37"/>
      <c r="CK2875" s="37"/>
      <c r="CL2875" s="37"/>
      <c r="CM2875" s="37"/>
      <c r="CN2875" s="37"/>
      <c r="CO2875" s="37"/>
      <c r="CP2875" s="37"/>
      <c r="CQ2875" s="37"/>
      <c r="CR2875" s="37"/>
      <c r="CS2875" s="37"/>
      <c r="CT2875" s="37"/>
      <c r="CU2875" s="37"/>
      <c r="CV2875" s="37"/>
      <c r="CW2875" s="37"/>
      <c r="CX2875" s="37"/>
      <c r="CY2875" s="37"/>
      <c r="CZ2875" s="37"/>
      <c r="DA2875" s="37"/>
      <c r="DB2875" s="37"/>
      <c r="DC2875" s="37"/>
      <c r="DD2875" s="37"/>
      <c r="DE2875" s="37"/>
      <c r="DF2875" s="37"/>
      <c r="DG2875" s="37"/>
      <c r="DH2875" s="37"/>
      <c r="DI2875" s="37"/>
      <c r="DJ2875" s="37"/>
      <c r="DK2875" s="37"/>
      <c r="DL2875" s="37"/>
      <c r="DM2875" s="37"/>
      <c r="DN2875" s="37"/>
      <c r="DO2875" s="37"/>
      <c r="DP2875" s="37"/>
      <c r="DQ2875" s="37"/>
      <c r="DR2875" s="37"/>
      <c r="DS2875" s="37"/>
      <c r="DT2875" s="37"/>
      <c r="DU2875" s="37"/>
      <c r="DV2875" s="37"/>
      <c r="DW2875" s="37"/>
      <c r="DX2875" s="37"/>
      <c r="DY2875" s="37"/>
      <c r="DZ2875" s="37"/>
      <c r="EA2875" s="37"/>
      <c r="EB2875" s="37"/>
      <c r="EC2875" s="37"/>
      <c r="ED2875" s="37"/>
      <c r="EE2875" s="37"/>
      <c r="EF2875" s="37"/>
      <c r="EG2875" s="37"/>
      <c r="EH2875" s="37"/>
      <c r="EI2875" s="37"/>
      <c r="EJ2875" s="37"/>
      <c r="EK2875" s="37"/>
      <c r="EL2875" s="37"/>
      <c r="EM2875" s="37"/>
      <c r="EN2875" s="37"/>
      <c r="EO2875" s="37"/>
      <c r="EP2875" s="37"/>
      <c r="EQ2875" s="37"/>
      <c r="ER2875" s="37"/>
      <c r="ES2875" s="37"/>
      <c r="ET2875" s="37"/>
      <c r="EU2875" s="37"/>
      <c r="EV2875" s="37"/>
      <c r="EW2875" s="37"/>
      <c r="EX2875" s="37"/>
      <c r="EY2875" s="37"/>
      <c r="EZ2875" s="37"/>
      <c r="FA2875" s="37"/>
      <c r="FB2875" s="37"/>
      <c r="FC2875" s="37"/>
      <c r="FD2875" s="37"/>
      <c r="FE2875" s="37"/>
      <c r="FF2875" s="37"/>
      <c r="FG2875" s="37"/>
      <c r="FH2875" s="37"/>
      <c r="FI2875" s="37"/>
      <c r="FJ2875" s="37"/>
      <c r="FK2875" s="37"/>
      <c r="FL2875" s="37"/>
      <c r="FM2875" s="37"/>
      <c r="FN2875" s="37"/>
      <c r="FO2875" s="37"/>
      <c r="FP2875" s="37"/>
      <c r="FQ2875" s="37"/>
      <c r="FR2875" s="37"/>
      <c r="FS2875" s="37"/>
      <c r="FT2875" s="37"/>
      <c r="FU2875" s="37"/>
      <c r="FV2875" s="37"/>
      <c r="FW2875" s="37"/>
      <c r="FX2875" s="37"/>
      <c r="FY2875" s="37"/>
      <c r="FZ2875" s="37"/>
      <c r="GA2875" s="37"/>
      <c r="GB2875" s="37"/>
      <c r="GC2875" s="37"/>
      <c r="GD2875" s="37"/>
      <c r="GE2875" s="37"/>
      <c r="GF2875" s="37"/>
      <c r="GG2875" s="37"/>
      <c r="GH2875" s="37"/>
      <c r="GI2875" s="37"/>
      <c r="GJ2875" s="37"/>
      <c r="GK2875" s="37"/>
      <c r="GL2875" s="37"/>
      <c r="GM2875" s="37"/>
      <c r="GN2875" s="37"/>
      <c r="GO2875" s="37"/>
      <c r="GP2875" s="37"/>
      <c r="GQ2875" s="37"/>
      <c r="GR2875" s="37"/>
      <c r="GS2875" s="37"/>
      <c r="GT2875" s="37"/>
      <c r="GU2875" s="37"/>
      <c r="GV2875" s="37"/>
      <c r="GW2875" s="37"/>
      <c r="GX2875" s="37"/>
      <c r="GY2875" s="37"/>
      <c r="GZ2875" s="37"/>
      <c r="HA2875" s="37"/>
      <c r="HB2875" s="37"/>
      <c r="HC2875" s="37"/>
      <c r="HD2875" s="37"/>
      <c r="HE2875" s="37"/>
      <c r="HF2875" s="37"/>
      <c r="HG2875" s="37"/>
      <c r="HH2875" s="37"/>
      <c r="HI2875" s="37"/>
      <c r="HJ2875" s="37"/>
      <c r="HK2875" s="37"/>
      <c r="HL2875" s="37"/>
      <c r="HM2875" s="37"/>
      <c r="HN2875" s="37"/>
      <c r="HO2875" s="37"/>
      <c r="HP2875" s="37"/>
      <c r="HQ2875" s="37"/>
      <c r="HR2875" s="37"/>
      <c r="HS2875" s="37"/>
      <c r="HT2875" s="37"/>
      <c r="HU2875" s="37"/>
      <c r="HV2875" s="37"/>
      <c r="HW2875" s="37"/>
      <c r="HX2875" s="37"/>
      <c r="HY2875" s="37"/>
      <c r="HZ2875" s="37"/>
      <c r="IA2875" s="37"/>
      <c r="IB2875" s="37"/>
      <c r="IC2875" s="37"/>
      <c r="ID2875" s="37"/>
      <c r="IE2875" s="37"/>
      <c r="IF2875" s="37"/>
      <c r="IG2875" s="37"/>
      <c r="IH2875" s="37"/>
      <c r="II2875" s="37"/>
      <c r="IJ2875" s="37"/>
      <c r="IK2875" s="37"/>
      <c r="IL2875" s="37"/>
      <c r="IM2875" s="37"/>
      <c r="IN2875" s="37"/>
      <c r="IO2875" s="37"/>
      <c r="IP2875" s="37"/>
      <c r="IQ2875" s="37"/>
      <c r="IR2875" s="37"/>
      <c r="IS2875" s="37"/>
      <c r="IT2875" s="37"/>
      <c r="IU2875" s="37"/>
      <c r="IV2875" s="37"/>
      <c r="IW2875" s="37"/>
      <c r="IX2875" s="37"/>
      <c r="IY2875" s="37"/>
      <c r="IZ2875" s="37"/>
      <c r="JA2875" s="37"/>
      <c r="JB2875" s="37"/>
      <c r="JC2875" s="37"/>
      <c r="JD2875" s="37"/>
      <c r="JE2875" s="37"/>
      <c r="JF2875" s="37"/>
      <c r="JG2875" s="37"/>
      <c r="JH2875" s="37"/>
      <c r="JI2875" s="37"/>
      <c r="JJ2875" s="37"/>
      <c r="JK2875" s="37"/>
      <c r="JL2875" s="37"/>
      <c r="JM2875" s="37"/>
      <c r="JN2875" s="37"/>
      <c r="JO2875" s="37"/>
      <c r="JP2875" s="37"/>
      <c r="JQ2875" s="37"/>
      <c r="JR2875" s="37"/>
      <c r="JS2875" s="37"/>
      <c r="JT2875" s="37"/>
      <c r="JU2875" s="37"/>
      <c r="JV2875" s="37"/>
      <c r="JW2875" s="37"/>
      <c r="JX2875" s="37"/>
      <c r="JY2875" s="37"/>
      <c r="JZ2875" s="37"/>
      <c r="KA2875" s="37"/>
      <c r="KB2875" s="37"/>
      <c r="KC2875" s="37"/>
      <c r="KD2875" s="37"/>
      <c r="KE2875" s="37"/>
      <c r="KF2875" s="37"/>
      <c r="KG2875" s="37"/>
      <c r="KH2875" s="37"/>
      <c r="KI2875" s="37"/>
      <c r="KJ2875" s="37"/>
      <c r="KK2875" s="37"/>
      <c r="KL2875" s="37"/>
      <c r="KM2875" s="37"/>
      <c r="KN2875" s="37"/>
      <c r="KO2875" s="37"/>
      <c r="KP2875" s="37"/>
      <c r="KQ2875" s="37"/>
      <c r="KR2875" s="37"/>
      <c r="KS2875" s="37"/>
      <c r="KT2875" s="37"/>
      <c r="KU2875" s="37"/>
      <c r="KV2875" s="37"/>
      <c r="KW2875" s="37"/>
      <c r="KX2875" s="37"/>
      <c r="KY2875" s="37"/>
      <c r="KZ2875" s="37"/>
      <c r="LA2875" s="37"/>
      <c r="LB2875" s="37"/>
      <c r="LC2875" s="37"/>
      <c r="LD2875" s="37"/>
      <c r="LE2875" s="37"/>
      <c r="LF2875" s="37"/>
      <c r="LG2875" s="37"/>
      <c r="LH2875" s="37"/>
      <c r="LI2875" s="37"/>
      <c r="LJ2875" s="37"/>
      <c r="LK2875" s="37"/>
      <c r="LL2875" s="37"/>
      <c r="LM2875" s="37"/>
      <c r="LN2875" s="37"/>
      <c r="LO2875" s="37"/>
      <c r="LP2875" s="37"/>
      <c r="LQ2875" s="37"/>
      <c r="LR2875" s="37"/>
      <c r="LS2875" s="37"/>
      <c r="LT2875" s="37"/>
      <c r="LU2875" s="37"/>
      <c r="LV2875" s="37"/>
      <c r="LW2875" s="37"/>
      <c r="LX2875" s="37"/>
      <c r="LY2875" s="37"/>
      <c r="LZ2875" s="37"/>
      <c r="MA2875" s="37"/>
      <c r="MB2875" s="37"/>
      <c r="MC2875" s="37"/>
      <c r="MD2875" s="37"/>
      <c r="ME2875" s="37"/>
      <c r="MF2875" s="37"/>
      <c r="MG2875" s="37"/>
      <c r="MH2875" s="37"/>
      <c r="MI2875" s="37"/>
      <c r="MJ2875" s="37"/>
      <c r="MK2875" s="37"/>
      <c r="ML2875" s="37"/>
      <c r="MM2875" s="37"/>
      <c r="MN2875" s="37"/>
      <c r="MO2875" s="37"/>
      <c r="MP2875" s="37"/>
      <c r="MQ2875" s="37"/>
      <c r="MR2875" s="37"/>
      <c r="MS2875" s="37"/>
      <c r="MT2875" s="37"/>
      <c r="MU2875" s="37"/>
      <c r="MV2875" s="37"/>
      <c r="MW2875" s="37"/>
      <c r="MX2875" s="37"/>
      <c r="MY2875" s="37"/>
      <c r="MZ2875" s="37"/>
      <c r="NA2875" s="37"/>
      <c r="NB2875" s="37"/>
      <c r="NC2875" s="37"/>
      <c r="ND2875" s="37"/>
      <c r="NE2875" s="37"/>
      <c r="NF2875" s="37"/>
      <c r="NG2875" s="37"/>
      <c r="NH2875" s="37"/>
      <c r="NI2875" s="37"/>
      <c r="NJ2875" s="37"/>
      <c r="NK2875" s="37"/>
      <c r="NL2875" s="37"/>
      <c r="NM2875" s="37"/>
      <c r="NN2875" s="37"/>
      <c r="NO2875" s="37"/>
      <c r="NP2875" s="37"/>
      <c r="NQ2875" s="37"/>
      <c r="NR2875" s="37"/>
      <c r="NS2875" s="37"/>
      <c r="NT2875" s="37"/>
      <c r="NU2875" s="37"/>
      <c r="NV2875" s="37"/>
      <c r="NW2875" s="37"/>
      <c r="NX2875" s="37"/>
      <c r="NY2875" s="37"/>
      <c r="NZ2875" s="37"/>
      <c r="OA2875" s="37"/>
      <c r="OB2875" s="37"/>
      <c r="OC2875" s="37"/>
      <c r="OD2875" s="37"/>
      <c r="OE2875" s="37"/>
      <c r="OF2875" s="37"/>
      <c r="OG2875" s="37"/>
      <c r="OH2875" s="37"/>
      <c r="OI2875" s="37"/>
      <c r="OJ2875" s="37"/>
      <c r="OK2875" s="37"/>
      <c r="OL2875" s="37"/>
      <c r="OM2875" s="37"/>
      <c r="ON2875" s="37"/>
      <c r="OO2875" s="37"/>
      <c r="OP2875" s="37"/>
      <c r="OQ2875" s="37"/>
      <c r="OR2875" s="37"/>
      <c r="OS2875" s="37"/>
      <c r="OT2875" s="37"/>
      <c r="OU2875" s="37"/>
      <c r="OV2875" s="37"/>
      <c r="OW2875" s="37"/>
      <c r="OX2875" s="37"/>
      <c r="OY2875" s="37"/>
      <c r="OZ2875" s="37"/>
      <c r="PA2875" s="37"/>
      <c r="PB2875" s="37"/>
      <c r="PC2875" s="37"/>
      <c r="PD2875" s="37"/>
      <c r="PE2875" s="37"/>
      <c r="PF2875" s="37"/>
      <c r="PG2875" s="37"/>
      <c r="PH2875" s="37"/>
      <c r="PI2875" s="37"/>
      <c r="PJ2875" s="37"/>
      <c r="PK2875" s="37"/>
      <c r="PL2875" s="37"/>
      <c r="PM2875" s="37"/>
      <c r="PN2875" s="37"/>
      <c r="PO2875" s="37"/>
      <c r="PP2875" s="37"/>
      <c r="PQ2875" s="37"/>
      <c r="PR2875" s="37"/>
      <c r="PS2875" s="37"/>
      <c r="PT2875" s="37"/>
      <c r="PU2875" s="37"/>
      <c r="PV2875" s="37"/>
      <c r="PW2875" s="37"/>
      <c r="PX2875" s="37"/>
      <c r="PY2875" s="37"/>
      <c r="PZ2875" s="37"/>
      <c r="QA2875" s="37"/>
      <c r="QB2875" s="37"/>
      <c r="QC2875" s="37"/>
      <c r="QD2875" s="37"/>
      <c r="QE2875" s="37"/>
      <c r="QF2875" s="37"/>
      <c r="QG2875" s="37"/>
      <c r="QH2875" s="37"/>
      <c r="QI2875" s="37"/>
      <c r="QJ2875" s="37"/>
      <c r="QK2875" s="37"/>
      <c r="QL2875" s="37"/>
      <c r="QM2875" s="37"/>
      <c r="QN2875" s="37"/>
      <c r="QO2875" s="37"/>
      <c r="QP2875" s="37"/>
      <c r="QQ2875" s="37"/>
      <c r="QR2875" s="37"/>
      <c r="QS2875" s="37"/>
      <c r="QT2875" s="37"/>
      <c r="QU2875" s="37"/>
      <c r="QV2875" s="37"/>
      <c r="QW2875" s="37"/>
      <c r="QX2875" s="37"/>
      <c r="QY2875" s="37"/>
      <c r="QZ2875" s="37"/>
      <c r="RA2875" s="37"/>
      <c r="RB2875" s="37"/>
      <c r="RC2875" s="37"/>
      <c r="RD2875" s="37"/>
      <c r="RE2875" s="37"/>
      <c r="RF2875" s="37"/>
      <c r="RG2875" s="37"/>
      <c r="RH2875" s="37"/>
      <c r="RI2875" s="37"/>
      <c r="RJ2875" s="37"/>
      <c r="RK2875" s="37"/>
      <c r="RL2875" s="37"/>
      <c r="RM2875" s="37"/>
      <c r="RN2875" s="37"/>
      <c r="RO2875" s="37"/>
      <c r="RP2875" s="37"/>
      <c r="RQ2875" s="37"/>
      <c r="RR2875" s="37"/>
      <c r="RS2875" s="37"/>
      <c r="RT2875" s="37"/>
      <c r="RU2875" s="37"/>
      <c r="RV2875" s="37"/>
      <c r="RW2875" s="37"/>
      <c r="RX2875" s="37"/>
      <c r="RY2875" s="37"/>
      <c r="RZ2875" s="37"/>
      <c r="SA2875" s="37"/>
      <c r="SB2875" s="37"/>
      <c r="SC2875" s="37"/>
      <c r="SD2875" s="37"/>
      <c r="SE2875" s="37"/>
      <c r="SF2875" s="37"/>
    </row>
    <row r="2876" spans="1:500">
      <c r="A2876" s="37"/>
      <c r="B2876" s="37"/>
      <c r="C2876" s="37"/>
      <c r="D2876" s="37"/>
      <c r="E2876" s="37"/>
      <c r="F2876" s="37"/>
      <c r="G2876" s="37"/>
      <c r="H2876" s="37"/>
      <c r="I2876" s="37"/>
      <c r="J2876" s="37"/>
      <c r="K2876" s="37"/>
      <c r="L2876" s="37"/>
      <c r="M2876" s="37"/>
      <c r="N2876" s="37"/>
      <c r="O2876" s="37"/>
      <c r="P2876" s="37"/>
      <c r="Q2876" s="37"/>
      <c r="R2876" s="37"/>
      <c r="S2876" s="37"/>
      <c r="T2876" s="37"/>
      <c r="U2876" s="37"/>
      <c r="V2876" s="37"/>
      <c r="W2876" s="37"/>
      <c r="X2876" s="37"/>
      <c r="Y2876" s="37"/>
      <c r="Z2876" s="37"/>
      <c r="AA2876" s="37"/>
      <c r="AB2876" s="37"/>
      <c r="AC2876" s="37"/>
      <c r="AD2876" s="37"/>
      <c r="AE2876" s="37"/>
      <c r="AF2876" s="37"/>
      <c r="AG2876" s="37"/>
      <c r="AH2876" s="37"/>
      <c r="AI2876" s="37"/>
      <c r="AJ2876" s="37"/>
      <c r="AK2876" s="37"/>
      <c r="AL2876" s="37"/>
      <c r="AM2876" s="37"/>
      <c r="AN2876" s="37"/>
      <c r="AO2876" s="37"/>
      <c r="AP2876" s="37"/>
      <c r="AQ2876" s="37"/>
      <c r="AR2876" s="37"/>
      <c r="AS2876" s="37"/>
      <c r="AT2876" s="37"/>
      <c r="AU2876" s="37"/>
      <c r="AV2876" s="37"/>
      <c r="AW2876" s="37"/>
      <c r="AX2876" s="37"/>
      <c r="AY2876" s="37"/>
      <c r="AZ2876" s="37"/>
      <c r="BA2876" s="37"/>
      <c r="BB2876" s="37"/>
      <c r="BC2876" s="37"/>
      <c r="BD2876" s="37"/>
      <c r="BE2876" s="37"/>
      <c r="BF2876" s="37"/>
      <c r="BG2876" s="37"/>
      <c r="BH2876" s="37"/>
      <c r="BI2876" s="37"/>
      <c r="BJ2876" s="37"/>
      <c r="BK2876" s="37"/>
      <c r="BL2876" s="37"/>
      <c r="BM2876" s="37"/>
      <c r="BN2876" s="37"/>
      <c r="BO2876" s="37"/>
      <c r="BP2876" s="37"/>
      <c r="BQ2876" s="37"/>
      <c r="BR2876" s="37"/>
      <c r="BS2876" s="37"/>
      <c r="BT2876" s="37"/>
      <c r="BU2876" s="37"/>
      <c r="BV2876" s="37"/>
      <c r="BW2876" s="37"/>
      <c r="BX2876" s="37"/>
      <c r="BY2876" s="37"/>
      <c r="BZ2876" s="37"/>
      <c r="CA2876" s="37"/>
      <c r="CB2876" s="37"/>
      <c r="CC2876" s="37"/>
      <c r="CD2876" s="37"/>
      <c r="CE2876" s="37"/>
      <c r="CF2876" s="37"/>
      <c r="CG2876" s="37"/>
      <c r="CH2876" s="37"/>
      <c r="CI2876" s="37"/>
      <c r="CJ2876" s="37"/>
      <c r="CK2876" s="37"/>
      <c r="CL2876" s="37"/>
      <c r="CM2876" s="37"/>
      <c r="CN2876" s="37"/>
      <c r="CO2876" s="37"/>
      <c r="CP2876" s="37"/>
      <c r="CQ2876" s="37"/>
      <c r="CR2876" s="37"/>
      <c r="CS2876" s="37"/>
      <c r="CT2876" s="37"/>
      <c r="CU2876" s="37"/>
      <c r="CV2876" s="37"/>
      <c r="CW2876" s="37"/>
      <c r="CX2876" s="37"/>
      <c r="CY2876" s="37"/>
      <c r="CZ2876" s="37"/>
      <c r="DA2876" s="37"/>
      <c r="DB2876" s="37"/>
      <c r="DC2876" s="37"/>
      <c r="DD2876" s="37"/>
      <c r="DE2876" s="37"/>
      <c r="DF2876" s="37"/>
      <c r="DG2876" s="37"/>
      <c r="DH2876" s="37"/>
      <c r="DI2876" s="37"/>
      <c r="DJ2876" s="37"/>
      <c r="DK2876" s="37"/>
      <c r="DL2876" s="37"/>
      <c r="DM2876" s="37"/>
      <c r="DN2876" s="37"/>
      <c r="DO2876" s="37"/>
      <c r="DP2876" s="37"/>
      <c r="DQ2876" s="37"/>
      <c r="DR2876" s="37"/>
      <c r="DS2876" s="37"/>
      <c r="DT2876" s="37"/>
      <c r="DU2876" s="37"/>
      <c r="DV2876" s="37"/>
      <c r="DW2876" s="37"/>
      <c r="DX2876" s="37"/>
      <c r="DY2876" s="37"/>
      <c r="DZ2876" s="37"/>
      <c r="EA2876" s="37"/>
      <c r="EB2876" s="37"/>
      <c r="EC2876" s="37"/>
      <c r="ED2876" s="37"/>
      <c r="EE2876" s="37"/>
      <c r="EF2876" s="37"/>
      <c r="EG2876" s="37"/>
      <c r="EH2876" s="37"/>
      <c r="EI2876" s="37"/>
      <c r="EJ2876" s="37"/>
      <c r="EK2876" s="37"/>
      <c r="EL2876" s="37"/>
      <c r="EM2876" s="37"/>
      <c r="EN2876" s="37"/>
      <c r="EO2876" s="37"/>
      <c r="EP2876" s="37"/>
      <c r="EQ2876" s="37"/>
      <c r="ER2876" s="37"/>
      <c r="ES2876" s="37"/>
      <c r="ET2876" s="37"/>
      <c r="EU2876" s="37"/>
      <c r="EV2876" s="37"/>
      <c r="EW2876" s="37"/>
      <c r="EX2876" s="37"/>
      <c r="EY2876" s="37"/>
      <c r="EZ2876" s="37"/>
      <c r="FA2876" s="37"/>
      <c r="FB2876" s="37"/>
      <c r="FC2876" s="37"/>
      <c r="FD2876" s="37"/>
      <c r="FE2876" s="37"/>
      <c r="FF2876" s="37"/>
      <c r="FG2876" s="37"/>
      <c r="FH2876" s="37"/>
      <c r="FI2876" s="37"/>
      <c r="FJ2876" s="37"/>
      <c r="FK2876" s="37"/>
      <c r="FL2876" s="37"/>
      <c r="FM2876" s="37"/>
      <c r="FN2876" s="37"/>
      <c r="FO2876" s="37"/>
      <c r="FP2876" s="37"/>
      <c r="FQ2876" s="37"/>
      <c r="FR2876" s="37"/>
      <c r="FS2876" s="37"/>
      <c r="FT2876" s="37"/>
      <c r="FU2876" s="37"/>
      <c r="FV2876" s="37"/>
      <c r="FW2876" s="37"/>
      <c r="FX2876" s="37"/>
      <c r="FY2876" s="37"/>
      <c r="FZ2876" s="37"/>
      <c r="GA2876" s="37"/>
      <c r="GB2876" s="37"/>
      <c r="GC2876" s="37"/>
      <c r="GD2876" s="37"/>
      <c r="GE2876" s="37"/>
      <c r="GF2876" s="37"/>
      <c r="GG2876" s="37"/>
      <c r="GH2876" s="37"/>
      <c r="GI2876" s="37"/>
      <c r="GJ2876" s="37"/>
      <c r="GK2876" s="37"/>
      <c r="GL2876" s="37"/>
      <c r="GM2876" s="37"/>
      <c r="GN2876" s="37"/>
      <c r="GO2876" s="37"/>
      <c r="GP2876" s="37"/>
      <c r="GQ2876" s="37"/>
      <c r="GR2876" s="37"/>
      <c r="GS2876" s="37"/>
      <c r="GT2876" s="37"/>
      <c r="GU2876" s="37"/>
      <c r="GV2876" s="37"/>
      <c r="GW2876" s="37"/>
      <c r="GX2876" s="37"/>
      <c r="GY2876" s="37"/>
      <c r="GZ2876" s="37"/>
      <c r="HA2876" s="37"/>
      <c r="HB2876" s="37"/>
      <c r="HC2876" s="37"/>
      <c r="HD2876" s="37"/>
      <c r="HE2876" s="37"/>
      <c r="HF2876" s="37"/>
      <c r="HG2876" s="37"/>
      <c r="HH2876" s="37"/>
      <c r="HI2876" s="37"/>
      <c r="HJ2876" s="37"/>
      <c r="HK2876" s="37"/>
      <c r="HL2876" s="37"/>
      <c r="HM2876" s="37"/>
      <c r="HN2876" s="37"/>
      <c r="HO2876" s="37"/>
      <c r="HP2876" s="37"/>
      <c r="HQ2876" s="37"/>
      <c r="HR2876" s="37"/>
      <c r="HS2876" s="37"/>
      <c r="HT2876" s="37"/>
      <c r="HU2876" s="37"/>
      <c r="HV2876" s="37"/>
      <c r="HW2876" s="37"/>
      <c r="HX2876" s="37"/>
      <c r="HY2876" s="37"/>
      <c r="HZ2876" s="37"/>
      <c r="IA2876" s="37"/>
      <c r="IB2876" s="37"/>
      <c r="IC2876" s="37"/>
      <c r="ID2876" s="37"/>
      <c r="IE2876" s="37"/>
      <c r="IF2876" s="37"/>
      <c r="IG2876" s="37"/>
      <c r="IH2876" s="37"/>
      <c r="II2876" s="37"/>
      <c r="IJ2876" s="37"/>
      <c r="IK2876" s="37"/>
      <c r="IL2876" s="37"/>
      <c r="IM2876" s="37"/>
      <c r="IN2876" s="37"/>
      <c r="IO2876" s="37"/>
      <c r="IP2876" s="37"/>
      <c r="IQ2876" s="37"/>
      <c r="IR2876" s="37"/>
      <c r="IS2876" s="37"/>
      <c r="IT2876" s="37"/>
      <c r="IU2876" s="37"/>
      <c r="IV2876" s="37"/>
      <c r="IW2876" s="37"/>
      <c r="IX2876" s="37"/>
      <c r="IY2876" s="37"/>
      <c r="IZ2876" s="37"/>
      <c r="JA2876" s="37"/>
      <c r="JB2876" s="37"/>
      <c r="JC2876" s="37"/>
      <c r="JD2876" s="37"/>
      <c r="JE2876" s="37"/>
      <c r="JF2876" s="37"/>
      <c r="JG2876" s="37"/>
      <c r="JH2876" s="37"/>
      <c r="JI2876" s="37"/>
      <c r="JJ2876" s="37"/>
      <c r="JK2876" s="37"/>
      <c r="JL2876" s="37"/>
      <c r="JM2876" s="37"/>
      <c r="JN2876" s="37"/>
      <c r="JO2876" s="37"/>
      <c r="JP2876" s="37"/>
      <c r="JQ2876" s="37"/>
      <c r="JR2876" s="37"/>
      <c r="JS2876" s="37"/>
      <c r="JT2876" s="37"/>
      <c r="JU2876" s="37"/>
      <c r="JV2876" s="37"/>
      <c r="JW2876" s="37"/>
      <c r="JX2876" s="37"/>
      <c r="JY2876" s="37"/>
      <c r="JZ2876" s="37"/>
      <c r="KA2876" s="37"/>
      <c r="KB2876" s="37"/>
      <c r="KC2876" s="37"/>
      <c r="KD2876" s="37"/>
      <c r="KE2876" s="37"/>
      <c r="KF2876" s="37"/>
      <c r="KG2876" s="37"/>
      <c r="KH2876" s="37"/>
      <c r="KI2876" s="37"/>
      <c r="KJ2876" s="37"/>
      <c r="KK2876" s="37"/>
      <c r="KL2876" s="37"/>
      <c r="KM2876" s="37"/>
      <c r="KN2876" s="37"/>
      <c r="KO2876" s="37"/>
      <c r="KP2876" s="37"/>
      <c r="KQ2876" s="37"/>
      <c r="KR2876" s="37"/>
      <c r="KS2876" s="37"/>
      <c r="KT2876" s="37"/>
      <c r="KU2876" s="37"/>
      <c r="KV2876" s="37"/>
      <c r="KW2876" s="37"/>
      <c r="KX2876" s="37"/>
      <c r="KY2876" s="37"/>
      <c r="KZ2876" s="37"/>
      <c r="LA2876" s="37"/>
      <c r="LB2876" s="37"/>
      <c r="LC2876" s="37"/>
      <c r="LD2876" s="37"/>
      <c r="LE2876" s="37"/>
      <c r="LF2876" s="37"/>
      <c r="LG2876" s="37"/>
      <c r="LH2876" s="37"/>
      <c r="LI2876" s="37"/>
      <c r="LJ2876" s="37"/>
      <c r="LK2876" s="37"/>
      <c r="LL2876" s="37"/>
      <c r="LM2876" s="37"/>
      <c r="LN2876" s="37"/>
      <c r="LO2876" s="37"/>
      <c r="LP2876" s="37"/>
      <c r="LQ2876" s="37"/>
      <c r="LR2876" s="37"/>
      <c r="LS2876" s="37"/>
      <c r="LT2876" s="37"/>
      <c r="LU2876" s="37"/>
      <c r="LV2876" s="37"/>
      <c r="LW2876" s="37"/>
      <c r="LX2876" s="37"/>
      <c r="LY2876" s="37"/>
      <c r="LZ2876" s="37"/>
      <c r="MA2876" s="37"/>
      <c r="MB2876" s="37"/>
      <c r="MC2876" s="37"/>
      <c r="MD2876" s="37"/>
      <c r="ME2876" s="37"/>
      <c r="MF2876" s="37"/>
      <c r="MG2876" s="37"/>
      <c r="MH2876" s="37"/>
      <c r="MI2876" s="37"/>
      <c r="MJ2876" s="37"/>
      <c r="MK2876" s="37"/>
      <c r="ML2876" s="37"/>
      <c r="MM2876" s="37"/>
      <c r="MN2876" s="37"/>
      <c r="MO2876" s="37"/>
      <c r="MP2876" s="37"/>
      <c r="MQ2876" s="37"/>
      <c r="MR2876" s="37"/>
      <c r="MS2876" s="37"/>
      <c r="MT2876" s="37"/>
      <c r="MU2876" s="37"/>
      <c r="MV2876" s="37"/>
      <c r="MW2876" s="37"/>
      <c r="MX2876" s="37"/>
      <c r="MY2876" s="37"/>
      <c r="MZ2876" s="37"/>
      <c r="NA2876" s="37"/>
      <c r="NB2876" s="37"/>
      <c r="NC2876" s="37"/>
      <c r="ND2876" s="37"/>
      <c r="NE2876" s="37"/>
      <c r="NF2876" s="37"/>
      <c r="NG2876" s="37"/>
      <c r="NH2876" s="37"/>
      <c r="NI2876" s="37"/>
      <c r="NJ2876" s="37"/>
      <c r="NK2876" s="37"/>
      <c r="NL2876" s="37"/>
      <c r="NM2876" s="37"/>
      <c r="NN2876" s="37"/>
      <c r="NO2876" s="37"/>
      <c r="NP2876" s="37"/>
      <c r="NQ2876" s="37"/>
      <c r="NR2876" s="37"/>
      <c r="NS2876" s="37"/>
      <c r="NT2876" s="37"/>
      <c r="NU2876" s="37"/>
      <c r="NV2876" s="37"/>
      <c r="NW2876" s="37"/>
      <c r="NX2876" s="37"/>
      <c r="NY2876" s="37"/>
      <c r="NZ2876" s="37"/>
      <c r="OA2876" s="37"/>
      <c r="OB2876" s="37"/>
      <c r="OC2876" s="37"/>
      <c r="OD2876" s="37"/>
      <c r="OE2876" s="37"/>
      <c r="OF2876" s="37"/>
      <c r="OG2876" s="37"/>
      <c r="OH2876" s="37"/>
      <c r="OI2876" s="37"/>
      <c r="OJ2876" s="37"/>
      <c r="OK2876" s="37"/>
      <c r="OL2876" s="37"/>
      <c r="OM2876" s="37"/>
      <c r="ON2876" s="37"/>
      <c r="OO2876" s="37"/>
      <c r="OP2876" s="37"/>
      <c r="OQ2876" s="37"/>
      <c r="OR2876" s="37"/>
      <c r="OS2876" s="37"/>
      <c r="OT2876" s="37"/>
      <c r="OU2876" s="37"/>
      <c r="OV2876" s="37"/>
      <c r="OW2876" s="37"/>
      <c r="OX2876" s="37"/>
      <c r="OY2876" s="37"/>
      <c r="OZ2876" s="37"/>
      <c r="PA2876" s="37"/>
      <c r="PB2876" s="37"/>
      <c r="PC2876" s="37"/>
      <c r="PD2876" s="37"/>
      <c r="PE2876" s="37"/>
      <c r="PF2876" s="37"/>
      <c r="PG2876" s="37"/>
      <c r="PH2876" s="37"/>
      <c r="PI2876" s="37"/>
      <c r="PJ2876" s="37"/>
      <c r="PK2876" s="37"/>
      <c r="PL2876" s="37"/>
      <c r="PM2876" s="37"/>
      <c r="PN2876" s="37"/>
      <c r="PO2876" s="37"/>
      <c r="PP2876" s="37"/>
      <c r="PQ2876" s="37"/>
      <c r="PR2876" s="37"/>
      <c r="PS2876" s="37"/>
      <c r="PT2876" s="37"/>
      <c r="PU2876" s="37"/>
      <c r="PV2876" s="37"/>
      <c r="PW2876" s="37"/>
      <c r="PX2876" s="37"/>
      <c r="PY2876" s="37"/>
      <c r="PZ2876" s="37"/>
      <c r="QA2876" s="37"/>
      <c r="QB2876" s="37"/>
      <c r="QC2876" s="37"/>
      <c r="QD2876" s="37"/>
      <c r="QE2876" s="37"/>
      <c r="QF2876" s="37"/>
      <c r="QG2876" s="37"/>
      <c r="QH2876" s="37"/>
      <c r="QI2876" s="37"/>
      <c r="QJ2876" s="37"/>
      <c r="QK2876" s="37"/>
      <c r="QL2876" s="37"/>
      <c r="QM2876" s="37"/>
      <c r="QN2876" s="37"/>
      <c r="QO2876" s="37"/>
      <c r="QP2876" s="37"/>
      <c r="QQ2876" s="37"/>
      <c r="QR2876" s="37"/>
      <c r="QS2876" s="37"/>
      <c r="QT2876" s="37"/>
      <c r="QU2876" s="37"/>
      <c r="QV2876" s="37"/>
      <c r="QW2876" s="37"/>
      <c r="QX2876" s="37"/>
      <c r="QY2876" s="37"/>
      <c r="QZ2876" s="37"/>
      <c r="RA2876" s="37"/>
      <c r="RB2876" s="37"/>
      <c r="RC2876" s="37"/>
      <c r="RD2876" s="37"/>
      <c r="RE2876" s="37"/>
      <c r="RF2876" s="37"/>
      <c r="RG2876" s="37"/>
      <c r="RH2876" s="37"/>
      <c r="RI2876" s="37"/>
      <c r="RJ2876" s="37"/>
      <c r="RK2876" s="37"/>
      <c r="RL2876" s="37"/>
      <c r="RM2876" s="37"/>
      <c r="RN2876" s="37"/>
      <c r="RO2876" s="37"/>
      <c r="RP2876" s="37"/>
      <c r="RQ2876" s="37"/>
      <c r="RR2876" s="37"/>
      <c r="RS2876" s="37"/>
      <c r="RT2876" s="37"/>
      <c r="RU2876" s="37"/>
      <c r="RV2876" s="37"/>
      <c r="RW2876" s="37"/>
      <c r="RX2876" s="37"/>
      <c r="RY2876" s="37"/>
      <c r="RZ2876" s="37"/>
      <c r="SA2876" s="37"/>
      <c r="SB2876" s="37"/>
      <c r="SC2876" s="37"/>
      <c r="SD2876" s="37"/>
      <c r="SE2876" s="37"/>
      <c r="SF2876" s="37"/>
    </row>
    <row r="2877" spans="1:500">
      <c r="A2877" s="37"/>
      <c r="B2877" s="37"/>
      <c r="C2877" s="37"/>
      <c r="D2877" s="37"/>
      <c r="E2877" s="37"/>
      <c r="F2877" s="37"/>
      <c r="G2877" s="37"/>
      <c r="H2877" s="37"/>
      <c r="I2877" s="37"/>
      <c r="J2877" s="37"/>
      <c r="K2877" s="37"/>
      <c r="L2877" s="37"/>
      <c r="M2877" s="37"/>
      <c r="N2877" s="37"/>
      <c r="O2877" s="37"/>
      <c r="P2877" s="37"/>
      <c r="Q2877" s="37"/>
      <c r="R2877" s="37"/>
      <c r="S2877" s="37"/>
      <c r="T2877" s="37"/>
      <c r="U2877" s="37"/>
      <c r="V2877" s="37"/>
      <c r="W2877" s="37"/>
      <c r="X2877" s="37"/>
      <c r="Y2877" s="37"/>
      <c r="Z2877" s="37"/>
      <c r="AA2877" s="37"/>
      <c r="AB2877" s="37"/>
      <c r="AC2877" s="37"/>
      <c r="AD2877" s="37"/>
      <c r="AE2877" s="37"/>
      <c r="AF2877" s="37"/>
      <c r="AG2877" s="37"/>
      <c r="AH2877" s="37"/>
      <c r="AI2877" s="37"/>
      <c r="AJ2877" s="37"/>
      <c r="AK2877" s="37"/>
      <c r="AL2877" s="37"/>
      <c r="AM2877" s="37"/>
      <c r="AN2877" s="37"/>
      <c r="AO2877" s="37"/>
      <c r="AP2877" s="37"/>
      <c r="AQ2877" s="37"/>
      <c r="AR2877" s="37"/>
      <c r="AS2877" s="37"/>
      <c r="AT2877" s="37"/>
      <c r="AU2877" s="37"/>
      <c r="AV2877" s="37"/>
      <c r="AW2877" s="37"/>
      <c r="AX2877" s="37"/>
      <c r="AY2877" s="37"/>
      <c r="AZ2877" s="37"/>
      <c r="BA2877" s="37"/>
      <c r="BB2877" s="37"/>
      <c r="BC2877" s="37"/>
      <c r="BD2877" s="37"/>
      <c r="BE2877" s="37"/>
      <c r="BF2877" s="37"/>
      <c r="BG2877" s="37"/>
      <c r="BH2877" s="37"/>
      <c r="BI2877" s="37"/>
      <c r="BJ2877" s="37"/>
      <c r="BK2877" s="37"/>
      <c r="BL2877" s="37"/>
      <c r="BM2877" s="37"/>
      <c r="BN2877" s="37"/>
      <c r="BO2877" s="37"/>
      <c r="BP2877" s="37"/>
      <c r="BQ2877" s="37"/>
      <c r="BR2877" s="37"/>
      <c r="BS2877" s="37"/>
      <c r="BT2877" s="37"/>
      <c r="BU2877" s="37"/>
      <c r="BV2877" s="37"/>
      <c r="BW2877" s="37"/>
      <c r="BX2877" s="37"/>
      <c r="BY2877" s="37"/>
      <c r="BZ2877" s="37"/>
      <c r="CA2877" s="37"/>
      <c r="CB2877" s="37"/>
      <c r="CC2877" s="37"/>
      <c r="CD2877" s="37"/>
      <c r="CE2877" s="37"/>
      <c r="CF2877" s="37"/>
      <c r="CG2877" s="37"/>
      <c r="CH2877" s="37"/>
      <c r="CI2877" s="37"/>
      <c r="CJ2877" s="37"/>
      <c r="CK2877" s="37"/>
      <c r="CL2877" s="37"/>
      <c r="CM2877" s="37"/>
      <c r="CN2877" s="37"/>
      <c r="CO2877" s="37"/>
      <c r="CP2877" s="37"/>
      <c r="CQ2877" s="37"/>
      <c r="CR2877" s="37"/>
      <c r="CS2877" s="37"/>
      <c r="CT2877" s="37"/>
      <c r="CU2877" s="37"/>
      <c r="CV2877" s="37"/>
      <c r="CW2877" s="37"/>
      <c r="CX2877" s="37"/>
      <c r="CY2877" s="37"/>
      <c r="CZ2877" s="37"/>
      <c r="DA2877" s="37"/>
      <c r="DB2877" s="37"/>
      <c r="DC2877" s="37"/>
      <c r="DD2877" s="37"/>
      <c r="DE2877" s="37"/>
      <c r="DF2877" s="37"/>
      <c r="DG2877" s="37"/>
      <c r="DH2877" s="37"/>
      <c r="DI2877" s="37"/>
      <c r="DJ2877" s="37"/>
      <c r="DK2877" s="37"/>
      <c r="DL2877" s="37"/>
      <c r="DM2877" s="37"/>
      <c r="DN2877" s="37"/>
      <c r="DO2877" s="37"/>
      <c r="DP2877" s="37"/>
      <c r="DQ2877" s="37"/>
      <c r="DR2877" s="37"/>
      <c r="DS2877" s="37"/>
      <c r="DT2877" s="37"/>
      <c r="DU2877" s="37"/>
      <c r="DV2877" s="37"/>
      <c r="DW2877" s="37"/>
      <c r="DX2877" s="37"/>
      <c r="DY2877" s="37"/>
      <c r="DZ2877" s="37"/>
      <c r="EA2877" s="37"/>
      <c r="EB2877" s="37"/>
      <c r="EC2877" s="37"/>
      <c r="ED2877" s="37"/>
      <c r="EE2877" s="37"/>
      <c r="EF2877" s="37"/>
      <c r="EG2877" s="37"/>
      <c r="EH2877" s="37"/>
      <c r="EI2877" s="37"/>
      <c r="EJ2877" s="37"/>
      <c r="EK2877" s="37"/>
      <c r="EL2877" s="37"/>
      <c r="EM2877" s="37"/>
      <c r="EN2877" s="37"/>
      <c r="EO2877" s="37"/>
      <c r="EP2877" s="37"/>
      <c r="EQ2877" s="37"/>
      <c r="ER2877" s="37"/>
      <c r="ES2877" s="37"/>
      <c r="ET2877" s="37"/>
      <c r="EU2877" s="37"/>
      <c r="EV2877" s="37"/>
      <c r="EW2877" s="37"/>
      <c r="EX2877" s="37"/>
      <c r="EY2877" s="37"/>
      <c r="EZ2877" s="37"/>
      <c r="FA2877" s="37"/>
      <c r="FB2877" s="37"/>
      <c r="FC2877" s="37"/>
      <c r="FD2877" s="37"/>
      <c r="FE2877" s="37"/>
      <c r="FF2877" s="37"/>
      <c r="FG2877" s="37"/>
      <c r="FH2877" s="37"/>
      <c r="FI2877" s="37"/>
      <c r="FJ2877" s="37"/>
      <c r="FK2877" s="37"/>
      <c r="FL2877" s="37"/>
      <c r="FM2877" s="37"/>
      <c r="FN2877" s="37"/>
      <c r="FO2877" s="37"/>
      <c r="FP2877" s="37"/>
      <c r="FQ2877" s="37"/>
      <c r="FR2877" s="37"/>
      <c r="FS2877" s="37"/>
      <c r="FT2877" s="37"/>
      <c r="FU2877" s="37"/>
      <c r="FV2877" s="37"/>
      <c r="FW2877" s="37"/>
      <c r="FX2877" s="37"/>
      <c r="FY2877" s="37"/>
      <c r="FZ2877" s="37"/>
      <c r="GA2877" s="37"/>
      <c r="GB2877" s="37"/>
      <c r="GC2877" s="37"/>
      <c r="GD2877" s="37"/>
      <c r="GE2877" s="37"/>
      <c r="GF2877" s="37"/>
      <c r="GG2877" s="37"/>
      <c r="GH2877" s="37"/>
      <c r="GI2877" s="37"/>
      <c r="GJ2877" s="37"/>
      <c r="GK2877" s="37"/>
      <c r="GL2877" s="37"/>
      <c r="GM2877" s="37"/>
      <c r="GN2877" s="37"/>
      <c r="GO2877" s="37"/>
      <c r="GP2877" s="37"/>
      <c r="GQ2877" s="37"/>
      <c r="GR2877" s="37"/>
      <c r="GS2877" s="37"/>
      <c r="GT2877" s="37"/>
      <c r="GU2877" s="37"/>
      <c r="GV2877" s="37"/>
      <c r="GW2877" s="37"/>
      <c r="GX2877" s="37"/>
      <c r="GY2877" s="37"/>
      <c r="GZ2877" s="37"/>
      <c r="HA2877" s="37"/>
      <c r="HB2877" s="37"/>
      <c r="HC2877" s="37"/>
      <c r="HD2877" s="37"/>
      <c r="HE2877" s="37"/>
      <c r="HF2877" s="37"/>
      <c r="HG2877" s="37"/>
      <c r="HH2877" s="37"/>
      <c r="HI2877" s="37"/>
      <c r="HJ2877" s="37"/>
      <c r="HK2877" s="37"/>
      <c r="HL2877" s="37"/>
      <c r="HM2877" s="37"/>
      <c r="HN2877" s="37"/>
      <c r="HO2877" s="37"/>
      <c r="HP2877" s="37"/>
      <c r="HQ2877" s="37"/>
      <c r="HR2877" s="37"/>
      <c r="HS2877" s="37"/>
      <c r="HT2877" s="37"/>
      <c r="HU2877" s="37"/>
      <c r="HV2877" s="37"/>
      <c r="HW2877" s="37"/>
      <c r="HX2877" s="37"/>
      <c r="HY2877" s="37"/>
      <c r="HZ2877" s="37"/>
      <c r="IA2877" s="37"/>
      <c r="IB2877" s="37"/>
      <c r="IC2877" s="37"/>
      <c r="ID2877" s="37"/>
      <c r="IE2877" s="37"/>
      <c r="IF2877" s="37"/>
      <c r="IG2877" s="37"/>
      <c r="IH2877" s="37"/>
      <c r="II2877" s="37"/>
      <c r="IJ2877" s="37"/>
      <c r="IK2877" s="37"/>
      <c r="IL2877" s="37"/>
      <c r="IM2877" s="37"/>
      <c r="IN2877" s="37"/>
      <c r="IO2877" s="37"/>
      <c r="IP2877" s="37"/>
      <c r="IQ2877" s="37"/>
      <c r="IR2877" s="37"/>
      <c r="IS2877" s="37"/>
      <c r="IT2877" s="37"/>
      <c r="IU2877" s="37"/>
      <c r="IV2877" s="37"/>
      <c r="IW2877" s="37"/>
      <c r="IX2877" s="37"/>
      <c r="IY2877" s="37"/>
      <c r="IZ2877" s="37"/>
      <c r="JA2877" s="37"/>
      <c r="JB2877" s="37"/>
      <c r="JC2877" s="37"/>
      <c r="JD2877" s="37"/>
      <c r="JE2877" s="37"/>
      <c r="JF2877" s="37"/>
      <c r="JG2877" s="37"/>
      <c r="JH2877" s="37"/>
      <c r="JI2877" s="37"/>
      <c r="JJ2877" s="37"/>
      <c r="JK2877" s="37"/>
      <c r="JL2877" s="37"/>
      <c r="JM2877" s="37"/>
      <c r="JN2877" s="37"/>
      <c r="JO2877" s="37"/>
      <c r="JP2877" s="37"/>
      <c r="JQ2877" s="37"/>
      <c r="JR2877" s="37"/>
      <c r="JS2877" s="37"/>
      <c r="JT2877" s="37"/>
      <c r="JU2877" s="37"/>
      <c r="JV2877" s="37"/>
      <c r="JW2877" s="37"/>
      <c r="JX2877" s="37"/>
      <c r="JY2877" s="37"/>
      <c r="JZ2877" s="37"/>
      <c r="KA2877" s="37"/>
      <c r="KB2877" s="37"/>
      <c r="KC2877" s="37"/>
      <c r="KD2877" s="37"/>
      <c r="KE2877" s="37"/>
      <c r="KF2877" s="37"/>
      <c r="KG2877" s="37"/>
      <c r="KH2877" s="37"/>
      <c r="KI2877" s="37"/>
      <c r="KJ2877" s="37"/>
      <c r="KK2877" s="37"/>
      <c r="KL2877" s="37"/>
      <c r="KM2877" s="37"/>
      <c r="KN2877" s="37"/>
      <c r="KO2877" s="37"/>
      <c r="KP2877" s="37"/>
      <c r="KQ2877" s="37"/>
      <c r="KR2877" s="37"/>
      <c r="KS2877" s="37"/>
      <c r="KT2877" s="37"/>
      <c r="KU2877" s="37"/>
      <c r="KV2877" s="37"/>
      <c r="KW2877" s="37"/>
      <c r="KX2877" s="37"/>
      <c r="KY2877" s="37"/>
      <c r="KZ2877" s="37"/>
      <c r="LA2877" s="37"/>
      <c r="LB2877" s="37"/>
      <c r="LC2877" s="37"/>
      <c r="LD2877" s="37"/>
      <c r="LE2877" s="37"/>
      <c r="LF2877" s="37"/>
      <c r="LG2877" s="37"/>
      <c r="LH2877" s="37"/>
      <c r="LI2877" s="37"/>
      <c r="LJ2877" s="37"/>
      <c r="LK2877" s="37"/>
      <c r="LL2877" s="37"/>
      <c r="LM2877" s="37"/>
      <c r="LN2877" s="37"/>
      <c r="LO2877" s="37"/>
      <c r="LP2877" s="37"/>
      <c r="LQ2877" s="37"/>
      <c r="LR2877" s="37"/>
      <c r="LS2877" s="37"/>
      <c r="LT2877" s="37"/>
      <c r="LU2877" s="37"/>
      <c r="LV2877" s="37"/>
      <c r="LW2877" s="37"/>
      <c r="LX2877" s="37"/>
      <c r="LY2877" s="37"/>
      <c r="LZ2877" s="37"/>
      <c r="MA2877" s="37"/>
      <c r="MB2877" s="37"/>
      <c r="MC2877" s="37"/>
      <c r="MD2877" s="37"/>
      <c r="ME2877" s="37"/>
      <c r="MF2877" s="37"/>
      <c r="MG2877" s="37"/>
      <c r="MH2877" s="37"/>
      <c r="MI2877" s="37"/>
      <c r="MJ2877" s="37"/>
      <c r="MK2877" s="37"/>
      <c r="ML2877" s="37"/>
      <c r="MM2877" s="37"/>
      <c r="MN2877" s="37"/>
      <c r="MO2877" s="37"/>
      <c r="MP2877" s="37"/>
      <c r="MQ2877" s="37"/>
      <c r="MR2877" s="37"/>
      <c r="MS2877" s="37"/>
      <c r="MT2877" s="37"/>
      <c r="MU2877" s="37"/>
      <c r="MV2877" s="37"/>
      <c r="MW2877" s="37"/>
      <c r="MX2877" s="37"/>
      <c r="MY2877" s="37"/>
      <c r="MZ2877" s="37"/>
      <c r="NA2877" s="37"/>
      <c r="NB2877" s="37"/>
      <c r="NC2877" s="37"/>
      <c r="ND2877" s="37"/>
      <c r="NE2877" s="37"/>
      <c r="NF2877" s="37"/>
      <c r="NG2877" s="37"/>
      <c r="NH2877" s="37"/>
      <c r="NI2877" s="37"/>
      <c r="NJ2877" s="37"/>
      <c r="NK2877" s="37"/>
      <c r="NL2877" s="37"/>
      <c r="NM2877" s="37"/>
      <c r="NN2877" s="37"/>
      <c r="NO2877" s="37"/>
      <c r="NP2877" s="37"/>
      <c r="NQ2877" s="37"/>
      <c r="NR2877" s="37"/>
      <c r="NS2877" s="37"/>
      <c r="NT2877" s="37"/>
      <c r="NU2877" s="37"/>
      <c r="NV2877" s="37"/>
      <c r="NW2877" s="37"/>
      <c r="NX2877" s="37"/>
      <c r="NY2877" s="37"/>
      <c r="NZ2877" s="37"/>
      <c r="OA2877" s="37"/>
      <c r="OB2877" s="37"/>
      <c r="OC2877" s="37"/>
      <c r="OD2877" s="37"/>
      <c r="OE2877" s="37"/>
      <c r="OF2877" s="37"/>
      <c r="OG2877" s="37"/>
      <c r="OH2877" s="37"/>
      <c r="OI2877" s="37"/>
      <c r="OJ2877" s="37"/>
      <c r="OK2877" s="37"/>
      <c r="OL2877" s="37"/>
      <c r="OM2877" s="37"/>
      <c r="ON2877" s="37"/>
      <c r="OO2877" s="37"/>
      <c r="OP2877" s="37"/>
      <c r="OQ2877" s="37"/>
      <c r="OR2877" s="37"/>
      <c r="OS2877" s="37"/>
      <c r="OT2877" s="37"/>
      <c r="OU2877" s="37"/>
      <c r="OV2877" s="37"/>
      <c r="OW2877" s="37"/>
      <c r="OX2877" s="37"/>
      <c r="OY2877" s="37"/>
      <c r="OZ2877" s="37"/>
      <c r="PA2877" s="37"/>
      <c r="PB2877" s="37"/>
      <c r="PC2877" s="37"/>
      <c r="PD2877" s="37"/>
      <c r="PE2877" s="37"/>
      <c r="PF2877" s="37"/>
      <c r="PG2877" s="37"/>
      <c r="PH2877" s="37"/>
      <c r="PI2877" s="37"/>
      <c r="PJ2877" s="37"/>
      <c r="PK2877" s="37"/>
      <c r="PL2877" s="37"/>
      <c r="PM2877" s="37"/>
      <c r="PN2877" s="37"/>
      <c r="PO2877" s="37"/>
      <c r="PP2877" s="37"/>
      <c r="PQ2877" s="37"/>
      <c r="PR2877" s="37"/>
      <c r="PS2877" s="37"/>
      <c r="PT2877" s="37"/>
      <c r="PU2877" s="37"/>
      <c r="PV2877" s="37"/>
      <c r="PW2877" s="37"/>
      <c r="PX2877" s="37"/>
      <c r="PY2877" s="37"/>
      <c r="PZ2877" s="37"/>
      <c r="QA2877" s="37"/>
      <c r="QB2877" s="37"/>
      <c r="QC2877" s="37"/>
      <c r="QD2877" s="37"/>
      <c r="QE2877" s="37"/>
      <c r="QF2877" s="37"/>
      <c r="QG2877" s="37"/>
      <c r="QH2877" s="37"/>
      <c r="QI2877" s="37"/>
      <c r="QJ2877" s="37"/>
      <c r="QK2877" s="37"/>
      <c r="QL2877" s="37"/>
      <c r="QM2877" s="37"/>
      <c r="QN2877" s="37"/>
      <c r="QO2877" s="37"/>
      <c r="QP2877" s="37"/>
      <c r="QQ2877" s="37"/>
      <c r="QR2877" s="37"/>
      <c r="QS2877" s="37"/>
      <c r="QT2877" s="37"/>
      <c r="QU2877" s="37"/>
      <c r="QV2877" s="37"/>
      <c r="QW2877" s="37"/>
      <c r="QX2877" s="37"/>
      <c r="QY2877" s="37"/>
      <c r="QZ2877" s="37"/>
      <c r="RA2877" s="37"/>
      <c r="RB2877" s="37"/>
      <c r="RC2877" s="37"/>
      <c r="RD2877" s="37"/>
      <c r="RE2877" s="37"/>
      <c r="RF2877" s="37"/>
      <c r="RG2877" s="37"/>
      <c r="RH2877" s="37"/>
      <c r="RI2877" s="37"/>
      <c r="RJ2877" s="37"/>
      <c r="RK2877" s="37"/>
      <c r="RL2877" s="37"/>
      <c r="RM2877" s="37"/>
      <c r="RN2877" s="37"/>
      <c r="RO2877" s="37"/>
      <c r="RP2877" s="37"/>
      <c r="RQ2877" s="37"/>
      <c r="RR2877" s="37"/>
      <c r="RS2877" s="37"/>
      <c r="RT2877" s="37"/>
      <c r="RU2877" s="37"/>
      <c r="RV2877" s="37"/>
      <c r="RW2877" s="37"/>
      <c r="RX2877" s="37"/>
      <c r="RY2877" s="37"/>
      <c r="RZ2877" s="37"/>
      <c r="SA2877" s="37"/>
      <c r="SB2877" s="37"/>
      <c r="SC2877" s="37"/>
      <c r="SD2877" s="37"/>
      <c r="SE2877" s="37"/>
      <c r="SF2877" s="37"/>
    </row>
    <row r="2878" spans="1:500">
      <c r="A2878" s="37"/>
      <c r="B2878" s="37"/>
      <c r="C2878" s="37"/>
      <c r="D2878" s="37"/>
      <c r="E2878" s="37"/>
      <c r="F2878" s="37"/>
      <c r="G2878" s="37"/>
      <c r="H2878" s="37"/>
      <c r="I2878" s="37"/>
      <c r="J2878" s="37"/>
      <c r="K2878" s="37"/>
      <c r="L2878" s="37"/>
      <c r="M2878" s="37"/>
      <c r="N2878" s="37"/>
      <c r="O2878" s="37"/>
      <c r="P2878" s="37"/>
      <c r="Q2878" s="37"/>
      <c r="R2878" s="37"/>
      <c r="S2878" s="37"/>
      <c r="T2878" s="37"/>
      <c r="U2878" s="37"/>
      <c r="V2878" s="37"/>
      <c r="W2878" s="37"/>
      <c r="X2878" s="37"/>
      <c r="Y2878" s="37"/>
      <c r="Z2878" s="37"/>
      <c r="AA2878" s="37"/>
      <c r="AB2878" s="37"/>
      <c r="AC2878" s="37"/>
      <c r="AD2878" s="37"/>
      <c r="AE2878" s="37"/>
      <c r="AF2878" s="37"/>
      <c r="AG2878" s="37"/>
      <c r="AH2878" s="37"/>
      <c r="AI2878" s="37"/>
      <c r="AJ2878" s="37"/>
      <c r="AK2878" s="37"/>
      <c r="AL2878" s="37"/>
      <c r="AM2878" s="37"/>
      <c r="AN2878" s="37"/>
      <c r="AO2878" s="37"/>
      <c r="AP2878" s="37"/>
      <c r="AQ2878" s="37"/>
      <c r="AR2878" s="37"/>
      <c r="AS2878" s="37"/>
      <c r="AT2878" s="37"/>
      <c r="AU2878" s="37"/>
      <c r="AV2878" s="37"/>
      <c r="AW2878" s="37"/>
      <c r="AX2878" s="37"/>
      <c r="AY2878" s="37"/>
      <c r="AZ2878" s="37"/>
      <c r="BA2878" s="37"/>
      <c r="BB2878" s="37"/>
      <c r="BC2878" s="37"/>
      <c r="BD2878" s="37"/>
      <c r="BE2878" s="37"/>
      <c r="BF2878" s="37"/>
      <c r="BG2878" s="37"/>
      <c r="BH2878" s="37"/>
      <c r="BI2878" s="37"/>
      <c r="BJ2878" s="37"/>
      <c r="BK2878" s="37"/>
      <c r="BL2878" s="37"/>
      <c r="BM2878" s="37"/>
      <c r="BN2878" s="37"/>
      <c r="BO2878" s="37"/>
      <c r="BP2878" s="37"/>
      <c r="BQ2878" s="37"/>
      <c r="BR2878" s="37"/>
      <c r="BS2878" s="37"/>
      <c r="BT2878" s="37"/>
      <c r="BU2878" s="37"/>
      <c r="BV2878" s="37"/>
      <c r="BW2878" s="37"/>
      <c r="BX2878" s="37"/>
      <c r="BY2878" s="37"/>
      <c r="BZ2878" s="37"/>
      <c r="CA2878" s="37"/>
      <c r="CB2878" s="37"/>
      <c r="CC2878" s="37"/>
      <c r="CD2878" s="37"/>
      <c r="CE2878" s="37"/>
      <c r="CF2878" s="37"/>
      <c r="CG2878" s="37"/>
      <c r="CH2878" s="37"/>
      <c r="CI2878" s="37"/>
      <c r="CJ2878" s="37"/>
      <c r="CK2878" s="37"/>
      <c r="CL2878" s="37"/>
      <c r="CM2878" s="37"/>
      <c r="CN2878" s="37"/>
      <c r="CO2878" s="37"/>
      <c r="CP2878" s="37"/>
      <c r="CQ2878" s="37"/>
      <c r="CR2878" s="37"/>
      <c r="CS2878" s="37"/>
      <c r="CT2878" s="37"/>
      <c r="CU2878" s="37"/>
      <c r="CV2878" s="37"/>
      <c r="CW2878" s="37"/>
      <c r="CX2878" s="37"/>
      <c r="CY2878" s="37"/>
      <c r="CZ2878" s="37"/>
      <c r="DA2878" s="37"/>
      <c r="DB2878" s="37"/>
      <c r="DC2878" s="37"/>
      <c r="DD2878" s="37"/>
      <c r="DE2878" s="37"/>
      <c r="DF2878" s="37"/>
      <c r="DG2878" s="37"/>
      <c r="DH2878" s="37"/>
      <c r="DI2878" s="37"/>
      <c r="DJ2878" s="37"/>
      <c r="DK2878" s="37"/>
      <c r="DL2878" s="37"/>
      <c r="DM2878" s="37"/>
      <c r="DN2878" s="37"/>
      <c r="DO2878" s="37"/>
      <c r="DP2878" s="37"/>
      <c r="DQ2878" s="37"/>
      <c r="DR2878" s="37"/>
      <c r="DS2878" s="37"/>
      <c r="DT2878" s="37"/>
      <c r="DU2878" s="37"/>
      <c r="DV2878" s="37"/>
      <c r="DW2878" s="37"/>
      <c r="DX2878" s="37"/>
      <c r="DY2878" s="37"/>
      <c r="DZ2878" s="37"/>
      <c r="EA2878" s="37"/>
      <c r="EB2878" s="37"/>
      <c r="EC2878" s="37"/>
      <c r="ED2878" s="37"/>
      <c r="EE2878" s="37"/>
      <c r="EF2878" s="37"/>
      <c r="EG2878" s="37"/>
      <c r="EH2878" s="37"/>
      <c r="EI2878" s="37"/>
      <c r="EJ2878" s="37"/>
      <c r="EK2878" s="37"/>
      <c r="EL2878" s="37"/>
      <c r="EM2878" s="37"/>
      <c r="EN2878" s="37"/>
      <c r="EO2878" s="37"/>
      <c r="EP2878" s="37"/>
      <c r="EQ2878" s="37"/>
      <c r="ER2878" s="37"/>
      <c r="ES2878" s="37"/>
      <c r="ET2878" s="37"/>
      <c r="EU2878" s="37"/>
      <c r="EV2878" s="37"/>
      <c r="EW2878" s="37"/>
      <c r="EX2878" s="37"/>
      <c r="EY2878" s="37"/>
      <c r="EZ2878" s="37"/>
      <c r="FA2878" s="37"/>
      <c r="FB2878" s="37"/>
      <c r="FC2878" s="37"/>
      <c r="FD2878" s="37"/>
      <c r="FE2878" s="37"/>
      <c r="FF2878" s="37"/>
      <c r="FG2878" s="37"/>
      <c r="FH2878" s="37"/>
      <c r="FI2878" s="37"/>
      <c r="FJ2878" s="37"/>
      <c r="FK2878" s="37"/>
      <c r="FL2878" s="37"/>
      <c r="FM2878" s="37"/>
      <c r="FN2878" s="37"/>
      <c r="FO2878" s="37"/>
      <c r="FP2878" s="37"/>
      <c r="FQ2878" s="37"/>
      <c r="FR2878" s="37"/>
      <c r="FS2878" s="37"/>
      <c r="FT2878" s="37"/>
      <c r="FU2878" s="37"/>
      <c r="FV2878" s="37"/>
      <c r="FW2878" s="37"/>
      <c r="FX2878" s="37"/>
      <c r="FY2878" s="37"/>
      <c r="FZ2878" s="37"/>
      <c r="GA2878" s="37"/>
      <c r="GB2878" s="37"/>
      <c r="GC2878" s="37"/>
      <c r="GD2878" s="37"/>
      <c r="GE2878" s="37"/>
      <c r="GF2878" s="37"/>
      <c r="GG2878" s="37"/>
      <c r="GH2878" s="37"/>
      <c r="GI2878" s="37"/>
      <c r="GJ2878" s="37"/>
      <c r="GK2878" s="37"/>
      <c r="GL2878" s="37"/>
      <c r="GM2878" s="37"/>
      <c r="GN2878" s="37"/>
      <c r="GO2878" s="37"/>
      <c r="GP2878" s="37"/>
      <c r="GQ2878" s="37"/>
      <c r="GR2878" s="37"/>
      <c r="GS2878" s="37"/>
      <c r="GT2878" s="37"/>
      <c r="GU2878" s="37"/>
      <c r="GV2878" s="37"/>
      <c r="GW2878" s="37"/>
      <c r="GX2878" s="37"/>
      <c r="GY2878" s="37"/>
      <c r="GZ2878" s="37"/>
      <c r="HA2878" s="37"/>
      <c r="HB2878" s="37"/>
      <c r="HC2878" s="37"/>
      <c r="HD2878" s="37"/>
      <c r="HE2878" s="37"/>
      <c r="HF2878" s="37"/>
      <c r="HG2878" s="37"/>
      <c r="HH2878" s="37"/>
      <c r="HI2878" s="37"/>
      <c r="HJ2878" s="37"/>
      <c r="HK2878" s="37"/>
      <c r="HL2878" s="37"/>
      <c r="HM2878" s="37"/>
      <c r="HN2878" s="37"/>
      <c r="HO2878" s="37"/>
      <c r="HP2878" s="37"/>
      <c r="HQ2878" s="37"/>
      <c r="HR2878" s="37"/>
      <c r="HS2878" s="37"/>
      <c r="HT2878" s="37"/>
      <c r="HU2878" s="37"/>
      <c r="HV2878" s="37"/>
      <c r="HW2878" s="37"/>
      <c r="HX2878" s="37"/>
      <c r="HY2878" s="37"/>
      <c r="HZ2878" s="37"/>
      <c r="IA2878" s="37"/>
      <c r="IB2878" s="37"/>
      <c r="IC2878" s="37"/>
      <c r="ID2878" s="37"/>
      <c r="IE2878" s="37"/>
      <c r="IF2878" s="37"/>
      <c r="IG2878" s="37"/>
      <c r="IH2878" s="37"/>
      <c r="II2878" s="37"/>
      <c r="IJ2878" s="37"/>
      <c r="IK2878" s="37"/>
      <c r="IL2878" s="37"/>
      <c r="IM2878" s="37"/>
      <c r="IN2878" s="37"/>
      <c r="IO2878" s="37"/>
      <c r="IP2878" s="37"/>
      <c r="IQ2878" s="37"/>
      <c r="IR2878" s="37"/>
      <c r="IS2878" s="37"/>
      <c r="IT2878" s="37"/>
      <c r="IU2878" s="37"/>
      <c r="IV2878" s="37"/>
      <c r="IW2878" s="37"/>
      <c r="IX2878" s="37"/>
      <c r="IY2878" s="37"/>
      <c r="IZ2878" s="37"/>
      <c r="JA2878" s="37"/>
      <c r="JB2878" s="37"/>
      <c r="JC2878" s="37"/>
      <c r="JD2878" s="37"/>
      <c r="JE2878" s="37"/>
      <c r="JF2878" s="37"/>
      <c r="JG2878" s="37"/>
      <c r="JH2878" s="37"/>
      <c r="JI2878" s="37"/>
      <c r="JJ2878" s="37"/>
      <c r="JK2878" s="37"/>
      <c r="JL2878" s="37"/>
      <c r="JM2878" s="37"/>
      <c r="JN2878" s="37"/>
      <c r="JO2878" s="37"/>
      <c r="JP2878" s="37"/>
      <c r="JQ2878" s="37"/>
      <c r="JR2878" s="37"/>
      <c r="JS2878" s="37"/>
      <c r="JT2878" s="37"/>
      <c r="JU2878" s="37"/>
      <c r="JV2878" s="37"/>
      <c r="JW2878" s="37"/>
      <c r="JX2878" s="37"/>
      <c r="JY2878" s="37"/>
      <c r="JZ2878" s="37"/>
      <c r="KA2878" s="37"/>
      <c r="KB2878" s="37"/>
      <c r="KC2878" s="37"/>
      <c r="KD2878" s="37"/>
      <c r="KE2878" s="37"/>
      <c r="KF2878" s="37"/>
      <c r="KG2878" s="37"/>
      <c r="KH2878" s="37"/>
      <c r="KI2878" s="37"/>
      <c r="KJ2878" s="37"/>
      <c r="KK2878" s="37"/>
      <c r="KL2878" s="37"/>
      <c r="KM2878" s="37"/>
      <c r="KN2878" s="37"/>
      <c r="KO2878" s="37"/>
      <c r="KP2878" s="37"/>
      <c r="KQ2878" s="37"/>
      <c r="KR2878" s="37"/>
      <c r="KS2878" s="37"/>
      <c r="KT2878" s="37"/>
      <c r="KU2878" s="37"/>
      <c r="KV2878" s="37"/>
      <c r="KW2878" s="37"/>
      <c r="KX2878" s="37"/>
      <c r="KY2878" s="37"/>
      <c r="KZ2878" s="37"/>
      <c r="LA2878" s="37"/>
      <c r="LB2878" s="37"/>
      <c r="LC2878" s="37"/>
      <c r="LD2878" s="37"/>
      <c r="LE2878" s="37"/>
      <c r="LF2878" s="37"/>
      <c r="LG2878" s="37"/>
      <c r="LH2878" s="37"/>
      <c r="LI2878" s="37"/>
      <c r="LJ2878" s="37"/>
      <c r="LK2878" s="37"/>
      <c r="LL2878" s="37"/>
      <c r="LM2878" s="37"/>
      <c r="LN2878" s="37"/>
      <c r="LO2878" s="37"/>
      <c r="LP2878" s="37"/>
      <c r="LQ2878" s="37"/>
      <c r="LR2878" s="37"/>
      <c r="LS2878" s="37"/>
      <c r="LT2878" s="37"/>
      <c r="LU2878" s="37"/>
      <c r="LV2878" s="37"/>
      <c r="LW2878" s="37"/>
      <c r="LX2878" s="37"/>
      <c r="LY2878" s="37"/>
      <c r="LZ2878" s="37"/>
      <c r="MA2878" s="37"/>
      <c r="MB2878" s="37"/>
      <c r="MC2878" s="37"/>
      <c r="MD2878" s="37"/>
      <c r="ME2878" s="37"/>
      <c r="MF2878" s="37"/>
      <c r="MG2878" s="37"/>
      <c r="MH2878" s="37"/>
      <c r="MI2878" s="37"/>
      <c r="MJ2878" s="37"/>
      <c r="MK2878" s="37"/>
      <c r="ML2878" s="37"/>
      <c r="MM2878" s="37"/>
      <c r="MN2878" s="37"/>
      <c r="MO2878" s="37"/>
      <c r="MP2878" s="37"/>
      <c r="MQ2878" s="37"/>
      <c r="MR2878" s="37"/>
      <c r="MS2878" s="37"/>
      <c r="MT2878" s="37"/>
      <c r="MU2878" s="37"/>
      <c r="MV2878" s="37"/>
      <c r="MW2878" s="37"/>
      <c r="MX2878" s="37"/>
      <c r="MY2878" s="37"/>
      <c r="MZ2878" s="37"/>
      <c r="NA2878" s="37"/>
      <c r="NB2878" s="37"/>
      <c r="NC2878" s="37"/>
      <c r="ND2878" s="37"/>
      <c r="NE2878" s="37"/>
      <c r="NF2878" s="37"/>
      <c r="NG2878" s="37"/>
      <c r="NH2878" s="37"/>
      <c r="NI2878" s="37"/>
      <c r="NJ2878" s="37"/>
      <c r="NK2878" s="37"/>
      <c r="NL2878" s="37"/>
      <c r="NM2878" s="37"/>
      <c r="NN2878" s="37"/>
      <c r="NO2878" s="37"/>
      <c r="NP2878" s="37"/>
      <c r="NQ2878" s="37"/>
      <c r="NR2878" s="37"/>
      <c r="NS2878" s="37"/>
      <c r="NT2878" s="37"/>
      <c r="NU2878" s="37"/>
      <c r="NV2878" s="37"/>
      <c r="NW2878" s="37"/>
      <c r="NX2878" s="37"/>
      <c r="NY2878" s="37"/>
      <c r="NZ2878" s="37"/>
      <c r="OA2878" s="37"/>
      <c r="OB2878" s="37"/>
      <c r="OC2878" s="37"/>
      <c r="OD2878" s="37"/>
      <c r="OE2878" s="37"/>
      <c r="OF2878" s="37"/>
      <c r="OG2878" s="37"/>
      <c r="OH2878" s="37"/>
      <c r="OI2878" s="37"/>
      <c r="OJ2878" s="37"/>
      <c r="OK2878" s="37"/>
      <c r="OL2878" s="37"/>
      <c r="OM2878" s="37"/>
      <c r="ON2878" s="37"/>
      <c r="OO2878" s="37"/>
      <c r="OP2878" s="37"/>
      <c r="OQ2878" s="37"/>
      <c r="OR2878" s="37"/>
      <c r="OS2878" s="37"/>
      <c r="OT2878" s="37"/>
      <c r="OU2878" s="37"/>
      <c r="OV2878" s="37"/>
      <c r="OW2878" s="37"/>
      <c r="OX2878" s="37"/>
      <c r="OY2878" s="37"/>
      <c r="OZ2878" s="37"/>
      <c r="PA2878" s="37"/>
      <c r="PB2878" s="37"/>
      <c r="PC2878" s="37"/>
      <c r="PD2878" s="37"/>
      <c r="PE2878" s="37"/>
      <c r="PF2878" s="37"/>
      <c r="PG2878" s="37"/>
      <c r="PH2878" s="37"/>
      <c r="PI2878" s="37"/>
      <c r="PJ2878" s="37"/>
      <c r="PK2878" s="37"/>
      <c r="PL2878" s="37"/>
      <c r="PM2878" s="37"/>
      <c r="PN2878" s="37"/>
      <c r="PO2878" s="37"/>
      <c r="PP2878" s="37"/>
      <c r="PQ2878" s="37"/>
      <c r="PR2878" s="37"/>
      <c r="PS2878" s="37"/>
      <c r="PT2878" s="37"/>
      <c r="PU2878" s="37"/>
      <c r="PV2878" s="37"/>
      <c r="PW2878" s="37"/>
      <c r="PX2878" s="37"/>
      <c r="PY2878" s="37"/>
      <c r="PZ2878" s="37"/>
      <c r="QA2878" s="37"/>
      <c r="QB2878" s="37"/>
      <c r="QC2878" s="37"/>
      <c r="QD2878" s="37"/>
      <c r="QE2878" s="37"/>
      <c r="QF2878" s="37"/>
      <c r="QG2878" s="37"/>
      <c r="QH2878" s="37"/>
      <c r="QI2878" s="37"/>
      <c r="QJ2878" s="37"/>
      <c r="QK2878" s="37"/>
      <c r="QL2878" s="37"/>
      <c r="QM2878" s="37"/>
      <c r="QN2878" s="37"/>
      <c r="QO2878" s="37"/>
      <c r="QP2878" s="37"/>
      <c r="QQ2878" s="37"/>
      <c r="QR2878" s="37"/>
      <c r="QS2878" s="37"/>
      <c r="QT2878" s="37"/>
      <c r="QU2878" s="37"/>
      <c r="QV2878" s="37"/>
      <c r="QW2878" s="37"/>
      <c r="QX2878" s="37"/>
      <c r="QY2878" s="37"/>
      <c r="QZ2878" s="37"/>
      <c r="RA2878" s="37"/>
      <c r="RB2878" s="37"/>
      <c r="RC2878" s="37"/>
      <c r="RD2878" s="37"/>
      <c r="RE2878" s="37"/>
      <c r="RF2878" s="37"/>
      <c r="RG2878" s="37"/>
      <c r="RH2878" s="37"/>
      <c r="RI2878" s="37"/>
      <c r="RJ2878" s="37"/>
      <c r="RK2878" s="37"/>
      <c r="RL2878" s="37"/>
      <c r="RM2878" s="37"/>
      <c r="RN2878" s="37"/>
      <c r="RO2878" s="37"/>
      <c r="RP2878" s="37"/>
      <c r="RQ2878" s="37"/>
      <c r="RR2878" s="37"/>
      <c r="RS2878" s="37"/>
      <c r="RT2878" s="37"/>
      <c r="RU2878" s="37"/>
      <c r="RV2878" s="37"/>
      <c r="RW2878" s="37"/>
      <c r="RX2878" s="37"/>
      <c r="RY2878" s="37"/>
      <c r="RZ2878" s="37"/>
      <c r="SA2878" s="37"/>
      <c r="SB2878" s="37"/>
      <c r="SC2878" s="37"/>
      <c r="SD2878" s="37"/>
      <c r="SE2878" s="37"/>
      <c r="SF2878" s="37"/>
    </row>
    <row r="2879" spans="1:500">
      <c r="A2879" s="37"/>
      <c r="B2879" s="37"/>
      <c r="C2879" s="37"/>
      <c r="D2879" s="37"/>
      <c r="E2879" s="37"/>
      <c r="F2879" s="37"/>
      <c r="G2879" s="37"/>
      <c r="H2879" s="37"/>
      <c r="I2879" s="37"/>
      <c r="J2879" s="37"/>
      <c r="K2879" s="37"/>
      <c r="L2879" s="37"/>
      <c r="M2879" s="37"/>
      <c r="N2879" s="37"/>
      <c r="O2879" s="37"/>
      <c r="P2879" s="37"/>
      <c r="Q2879" s="37"/>
      <c r="R2879" s="37"/>
      <c r="S2879" s="37"/>
      <c r="T2879" s="37"/>
      <c r="U2879" s="37"/>
      <c r="V2879" s="37"/>
      <c r="W2879" s="37"/>
      <c r="X2879" s="37"/>
      <c r="Y2879" s="37"/>
      <c r="Z2879" s="37"/>
      <c r="AA2879" s="37"/>
      <c r="AB2879" s="37"/>
      <c r="AC2879" s="37"/>
      <c r="AD2879" s="37"/>
      <c r="AE2879" s="37"/>
      <c r="AF2879" s="37"/>
      <c r="AG2879" s="37"/>
      <c r="AH2879" s="37"/>
      <c r="AI2879" s="37"/>
      <c r="AJ2879" s="37"/>
      <c r="AK2879" s="37"/>
      <c r="AL2879" s="37"/>
      <c r="AM2879" s="37"/>
      <c r="AN2879" s="37"/>
      <c r="AO2879" s="37"/>
      <c r="AP2879" s="37"/>
      <c r="AQ2879" s="37"/>
      <c r="AR2879" s="37"/>
      <c r="AS2879" s="37"/>
      <c r="AT2879" s="37"/>
      <c r="AU2879" s="37"/>
      <c r="AV2879" s="37"/>
      <c r="AW2879" s="37"/>
      <c r="AX2879" s="37"/>
      <c r="AY2879" s="37"/>
      <c r="AZ2879" s="37"/>
      <c r="BA2879" s="37"/>
      <c r="BB2879" s="37"/>
      <c r="BC2879" s="37"/>
      <c r="BD2879" s="37"/>
      <c r="BE2879" s="37"/>
      <c r="BF2879" s="37"/>
      <c r="BG2879" s="37"/>
      <c r="BH2879" s="37"/>
      <c r="BI2879" s="37"/>
      <c r="BJ2879" s="37"/>
      <c r="BK2879" s="37"/>
      <c r="BL2879" s="37"/>
      <c r="BM2879" s="37"/>
      <c r="BN2879" s="37"/>
      <c r="BO2879" s="37"/>
      <c r="BP2879" s="37"/>
      <c r="BQ2879" s="37"/>
      <c r="BR2879" s="37"/>
      <c r="BS2879" s="37"/>
      <c r="BT2879" s="37"/>
      <c r="BU2879" s="37"/>
      <c r="BV2879" s="37"/>
      <c r="BW2879" s="37"/>
      <c r="BX2879" s="37"/>
      <c r="BY2879" s="37"/>
      <c r="BZ2879" s="37"/>
      <c r="CA2879" s="37"/>
      <c r="CB2879" s="37"/>
      <c r="CC2879" s="37"/>
      <c r="CD2879" s="37"/>
      <c r="CE2879" s="37"/>
      <c r="CF2879" s="37"/>
      <c r="CG2879" s="37"/>
      <c r="CH2879" s="37"/>
      <c r="CI2879" s="37"/>
      <c r="CJ2879" s="37"/>
      <c r="CK2879" s="37"/>
      <c r="CL2879" s="37"/>
      <c r="CM2879" s="37"/>
      <c r="CN2879" s="37"/>
      <c r="CO2879" s="37"/>
      <c r="CP2879" s="37"/>
      <c r="CQ2879" s="37"/>
      <c r="CR2879" s="37"/>
      <c r="CS2879" s="37"/>
      <c r="CT2879" s="37"/>
      <c r="CU2879" s="37"/>
      <c r="CV2879" s="37"/>
      <c r="CW2879" s="37"/>
      <c r="CX2879" s="37"/>
      <c r="CY2879" s="37"/>
      <c r="CZ2879" s="37"/>
      <c r="DA2879" s="37"/>
      <c r="DB2879" s="37"/>
      <c r="DC2879" s="37"/>
      <c r="DD2879" s="37"/>
      <c r="DE2879" s="37"/>
      <c r="DF2879" s="37"/>
      <c r="DG2879" s="37"/>
      <c r="DH2879" s="37"/>
      <c r="DI2879" s="37"/>
      <c r="DJ2879" s="37"/>
      <c r="DK2879" s="37"/>
      <c r="DL2879" s="37"/>
      <c r="DM2879" s="37"/>
      <c r="DN2879" s="37"/>
      <c r="DO2879" s="37"/>
      <c r="DP2879" s="37"/>
      <c r="DQ2879" s="37"/>
      <c r="DR2879" s="37"/>
      <c r="DS2879" s="37"/>
      <c r="DT2879" s="37"/>
      <c r="DU2879" s="37"/>
      <c r="DV2879" s="37"/>
      <c r="DW2879" s="37"/>
      <c r="DX2879" s="37"/>
      <c r="DY2879" s="37"/>
      <c r="DZ2879" s="37"/>
      <c r="EA2879" s="37"/>
      <c r="EB2879" s="37"/>
      <c r="EC2879" s="37"/>
      <c r="ED2879" s="37"/>
      <c r="EE2879" s="37"/>
      <c r="EF2879" s="37"/>
      <c r="EG2879" s="37"/>
      <c r="EH2879" s="37"/>
      <c r="EI2879" s="37"/>
      <c r="EJ2879" s="37"/>
      <c r="EK2879" s="37"/>
      <c r="EL2879" s="37"/>
      <c r="EM2879" s="37"/>
      <c r="EN2879" s="37"/>
      <c r="EO2879" s="37"/>
      <c r="EP2879" s="37"/>
      <c r="EQ2879" s="37"/>
      <c r="ER2879" s="37"/>
      <c r="ES2879" s="37"/>
      <c r="ET2879" s="37"/>
      <c r="EU2879" s="37"/>
      <c r="EV2879" s="37"/>
      <c r="EW2879" s="37"/>
      <c r="EX2879" s="37"/>
      <c r="EY2879" s="37"/>
      <c r="EZ2879" s="37"/>
      <c r="FA2879" s="37"/>
      <c r="FB2879" s="37"/>
      <c r="FC2879" s="37"/>
      <c r="FD2879" s="37"/>
      <c r="FE2879" s="37"/>
      <c r="FF2879" s="37"/>
      <c r="FG2879" s="37"/>
      <c r="FH2879" s="37"/>
      <c r="FI2879" s="37"/>
      <c r="FJ2879" s="37"/>
      <c r="FK2879" s="37"/>
      <c r="FL2879" s="37"/>
      <c r="FM2879" s="37"/>
      <c r="FN2879" s="37"/>
      <c r="FO2879" s="37"/>
      <c r="FP2879" s="37"/>
      <c r="FQ2879" s="37"/>
      <c r="FR2879" s="37"/>
      <c r="FS2879" s="37"/>
      <c r="FT2879" s="37"/>
      <c r="FU2879" s="37"/>
      <c r="FV2879" s="37"/>
      <c r="FW2879" s="37"/>
      <c r="FX2879" s="37"/>
      <c r="FY2879" s="37"/>
      <c r="FZ2879" s="37"/>
      <c r="GA2879" s="37"/>
      <c r="GB2879" s="37"/>
      <c r="GC2879" s="37"/>
      <c r="GD2879" s="37"/>
      <c r="GE2879" s="37"/>
      <c r="GF2879" s="37"/>
      <c r="GG2879" s="37"/>
      <c r="GH2879" s="37"/>
      <c r="GI2879" s="37"/>
      <c r="GJ2879" s="37"/>
      <c r="GK2879" s="37"/>
      <c r="GL2879" s="37"/>
      <c r="GM2879" s="37"/>
      <c r="GN2879" s="37"/>
      <c r="GO2879" s="37"/>
      <c r="GP2879" s="37"/>
      <c r="GQ2879" s="37"/>
      <c r="GR2879" s="37"/>
      <c r="GS2879" s="37"/>
      <c r="GT2879" s="37"/>
      <c r="GU2879" s="37"/>
      <c r="GV2879" s="37"/>
      <c r="GW2879" s="37"/>
      <c r="GX2879" s="37"/>
      <c r="GY2879" s="37"/>
      <c r="GZ2879" s="37"/>
      <c r="HA2879" s="37"/>
      <c r="HB2879" s="37"/>
      <c r="HC2879" s="37"/>
      <c r="HD2879" s="37"/>
      <c r="HE2879" s="37"/>
      <c r="HF2879" s="37"/>
      <c r="HG2879" s="37"/>
      <c r="HH2879" s="37"/>
      <c r="HI2879" s="37"/>
      <c r="HJ2879" s="37"/>
      <c r="HK2879" s="37"/>
      <c r="HL2879" s="37"/>
      <c r="HM2879" s="37"/>
      <c r="HN2879" s="37"/>
      <c r="HO2879" s="37"/>
      <c r="HP2879" s="37"/>
      <c r="HQ2879" s="37"/>
      <c r="HR2879" s="37"/>
      <c r="HS2879" s="37"/>
      <c r="HT2879" s="37"/>
      <c r="HU2879" s="37"/>
      <c r="HV2879" s="37"/>
      <c r="HW2879" s="37"/>
      <c r="HX2879" s="37"/>
      <c r="HY2879" s="37"/>
      <c r="HZ2879" s="37"/>
      <c r="IA2879" s="37"/>
      <c r="IB2879" s="37"/>
      <c r="IC2879" s="37"/>
      <c r="ID2879" s="37"/>
      <c r="IE2879" s="37"/>
      <c r="IF2879" s="37"/>
      <c r="IG2879" s="37"/>
      <c r="IH2879" s="37"/>
      <c r="II2879" s="37"/>
      <c r="IJ2879" s="37"/>
      <c r="IK2879" s="37"/>
      <c r="IL2879" s="37"/>
      <c r="IM2879" s="37"/>
      <c r="IN2879" s="37"/>
      <c r="IO2879" s="37"/>
      <c r="IP2879" s="37"/>
      <c r="IQ2879" s="37"/>
      <c r="IR2879" s="37"/>
      <c r="IS2879" s="37"/>
      <c r="IT2879" s="37"/>
      <c r="IU2879" s="37"/>
      <c r="IV2879" s="37"/>
      <c r="IW2879" s="37"/>
      <c r="IX2879" s="37"/>
      <c r="IY2879" s="37"/>
      <c r="IZ2879" s="37"/>
      <c r="JA2879" s="37"/>
      <c r="JB2879" s="37"/>
      <c r="JC2879" s="37"/>
      <c r="JD2879" s="37"/>
      <c r="JE2879" s="37"/>
      <c r="JF2879" s="37"/>
      <c r="JG2879" s="37"/>
      <c r="JH2879" s="37"/>
      <c r="JI2879" s="37"/>
      <c r="JJ2879" s="37"/>
      <c r="JK2879" s="37"/>
      <c r="JL2879" s="37"/>
      <c r="JM2879" s="37"/>
      <c r="JN2879" s="37"/>
      <c r="JO2879" s="37"/>
      <c r="JP2879" s="37"/>
      <c r="JQ2879" s="37"/>
      <c r="JR2879" s="37"/>
      <c r="JS2879" s="37"/>
      <c r="JT2879" s="37"/>
      <c r="JU2879" s="37"/>
      <c r="JV2879" s="37"/>
      <c r="JW2879" s="37"/>
      <c r="JX2879" s="37"/>
      <c r="JY2879" s="37"/>
      <c r="JZ2879" s="37"/>
      <c r="KA2879" s="37"/>
      <c r="KB2879" s="37"/>
      <c r="KC2879" s="37"/>
      <c r="KD2879" s="37"/>
      <c r="KE2879" s="37"/>
      <c r="KF2879" s="37"/>
      <c r="KG2879" s="37"/>
      <c r="KH2879" s="37"/>
      <c r="KI2879" s="37"/>
      <c r="KJ2879" s="37"/>
      <c r="KK2879" s="37"/>
      <c r="KL2879" s="37"/>
      <c r="KM2879" s="37"/>
      <c r="KN2879" s="37"/>
      <c r="KO2879" s="37"/>
      <c r="KP2879" s="37"/>
      <c r="KQ2879" s="37"/>
      <c r="KR2879" s="37"/>
      <c r="KS2879" s="37"/>
      <c r="KT2879" s="37"/>
      <c r="KU2879" s="37"/>
      <c r="KV2879" s="37"/>
      <c r="KW2879" s="37"/>
      <c r="KX2879" s="37"/>
      <c r="KY2879" s="37"/>
      <c r="KZ2879" s="37"/>
      <c r="LA2879" s="37"/>
      <c r="LB2879" s="37"/>
      <c r="LC2879" s="37"/>
      <c r="LD2879" s="37"/>
      <c r="LE2879" s="37"/>
      <c r="LF2879" s="37"/>
      <c r="LG2879" s="37"/>
      <c r="LH2879" s="37"/>
      <c r="LI2879" s="37"/>
      <c r="LJ2879" s="37"/>
      <c r="LK2879" s="37"/>
      <c r="LL2879" s="37"/>
      <c r="LM2879" s="37"/>
      <c r="LN2879" s="37"/>
      <c r="LO2879" s="37"/>
      <c r="LP2879" s="37"/>
      <c r="LQ2879" s="37"/>
      <c r="LR2879" s="37"/>
      <c r="LS2879" s="37"/>
      <c r="LT2879" s="37"/>
      <c r="LU2879" s="37"/>
      <c r="LV2879" s="37"/>
      <c r="LW2879" s="37"/>
      <c r="LX2879" s="37"/>
      <c r="LY2879" s="37"/>
      <c r="LZ2879" s="37"/>
      <c r="MA2879" s="37"/>
      <c r="MB2879" s="37"/>
      <c r="MC2879" s="37"/>
      <c r="MD2879" s="37"/>
      <c r="ME2879" s="37"/>
      <c r="MF2879" s="37"/>
      <c r="MG2879" s="37"/>
      <c r="MH2879" s="37"/>
      <c r="MI2879" s="37"/>
      <c r="MJ2879" s="37"/>
      <c r="MK2879" s="37"/>
      <c r="ML2879" s="37"/>
      <c r="MM2879" s="37"/>
      <c r="MN2879" s="37"/>
      <c r="MO2879" s="37"/>
      <c r="MP2879" s="37"/>
      <c r="MQ2879" s="37"/>
      <c r="MR2879" s="37"/>
      <c r="MS2879" s="37"/>
      <c r="MT2879" s="37"/>
      <c r="MU2879" s="37"/>
      <c r="MV2879" s="37"/>
      <c r="MW2879" s="37"/>
      <c r="MX2879" s="37"/>
      <c r="MY2879" s="37"/>
      <c r="MZ2879" s="37"/>
      <c r="NA2879" s="37"/>
      <c r="NB2879" s="37"/>
      <c r="NC2879" s="37"/>
      <c r="ND2879" s="37"/>
      <c r="NE2879" s="37"/>
      <c r="NF2879" s="37"/>
      <c r="NG2879" s="37"/>
      <c r="NH2879" s="37"/>
      <c r="NI2879" s="37"/>
      <c r="NJ2879" s="37"/>
      <c r="NK2879" s="37"/>
      <c r="NL2879" s="37"/>
      <c r="NM2879" s="37"/>
      <c r="NN2879" s="37"/>
      <c r="NO2879" s="37"/>
      <c r="NP2879" s="37"/>
      <c r="NQ2879" s="37"/>
      <c r="NR2879" s="37"/>
      <c r="NS2879" s="37"/>
      <c r="NT2879" s="37"/>
      <c r="NU2879" s="37"/>
      <c r="NV2879" s="37"/>
      <c r="NW2879" s="37"/>
      <c r="NX2879" s="37"/>
      <c r="NY2879" s="37"/>
      <c r="NZ2879" s="37"/>
      <c r="OA2879" s="37"/>
      <c r="OB2879" s="37"/>
      <c r="OC2879" s="37"/>
      <c r="OD2879" s="37"/>
      <c r="OE2879" s="37"/>
      <c r="OF2879" s="37"/>
      <c r="OG2879" s="37"/>
      <c r="OH2879" s="37"/>
      <c r="OI2879" s="37"/>
      <c r="OJ2879" s="37"/>
      <c r="OK2879" s="37"/>
      <c r="OL2879" s="37"/>
      <c r="OM2879" s="37"/>
      <c r="ON2879" s="37"/>
      <c r="OO2879" s="37"/>
      <c r="OP2879" s="37"/>
      <c r="OQ2879" s="37"/>
      <c r="OR2879" s="37"/>
      <c r="OS2879" s="37"/>
      <c r="OT2879" s="37"/>
      <c r="OU2879" s="37"/>
      <c r="OV2879" s="37"/>
      <c r="OW2879" s="37"/>
      <c r="OX2879" s="37"/>
      <c r="OY2879" s="37"/>
      <c r="OZ2879" s="37"/>
      <c r="PA2879" s="37"/>
      <c r="PB2879" s="37"/>
      <c r="PC2879" s="37"/>
      <c r="PD2879" s="37"/>
      <c r="PE2879" s="37"/>
      <c r="PF2879" s="37"/>
      <c r="PG2879" s="37"/>
      <c r="PH2879" s="37"/>
      <c r="PI2879" s="37"/>
      <c r="PJ2879" s="37"/>
      <c r="PK2879" s="37"/>
      <c r="PL2879" s="37"/>
      <c r="PM2879" s="37"/>
      <c r="PN2879" s="37"/>
      <c r="PO2879" s="37"/>
      <c r="PP2879" s="37"/>
      <c r="PQ2879" s="37"/>
      <c r="PR2879" s="37"/>
      <c r="PS2879" s="37"/>
      <c r="PT2879" s="37"/>
      <c r="PU2879" s="37"/>
      <c r="PV2879" s="37"/>
      <c r="PW2879" s="37"/>
      <c r="PX2879" s="37"/>
      <c r="PY2879" s="37"/>
      <c r="PZ2879" s="37"/>
      <c r="QA2879" s="37"/>
      <c r="QB2879" s="37"/>
      <c r="QC2879" s="37"/>
      <c r="QD2879" s="37"/>
      <c r="QE2879" s="37"/>
      <c r="QF2879" s="37"/>
      <c r="QG2879" s="37"/>
      <c r="QH2879" s="37"/>
      <c r="QI2879" s="37"/>
      <c r="QJ2879" s="37"/>
      <c r="QK2879" s="37"/>
      <c r="QL2879" s="37"/>
      <c r="QM2879" s="37"/>
      <c r="QN2879" s="37"/>
      <c r="QO2879" s="37"/>
      <c r="QP2879" s="37"/>
      <c r="QQ2879" s="37"/>
      <c r="QR2879" s="37"/>
      <c r="QS2879" s="37"/>
      <c r="QT2879" s="37"/>
      <c r="QU2879" s="37"/>
      <c r="QV2879" s="37"/>
      <c r="QW2879" s="37"/>
      <c r="QX2879" s="37"/>
      <c r="QY2879" s="37"/>
      <c r="QZ2879" s="37"/>
      <c r="RA2879" s="37"/>
      <c r="RB2879" s="37"/>
      <c r="RC2879" s="37"/>
      <c r="RD2879" s="37"/>
      <c r="RE2879" s="37"/>
      <c r="RF2879" s="37"/>
      <c r="RG2879" s="37"/>
      <c r="RH2879" s="37"/>
      <c r="RI2879" s="37"/>
      <c r="RJ2879" s="37"/>
      <c r="RK2879" s="37"/>
      <c r="RL2879" s="37"/>
      <c r="RM2879" s="37"/>
      <c r="RN2879" s="37"/>
      <c r="RO2879" s="37"/>
      <c r="RP2879" s="37"/>
      <c r="RQ2879" s="37"/>
      <c r="RR2879" s="37"/>
      <c r="RS2879" s="37"/>
      <c r="RT2879" s="37"/>
      <c r="RU2879" s="37"/>
      <c r="RV2879" s="37"/>
      <c r="RW2879" s="37"/>
      <c r="RX2879" s="37"/>
      <c r="RY2879" s="37"/>
      <c r="RZ2879" s="37"/>
      <c r="SA2879" s="37"/>
      <c r="SB2879" s="37"/>
      <c r="SC2879" s="37"/>
      <c r="SD2879" s="37"/>
      <c r="SE2879" s="37"/>
      <c r="SF2879" s="37"/>
    </row>
    <row r="2880" spans="1:500">
      <c r="A2880" s="37"/>
      <c r="B2880" s="37"/>
      <c r="C2880" s="37"/>
      <c r="D2880" s="37"/>
      <c r="E2880" s="37"/>
      <c r="F2880" s="37"/>
      <c r="G2880" s="37"/>
      <c r="H2880" s="37"/>
      <c r="I2880" s="37"/>
      <c r="J2880" s="37"/>
      <c r="K2880" s="37"/>
      <c r="L2880" s="37"/>
      <c r="M2880" s="37"/>
      <c r="N2880" s="37"/>
      <c r="O2880" s="37"/>
      <c r="P2880" s="37"/>
      <c r="Q2880" s="37"/>
      <c r="R2880" s="37"/>
      <c r="S2880" s="37"/>
      <c r="T2880" s="37"/>
      <c r="U2880" s="37"/>
      <c r="V2880" s="37"/>
      <c r="W2880" s="37"/>
      <c r="X2880" s="37"/>
      <c r="Y2880" s="37"/>
      <c r="Z2880" s="37"/>
      <c r="AA2880" s="37"/>
      <c r="AB2880" s="37"/>
      <c r="AC2880" s="37"/>
      <c r="AD2880" s="37"/>
      <c r="AE2880" s="37"/>
      <c r="AF2880" s="37"/>
      <c r="AG2880" s="37"/>
      <c r="AH2880" s="37"/>
      <c r="AI2880" s="37"/>
      <c r="AJ2880" s="37"/>
      <c r="AK2880" s="37"/>
      <c r="AL2880" s="37"/>
      <c r="AM2880" s="37"/>
      <c r="AN2880" s="37"/>
      <c r="AO2880" s="37"/>
      <c r="AP2880" s="37"/>
      <c r="AQ2880" s="37"/>
      <c r="AR2880" s="37"/>
      <c r="AS2880" s="37"/>
      <c r="AT2880" s="37"/>
      <c r="AU2880" s="37"/>
      <c r="AV2880" s="37"/>
      <c r="AW2880" s="37"/>
      <c r="AX2880" s="37"/>
      <c r="AY2880" s="37"/>
      <c r="AZ2880" s="37"/>
      <c r="BA2880" s="37"/>
      <c r="BB2880" s="37"/>
      <c r="BC2880" s="37"/>
      <c r="BD2880" s="37"/>
      <c r="BE2880" s="37"/>
      <c r="BF2880" s="37"/>
      <c r="BG2880" s="37"/>
      <c r="BH2880" s="37"/>
      <c r="BI2880" s="37"/>
      <c r="BJ2880" s="37"/>
      <c r="BK2880" s="37"/>
      <c r="BL2880" s="37"/>
      <c r="BM2880" s="37"/>
      <c r="BN2880" s="37"/>
      <c r="BO2880" s="37"/>
      <c r="BP2880" s="37"/>
      <c r="BQ2880" s="37"/>
      <c r="BR2880" s="37"/>
      <c r="BS2880" s="37"/>
      <c r="BT2880" s="37"/>
      <c r="BU2880" s="37"/>
      <c r="BV2880" s="37"/>
      <c r="BW2880" s="37"/>
      <c r="BX2880" s="37"/>
      <c r="BY2880" s="37"/>
      <c r="BZ2880" s="37"/>
      <c r="CA2880" s="37"/>
      <c r="CB2880" s="37"/>
      <c r="CC2880" s="37"/>
      <c r="CD2880" s="37"/>
      <c r="CE2880" s="37"/>
      <c r="CF2880" s="37"/>
      <c r="CG2880" s="37"/>
      <c r="CH2880" s="37"/>
      <c r="CI2880" s="37"/>
      <c r="CJ2880" s="37"/>
      <c r="CK2880" s="37"/>
      <c r="CL2880" s="37"/>
      <c r="CM2880" s="37"/>
      <c r="CN2880" s="37"/>
      <c r="CO2880" s="37"/>
      <c r="CP2880" s="37"/>
      <c r="CQ2880" s="37"/>
      <c r="CR2880" s="37"/>
      <c r="CS2880" s="37"/>
      <c r="CT2880" s="37"/>
      <c r="CU2880" s="37"/>
      <c r="CV2880" s="37"/>
      <c r="CW2880" s="37"/>
      <c r="CX2880" s="37"/>
      <c r="CY2880" s="37"/>
      <c r="CZ2880" s="37"/>
      <c r="DA2880" s="37"/>
      <c r="DB2880" s="37"/>
      <c r="DC2880" s="37"/>
      <c r="DD2880" s="37"/>
      <c r="DE2880" s="37"/>
      <c r="DF2880" s="37"/>
      <c r="DG2880" s="37"/>
      <c r="DH2880" s="37"/>
      <c r="DI2880" s="37"/>
      <c r="DJ2880" s="37"/>
      <c r="DK2880" s="37"/>
      <c r="DL2880" s="37"/>
      <c r="DM2880" s="37"/>
      <c r="DN2880" s="37"/>
      <c r="DO2880" s="37"/>
      <c r="DP2880" s="37"/>
      <c r="DQ2880" s="37"/>
      <c r="DR2880" s="37"/>
      <c r="DS2880" s="37"/>
      <c r="DT2880" s="37"/>
      <c r="DU2880" s="37"/>
      <c r="DV2880" s="37"/>
      <c r="DW2880" s="37"/>
      <c r="DX2880" s="37"/>
      <c r="DY2880" s="37"/>
      <c r="DZ2880" s="37"/>
      <c r="EA2880" s="37"/>
      <c r="EB2880" s="37"/>
      <c r="EC2880" s="37"/>
      <c r="ED2880" s="37"/>
      <c r="EE2880" s="37"/>
      <c r="EF2880" s="37"/>
      <c r="EG2880" s="37"/>
      <c r="EH2880" s="37"/>
      <c r="EI2880" s="37"/>
      <c r="EJ2880" s="37"/>
      <c r="EK2880" s="37"/>
      <c r="EL2880" s="37"/>
      <c r="EM2880" s="37"/>
      <c r="EN2880" s="37"/>
      <c r="EO2880" s="37"/>
      <c r="EP2880" s="37"/>
      <c r="EQ2880" s="37"/>
      <c r="ER2880" s="37"/>
      <c r="ES2880" s="37"/>
      <c r="ET2880" s="37"/>
      <c r="EU2880" s="37"/>
      <c r="EV2880" s="37"/>
      <c r="EW2880" s="37"/>
      <c r="EX2880" s="37"/>
      <c r="EY2880" s="37"/>
      <c r="EZ2880" s="37"/>
      <c r="FA2880" s="37"/>
      <c r="FB2880" s="37"/>
      <c r="FC2880" s="37"/>
      <c r="FD2880" s="37"/>
      <c r="FE2880" s="37"/>
      <c r="FF2880" s="37"/>
      <c r="FG2880" s="37"/>
      <c r="FH2880" s="37"/>
      <c r="FI2880" s="37"/>
      <c r="FJ2880" s="37"/>
      <c r="FK2880" s="37"/>
      <c r="FL2880" s="37"/>
      <c r="FM2880" s="37"/>
      <c r="FN2880" s="37"/>
      <c r="FO2880" s="37"/>
      <c r="FP2880" s="37"/>
      <c r="FQ2880" s="37"/>
      <c r="FR2880" s="37"/>
      <c r="FS2880" s="37"/>
      <c r="FT2880" s="37"/>
      <c r="FU2880" s="37"/>
      <c r="FV2880" s="37"/>
      <c r="FW2880" s="37"/>
      <c r="FX2880" s="37"/>
      <c r="FY2880" s="37"/>
      <c r="FZ2880" s="37"/>
      <c r="GA2880" s="37"/>
      <c r="GB2880" s="37"/>
      <c r="GC2880" s="37"/>
      <c r="GD2880" s="37"/>
      <c r="GE2880" s="37"/>
      <c r="GF2880" s="37"/>
      <c r="GG2880" s="37"/>
      <c r="GH2880" s="37"/>
      <c r="GI2880" s="37"/>
      <c r="GJ2880" s="37"/>
      <c r="GK2880" s="37"/>
      <c r="GL2880" s="37"/>
      <c r="GM2880" s="37"/>
      <c r="GN2880" s="37"/>
      <c r="GO2880" s="37"/>
      <c r="GP2880" s="37"/>
      <c r="GQ2880" s="37"/>
      <c r="GR2880" s="37"/>
      <c r="GS2880" s="37"/>
      <c r="GT2880" s="37"/>
      <c r="GU2880" s="37"/>
      <c r="GV2880" s="37"/>
      <c r="GW2880" s="37"/>
      <c r="GX2880" s="37"/>
      <c r="GY2880" s="37"/>
      <c r="GZ2880" s="37"/>
      <c r="HA2880" s="37"/>
      <c r="HB2880" s="37"/>
      <c r="HC2880" s="37"/>
      <c r="HD2880" s="37"/>
      <c r="HE2880" s="37"/>
      <c r="HF2880" s="37"/>
      <c r="HG2880" s="37"/>
      <c r="HH2880" s="37"/>
      <c r="HI2880" s="37"/>
      <c r="HJ2880" s="37"/>
      <c r="HK2880" s="37"/>
      <c r="HL2880" s="37"/>
      <c r="HM2880" s="37"/>
      <c r="HN2880" s="37"/>
      <c r="HO2880" s="37"/>
      <c r="HP2880" s="37"/>
      <c r="HQ2880" s="37"/>
      <c r="HR2880" s="37"/>
      <c r="HS2880" s="37"/>
      <c r="HT2880" s="37"/>
      <c r="HU2880" s="37"/>
      <c r="HV2880" s="37"/>
      <c r="HW2880" s="37"/>
      <c r="HX2880" s="37"/>
      <c r="HY2880" s="37"/>
      <c r="HZ2880" s="37"/>
      <c r="IA2880" s="37"/>
      <c r="IB2880" s="37"/>
      <c r="IC2880" s="37"/>
      <c r="ID2880" s="37"/>
      <c r="IE2880" s="37"/>
      <c r="IF2880" s="37"/>
      <c r="IG2880" s="37"/>
      <c r="IH2880" s="37"/>
      <c r="II2880" s="37"/>
      <c r="IJ2880" s="37"/>
      <c r="IK2880" s="37"/>
      <c r="IL2880" s="37"/>
      <c r="IM2880" s="37"/>
      <c r="IN2880" s="37"/>
      <c r="IO2880" s="37"/>
      <c r="IP2880" s="37"/>
      <c r="IQ2880" s="37"/>
      <c r="IR2880" s="37"/>
      <c r="IS2880" s="37"/>
      <c r="IT2880" s="37"/>
      <c r="IU2880" s="37"/>
      <c r="IV2880" s="37"/>
      <c r="IW2880" s="37"/>
      <c r="IX2880" s="37"/>
      <c r="IY2880" s="37"/>
      <c r="IZ2880" s="37"/>
      <c r="JA2880" s="37"/>
      <c r="JB2880" s="37"/>
      <c r="JC2880" s="37"/>
      <c r="JD2880" s="37"/>
      <c r="JE2880" s="37"/>
      <c r="JF2880" s="37"/>
      <c r="JG2880" s="37"/>
      <c r="JH2880" s="37"/>
      <c r="JI2880" s="37"/>
      <c r="JJ2880" s="37"/>
      <c r="JK2880" s="37"/>
      <c r="JL2880" s="37"/>
      <c r="JM2880" s="37"/>
      <c r="JN2880" s="37"/>
      <c r="JO2880" s="37"/>
      <c r="JP2880" s="37"/>
      <c r="JQ2880" s="37"/>
      <c r="JR2880" s="37"/>
      <c r="JS2880" s="37"/>
      <c r="JT2880" s="37"/>
      <c r="JU2880" s="37"/>
      <c r="JV2880" s="37"/>
      <c r="JW2880" s="37"/>
      <c r="JX2880" s="37"/>
      <c r="JY2880" s="37"/>
      <c r="JZ2880" s="37"/>
      <c r="KA2880" s="37"/>
      <c r="KB2880" s="37"/>
      <c r="KC2880" s="37"/>
      <c r="KD2880" s="37"/>
      <c r="KE2880" s="37"/>
      <c r="KF2880" s="37"/>
      <c r="KG2880" s="37"/>
      <c r="KH2880" s="37"/>
      <c r="KI2880" s="37"/>
      <c r="KJ2880" s="37"/>
      <c r="KK2880" s="37"/>
      <c r="KL2880" s="37"/>
      <c r="KM2880" s="37"/>
      <c r="KN2880" s="37"/>
      <c r="KO2880" s="37"/>
      <c r="KP2880" s="37"/>
      <c r="KQ2880" s="37"/>
      <c r="KR2880" s="37"/>
      <c r="KS2880" s="37"/>
      <c r="KT2880" s="37"/>
      <c r="KU2880" s="37"/>
      <c r="KV2880" s="37"/>
      <c r="KW2880" s="37"/>
      <c r="KX2880" s="37"/>
      <c r="KY2880" s="37"/>
      <c r="KZ2880" s="37"/>
      <c r="LA2880" s="37"/>
      <c r="LB2880" s="37"/>
      <c r="LC2880" s="37"/>
      <c r="LD2880" s="37"/>
      <c r="LE2880" s="37"/>
      <c r="LF2880" s="37"/>
      <c r="LG2880" s="37"/>
      <c r="LH2880" s="37"/>
      <c r="LI2880" s="37"/>
      <c r="LJ2880" s="37"/>
      <c r="LK2880" s="37"/>
      <c r="LL2880" s="37"/>
      <c r="LM2880" s="37"/>
      <c r="LN2880" s="37"/>
      <c r="LO2880" s="37"/>
      <c r="LP2880" s="37"/>
      <c r="LQ2880" s="37"/>
      <c r="LR2880" s="37"/>
      <c r="LS2880" s="37"/>
      <c r="LT2880" s="37"/>
      <c r="LU2880" s="37"/>
      <c r="LV2880" s="37"/>
      <c r="LW2880" s="37"/>
      <c r="LX2880" s="37"/>
      <c r="LY2880" s="37"/>
      <c r="LZ2880" s="37"/>
      <c r="MA2880" s="37"/>
      <c r="MB2880" s="37"/>
      <c r="MC2880" s="37"/>
      <c r="MD2880" s="37"/>
      <c r="ME2880" s="37"/>
      <c r="MF2880" s="37"/>
      <c r="MG2880" s="37"/>
      <c r="MH2880" s="37"/>
      <c r="MI2880" s="37"/>
      <c r="MJ2880" s="37"/>
      <c r="MK2880" s="37"/>
      <c r="ML2880" s="37"/>
      <c r="MM2880" s="37"/>
      <c r="MN2880" s="37"/>
      <c r="MO2880" s="37"/>
      <c r="MP2880" s="37"/>
      <c r="MQ2880" s="37"/>
      <c r="MR2880" s="37"/>
      <c r="MS2880" s="37"/>
      <c r="MT2880" s="37"/>
      <c r="MU2880" s="37"/>
      <c r="MV2880" s="37"/>
      <c r="MW2880" s="37"/>
      <c r="MX2880" s="37"/>
      <c r="MY2880" s="37"/>
      <c r="MZ2880" s="37"/>
      <c r="NA2880" s="37"/>
      <c r="NB2880" s="37"/>
      <c r="NC2880" s="37"/>
      <c r="ND2880" s="37"/>
      <c r="NE2880" s="37"/>
      <c r="NF2880" s="37"/>
      <c r="NG2880" s="37"/>
      <c r="NH2880" s="37"/>
      <c r="NI2880" s="37"/>
      <c r="NJ2880" s="37"/>
      <c r="NK2880" s="37"/>
      <c r="NL2880" s="37"/>
      <c r="NM2880" s="37"/>
      <c r="NN2880" s="37"/>
      <c r="NO2880" s="37"/>
      <c r="NP2880" s="37"/>
      <c r="NQ2880" s="37"/>
      <c r="NR2880" s="37"/>
      <c r="NS2880" s="37"/>
      <c r="NT2880" s="37"/>
      <c r="NU2880" s="37"/>
      <c r="NV2880" s="37"/>
      <c r="NW2880" s="37"/>
      <c r="NX2880" s="37"/>
      <c r="NY2880" s="37"/>
      <c r="NZ2880" s="37"/>
      <c r="OA2880" s="37"/>
      <c r="OB2880" s="37"/>
      <c r="OC2880" s="37"/>
      <c r="OD2880" s="37"/>
      <c r="OE2880" s="37"/>
      <c r="OF2880" s="37"/>
      <c r="OG2880" s="37"/>
      <c r="OH2880" s="37"/>
      <c r="OI2880" s="37"/>
      <c r="OJ2880" s="37"/>
      <c r="OK2880" s="37"/>
      <c r="OL2880" s="37"/>
      <c r="OM2880" s="37"/>
      <c r="ON2880" s="37"/>
      <c r="OO2880" s="37"/>
      <c r="OP2880" s="37"/>
      <c r="OQ2880" s="37"/>
      <c r="OR2880" s="37"/>
      <c r="OS2880" s="37"/>
      <c r="OT2880" s="37"/>
      <c r="OU2880" s="37"/>
      <c r="OV2880" s="37"/>
      <c r="OW2880" s="37"/>
      <c r="OX2880" s="37"/>
      <c r="OY2880" s="37"/>
      <c r="OZ2880" s="37"/>
      <c r="PA2880" s="37"/>
      <c r="PB2880" s="37"/>
      <c r="PC2880" s="37"/>
      <c r="PD2880" s="37"/>
      <c r="PE2880" s="37"/>
      <c r="PF2880" s="37"/>
      <c r="PG2880" s="37"/>
      <c r="PH2880" s="37"/>
      <c r="PI2880" s="37"/>
      <c r="PJ2880" s="37"/>
      <c r="PK2880" s="37"/>
      <c r="PL2880" s="37"/>
      <c r="PM2880" s="37"/>
      <c r="PN2880" s="37"/>
      <c r="PO2880" s="37"/>
      <c r="PP2880" s="37"/>
      <c r="PQ2880" s="37"/>
      <c r="PR2880" s="37"/>
      <c r="PS2880" s="37"/>
      <c r="PT2880" s="37"/>
      <c r="PU2880" s="37"/>
      <c r="PV2880" s="37"/>
      <c r="PW2880" s="37"/>
      <c r="PX2880" s="37"/>
      <c r="PY2880" s="37"/>
      <c r="PZ2880" s="37"/>
      <c r="QA2880" s="37"/>
      <c r="QB2880" s="37"/>
      <c r="QC2880" s="37"/>
      <c r="QD2880" s="37"/>
      <c r="QE2880" s="37"/>
      <c r="QF2880" s="37"/>
      <c r="QG2880" s="37"/>
      <c r="QH2880" s="37"/>
      <c r="QI2880" s="37"/>
      <c r="QJ2880" s="37"/>
      <c r="QK2880" s="37"/>
      <c r="QL2880" s="37"/>
      <c r="QM2880" s="37"/>
      <c r="QN2880" s="37"/>
      <c r="QO2880" s="37"/>
      <c r="QP2880" s="37"/>
      <c r="QQ2880" s="37"/>
      <c r="QR2880" s="37"/>
      <c r="QS2880" s="37"/>
      <c r="QT2880" s="37"/>
      <c r="QU2880" s="37"/>
      <c r="QV2880" s="37"/>
      <c r="QW2880" s="37"/>
      <c r="QX2880" s="37"/>
      <c r="QY2880" s="37"/>
      <c r="QZ2880" s="37"/>
      <c r="RA2880" s="37"/>
      <c r="RB2880" s="37"/>
      <c r="RC2880" s="37"/>
      <c r="RD2880" s="37"/>
      <c r="RE2880" s="37"/>
      <c r="RF2880" s="37"/>
      <c r="RG2880" s="37"/>
      <c r="RH2880" s="37"/>
      <c r="RI2880" s="37"/>
      <c r="RJ2880" s="37"/>
      <c r="RK2880" s="37"/>
      <c r="RL2880" s="37"/>
      <c r="RM2880" s="37"/>
      <c r="RN2880" s="37"/>
      <c r="RO2880" s="37"/>
      <c r="RP2880" s="37"/>
      <c r="RQ2880" s="37"/>
      <c r="RR2880" s="37"/>
      <c r="RS2880" s="37"/>
      <c r="RT2880" s="37"/>
      <c r="RU2880" s="37"/>
      <c r="RV2880" s="37"/>
      <c r="RW2880" s="37"/>
      <c r="RX2880" s="37"/>
      <c r="RY2880" s="37"/>
      <c r="RZ2880" s="37"/>
      <c r="SA2880" s="37"/>
      <c r="SB2880" s="37"/>
      <c r="SC2880" s="37"/>
      <c r="SD2880" s="37"/>
      <c r="SE2880" s="37"/>
      <c r="SF2880" s="37"/>
    </row>
    <row r="2881" spans="1:500">
      <c r="A2881" s="37"/>
      <c r="B2881" s="37"/>
      <c r="C2881" s="37"/>
      <c r="D2881" s="37"/>
      <c r="E2881" s="37"/>
      <c r="F2881" s="37"/>
      <c r="G2881" s="37"/>
      <c r="H2881" s="37"/>
      <c r="I2881" s="37"/>
      <c r="J2881" s="37"/>
      <c r="K2881" s="37"/>
      <c r="L2881" s="37"/>
      <c r="M2881" s="37"/>
      <c r="N2881" s="37"/>
      <c r="O2881" s="37"/>
      <c r="P2881" s="37"/>
      <c r="Q2881" s="37"/>
      <c r="R2881" s="37"/>
      <c r="S2881" s="37"/>
      <c r="T2881" s="37"/>
      <c r="U2881" s="37"/>
      <c r="V2881" s="37"/>
      <c r="W2881" s="37"/>
      <c r="X2881" s="37"/>
      <c r="Y2881" s="37"/>
      <c r="Z2881" s="37"/>
      <c r="AA2881" s="37"/>
      <c r="AB2881" s="37"/>
      <c r="AC2881" s="37"/>
      <c r="AD2881" s="37"/>
      <c r="AE2881" s="37"/>
      <c r="AF2881" s="37"/>
      <c r="AG2881" s="37"/>
      <c r="AH2881" s="37"/>
      <c r="AI2881" s="37"/>
      <c r="AJ2881" s="37"/>
      <c r="AK2881" s="37"/>
      <c r="AL2881" s="37"/>
      <c r="AM2881" s="37"/>
      <c r="AN2881" s="37"/>
      <c r="AO2881" s="37"/>
      <c r="AP2881" s="37"/>
      <c r="AQ2881" s="37"/>
      <c r="AR2881" s="37"/>
      <c r="AS2881" s="37"/>
      <c r="AT2881" s="37"/>
      <c r="AU2881" s="37"/>
      <c r="AV2881" s="37"/>
      <c r="AW2881" s="37"/>
      <c r="AX2881" s="37"/>
      <c r="AY2881" s="37"/>
      <c r="AZ2881" s="37"/>
      <c r="BA2881" s="37"/>
      <c r="BB2881" s="37"/>
      <c r="BC2881" s="37"/>
      <c r="BD2881" s="37"/>
      <c r="BE2881" s="37"/>
      <c r="BF2881" s="37"/>
      <c r="BG2881" s="37"/>
      <c r="BH2881" s="37"/>
      <c r="BI2881" s="37"/>
      <c r="BJ2881" s="37"/>
      <c r="BK2881" s="37"/>
      <c r="BL2881" s="37"/>
      <c r="BM2881" s="37"/>
      <c r="BN2881" s="37"/>
      <c r="BO2881" s="37"/>
      <c r="BP2881" s="37"/>
      <c r="BQ2881" s="37"/>
      <c r="BR2881" s="37"/>
      <c r="BS2881" s="37"/>
      <c r="BT2881" s="37"/>
      <c r="BU2881" s="37"/>
      <c r="BV2881" s="37"/>
      <c r="BW2881" s="37"/>
      <c r="BX2881" s="37"/>
      <c r="BY2881" s="37"/>
      <c r="BZ2881" s="37"/>
      <c r="CA2881" s="37"/>
      <c r="CB2881" s="37"/>
      <c r="CC2881" s="37"/>
      <c r="CD2881" s="37"/>
      <c r="CE2881" s="37"/>
      <c r="CF2881" s="37"/>
      <c r="CG2881" s="37"/>
      <c r="CH2881" s="37"/>
      <c r="CI2881" s="37"/>
      <c r="CJ2881" s="37"/>
      <c r="CK2881" s="37"/>
      <c r="CL2881" s="37"/>
      <c r="CM2881" s="37"/>
      <c r="CN2881" s="37"/>
      <c r="CO2881" s="37"/>
      <c r="CP2881" s="37"/>
      <c r="CQ2881" s="37"/>
      <c r="CR2881" s="37"/>
      <c r="CS2881" s="37"/>
      <c r="CT2881" s="37"/>
      <c r="CU2881" s="37"/>
      <c r="CV2881" s="37"/>
      <c r="CW2881" s="37"/>
      <c r="CX2881" s="37"/>
      <c r="CY2881" s="37"/>
      <c r="CZ2881" s="37"/>
      <c r="DA2881" s="37"/>
      <c r="DB2881" s="37"/>
      <c r="DC2881" s="37"/>
      <c r="DD2881" s="37"/>
      <c r="DE2881" s="37"/>
      <c r="DF2881" s="37"/>
      <c r="DG2881" s="37"/>
      <c r="DH2881" s="37"/>
      <c r="DI2881" s="37"/>
      <c r="DJ2881" s="37"/>
      <c r="DK2881" s="37"/>
      <c r="DL2881" s="37"/>
      <c r="DM2881" s="37"/>
      <c r="DN2881" s="37"/>
      <c r="DO2881" s="37"/>
      <c r="DP2881" s="37"/>
      <c r="DQ2881" s="37"/>
      <c r="DR2881" s="37"/>
      <c r="DS2881" s="37"/>
      <c r="DT2881" s="37"/>
      <c r="DU2881" s="37"/>
      <c r="DV2881" s="37"/>
      <c r="DW2881" s="37"/>
      <c r="DX2881" s="37"/>
      <c r="DY2881" s="37"/>
      <c r="DZ2881" s="37"/>
      <c r="EA2881" s="37"/>
      <c r="EB2881" s="37"/>
      <c r="EC2881" s="37"/>
      <c r="ED2881" s="37"/>
      <c r="EE2881" s="37"/>
      <c r="EF2881" s="37"/>
      <c r="EG2881" s="37"/>
      <c r="EH2881" s="37"/>
      <c r="EI2881" s="37"/>
      <c r="EJ2881" s="37"/>
      <c r="EK2881" s="37"/>
      <c r="EL2881" s="37"/>
      <c r="EM2881" s="37"/>
      <c r="EN2881" s="37"/>
      <c r="EO2881" s="37"/>
      <c r="EP2881" s="37"/>
      <c r="EQ2881" s="37"/>
      <c r="ER2881" s="37"/>
      <c r="ES2881" s="37"/>
      <c r="ET2881" s="37"/>
      <c r="EU2881" s="37"/>
      <c r="EV2881" s="37"/>
      <c r="EW2881" s="37"/>
      <c r="EX2881" s="37"/>
      <c r="EY2881" s="37"/>
      <c r="EZ2881" s="37"/>
      <c r="FA2881" s="37"/>
      <c r="FB2881" s="37"/>
      <c r="FC2881" s="37"/>
      <c r="FD2881" s="37"/>
      <c r="FE2881" s="37"/>
      <c r="FF2881" s="37"/>
      <c r="FG2881" s="37"/>
      <c r="FH2881" s="37"/>
      <c r="FI2881" s="37"/>
      <c r="FJ2881" s="37"/>
      <c r="FK2881" s="37"/>
      <c r="FL2881" s="37"/>
      <c r="FM2881" s="37"/>
      <c r="FN2881" s="37"/>
      <c r="FO2881" s="37"/>
      <c r="FP2881" s="37"/>
      <c r="FQ2881" s="37"/>
      <c r="FR2881" s="37"/>
      <c r="FS2881" s="37"/>
      <c r="FT2881" s="37"/>
      <c r="FU2881" s="37"/>
      <c r="FV2881" s="37"/>
      <c r="FW2881" s="37"/>
      <c r="FX2881" s="37"/>
      <c r="FY2881" s="37"/>
      <c r="FZ2881" s="37"/>
      <c r="GA2881" s="37"/>
      <c r="GB2881" s="37"/>
      <c r="GC2881" s="37"/>
      <c r="GD2881" s="37"/>
      <c r="GE2881" s="37"/>
      <c r="GF2881" s="37"/>
      <c r="GG2881" s="37"/>
      <c r="GH2881" s="37"/>
      <c r="GI2881" s="37"/>
      <c r="GJ2881" s="37"/>
      <c r="GK2881" s="37"/>
      <c r="GL2881" s="37"/>
      <c r="GM2881" s="37"/>
      <c r="GN2881" s="37"/>
      <c r="GO2881" s="37"/>
      <c r="GP2881" s="37"/>
      <c r="GQ2881" s="37"/>
      <c r="GR2881" s="37"/>
      <c r="GS2881" s="37"/>
      <c r="GT2881" s="37"/>
      <c r="GU2881" s="37"/>
      <c r="GV2881" s="37"/>
      <c r="GW2881" s="37"/>
      <c r="GX2881" s="37"/>
      <c r="GY2881" s="37"/>
      <c r="GZ2881" s="37"/>
      <c r="HA2881" s="37"/>
      <c r="HB2881" s="37"/>
      <c r="HC2881" s="37"/>
      <c r="HD2881" s="37"/>
      <c r="HE2881" s="37"/>
      <c r="HF2881" s="37"/>
      <c r="HG2881" s="37"/>
      <c r="HH2881" s="37"/>
      <c r="HI2881" s="37"/>
      <c r="HJ2881" s="37"/>
      <c r="HK2881" s="37"/>
      <c r="HL2881" s="37"/>
      <c r="HM2881" s="37"/>
      <c r="HN2881" s="37"/>
      <c r="HO2881" s="37"/>
      <c r="HP2881" s="37"/>
      <c r="HQ2881" s="37"/>
      <c r="HR2881" s="37"/>
      <c r="HS2881" s="37"/>
      <c r="HT2881" s="37"/>
      <c r="HU2881" s="37"/>
      <c r="HV2881" s="37"/>
      <c r="HW2881" s="37"/>
      <c r="HX2881" s="37"/>
      <c r="HY2881" s="37"/>
      <c r="HZ2881" s="37"/>
      <c r="IA2881" s="37"/>
      <c r="IB2881" s="37"/>
      <c r="IC2881" s="37"/>
      <c r="ID2881" s="37"/>
      <c r="IE2881" s="37"/>
      <c r="IF2881" s="37"/>
      <c r="IG2881" s="37"/>
      <c r="IH2881" s="37"/>
      <c r="II2881" s="37"/>
      <c r="IJ2881" s="37"/>
      <c r="IK2881" s="37"/>
      <c r="IL2881" s="37"/>
      <c r="IM2881" s="37"/>
      <c r="IN2881" s="37"/>
      <c r="IO2881" s="37"/>
      <c r="IP2881" s="37"/>
      <c r="IQ2881" s="37"/>
      <c r="IR2881" s="37"/>
      <c r="IS2881" s="37"/>
      <c r="IT2881" s="37"/>
      <c r="IU2881" s="37"/>
      <c r="IV2881" s="37"/>
      <c r="IW2881" s="37"/>
      <c r="IX2881" s="37"/>
      <c r="IY2881" s="37"/>
      <c r="IZ2881" s="37"/>
      <c r="JA2881" s="37"/>
      <c r="JB2881" s="37"/>
      <c r="JC2881" s="37"/>
      <c r="JD2881" s="37"/>
      <c r="JE2881" s="37"/>
      <c r="JF2881" s="37"/>
      <c r="JG2881" s="37"/>
      <c r="JH2881" s="37"/>
      <c r="JI2881" s="37"/>
      <c r="JJ2881" s="37"/>
      <c r="JK2881" s="37"/>
      <c r="JL2881" s="37"/>
      <c r="JM2881" s="37"/>
      <c r="JN2881" s="37"/>
      <c r="JO2881" s="37"/>
      <c r="JP2881" s="37"/>
      <c r="JQ2881" s="37"/>
      <c r="JR2881" s="37"/>
      <c r="JS2881" s="37"/>
      <c r="JT2881" s="37"/>
      <c r="JU2881" s="37"/>
      <c r="JV2881" s="37"/>
      <c r="JW2881" s="37"/>
      <c r="JX2881" s="37"/>
      <c r="JY2881" s="37"/>
      <c r="JZ2881" s="37"/>
      <c r="KA2881" s="37"/>
      <c r="KB2881" s="37"/>
      <c r="KC2881" s="37"/>
      <c r="KD2881" s="37"/>
      <c r="KE2881" s="37"/>
      <c r="KF2881" s="37"/>
      <c r="KG2881" s="37"/>
      <c r="KH2881" s="37"/>
      <c r="KI2881" s="37"/>
      <c r="KJ2881" s="37"/>
      <c r="KK2881" s="37"/>
      <c r="KL2881" s="37"/>
      <c r="KM2881" s="37"/>
      <c r="KN2881" s="37"/>
      <c r="KO2881" s="37"/>
      <c r="KP2881" s="37"/>
      <c r="KQ2881" s="37"/>
      <c r="KR2881" s="37"/>
      <c r="KS2881" s="37"/>
      <c r="KT2881" s="37"/>
      <c r="KU2881" s="37"/>
      <c r="KV2881" s="37"/>
      <c r="KW2881" s="37"/>
      <c r="KX2881" s="37"/>
      <c r="KY2881" s="37"/>
      <c r="KZ2881" s="37"/>
      <c r="LA2881" s="37"/>
      <c r="LB2881" s="37"/>
      <c r="LC2881" s="37"/>
      <c r="LD2881" s="37"/>
      <c r="LE2881" s="37"/>
      <c r="LF2881" s="37"/>
      <c r="LG2881" s="37"/>
      <c r="LH2881" s="37"/>
      <c r="LI2881" s="37"/>
      <c r="LJ2881" s="37"/>
      <c r="LK2881" s="37"/>
      <c r="LL2881" s="37"/>
      <c r="LM2881" s="37"/>
      <c r="LN2881" s="37"/>
      <c r="LO2881" s="37"/>
      <c r="LP2881" s="37"/>
      <c r="LQ2881" s="37"/>
      <c r="LR2881" s="37"/>
      <c r="LS2881" s="37"/>
      <c r="LT2881" s="37"/>
      <c r="LU2881" s="37"/>
      <c r="LV2881" s="37"/>
      <c r="LW2881" s="37"/>
      <c r="LX2881" s="37"/>
      <c r="LY2881" s="37"/>
      <c r="LZ2881" s="37"/>
      <c r="MA2881" s="37"/>
      <c r="MB2881" s="37"/>
      <c r="MC2881" s="37"/>
      <c r="MD2881" s="37"/>
      <c r="ME2881" s="37"/>
      <c r="MF2881" s="37"/>
      <c r="MG2881" s="37"/>
      <c r="MH2881" s="37"/>
      <c r="MI2881" s="37"/>
      <c r="MJ2881" s="37"/>
      <c r="MK2881" s="37"/>
      <c r="ML2881" s="37"/>
      <c r="MM2881" s="37"/>
      <c r="MN2881" s="37"/>
      <c r="MO2881" s="37"/>
      <c r="MP2881" s="37"/>
      <c r="MQ2881" s="37"/>
      <c r="MR2881" s="37"/>
      <c r="MS2881" s="37"/>
      <c r="MT2881" s="37"/>
      <c r="MU2881" s="37"/>
      <c r="MV2881" s="37"/>
      <c r="MW2881" s="37"/>
      <c r="MX2881" s="37"/>
      <c r="MY2881" s="37"/>
      <c r="MZ2881" s="37"/>
      <c r="NA2881" s="37"/>
      <c r="NB2881" s="37"/>
      <c r="NC2881" s="37"/>
      <c r="ND2881" s="37"/>
      <c r="NE2881" s="37"/>
      <c r="NF2881" s="37"/>
      <c r="NG2881" s="37"/>
      <c r="NH2881" s="37"/>
      <c r="NI2881" s="37"/>
      <c r="NJ2881" s="37"/>
      <c r="NK2881" s="37"/>
      <c r="NL2881" s="37"/>
      <c r="NM2881" s="37"/>
      <c r="NN2881" s="37"/>
      <c r="NO2881" s="37"/>
      <c r="NP2881" s="37"/>
      <c r="NQ2881" s="37"/>
      <c r="NR2881" s="37"/>
      <c r="NS2881" s="37"/>
      <c r="NT2881" s="37"/>
      <c r="NU2881" s="37"/>
      <c r="NV2881" s="37"/>
      <c r="NW2881" s="37"/>
      <c r="NX2881" s="37"/>
      <c r="NY2881" s="37"/>
      <c r="NZ2881" s="37"/>
      <c r="OA2881" s="37"/>
      <c r="OB2881" s="37"/>
      <c r="OC2881" s="37"/>
      <c r="OD2881" s="37"/>
      <c r="OE2881" s="37"/>
      <c r="OF2881" s="37"/>
      <c r="OG2881" s="37"/>
      <c r="OH2881" s="37"/>
      <c r="OI2881" s="37"/>
      <c r="OJ2881" s="37"/>
      <c r="OK2881" s="37"/>
      <c r="OL2881" s="37"/>
      <c r="OM2881" s="37"/>
      <c r="ON2881" s="37"/>
      <c r="OO2881" s="37"/>
      <c r="OP2881" s="37"/>
      <c r="OQ2881" s="37"/>
      <c r="OR2881" s="37"/>
      <c r="OS2881" s="37"/>
      <c r="OT2881" s="37"/>
      <c r="OU2881" s="37"/>
      <c r="OV2881" s="37"/>
      <c r="OW2881" s="37"/>
      <c r="OX2881" s="37"/>
      <c r="OY2881" s="37"/>
      <c r="OZ2881" s="37"/>
      <c r="PA2881" s="37"/>
      <c r="PB2881" s="37"/>
      <c r="PC2881" s="37"/>
      <c r="PD2881" s="37"/>
      <c r="PE2881" s="37"/>
      <c r="PF2881" s="37"/>
      <c r="PG2881" s="37"/>
      <c r="PH2881" s="37"/>
      <c r="PI2881" s="37"/>
      <c r="PJ2881" s="37"/>
      <c r="PK2881" s="37"/>
      <c r="PL2881" s="37"/>
      <c r="PM2881" s="37"/>
      <c r="PN2881" s="37"/>
      <c r="PO2881" s="37"/>
      <c r="PP2881" s="37"/>
      <c r="PQ2881" s="37"/>
      <c r="PR2881" s="37"/>
      <c r="PS2881" s="37"/>
      <c r="PT2881" s="37"/>
      <c r="PU2881" s="37"/>
      <c r="PV2881" s="37"/>
      <c r="PW2881" s="37"/>
      <c r="PX2881" s="37"/>
      <c r="PY2881" s="37"/>
      <c r="PZ2881" s="37"/>
      <c r="QA2881" s="37"/>
      <c r="QB2881" s="37"/>
      <c r="QC2881" s="37"/>
      <c r="QD2881" s="37"/>
      <c r="QE2881" s="37"/>
      <c r="QF2881" s="37"/>
      <c r="QG2881" s="37"/>
      <c r="QH2881" s="37"/>
      <c r="QI2881" s="37"/>
      <c r="QJ2881" s="37"/>
      <c r="QK2881" s="37"/>
      <c r="QL2881" s="37"/>
      <c r="QM2881" s="37"/>
      <c r="QN2881" s="37"/>
      <c r="QO2881" s="37"/>
      <c r="QP2881" s="37"/>
      <c r="QQ2881" s="37"/>
      <c r="QR2881" s="37"/>
      <c r="QS2881" s="37"/>
      <c r="QT2881" s="37"/>
      <c r="QU2881" s="37"/>
      <c r="QV2881" s="37"/>
      <c r="QW2881" s="37"/>
      <c r="QX2881" s="37"/>
      <c r="QY2881" s="37"/>
      <c r="QZ2881" s="37"/>
      <c r="RA2881" s="37"/>
      <c r="RB2881" s="37"/>
      <c r="RC2881" s="37"/>
      <c r="RD2881" s="37"/>
      <c r="RE2881" s="37"/>
      <c r="RF2881" s="37"/>
      <c r="RG2881" s="37"/>
      <c r="RH2881" s="37"/>
      <c r="RI2881" s="37"/>
      <c r="RJ2881" s="37"/>
      <c r="RK2881" s="37"/>
      <c r="RL2881" s="37"/>
      <c r="RM2881" s="37"/>
      <c r="RN2881" s="37"/>
      <c r="RO2881" s="37"/>
      <c r="RP2881" s="37"/>
      <c r="RQ2881" s="37"/>
      <c r="RR2881" s="37"/>
      <c r="RS2881" s="37"/>
      <c r="RT2881" s="37"/>
      <c r="RU2881" s="37"/>
      <c r="RV2881" s="37"/>
      <c r="RW2881" s="37"/>
      <c r="RX2881" s="37"/>
      <c r="RY2881" s="37"/>
      <c r="RZ2881" s="37"/>
      <c r="SA2881" s="37"/>
      <c r="SB2881" s="37"/>
      <c r="SC2881" s="37"/>
      <c r="SD2881" s="37"/>
      <c r="SE2881" s="37"/>
      <c r="SF2881" s="37"/>
    </row>
    <row r="2882" spans="1:500">
      <c r="A2882" s="37"/>
      <c r="B2882" s="37"/>
      <c r="C2882" s="37"/>
      <c r="D2882" s="37"/>
      <c r="E2882" s="37"/>
      <c r="F2882" s="37"/>
      <c r="G2882" s="37"/>
      <c r="H2882" s="37"/>
      <c r="I2882" s="37"/>
      <c r="J2882" s="37"/>
      <c r="K2882" s="37"/>
      <c r="L2882" s="37"/>
      <c r="M2882" s="37"/>
      <c r="N2882" s="37"/>
      <c r="O2882" s="37"/>
      <c r="P2882" s="37"/>
      <c r="Q2882" s="37"/>
      <c r="R2882" s="37"/>
      <c r="S2882" s="37"/>
      <c r="T2882" s="37"/>
      <c r="U2882" s="37"/>
      <c r="V2882" s="37"/>
      <c r="W2882" s="37"/>
      <c r="X2882" s="37"/>
      <c r="Y2882" s="37"/>
      <c r="Z2882" s="37"/>
      <c r="AA2882" s="37"/>
      <c r="AB2882" s="37"/>
      <c r="AC2882" s="37"/>
      <c r="AD2882" s="37"/>
      <c r="AE2882" s="37"/>
      <c r="AF2882" s="37"/>
      <c r="AG2882" s="37"/>
      <c r="AH2882" s="37"/>
      <c r="AI2882" s="37"/>
      <c r="AJ2882" s="37"/>
      <c r="AK2882" s="37"/>
      <c r="AL2882" s="37"/>
      <c r="AM2882" s="37"/>
      <c r="AN2882" s="37"/>
      <c r="AO2882" s="37"/>
      <c r="AP2882" s="37"/>
      <c r="AQ2882" s="37"/>
      <c r="AR2882" s="37"/>
      <c r="AS2882" s="37"/>
      <c r="AT2882" s="37"/>
      <c r="AU2882" s="37"/>
      <c r="AV2882" s="37"/>
      <c r="AW2882" s="37"/>
      <c r="AX2882" s="37"/>
      <c r="AY2882" s="37"/>
      <c r="AZ2882" s="37"/>
      <c r="BA2882" s="37"/>
      <c r="BB2882" s="37"/>
      <c r="BC2882" s="37"/>
      <c r="BD2882" s="37"/>
      <c r="BE2882" s="37"/>
      <c r="BF2882" s="37"/>
      <c r="BG2882" s="37"/>
      <c r="BH2882" s="37"/>
      <c r="BI2882" s="37"/>
      <c r="BJ2882" s="37"/>
      <c r="BK2882" s="37"/>
      <c r="BL2882" s="37"/>
      <c r="BM2882" s="37"/>
      <c r="BN2882" s="37"/>
      <c r="BO2882" s="37"/>
      <c r="BP2882" s="37"/>
      <c r="BQ2882" s="37"/>
      <c r="BR2882" s="37"/>
      <c r="BS2882" s="37"/>
      <c r="BT2882" s="37"/>
      <c r="BU2882" s="37"/>
      <c r="BV2882" s="37"/>
      <c r="BW2882" s="37"/>
      <c r="BX2882" s="37"/>
      <c r="BY2882" s="37"/>
      <c r="BZ2882" s="37"/>
      <c r="CA2882" s="37"/>
      <c r="CB2882" s="37"/>
      <c r="CC2882" s="37"/>
      <c r="CD2882" s="37"/>
      <c r="CE2882" s="37"/>
      <c r="CF2882" s="37"/>
      <c r="CG2882" s="37"/>
      <c r="CH2882" s="37"/>
      <c r="CI2882" s="37"/>
      <c r="CJ2882" s="37"/>
      <c r="CK2882" s="37"/>
      <c r="CL2882" s="37"/>
      <c r="CM2882" s="37"/>
      <c r="CN2882" s="37"/>
      <c r="CO2882" s="37"/>
      <c r="CP2882" s="37"/>
      <c r="CQ2882" s="37"/>
      <c r="CR2882" s="37"/>
      <c r="CS2882" s="37"/>
      <c r="CT2882" s="37"/>
      <c r="CU2882" s="37"/>
      <c r="CV2882" s="37"/>
      <c r="CW2882" s="37"/>
      <c r="CX2882" s="37"/>
      <c r="CY2882" s="37"/>
      <c r="CZ2882" s="37"/>
      <c r="DA2882" s="37"/>
      <c r="DB2882" s="37"/>
      <c r="DC2882" s="37"/>
      <c r="DD2882" s="37"/>
      <c r="DE2882" s="37"/>
      <c r="DF2882" s="37"/>
      <c r="DG2882" s="37"/>
      <c r="DH2882" s="37"/>
      <c r="DI2882" s="37"/>
      <c r="DJ2882" s="37"/>
      <c r="DK2882" s="37"/>
      <c r="DL2882" s="37"/>
      <c r="DM2882" s="37"/>
      <c r="DN2882" s="37"/>
      <c r="DO2882" s="37"/>
      <c r="DP2882" s="37"/>
      <c r="DQ2882" s="37"/>
      <c r="DR2882" s="37"/>
      <c r="DS2882" s="37"/>
      <c r="DT2882" s="37"/>
      <c r="DU2882" s="37"/>
      <c r="DV2882" s="37"/>
      <c r="DW2882" s="37"/>
      <c r="DX2882" s="37"/>
      <c r="DY2882" s="37"/>
      <c r="DZ2882" s="37"/>
      <c r="EA2882" s="37"/>
      <c r="EB2882" s="37"/>
      <c r="EC2882" s="37"/>
      <c r="ED2882" s="37"/>
      <c r="EE2882" s="37"/>
      <c r="EF2882" s="37"/>
      <c r="EG2882" s="37"/>
      <c r="EH2882" s="37"/>
      <c r="EI2882" s="37"/>
      <c r="EJ2882" s="37"/>
      <c r="EK2882" s="37"/>
      <c r="EL2882" s="37"/>
      <c r="EM2882" s="37"/>
      <c r="EN2882" s="37"/>
      <c r="EO2882" s="37"/>
      <c r="EP2882" s="37"/>
      <c r="EQ2882" s="37"/>
      <c r="ER2882" s="37"/>
      <c r="ES2882" s="37"/>
      <c r="ET2882" s="37"/>
      <c r="EU2882" s="37"/>
      <c r="EV2882" s="37"/>
      <c r="EW2882" s="37"/>
      <c r="EX2882" s="37"/>
      <c r="EY2882" s="37"/>
      <c r="EZ2882" s="37"/>
      <c r="FA2882" s="37"/>
      <c r="FB2882" s="37"/>
      <c r="FC2882" s="37"/>
      <c r="FD2882" s="37"/>
      <c r="FE2882" s="37"/>
      <c r="FF2882" s="37"/>
      <c r="FG2882" s="37"/>
      <c r="FH2882" s="37"/>
      <c r="FI2882" s="37"/>
      <c r="FJ2882" s="37"/>
      <c r="FK2882" s="37"/>
      <c r="FL2882" s="37"/>
      <c r="FM2882" s="37"/>
      <c r="FN2882" s="37"/>
      <c r="FO2882" s="37"/>
      <c r="FP2882" s="37"/>
      <c r="FQ2882" s="37"/>
      <c r="FR2882" s="37"/>
      <c r="FS2882" s="37"/>
      <c r="FT2882" s="37"/>
      <c r="FU2882" s="37"/>
      <c r="FV2882" s="37"/>
      <c r="FW2882" s="37"/>
      <c r="FX2882" s="37"/>
      <c r="FY2882" s="37"/>
      <c r="FZ2882" s="37"/>
      <c r="GA2882" s="37"/>
      <c r="GB2882" s="37"/>
      <c r="GC2882" s="37"/>
      <c r="GD2882" s="37"/>
      <c r="GE2882" s="37"/>
      <c r="GF2882" s="37"/>
      <c r="GG2882" s="37"/>
      <c r="GH2882" s="37"/>
      <c r="GI2882" s="37"/>
      <c r="GJ2882" s="37"/>
      <c r="GK2882" s="37"/>
      <c r="GL2882" s="37"/>
      <c r="GM2882" s="37"/>
      <c r="GN2882" s="37"/>
      <c r="GO2882" s="37"/>
      <c r="GP2882" s="37"/>
      <c r="GQ2882" s="37"/>
      <c r="GR2882" s="37"/>
      <c r="GS2882" s="37"/>
      <c r="GT2882" s="37"/>
      <c r="GU2882" s="37"/>
      <c r="GV2882" s="37"/>
      <c r="GW2882" s="37"/>
      <c r="GX2882" s="37"/>
      <c r="GY2882" s="37"/>
      <c r="GZ2882" s="37"/>
      <c r="HA2882" s="37"/>
      <c r="HB2882" s="37"/>
      <c r="HC2882" s="37"/>
      <c r="HD2882" s="37"/>
      <c r="HE2882" s="37"/>
      <c r="HF2882" s="37"/>
      <c r="HG2882" s="37"/>
      <c r="HH2882" s="37"/>
      <c r="HI2882" s="37"/>
      <c r="HJ2882" s="37"/>
      <c r="HK2882" s="37"/>
      <c r="HL2882" s="37"/>
      <c r="HM2882" s="37"/>
      <c r="HN2882" s="37"/>
      <c r="HO2882" s="37"/>
      <c r="HP2882" s="37"/>
      <c r="HQ2882" s="37"/>
      <c r="HR2882" s="37"/>
      <c r="HS2882" s="37"/>
      <c r="HT2882" s="37"/>
      <c r="HU2882" s="37"/>
      <c r="HV2882" s="37"/>
      <c r="HW2882" s="37"/>
      <c r="HX2882" s="37"/>
      <c r="HY2882" s="37"/>
      <c r="HZ2882" s="37"/>
      <c r="IA2882" s="37"/>
      <c r="IB2882" s="37"/>
      <c r="IC2882" s="37"/>
      <c r="ID2882" s="37"/>
      <c r="IE2882" s="37"/>
      <c r="IF2882" s="37"/>
      <c r="IG2882" s="37"/>
      <c r="IH2882" s="37"/>
      <c r="II2882" s="37"/>
      <c r="IJ2882" s="37"/>
      <c r="IK2882" s="37"/>
      <c r="IL2882" s="37"/>
      <c r="IM2882" s="37"/>
      <c r="IN2882" s="37"/>
      <c r="IO2882" s="37"/>
      <c r="IP2882" s="37"/>
      <c r="IQ2882" s="37"/>
      <c r="IR2882" s="37"/>
      <c r="IS2882" s="37"/>
      <c r="IT2882" s="37"/>
      <c r="IU2882" s="37"/>
      <c r="IV2882" s="37"/>
      <c r="IW2882" s="37"/>
      <c r="IX2882" s="37"/>
      <c r="IY2882" s="37"/>
      <c r="IZ2882" s="37"/>
      <c r="JA2882" s="37"/>
      <c r="JB2882" s="37"/>
      <c r="JC2882" s="37"/>
      <c r="JD2882" s="37"/>
      <c r="JE2882" s="37"/>
      <c r="JF2882" s="37"/>
      <c r="JG2882" s="37"/>
      <c r="JH2882" s="37"/>
      <c r="JI2882" s="37"/>
      <c r="JJ2882" s="37"/>
      <c r="JK2882" s="37"/>
      <c r="JL2882" s="37"/>
      <c r="JM2882" s="37"/>
      <c r="JN2882" s="37"/>
      <c r="JO2882" s="37"/>
      <c r="JP2882" s="37"/>
      <c r="JQ2882" s="37"/>
      <c r="JR2882" s="37"/>
      <c r="JS2882" s="37"/>
      <c r="JT2882" s="37"/>
      <c r="JU2882" s="37"/>
      <c r="JV2882" s="37"/>
      <c r="JW2882" s="37"/>
      <c r="JX2882" s="37"/>
      <c r="JY2882" s="37"/>
      <c r="JZ2882" s="37"/>
      <c r="KA2882" s="37"/>
      <c r="KB2882" s="37"/>
      <c r="KC2882" s="37"/>
      <c r="KD2882" s="37"/>
      <c r="KE2882" s="37"/>
      <c r="KF2882" s="37"/>
      <c r="KG2882" s="37"/>
      <c r="KH2882" s="37"/>
      <c r="KI2882" s="37"/>
      <c r="KJ2882" s="37"/>
      <c r="KK2882" s="37"/>
      <c r="KL2882" s="37"/>
      <c r="KM2882" s="37"/>
      <c r="KN2882" s="37"/>
      <c r="KO2882" s="37"/>
      <c r="KP2882" s="37"/>
      <c r="KQ2882" s="37"/>
      <c r="KR2882" s="37"/>
      <c r="KS2882" s="37"/>
      <c r="KT2882" s="37"/>
      <c r="KU2882" s="37"/>
      <c r="KV2882" s="37"/>
      <c r="KW2882" s="37"/>
      <c r="KX2882" s="37"/>
      <c r="KY2882" s="37"/>
      <c r="KZ2882" s="37"/>
      <c r="LA2882" s="37"/>
      <c r="LB2882" s="37"/>
      <c r="LC2882" s="37"/>
      <c r="LD2882" s="37"/>
      <c r="LE2882" s="37"/>
      <c r="LF2882" s="37"/>
      <c r="LG2882" s="37"/>
      <c r="LH2882" s="37"/>
      <c r="LI2882" s="37"/>
      <c r="LJ2882" s="37"/>
      <c r="LK2882" s="37"/>
      <c r="LL2882" s="37"/>
      <c r="LM2882" s="37"/>
      <c r="LN2882" s="37"/>
      <c r="LO2882" s="37"/>
      <c r="LP2882" s="37"/>
      <c r="LQ2882" s="37"/>
      <c r="LR2882" s="37"/>
      <c r="LS2882" s="37"/>
      <c r="LT2882" s="37"/>
      <c r="LU2882" s="37"/>
      <c r="LV2882" s="37"/>
      <c r="LW2882" s="37"/>
      <c r="LX2882" s="37"/>
      <c r="LY2882" s="37"/>
      <c r="LZ2882" s="37"/>
      <c r="MA2882" s="37"/>
      <c r="MB2882" s="37"/>
      <c r="MC2882" s="37"/>
      <c r="MD2882" s="37"/>
      <c r="ME2882" s="37"/>
      <c r="MF2882" s="37"/>
      <c r="MG2882" s="37"/>
      <c r="MH2882" s="37"/>
      <c r="MI2882" s="37"/>
      <c r="MJ2882" s="37"/>
      <c r="MK2882" s="37"/>
      <c r="ML2882" s="37"/>
      <c r="MM2882" s="37"/>
      <c r="MN2882" s="37"/>
      <c r="MO2882" s="37"/>
      <c r="MP2882" s="37"/>
      <c r="MQ2882" s="37"/>
      <c r="MR2882" s="37"/>
      <c r="MS2882" s="37"/>
      <c r="MT2882" s="37"/>
      <c r="MU2882" s="37"/>
      <c r="MV2882" s="37"/>
      <c r="MW2882" s="37"/>
      <c r="MX2882" s="37"/>
      <c r="MY2882" s="37"/>
      <c r="MZ2882" s="37"/>
      <c r="NA2882" s="37"/>
      <c r="NB2882" s="37"/>
      <c r="NC2882" s="37"/>
      <c r="ND2882" s="37"/>
      <c r="NE2882" s="37"/>
      <c r="NF2882" s="37"/>
      <c r="NG2882" s="37"/>
      <c r="NH2882" s="37"/>
      <c r="NI2882" s="37"/>
      <c r="NJ2882" s="37"/>
      <c r="NK2882" s="37"/>
      <c r="NL2882" s="37"/>
      <c r="NM2882" s="37"/>
      <c r="NN2882" s="37"/>
      <c r="NO2882" s="37"/>
      <c r="NP2882" s="37"/>
      <c r="NQ2882" s="37"/>
      <c r="NR2882" s="37"/>
      <c r="NS2882" s="37"/>
      <c r="NT2882" s="37"/>
      <c r="NU2882" s="37"/>
      <c r="NV2882" s="37"/>
      <c r="NW2882" s="37"/>
      <c r="NX2882" s="37"/>
      <c r="NY2882" s="37"/>
      <c r="NZ2882" s="37"/>
      <c r="OA2882" s="37"/>
      <c r="OB2882" s="37"/>
      <c r="OC2882" s="37"/>
      <c r="OD2882" s="37"/>
      <c r="OE2882" s="37"/>
      <c r="OF2882" s="37"/>
      <c r="OG2882" s="37"/>
      <c r="OH2882" s="37"/>
      <c r="OI2882" s="37"/>
      <c r="OJ2882" s="37"/>
      <c r="OK2882" s="37"/>
      <c r="OL2882" s="37"/>
      <c r="OM2882" s="37"/>
      <c r="ON2882" s="37"/>
      <c r="OO2882" s="37"/>
      <c r="OP2882" s="37"/>
      <c r="OQ2882" s="37"/>
      <c r="OR2882" s="37"/>
      <c r="OS2882" s="37"/>
      <c r="OT2882" s="37"/>
      <c r="OU2882" s="37"/>
      <c r="OV2882" s="37"/>
      <c r="OW2882" s="37"/>
      <c r="OX2882" s="37"/>
      <c r="OY2882" s="37"/>
      <c r="OZ2882" s="37"/>
      <c r="PA2882" s="37"/>
      <c r="PB2882" s="37"/>
      <c r="PC2882" s="37"/>
      <c r="PD2882" s="37"/>
      <c r="PE2882" s="37"/>
      <c r="PF2882" s="37"/>
      <c r="PG2882" s="37"/>
      <c r="PH2882" s="37"/>
      <c r="PI2882" s="37"/>
      <c r="PJ2882" s="37"/>
      <c r="PK2882" s="37"/>
      <c r="PL2882" s="37"/>
      <c r="PM2882" s="37"/>
      <c r="PN2882" s="37"/>
      <c r="PO2882" s="37"/>
      <c r="PP2882" s="37"/>
      <c r="PQ2882" s="37"/>
      <c r="PR2882" s="37"/>
      <c r="PS2882" s="37"/>
      <c r="PT2882" s="37"/>
      <c r="PU2882" s="37"/>
      <c r="PV2882" s="37"/>
      <c r="PW2882" s="37"/>
      <c r="PX2882" s="37"/>
      <c r="PY2882" s="37"/>
      <c r="PZ2882" s="37"/>
      <c r="QA2882" s="37"/>
      <c r="QB2882" s="37"/>
      <c r="QC2882" s="37"/>
      <c r="QD2882" s="37"/>
      <c r="QE2882" s="37"/>
      <c r="QF2882" s="37"/>
      <c r="QG2882" s="37"/>
      <c r="QH2882" s="37"/>
      <c r="QI2882" s="37"/>
      <c r="QJ2882" s="37"/>
      <c r="QK2882" s="37"/>
      <c r="QL2882" s="37"/>
      <c r="QM2882" s="37"/>
      <c r="QN2882" s="37"/>
      <c r="QO2882" s="37"/>
      <c r="QP2882" s="37"/>
      <c r="QQ2882" s="37"/>
      <c r="QR2882" s="37"/>
      <c r="QS2882" s="37"/>
      <c r="QT2882" s="37"/>
      <c r="QU2882" s="37"/>
      <c r="QV2882" s="37"/>
      <c r="QW2882" s="37"/>
      <c r="QX2882" s="37"/>
      <c r="QY2882" s="37"/>
      <c r="QZ2882" s="37"/>
      <c r="RA2882" s="37"/>
      <c r="RB2882" s="37"/>
      <c r="RC2882" s="37"/>
      <c r="RD2882" s="37"/>
      <c r="RE2882" s="37"/>
      <c r="RF2882" s="37"/>
      <c r="RG2882" s="37"/>
      <c r="RH2882" s="37"/>
      <c r="RI2882" s="37"/>
      <c r="RJ2882" s="37"/>
      <c r="RK2882" s="37"/>
      <c r="RL2882" s="37"/>
      <c r="RM2882" s="37"/>
      <c r="RN2882" s="37"/>
      <c r="RO2882" s="37"/>
      <c r="RP2882" s="37"/>
      <c r="RQ2882" s="37"/>
      <c r="RR2882" s="37"/>
      <c r="RS2882" s="37"/>
      <c r="RT2882" s="37"/>
      <c r="RU2882" s="37"/>
      <c r="RV2882" s="37"/>
      <c r="RW2882" s="37"/>
      <c r="RX2882" s="37"/>
      <c r="RY2882" s="37"/>
      <c r="RZ2882" s="37"/>
      <c r="SA2882" s="37"/>
      <c r="SB2882" s="37"/>
      <c r="SC2882" s="37"/>
      <c r="SD2882" s="37"/>
      <c r="SE2882" s="37"/>
      <c r="SF2882" s="37"/>
    </row>
    <row r="2883" spans="1:500">
      <c r="A2883" s="37"/>
      <c r="B2883" s="37"/>
      <c r="C2883" s="37"/>
      <c r="D2883" s="37"/>
      <c r="E2883" s="37"/>
      <c r="F2883" s="37"/>
      <c r="G2883" s="37"/>
      <c r="H2883" s="37"/>
      <c r="I2883" s="37"/>
      <c r="J2883" s="37"/>
      <c r="K2883" s="37"/>
      <c r="L2883" s="37"/>
      <c r="M2883" s="37"/>
      <c r="N2883" s="37"/>
      <c r="O2883" s="37"/>
      <c r="P2883" s="37"/>
      <c r="Q2883" s="37"/>
      <c r="R2883" s="37"/>
      <c r="S2883" s="37"/>
      <c r="T2883" s="37"/>
      <c r="U2883" s="37"/>
      <c r="V2883" s="37"/>
      <c r="W2883" s="37"/>
      <c r="X2883" s="37"/>
      <c r="Y2883" s="37"/>
      <c r="Z2883" s="37"/>
      <c r="AA2883" s="37"/>
      <c r="AB2883" s="37"/>
      <c r="AC2883" s="37"/>
      <c r="AD2883" s="37"/>
      <c r="AE2883" s="37"/>
      <c r="AF2883" s="37"/>
      <c r="AG2883" s="37"/>
      <c r="AH2883" s="37"/>
      <c r="AI2883" s="37"/>
      <c r="AJ2883" s="37"/>
      <c r="AK2883" s="37"/>
      <c r="AL2883" s="37"/>
      <c r="AM2883" s="37"/>
      <c r="AN2883" s="37"/>
      <c r="AO2883" s="37"/>
      <c r="AP2883" s="37"/>
      <c r="AQ2883" s="37"/>
      <c r="AR2883" s="37"/>
      <c r="AS2883" s="37"/>
      <c r="AT2883" s="37"/>
      <c r="AU2883" s="37"/>
      <c r="AV2883" s="37"/>
      <c r="AW2883" s="37"/>
      <c r="AX2883" s="37"/>
      <c r="AY2883" s="37"/>
      <c r="AZ2883" s="37"/>
      <c r="BA2883" s="37"/>
      <c r="BB2883" s="37"/>
      <c r="BC2883" s="37"/>
      <c r="BD2883" s="37"/>
      <c r="BE2883" s="37"/>
      <c r="BF2883" s="37"/>
      <c r="BG2883" s="37"/>
      <c r="BH2883" s="37"/>
      <c r="BI2883" s="37"/>
      <c r="BJ2883" s="37"/>
      <c r="BK2883" s="37"/>
      <c r="BL2883" s="37"/>
      <c r="BM2883" s="37"/>
      <c r="BN2883" s="37"/>
      <c r="BO2883" s="37"/>
      <c r="BP2883" s="37"/>
      <c r="BQ2883" s="37"/>
      <c r="BR2883" s="37"/>
      <c r="BS2883" s="37"/>
      <c r="BT2883" s="37"/>
      <c r="BU2883" s="37"/>
      <c r="BV2883" s="37"/>
      <c r="BW2883" s="37"/>
      <c r="BX2883" s="37"/>
      <c r="BY2883" s="37"/>
      <c r="BZ2883" s="37"/>
      <c r="CA2883" s="37"/>
      <c r="CB2883" s="37"/>
      <c r="CC2883" s="37"/>
      <c r="CD2883" s="37"/>
      <c r="CE2883" s="37"/>
      <c r="CF2883" s="37"/>
      <c r="CG2883" s="37"/>
      <c r="CH2883" s="37"/>
      <c r="CI2883" s="37"/>
      <c r="CJ2883" s="37"/>
      <c r="CK2883" s="37"/>
      <c r="CL2883" s="37"/>
      <c r="CM2883" s="37"/>
      <c r="CN2883" s="37"/>
      <c r="CO2883" s="37"/>
      <c r="CP2883" s="37"/>
      <c r="CQ2883" s="37"/>
      <c r="CR2883" s="37"/>
      <c r="CS2883" s="37"/>
      <c r="CT2883" s="37"/>
      <c r="CU2883" s="37"/>
      <c r="CV2883" s="37"/>
      <c r="CW2883" s="37"/>
      <c r="CX2883" s="37"/>
      <c r="CY2883" s="37"/>
      <c r="CZ2883" s="37"/>
      <c r="DA2883" s="37"/>
      <c r="DB2883" s="37"/>
      <c r="DC2883" s="37"/>
      <c r="DD2883" s="37"/>
      <c r="DE2883" s="37"/>
      <c r="DF2883" s="37"/>
      <c r="DG2883" s="37"/>
      <c r="DH2883" s="37"/>
      <c r="DI2883" s="37"/>
      <c r="DJ2883" s="37"/>
      <c r="DK2883" s="37"/>
      <c r="DL2883" s="37"/>
      <c r="DM2883" s="37"/>
      <c r="DN2883" s="37"/>
      <c r="DO2883" s="37"/>
      <c r="DP2883" s="37"/>
      <c r="DQ2883" s="37"/>
      <c r="DR2883" s="37"/>
      <c r="DS2883" s="37"/>
      <c r="DT2883" s="37"/>
      <c r="DU2883" s="37"/>
      <c r="DV2883" s="37"/>
      <c r="DW2883" s="37"/>
      <c r="DX2883" s="37"/>
      <c r="DY2883" s="37"/>
      <c r="DZ2883" s="37"/>
      <c r="EA2883" s="37"/>
      <c r="EB2883" s="37"/>
      <c r="EC2883" s="37"/>
      <c r="ED2883" s="37"/>
      <c r="EE2883" s="37"/>
      <c r="EF2883" s="37"/>
      <c r="EG2883" s="37"/>
      <c r="EH2883" s="37"/>
      <c r="EI2883" s="37"/>
      <c r="EJ2883" s="37"/>
      <c r="EK2883" s="37"/>
      <c r="EL2883" s="37"/>
      <c r="EM2883" s="37"/>
      <c r="EN2883" s="37"/>
      <c r="EO2883" s="37"/>
      <c r="EP2883" s="37"/>
      <c r="EQ2883" s="37"/>
      <c r="ER2883" s="37"/>
      <c r="ES2883" s="37"/>
      <c r="ET2883" s="37"/>
      <c r="EU2883" s="37"/>
      <c r="EV2883" s="37"/>
      <c r="EW2883" s="37"/>
      <c r="EX2883" s="37"/>
      <c r="EY2883" s="37"/>
      <c r="EZ2883" s="37"/>
      <c r="FA2883" s="37"/>
      <c r="FB2883" s="37"/>
      <c r="FC2883" s="37"/>
      <c r="FD2883" s="37"/>
      <c r="FE2883" s="37"/>
      <c r="FF2883" s="37"/>
      <c r="FG2883" s="37"/>
      <c r="FH2883" s="37"/>
      <c r="FI2883" s="37"/>
      <c r="FJ2883" s="37"/>
      <c r="FK2883" s="37"/>
      <c r="FL2883" s="37"/>
      <c r="FM2883" s="37"/>
      <c r="FN2883" s="37"/>
      <c r="FO2883" s="37"/>
      <c r="FP2883" s="37"/>
      <c r="FQ2883" s="37"/>
      <c r="FR2883" s="37"/>
      <c r="FS2883" s="37"/>
      <c r="FT2883" s="37"/>
      <c r="FU2883" s="37"/>
      <c r="FV2883" s="37"/>
      <c r="FW2883" s="37"/>
      <c r="FX2883" s="37"/>
      <c r="FY2883" s="37"/>
      <c r="FZ2883" s="37"/>
      <c r="GA2883" s="37"/>
      <c r="GB2883" s="37"/>
      <c r="GC2883" s="37"/>
      <c r="GD2883" s="37"/>
      <c r="GE2883" s="37"/>
      <c r="GF2883" s="37"/>
      <c r="GG2883" s="37"/>
      <c r="GH2883" s="37"/>
      <c r="GI2883" s="37"/>
      <c r="GJ2883" s="37"/>
      <c r="GK2883" s="37"/>
      <c r="GL2883" s="37"/>
      <c r="GM2883" s="37"/>
      <c r="GN2883" s="37"/>
      <c r="GO2883" s="37"/>
      <c r="GP2883" s="37"/>
      <c r="GQ2883" s="37"/>
      <c r="GR2883" s="37"/>
      <c r="GS2883" s="37"/>
      <c r="GT2883" s="37"/>
      <c r="GU2883" s="37"/>
      <c r="GV2883" s="37"/>
      <c r="GW2883" s="37"/>
      <c r="GX2883" s="37"/>
      <c r="GY2883" s="37"/>
      <c r="GZ2883" s="37"/>
      <c r="HA2883" s="37"/>
      <c r="HB2883" s="37"/>
      <c r="HC2883" s="37"/>
      <c r="HD2883" s="37"/>
      <c r="HE2883" s="37"/>
      <c r="HF2883" s="37"/>
      <c r="HG2883" s="37"/>
      <c r="HH2883" s="37"/>
      <c r="HI2883" s="37"/>
      <c r="HJ2883" s="37"/>
      <c r="HK2883" s="37"/>
      <c r="HL2883" s="37"/>
      <c r="HM2883" s="37"/>
      <c r="HN2883" s="37"/>
      <c r="HO2883" s="37"/>
      <c r="HP2883" s="37"/>
      <c r="HQ2883" s="37"/>
      <c r="HR2883" s="37"/>
      <c r="HS2883" s="37"/>
      <c r="HT2883" s="37"/>
      <c r="HU2883" s="37"/>
      <c r="HV2883" s="37"/>
      <c r="HW2883" s="37"/>
      <c r="HX2883" s="37"/>
      <c r="HY2883" s="37"/>
      <c r="HZ2883" s="37"/>
      <c r="IA2883" s="37"/>
      <c r="IB2883" s="37"/>
      <c r="IC2883" s="37"/>
      <c r="ID2883" s="37"/>
      <c r="IE2883" s="37"/>
      <c r="IF2883" s="37"/>
      <c r="IG2883" s="37"/>
      <c r="IH2883" s="37"/>
      <c r="II2883" s="37"/>
      <c r="IJ2883" s="37"/>
      <c r="IK2883" s="37"/>
      <c r="IL2883" s="37"/>
      <c r="IM2883" s="37"/>
      <c r="IN2883" s="37"/>
      <c r="IO2883" s="37"/>
      <c r="IP2883" s="37"/>
      <c r="IQ2883" s="37"/>
      <c r="IR2883" s="37"/>
      <c r="IS2883" s="37"/>
      <c r="IT2883" s="37"/>
      <c r="IU2883" s="37"/>
      <c r="IV2883" s="37"/>
      <c r="IW2883" s="37"/>
      <c r="IX2883" s="37"/>
      <c r="IY2883" s="37"/>
      <c r="IZ2883" s="37"/>
      <c r="JA2883" s="37"/>
      <c r="JB2883" s="37"/>
      <c r="JC2883" s="37"/>
      <c r="JD2883" s="37"/>
      <c r="JE2883" s="37"/>
      <c r="JF2883" s="37"/>
      <c r="JG2883" s="37"/>
      <c r="JH2883" s="37"/>
      <c r="JI2883" s="37"/>
      <c r="JJ2883" s="37"/>
      <c r="JK2883" s="37"/>
      <c r="JL2883" s="37"/>
      <c r="JM2883" s="37"/>
      <c r="JN2883" s="37"/>
      <c r="JO2883" s="37"/>
      <c r="JP2883" s="37"/>
      <c r="JQ2883" s="37"/>
      <c r="JR2883" s="37"/>
      <c r="JS2883" s="37"/>
      <c r="JT2883" s="37"/>
      <c r="JU2883" s="37"/>
      <c r="JV2883" s="37"/>
      <c r="JW2883" s="37"/>
      <c r="JX2883" s="37"/>
      <c r="JY2883" s="37"/>
      <c r="JZ2883" s="37"/>
      <c r="KA2883" s="37"/>
      <c r="KB2883" s="37"/>
      <c r="KC2883" s="37"/>
      <c r="KD2883" s="37"/>
      <c r="KE2883" s="37"/>
      <c r="KF2883" s="37"/>
      <c r="KG2883" s="37"/>
      <c r="KH2883" s="37"/>
      <c r="KI2883" s="37"/>
      <c r="KJ2883" s="37"/>
      <c r="KK2883" s="37"/>
      <c r="KL2883" s="37"/>
      <c r="KM2883" s="37"/>
      <c r="KN2883" s="37"/>
      <c r="KO2883" s="37"/>
      <c r="KP2883" s="37"/>
      <c r="KQ2883" s="37"/>
      <c r="KR2883" s="37"/>
      <c r="KS2883" s="37"/>
      <c r="KT2883" s="37"/>
      <c r="KU2883" s="37"/>
      <c r="KV2883" s="37"/>
      <c r="KW2883" s="37"/>
      <c r="KX2883" s="37"/>
      <c r="KY2883" s="37"/>
      <c r="KZ2883" s="37"/>
      <c r="LA2883" s="37"/>
      <c r="LB2883" s="37"/>
      <c r="LC2883" s="37"/>
      <c r="LD2883" s="37"/>
      <c r="LE2883" s="37"/>
      <c r="LF2883" s="37"/>
      <c r="LG2883" s="37"/>
      <c r="LH2883" s="37"/>
      <c r="LI2883" s="37"/>
      <c r="LJ2883" s="37"/>
      <c r="LK2883" s="37"/>
      <c r="LL2883" s="37"/>
      <c r="LM2883" s="37"/>
      <c r="LN2883" s="37"/>
      <c r="LO2883" s="37"/>
      <c r="LP2883" s="37"/>
      <c r="LQ2883" s="37"/>
      <c r="LR2883" s="37"/>
      <c r="LS2883" s="37"/>
      <c r="LT2883" s="37"/>
      <c r="LU2883" s="37"/>
      <c r="LV2883" s="37"/>
      <c r="LW2883" s="37"/>
      <c r="LX2883" s="37"/>
      <c r="LY2883" s="37"/>
      <c r="LZ2883" s="37"/>
      <c r="MA2883" s="37"/>
      <c r="MB2883" s="37"/>
      <c r="MC2883" s="37"/>
      <c r="MD2883" s="37"/>
      <c r="ME2883" s="37"/>
      <c r="MF2883" s="37"/>
      <c r="MG2883" s="37"/>
      <c r="MH2883" s="37"/>
      <c r="MI2883" s="37"/>
      <c r="MJ2883" s="37"/>
      <c r="MK2883" s="37"/>
      <c r="ML2883" s="37"/>
      <c r="MM2883" s="37"/>
      <c r="MN2883" s="37"/>
      <c r="MO2883" s="37"/>
      <c r="MP2883" s="37"/>
      <c r="MQ2883" s="37"/>
      <c r="MR2883" s="37"/>
      <c r="MS2883" s="37"/>
      <c r="MT2883" s="37"/>
      <c r="MU2883" s="37"/>
      <c r="MV2883" s="37"/>
      <c r="MW2883" s="37"/>
      <c r="MX2883" s="37"/>
      <c r="MY2883" s="37"/>
      <c r="MZ2883" s="37"/>
      <c r="NA2883" s="37"/>
      <c r="NB2883" s="37"/>
      <c r="NC2883" s="37"/>
      <c r="ND2883" s="37"/>
      <c r="NE2883" s="37"/>
      <c r="NF2883" s="37"/>
      <c r="NG2883" s="37"/>
      <c r="NH2883" s="37"/>
      <c r="NI2883" s="37"/>
      <c r="NJ2883" s="37"/>
      <c r="NK2883" s="37"/>
      <c r="NL2883" s="37"/>
      <c r="NM2883" s="37"/>
      <c r="NN2883" s="37"/>
      <c r="NO2883" s="37"/>
      <c r="NP2883" s="37"/>
      <c r="NQ2883" s="37"/>
      <c r="NR2883" s="37"/>
      <c r="NS2883" s="37"/>
      <c r="NT2883" s="37"/>
      <c r="NU2883" s="37"/>
      <c r="NV2883" s="37"/>
      <c r="NW2883" s="37"/>
      <c r="NX2883" s="37"/>
      <c r="NY2883" s="37"/>
      <c r="NZ2883" s="37"/>
      <c r="OA2883" s="37"/>
      <c r="OB2883" s="37"/>
      <c r="OC2883" s="37"/>
      <c r="OD2883" s="37"/>
      <c r="OE2883" s="37"/>
      <c r="OF2883" s="37"/>
      <c r="OG2883" s="37"/>
      <c r="OH2883" s="37"/>
      <c r="OI2883" s="37"/>
      <c r="OJ2883" s="37"/>
      <c r="OK2883" s="37"/>
      <c r="OL2883" s="37"/>
      <c r="OM2883" s="37"/>
      <c r="ON2883" s="37"/>
      <c r="OO2883" s="37"/>
      <c r="OP2883" s="37"/>
      <c r="OQ2883" s="37"/>
      <c r="OR2883" s="37"/>
      <c r="OS2883" s="37"/>
      <c r="OT2883" s="37"/>
      <c r="OU2883" s="37"/>
      <c r="OV2883" s="37"/>
      <c r="OW2883" s="37"/>
      <c r="OX2883" s="37"/>
      <c r="OY2883" s="37"/>
      <c r="OZ2883" s="37"/>
      <c r="PA2883" s="37"/>
      <c r="PB2883" s="37"/>
      <c r="PC2883" s="37"/>
      <c r="PD2883" s="37"/>
      <c r="PE2883" s="37"/>
      <c r="PF2883" s="37"/>
      <c r="PG2883" s="37"/>
      <c r="PH2883" s="37"/>
      <c r="PI2883" s="37"/>
      <c r="PJ2883" s="37"/>
      <c r="PK2883" s="37"/>
      <c r="PL2883" s="37"/>
      <c r="PM2883" s="37"/>
      <c r="PN2883" s="37"/>
      <c r="PO2883" s="37"/>
      <c r="PP2883" s="37"/>
      <c r="PQ2883" s="37"/>
      <c r="PR2883" s="37"/>
      <c r="PS2883" s="37"/>
      <c r="PT2883" s="37"/>
      <c r="PU2883" s="37"/>
      <c r="PV2883" s="37"/>
      <c r="PW2883" s="37"/>
      <c r="PX2883" s="37"/>
      <c r="PY2883" s="37"/>
      <c r="PZ2883" s="37"/>
      <c r="QA2883" s="37"/>
      <c r="QB2883" s="37"/>
      <c r="QC2883" s="37"/>
      <c r="QD2883" s="37"/>
      <c r="QE2883" s="37"/>
      <c r="QF2883" s="37"/>
      <c r="QG2883" s="37"/>
      <c r="QH2883" s="37"/>
      <c r="QI2883" s="37"/>
      <c r="QJ2883" s="37"/>
      <c r="QK2883" s="37"/>
      <c r="QL2883" s="37"/>
      <c r="QM2883" s="37"/>
      <c r="QN2883" s="37"/>
      <c r="QO2883" s="37"/>
      <c r="QP2883" s="37"/>
      <c r="QQ2883" s="37"/>
      <c r="QR2883" s="37"/>
      <c r="QS2883" s="37"/>
      <c r="QT2883" s="37"/>
      <c r="QU2883" s="37"/>
      <c r="QV2883" s="37"/>
      <c r="QW2883" s="37"/>
      <c r="QX2883" s="37"/>
      <c r="QY2883" s="37"/>
      <c r="QZ2883" s="37"/>
      <c r="RA2883" s="37"/>
      <c r="RB2883" s="37"/>
      <c r="RC2883" s="37"/>
      <c r="RD2883" s="37"/>
      <c r="RE2883" s="37"/>
      <c r="RF2883" s="37"/>
      <c r="RG2883" s="37"/>
      <c r="RH2883" s="37"/>
      <c r="RI2883" s="37"/>
      <c r="RJ2883" s="37"/>
      <c r="RK2883" s="37"/>
      <c r="RL2883" s="37"/>
      <c r="RM2883" s="37"/>
      <c r="RN2883" s="37"/>
      <c r="RO2883" s="37"/>
      <c r="RP2883" s="37"/>
      <c r="RQ2883" s="37"/>
      <c r="RR2883" s="37"/>
      <c r="RS2883" s="37"/>
      <c r="RT2883" s="37"/>
      <c r="RU2883" s="37"/>
      <c r="RV2883" s="37"/>
      <c r="RW2883" s="37"/>
      <c r="RX2883" s="37"/>
      <c r="RY2883" s="37"/>
      <c r="RZ2883" s="37"/>
      <c r="SA2883" s="37"/>
      <c r="SB2883" s="37"/>
      <c r="SC2883" s="37"/>
      <c r="SD2883" s="37"/>
      <c r="SE2883" s="37"/>
      <c r="SF2883" s="37"/>
    </row>
    <row r="2884" spans="1:500">
      <c r="A2884" s="37"/>
      <c r="B2884" s="37"/>
      <c r="C2884" s="37"/>
      <c r="D2884" s="37"/>
      <c r="E2884" s="37"/>
      <c r="F2884" s="37"/>
      <c r="G2884" s="37"/>
      <c r="H2884" s="37"/>
      <c r="I2884" s="37"/>
      <c r="J2884" s="37"/>
      <c r="K2884" s="37"/>
      <c r="L2884" s="37"/>
      <c r="M2884" s="37"/>
      <c r="N2884" s="37"/>
      <c r="O2884" s="37"/>
      <c r="P2884" s="37"/>
      <c r="Q2884" s="37"/>
      <c r="R2884" s="37"/>
      <c r="S2884" s="37"/>
      <c r="T2884" s="37"/>
      <c r="U2884" s="37"/>
      <c r="V2884" s="37"/>
      <c r="W2884" s="37"/>
      <c r="X2884" s="37"/>
      <c r="Y2884" s="37"/>
      <c r="Z2884" s="37"/>
      <c r="AA2884" s="37"/>
      <c r="AB2884" s="37"/>
      <c r="AC2884" s="37"/>
      <c r="AD2884" s="37"/>
      <c r="AE2884" s="37"/>
      <c r="AF2884" s="37"/>
      <c r="AG2884" s="37"/>
      <c r="AH2884" s="37"/>
      <c r="AI2884" s="37"/>
      <c r="AJ2884" s="37"/>
      <c r="AK2884" s="37"/>
      <c r="AL2884" s="37"/>
      <c r="AM2884" s="37"/>
      <c r="AN2884" s="37"/>
      <c r="AO2884" s="37"/>
      <c r="AP2884" s="37"/>
      <c r="AQ2884" s="37"/>
      <c r="AR2884" s="37"/>
      <c r="AS2884" s="37"/>
      <c r="AT2884" s="37"/>
      <c r="AU2884" s="37"/>
      <c r="AV2884" s="37"/>
      <c r="AW2884" s="37"/>
      <c r="AX2884" s="37"/>
      <c r="AY2884" s="37"/>
      <c r="AZ2884" s="37"/>
      <c r="BA2884" s="37"/>
      <c r="BB2884" s="37"/>
      <c r="BC2884" s="37"/>
      <c r="BD2884" s="37"/>
      <c r="BE2884" s="37"/>
      <c r="BF2884" s="37"/>
      <c r="BG2884" s="37"/>
      <c r="BH2884" s="37"/>
      <c r="BI2884" s="37"/>
      <c r="BJ2884" s="37"/>
      <c r="BK2884" s="37"/>
      <c r="BL2884" s="37"/>
      <c r="BM2884" s="37"/>
      <c r="BN2884" s="37"/>
      <c r="BO2884" s="37"/>
      <c r="BP2884" s="37"/>
      <c r="BQ2884" s="37"/>
      <c r="BR2884" s="37"/>
      <c r="BS2884" s="37"/>
      <c r="BT2884" s="37"/>
      <c r="BU2884" s="37"/>
      <c r="BV2884" s="37"/>
      <c r="BW2884" s="37"/>
      <c r="BX2884" s="37"/>
      <c r="BY2884" s="37"/>
      <c r="BZ2884" s="37"/>
      <c r="CA2884" s="37"/>
      <c r="CB2884" s="37"/>
      <c r="CC2884" s="37"/>
      <c r="CD2884" s="37"/>
      <c r="CE2884" s="37"/>
      <c r="CF2884" s="37"/>
      <c r="CG2884" s="37"/>
      <c r="CH2884" s="37"/>
      <c r="CI2884" s="37"/>
      <c r="CJ2884" s="37"/>
      <c r="CK2884" s="37"/>
      <c r="CL2884" s="37"/>
      <c r="CM2884" s="37"/>
      <c r="CN2884" s="37"/>
      <c r="CO2884" s="37"/>
      <c r="CP2884" s="37"/>
      <c r="CQ2884" s="37"/>
      <c r="CR2884" s="37"/>
      <c r="CS2884" s="37"/>
      <c r="CT2884" s="37"/>
      <c r="CU2884" s="37"/>
      <c r="CV2884" s="37"/>
      <c r="CW2884" s="37"/>
      <c r="CX2884" s="37"/>
      <c r="CY2884" s="37"/>
      <c r="CZ2884" s="37"/>
      <c r="DA2884" s="37"/>
      <c r="DB2884" s="37"/>
      <c r="DC2884" s="37"/>
      <c r="DD2884" s="37"/>
      <c r="DE2884" s="37"/>
      <c r="DF2884" s="37"/>
      <c r="DG2884" s="37"/>
      <c r="DH2884" s="37"/>
      <c r="DI2884" s="37"/>
      <c r="DJ2884" s="37"/>
      <c r="DK2884" s="37"/>
      <c r="DL2884" s="37"/>
      <c r="DM2884" s="37"/>
      <c r="DN2884" s="37"/>
      <c r="DO2884" s="37"/>
      <c r="DP2884" s="37"/>
      <c r="DQ2884" s="37"/>
      <c r="DR2884" s="37"/>
      <c r="DS2884" s="37"/>
      <c r="DT2884" s="37"/>
      <c r="DU2884" s="37"/>
      <c r="DV2884" s="37"/>
      <c r="DW2884" s="37"/>
      <c r="DX2884" s="37"/>
      <c r="DY2884" s="37"/>
      <c r="DZ2884" s="37"/>
      <c r="EA2884" s="37"/>
      <c r="EB2884" s="37"/>
      <c r="EC2884" s="37"/>
      <c r="ED2884" s="37"/>
      <c r="EE2884" s="37"/>
      <c r="EF2884" s="37"/>
      <c r="EG2884" s="37"/>
      <c r="EH2884" s="37"/>
      <c r="EI2884" s="37"/>
      <c r="EJ2884" s="37"/>
      <c r="EK2884" s="37"/>
      <c r="EL2884" s="37"/>
      <c r="EM2884" s="37"/>
      <c r="EN2884" s="37"/>
      <c r="EO2884" s="37"/>
      <c r="EP2884" s="37"/>
      <c r="EQ2884" s="37"/>
      <c r="ER2884" s="37"/>
      <c r="ES2884" s="37"/>
      <c r="ET2884" s="37"/>
      <c r="EU2884" s="37"/>
      <c r="EV2884" s="37"/>
      <c r="EW2884" s="37"/>
      <c r="EX2884" s="37"/>
      <c r="EY2884" s="37"/>
      <c r="EZ2884" s="37"/>
      <c r="FA2884" s="37"/>
      <c r="FB2884" s="37"/>
      <c r="FC2884" s="37"/>
      <c r="FD2884" s="37"/>
      <c r="FE2884" s="37"/>
      <c r="FF2884" s="37"/>
      <c r="FG2884" s="37"/>
      <c r="FH2884" s="37"/>
      <c r="FI2884" s="37"/>
      <c r="FJ2884" s="37"/>
      <c r="FK2884" s="37"/>
      <c r="FL2884" s="37"/>
      <c r="FM2884" s="37"/>
      <c r="FN2884" s="37"/>
      <c r="FO2884" s="37"/>
      <c r="FP2884" s="37"/>
      <c r="FQ2884" s="37"/>
      <c r="FR2884" s="37"/>
      <c r="FS2884" s="37"/>
      <c r="FT2884" s="37"/>
      <c r="FU2884" s="37"/>
      <c r="FV2884" s="37"/>
      <c r="FW2884" s="37"/>
      <c r="FX2884" s="37"/>
      <c r="FY2884" s="37"/>
      <c r="FZ2884" s="37"/>
      <c r="GA2884" s="37"/>
      <c r="GB2884" s="37"/>
      <c r="GC2884" s="37"/>
      <c r="GD2884" s="37"/>
      <c r="GE2884" s="37"/>
      <c r="GF2884" s="37"/>
      <c r="GG2884" s="37"/>
      <c r="GH2884" s="37"/>
      <c r="GI2884" s="37"/>
      <c r="GJ2884" s="37"/>
      <c r="GK2884" s="37"/>
      <c r="GL2884" s="37"/>
      <c r="GM2884" s="37"/>
      <c r="GN2884" s="37"/>
      <c r="GO2884" s="37"/>
      <c r="GP2884" s="37"/>
      <c r="GQ2884" s="37"/>
      <c r="GR2884" s="37"/>
      <c r="GS2884" s="37"/>
      <c r="GT2884" s="37"/>
      <c r="GU2884" s="37"/>
      <c r="GV2884" s="37"/>
      <c r="GW2884" s="37"/>
      <c r="GX2884" s="37"/>
      <c r="GY2884" s="37"/>
      <c r="GZ2884" s="37"/>
      <c r="HA2884" s="37"/>
      <c r="HB2884" s="37"/>
      <c r="HC2884" s="37"/>
      <c r="HD2884" s="37"/>
      <c r="HE2884" s="37"/>
      <c r="HF2884" s="37"/>
      <c r="HG2884" s="37"/>
      <c r="HH2884" s="37"/>
      <c r="HI2884" s="37"/>
      <c r="HJ2884" s="37"/>
      <c r="HK2884" s="37"/>
      <c r="HL2884" s="37"/>
      <c r="HM2884" s="37"/>
      <c r="HN2884" s="37"/>
      <c r="HO2884" s="37"/>
      <c r="HP2884" s="37"/>
      <c r="HQ2884" s="37"/>
      <c r="HR2884" s="37"/>
      <c r="HS2884" s="37"/>
      <c r="HT2884" s="37"/>
      <c r="HU2884" s="37"/>
      <c r="HV2884" s="37"/>
      <c r="HW2884" s="37"/>
      <c r="HX2884" s="37"/>
      <c r="HY2884" s="37"/>
      <c r="HZ2884" s="37"/>
      <c r="IA2884" s="37"/>
      <c r="IB2884" s="37"/>
      <c r="IC2884" s="37"/>
      <c r="ID2884" s="37"/>
      <c r="IE2884" s="37"/>
      <c r="IF2884" s="37"/>
      <c r="IG2884" s="37"/>
      <c r="IH2884" s="37"/>
      <c r="II2884" s="37"/>
      <c r="IJ2884" s="37"/>
      <c r="IK2884" s="37"/>
      <c r="IL2884" s="37"/>
      <c r="IM2884" s="37"/>
      <c r="IN2884" s="37"/>
      <c r="IO2884" s="37"/>
      <c r="IP2884" s="37"/>
      <c r="IQ2884" s="37"/>
      <c r="IR2884" s="37"/>
      <c r="IS2884" s="37"/>
      <c r="IT2884" s="37"/>
      <c r="IU2884" s="37"/>
      <c r="IV2884" s="37"/>
      <c r="IW2884" s="37"/>
      <c r="IX2884" s="37"/>
      <c r="IY2884" s="37"/>
      <c r="IZ2884" s="37"/>
      <c r="JA2884" s="37"/>
      <c r="JB2884" s="37"/>
      <c r="JC2884" s="37"/>
      <c r="JD2884" s="37"/>
      <c r="JE2884" s="37"/>
      <c r="JF2884" s="37"/>
      <c r="JG2884" s="37"/>
      <c r="JH2884" s="37"/>
      <c r="JI2884" s="37"/>
      <c r="JJ2884" s="37"/>
      <c r="JK2884" s="37"/>
      <c r="JL2884" s="37"/>
      <c r="JM2884" s="37"/>
      <c r="JN2884" s="37"/>
      <c r="JO2884" s="37"/>
      <c r="JP2884" s="37"/>
      <c r="JQ2884" s="37"/>
      <c r="JR2884" s="37"/>
      <c r="JS2884" s="37"/>
      <c r="JT2884" s="37"/>
      <c r="JU2884" s="37"/>
      <c r="JV2884" s="37"/>
      <c r="JW2884" s="37"/>
      <c r="JX2884" s="37"/>
      <c r="JY2884" s="37"/>
      <c r="JZ2884" s="37"/>
      <c r="KA2884" s="37"/>
      <c r="KB2884" s="37"/>
      <c r="KC2884" s="37"/>
      <c r="KD2884" s="37"/>
      <c r="KE2884" s="37"/>
      <c r="KF2884" s="37"/>
      <c r="KG2884" s="37"/>
      <c r="KH2884" s="37"/>
      <c r="KI2884" s="37"/>
      <c r="KJ2884" s="37"/>
      <c r="KK2884" s="37"/>
      <c r="KL2884" s="37"/>
      <c r="KM2884" s="37"/>
      <c r="KN2884" s="37"/>
      <c r="KO2884" s="37"/>
      <c r="KP2884" s="37"/>
      <c r="KQ2884" s="37"/>
      <c r="KR2884" s="37"/>
      <c r="KS2884" s="37"/>
      <c r="KT2884" s="37"/>
      <c r="KU2884" s="37"/>
      <c r="KV2884" s="37"/>
      <c r="KW2884" s="37"/>
      <c r="KX2884" s="37"/>
      <c r="KY2884" s="37"/>
      <c r="KZ2884" s="37"/>
      <c r="LA2884" s="37"/>
      <c r="LB2884" s="37"/>
      <c r="LC2884" s="37"/>
      <c r="LD2884" s="37"/>
      <c r="LE2884" s="37"/>
      <c r="LF2884" s="37"/>
      <c r="LG2884" s="37"/>
      <c r="LH2884" s="37"/>
      <c r="LI2884" s="37"/>
      <c r="LJ2884" s="37"/>
      <c r="LK2884" s="37"/>
      <c r="LL2884" s="37"/>
      <c r="LM2884" s="37"/>
      <c r="LN2884" s="37"/>
      <c r="LO2884" s="37"/>
      <c r="LP2884" s="37"/>
      <c r="LQ2884" s="37"/>
      <c r="LR2884" s="37"/>
      <c r="LS2884" s="37"/>
      <c r="LT2884" s="37"/>
      <c r="LU2884" s="37"/>
      <c r="LV2884" s="37"/>
      <c r="LW2884" s="37"/>
      <c r="LX2884" s="37"/>
      <c r="LY2884" s="37"/>
      <c r="LZ2884" s="37"/>
      <c r="MA2884" s="37"/>
      <c r="MB2884" s="37"/>
      <c r="MC2884" s="37"/>
      <c r="MD2884" s="37"/>
      <c r="ME2884" s="37"/>
      <c r="MF2884" s="37"/>
      <c r="MG2884" s="37"/>
      <c r="MH2884" s="37"/>
      <c r="MI2884" s="37"/>
      <c r="MJ2884" s="37"/>
      <c r="MK2884" s="37"/>
      <c r="ML2884" s="37"/>
      <c r="MM2884" s="37"/>
      <c r="MN2884" s="37"/>
      <c r="MO2884" s="37"/>
      <c r="MP2884" s="37"/>
      <c r="MQ2884" s="37"/>
      <c r="MR2884" s="37"/>
      <c r="MS2884" s="37"/>
      <c r="MT2884" s="37"/>
      <c r="MU2884" s="37"/>
      <c r="MV2884" s="37"/>
      <c r="MW2884" s="37"/>
      <c r="MX2884" s="37"/>
      <c r="MY2884" s="37"/>
      <c r="MZ2884" s="37"/>
      <c r="NA2884" s="37"/>
      <c r="NB2884" s="37"/>
      <c r="NC2884" s="37"/>
      <c r="ND2884" s="37"/>
      <c r="NE2884" s="37"/>
      <c r="NF2884" s="37"/>
      <c r="NG2884" s="37"/>
      <c r="NH2884" s="37"/>
      <c r="NI2884" s="37"/>
      <c r="NJ2884" s="37"/>
      <c r="NK2884" s="37"/>
      <c r="NL2884" s="37"/>
      <c r="NM2884" s="37"/>
      <c r="NN2884" s="37"/>
      <c r="NO2884" s="37"/>
      <c r="NP2884" s="37"/>
      <c r="NQ2884" s="37"/>
      <c r="NR2884" s="37"/>
      <c r="NS2884" s="37"/>
      <c r="NT2884" s="37"/>
      <c r="NU2884" s="37"/>
      <c r="NV2884" s="37"/>
      <c r="NW2884" s="37"/>
      <c r="NX2884" s="37"/>
      <c r="NY2884" s="37"/>
      <c r="NZ2884" s="37"/>
      <c r="OA2884" s="37"/>
      <c r="OB2884" s="37"/>
      <c r="OC2884" s="37"/>
      <c r="OD2884" s="37"/>
      <c r="OE2884" s="37"/>
      <c r="OF2884" s="37"/>
      <c r="OG2884" s="37"/>
      <c r="OH2884" s="37"/>
      <c r="OI2884" s="37"/>
      <c r="OJ2884" s="37"/>
      <c r="OK2884" s="37"/>
      <c r="OL2884" s="37"/>
      <c r="OM2884" s="37"/>
      <c r="ON2884" s="37"/>
      <c r="OO2884" s="37"/>
      <c r="OP2884" s="37"/>
      <c r="OQ2884" s="37"/>
      <c r="OR2884" s="37"/>
      <c r="OS2884" s="37"/>
      <c r="OT2884" s="37"/>
      <c r="OU2884" s="37"/>
      <c r="OV2884" s="37"/>
      <c r="OW2884" s="37"/>
      <c r="OX2884" s="37"/>
      <c r="OY2884" s="37"/>
      <c r="OZ2884" s="37"/>
      <c r="PA2884" s="37"/>
      <c r="PB2884" s="37"/>
      <c r="PC2884" s="37"/>
      <c r="PD2884" s="37"/>
      <c r="PE2884" s="37"/>
      <c r="PF2884" s="37"/>
      <c r="PG2884" s="37"/>
      <c r="PH2884" s="37"/>
      <c r="PI2884" s="37"/>
      <c r="PJ2884" s="37"/>
      <c r="PK2884" s="37"/>
      <c r="PL2884" s="37"/>
      <c r="PM2884" s="37"/>
      <c r="PN2884" s="37"/>
      <c r="PO2884" s="37"/>
      <c r="PP2884" s="37"/>
      <c r="PQ2884" s="37"/>
      <c r="PR2884" s="37"/>
      <c r="PS2884" s="37"/>
      <c r="PT2884" s="37"/>
      <c r="PU2884" s="37"/>
      <c r="PV2884" s="37"/>
      <c r="PW2884" s="37"/>
      <c r="PX2884" s="37"/>
      <c r="PY2884" s="37"/>
      <c r="PZ2884" s="37"/>
      <c r="QA2884" s="37"/>
      <c r="QB2884" s="37"/>
      <c r="QC2884" s="37"/>
      <c r="QD2884" s="37"/>
      <c r="QE2884" s="37"/>
      <c r="QF2884" s="37"/>
      <c r="QG2884" s="37"/>
      <c r="QH2884" s="37"/>
      <c r="QI2884" s="37"/>
      <c r="QJ2884" s="37"/>
      <c r="QK2884" s="37"/>
      <c r="QL2884" s="37"/>
      <c r="QM2884" s="37"/>
      <c r="QN2884" s="37"/>
      <c r="QO2884" s="37"/>
      <c r="QP2884" s="37"/>
      <c r="QQ2884" s="37"/>
      <c r="QR2884" s="37"/>
      <c r="QS2884" s="37"/>
      <c r="QT2884" s="37"/>
      <c r="QU2884" s="37"/>
      <c r="QV2884" s="37"/>
      <c r="QW2884" s="37"/>
      <c r="QX2884" s="37"/>
      <c r="QY2884" s="37"/>
      <c r="QZ2884" s="37"/>
      <c r="RA2884" s="37"/>
      <c r="RB2884" s="37"/>
      <c r="RC2884" s="37"/>
      <c r="RD2884" s="37"/>
      <c r="RE2884" s="37"/>
      <c r="RF2884" s="37"/>
      <c r="RG2884" s="37"/>
      <c r="RH2884" s="37"/>
      <c r="RI2884" s="37"/>
      <c r="RJ2884" s="37"/>
      <c r="RK2884" s="37"/>
      <c r="RL2884" s="37"/>
      <c r="RM2884" s="37"/>
      <c r="RN2884" s="37"/>
      <c r="RO2884" s="37"/>
      <c r="RP2884" s="37"/>
      <c r="RQ2884" s="37"/>
      <c r="RR2884" s="37"/>
      <c r="RS2884" s="37"/>
      <c r="RT2884" s="37"/>
      <c r="RU2884" s="37"/>
      <c r="RV2884" s="37"/>
      <c r="RW2884" s="37"/>
      <c r="RX2884" s="37"/>
      <c r="RY2884" s="37"/>
      <c r="RZ2884" s="37"/>
      <c r="SA2884" s="37"/>
      <c r="SB2884" s="37"/>
      <c r="SC2884" s="37"/>
      <c r="SD2884" s="37"/>
      <c r="SE2884" s="37"/>
      <c r="SF2884" s="37"/>
    </row>
    <row r="2885" spans="1:500">
      <c r="A2885" s="37"/>
      <c r="B2885" s="37"/>
      <c r="C2885" s="37"/>
      <c r="D2885" s="37"/>
      <c r="E2885" s="37"/>
      <c r="F2885" s="37"/>
      <c r="G2885" s="37"/>
      <c r="H2885" s="37"/>
      <c r="I2885" s="37"/>
      <c r="J2885" s="37"/>
      <c r="K2885" s="37"/>
      <c r="L2885" s="37"/>
      <c r="M2885" s="37"/>
      <c r="N2885" s="37"/>
      <c r="O2885" s="37"/>
      <c r="P2885" s="37"/>
      <c r="Q2885" s="37"/>
      <c r="R2885" s="37"/>
      <c r="S2885" s="37"/>
      <c r="T2885" s="37"/>
      <c r="U2885" s="37"/>
      <c r="V2885" s="37"/>
      <c r="W2885" s="37"/>
      <c r="X2885" s="37"/>
      <c r="Y2885" s="37"/>
      <c r="Z2885" s="37"/>
      <c r="AA2885" s="37"/>
      <c r="AB2885" s="37"/>
      <c r="AC2885" s="37"/>
      <c r="AD2885" s="37"/>
      <c r="AE2885" s="37"/>
      <c r="AF2885" s="37"/>
      <c r="AG2885" s="37"/>
      <c r="AH2885" s="37"/>
      <c r="AI2885" s="37"/>
      <c r="AJ2885" s="37"/>
      <c r="AK2885" s="37"/>
      <c r="AL2885" s="37"/>
      <c r="AM2885" s="37"/>
      <c r="AN2885" s="37"/>
      <c r="AO2885" s="37"/>
      <c r="AP2885" s="37"/>
      <c r="AQ2885" s="37"/>
      <c r="AR2885" s="37"/>
      <c r="AS2885" s="37"/>
      <c r="AT2885" s="37"/>
      <c r="AU2885" s="37"/>
      <c r="AV2885" s="37"/>
      <c r="AW2885" s="37"/>
      <c r="AX2885" s="37"/>
      <c r="AY2885" s="37"/>
      <c r="AZ2885" s="37"/>
      <c r="BA2885" s="37"/>
      <c r="BB2885" s="37"/>
      <c r="BC2885" s="37"/>
      <c r="BD2885" s="37"/>
      <c r="BE2885" s="37"/>
      <c r="BF2885" s="37"/>
      <c r="BG2885" s="37"/>
      <c r="BH2885" s="37"/>
      <c r="BI2885" s="37"/>
      <c r="BJ2885" s="37"/>
      <c r="BK2885" s="37"/>
      <c r="BL2885" s="37"/>
      <c r="BM2885" s="37"/>
      <c r="BN2885" s="37"/>
      <c r="BO2885" s="37"/>
      <c r="BP2885" s="37"/>
      <c r="BQ2885" s="37"/>
      <c r="BR2885" s="37"/>
      <c r="BS2885" s="37"/>
      <c r="BT2885" s="37"/>
      <c r="BU2885" s="37"/>
      <c r="BV2885" s="37"/>
      <c r="BW2885" s="37"/>
      <c r="BX2885" s="37"/>
      <c r="BY2885" s="37"/>
      <c r="BZ2885" s="37"/>
      <c r="CA2885" s="37"/>
      <c r="CB2885" s="37"/>
      <c r="CC2885" s="37"/>
      <c r="CD2885" s="37"/>
      <c r="CE2885" s="37"/>
      <c r="CF2885" s="37"/>
      <c r="CG2885" s="37"/>
      <c r="CH2885" s="37"/>
      <c r="CI2885" s="37"/>
      <c r="CJ2885" s="37"/>
      <c r="CK2885" s="37"/>
      <c r="CL2885" s="37"/>
      <c r="CM2885" s="37"/>
      <c r="CN2885" s="37"/>
      <c r="CO2885" s="37"/>
      <c r="CP2885" s="37"/>
      <c r="CQ2885" s="37"/>
      <c r="CR2885" s="37"/>
      <c r="CS2885" s="37"/>
      <c r="CT2885" s="37"/>
      <c r="CU2885" s="37"/>
      <c r="CV2885" s="37"/>
      <c r="CW2885" s="37"/>
      <c r="CX2885" s="37"/>
      <c r="CY2885" s="37"/>
      <c r="CZ2885" s="37"/>
      <c r="DA2885" s="37"/>
      <c r="DB2885" s="37"/>
      <c r="DC2885" s="37"/>
      <c r="DD2885" s="37"/>
      <c r="DE2885" s="37"/>
      <c r="DF2885" s="37"/>
      <c r="DG2885" s="37"/>
      <c r="DH2885" s="37"/>
      <c r="DI2885" s="37"/>
      <c r="DJ2885" s="37"/>
      <c r="DK2885" s="37"/>
      <c r="DL2885" s="37"/>
      <c r="DM2885" s="37"/>
      <c r="DN2885" s="37"/>
      <c r="DO2885" s="37"/>
      <c r="DP2885" s="37"/>
      <c r="DQ2885" s="37"/>
      <c r="DR2885" s="37"/>
      <c r="DS2885" s="37"/>
      <c r="DT2885" s="37"/>
      <c r="DU2885" s="37"/>
      <c r="DV2885" s="37"/>
      <c r="DW2885" s="37"/>
      <c r="DX2885" s="37"/>
      <c r="DY2885" s="37"/>
      <c r="DZ2885" s="37"/>
      <c r="EA2885" s="37"/>
      <c r="EB2885" s="37"/>
      <c r="EC2885" s="37"/>
      <c r="ED2885" s="37"/>
      <c r="EE2885" s="37"/>
      <c r="EF2885" s="37"/>
      <c r="EG2885" s="37"/>
      <c r="EH2885" s="37"/>
      <c r="EI2885" s="37"/>
      <c r="EJ2885" s="37"/>
      <c r="EK2885" s="37"/>
      <c r="EL2885" s="37"/>
      <c r="EM2885" s="37"/>
      <c r="EN2885" s="37"/>
      <c r="EO2885" s="37"/>
      <c r="EP2885" s="37"/>
      <c r="EQ2885" s="37"/>
      <c r="ER2885" s="37"/>
      <c r="ES2885" s="37"/>
      <c r="ET2885" s="37"/>
      <c r="EU2885" s="37"/>
      <c r="EV2885" s="37"/>
      <c r="EW2885" s="37"/>
      <c r="EX2885" s="37"/>
      <c r="EY2885" s="37"/>
      <c r="EZ2885" s="37"/>
      <c r="FA2885" s="37"/>
      <c r="FB2885" s="37"/>
      <c r="FC2885" s="37"/>
      <c r="FD2885" s="37"/>
      <c r="FE2885" s="37"/>
      <c r="FF2885" s="37"/>
      <c r="FG2885" s="37"/>
      <c r="FH2885" s="37"/>
      <c r="FI2885" s="37"/>
      <c r="FJ2885" s="37"/>
      <c r="FK2885" s="37"/>
      <c r="FL2885" s="37"/>
      <c r="FM2885" s="37"/>
      <c r="FN2885" s="37"/>
      <c r="FO2885" s="37"/>
      <c r="FP2885" s="37"/>
      <c r="FQ2885" s="37"/>
      <c r="FR2885" s="37"/>
      <c r="FS2885" s="37"/>
      <c r="FT2885" s="37"/>
      <c r="FU2885" s="37"/>
      <c r="FV2885" s="37"/>
      <c r="FW2885" s="37"/>
      <c r="FX2885" s="37"/>
      <c r="FY2885" s="37"/>
      <c r="FZ2885" s="37"/>
      <c r="GA2885" s="37"/>
      <c r="GB2885" s="37"/>
      <c r="GC2885" s="37"/>
      <c r="GD2885" s="37"/>
      <c r="GE2885" s="37"/>
      <c r="GF2885" s="37"/>
      <c r="GG2885" s="37"/>
      <c r="GH2885" s="37"/>
      <c r="GI2885" s="37"/>
      <c r="GJ2885" s="37"/>
      <c r="GK2885" s="37"/>
      <c r="GL2885" s="37"/>
      <c r="GM2885" s="37"/>
      <c r="GN2885" s="37"/>
      <c r="GO2885" s="37"/>
      <c r="GP2885" s="37"/>
      <c r="GQ2885" s="37"/>
      <c r="GR2885" s="37"/>
      <c r="GS2885" s="37"/>
      <c r="GT2885" s="37"/>
      <c r="GU2885" s="37"/>
      <c r="GV2885" s="37"/>
      <c r="GW2885" s="37"/>
      <c r="GX2885" s="37"/>
      <c r="GY2885" s="37"/>
      <c r="GZ2885" s="37"/>
      <c r="HA2885" s="37"/>
      <c r="HB2885" s="37"/>
      <c r="HC2885" s="37"/>
      <c r="HD2885" s="37"/>
      <c r="HE2885" s="37"/>
      <c r="HF2885" s="37"/>
      <c r="HG2885" s="37"/>
      <c r="HH2885" s="37"/>
      <c r="HI2885" s="37"/>
      <c r="HJ2885" s="37"/>
      <c r="HK2885" s="37"/>
      <c r="HL2885" s="37"/>
      <c r="HM2885" s="37"/>
      <c r="HN2885" s="37"/>
      <c r="HO2885" s="37"/>
      <c r="HP2885" s="37"/>
      <c r="HQ2885" s="37"/>
      <c r="HR2885" s="37"/>
      <c r="HS2885" s="37"/>
      <c r="HT2885" s="37"/>
      <c r="HU2885" s="37"/>
      <c r="HV2885" s="37"/>
      <c r="HW2885" s="37"/>
      <c r="HX2885" s="37"/>
      <c r="HY2885" s="37"/>
      <c r="HZ2885" s="37"/>
      <c r="IA2885" s="37"/>
      <c r="IB2885" s="37"/>
      <c r="IC2885" s="37"/>
      <c r="ID2885" s="37"/>
      <c r="IE2885" s="37"/>
      <c r="IF2885" s="37"/>
      <c r="IG2885" s="37"/>
      <c r="IH2885" s="37"/>
      <c r="II2885" s="37"/>
      <c r="IJ2885" s="37"/>
      <c r="IK2885" s="37"/>
      <c r="IL2885" s="37"/>
      <c r="IM2885" s="37"/>
      <c r="IN2885" s="37"/>
      <c r="IO2885" s="37"/>
      <c r="IP2885" s="37"/>
      <c r="IQ2885" s="37"/>
      <c r="IR2885" s="37"/>
      <c r="IS2885" s="37"/>
      <c r="IT2885" s="37"/>
      <c r="IU2885" s="37"/>
      <c r="IV2885" s="37"/>
      <c r="IW2885" s="37"/>
      <c r="IX2885" s="37"/>
      <c r="IY2885" s="37"/>
      <c r="IZ2885" s="37"/>
      <c r="JA2885" s="37"/>
      <c r="JB2885" s="37"/>
      <c r="JC2885" s="37"/>
      <c r="JD2885" s="37"/>
      <c r="JE2885" s="37"/>
      <c r="JF2885" s="37"/>
      <c r="JG2885" s="37"/>
      <c r="JH2885" s="37"/>
      <c r="JI2885" s="37"/>
      <c r="JJ2885" s="37"/>
      <c r="JK2885" s="37"/>
      <c r="JL2885" s="37"/>
      <c r="JM2885" s="37"/>
      <c r="JN2885" s="37"/>
      <c r="JO2885" s="37"/>
      <c r="JP2885" s="37"/>
      <c r="JQ2885" s="37"/>
      <c r="JR2885" s="37"/>
      <c r="JS2885" s="37"/>
      <c r="JT2885" s="37"/>
      <c r="JU2885" s="37"/>
      <c r="JV2885" s="37"/>
      <c r="JW2885" s="37"/>
      <c r="JX2885" s="37"/>
      <c r="JY2885" s="37"/>
      <c r="JZ2885" s="37"/>
      <c r="KA2885" s="37"/>
      <c r="KB2885" s="37"/>
      <c r="KC2885" s="37"/>
      <c r="KD2885" s="37"/>
      <c r="KE2885" s="37"/>
      <c r="KF2885" s="37"/>
      <c r="KG2885" s="37"/>
      <c r="KH2885" s="37"/>
      <c r="KI2885" s="37"/>
      <c r="KJ2885" s="37"/>
      <c r="KK2885" s="37"/>
      <c r="KL2885" s="37"/>
      <c r="KM2885" s="37"/>
      <c r="KN2885" s="37"/>
      <c r="KO2885" s="37"/>
      <c r="KP2885" s="37"/>
      <c r="KQ2885" s="37"/>
      <c r="KR2885" s="37"/>
      <c r="KS2885" s="37"/>
      <c r="KT2885" s="37"/>
      <c r="KU2885" s="37"/>
      <c r="KV2885" s="37"/>
      <c r="KW2885" s="37"/>
      <c r="KX2885" s="37"/>
      <c r="KY2885" s="37"/>
      <c r="KZ2885" s="37"/>
      <c r="LA2885" s="37"/>
      <c r="LB2885" s="37"/>
      <c r="LC2885" s="37"/>
      <c r="LD2885" s="37"/>
      <c r="LE2885" s="37"/>
      <c r="LF2885" s="37"/>
      <c r="LG2885" s="37"/>
      <c r="LH2885" s="37"/>
      <c r="LI2885" s="37"/>
      <c r="LJ2885" s="37"/>
      <c r="LK2885" s="37"/>
      <c r="LL2885" s="37"/>
      <c r="LM2885" s="37"/>
      <c r="LN2885" s="37"/>
      <c r="LO2885" s="37"/>
      <c r="LP2885" s="37"/>
      <c r="LQ2885" s="37"/>
      <c r="LR2885" s="37"/>
      <c r="LS2885" s="37"/>
      <c r="LT2885" s="37"/>
      <c r="LU2885" s="37"/>
      <c r="LV2885" s="37"/>
      <c r="LW2885" s="37"/>
      <c r="LX2885" s="37"/>
      <c r="LY2885" s="37"/>
      <c r="LZ2885" s="37"/>
      <c r="MA2885" s="37"/>
      <c r="MB2885" s="37"/>
      <c r="MC2885" s="37"/>
      <c r="MD2885" s="37"/>
      <c r="ME2885" s="37"/>
      <c r="MF2885" s="37"/>
      <c r="MG2885" s="37"/>
      <c r="MH2885" s="37"/>
      <c r="MI2885" s="37"/>
      <c r="MJ2885" s="37"/>
      <c r="MK2885" s="37"/>
      <c r="ML2885" s="37"/>
      <c r="MM2885" s="37"/>
      <c r="MN2885" s="37"/>
      <c r="MO2885" s="37"/>
      <c r="MP2885" s="37"/>
      <c r="MQ2885" s="37"/>
      <c r="MR2885" s="37"/>
      <c r="MS2885" s="37"/>
      <c r="MT2885" s="37"/>
      <c r="MU2885" s="37"/>
      <c r="MV2885" s="37"/>
      <c r="MW2885" s="37"/>
      <c r="MX2885" s="37"/>
      <c r="MY2885" s="37"/>
      <c r="MZ2885" s="37"/>
      <c r="NA2885" s="37"/>
      <c r="NB2885" s="37"/>
      <c r="NC2885" s="37"/>
      <c r="ND2885" s="37"/>
      <c r="NE2885" s="37"/>
      <c r="NF2885" s="37"/>
      <c r="NG2885" s="37"/>
      <c r="NH2885" s="37"/>
      <c r="NI2885" s="37"/>
      <c r="NJ2885" s="37"/>
      <c r="NK2885" s="37"/>
      <c r="NL2885" s="37"/>
      <c r="NM2885" s="37"/>
      <c r="NN2885" s="37"/>
      <c r="NO2885" s="37"/>
      <c r="NP2885" s="37"/>
      <c r="NQ2885" s="37"/>
      <c r="NR2885" s="37"/>
      <c r="NS2885" s="37"/>
      <c r="NT2885" s="37"/>
      <c r="NU2885" s="37"/>
      <c r="NV2885" s="37"/>
      <c r="NW2885" s="37"/>
      <c r="NX2885" s="37"/>
      <c r="NY2885" s="37"/>
      <c r="NZ2885" s="37"/>
      <c r="OA2885" s="37"/>
      <c r="OB2885" s="37"/>
      <c r="OC2885" s="37"/>
      <c r="OD2885" s="37"/>
      <c r="OE2885" s="37"/>
      <c r="OF2885" s="37"/>
      <c r="OG2885" s="37"/>
      <c r="OH2885" s="37"/>
      <c r="OI2885" s="37"/>
      <c r="OJ2885" s="37"/>
      <c r="OK2885" s="37"/>
      <c r="OL2885" s="37"/>
      <c r="OM2885" s="37"/>
      <c r="ON2885" s="37"/>
      <c r="OO2885" s="37"/>
      <c r="OP2885" s="37"/>
      <c r="OQ2885" s="37"/>
      <c r="OR2885" s="37"/>
      <c r="OS2885" s="37"/>
      <c r="OT2885" s="37"/>
      <c r="OU2885" s="37"/>
      <c r="OV2885" s="37"/>
      <c r="OW2885" s="37"/>
      <c r="OX2885" s="37"/>
      <c r="OY2885" s="37"/>
      <c r="OZ2885" s="37"/>
      <c r="PA2885" s="37"/>
      <c r="PB2885" s="37"/>
      <c r="PC2885" s="37"/>
      <c r="PD2885" s="37"/>
      <c r="PE2885" s="37"/>
      <c r="PF2885" s="37"/>
      <c r="PG2885" s="37"/>
      <c r="PH2885" s="37"/>
      <c r="PI2885" s="37"/>
      <c r="PJ2885" s="37"/>
      <c r="PK2885" s="37"/>
      <c r="PL2885" s="37"/>
      <c r="PM2885" s="37"/>
      <c r="PN2885" s="37"/>
      <c r="PO2885" s="37"/>
      <c r="PP2885" s="37"/>
      <c r="PQ2885" s="37"/>
      <c r="PR2885" s="37"/>
      <c r="PS2885" s="37"/>
      <c r="PT2885" s="37"/>
      <c r="PU2885" s="37"/>
      <c r="PV2885" s="37"/>
      <c r="PW2885" s="37"/>
      <c r="PX2885" s="37"/>
      <c r="PY2885" s="37"/>
      <c r="PZ2885" s="37"/>
      <c r="QA2885" s="37"/>
      <c r="QB2885" s="37"/>
      <c r="QC2885" s="37"/>
      <c r="QD2885" s="37"/>
      <c r="QE2885" s="37"/>
      <c r="QF2885" s="37"/>
      <c r="QG2885" s="37"/>
      <c r="QH2885" s="37"/>
      <c r="QI2885" s="37"/>
      <c r="QJ2885" s="37"/>
      <c r="QK2885" s="37"/>
      <c r="QL2885" s="37"/>
      <c r="QM2885" s="37"/>
      <c r="QN2885" s="37"/>
      <c r="QO2885" s="37"/>
      <c r="QP2885" s="37"/>
      <c r="QQ2885" s="37"/>
      <c r="QR2885" s="37"/>
      <c r="QS2885" s="37"/>
      <c r="QT2885" s="37"/>
      <c r="QU2885" s="37"/>
      <c r="QV2885" s="37"/>
      <c r="QW2885" s="37"/>
      <c r="QX2885" s="37"/>
      <c r="QY2885" s="37"/>
      <c r="QZ2885" s="37"/>
      <c r="RA2885" s="37"/>
      <c r="RB2885" s="37"/>
      <c r="RC2885" s="37"/>
      <c r="RD2885" s="37"/>
      <c r="RE2885" s="37"/>
      <c r="RF2885" s="37"/>
      <c r="RG2885" s="37"/>
      <c r="RH2885" s="37"/>
      <c r="RI2885" s="37"/>
      <c r="RJ2885" s="37"/>
      <c r="RK2885" s="37"/>
      <c r="RL2885" s="37"/>
      <c r="RM2885" s="37"/>
      <c r="RN2885" s="37"/>
      <c r="RO2885" s="37"/>
      <c r="RP2885" s="37"/>
      <c r="RQ2885" s="37"/>
      <c r="RR2885" s="37"/>
      <c r="RS2885" s="37"/>
      <c r="RT2885" s="37"/>
      <c r="RU2885" s="37"/>
      <c r="RV2885" s="37"/>
      <c r="RW2885" s="37"/>
      <c r="RX2885" s="37"/>
      <c r="RY2885" s="37"/>
      <c r="RZ2885" s="37"/>
      <c r="SA2885" s="37"/>
      <c r="SB2885" s="37"/>
      <c r="SC2885" s="37"/>
      <c r="SD2885" s="37"/>
      <c r="SE2885" s="37"/>
      <c r="SF2885" s="37"/>
    </row>
    <row r="2886" spans="1:500">
      <c r="A2886" s="37"/>
      <c r="B2886" s="37"/>
      <c r="C2886" s="37"/>
      <c r="D2886" s="37"/>
      <c r="E2886" s="37"/>
      <c r="F2886" s="37"/>
      <c r="G2886" s="37"/>
      <c r="H2886" s="37"/>
      <c r="I2886" s="37"/>
      <c r="J2886" s="37"/>
      <c r="K2886" s="37"/>
      <c r="L2886" s="37"/>
      <c r="M2886" s="37"/>
      <c r="N2886" s="37"/>
      <c r="O2886" s="37"/>
      <c r="P2886" s="37"/>
      <c r="Q2886" s="37"/>
      <c r="R2886" s="37"/>
      <c r="S2886" s="37"/>
      <c r="T2886" s="37"/>
      <c r="U2886" s="37"/>
      <c r="V2886" s="37"/>
      <c r="W2886" s="37"/>
      <c r="X2886" s="37"/>
      <c r="Y2886" s="37"/>
      <c r="Z2886" s="37"/>
      <c r="AA2886" s="37"/>
      <c r="AB2886" s="37"/>
      <c r="AC2886" s="37"/>
      <c r="AD2886" s="37"/>
      <c r="AE2886" s="37"/>
      <c r="AF2886" s="37"/>
      <c r="AG2886" s="37"/>
      <c r="AH2886" s="37"/>
      <c r="AI2886" s="37"/>
      <c r="AJ2886" s="37"/>
      <c r="AK2886" s="37"/>
      <c r="AL2886" s="37"/>
      <c r="AM2886" s="37"/>
      <c r="AN2886" s="37"/>
      <c r="AO2886" s="37"/>
      <c r="AP2886" s="37"/>
      <c r="AQ2886" s="37"/>
      <c r="AR2886" s="37"/>
      <c r="AS2886" s="37"/>
      <c r="AT2886" s="37"/>
      <c r="AU2886" s="37"/>
      <c r="AV2886" s="37"/>
      <c r="AW2886" s="37"/>
      <c r="AX2886" s="37"/>
      <c r="AY2886" s="37"/>
      <c r="AZ2886" s="37"/>
      <c r="BA2886" s="37"/>
      <c r="BB2886" s="37"/>
      <c r="BC2886" s="37"/>
      <c r="BD2886" s="37"/>
      <c r="BE2886" s="37"/>
      <c r="BF2886" s="37"/>
      <c r="BG2886" s="37"/>
      <c r="BH2886" s="37"/>
      <c r="BI2886" s="37"/>
      <c r="BJ2886" s="37"/>
      <c r="BK2886" s="37"/>
      <c r="BL2886" s="37"/>
      <c r="BM2886" s="37"/>
      <c r="BN2886" s="37"/>
      <c r="BO2886" s="37"/>
      <c r="BP2886" s="37"/>
      <c r="BQ2886" s="37"/>
      <c r="BR2886" s="37"/>
      <c r="BS2886" s="37"/>
      <c r="BT2886" s="37"/>
      <c r="BU2886" s="37"/>
      <c r="BV2886" s="37"/>
      <c r="BW2886" s="37"/>
      <c r="BX2886" s="37"/>
      <c r="BY2886" s="37"/>
      <c r="BZ2886" s="37"/>
      <c r="CA2886" s="37"/>
      <c r="CB2886" s="37"/>
      <c r="CC2886" s="37"/>
      <c r="CD2886" s="37"/>
      <c r="CE2886" s="37"/>
      <c r="CF2886" s="37"/>
      <c r="CG2886" s="37"/>
      <c r="CH2886" s="37"/>
      <c r="CI2886" s="37"/>
      <c r="CJ2886" s="37"/>
      <c r="CK2886" s="37"/>
      <c r="CL2886" s="37"/>
      <c r="CM2886" s="37"/>
      <c r="CN2886" s="37"/>
      <c r="CO2886" s="37"/>
      <c r="CP2886" s="37"/>
      <c r="CQ2886" s="37"/>
      <c r="CR2886" s="37"/>
      <c r="CS2886" s="37"/>
      <c r="CT2886" s="37"/>
      <c r="CU2886" s="37"/>
      <c r="CV2886" s="37"/>
      <c r="CW2886" s="37"/>
      <c r="CX2886" s="37"/>
      <c r="CY2886" s="37"/>
      <c r="CZ2886" s="37"/>
      <c r="DA2886" s="37"/>
      <c r="DB2886" s="37"/>
      <c r="DC2886" s="37"/>
      <c r="DD2886" s="37"/>
      <c r="DE2886" s="37"/>
      <c r="DF2886" s="37"/>
      <c r="DG2886" s="37"/>
      <c r="DH2886" s="37"/>
      <c r="DI2886" s="37"/>
      <c r="DJ2886" s="37"/>
      <c r="DK2886" s="37"/>
      <c r="DL2886" s="37"/>
      <c r="DM2886" s="37"/>
      <c r="DN2886" s="37"/>
      <c r="DO2886" s="37"/>
      <c r="DP2886" s="37"/>
      <c r="DQ2886" s="37"/>
      <c r="DR2886" s="37"/>
      <c r="DS2886" s="37"/>
      <c r="DT2886" s="37"/>
      <c r="DU2886" s="37"/>
      <c r="DV2886" s="37"/>
      <c r="DW2886" s="37"/>
      <c r="DX2886" s="37"/>
      <c r="DY2886" s="37"/>
      <c r="DZ2886" s="37"/>
      <c r="EA2886" s="37"/>
      <c r="EB2886" s="37"/>
      <c r="EC2886" s="37"/>
      <c r="ED2886" s="37"/>
      <c r="EE2886" s="37"/>
      <c r="EF2886" s="37"/>
      <c r="EG2886" s="37"/>
      <c r="EH2886" s="37"/>
      <c r="EI2886" s="37"/>
      <c r="EJ2886" s="37"/>
      <c r="EK2886" s="37"/>
      <c r="EL2886" s="37"/>
      <c r="EM2886" s="37"/>
      <c r="EN2886" s="37"/>
      <c r="EO2886" s="37"/>
      <c r="EP2886" s="37"/>
      <c r="EQ2886" s="37"/>
      <c r="ER2886" s="37"/>
      <c r="ES2886" s="37"/>
      <c r="ET2886" s="37"/>
      <c r="EU2886" s="37"/>
      <c r="EV2886" s="37"/>
      <c r="EW2886" s="37"/>
      <c r="EX2886" s="37"/>
      <c r="EY2886" s="37"/>
      <c r="EZ2886" s="37"/>
      <c r="FA2886" s="37"/>
      <c r="FB2886" s="37"/>
      <c r="FC2886" s="37"/>
      <c r="FD2886" s="37"/>
      <c r="FE2886" s="37"/>
      <c r="FF2886" s="37"/>
      <c r="FG2886" s="37"/>
      <c r="FH2886" s="37"/>
      <c r="FI2886" s="37"/>
      <c r="FJ2886" s="37"/>
      <c r="FK2886" s="37"/>
      <c r="FL2886" s="37"/>
      <c r="FM2886" s="37"/>
      <c r="FN2886" s="37"/>
      <c r="FO2886" s="37"/>
      <c r="FP2886" s="37"/>
      <c r="FQ2886" s="37"/>
      <c r="FR2886" s="37"/>
      <c r="FS2886" s="37"/>
      <c r="FT2886" s="37"/>
      <c r="FU2886" s="37"/>
      <c r="FV2886" s="37"/>
      <c r="FW2886" s="37"/>
      <c r="FX2886" s="37"/>
      <c r="FY2886" s="37"/>
      <c r="FZ2886" s="37"/>
      <c r="GA2886" s="37"/>
      <c r="GB2886" s="37"/>
      <c r="GC2886" s="37"/>
      <c r="GD2886" s="37"/>
      <c r="GE2886" s="37"/>
      <c r="GF2886" s="37"/>
      <c r="GG2886" s="37"/>
      <c r="GH2886" s="37"/>
      <c r="GI2886" s="37"/>
      <c r="GJ2886" s="37"/>
      <c r="GK2886" s="37"/>
      <c r="GL2886" s="37"/>
      <c r="GM2886" s="37"/>
      <c r="GN2886" s="37"/>
      <c r="GO2886" s="37"/>
      <c r="GP2886" s="37"/>
      <c r="GQ2886" s="37"/>
      <c r="GR2886" s="37"/>
      <c r="GS2886" s="37"/>
      <c r="GT2886" s="37"/>
      <c r="GU2886" s="37"/>
      <c r="GV2886" s="37"/>
      <c r="GW2886" s="37"/>
      <c r="GX2886" s="37"/>
      <c r="GY2886" s="37"/>
      <c r="GZ2886" s="37"/>
      <c r="HA2886" s="37"/>
      <c r="HB2886" s="37"/>
      <c r="HC2886" s="37"/>
      <c r="HD2886" s="37"/>
      <c r="HE2886" s="37"/>
      <c r="HF2886" s="37"/>
      <c r="HG2886" s="37"/>
      <c r="HH2886" s="37"/>
      <c r="HI2886" s="37"/>
      <c r="HJ2886" s="37"/>
      <c r="HK2886" s="37"/>
      <c r="HL2886" s="37"/>
      <c r="HM2886" s="37"/>
      <c r="HN2886" s="37"/>
      <c r="HO2886" s="37"/>
      <c r="HP2886" s="37"/>
      <c r="HQ2886" s="37"/>
      <c r="HR2886" s="37"/>
      <c r="HS2886" s="37"/>
      <c r="HT2886" s="37"/>
      <c r="HU2886" s="37"/>
      <c r="HV2886" s="37"/>
      <c r="HW2886" s="37"/>
      <c r="HX2886" s="37"/>
      <c r="HY2886" s="37"/>
      <c r="HZ2886" s="37"/>
      <c r="IA2886" s="37"/>
      <c r="IB2886" s="37"/>
      <c r="IC2886" s="37"/>
      <c r="ID2886" s="37"/>
      <c r="IE2886" s="37"/>
      <c r="IF2886" s="37"/>
      <c r="IG2886" s="37"/>
      <c r="IH2886" s="37"/>
      <c r="II2886" s="37"/>
      <c r="IJ2886" s="37"/>
      <c r="IK2886" s="37"/>
      <c r="IL2886" s="37"/>
      <c r="IM2886" s="37"/>
      <c r="IN2886" s="37"/>
      <c r="IO2886" s="37"/>
      <c r="IP2886" s="37"/>
      <c r="IQ2886" s="37"/>
      <c r="IR2886" s="37"/>
      <c r="IS2886" s="37"/>
      <c r="IT2886" s="37"/>
      <c r="IU2886" s="37"/>
      <c r="IV2886" s="37"/>
      <c r="IW2886" s="37"/>
      <c r="IX2886" s="37"/>
      <c r="IY2886" s="37"/>
      <c r="IZ2886" s="37"/>
      <c r="JA2886" s="37"/>
      <c r="JB2886" s="37"/>
      <c r="JC2886" s="37"/>
      <c r="JD2886" s="37"/>
      <c r="JE2886" s="37"/>
      <c r="JF2886" s="37"/>
      <c r="JG2886" s="37"/>
      <c r="JH2886" s="37"/>
      <c r="JI2886" s="37"/>
      <c r="JJ2886" s="37"/>
      <c r="JK2886" s="37"/>
      <c r="JL2886" s="37"/>
      <c r="JM2886" s="37"/>
      <c r="JN2886" s="37"/>
      <c r="JO2886" s="37"/>
      <c r="JP2886" s="37"/>
      <c r="JQ2886" s="37"/>
      <c r="JR2886" s="37"/>
      <c r="JS2886" s="37"/>
      <c r="JT2886" s="37"/>
      <c r="JU2886" s="37"/>
      <c r="JV2886" s="37"/>
      <c r="JW2886" s="37"/>
      <c r="JX2886" s="37"/>
      <c r="JY2886" s="37"/>
      <c r="JZ2886" s="37"/>
      <c r="KA2886" s="37"/>
      <c r="KB2886" s="37"/>
      <c r="KC2886" s="37"/>
      <c r="KD2886" s="37"/>
      <c r="KE2886" s="37"/>
      <c r="KF2886" s="37"/>
      <c r="KG2886" s="37"/>
      <c r="KH2886" s="37"/>
      <c r="KI2886" s="37"/>
      <c r="KJ2886" s="37"/>
      <c r="KK2886" s="37"/>
      <c r="KL2886" s="37"/>
      <c r="KM2886" s="37"/>
      <c r="KN2886" s="37"/>
      <c r="KO2886" s="37"/>
      <c r="KP2886" s="37"/>
      <c r="KQ2886" s="37"/>
      <c r="KR2886" s="37"/>
      <c r="KS2886" s="37"/>
      <c r="KT2886" s="37"/>
      <c r="KU2886" s="37"/>
      <c r="KV2886" s="37"/>
      <c r="KW2886" s="37"/>
      <c r="KX2886" s="37"/>
      <c r="KY2886" s="37"/>
      <c r="KZ2886" s="37"/>
      <c r="LA2886" s="37"/>
      <c r="LB2886" s="37"/>
      <c r="LC2886" s="37"/>
      <c r="LD2886" s="37"/>
      <c r="LE2886" s="37"/>
      <c r="LF2886" s="37"/>
      <c r="LG2886" s="37"/>
      <c r="LH2886" s="37"/>
      <c r="LI2886" s="37"/>
      <c r="LJ2886" s="37"/>
      <c r="LK2886" s="37"/>
      <c r="LL2886" s="37"/>
      <c r="LM2886" s="37"/>
      <c r="LN2886" s="37"/>
      <c r="LO2886" s="37"/>
      <c r="LP2886" s="37"/>
      <c r="LQ2886" s="37"/>
      <c r="LR2886" s="37"/>
      <c r="LS2886" s="37"/>
      <c r="LT2886" s="37"/>
      <c r="LU2886" s="37"/>
      <c r="LV2886" s="37"/>
      <c r="LW2886" s="37"/>
      <c r="LX2886" s="37"/>
      <c r="LY2886" s="37"/>
      <c r="LZ2886" s="37"/>
      <c r="MA2886" s="37"/>
      <c r="MB2886" s="37"/>
      <c r="MC2886" s="37"/>
      <c r="MD2886" s="37"/>
      <c r="ME2886" s="37"/>
      <c r="MF2886" s="37"/>
      <c r="MG2886" s="37"/>
      <c r="MH2886" s="37"/>
      <c r="MI2886" s="37"/>
      <c r="MJ2886" s="37"/>
      <c r="MK2886" s="37"/>
      <c r="ML2886" s="37"/>
      <c r="MM2886" s="37"/>
      <c r="MN2886" s="37"/>
      <c r="MO2886" s="37"/>
      <c r="MP2886" s="37"/>
      <c r="MQ2886" s="37"/>
      <c r="MR2886" s="37"/>
      <c r="MS2886" s="37"/>
      <c r="MT2886" s="37"/>
      <c r="MU2886" s="37"/>
      <c r="MV2886" s="37"/>
      <c r="MW2886" s="37"/>
      <c r="MX2886" s="37"/>
      <c r="MY2886" s="37"/>
      <c r="MZ2886" s="37"/>
      <c r="NA2886" s="37"/>
      <c r="NB2886" s="37"/>
      <c r="NC2886" s="37"/>
      <c r="ND2886" s="37"/>
      <c r="NE2886" s="37"/>
      <c r="NF2886" s="37"/>
      <c r="NG2886" s="37"/>
      <c r="NH2886" s="37"/>
      <c r="NI2886" s="37"/>
      <c r="NJ2886" s="37"/>
      <c r="NK2886" s="37"/>
      <c r="NL2886" s="37"/>
      <c r="NM2886" s="37"/>
      <c r="NN2886" s="37"/>
      <c r="NO2886" s="37"/>
      <c r="NP2886" s="37"/>
      <c r="NQ2886" s="37"/>
      <c r="NR2886" s="37"/>
      <c r="NS2886" s="37"/>
      <c r="NT2886" s="37"/>
      <c r="NU2886" s="37"/>
      <c r="NV2886" s="37"/>
      <c r="NW2886" s="37"/>
      <c r="NX2886" s="37"/>
      <c r="NY2886" s="37"/>
      <c r="NZ2886" s="37"/>
      <c r="OA2886" s="37"/>
      <c r="OB2886" s="37"/>
      <c r="OC2886" s="37"/>
      <c r="OD2886" s="37"/>
      <c r="OE2886" s="37"/>
      <c r="OF2886" s="37"/>
      <c r="OG2886" s="37"/>
      <c r="OH2886" s="37"/>
      <c r="OI2886" s="37"/>
      <c r="OJ2886" s="37"/>
      <c r="OK2886" s="37"/>
      <c r="OL2886" s="37"/>
      <c r="OM2886" s="37"/>
      <c r="ON2886" s="37"/>
      <c r="OO2886" s="37"/>
      <c r="OP2886" s="37"/>
      <c r="OQ2886" s="37"/>
      <c r="OR2886" s="37"/>
      <c r="OS2886" s="37"/>
      <c r="OT2886" s="37"/>
      <c r="OU2886" s="37"/>
      <c r="OV2886" s="37"/>
      <c r="OW2886" s="37"/>
      <c r="OX2886" s="37"/>
      <c r="OY2886" s="37"/>
      <c r="OZ2886" s="37"/>
      <c r="PA2886" s="37"/>
      <c r="PB2886" s="37"/>
      <c r="PC2886" s="37"/>
      <c r="PD2886" s="37"/>
      <c r="PE2886" s="37"/>
      <c r="PF2886" s="37"/>
      <c r="PG2886" s="37"/>
      <c r="PH2886" s="37"/>
      <c r="PI2886" s="37"/>
      <c r="PJ2886" s="37"/>
      <c r="PK2886" s="37"/>
      <c r="PL2886" s="37"/>
      <c r="PM2886" s="37"/>
      <c r="PN2886" s="37"/>
      <c r="PO2886" s="37"/>
      <c r="PP2886" s="37"/>
      <c r="PQ2886" s="37"/>
      <c r="PR2886" s="37"/>
      <c r="PS2886" s="37"/>
      <c r="PT2886" s="37"/>
      <c r="PU2886" s="37"/>
      <c r="PV2886" s="37"/>
      <c r="PW2886" s="37"/>
      <c r="PX2886" s="37"/>
      <c r="PY2886" s="37"/>
      <c r="PZ2886" s="37"/>
      <c r="QA2886" s="37"/>
      <c r="QB2886" s="37"/>
      <c r="QC2886" s="37"/>
      <c r="QD2886" s="37"/>
      <c r="QE2886" s="37"/>
      <c r="QF2886" s="37"/>
      <c r="QG2886" s="37"/>
      <c r="QH2886" s="37"/>
      <c r="QI2886" s="37"/>
      <c r="QJ2886" s="37"/>
      <c r="QK2886" s="37"/>
      <c r="QL2886" s="37"/>
      <c r="QM2886" s="37"/>
      <c r="QN2886" s="37"/>
      <c r="QO2886" s="37"/>
      <c r="QP2886" s="37"/>
      <c r="QQ2886" s="37"/>
      <c r="QR2886" s="37"/>
      <c r="QS2886" s="37"/>
      <c r="QT2886" s="37"/>
      <c r="QU2886" s="37"/>
      <c r="QV2886" s="37"/>
      <c r="QW2886" s="37"/>
      <c r="QX2886" s="37"/>
      <c r="QY2886" s="37"/>
      <c r="QZ2886" s="37"/>
      <c r="RA2886" s="37"/>
      <c r="RB2886" s="37"/>
      <c r="RC2886" s="37"/>
      <c r="RD2886" s="37"/>
      <c r="RE2886" s="37"/>
      <c r="RF2886" s="37"/>
      <c r="RG2886" s="37"/>
      <c r="RH2886" s="37"/>
      <c r="RI2886" s="37"/>
      <c r="RJ2886" s="37"/>
      <c r="RK2886" s="37"/>
      <c r="RL2886" s="37"/>
      <c r="RM2886" s="37"/>
      <c r="RN2886" s="37"/>
      <c r="RO2886" s="37"/>
      <c r="RP2886" s="37"/>
      <c r="RQ2886" s="37"/>
      <c r="RR2886" s="37"/>
      <c r="RS2886" s="37"/>
      <c r="RT2886" s="37"/>
      <c r="RU2886" s="37"/>
      <c r="RV2886" s="37"/>
      <c r="RW2886" s="37"/>
      <c r="RX2886" s="37"/>
      <c r="RY2886" s="37"/>
      <c r="RZ2886" s="37"/>
      <c r="SA2886" s="37"/>
      <c r="SB2886" s="37"/>
      <c r="SC2886" s="37"/>
      <c r="SD2886" s="37"/>
      <c r="SE2886" s="37"/>
      <c r="SF2886" s="37"/>
    </row>
    <row r="2887" spans="1:500">
      <c r="A2887" s="37"/>
      <c r="B2887" s="37"/>
      <c r="C2887" s="37"/>
      <c r="D2887" s="37"/>
      <c r="E2887" s="37"/>
      <c r="F2887" s="37"/>
      <c r="G2887" s="37"/>
      <c r="H2887" s="37"/>
      <c r="I2887" s="37"/>
      <c r="J2887" s="37"/>
      <c r="K2887" s="37"/>
      <c r="L2887" s="37"/>
      <c r="M2887" s="37"/>
      <c r="N2887" s="37"/>
      <c r="O2887" s="37"/>
      <c r="P2887" s="37"/>
      <c r="Q2887" s="37"/>
      <c r="R2887" s="37"/>
      <c r="S2887" s="37"/>
      <c r="T2887" s="37"/>
      <c r="U2887" s="37"/>
      <c r="V2887" s="37"/>
      <c r="W2887" s="37"/>
      <c r="X2887" s="37"/>
      <c r="Y2887" s="37"/>
      <c r="Z2887" s="37"/>
      <c r="AA2887" s="37"/>
      <c r="AB2887" s="37"/>
      <c r="AC2887" s="37"/>
      <c r="AD2887" s="37"/>
      <c r="AE2887" s="37"/>
      <c r="AF2887" s="37"/>
      <c r="AG2887" s="37"/>
      <c r="AH2887" s="37"/>
      <c r="AI2887" s="37"/>
      <c r="AJ2887" s="37"/>
      <c r="AK2887" s="37"/>
      <c r="AL2887" s="37"/>
      <c r="AM2887" s="37"/>
      <c r="AN2887" s="37"/>
      <c r="AO2887" s="37"/>
      <c r="AP2887" s="37"/>
      <c r="AQ2887" s="37"/>
      <c r="AR2887" s="37"/>
      <c r="AS2887" s="37"/>
      <c r="AT2887" s="37"/>
      <c r="AU2887" s="37"/>
      <c r="AV2887" s="37"/>
      <c r="AW2887" s="37"/>
      <c r="AX2887" s="37"/>
      <c r="AY2887" s="37"/>
      <c r="AZ2887" s="37"/>
      <c r="BA2887" s="37"/>
      <c r="BB2887" s="37"/>
      <c r="BC2887" s="37"/>
      <c r="BD2887" s="37"/>
      <c r="BE2887" s="37"/>
      <c r="BF2887" s="37"/>
      <c r="BG2887" s="37"/>
      <c r="BH2887" s="37"/>
      <c r="BI2887" s="37"/>
      <c r="BJ2887" s="37"/>
      <c r="BK2887" s="37"/>
      <c r="BL2887" s="37"/>
      <c r="BM2887" s="37"/>
      <c r="BN2887" s="37"/>
      <c r="BO2887" s="37"/>
      <c r="BP2887" s="37"/>
      <c r="BQ2887" s="37"/>
      <c r="BR2887" s="37"/>
      <c r="BS2887" s="37"/>
      <c r="BT2887" s="37"/>
      <c r="BU2887" s="37"/>
      <c r="BV2887" s="37"/>
      <c r="BW2887" s="37"/>
      <c r="BX2887" s="37"/>
      <c r="BY2887" s="37"/>
      <c r="BZ2887" s="37"/>
      <c r="CA2887" s="37"/>
      <c r="CB2887" s="37"/>
      <c r="CC2887" s="37"/>
      <c r="CD2887" s="37"/>
      <c r="CE2887" s="37"/>
      <c r="CF2887" s="37"/>
      <c r="CG2887" s="37"/>
      <c r="CH2887" s="37"/>
      <c r="CI2887" s="37"/>
      <c r="CJ2887" s="37"/>
      <c r="CK2887" s="37"/>
      <c r="CL2887" s="37"/>
      <c r="CM2887" s="37"/>
      <c r="CN2887" s="37"/>
      <c r="CO2887" s="37"/>
      <c r="CP2887" s="37"/>
      <c r="CQ2887" s="37"/>
      <c r="CR2887" s="37"/>
      <c r="CS2887" s="37"/>
      <c r="CT2887" s="37"/>
      <c r="CU2887" s="37"/>
      <c r="CV2887" s="37"/>
      <c r="CW2887" s="37"/>
      <c r="CX2887" s="37"/>
      <c r="CY2887" s="37"/>
      <c r="CZ2887" s="37"/>
      <c r="DA2887" s="37"/>
      <c r="DB2887" s="37"/>
      <c r="DC2887" s="37"/>
      <c r="DD2887" s="37"/>
      <c r="DE2887" s="37"/>
      <c r="DF2887" s="37"/>
      <c r="DG2887" s="37"/>
      <c r="DH2887" s="37"/>
      <c r="DI2887" s="37"/>
      <c r="DJ2887" s="37"/>
      <c r="DK2887" s="37"/>
      <c r="DL2887" s="37"/>
      <c r="DM2887" s="37"/>
      <c r="DN2887" s="37"/>
      <c r="DO2887" s="37"/>
      <c r="DP2887" s="37"/>
      <c r="DQ2887" s="37"/>
      <c r="DR2887" s="37"/>
      <c r="DS2887" s="37"/>
      <c r="DT2887" s="37"/>
      <c r="DU2887" s="37"/>
      <c r="DV2887" s="37"/>
      <c r="DW2887" s="37"/>
      <c r="DX2887" s="37"/>
      <c r="DY2887" s="37"/>
      <c r="DZ2887" s="37"/>
      <c r="EA2887" s="37"/>
      <c r="EB2887" s="37"/>
      <c r="EC2887" s="37"/>
      <c r="ED2887" s="37"/>
      <c r="EE2887" s="37"/>
      <c r="EF2887" s="37"/>
      <c r="EG2887" s="37"/>
      <c r="EH2887" s="37"/>
      <c r="EI2887" s="37"/>
      <c r="EJ2887" s="37"/>
      <c r="EK2887" s="37"/>
      <c r="EL2887" s="37"/>
      <c r="EM2887" s="37"/>
      <c r="EN2887" s="37"/>
      <c r="EO2887" s="37"/>
      <c r="EP2887" s="37"/>
      <c r="EQ2887" s="37"/>
      <c r="ER2887" s="37"/>
      <c r="ES2887" s="37"/>
      <c r="ET2887" s="37"/>
      <c r="EU2887" s="37"/>
      <c r="EV2887" s="37"/>
      <c r="EW2887" s="37"/>
      <c r="EX2887" s="37"/>
      <c r="EY2887" s="37"/>
      <c r="EZ2887" s="37"/>
      <c r="FA2887" s="37"/>
      <c r="FB2887" s="37"/>
      <c r="FC2887" s="37"/>
      <c r="FD2887" s="37"/>
      <c r="FE2887" s="37"/>
      <c r="FF2887" s="37"/>
      <c r="FG2887" s="37"/>
      <c r="FH2887" s="37"/>
      <c r="FI2887" s="37"/>
      <c r="FJ2887" s="37"/>
      <c r="FK2887" s="37"/>
      <c r="FL2887" s="37"/>
      <c r="FM2887" s="37"/>
      <c r="FN2887" s="37"/>
      <c r="FO2887" s="37"/>
      <c r="FP2887" s="37"/>
      <c r="FQ2887" s="37"/>
      <c r="FR2887" s="37"/>
      <c r="FS2887" s="37"/>
      <c r="FT2887" s="37"/>
      <c r="FU2887" s="37"/>
      <c r="FV2887" s="37"/>
      <c r="FW2887" s="37"/>
      <c r="FX2887" s="37"/>
      <c r="FY2887" s="37"/>
      <c r="FZ2887" s="37"/>
      <c r="GA2887" s="37"/>
      <c r="GB2887" s="37"/>
      <c r="GC2887" s="37"/>
      <c r="GD2887" s="37"/>
      <c r="GE2887" s="37"/>
      <c r="GF2887" s="37"/>
      <c r="GG2887" s="37"/>
      <c r="GH2887" s="37"/>
      <c r="GI2887" s="37"/>
      <c r="GJ2887" s="37"/>
      <c r="GK2887" s="37"/>
      <c r="GL2887" s="37"/>
      <c r="GM2887" s="37"/>
      <c r="GN2887" s="37"/>
      <c r="GO2887" s="37"/>
      <c r="GP2887" s="37"/>
      <c r="GQ2887" s="37"/>
      <c r="GR2887" s="37"/>
      <c r="GS2887" s="37"/>
      <c r="GT2887" s="37"/>
      <c r="GU2887" s="37"/>
      <c r="GV2887" s="37"/>
      <c r="GW2887" s="37"/>
      <c r="GX2887" s="37"/>
      <c r="GY2887" s="37"/>
      <c r="GZ2887" s="37"/>
      <c r="HA2887" s="37"/>
      <c r="HB2887" s="37"/>
      <c r="HC2887" s="37"/>
      <c r="HD2887" s="37"/>
      <c r="HE2887" s="37"/>
      <c r="HF2887" s="37"/>
      <c r="HG2887" s="37"/>
      <c r="HH2887" s="37"/>
      <c r="HI2887" s="37"/>
      <c r="HJ2887" s="37"/>
      <c r="HK2887" s="37"/>
      <c r="HL2887" s="37"/>
      <c r="HM2887" s="37"/>
      <c r="HN2887" s="37"/>
      <c r="HO2887" s="37"/>
      <c r="HP2887" s="37"/>
      <c r="HQ2887" s="37"/>
      <c r="HR2887" s="37"/>
      <c r="HS2887" s="37"/>
      <c r="HT2887" s="37"/>
      <c r="HU2887" s="37"/>
      <c r="HV2887" s="37"/>
      <c r="HW2887" s="37"/>
      <c r="HX2887" s="37"/>
      <c r="HY2887" s="37"/>
      <c r="HZ2887" s="37"/>
      <c r="IA2887" s="37"/>
      <c r="IB2887" s="37"/>
      <c r="IC2887" s="37"/>
      <c r="ID2887" s="37"/>
      <c r="IE2887" s="37"/>
      <c r="IF2887" s="37"/>
      <c r="IG2887" s="37"/>
      <c r="IH2887" s="37"/>
      <c r="II2887" s="37"/>
      <c r="IJ2887" s="37"/>
      <c r="IK2887" s="37"/>
      <c r="IL2887" s="37"/>
      <c r="IM2887" s="37"/>
      <c r="IN2887" s="37"/>
      <c r="IO2887" s="37"/>
      <c r="IP2887" s="37"/>
      <c r="IQ2887" s="37"/>
      <c r="IR2887" s="37"/>
      <c r="IS2887" s="37"/>
      <c r="IT2887" s="37"/>
      <c r="IU2887" s="37"/>
      <c r="IV2887" s="37"/>
      <c r="IW2887" s="37"/>
      <c r="IX2887" s="37"/>
      <c r="IY2887" s="37"/>
      <c r="IZ2887" s="37"/>
      <c r="JA2887" s="37"/>
      <c r="JB2887" s="37"/>
      <c r="JC2887" s="37"/>
      <c r="JD2887" s="37"/>
      <c r="JE2887" s="37"/>
      <c r="JF2887" s="37"/>
      <c r="JG2887" s="37"/>
      <c r="JH2887" s="37"/>
      <c r="JI2887" s="37"/>
      <c r="JJ2887" s="37"/>
      <c r="JK2887" s="37"/>
      <c r="JL2887" s="37"/>
      <c r="JM2887" s="37"/>
      <c r="JN2887" s="37"/>
      <c r="JO2887" s="37"/>
      <c r="JP2887" s="37"/>
      <c r="JQ2887" s="37"/>
      <c r="JR2887" s="37"/>
      <c r="JS2887" s="37"/>
      <c r="JT2887" s="37"/>
      <c r="JU2887" s="37"/>
      <c r="JV2887" s="37"/>
      <c r="JW2887" s="37"/>
      <c r="JX2887" s="37"/>
      <c r="JY2887" s="37"/>
      <c r="JZ2887" s="37"/>
      <c r="KA2887" s="37"/>
      <c r="KB2887" s="37"/>
      <c r="KC2887" s="37"/>
      <c r="KD2887" s="37"/>
      <c r="KE2887" s="37"/>
      <c r="KF2887" s="37"/>
      <c r="KG2887" s="37"/>
      <c r="KH2887" s="37"/>
      <c r="KI2887" s="37"/>
      <c r="KJ2887" s="37"/>
      <c r="KK2887" s="37"/>
      <c r="KL2887" s="37"/>
      <c r="KM2887" s="37"/>
      <c r="KN2887" s="37"/>
      <c r="KO2887" s="37"/>
      <c r="KP2887" s="37"/>
      <c r="KQ2887" s="37"/>
      <c r="KR2887" s="37"/>
      <c r="KS2887" s="37"/>
      <c r="KT2887" s="37"/>
      <c r="KU2887" s="37"/>
      <c r="KV2887" s="37"/>
      <c r="KW2887" s="37"/>
      <c r="KX2887" s="37"/>
      <c r="KY2887" s="37"/>
      <c r="KZ2887" s="37"/>
      <c r="LA2887" s="37"/>
      <c r="LB2887" s="37"/>
      <c r="LC2887" s="37"/>
      <c r="LD2887" s="37"/>
      <c r="LE2887" s="37"/>
      <c r="LF2887" s="37"/>
      <c r="LG2887" s="37"/>
      <c r="LH2887" s="37"/>
      <c r="LI2887" s="37"/>
      <c r="LJ2887" s="37"/>
      <c r="LK2887" s="37"/>
      <c r="LL2887" s="37"/>
      <c r="LM2887" s="37"/>
      <c r="LN2887" s="37"/>
      <c r="LO2887" s="37"/>
      <c r="LP2887" s="37"/>
      <c r="LQ2887" s="37"/>
      <c r="LR2887" s="37"/>
      <c r="LS2887" s="37"/>
      <c r="LT2887" s="37"/>
      <c r="LU2887" s="37"/>
      <c r="LV2887" s="37"/>
      <c r="LW2887" s="37"/>
      <c r="LX2887" s="37"/>
      <c r="LY2887" s="37"/>
      <c r="LZ2887" s="37"/>
      <c r="MA2887" s="37"/>
      <c r="MB2887" s="37"/>
      <c r="MC2887" s="37"/>
      <c r="MD2887" s="37"/>
      <c r="ME2887" s="37"/>
      <c r="MF2887" s="37"/>
      <c r="MG2887" s="37"/>
      <c r="MH2887" s="37"/>
      <c r="MI2887" s="37"/>
      <c r="MJ2887" s="37"/>
      <c r="MK2887" s="37"/>
      <c r="ML2887" s="37"/>
      <c r="MM2887" s="37"/>
      <c r="MN2887" s="37"/>
      <c r="MO2887" s="37"/>
      <c r="MP2887" s="37"/>
      <c r="MQ2887" s="37"/>
      <c r="MR2887" s="37"/>
      <c r="MS2887" s="37"/>
      <c r="MT2887" s="37"/>
      <c r="MU2887" s="37"/>
      <c r="MV2887" s="37"/>
      <c r="MW2887" s="37"/>
      <c r="MX2887" s="37"/>
      <c r="MY2887" s="37"/>
      <c r="MZ2887" s="37"/>
      <c r="NA2887" s="37"/>
      <c r="NB2887" s="37"/>
      <c r="NC2887" s="37"/>
      <c r="ND2887" s="37"/>
      <c r="NE2887" s="37"/>
      <c r="NF2887" s="37"/>
      <c r="NG2887" s="37"/>
      <c r="NH2887" s="37"/>
      <c r="NI2887" s="37"/>
      <c r="NJ2887" s="37"/>
      <c r="NK2887" s="37"/>
      <c r="NL2887" s="37"/>
      <c r="NM2887" s="37"/>
      <c r="NN2887" s="37"/>
      <c r="NO2887" s="37"/>
      <c r="NP2887" s="37"/>
      <c r="NQ2887" s="37"/>
      <c r="NR2887" s="37"/>
      <c r="NS2887" s="37"/>
      <c r="NT2887" s="37"/>
      <c r="NU2887" s="37"/>
      <c r="NV2887" s="37"/>
      <c r="NW2887" s="37"/>
      <c r="NX2887" s="37"/>
      <c r="NY2887" s="37"/>
      <c r="NZ2887" s="37"/>
      <c r="OA2887" s="37"/>
      <c r="OB2887" s="37"/>
      <c r="OC2887" s="37"/>
      <c r="OD2887" s="37"/>
      <c r="OE2887" s="37"/>
      <c r="OF2887" s="37"/>
      <c r="OG2887" s="37"/>
      <c r="OH2887" s="37"/>
      <c r="OI2887" s="37"/>
      <c r="OJ2887" s="37"/>
      <c r="OK2887" s="37"/>
      <c r="OL2887" s="37"/>
      <c r="OM2887" s="37"/>
      <c r="ON2887" s="37"/>
      <c r="OO2887" s="37"/>
      <c r="OP2887" s="37"/>
      <c r="OQ2887" s="37"/>
      <c r="OR2887" s="37"/>
      <c r="OS2887" s="37"/>
      <c r="OT2887" s="37"/>
      <c r="OU2887" s="37"/>
      <c r="OV2887" s="37"/>
      <c r="OW2887" s="37"/>
      <c r="OX2887" s="37"/>
      <c r="OY2887" s="37"/>
      <c r="OZ2887" s="37"/>
      <c r="PA2887" s="37"/>
      <c r="PB2887" s="37"/>
      <c r="PC2887" s="37"/>
      <c r="PD2887" s="37"/>
      <c r="PE2887" s="37"/>
      <c r="PF2887" s="37"/>
      <c r="PG2887" s="37"/>
      <c r="PH2887" s="37"/>
      <c r="PI2887" s="37"/>
      <c r="PJ2887" s="37"/>
      <c r="PK2887" s="37"/>
      <c r="PL2887" s="37"/>
      <c r="PM2887" s="37"/>
      <c r="PN2887" s="37"/>
      <c r="PO2887" s="37"/>
      <c r="PP2887" s="37"/>
      <c r="PQ2887" s="37"/>
      <c r="PR2887" s="37"/>
      <c r="PS2887" s="37"/>
      <c r="PT2887" s="37"/>
      <c r="PU2887" s="37"/>
      <c r="PV2887" s="37"/>
      <c r="PW2887" s="37"/>
      <c r="PX2887" s="37"/>
      <c r="PY2887" s="37"/>
      <c r="PZ2887" s="37"/>
      <c r="QA2887" s="37"/>
      <c r="QB2887" s="37"/>
      <c r="QC2887" s="37"/>
      <c r="QD2887" s="37"/>
      <c r="QE2887" s="37"/>
      <c r="QF2887" s="37"/>
      <c r="QG2887" s="37"/>
      <c r="QH2887" s="37"/>
      <c r="QI2887" s="37"/>
      <c r="QJ2887" s="37"/>
      <c r="QK2887" s="37"/>
      <c r="QL2887" s="37"/>
      <c r="QM2887" s="37"/>
      <c r="QN2887" s="37"/>
      <c r="QO2887" s="37"/>
      <c r="QP2887" s="37"/>
      <c r="QQ2887" s="37"/>
      <c r="QR2887" s="37"/>
      <c r="QS2887" s="37"/>
      <c r="QT2887" s="37"/>
      <c r="QU2887" s="37"/>
      <c r="QV2887" s="37"/>
      <c r="QW2887" s="37"/>
      <c r="QX2887" s="37"/>
      <c r="QY2887" s="37"/>
      <c r="QZ2887" s="37"/>
      <c r="RA2887" s="37"/>
      <c r="RB2887" s="37"/>
      <c r="RC2887" s="37"/>
      <c r="RD2887" s="37"/>
      <c r="RE2887" s="37"/>
      <c r="RF2887" s="37"/>
      <c r="RG2887" s="37"/>
      <c r="RH2887" s="37"/>
      <c r="RI2887" s="37"/>
      <c r="RJ2887" s="37"/>
      <c r="RK2887" s="37"/>
      <c r="RL2887" s="37"/>
      <c r="RM2887" s="37"/>
      <c r="RN2887" s="37"/>
      <c r="RO2887" s="37"/>
      <c r="RP2887" s="37"/>
      <c r="RQ2887" s="37"/>
      <c r="RR2887" s="37"/>
      <c r="RS2887" s="37"/>
      <c r="RT2887" s="37"/>
      <c r="RU2887" s="37"/>
      <c r="RV2887" s="37"/>
      <c r="RW2887" s="37"/>
      <c r="RX2887" s="37"/>
      <c r="RY2887" s="37"/>
      <c r="RZ2887" s="37"/>
      <c r="SA2887" s="37"/>
      <c r="SB2887" s="37"/>
      <c r="SC2887" s="37"/>
      <c r="SD2887" s="37"/>
      <c r="SE2887" s="37"/>
      <c r="SF2887" s="37"/>
    </row>
    <row r="2888" spans="1:500">
      <c r="A2888" s="37"/>
      <c r="B2888" s="37"/>
      <c r="C2888" s="37"/>
      <c r="D2888" s="37"/>
      <c r="E2888" s="37"/>
      <c r="F2888" s="37"/>
      <c r="G2888" s="37"/>
      <c r="H2888" s="37"/>
      <c r="I2888" s="37"/>
      <c r="J2888" s="37"/>
      <c r="K2888" s="37"/>
      <c r="L2888" s="37"/>
      <c r="M2888" s="37"/>
      <c r="N2888" s="37"/>
      <c r="O2888" s="37"/>
      <c r="P2888" s="37"/>
      <c r="Q2888" s="37"/>
      <c r="R2888" s="37"/>
      <c r="S2888" s="37"/>
      <c r="T2888" s="37"/>
      <c r="U2888" s="37"/>
      <c r="V2888" s="37"/>
      <c r="W2888" s="37"/>
      <c r="X2888" s="37"/>
      <c r="Y2888" s="37"/>
      <c r="Z2888" s="37"/>
      <c r="AA2888" s="37"/>
      <c r="AB2888" s="37"/>
      <c r="AC2888" s="37"/>
      <c r="AD2888" s="37"/>
      <c r="AE2888" s="37"/>
      <c r="AF2888" s="37"/>
      <c r="AG2888" s="37"/>
      <c r="AH2888" s="37"/>
      <c r="AI2888" s="37"/>
      <c r="AJ2888" s="37"/>
      <c r="AK2888" s="37"/>
      <c r="AL2888" s="37"/>
      <c r="AM2888" s="37"/>
      <c r="AN2888" s="37"/>
      <c r="AO2888" s="37"/>
      <c r="AP2888" s="37"/>
      <c r="AQ2888" s="37"/>
      <c r="AR2888" s="37"/>
      <c r="AS2888" s="37"/>
      <c r="AT2888" s="37"/>
      <c r="AU2888" s="37"/>
      <c r="AV2888" s="37"/>
      <c r="AW2888" s="37"/>
      <c r="AX2888" s="37"/>
      <c r="AY2888" s="37"/>
      <c r="AZ2888" s="37"/>
      <c r="BA2888" s="37"/>
      <c r="BB2888" s="37"/>
      <c r="BC2888" s="37"/>
      <c r="BD2888" s="37"/>
      <c r="BE2888" s="37"/>
      <c r="BF2888" s="37"/>
      <c r="BG2888" s="37"/>
      <c r="BH2888" s="37"/>
      <c r="BI2888" s="37"/>
      <c r="BJ2888" s="37"/>
      <c r="BK2888" s="37"/>
      <c r="BL2888" s="37"/>
      <c r="BM2888" s="37"/>
      <c r="BN2888" s="37"/>
      <c r="BO2888" s="37"/>
      <c r="BP2888" s="37"/>
      <c r="BQ2888" s="37"/>
      <c r="BR2888" s="37"/>
      <c r="BS2888" s="37"/>
      <c r="BT2888" s="37"/>
      <c r="BU2888" s="37"/>
      <c r="BV2888" s="37"/>
      <c r="BW2888" s="37"/>
      <c r="BX2888" s="37"/>
      <c r="BY2888" s="37"/>
      <c r="BZ2888" s="37"/>
      <c r="CA2888" s="37"/>
      <c r="CB2888" s="37"/>
      <c r="CC2888" s="37"/>
      <c r="CD2888" s="37"/>
      <c r="CE2888" s="37"/>
      <c r="CF2888" s="37"/>
      <c r="CG2888" s="37"/>
      <c r="CH2888" s="37"/>
      <c r="CI2888" s="37"/>
      <c r="CJ2888" s="37"/>
      <c r="CK2888" s="37"/>
      <c r="CL2888" s="37"/>
      <c r="CM2888" s="37"/>
      <c r="CN2888" s="37"/>
      <c r="CO2888" s="37"/>
      <c r="CP2888" s="37"/>
      <c r="CQ2888" s="37"/>
      <c r="CR2888" s="37"/>
      <c r="CS2888" s="37"/>
      <c r="CT2888" s="37"/>
      <c r="CU2888" s="37"/>
      <c r="CV2888" s="37"/>
      <c r="CW2888" s="37"/>
      <c r="CX2888" s="37"/>
      <c r="CY2888" s="37"/>
      <c r="CZ2888" s="37"/>
      <c r="DA2888" s="37"/>
      <c r="DB2888" s="37"/>
      <c r="DC2888" s="37"/>
      <c r="DD2888" s="37"/>
      <c r="DE2888" s="37"/>
      <c r="DF2888" s="37"/>
      <c r="DG2888" s="37"/>
      <c r="DH2888" s="37"/>
      <c r="DI2888" s="37"/>
      <c r="DJ2888" s="37"/>
      <c r="DK2888" s="37"/>
      <c r="DL2888" s="37"/>
      <c r="DM2888" s="37"/>
      <c r="DN2888" s="37"/>
      <c r="DO2888" s="37"/>
      <c r="DP2888" s="37"/>
      <c r="DQ2888" s="37"/>
      <c r="DR2888" s="37"/>
      <c r="DS2888" s="37"/>
      <c r="DT2888" s="37"/>
      <c r="DU2888" s="37"/>
      <c r="DV2888" s="37"/>
      <c r="DW2888" s="37"/>
      <c r="DX2888" s="37"/>
      <c r="DY2888" s="37"/>
      <c r="DZ2888" s="37"/>
      <c r="EA2888" s="37"/>
      <c r="EB2888" s="37"/>
      <c r="EC2888" s="37"/>
      <c r="ED2888" s="37"/>
      <c r="EE2888" s="37"/>
      <c r="EF2888" s="37"/>
      <c r="EG2888" s="37"/>
      <c r="EH2888" s="37"/>
      <c r="EI2888" s="37"/>
      <c r="EJ2888" s="37"/>
      <c r="EK2888" s="37"/>
      <c r="EL2888" s="37"/>
      <c r="EM2888" s="37"/>
      <c r="EN2888" s="37"/>
      <c r="EO2888" s="37"/>
      <c r="EP2888" s="37"/>
      <c r="EQ2888" s="37"/>
      <c r="ER2888" s="37"/>
      <c r="ES2888" s="37"/>
      <c r="ET2888" s="37"/>
      <c r="EU2888" s="37"/>
      <c r="EV2888" s="37"/>
      <c r="EW2888" s="37"/>
      <c r="EX2888" s="37"/>
      <c r="EY2888" s="37"/>
      <c r="EZ2888" s="37"/>
      <c r="FA2888" s="37"/>
      <c r="FB2888" s="37"/>
      <c r="FC2888" s="37"/>
      <c r="FD2888" s="37"/>
      <c r="FE2888" s="37"/>
      <c r="FF2888" s="37"/>
      <c r="FG2888" s="37"/>
      <c r="FH2888" s="37"/>
      <c r="FI2888" s="37"/>
      <c r="FJ2888" s="37"/>
      <c r="FK2888" s="37"/>
      <c r="FL2888" s="37"/>
      <c r="FM2888" s="37"/>
      <c r="FN2888" s="37"/>
      <c r="FO2888" s="37"/>
      <c r="FP2888" s="37"/>
      <c r="FQ2888" s="37"/>
      <c r="FR2888" s="37"/>
      <c r="FS2888" s="37"/>
      <c r="FT2888" s="37"/>
      <c r="FU2888" s="37"/>
      <c r="FV2888" s="37"/>
      <c r="FW2888" s="37"/>
      <c r="FX2888" s="37"/>
      <c r="FY2888" s="37"/>
      <c r="FZ2888" s="37"/>
      <c r="GA2888" s="37"/>
      <c r="GB2888" s="37"/>
      <c r="GC2888" s="37"/>
      <c r="GD2888" s="37"/>
      <c r="GE2888" s="37"/>
      <c r="GF2888" s="37"/>
      <c r="GG2888" s="37"/>
      <c r="GH2888" s="37"/>
      <c r="GI2888" s="37"/>
      <c r="GJ2888" s="37"/>
      <c r="GK2888" s="37"/>
      <c r="GL2888" s="37"/>
      <c r="GM2888" s="37"/>
      <c r="GN2888" s="37"/>
      <c r="GO2888" s="37"/>
      <c r="GP2888" s="37"/>
      <c r="GQ2888" s="37"/>
      <c r="GR2888" s="37"/>
      <c r="GS2888" s="37"/>
      <c r="GT2888" s="37"/>
      <c r="GU2888" s="37"/>
      <c r="GV2888" s="37"/>
      <c r="GW2888" s="37"/>
      <c r="GX2888" s="37"/>
      <c r="GY2888" s="37"/>
      <c r="GZ2888" s="37"/>
      <c r="HA2888" s="37"/>
      <c r="HB2888" s="37"/>
      <c r="HC2888" s="37"/>
      <c r="HD2888" s="37"/>
      <c r="HE2888" s="37"/>
      <c r="HF2888" s="37"/>
      <c r="HG2888" s="37"/>
      <c r="HH2888" s="37"/>
      <c r="HI2888" s="37"/>
      <c r="HJ2888" s="37"/>
      <c r="HK2888" s="37"/>
      <c r="HL2888" s="37"/>
      <c r="HM2888" s="37"/>
      <c r="HN2888" s="37"/>
      <c r="HO2888" s="37"/>
      <c r="HP2888" s="37"/>
      <c r="HQ2888" s="37"/>
      <c r="HR2888" s="37"/>
      <c r="HS2888" s="37"/>
      <c r="HT2888" s="37"/>
      <c r="HU2888" s="37"/>
      <c r="HV2888" s="37"/>
      <c r="HW2888" s="37"/>
      <c r="HX2888" s="37"/>
      <c r="HY2888" s="37"/>
      <c r="HZ2888" s="37"/>
      <c r="IA2888" s="37"/>
      <c r="IB2888" s="37"/>
      <c r="IC2888" s="37"/>
      <c r="ID2888" s="37"/>
      <c r="IE2888" s="37"/>
      <c r="IF2888" s="37"/>
      <c r="IG2888" s="37"/>
      <c r="IH2888" s="37"/>
      <c r="II2888" s="37"/>
      <c r="IJ2888" s="37"/>
      <c r="IK2888" s="37"/>
      <c r="IL2888" s="37"/>
      <c r="IM2888" s="37"/>
      <c r="IN2888" s="37"/>
      <c r="IO2888" s="37"/>
      <c r="IP2888" s="37"/>
      <c r="IQ2888" s="37"/>
      <c r="IR2888" s="37"/>
      <c r="IS2888" s="37"/>
      <c r="IT2888" s="37"/>
      <c r="IU2888" s="37"/>
      <c r="IV2888" s="37"/>
      <c r="IW2888" s="37"/>
      <c r="IX2888" s="37"/>
      <c r="IY2888" s="37"/>
      <c r="IZ2888" s="37"/>
      <c r="JA2888" s="37"/>
      <c r="JB2888" s="37"/>
      <c r="JC2888" s="37"/>
      <c r="JD2888" s="37"/>
      <c r="JE2888" s="37"/>
      <c r="JF2888" s="37"/>
      <c r="JG2888" s="37"/>
      <c r="JH2888" s="37"/>
      <c r="JI2888" s="37"/>
      <c r="JJ2888" s="37"/>
      <c r="JK2888" s="37"/>
      <c r="JL2888" s="37"/>
      <c r="JM2888" s="37"/>
      <c r="JN2888" s="37"/>
      <c r="JO2888" s="37"/>
      <c r="JP2888" s="37"/>
      <c r="JQ2888" s="37"/>
      <c r="JR2888" s="37"/>
      <c r="JS2888" s="37"/>
      <c r="JT2888" s="37"/>
      <c r="JU2888" s="37"/>
      <c r="JV2888" s="37"/>
      <c r="JW2888" s="37"/>
      <c r="JX2888" s="37"/>
      <c r="JY2888" s="37"/>
      <c r="JZ2888" s="37"/>
      <c r="KA2888" s="37"/>
      <c r="KB2888" s="37"/>
      <c r="KC2888" s="37"/>
      <c r="KD2888" s="37"/>
      <c r="KE2888" s="37"/>
      <c r="KF2888" s="37"/>
      <c r="KG2888" s="37"/>
      <c r="KH2888" s="37"/>
      <c r="KI2888" s="37"/>
      <c r="KJ2888" s="37"/>
      <c r="KK2888" s="37"/>
      <c r="KL2888" s="37"/>
      <c r="KM2888" s="37"/>
      <c r="KN2888" s="37"/>
      <c r="KO2888" s="37"/>
      <c r="KP2888" s="37"/>
      <c r="KQ2888" s="37"/>
      <c r="KR2888" s="37"/>
      <c r="KS2888" s="37"/>
      <c r="KT2888" s="37"/>
      <c r="KU2888" s="37"/>
      <c r="KV2888" s="37"/>
      <c r="KW2888" s="37"/>
      <c r="KX2888" s="37"/>
      <c r="KY2888" s="37"/>
      <c r="KZ2888" s="37"/>
      <c r="LA2888" s="37"/>
      <c r="LB2888" s="37"/>
      <c r="LC2888" s="37"/>
      <c r="LD2888" s="37"/>
      <c r="LE2888" s="37"/>
      <c r="LF2888" s="37"/>
      <c r="LG2888" s="37"/>
      <c r="LH2888" s="37"/>
      <c r="LI2888" s="37"/>
      <c r="LJ2888" s="37"/>
      <c r="LK2888" s="37"/>
      <c r="LL2888" s="37"/>
      <c r="LM2888" s="37"/>
      <c r="LN2888" s="37"/>
      <c r="LO2888" s="37"/>
      <c r="LP2888" s="37"/>
      <c r="LQ2888" s="37"/>
      <c r="LR2888" s="37"/>
      <c r="LS2888" s="37"/>
      <c r="LT2888" s="37"/>
      <c r="LU2888" s="37"/>
      <c r="LV2888" s="37"/>
      <c r="LW2888" s="37"/>
      <c r="LX2888" s="37"/>
      <c r="LY2888" s="37"/>
      <c r="LZ2888" s="37"/>
      <c r="MA2888" s="37"/>
      <c r="MB2888" s="37"/>
      <c r="MC2888" s="37"/>
      <c r="MD2888" s="37"/>
      <c r="ME2888" s="37"/>
      <c r="MF2888" s="37"/>
      <c r="MG2888" s="37"/>
      <c r="MH2888" s="37"/>
      <c r="MI2888" s="37"/>
      <c r="MJ2888" s="37"/>
      <c r="MK2888" s="37"/>
      <c r="ML2888" s="37"/>
      <c r="MM2888" s="37"/>
      <c r="MN2888" s="37"/>
      <c r="MO2888" s="37"/>
      <c r="MP2888" s="37"/>
      <c r="MQ2888" s="37"/>
      <c r="MR2888" s="37"/>
      <c r="MS2888" s="37"/>
      <c r="MT2888" s="37"/>
      <c r="MU2888" s="37"/>
      <c r="MV2888" s="37"/>
      <c r="MW2888" s="37"/>
      <c r="MX2888" s="37"/>
      <c r="MY2888" s="37"/>
      <c r="MZ2888" s="37"/>
      <c r="NA2888" s="37"/>
      <c r="NB2888" s="37"/>
      <c r="NC2888" s="37"/>
      <c r="ND2888" s="37"/>
      <c r="NE2888" s="37"/>
      <c r="NF2888" s="37"/>
      <c r="NG2888" s="37"/>
      <c r="NH2888" s="37"/>
      <c r="NI2888" s="37"/>
      <c r="NJ2888" s="37"/>
      <c r="NK2888" s="37"/>
      <c r="NL2888" s="37"/>
      <c r="NM2888" s="37"/>
      <c r="NN2888" s="37"/>
      <c r="NO2888" s="37"/>
      <c r="NP2888" s="37"/>
      <c r="NQ2888" s="37"/>
      <c r="NR2888" s="37"/>
      <c r="NS2888" s="37"/>
      <c r="NT2888" s="37"/>
      <c r="NU2888" s="37"/>
      <c r="NV2888" s="37"/>
      <c r="NW2888" s="37"/>
      <c r="NX2888" s="37"/>
      <c r="NY2888" s="37"/>
      <c r="NZ2888" s="37"/>
      <c r="OA2888" s="37"/>
      <c r="OB2888" s="37"/>
      <c r="OC2888" s="37"/>
      <c r="OD2888" s="37"/>
      <c r="OE2888" s="37"/>
      <c r="OF2888" s="37"/>
      <c r="OG2888" s="37"/>
      <c r="OH2888" s="37"/>
      <c r="OI2888" s="37"/>
      <c r="OJ2888" s="37"/>
      <c r="OK2888" s="37"/>
      <c r="OL2888" s="37"/>
      <c r="OM2888" s="37"/>
      <c r="ON2888" s="37"/>
      <c r="OO2888" s="37"/>
      <c r="OP2888" s="37"/>
      <c r="OQ2888" s="37"/>
      <c r="OR2888" s="37"/>
      <c r="OS2888" s="37"/>
      <c r="OT2888" s="37"/>
      <c r="OU2888" s="37"/>
      <c r="OV2888" s="37"/>
      <c r="OW2888" s="37"/>
      <c r="OX2888" s="37"/>
      <c r="OY2888" s="37"/>
      <c r="OZ2888" s="37"/>
      <c r="PA2888" s="37"/>
      <c r="PB2888" s="37"/>
      <c r="PC2888" s="37"/>
      <c r="PD2888" s="37"/>
      <c r="PE2888" s="37"/>
      <c r="PF2888" s="37"/>
      <c r="PG2888" s="37"/>
      <c r="PH2888" s="37"/>
      <c r="PI2888" s="37"/>
      <c r="PJ2888" s="37"/>
      <c r="PK2888" s="37"/>
      <c r="PL2888" s="37"/>
      <c r="PM2888" s="37"/>
      <c r="PN2888" s="37"/>
      <c r="PO2888" s="37"/>
      <c r="PP2888" s="37"/>
      <c r="PQ2888" s="37"/>
      <c r="PR2888" s="37"/>
      <c r="PS2888" s="37"/>
      <c r="PT2888" s="37"/>
      <c r="PU2888" s="37"/>
      <c r="PV2888" s="37"/>
      <c r="PW2888" s="37"/>
      <c r="PX2888" s="37"/>
      <c r="PY2888" s="37"/>
      <c r="PZ2888" s="37"/>
      <c r="QA2888" s="37"/>
      <c r="QB2888" s="37"/>
      <c r="QC2888" s="37"/>
      <c r="QD2888" s="37"/>
      <c r="QE2888" s="37"/>
      <c r="QF2888" s="37"/>
      <c r="QG2888" s="37"/>
      <c r="QH2888" s="37"/>
      <c r="QI2888" s="37"/>
      <c r="QJ2888" s="37"/>
      <c r="QK2888" s="37"/>
      <c r="QL2888" s="37"/>
      <c r="QM2888" s="37"/>
      <c r="QN2888" s="37"/>
      <c r="QO2888" s="37"/>
      <c r="QP2888" s="37"/>
      <c r="QQ2888" s="37"/>
      <c r="QR2888" s="37"/>
      <c r="QS2888" s="37"/>
      <c r="QT2888" s="37"/>
      <c r="QU2888" s="37"/>
      <c r="QV2888" s="37"/>
      <c r="QW2888" s="37"/>
      <c r="QX2888" s="37"/>
      <c r="QY2888" s="37"/>
      <c r="QZ2888" s="37"/>
      <c r="RA2888" s="37"/>
      <c r="RB2888" s="37"/>
      <c r="RC2888" s="37"/>
      <c r="RD2888" s="37"/>
      <c r="RE2888" s="37"/>
      <c r="RF2888" s="37"/>
      <c r="RG2888" s="37"/>
      <c r="RH2888" s="37"/>
      <c r="RI2888" s="37"/>
      <c r="RJ2888" s="37"/>
      <c r="RK2888" s="37"/>
      <c r="RL2888" s="37"/>
      <c r="RM2888" s="37"/>
      <c r="RN2888" s="37"/>
      <c r="RO2888" s="37"/>
      <c r="RP2888" s="37"/>
      <c r="RQ2888" s="37"/>
      <c r="RR2888" s="37"/>
      <c r="RS2888" s="37"/>
      <c r="RT2888" s="37"/>
      <c r="RU2888" s="37"/>
      <c r="RV2888" s="37"/>
      <c r="RW2888" s="37"/>
      <c r="RX2888" s="37"/>
      <c r="RY2888" s="37"/>
      <c r="RZ2888" s="37"/>
      <c r="SA2888" s="37"/>
      <c r="SB2888" s="37"/>
      <c r="SC2888" s="37"/>
      <c r="SD2888" s="37"/>
      <c r="SE2888" s="37"/>
      <c r="SF2888" s="37"/>
    </row>
    <row r="2889" spans="1:500">
      <c r="A2889" s="37"/>
      <c r="B2889" s="37"/>
      <c r="C2889" s="37"/>
      <c r="D2889" s="37"/>
      <c r="E2889" s="37"/>
      <c r="F2889" s="37"/>
      <c r="G2889" s="37"/>
      <c r="H2889" s="37"/>
      <c r="I2889" s="37"/>
      <c r="J2889" s="37"/>
      <c r="K2889" s="37"/>
      <c r="L2889" s="37"/>
      <c r="M2889" s="37"/>
      <c r="N2889" s="37"/>
      <c r="O2889" s="37"/>
      <c r="P2889" s="37"/>
      <c r="Q2889" s="37"/>
      <c r="R2889" s="37"/>
      <c r="S2889" s="37"/>
      <c r="T2889" s="37"/>
      <c r="U2889" s="37"/>
      <c r="V2889" s="37"/>
      <c r="W2889" s="37"/>
      <c r="X2889" s="37"/>
      <c r="Y2889" s="37"/>
      <c r="Z2889" s="37"/>
      <c r="AA2889" s="37"/>
      <c r="AB2889" s="37"/>
      <c r="AC2889" s="37"/>
      <c r="AD2889" s="37"/>
      <c r="AE2889" s="37"/>
      <c r="AF2889" s="37"/>
      <c r="AG2889" s="37"/>
      <c r="AH2889" s="37"/>
      <c r="AI2889" s="37"/>
      <c r="AJ2889" s="37"/>
      <c r="AK2889" s="37"/>
      <c r="AL2889" s="37"/>
      <c r="AM2889" s="37"/>
      <c r="AN2889" s="37"/>
      <c r="AO2889" s="37"/>
      <c r="AP2889" s="37"/>
      <c r="AQ2889" s="37"/>
      <c r="AR2889" s="37"/>
      <c r="AS2889" s="37"/>
      <c r="AT2889" s="37"/>
      <c r="AU2889" s="37"/>
      <c r="AV2889" s="37"/>
      <c r="AW2889" s="37"/>
      <c r="AX2889" s="37"/>
      <c r="AY2889" s="37"/>
      <c r="AZ2889" s="37"/>
      <c r="BA2889" s="37"/>
      <c r="BB2889" s="37"/>
      <c r="BC2889" s="37"/>
      <c r="BD2889" s="37"/>
      <c r="BE2889" s="37"/>
      <c r="BF2889" s="37"/>
      <c r="BG2889" s="37"/>
      <c r="BH2889" s="37"/>
      <c r="BI2889" s="37"/>
      <c r="BJ2889" s="37"/>
      <c r="BK2889" s="37"/>
      <c r="BL2889" s="37"/>
      <c r="BM2889" s="37"/>
      <c r="BN2889" s="37"/>
      <c r="BO2889" s="37"/>
      <c r="BP2889" s="37"/>
      <c r="BQ2889" s="37"/>
      <c r="BR2889" s="37"/>
      <c r="BS2889" s="37"/>
      <c r="BT2889" s="37"/>
      <c r="BU2889" s="37"/>
      <c r="BV2889" s="37"/>
      <c r="BW2889" s="37"/>
      <c r="BX2889" s="37"/>
      <c r="BY2889" s="37"/>
      <c r="BZ2889" s="37"/>
      <c r="CA2889" s="37"/>
      <c r="CB2889" s="37"/>
      <c r="CC2889" s="37"/>
      <c r="CD2889" s="37"/>
      <c r="CE2889" s="37"/>
      <c r="CF2889" s="37"/>
      <c r="CG2889" s="37"/>
      <c r="CH2889" s="37"/>
      <c r="CI2889" s="37"/>
      <c r="CJ2889" s="37"/>
      <c r="CK2889" s="37"/>
      <c r="CL2889" s="37"/>
      <c r="CM2889" s="37"/>
      <c r="CN2889" s="37"/>
      <c r="CO2889" s="37"/>
      <c r="CP2889" s="37"/>
      <c r="CQ2889" s="37"/>
      <c r="CR2889" s="37"/>
      <c r="CS2889" s="37"/>
      <c r="CT2889" s="37"/>
      <c r="CU2889" s="37"/>
      <c r="CV2889" s="37"/>
      <c r="CW2889" s="37"/>
      <c r="CX2889" s="37"/>
      <c r="CY2889" s="37"/>
      <c r="CZ2889" s="37"/>
      <c r="DA2889" s="37"/>
      <c r="DB2889" s="37"/>
      <c r="DC2889" s="37"/>
      <c r="DD2889" s="37"/>
      <c r="DE2889" s="37"/>
      <c r="DF2889" s="37"/>
      <c r="DG2889" s="37"/>
      <c r="DH2889" s="37"/>
      <c r="DI2889" s="37"/>
      <c r="DJ2889" s="37"/>
      <c r="DK2889" s="37"/>
      <c r="DL2889" s="37"/>
      <c r="DM2889" s="37"/>
      <c r="DN2889" s="37"/>
      <c r="DO2889" s="37"/>
      <c r="DP2889" s="37"/>
      <c r="DQ2889" s="37"/>
      <c r="DR2889" s="37"/>
      <c r="DS2889" s="37"/>
      <c r="DT2889" s="37"/>
      <c r="DU2889" s="37"/>
      <c r="DV2889" s="37"/>
      <c r="DW2889" s="37"/>
      <c r="DX2889" s="37"/>
      <c r="DY2889" s="37"/>
      <c r="DZ2889" s="37"/>
      <c r="EA2889" s="37"/>
      <c r="EB2889" s="37"/>
      <c r="EC2889" s="37"/>
      <c r="ED2889" s="37"/>
      <c r="EE2889" s="37"/>
      <c r="EF2889" s="37"/>
      <c r="EG2889" s="37"/>
      <c r="EH2889" s="37"/>
      <c r="EI2889" s="37"/>
      <c r="EJ2889" s="37"/>
      <c r="EK2889" s="37"/>
      <c r="EL2889" s="37"/>
      <c r="EM2889" s="37"/>
      <c r="EN2889" s="37"/>
      <c r="EO2889" s="37"/>
      <c r="EP2889" s="37"/>
      <c r="EQ2889" s="37"/>
      <c r="ER2889" s="37"/>
      <c r="ES2889" s="37"/>
      <c r="ET2889" s="37"/>
      <c r="EU2889" s="37"/>
      <c r="EV2889" s="37"/>
      <c r="EW2889" s="37"/>
      <c r="EX2889" s="37"/>
      <c r="EY2889" s="37"/>
      <c r="EZ2889" s="37"/>
      <c r="FA2889" s="37"/>
      <c r="FB2889" s="37"/>
      <c r="FC2889" s="37"/>
      <c r="FD2889" s="37"/>
      <c r="FE2889" s="37"/>
      <c r="FF2889" s="37"/>
      <c r="FG2889" s="37"/>
      <c r="FH2889" s="37"/>
      <c r="FI2889" s="37"/>
      <c r="FJ2889" s="37"/>
      <c r="FK2889" s="37"/>
      <c r="FL2889" s="37"/>
      <c r="FM2889" s="37"/>
      <c r="FN2889" s="37"/>
      <c r="FO2889" s="37"/>
      <c r="FP2889" s="37"/>
      <c r="FQ2889" s="37"/>
      <c r="FR2889" s="37"/>
      <c r="FS2889" s="37"/>
      <c r="FT2889" s="37"/>
      <c r="FU2889" s="37"/>
      <c r="FV2889" s="37"/>
      <c r="FW2889" s="37"/>
      <c r="FX2889" s="37"/>
      <c r="FY2889" s="37"/>
      <c r="FZ2889" s="37"/>
      <c r="GA2889" s="37"/>
      <c r="GB2889" s="37"/>
      <c r="GC2889" s="37"/>
      <c r="GD2889" s="37"/>
      <c r="GE2889" s="37"/>
      <c r="GF2889" s="37"/>
      <c r="GG2889" s="37"/>
      <c r="GH2889" s="37"/>
      <c r="GI2889" s="37"/>
      <c r="GJ2889" s="37"/>
      <c r="GK2889" s="37"/>
      <c r="GL2889" s="37"/>
      <c r="GM2889" s="37"/>
      <c r="GN2889" s="37"/>
      <c r="GO2889" s="37"/>
      <c r="GP2889" s="37"/>
      <c r="GQ2889" s="37"/>
      <c r="GR2889" s="37"/>
      <c r="GS2889" s="37"/>
      <c r="GT2889" s="37"/>
      <c r="GU2889" s="37"/>
      <c r="GV2889" s="37"/>
      <c r="GW2889" s="37"/>
      <c r="GX2889" s="37"/>
      <c r="GY2889" s="37"/>
      <c r="GZ2889" s="37"/>
      <c r="HA2889" s="37"/>
      <c r="HB2889" s="37"/>
      <c r="HC2889" s="37"/>
      <c r="HD2889" s="37"/>
      <c r="HE2889" s="37"/>
      <c r="HF2889" s="37"/>
      <c r="HG2889" s="37"/>
      <c r="HH2889" s="37"/>
      <c r="HI2889" s="37"/>
      <c r="HJ2889" s="37"/>
      <c r="HK2889" s="37"/>
      <c r="HL2889" s="37"/>
      <c r="HM2889" s="37"/>
      <c r="HN2889" s="37"/>
      <c r="HO2889" s="37"/>
      <c r="HP2889" s="37"/>
      <c r="HQ2889" s="37"/>
      <c r="HR2889" s="37"/>
      <c r="HS2889" s="37"/>
      <c r="HT2889" s="37"/>
      <c r="HU2889" s="37"/>
      <c r="HV2889" s="37"/>
      <c r="HW2889" s="37"/>
      <c r="HX2889" s="37"/>
      <c r="HY2889" s="37"/>
      <c r="HZ2889" s="37"/>
      <c r="IA2889" s="37"/>
      <c r="IB2889" s="37"/>
      <c r="IC2889" s="37"/>
      <c r="ID2889" s="37"/>
      <c r="IE2889" s="37"/>
      <c r="IF2889" s="37"/>
      <c r="IG2889" s="37"/>
      <c r="IH2889" s="37"/>
      <c r="II2889" s="37"/>
      <c r="IJ2889" s="37"/>
      <c r="IK2889" s="37"/>
      <c r="IL2889" s="37"/>
      <c r="IM2889" s="37"/>
      <c r="IN2889" s="37"/>
      <c r="IO2889" s="37"/>
      <c r="IP2889" s="37"/>
      <c r="IQ2889" s="37"/>
      <c r="IR2889" s="37"/>
      <c r="IS2889" s="37"/>
      <c r="IT2889" s="37"/>
      <c r="IU2889" s="37"/>
      <c r="IV2889" s="37"/>
      <c r="IW2889" s="37"/>
      <c r="IX2889" s="37"/>
      <c r="IY2889" s="37"/>
      <c r="IZ2889" s="37"/>
      <c r="JA2889" s="37"/>
      <c r="JB2889" s="37"/>
      <c r="JC2889" s="37"/>
      <c r="JD2889" s="37"/>
      <c r="JE2889" s="37"/>
      <c r="JF2889" s="37"/>
      <c r="JG2889" s="37"/>
      <c r="JH2889" s="37"/>
      <c r="JI2889" s="37"/>
      <c r="JJ2889" s="37"/>
      <c r="JK2889" s="37"/>
      <c r="JL2889" s="37"/>
      <c r="JM2889" s="37"/>
      <c r="JN2889" s="37"/>
      <c r="JO2889" s="37"/>
      <c r="JP2889" s="37"/>
      <c r="JQ2889" s="37"/>
      <c r="JR2889" s="37"/>
      <c r="JS2889" s="37"/>
      <c r="JT2889" s="37"/>
      <c r="JU2889" s="37"/>
      <c r="JV2889" s="37"/>
      <c r="JW2889" s="37"/>
      <c r="JX2889" s="37"/>
      <c r="JY2889" s="37"/>
      <c r="JZ2889" s="37"/>
      <c r="KA2889" s="37"/>
      <c r="KB2889" s="37"/>
      <c r="KC2889" s="37"/>
      <c r="KD2889" s="37"/>
      <c r="KE2889" s="37"/>
      <c r="KF2889" s="37"/>
      <c r="KG2889" s="37"/>
      <c r="KH2889" s="37"/>
      <c r="KI2889" s="37"/>
      <c r="KJ2889" s="37"/>
      <c r="KK2889" s="37"/>
      <c r="KL2889" s="37"/>
      <c r="KM2889" s="37"/>
      <c r="KN2889" s="37"/>
      <c r="KO2889" s="37"/>
      <c r="KP2889" s="37"/>
      <c r="KQ2889" s="37"/>
      <c r="KR2889" s="37"/>
      <c r="KS2889" s="37"/>
      <c r="KT2889" s="37"/>
      <c r="KU2889" s="37"/>
      <c r="KV2889" s="37"/>
      <c r="KW2889" s="37"/>
      <c r="KX2889" s="37"/>
      <c r="KY2889" s="37"/>
      <c r="KZ2889" s="37"/>
      <c r="LA2889" s="37"/>
      <c r="LB2889" s="37"/>
      <c r="LC2889" s="37"/>
      <c r="LD2889" s="37"/>
      <c r="LE2889" s="37"/>
      <c r="LF2889" s="37"/>
      <c r="LG2889" s="37"/>
      <c r="LH2889" s="37"/>
      <c r="LI2889" s="37"/>
      <c r="LJ2889" s="37"/>
      <c r="LK2889" s="37"/>
      <c r="LL2889" s="37"/>
      <c r="LM2889" s="37"/>
      <c r="LN2889" s="37"/>
      <c r="LO2889" s="37"/>
      <c r="LP2889" s="37"/>
      <c r="LQ2889" s="37"/>
      <c r="LR2889" s="37"/>
      <c r="LS2889" s="37"/>
      <c r="LT2889" s="37"/>
      <c r="LU2889" s="37"/>
      <c r="LV2889" s="37"/>
      <c r="LW2889" s="37"/>
      <c r="LX2889" s="37"/>
      <c r="LY2889" s="37"/>
      <c r="LZ2889" s="37"/>
      <c r="MA2889" s="37"/>
      <c r="MB2889" s="37"/>
      <c r="MC2889" s="37"/>
      <c r="MD2889" s="37"/>
      <c r="ME2889" s="37"/>
      <c r="MF2889" s="37"/>
      <c r="MG2889" s="37"/>
      <c r="MH2889" s="37"/>
      <c r="MI2889" s="37"/>
      <c r="MJ2889" s="37"/>
      <c r="MK2889" s="37"/>
      <c r="ML2889" s="37"/>
      <c r="MM2889" s="37"/>
      <c r="MN2889" s="37"/>
      <c r="MO2889" s="37"/>
      <c r="MP2889" s="37"/>
      <c r="MQ2889" s="37"/>
      <c r="MR2889" s="37"/>
      <c r="MS2889" s="37"/>
      <c r="MT2889" s="37"/>
      <c r="MU2889" s="37"/>
      <c r="MV2889" s="37"/>
      <c r="MW2889" s="37"/>
      <c r="MX2889" s="37"/>
      <c r="MY2889" s="37"/>
      <c r="MZ2889" s="37"/>
      <c r="NA2889" s="37"/>
      <c r="NB2889" s="37"/>
      <c r="NC2889" s="37"/>
      <c r="ND2889" s="37"/>
      <c r="NE2889" s="37"/>
      <c r="NF2889" s="37"/>
      <c r="NG2889" s="37"/>
      <c r="NH2889" s="37"/>
      <c r="NI2889" s="37"/>
      <c r="NJ2889" s="37"/>
      <c r="NK2889" s="37"/>
      <c r="NL2889" s="37"/>
      <c r="NM2889" s="37"/>
      <c r="NN2889" s="37"/>
      <c r="NO2889" s="37"/>
      <c r="NP2889" s="37"/>
      <c r="NQ2889" s="37"/>
      <c r="NR2889" s="37"/>
      <c r="NS2889" s="37"/>
      <c r="NT2889" s="37"/>
      <c r="NU2889" s="37"/>
      <c r="NV2889" s="37"/>
      <c r="NW2889" s="37"/>
      <c r="NX2889" s="37"/>
      <c r="NY2889" s="37"/>
      <c r="NZ2889" s="37"/>
      <c r="OA2889" s="37"/>
      <c r="OB2889" s="37"/>
      <c r="OC2889" s="37"/>
      <c r="OD2889" s="37"/>
      <c r="OE2889" s="37"/>
      <c r="OF2889" s="37"/>
      <c r="OG2889" s="37"/>
      <c r="OH2889" s="37"/>
      <c r="OI2889" s="37"/>
      <c r="OJ2889" s="37"/>
      <c r="OK2889" s="37"/>
      <c r="OL2889" s="37"/>
      <c r="OM2889" s="37"/>
      <c r="ON2889" s="37"/>
      <c r="OO2889" s="37"/>
      <c r="OP2889" s="37"/>
      <c r="OQ2889" s="37"/>
      <c r="OR2889" s="37"/>
      <c r="OS2889" s="37"/>
      <c r="OT2889" s="37"/>
      <c r="OU2889" s="37"/>
      <c r="OV2889" s="37"/>
      <c r="OW2889" s="37"/>
      <c r="OX2889" s="37"/>
      <c r="OY2889" s="37"/>
      <c r="OZ2889" s="37"/>
      <c r="PA2889" s="37"/>
      <c r="PB2889" s="37"/>
      <c r="PC2889" s="37"/>
      <c r="PD2889" s="37"/>
      <c r="PE2889" s="37"/>
      <c r="PF2889" s="37"/>
      <c r="PG2889" s="37"/>
      <c r="PH2889" s="37"/>
      <c r="PI2889" s="37"/>
      <c r="PJ2889" s="37"/>
      <c r="PK2889" s="37"/>
      <c r="PL2889" s="37"/>
      <c r="PM2889" s="37"/>
      <c r="PN2889" s="37"/>
      <c r="PO2889" s="37"/>
      <c r="PP2889" s="37"/>
      <c r="PQ2889" s="37"/>
      <c r="PR2889" s="37"/>
      <c r="PS2889" s="37"/>
      <c r="PT2889" s="37"/>
      <c r="PU2889" s="37"/>
      <c r="PV2889" s="37"/>
      <c r="PW2889" s="37"/>
      <c r="PX2889" s="37"/>
      <c r="PY2889" s="37"/>
      <c r="PZ2889" s="37"/>
      <c r="QA2889" s="37"/>
      <c r="QB2889" s="37"/>
      <c r="QC2889" s="37"/>
      <c r="QD2889" s="37"/>
      <c r="QE2889" s="37"/>
      <c r="QF2889" s="37"/>
      <c r="QG2889" s="37"/>
      <c r="QH2889" s="37"/>
      <c r="QI2889" s="37"/>
      <c r="QJ2889" s="37"/>
      <c r="QK2889" s="37"/>
      <c r="QL2889" s="37"/>
      <c r="QM2889" s="37"/>
      <c r="QN2889" s="37"/>
      <c r="QO2889" s="37"/>
      <c r="QP2889" s="37"/>
      <c r="QQ2889" s="37"/>
      <c r="QR2889" s="37"/>
      <c r="QS2889" s="37"/>
      <c r="QT2889" s="37"/>
      <c r="QU2889" s="37"/>
      <c r="QV2889" s="37"/>
      <c r="QW2889" s="37"/>
      <c r="QX2889" s="37"/>
      <c r="QY2889" s="37"/>
      <c r="QZ2889" s="37"/>
      <c r="RA2889" s="37"/>
      <c r="RB2889" s="37"/>
      <c r="RC2889" s="37"/>
      <c r="RD2889" s="37"/>
      <c r="RE2889" s="37"/>
      <c r="RF2889" s="37"/>
      <c r="RG2889" s="37"/>
      <c r="RH2889" s="37"/>
      <c r="RI2889" s="37"/>
      <c r="RJ2889" s="37"/>
      <c r="RK2889" s="37"/>
      <c r="RL2889" s="37"/>
      <c r="RM2889" s="37"/>
      <c r="RN2889" s="37"/>
      <c r="RO2889" s="37"/>
      <c r="RP2889" s="37"/>
      <c r="RQ2889" s="37"/>
      <c r="RR2889" s="37"/>
      <c r="RS2889" s="37"/>
      <c r="RT2889" s="37"/>
      <c r="RU2889" s="37"/>
      <c r="RV2889" s="37"/>
      <c r="RW2889" s="37"/>
      <c r="RX2889" s="37"/>
      <c r="RY2889" s="37"/>
      <c r="RZ2889" s="37"/>
      <c r="SA2889" s="37"/>
      <c r="SB2889" s="37"/>
      <c r="SC2889" s="37"/>
      <c r="SD2889" s="37"/>
      <c r="SE2889" s="37"/>
      <c r="SF2889" s="37"/>
    </row>
    <row r="2890" spans="1:500">
      <c r="A2890" s="37"/>
      <c r="B2890" s="37"/>
      <c r="C2890" s="37"/>
      <c r="D2890" s="37"/>
      <c r="E2890" s="37"/>
      <c r="F2890" s="37"/>
      <c r="G2890" s="37"/>
      <c r="H2890" s="37"/>
      <c r="I2890" s="37"/>
      <c r="J2890" s="37"/>
      <c r="K2890" s="37"/>
      <c r="L2890" s="37"/>
      <c r="M2890" s="37"/>
      <c r="N2890" s="37"/>
      <c r="O2890" s="37"/>
      <c r="P2890" s="37"/>
      <c r="Q2890" s="37"/>
      <c r="R2890" s="37"/>
      <c r="S2890" s="37"/>
      <c r="T2890" s="37"/>
      <c r="U2890" s="37"/>
      <c r="V2890" s="37"/>
      <c r="W2890" s="37"/>
      <c r="X2890" s="37"/>
      <c r="Y2890" s="37"/>
      <c r="Z2890" s="37"/>
      <c r="AA2890" s="37"/>
      <c r="AB2890" s="37"/>
      <c r="AC2890" s="37"/>
      <c r="AD2890" s="37"/>
      <c r="AE2890" s="37"/>
      <c r="AF2890" s="37"/>
      <c r="AG2890" s="37"/>
      <c r="AH2890" s="37"/>
      <c r="AI2890" s="37"/>
      <c r="AJ2890" s="37"/>
      <c r="AK2890" s="37"/>
      <c r="AL2890" s="37"/>
      <c r="AM2890" s="37"/>
      <c r="AN2890" s="37"/>
      <c r="AO2890" s="37"/>
      <c r="AP2890" s="37"/>
      <c r="AQ2890" s="37"/>
      <c r="AR2890" s="37"/>
      <c r="AS2890" s="37"/>
      <c r="AT2890" s="37"/>
      <c r="AU2890" s="37"/>
      <c r="AV2890" s="37"/>
      <c r="AW2890" s="37"/>
      <c r="AX2890" s="37"/>
      <c r="AY2890" s="37"/>
      <c r="AZ2890" s="37"/>
      <c r="BA2890" s="37"/>
      <c r="BB2890" s="37"/>
      <c r="BC2890" s="37"/>
      <c r="BD2890" s="37"/>
      <c r="BE2890" s="37"/>
      <c r="BF2890" s="37"/>
      <c r="BG2890" s="37"/>
      <c r="BH2890" s="37"/>
      <c r="BI2890" s="37"/>
      <c r="BJ2890" s="37"/>
      <c r="BK2890" s="37"/>
      <c r="BL2890" s="37"/>
      <c r="BM2890" s="37"/>
      <c r="BN2890" s="37"/>
      <c r="BO2890" s="37"/>
      <c r="BP2890" s="37"/>
      <c r="BQ2890" s="37"/>
      <c r="BR2890" s="37"/>
      <c r="BS2890" s="37"/>
      <c r="BT2890" s="37"/>
      <c r="BU2890" s="37"/>
      <c r="BV2890" s="37"/>
      <c r="BW2890" s="37"/>
      <c r="BX2890" s="37"/>
      <c r="BY2890" s="37"/>
      <c r="BZ2890" s="37"/>
      <c r="CA2890" s="37"/>
      <c r="CB2890" s="37"/>
      <c r="CC2890" s="37"/>
      <c r="CD2890" s="37"/>
      <c r="CE2890" s="37"/>
      <c r="CF2890" s="37"/>
      <c r="CG2890" s="37"/>
      <c r="CH2890" s="37"/>
      <c r="CI2890" s="37"/>
      <c r="CJ2890" s="37"/>
      <c r="CK2890" s="37"/>
      <c r="CL2890" s="37"/>
      <c r="CM2890" s="37"/>
      <c r="CN2890" s="37"/>
      <c r="CO2890" s="37"/>
      <c r="CP2890" s="37"/>
      <c r="CQ2890" s="37"/>
      <c r="CR2890" s="37"/>
      <c r="CS2890" s="37"/>
      <c r="CT2890" s="37"/>
      <c r="CU2890" s="37"/>
      <c r="CV2890" s="37"/>
      <c r="CW2890" s="37"/>
      <c r="CX2890" s="37"/>
      <c r="CY2890" s="37"/>
      <c r="CZ2890" s="37"/>
      <c r="DA2890" s="37"/>
      <c r="DB2890" s="37"/>
      <c r="DC2890" s="37"/>
      <c r="DD2890" s="37"/>
      <c r="DE2890" s="37"/>
      <c r="DF2890" s="37"/>
      <c r="DG2890" s="37"/>
      <c r="DH2890" s="37"/>
      <c r="DI2890" s="37"/>
      <c r="DJ2890" s="37"/>
      <c r="DK2890" s="37"/>
      <c r="DL2890" s="37"/>
      <c r="DM2890" s="37"/>
      <c r="DN2890" s="37"/>
      <c r="DO2890" s="37"/>
      <c r="DP2890" s="37"/>
      <c r="DQ2890" s="37"/>
      <c r="DR2890" s="37"/>
      <c r="DS2890" s="37"/>
      <c r="DT2890" s="37"/>
      <c r="DU2890" s="37"/>
      <c r="DV2890" s="37"/>
      <c r="DW2890" s="37"/>
      <c r="DX2890" s="37"/>
      <c r="DY2890" s="37"/>
      <c r="DZ2890" s="37"/>
      <c r="EA2890" s="37"/>
      <c r="EB2890" s="37"/>
      <c r="EC2890" s="37"/>
      <c r="ED2890" s="37"/>
      <c r="EE2890" s="37"/>
      <c r="EF2890" s="37"/>
      <c r="EG2890" s="37"/>
      <c r="EH2890" s="37"/>
      <c r="EI2890" s="37"/>
      <c r="EJ2890" s="37"/>
      <c r="EK2890" s="37"/>
      <c r="EL2890" s="37"/>
      <c r="EM2890" s="37"/>
      <c r="EN2890" s="37"/>
      <c r="EO2890" s="37"/>
      <c r="EP2890" s="37"/>
      <c r="EQ2890" s="37"/>
      <c r="ER2890" s="37"/>
      <c r="ES2890" s="37"/>
      <c r="ET2890" s="37"/>
      <c r="EU2890" s="37"/>
      <c r="EV2890" s="37"/>
      <c r="EW2890" s="37"/>
      <c r="EX2890" s="37"/>
      <c r="EY2890" s="37"/>
      <c r="EZ2890" s="37"/>
      <c r="FA2890" s="37"/>
      <c r="FB2890" s="37"/>
      <c r="FC2890" s="37"/>
      <c r="FD2890" s="37"/>
      <c r="FE2890" s="37"/>
      <c r="FF2890" s="37"/>
      <c r="FG2890" s="37"/>
      <c r="FH2890" s="37"/>
      <c r="FI2890" s="37"/>
      <c r="FJ2890" s="37"/>
      <c r="FK2890" s="37"/>
      <c r="FL2890" s="37"/>
      <c r="FM2890" s="37"/>
      <c r="FN2890" s="37"/>
      <c r="FO2890" s="37"/>
      <c r="FP2890" s="37"/>
      <c r="FQ2890" s="37"/>
      <c r="FR2890" s="37"/>
      <c r="FS2890" s="37"/>
      <c r="FT2890" s="37"/>
      <c r="FU2890" s="37"/>
      <c r="FV2890" s="37"/>
      <c r="FW2890" s="37"/>
      <c r="FX2890" s="37"/>
      <c r="FY2890" s="37"/>
      <c r="FZ2890" s="37"/>
      <c r="GA2890" s="37"/>
      <c r="GB2890" s="37"/>
      <c r="GC2890" s="37"/>
      <c r="GD2890" s="37"/>
      <c r="GE2890" s="37"/>
      <c r="GF2890" s="37"/>
      <c r="GG2890" s="37"/>
      <c r="GH2890" s="37"/>
      <c r="GI2890" s="37"/>
      <c r="GJ2890" s="37"/>
      <c r="GK2890" s="37"/>
      <c r="GL2890" s="37"/>
      <c r="GM2890" s="37"/>
      <c r="GN2890" s="37"/>
      <c r="GO2890" s="37"/>
      <c r="GP2890" s="37"/>
      <c r="GQ2890" s="37"/>
      <c r="GR2890" s="37"/>
      <c r="GS2890" s="37"/>
      <c r="GT2890" s="37"/>
      <c r="GU2890" s="37"/>
      <c r="GV2890" s="37"/>
      <c r="GW2890" s="37"/>
      <c r="GX2890" s="37"/>
      <c r="GY2890" s="37"/>
      <c r="GZ2890" s="37"/>
      <c r="HA2890" s="37"/>
      <c r="HB2890" s="37"/>
      <c r="HC2890" s="37"/>
      <c r="HD2890" s="37"/>
      <c r="HE2890" s="37"/>
      <c r="HF2890" s="37"/>
      <c r="HG2890" s="37"/>
      <c r="HH2890" s="37"/>
      <c r="HI2890" s="37"/>
      <c r="HJ2890" s="37"/>
      <c r="HK2890" s="37"/>
      <c r="HL2890" s="37"/>
      <c r="HM2890" s="37"/>
      <c r="HN2890" s="37"/>
      <c r="HO2890" s="37"/>
      <c r="HP2890" s="37"/>
      <c r="HQ2890" s="37"/>
      <c r="HR2890" s="37"/>
      <c r="HS2890" s="37"/>
      <c r="HT2890" s="37"/>
      <c r="HU2890" s="37"/>
      <c r="HV2890" s="37"/>
      <c r="HW2890" s="37"/>
      <c r="HX2890" s="37"/>
      <c r="HY2890" s="37"/>
      <c r="HZ2890" s="37"/>
      <c r="IA2890" s="37"/>
      <c r="IB2890" s="37"/>
      <c r="IC2890" s="37"/>
      <c r="ID2890" s="37"/>
      <c r="IE2890" s="37"/>
      <c r="IF2890" s="37"/>
      <c r="IG2890" s="37"/>
      <c r="IH2890" s="37"/>
      <c r="II2890" s="37"/>
      <c r="IJ2890" s="37"/>
      <c r="IK2890" s="37"/>
      <c r="IL2890" s="37"/>
      <c r="IM2890" s="37"/>
      <c r="IN2890" s="37"/>
      <c r="IO2890" s="37"/>
      <c r="IP2890" s="37"/>
      <c r="IQ2890" s="37"/>
      <c r="IR2890" s="37"/>
      <c r="IS2890" s="37"/>
      <c r="IT2890" s="37"/>
      <c r="IU2890" s="37"/>
      <c r="IV2890" s="37"/>
      <c r="IW2890" s="37"/>
      <c r="IX2890" s="37"/>
      <c r="IY2890" s="37"/>
      <c r="IZ2890" s="37"/>
      <c r="JA2890" s="37"/>
      <c r="JB2890" s="37"/>
      <c r="JC2890" s="37"/>
      <c r="JD2890" s="37"/>
      <c r="JE2890" s="37"/>
      <c r="JF2890" s="37"/>
      <c r="JG2890" s="37"/>
      <c r="JH2890" s="37"/>
      <c r="JI2890" s="37"/>
      <c r="JJ2890" s="37"/>
      <c r="JK2890" s="37"/>
      <c r="JL2890" s="37"/>
      <c r="JM2890" s="37"/>
      <c r="JN2890" s="37"/>
      <c r="JO2890" s="37"/>
      <c r="JP2890" s="37"/>
      <c r="JQ2890" s="37"/>
      <c r="JR2890" s="37"/>
      <c r="JS2890" s="37"/>
      <c r="JT2890" s="37"/>
      <c r="JU2890" s="37"/>
      <c r="JV2890" s="37"/>
      <c r="JW2890" s="37"/>
      <c r="JX2890" s="37"/>
      <c r="JY2890" s="37"/>
      <c r="JZ2890" s="37"/>
      <c r="KA2890" s="37"/>
      <c r="KB2890" s="37"/>
      <c r="KC2890" s="37"/>
      <c r="KD2890" s="37"/>
      <c r="KE2890" s="37"/>
      <c r="KF2890" s="37"/>
      <c r="KG2890" s="37"/>
      <c r="KH2890" s="37"/>
      <c r="KI2890" s="37"/>
      <c r="KJ2890" s="37"/>
      <c r="KK2890" s="37"/>
      <c r="KL2890" s="37"/>
      <c r="KM2890" s="37"/>
      <c r="KN2890" s="37"/>
      <c r="KO2890" s="37"/>
      <c r="KP2890" s="37"/>
      <c r="KQ2890" s="37"/>
      <c r="KR2890" s="37"/>
      <c r="KS2890" s="37"/>
      <c r="KT2890" s="37"/>
      <c r="KU2890" s="37"/>
      <c r="KV2890" s="37"/>
      <c r="KW2890" s="37"/>
      <c r="KX2890" s="37"/>
      <c r="KY2890" s="37"/>
      <c r="KZ2890" s="37"/>
      <c r="LA2890" s="37"/>
      <c r="LB2890" s="37"/>
      <c r="LC2890" s="37"/>
      <c r="LD2890" s="37"/>
      <c r="LE2890" s="37"/>
      <c r="LF2890" s="37"/>
      <c r="LG2890" s="37"/>
      <c r="LH2890" s="37"/>
      <c r="LI2890" s="37"/>
      <c r="LJ2890" s="37"/>
      <c r="LK2890" s="37"/>
      <c r="LL2890" s="37"/>
      <c r="LM2890" s="37"/>
      <c r="LN2890" s="37"/>
      <c r="LO2890" s="37"/>
      <c r="LP2890" s="37"/>
      <c r="LQ2890" s="37"/>
      <c r="LR2890" s="37"/>
      <c r="LS2890" s="37"/>
      <c r="LT2890" s="37"/>
      <c r="LU2890" s="37"/>
      <c r="LV2890" s="37"/>
      <c r="LW2890" s="37"/>
      <c r="LX2890" s="37"/>
      <c r="LY2890" s="37"/>
      <c r="LZ2890" s="37"/>
      <c r="MA2890" s="37"/>
      <c r="MB2890" s="37"/>
      <c r="MC2890" s="37"/>
      <c r="MD2890" s="37"/>
      <c r="ME2890" s="37"/>
      <c r="MF2890" s="37"/>
      <c r="MG2890" s="37"/>
      <c r="MH2890" s="37"/>
      <c r="MI2890" s="37"/>
      <c r="MJ2890" s="37"/>
      <c r="MK2890" s="37"/>
      <c r="ML2890" s="37"/>
      <c r="MM2890" s="37"/>
      <c r="MN2890" s="37"/>
      <c r="MO2890" s="37"/>
      <c r="MP2890" s="37"/>
      <c r="MQ2890" s="37"/>
      <c r="MR2890" s="37"/>
      <c r="MS2890" s="37"/>
      <c r="MT2890" s="37"/>
      <c r="MU2890" s="37"/>
      <c r="MV2890" s="37"/>
      <c r="MW2890" s="37"/>
      <c r="MX2890" s="37"/>
      <c r="MY2890" s="37"/>
      <c r="MZ2890" s="37"/>
      <c r="NA2890" s="37"/>
      <c r="NB2890" s="37"/>
      <c r="NC2890" s="37"/>
      <c r="ND2890" s="37"/>
      <c r="NE2890" s="37"/>
      <c r="NF2890" s="37"/>
      <c r="NG2890" s="37"/>
      <c r="NH2890" s="37"/>
      <c r="NI2890" s="37"/>
      <c r="NJ2890" s="37"/>
      <c r="NK2890" s="37"/>
      <c r="NL2890" s="37"/>
      <c r="NM2890" s="37"/>
      <c r="NN2890" s="37"/>
      <c r="NO2890" s="37"/>
      <c r="NP2890" s="37"/>
      <c r="NQ2890" s="37"/>
      <c r="NR2890" s="37"/>
      <c r="NS2890" s="37"/>
      <c r="NT2890" s="37"/>
      <c r="NU2890" s="37"/>
      <c r="NV2890" s="37"/>
      <c r="NW2890" s="37"/>
      <c r="NX2890" s="37"/>
      <c r="NY2890" s="37"/>
      <c r="NZ2890" s="37"/>
      <c r="OA2890" s="37"/>
      <c r="OB2890" s="37"/>
      <c r="OC2890" s="37"/>
      <c r="OD2890" s="37"/>
      <c r="OE2890" s="37"/>
      <c r="OF2890" s="37"/>
      <c r="OG2890" s="37"/>
      <c r="OH2890" s="37"/>
      <c r="OI2890" s="37"/>
      <c r="OJ2890" s="37"/>
      <c r="OK2890" s="37"/>
      <c r="OL2890" s="37"/>
      <c r="OM2890" s="37"/>
      <c r="ON2890" s="37"/>
      <c r="OO2890" s="37"/>
      <c r="OP2890" s="37"/>
      <c r="OQ2890" s="37"/>
      <c r="OR2890" s="37"/>
      <c r="OS2890" s="37"/>
      <c r="OT2890" s="37"/>
      <c r="OU2890" s="37"/>
      <c r="OV2890" s="37"/>
      <c r="OW2890" s="37"/>
      <c r="OX2890" s="37"/>
      <c r="OY2890" s="37"/>
      <c r="OZ2890" s="37"/>
      <c r="PA2890" s="37"/>
      <c r="PB2890" s="37"/>
      <c r="PC2890" s="37"/>
      <c r="PD2890" s="37"/>
      <c r="PE2890" s="37"/>
      <c r="PF2890" s="37"/>
      <c r="PG2890" s="37"/>
      <c r="PH2890" s="37"/>
      <c r="PI2890" s="37"/>
      <c r="PJ2890" s="37"/>
      <c r="PK2890" s="37"/>
      <c r="PL2890" s="37"/>
      <c r="PM2890" s="37"/>
      <c r="PN2890" s="37"/>
      <c r="PO2890" s="37"/>
      <c r="PP2890" s="37"/>
      <c r="PQ2890" s="37"/>
      <c r="PR2890" s="37"/>
      <c r="PS2890" s="37"/>
      <c r="PT2890" s="37"/>
      <c r="PU2890" s="37"/>
      <c r="PV2890" s="37"/>
      <c r="PW2890" s="37"/>
      <c r="PX2890" s="37"/>
      <c r="PY2890" s="37"/>
      <c r="PZ2890" s="37"/>
      <c r="QA2890" s="37"/>
      <c r="QB2890" s="37"/>
      <c r="QC2890" s="37"/>
      <c r="QD2890" s="37"/>
      <c r="QE2890" s="37"/>
      <c r="QF2890" s="37"/>
      <c r="QG2890" s="37"/>
      <c r="QH2890" s="37"/>
      <c r="QI2890" s="37"/>
      <c r="QJ2890" s="37"/>
      <c r="QK2890" s="37"/>
      <c r="QL2890" s="37"/>
      <c r="QM2890" s="37"/>
      <c r="QN2890" s="37"/>
      <c r="QO2890" s="37"/>
      <c r="QP2890" s="37"/>
      <c r="QQ2890" s="37"/>
      <c r="QR2890" s="37"/>
      <c r="QS2890" s="37"/>
      <c r="QT2890" s="37"/>
      <c r="QU2890" s="37"/>
      <c r="QV2890" s="37"/>
      <c r="QW2890" s="37"/>
      <c r="QX2890" s="37"/>
      <c r="QY2890" s="37"/>
      <c r="QZ2890" s="37"/>
      <c r="RA2890" s="37"/>
      <c r="RB2890" s="37"/>
      <c r="RC2890" s="37"/>
      <c r="RD2890" s="37"/>
      <c r="RE2890" s="37"/>
      <c r="RF2890" s="37"/>
      <c r="RG2890" s="37"/>
      <c r="RH2890" s="37"/>
      <c r="RI2890" s="37"/>
      <c r="RJ2890" s="37"/>
      <c r="RK2890" s="37"/>
      <c r="RL2890" s="37"/>
      <c r="RM2890" s="37"/>
      <c r="RN2890" s="37"/>
      <c r="RO2890" s="37"/>
      <c r="RP2890" s="37"/>
      <c r="RQ2890" s="37"/>
      <c r="RR2890" s="37"/>
      <c r="RS2890" s="37"/>
      <c r="RT2890" s="37"/>
      <c r="RU2890" s="37"/>
      <c r="RV2890" s="37"/>
      <c r="RW2890" s="37"/>
      <c r="RX2890" s="37"/>
      <c r="RY2890" s="37"/>
      <c r="RZ2890" s="37"/>
      <c r="SA2890" s="37"/>
      <c r="SB2890" s="37"/>
      <c r="SC2890" s="37"/>
      <c r="SD2890" s="37"/>
      <c r="SE2890" s="37"/>
      <c r="SF2890" s="37"/>
    </row>
    <row r="2891" spans="1:500">
      <c r="A2891" s="37"/>
      <c r="B2891" s="37"/>
      <c r="C2891" s="37"/>
      <c r="D2891" s="37"/>
      <c r="E2891" s="37"/>
      <c r="F2891" s="37"/>
      <c r="G2891" s="37"/>
      <c r="H2891" s="37"/>
      <c r="I2891" s="37"/>
      <c r="J2891" s="37"/>
      <c r="K2891" s="37"/>
      <c r="L2891" s="37"/>
      <c r="M2891" s="37"/>
      <c r="N2891" s="37"/>
      <c r="O2891" s="37"/>
      <c r="P2891" s="37"/>
      <c r="Q2891" s="37"/>
      <c r="R2891" s="37"/>
      <c r="S2891" s="37"/>
      <c r="T2891" s="37"/>
      <c r="U2891" s="37"/>
      <c r="V2891" s="37"/>
      <c r="W2891" s="37"/>
      <c r="X2891" s="37"/>
      <c r="Y2891" s="37"/>
      <c r="Z2891" s="37"/>
      <c r="AA2891" s="37"/>
      <c r="AB2891" s="37"/>
      <c r="AC2891" s="37"/>
      <c r="AD2891" s="37"/>
      <c r="AE2891" s="37"/>
      <c r="AF2891" s="37"/>
      <c r="AG2891" s="37"/>
      <c r="AH2891" s="37"/>
      <c r="AI2891" s="37"/>
      <c r="AJ2891" s="37"/>
      <c r="AK2891" s="37"/>
      <c r="AL2891" s="37"/>
      <c r="AM2891" s="37"/>
      <c r="AN2891" s="37"/>
      <c r="AO2891" s="37"/>
      <c r="AP2891" s="37"/>
      <c r="AQ2891" s="37"/>
      <c r="AR2891" s="37"/>
      <c r="AS2891" s="37"/>
      <c r="AT2891" s="37"/>
      <c r="AU2891" s="37"/>
      <c r="AV2891" s="37"/>
      <c r="AW2891" s="37"/>
      <c r="AX2891" s="37"/>
      <c r="AY2891" s="37"/>
      <c r="AZ2891" s="37"/>
      <c r="BA2891" s="37"/>
      <c r="BB2891" s="37"/>
      <c r="BC2891" s="37"/>
      <c r="BD2891" s="37"/>
      <c r="BE2891" s="37"/>
      <c r="BF2891" s="37"/>
      <c r="BG2891" s="37"/>
      <c r="BH2891" s="37"/>
      <c r="BI2891" s="37"/>
      <c r="BJ2891" s="37"/>
      <c r="BK2891" s="37"/>
      <c r="BL2891" s="37"/>
      <c r="BM2891" s="37"/>
      <c r="BN2891" s="37"/>
      <c r="BO2891" s="37"/>
      <c r="BP2891" s="37"/>
      <c r="BQ2891" s="37"/>
      <c r="BR2891" s="37"/>
      <c r="BS2891" s="37"/>
      <c r="BT2891" s="37"/>
      <c r="BU2891" s="37"/>
      <c r="BV2891" s="37"/>
      <c r="BW2891" s="37"/>
      <c r="BX2891" s="37"/>
      <c r="BY2891" s="37"/>
      <c r="BZ2891" s="37"/>
      <c r="CA2891" s="37"/>
      <c r="CB2891" s="37"/>
      <c r="CC2891" s="37"/>
      <c r="CD2891" s="37"/>
      <c r="CE2891" s="37"/>
      <c r="CF2891" s="37"/>
      <c r="CG2891" s="37"/>
      <c r="CH2891" s="37"/>
      <c r="CI2891" s="37"/>
      <c r="CJ2891" s="37"/>
      <c r="CK2891" s="37"/>
      <c r="CL2891" s="37"/>
      <c r="CM2891" s="37"/>
      <c r="CN2891" s="37"/>
      <c r="CO2891" s="37"/>
      <c r="CP2891" s="37"/>
      <c r="CQ2891" s="37"/>
      <c r="CR2891" s="37"/>
      <c r="CS2891" s="37"/>
      <c r="CT2891" s="37"/>
      <c r="CU2891" s="37"/>
      <c r="CV2891" s="37"/>
      <c r="CW2891" s="37"/>
      <c r="CX2891" s="37"/>
      <c r="CY2891" s="37"/>
      <c r="CZ2891" s="37"/>
      <c r="DA2891" s="37"/>
      <c r="DB2891" s="37"/>
      <c r="DC2891" s="37"/>
      <c r="DD2891" s="37"/>
      <c r="DE2891" s="37"/>
      <c r="DF2891" s="37"/>
      <c r="DG2891" s="37"/>
      <c r="DH2891" s="37"/>
      <c r="DI2891" s="37"/>
      <c r="DJ2891" s="37"/>
      <c r="DK2891" s="37"/>
      <c r="DL2891" s="37"/>
      <c r="DM2891" s="37"/>
      <c r="DN2891" s="37"/>
      <c r="DO2891" s="37"/>
      <c r="DP2891" s="37"/>
      <c r="DQ2891" s="37"/>
      <c r="DR2891" s="37"/>
      <c r="DS2891" s="37"/>
      <c r="DT2891" s="37"/>
      <c r="DU2891" s="37"/>
      <c r="DV2891" s="37"/>
      <c r="DW2891" s="37"/>
      <c r="DX2891" s="37"/>
      <c r="DY2891" s="37"/>
      <c r="DZ2891" s="37"/>
      <c r="EA2891" s="37"/>
      <c r="EB2891" s="37"/>
      <c r="EC2891" s="37"/>
      <c r="ED2891" s="37"/>
      <c r="EE2891" s="37"/>
      <c r="EF2891" s="37"/>
      <c r="EG2891" s="37"/>
      <c r="EH2891" s="37"/>
      <c r="EI2891" s="37"/>
      <c r="EJ2891" s="37"/>
      <c r="EK2891" s="37"/>
      <c r="EL2891" s="37"/>
      <c r="EM2891" s="37"/>
      <c r="EN2891" s="37"/>
      <c r="EO2891" s="37"/>
      <c r="EP2891" s="37"/>
      <c r="EQ2891" s="37"/>
      <c r="ER2891" s="37"/>
      <c r="ES2891" s="37"/>
      <c r="ET2891" s="37"/>
      <c r="EU2891" s="37"/>
      <c r="EV2891" s="37"/>
      <c r="EW2891" s="37"/>
      <c r="EX2891" s="37"/>
      <c r="EY2891" s="37"/>
      <c r="EZ2891" s="37"/>
      <c r="FA2891" s="37"/>
      <c r="FB2891" s="37"/>
      <c r="FC2891" s="37"/>
      <c r="FD2891" s="37"/>
      <c r="FE2891" s="37"/>
      <c r="FF2891" s="37"/>
      <c r="FG2891" s="37"/>
      <c r="FH2891" s="37"/>
      <c r="FI2891" s="37"/>
      <c r="FJ2891" s="37"/>
      <c r="FK2891" s="37"/>
      <c r="FL2891" s="37"/>
      <c r="FM2891" s="37"/>
      <c r="FN2891" s="37"/>
      <c r="FO2891" s="37"/>
      <c r="FP2891" s="37"/>
      <c r="FQ2891" s="37"/>
      <c r="FR2891" s="37"/>
      <c r="FS2891" s="37"/>
      <c r="FT2891" s="37"/>
      <c r="FU2891" s="37"/>
      <c r="FV2891" s="37"/>
      <c r="FW2891" s="37"/>
      <c r="FX2891" s="37"/>
      <c r="FY2891" s="37"/>
      <c r="FZ2891" s="37"/>
      <c r="GA2891" s="37"/>
      <c r="GB2891" s="37"/>
      <c r="GC2891" s="37"/>
      <c r="GD2891" s="37"/>
      <c r="GE2891" s="37"/>
      <c r="GF2891" s="37"/>
      <c r="GG2891" s="37"/>
      <c r="GH2891" s="37"/>
      <c r="GI2891" s="37"/>
      <c r="GJ2891" s="37"/>
      <c r="GK2891" s="37"/>
      <c r="GL2891" s="37"/>
      <c r="GM2891" s="37"/>
      <c r="GN2891" s="37"/>
      <c r="GO2891" s="37"/>
      <c r="GP2891" s="37"/>
      <c r="GQ2891" s="37"/>
      <c r="GR2891" s="37"/>
      <c r="GS2891" s="37"/>
      <c r="GT2891" s="37"/>
      <c r="GU2891" s="37"/>
      <c r="GV2891" s="37"/>
      <c r="GW2891" s="37"/>
      <c r="GX2891" s="37"/>
      <c r="GY2891" s="37"/>
      <c r="GZ2891" s="37"/>
      <c r="HA2891" s="37"/>
      <c r="HB2891" s="37"/>
      <c r="HC2891" s="37"/>
      <c r="HD2891" s="37"/>
      <c r="HE2891" s="37"/>
      <c r="HF2891" s="37"/>
      <c r="HG2891" s="37"/>
      <c r="HH2891" s="37"/>
      <c r="HI2891" s="37"/>
      <c r="HJ2891" s="37"/>
      <c r="HK2891" s="37"/>
      <c r="HL2891" s="37"/>
      <c r="HM2891" s="37"/>
      <c r="HN2891" s="37"/>
      <c r="HO2891" s="37"/>
      <c r="HP2891" s="37"/>
      <c r="HQ2891" s="37"/>
      <c r="HR2891" s="37"/>
      <c r="HS2891" s="37"/>
      <c r="HT2891" s="37"/>
      <c r="HU2891" s="37"/>
      <c r="HV2891" s="37"/>
      <c r="HW2891" s="37"/>
      <c r="HX2891" s="37"/>
      <c r="HY2891" s="37"/>
      <c r="HZ2891" s="37"/>
      <c r="IA2891" s="37"/>
      <c r="IB2891" s="37"/>
      <c r="IC2891" s="37"/>
      <c r="ID2891" s="37"/>
      <c r="IE2891" s="37"/>
      <c r="IF2891" s="37"/>
      <c r="IG2891" s="37"/>
      <c r="IH2891" s="37"/>
      <c r="II2891" s="37"/>
      <c r="IJ2891" s="37"/>
      <c r="IK2891" s="37"/>
      <c r="IL2891" s="37"/>
      <c r="IM2891" s="37"/>
      <c r="IN2891" s="37"/>
      <c r="IO2891" s="37"/>
      <c r="IP2891" s="37"/>
      <c r="IQ2891" s="37"/>
      <c r="IR2891" s="37"/>
      <c r="IS2891" s="37"/>
      <c r="IT2891" s="37"/>
      <c r="IU2891" s="37"/>
      <c r="IV2891" s="37"/>
      <c r="IW2891" s="37"/>
      <c r="IX2891" s="37"/>
      <c r="IY2891" s="37"/>
      <c r="IZ2891" s="37"/>
      <c r="JA2891" s="37"/>
      <c r="JB2891" s="37"/>
      <c r="JC2891" s="37"/>
      <c r="JD2891" s="37"/>
      <c r="JE2891" s="37"/>
      <c r="JF2891" s="37"/>
      <c r="JG2891" s="37"/>
      <c r="JH2891" s="37"/>
      <c r="JI2891" s="37"/>
      <c r="JJ2891" s="37"/>
      <c r="JK2891" s="37"/>
      <c r="JL2891" s="37"/>
      <c r="JM2891" s="37"/>
      <c r="JN2891" s="37"/>
      <c r="JO2891" s="37"/>
      <c r="JP2891" s="37"/>
      <c r="JQ2891" s="37"/>
      <c r="JR2891" s="37"/>
      <c r="JS2891" s="37"/>
      <c r="JT2891" s="37"/>
      <c r="JU2891" s="37"/>
      <c r="JV2891" s="37"/>
      <c r="JW2891" s="37"/>
      <c r="JX2891" s="37"/>
      <c r="JY2891" s="37"/>
      <c r="JZ2891" s="37"/>
      <c r="KA2891" s="37"/>
      <c r="KB2891" s="37"/>
      <c r="KC2891" s="37"/>
      <c r="KD2891" s="37"/>
      <c r="KE2891" s="37"/>
      <c r="KF2891" s="37"/>
      <c r="KG2891" s="37"/>
      <c r="KH2891" s="37"/>
      <c r="KI2891" s="37"/>
      <c r="KJ2891" s="37"/>
      <c r="KK2891" s="37"/>
      <c r="KL2891" s="37"/>
      <c r="KM2891" s="37"/>
      <c r="KN2891" s="37"/>
      <c r="KO2891" s="37"/>
      <c r="KP2891" s="37"/>
      <c r="KQ2891" s="37"/>
      <c r="KR2891" s="37"/>
      <c r="KS2891" s="37"/>
      <c r="KT2891" s="37"/>
      <c r="KU2891" s="37"/>
      <c r="KV2891" s="37"/>
      <c r="KW2891" s="37"/>
      <c r="KX2891" s="37"/>
      <c r="KY2891" s="37"/>
      <c r="KZ2891" s="37"/>
      <c r="LA2891" s="37"/>
      <c r="LB2891" s="37"/>
      <c r="LC2891" s="37"/>
      <c r="LD2891" s="37"/>
      <c r="LE2891" s="37"/>
      <c r="LF2891" s="37"/>
      <c r="LG2891" s="37"/>
      <c r="LH2891" s="37"/>
      <c r="LI2891" s="37"/>
      <c r="LJ2891" s="37"/>
      <c r="LK2891" s="37"/>
      <c r="LL2891" s="37"/>
      <c r="LM2891" s="37"/>
      <c r="LN2891" s="37"/>
      <c r="LO2891" s="37"/>
      <c r="LP2891" s="37"/>
      <c r="LQ2891" s="37"/>
      <c r="LR2891" s="37"/>
      <c r="LS2891" s="37"/>
      <c r="LT2891" s="37"/>
      <c r="LU2891" s="37"/>
      <c r="LV2891" s="37"/>
      <c r="LW2891" s="37"/>
      <c r="LX2891" s="37"/>
      <c r="LY2891" s="37"/>
      <c r="LZ2891" s="37"/>
      <c r="MA2891" s="37"/>
      <c r="MB2891" s="37"/>
      <c r="MC2891" s="37"/>
      <c r="MD2891" s="37"/>
      <c r="ME2891" s="37"/>
      <c r="MF2891" s="37"/>
      <c r="MG2891" s="37"/>
      <c r="MH2891" s="37"/>
      <c r="MI2891" s="37"/>
      <c r="MJ2891" s="37"/>
      <c r="MK2891" s="37"/>
      <c r="ML2891" s="37"/>
      <c r="MM2891" s="37"/>
      <c r="MN2891" s="37"/>
      <c r="MO2891" s="37"/>
      <c r="MP2891" s="37"/>
      <c r="MQ2891" s="37"/>
      <c r="MR2891" s="37"/>
      <c r="MS2891" s="37"/>
      <c r="MT2891" s="37"/>
      <c r="MU2891" s="37"/>
      <c r="MV2891" s="37"/>
      <c r="MW2891" s="37"/>
      <c r="MX2891" s="37"/>
      <c r="MY2891" s="37"/>
      <c r="MZ2891" s="37"/>
      <c r="NA2891" s="37"/>
      <c r="NB2891" s="37"/>
      <c r="NC2891" s="37"/>
      <c r="ND2891" s="37"/>
      <c r="NE2891" s="37"/>
      <c r="NF2891" s="37"/>
      <c r="NG2891" s="37"/>
      <c r="NH2891" s="37"/>
      <c r="NI2891" s="37"/>
      <c r="NJ2891" s="37"/>
      <c r="NK2891" s="37"/>
      <c r="NL2891" s="37"/>
      <c r="NM2891" s="37"/>
      <c r="NN2891" s="37"/>
      <c r="NO2891" s="37"/>
      <c r="NP2891" s="37"/>
      <c r="NQ2891" s="37"/>
      <c r="NR2891" s="37"/>
      <c r="NS2891" s="37"/>
      <c r="NT2891" s="37"/>
      <c r="NU2891" s="37"/>
      <c r="NV2891" s="37"/>
      <c r="NW2891" s="37"/>
      <c r="NX2891" s="37"/>
      <c r="NY2891" s="37"/>
      <c r="NZ2891" s="37"/>
      <c r="OA2891" s="37"/>
      <c r="OB2891" s="37"/>
      <c r="OC2891" s="37"/>
      <c r="OD2891" s="37"/>
      <c r="OE2891" s="37"/>
      <c r="OF2891" s="37"/>
      <c r="OG2891" s="37"/>
      <c r="OH2891" s="37"/>
      <c r="OI2891" s="37"/>
      <c r="OJ2891" s="37"/>
      <c r="OK2891" s="37"/>
      <c r="OL2891" s="37"/>
      <c r="OM2891" s="37"/>
      <c r="ON2891" s="37"/>
      <c r="OO2891" s="37"/>
      <c r="OP2891" s="37"/>
      <c r="OQ2891" s="37"/>
      <c r="OR2891" s="37"/>
      <c r="OS2891" s="37"/>
      <c r="OT2891" s="37"/>
      <c r="OU2891" s="37"/>
      <c r="OV2891" s="37"/>
      <c r="OW2891" s="37"/>
      <c r="OX2891" s="37"/>
      <c r="OY2891" s="37"/>
      <c r="OZ2891" s="37"/>
      <c r="PA2891" s="37"/>
      <c r="PB2891" s="37"/>
      <c r="PC2891" s="37"/>
      <c r="PD2891" s="37"/>
      <c r="PE2891" s="37"/>
      <c r="PF2891" s="37"/>
      <c r="PG2891" s="37"/>
      <c r="PH2891" s="37"/>
      <c r="PI2891" s="37"/>
      <c r="PJ2891" s="37"/>
      <c r="PK2891" s="37"/>
      <c r="PL2891" s="37"/>
      <c r="PM2891" s="37"/>
      <c r="PN2891" s="37"/>
      <c r="PO2891" s="37"/>
      <c r="PP2891" s="37"/>
      <c r="PQ2891" s="37"/>
      <c r="PR2891" s="37"/>
      <c r="PS2891" s="37"/>
      <c r="PT2891" s="37"/>
      <c r="PU2891" s="37"/>
      <c r="PV2891" s="37"/>
      <c r="PW2891" s="37"/>
      <c r="PX2891" s="37"/>
      <c r="PY2891" s="37"/>
      <c r="PZ2891" s="37"/>
      <c r="QA2891" s="37"/>
      <c r="QB2891" s="37"/>
      <c r="QC2891" s="37"/>
      <c r="QD2891" s="37"/>
      <c r="QE2891" s="37"/>
      <c r="QF2891" s="37"/>
      <c r="QG2891" s="37"/>
      <c r="QH2891" s="37"/>
      <c r="QI2891" s="37"/>
      <c r="QJ2891" s="37"/>
      <c r="QK2891" s="37"/>
      <c r="QL2891" s="37"/>
      <c r="QM2891" s="37"/>
      <c r="QN2891" s="37"/>
      <c r="QO2891" s="37"/>
      <c r="QP2891" s="37"/>
      <c r="QQ2891" s="37"/>
      <c r="QR2891" s="37"/>
      <c r="QS2891" s="37"/>
      <c r="QT2891" s="37"/>
      <c r="QU2891" s="37"/>
      <c r="QV2891" s="37"/>
      <c r="QW2891" s="37"/>
      <c r="QX2891" s="37"/>
      <c r="QY2891" s="37"/>
      <c r="QZ2891" s="37"/>
      <c r="RA2891" s="37"/>
      <c r="RB2891" s="37"/>
      <c r="RC2891" s="37"/>
      <c r="RD2891" s="37"/>
      <c r="RE2891" s="37"/>
      <c r="RF2891" s="37"/>
      <c r="RG2891" s="37"/>
      <c r="RH2891" s="37"/>
      <c r="RI2891" s="37"/>
      <c r="RJ2891" s="37"/>
      <c r="RK2891" s="37"/>
      <c r="RL2891" s="37"/>
      <c r="RM2891" s="37"/>
      <c r="RN2891" s="37"/>
      <c r="RO2891" s="37"/>
      <c r="RP2891" s="37"/>
      <c r="RQ2891" s="37"/>
      <c r="RR2891" s="37"/>
      <c r="RS2891" s="37"/>
      <c r="RT2891" s="37"/>
      <c r="RU2891" s="37"/>
      <c r="RV2891" s="37"/>
      <c r="RW2891" s="37"/>
      <c r="RX2891" s="37"/>
      <c r="RY2891" s="37"/>
      <c r="RZ2891" s="37"/>
      <c r="SA2891" s="37"/>
      <c r="SB2891" s="37"/>
      <c r="SC2891" s="37"/>
      <c r="SD2891" s="37"/>
      <c r="SE2891" s="37"/>
      <c r="SF2891" s="37"/>
    </row>
    <row r="2892" spans="1:500">
      <c r="A2892" s="37"/>
      <c r="B2892" s="37"/>
      <c r="C2892" s="37"/>
      <c r="D2892" s="37"/>
      <c r="E2892" s="37"/>
      <c r="F2892" s="37"/>
      <c r="G2892" s="37"/>
      <c r="H2892" s="37"/>
      <c r="I2892" s="37"/>
      <c r="J2892" s="37"/>
      <c r="K2892" s="37"/>
      <c r="L2892" s="37"/>
      <c r="M2892" s="37"/>
      <c r="N2892" s="37"/>
      <c r="O2892" s="37"/>
      <c r="P2892" s="37"/>
      <c r="Q2892" s="37"/>
      <c r="R2892" s="37"/>
      <c r="S2892" s="37"/>
      <c r="T2892" s="37"/>
      <c r="U2892" s="37"/>
      <c r="V2892" s="37"/>
      <c r="W2892" s="37"/>
      <c r="X2892" s="37"/>
      <c r="Y2892" s="37"/>
      <c r="Z2892" s="37"/>
      <c r="AA2892" s="37"/>
      <c r="AB2892" s="37"/>
      <c r="AC2892" s="37"/>
      <c r="AD2892" s="37"/>
      <c r="AE2892" s="37"/>
      <c r="AF2892" s="37"/>
      <c r="AG2892" s="37"/>
      <c r="AH2892" s="37"/>
      <c r="AI2892" s="37"/>
      <c r="AJ2892" s="37"/>
      <c r="AK2892" s="37"/>
      <c r="AL2892" s="37"/>
      <c r="AM2892" s="37"/>
      <c r="AN2892" s="37"/>
      <c r="AO2892" s="37"/>
      <c r="AP2892" s="37"/>
      <c r="AQ2892" s="37"/>
      <c r="AR2892" s="37"/>
      <c r="AS2892" s="37"/>
      <c r="AT2892" s="37"/>
      <c r="AU2892" s="37"/>
      <c r="AV2892" s="37"/>
      <c r="AW2892" s="37"/>
      <c r="AX2892" s="37"/>
      <c r="AY2892" s="37"/>
      <c r="AZ2892" s="37"/>
      <c r="BA2892" s="37"/>
      <c r="BB2892" s="37"/>
      <c r="BC2892" s="37"/>
      <c r="BD2892" s="37"/>
      <c r="BE2892" s="37"/>
      <c r="BF2892" s="37"/>
      <c r="BG2892" s="37"/>
      <c r="BH2892" s="37"/>
      <c r="BI2892" s="37"/>
      <c r="BJ2892" s="37"/>
      <c r="BK2892" s="37"/>
      <c r="BL2892" s="37"/>
      <c r="BM2892" s="37"/>
      <c r="BN2892" s="37"/>
      <c r="BO2892" s="37"/>
      <c r="BP2892" s="37"/>
      <c r="BQ2892" s="37"/>
      <c r="BR2892" s="37"/>
      <c r="BS2892" s="37"/>
      <c r="BT2892" s="37"/>
      <c r="BU2892" s="37"/>
      <c r="BV2892" s="37"/>
      <c r="BW2892" s="37"/>
      <c r="BX2892" s="37"/>
      <c r="BY2892" s="37"/>
      <c r="BZ2892" s="37"/>
      <c r="CA2892" s="37"/>
      <c r="CB2892" s="37"/>
      <c r="CC2892" s="37"/>
      <c r="CD2892" s="37"/>
      <c r="CE2892" s="37"/>
      <c r="CF2892" s="37"/>
      <c r="CG2892" s="37"/>
      <c r="CH2892" s="37"/>
      <c r="CI2892" s="37"/>
      <c r="CJ2892" s="37"/>
      <c r="CK2892" s="37"/>
      <c r="CL2892" s="37"/>
      <c r="CM2892" s="37"/>
      <c r="CN2892" s="37"/>
      <c r="CO2892" s="37"/>
      <c r="CP2892" s="37"/>
      <c r="CQ2892" s="37"/>
      <c r="CR2892" s="37"/>
      <c r="CS2892" s="37"/>
      <c r="CT2892" s="37"/>
      <c r="CU2892" s="37"/>
      <c r="CV2892" s="37"/>
      <c r="CW2892" s="37"/>
      <c r="CX2892" s="37"/>
      <c r="CY2892" s="37"/>
      <c r="CZ2892" s="37"/>
      <c r="DA2892" s="37"/>
      <c r="DB2892" s="37"/>
      <c r="DC2892" s="37"/>
      <c r="DD2892" s="37"/>
      <c r="DE2892" s="37"/>
      <c r="DF2892" s="37"/>
      <c r="DG2892" s="37"/>
      <c r="DH2892" s="37"/>
      <c r="DI2892" s="37"/>
      <c r="DJ2892" s="37"/>
      <c r="DK2892" s="37"/>
      <c r="DL2892" s="37"/>
      <c r="DM2892" s="37"/>
      <c r="DN2892" s="37"/>
      <c r="DO2892" s="37"/>
      <c r="DP2892" s="37"/>
      <c r="DQ2892" s="37"/>
      <c r="DR2892" s="37"/>
      <c r="DS2892" s="37"/>
      <c r="DT2892" s="37"/>
      <c r="DU2892" s="37"/>
      <c r="DV2892" s="37"/>
      <c r="DW2892" s="37"/>
      <c r="DX2892" s="37"/>
      <c r="DY2892" s="37"/>
      <c r="DZ2892" s="37"/>
      <c r="EA2892" s="37"/>
      <c r="EB2892" s="37"/>
      <c r="EC2892" s="37"/>
      <c r="ED2892" s="37"/>
      <c r="EE2892" s="37"/>
      <c r="EF2892" s="37"/>
      <c r="EG2892" s="37"/>
      <c r="EH2892" s="37"/>
      <c r="EI2892" s="37"/>
      <c r="EJ2892" s="37"/>
      <c r="EK2892" s="37"/>
      <c r="EL2892" s="37"/>
      <c r="EM2892" s="37"/>
      <c r="EN2892" s="37"/>
      <c r="EO2892" s="37"/>
      <c r="EP2892" s="37"/>
      <c r="EQ2892" s="37"/>
      <c r="ER2892" s="37"/>
      <c r="ES2892" s="37"/>
      <c r="ET2892" s="37"/>
      <c r="EU2892" s="37"/>
      <c r="EV2892" s="37"/>
      <c r="EW2892" s="37"/>
      <c r="EX2892" s="37"/>
      <c r="EY2892" s="37"/>
      <c r="EZ2892" s="37"/>
      <c r="FA2892" s="37"/>
      <c r="FB2892" s="37"/>
      <c r="FC2892" s="37"/>
      <c r="FD2892" s="37"/>
      <c r="FE2892" s="37"/>
      <c r="FF2892" s="37"/>
      <c r="FG2892" s="37"/>
      <c r="FH2892" s="37"/>
      <c r="FI2892" s="37"/>
      <c r="FJ2892" s="37"/>
      <c r="FK2892" s="37"/>
      <c r="FL2892" s="37"/>
      <c r="FM2892" s="37"/>
      <c r="FN2892" s="37"/>
      <c r="FO2892" s="37"/>
      <c r="FP2892" s="37"/>
      <c r="FQ2892" s="37"/>
      <c r="FR2892" s="37"/>
      <c r="FS2892" s="37"/>
      <c r="FT2892" s="37"/>
      <c r="FU2892" s="37"/>
      <c r="FV2892" s="37"/>
      <c r="FW2892" s="37"/>
      <c r="FX2892" s="37"/>
      <c r="FY2892" s="37"/>
      <c r="FZ2892" s="37"/>
      <c r="GA2892" s="37"/>
      <c r="GB2892" s="37"/>
      <c r="GC2892" s="37"/>
      <c r="GD2892" s="37"/>
      <c r="GE2892" s="37"/>
      <c r="GF2892" s="37"/>
      <c r="GG2892" s="37"/>
      <c r="GH2892" s="37"/>
      <c r="GI2892" s="37"/>
      <c r="GJ2892" s="37"/>
      <c r="GK2892" s="37"/>
      <c r="GL2892" s="37"/>
      <c r="GM2892" s="37"/>
      <c r="GN2892" s="37"/>
      <c r="GO2892" s="37"/>
      <c r="GP2892" s="37"/>
      <c r="GQ2892" s="37"/>
      <c r="GR2892" s="37"/>
      <c r="GS2892" s="37"/>
      <c r="GT2892" s="37"/>
      <c r="GU2892" s="37"/>
      <c r="GV2892" s="37"/>
      <c r="GW2892" s="37"/>
      <c r="GX2892" s="37"/>
      <c r="GY2892" s="37"/>
      <c r="GZ2892" s="37"/>
      <c r="HA2892" s="37"/>
      <c r="HB2892" s="37"/>
      <c r="HC2892" s="37"/>
      <c r="HD2892" s="37"/>
      <c r="HE2892" s="37"/>
      <c r="HF2892" s="37"/>
      <c r="HG2892" s="37"/>
      <c r="HH2892" s="37"/>
      <c r="HI2892" s="37"/>
      <c r="HJ2892" s="37"/>
      <c r="HK2892" s="37"/>
      <c r="HL2892" s="37"/>
      <c r="HM2892" s="37"/>
      <c r="HN2892" s="37"/>
      <c r="HO2892" s="37"/>
      <c r="HP2892" s="37"/>
      <c r="HQ2892" s="37"/>
      <c r="HR2892" s="37"/>
      <c r="HS2892" s="37"/>
      <c r="HT2892" s="37"/>
      <c r="HU2892" s="37"/>
      <c r="HV2892" s="37"/>
      <c r="HW2892" s="37"/>
      <c r="HX2892" s="37"/>
      <c r="HY2892" s="37"/>
      <c r="HZ2892" s="37"/>
      <c r="IA2892" s="37"/>
      <c r="IB2892" s="37"/>
      <c r="IC2892" s="37"/>
      <c r="ID2892" s="37"/>
      <c r="IE2892" s="37"/>
      <c r="IF2892" s="37"/>
      <c r="IG2892" s="37"/>
      <c r="IH2892" s="37"/>
      <c r="II2892" s="37"/>
      <c r="IJ2892" s="37"/>
      <c r="IK2892" s="37"/>
      <c r="IL2892" s="37"/>
      <c r="IM2892" s="37"/>
      <c r="IN2892" s="37"/>
      <c r="IO2892" s="37"/>
      <c r="IP2892" s="37"/>
      <c r="IQ2892" s="37"/>
      <c r="IR2892" s="37"/>
      <c r="IS2892" s="37"/>
      <c r="IT2892" s="37"/>
      <c r="IU2892" s="37"/>
      <c r="IV2892" s="37"/>
      <c r="IW2892" s="37"/>
      <c r="IX2892" s="37"/>
      <c r="IY2892" s="37"/>
      <c r="IZ2892" s="37"/>
      <c r="JA2892" s="37"/>
      <c r="JB2892" s="37"/>
      <c r="JC2892" s="37"/>
      <c r="JD2892" s="37"/>
      <c r="JE2892" s="37"/>
      <c r="JF2892" s="37"/>
      <c r="JG2892" s="37"/>
      <c r="JH2892" s="37"/>
      <c r="JI2892" s="37"/>
      <c r="JJ2892" s="37"/>
      <c r="JK2892" s="37"/>
      <c r="JL2892" s="37"/>
      <c r="JM2892" s="37"/>
      <c r="JN2892" s="37"/>
      <c r="JO2892" s="37"/>
      <c r="JP2892" s="37"/>
      <c r="JQ2892" s="37"/>
      <c r="JR2892" s="37"/>
      <c r="JS2892" s="37"/>
      <c r="JT2892" s="37"/>
      <c r="JU2892" s="37"/>
      <c r="JV2892" s="37"/>
      <c r="JW2892" s="37"/>
      <c r="JX2892" s="37"/>
      <c r="JY2892" s="37"/>
      <c r="JZ2892" s="37"/>
      <c r="KA2892" s="37"/>
      <c r="KB2892" s="37"/>
      <c r="KC2892" s="37"/>
      <c r="KD2892" s="37"/>
      <c r="KE2892" s="37"/>
      <c r="KF2892" s="37"/>
      <c r="KG2892" s="37"/>
      <c r="KH2892" s="37"/>
      <c r="KI2892" s="37"/>
      <c r="KJ2892" s="37"/>
      <c r="KK2892" s="37"/>
      <c r="KL2892" s="37"/>
      <c r="KM2892" s="37"/>
      <c r="KN2892" s="37"/>
      <c r="KO2892" s="37"/>
      <c r="KP2892" s="37"/>
      <c r="KQ2892" s="37"/>
      <c r="KR2892" s="37"/>
      <c r="KS2892" s="37"/>
      <c r="KT2892" s="37"/>
      <c r="KU2892" s="37"/>
      <c r="KV2892" s="37"/>
      <c r="KW2892" s="37"/>
      <c r="KX2892" s="37"/>
      <c r="KY2892" s="37"/>
      <c r="KZ2892" s="37"/>
      <c r="LA2892" s="37"/>
      <c r="LB2892" s="37"/>
      <c r="LC2892" s="37"/>
      <c r="LD2892" s="37"/>
      <c r="LE2892" s="37"/>
      <c r="LF2892" s="37"/>
      <c r="LG2892" s="37"/>
      <c r="LH2892" s="37"/>
      <c r="LI2892" s="37"/>
      <c r="LJ2892" s="37"/>
      <c r="LK2892" s="37"/>
      <c r="LL2892" s="37"/>
      <c r="LM2892" s="37"/>
      <c r="LN2892" s="37"/>
      <c r="LO2892" s="37"/>
      <c r="LP2892" s="37"/>
      <c r="LQ2892" s="37"/>
      <c r="LR2892" s="37"/>
      <c r="LS2892" s="37"/>
      <c r="LT2892" s="37"/>
      <c r="LU2892" s="37"/>
      <c r="LV2892" s="37"/>
      <c r="LW2892" s="37"/>
      <c r="LX2892" s="37"/>
      <c r="LY2892" s="37"/>
      <c r="LZ2892" s="37"/>
      <c r="MA2892" s="37"/>
      <c r="MB2892" s="37"/>
      <c r="MC2892" s="37"/>
      <c r="MD2892" s="37"/>
      <c r="ME2892" s="37"/>
      <c r="MF2892" s="37"/>
      <c r="MG2892" s="37"/>
      <c r="MH2892" s="37"/>
      <c r="MI2892" s="37"/>
      <c r="MJ2892" s="37"/>
      <c r="MK2892" s="37"/>
      <c r="ML2892" s="37"/>
      <c r="MM2892" s="37"/>
      <c r="MN2892" s="37"/>
      <c r="MO2892" s="37"/>
      <c r="MP2892" s="37"/>
      <c r="MQ2892" s="37"/>
      <c r="MR2892" s="37"/>
      <c r="MS2892" s="37"/>
      <c r="MT2892" s="37"/>
      <c r="MU2892" s="37"/>
      <c r="MV2892" s="37"/>
      <c r="MW2892" s="37"/>
      <c r="MX2892" s="37"/>
      <c r="MY2892" s="37"/>
      <c r="MZ2892" s="37"/>
      <c r="NA2892" s="37"/>
      <c r="NB2892" s="37"/>
      <c r="NC2892" s="37"/>
      <c r="ND2892" s="37"/>
      <c r="NE2892" s="37"/>
      <c r="NF2892" s="37"/>
      <c r="NG2892" s="37"/>
      <c r="NH2892" s="37"/>
      <c r="NI2892" s="37"/>
      <c r="NJ2892" s="37"/>
      <c r="NK2892" s="37"/>
      <c r="NL2892" s="37"/>
      <c r="NM2892" s="37"/>
      <c r="NN2892" s="37"/>
      <c r="NO2892" s="37"/>
      <c r="NP2892" s="37"/>
      <c r="NQ2892" s="37"/>
      <c r="NR2892" s="37"/>
      <c r="NS2892" s="37"/>
      <c r="NT2892" s="37"/>
      <c r="NU2892" s="37"/>
      <c r="NV2892" s="37"/>
      <c r="NW2892" s="37"/>
      <c r="NX2892" s="37"/>
      <c r="NY2892" s="37"/>
      <c r="NZ2892" s="37"/>
      <c r="OA2892" s="37"/>
      <c r="OB2892" s="37"/>
      <c r="OC2892" s="37"/>
      <c r="OD2892" s="37"/>
      <c r="OE2892" s="37"/>
      <c r="OF2892" s="37"/>
      <c r="OG2892" s="37"/>
      <c r="OH2892" s="37"/>
      <c r="OI2892" s="37"/>
      <c r="OJ2892" s="37"/>
      <c r="OK2892" s="37"/>
      <c r="OL2892" s="37"/>
      <c r="OM2892" s="37"/>
      <c r="ON2892" s="37"/>
      <c r="OO2892" s="37"/>
      <c r="OP2892" s="37"/>
      <c r="OQ2892" s="37"/>
      <c r="OR2892" s="37"/>
      <c r="OS2892" s="37"/>
      <c r="OT2892" s="37"/>
      <c r="OU2892" s="37"/>
      <c r="OV2892" s="37"/>
      <c r="OW2892" s="37"/>
      <c r="OX2892" s="37"/>
      <c r="OY2892" s="37"/>
      <c r="OZ2892" s="37"/>
      <c r="PA2892" s="37"/>
      <c r="PB2892" s="37"/>
      <c r="PC2892" s="37"/>
      <c r="PD2892" s="37"/>
      <c r="PE2892" s="37"/>
      <c r="PF2892" s="37"/>
      <c r="PG2892" s="37"/>
      <c r="PH2892" s="37"/>
      <c r="PI2892" s="37"/>
      <c r="PJ2892" s="37"/>
      <c r="PK2892" s="37"/>
      <c r="PL2892" s="37"/>
      <c r="PM2892" s="37"/>
      <c r="PN2892" s="37"/>
      <c r="PO2892" s="37"/>
      <c r="PP2892" s="37"/>
      <c r="PQ2892" s="37"/>
      <c r="PR2892" s="37"/>
      <c r="PS2892" s="37"/>
      <c r="PT2892" s="37"/>
      <c r="PU2892" s="37"/>
      <c r="PV2892" s="37"/>
      <c r="PW2892" s="37"/>
      <c r="PX2892" s="37"/>
      <c r="PY2892" s="37"/>
      <c r="PZ2892" s="37"/>
      <c r="QA2892" s="37"/>
      <c r="QB2892" s="37"/>
      <c r="QC2892" s="37"/>
      <c r="QD2892" s="37"/>
      <c r="QE2892" s="37"/>
      <c r="QF2892" s="37"/>
      <c r="QG2892" s="37"/>
      <c r="QH2892" s="37"/>
      <c r="QI2892" s="37"/>
      <c r="QJ2892" s="37"/>
      <c r="QK2892" s="37"/>
      <c r="QL2892" s="37"/>
      <c r="QM2892" s="37"/>
      <c r="QN2892" s="37"/>
      <c r="QO2892" s="37"/>
      <c r="QP2892" s="37"/>
      <c r="QQ2892" s="37"/>
      <c r="QR2892" s="37"/>
      <c r="QS2892" s="37"/>
      <c r="QT2892" s="37"/>
      <c r="QU2892" s="37"/>
      <c r="QV2892" s="37"/>
      <c r="QW2892" s="37"/>
      <c r="QX2892" s="37"/>
      <c r="QY2892" s="37"/>
      <c r="QZ2892" s="37"/>
      <c r="RA2892" s="37"/>
      <c r="RB2892" s="37"/>
      <c r="RC2892" s="37"/>
      <c r="RD2892" s="37"/>
      <c r="RE2892" s="37"/>
      <c r="RF2892" s="37"/>
      <c r="RG2892" s="37"/>
      <c r="RH2892" s="37"/>
      <c r="RI2892" s="37"/>
      <c r="RJ2892" s="37"/>
      <c r="RK2892" s="37"/>
      <c r="RL2892" s="37"/>
      <c r="RM2892" s="37"/>
      <c r="RN2892" s="37"/>
      <c r="RO2892" s="37"/>
      <c r="RP2892" s="37"/>
      <c r="RQ2892" s="37"/>
      <c r="RR2892" s="37"/>
      <c r="RS2892" s="37"/>
      <c r="RT2892" s="37"/>
      <c r="RU2892" s="37"/>
      <c r="RV2892" s="37"/>
      <c r="RW2892" s="37"/>
      <c r="RX2892" s="37"/>
      <c r="RY2892" s="37"/>
      <c r="RZ2892" s="37"/>
      <c r="SA2892" s="37"/>
      <c r="SB2892" s="37"/>
      <c r="SC2892" s="37"/>
      <c r="SD2892" s="37"/>
      <c r="SE2892" s="37"/>
      <c r="SF2892" s="37"/>
    </row>
    <row r="2893" spans="1:500">
      <c r="A2893" s="37"/>
      <c r="B2893" s="37"/>
      <c r="C2893" s="37"/>
      <c r="D2893" s="37"/>
      <c r="E2893" s="37"/>
      <c r="F2893" s="37"/>
      <c r="G2893" s="37"/>
      <c r="H2893" s="37"/>
      <c r="I2893" s="37"/>
      <c r="J2893" s="37"/>
      <c r="K2893" s="37"/>
      <c r="L2893" s="37"/>
      <c r="M2893" s="37"/>
      <c r="N2893" s="37"/>
      <c r="O2893" s="37"/>
      <c r="P2893" s="37"/>
      <c r="Q2893" s="37"/>
      <c r="R2893" s="37"/>
      <c r="S2893" s="37"/>
      <c r="T2893" s="37"/>
      <c r="U2893" s="37"/>
      <c r="V2893" s="37"/>
      <c r="W2893" s="37"/>
      <c r="X2893" s="37"/>
      <c r="Y2893" s="37"/>
      <c r="Z2893" s="37"/>
      <c r="AA2893" s="37"/>
      <c r="AB2893" s="37"/>
      <c r="AC2893" s="37"/>
      <c r="AD2893" s="37"/>
      <c r="AE2893" s="37"/>
      <c r="AF2893" s="37"/>
      <c r="AG2893" s="37"/>
      <c r="AH2893" s="37"/>
      <c r="AI2893" s="37"/>
      <c r="AJ2893" s="37"/>
      <c r="AK2893" s="37"/>
      <c r="AL2893" s="37"/>
      <c r="AM2893" s="37"/>
      <c r="AN2893" s="37"/>
      <c r="AO2893" s="37"/>
      <c r="AP2893" s="37"/>
      <c r="AQ2893" s="37"/>
      <c r="AR2893" s="37"/>
      <c r="AS2893" s="37"/>
      <c r="AT2893" s="37"/>
      <c r="AU2893" s="37"/>
      <c r="AV2893" s="37"/>
      <c r="AW2893" s="37"/>
      <c r="AX2893" s="37"/>
      <c r="AY2893" s="37"/>
      <c r="AZ2893" s="37"/>
      <c r="BA2893" s="37"/>
      <c r="BB2893" s="37"/>
      <c r="BC2893" s="37"/>
      <c r="BD2893" s="37"/>
      <c r="BE2893" s="37"/>
      <c r="BF2893" s="37"/>
      <c r="BG2893" s="37"/>
      <c r="BH2893" s="37"/>
      <c r="BI2893" s="37"/>
      <c r="BJ2893" s="37"/>
      <c r="BK2893" s="37"/>
      <c r="BL2893" s="37"/>
      <c r="BM2893" s="37"/>
      <c r="BN2893" s="37"/>
      <c r="BO2893" s="37"/>
      <c r="BP2893" s="37"/>
      <c r="BQ2893" s="37"/>
      <c r="BR2893" s="37"/>
      <c r="BS2893" s="37"/>
      <c r="BT2893" s="37"/>
      <c r="BU2893" s="37"/>
      <c r="BV2893" s="37"/>
      <c r="BW2893" s="37"/>
      <c r="BX2893" s="37"/>
      <c r="BY2893" s="37"/>
      <c r="BZ2893" s="37"/>
      <c r="CA2893" s="37"/>
      <c r="CB2893" s="37"/>
      <c r="CC2893" s="37"/>
      <c r="CD2893" s="37"/>
      <c r="CE2893" s="37"/>
      <c r="CF2893" s="37"/>
      <c r="CG2893" s="37"/>
      <c r="CH2893" s="37"/>
      <c r="CI2893" s="37"/>
      <c r="CJ2893" s="37"/>
      <c r="CK2893" s="37"/>
      <c r="CL2893" s="37"/>
      <c r="CM2893" s="37"/>
      <c r="CN2893" s="37"/>
      <c r="CO2893" s="37"/>
      <c r="CP2893" s="37"/>
      <c r="CQ2893" s="37"/>
      <c r="CR2893" s="37"/>
      <c r="CS2893" s="37"/>
      <c r="CT2893" s="37"/>
      <c r="CU2893" s="37"/>
      <c r="CV2893" s="37"/>
      <c r="CW2893" s="37"/>
      <c r="CX2893" s="37"/>
      <c r="CY2893" s="37"/>
      <c r="CZ2893" s="37"/>
      <c r="DA2893" s="37"/>
      <c r="DB2893" s="37"/>
      <c r="DC2893" s="37"/>
      <c r="DD2893" s="37"/>
      <c r="DE2893" s="37"/>
      <c r="DF2893" s="37"/>
      <c r="DG2893" s="37"/>
      <c r="DH2893" s="37"/>
      <c r="DI2893" s="37"/>
      <c r="DJ2893" s="37"/>
      <c r="DK2893" s="37"/>
      <c r="DL2893" s="37"/>
      <c r="DM2893" s="37"/>
      <c r="DN2893" s="37"/>
      <c r="DO2893" s="37"/>
      <c r="DP2893" s="37"/>
      <c r="DQ2893" s="37"/>
      <c r="DR2893" s="37"/>
      <c r="DS2893" s="37"/>
      <c r="DT2893" s="37"/>
      <c r="DU2893" s="37"/>
      <c r="DV2893" s="37"/>
      <c r="DW2893" s="37"/>
      <c r="DX2893" s="37"/>
      <c r="DY2893" s="37"/>
      <c r="DZ2893" s="37"/>
      <c r="EA2893" s="37"/>
      <c r="EB2893" s="37"/>
      <c r="EC2893" s="37"/>
      <c r="ED2893" s="37"/>
      <c r="EE2893" s="37"/>
      <c r="EF2893" s="37"/>
      <c r="EG2893" s="37"/>
      <c r="EH2893" s="37"/>
      <c r="EI2893" s="37"/>
      <c r="EJ2893" s="37"/>
      <c r="EK2893" s="37"/>
      <c r="EL2893" s="37"/>
      <c r="EM2893" s="37"/>
      <c r="EN2893" s="37"/>
      <c r="EO2893" s="37"/>
      <c r="EP2893" s="37"/>
      <c r="EQ2893" s="37"/>
      <c r="ER2893" s="37"/>
      <c r="ES2893" s="37"/>
      <c r="ET2893" s="37"/>
      <c r="EU2893" s="37"/>
      <c r="EV2893" s="37"/>
      <c r="EW2893" s="37"/>
      <c r="EX2893" s="37"/>
      <c r="EY2893" s="37"/>
      <c r="EZ2893" s="37"/>
      <c r="FA2893" s="37"/>
      <c r="FB2893" s="37"/>
      <c r="FC2893" s="37"/>
      <c r="FD2893" s="37"/>
      <c r="FE2893" s="37"/>
      <c r="FF2893" s="37"/>
      <c r="FG2893" s="37"/>
      <c r="FH2893" s="37"/>
      <c r="FI2893" s="37"/>
      <c r="FJ2893" s="37"/>
      <c r="FK2893" s="37"/>
      <c r="FL2893" s="37"/>
      <c r="FM2893" s="37"/>
      <c r="FN2893" s="37"/>
      <c r="FO2893" s="37"/>
      <c r="FP2893" s="37"/>
      <c r="FQ2893" s="37"/>
      <c r="FR2893" s="37"/>
      <c r="FS2893" s="37"/>
      <c r="FT2893" s="37"/>
      <c r="FU2893" s="37"/>
      <c r="FV2893" s="37"/>
      <c r="FW2893" s="37"/>
      <c r="FX2893" s="37"/>
      <c r="FY2893" s="37"/>
      <c r="FZ2893" s="37"/>
      <c r="GA2893" s="37"/>
      <c r="GB2893" s="37"/>
      <c r="GC2893" s="37"/>
      <c r="GD2893" s="37"/>
      <c r="GE2893" s="37"/>
      <c r="GF2893" s="37"/>
      <c r="GG2893" s="37"/>
      <c r="GH2893" s="37"/>
      <c r="GI2893" s="37"/>
      <c r="GJ2893" s="37"/>
      <c r="GK2893" s="37"/>
      <c r="GL2893" s="37"/>
      <c r="GM2893" s="37"/>
      <c r="GN2893" s="37"/>
      <c r="GO2893" s="37"/>
      <c r="GP2893" s="37"/>
      <c r="GQ2893" s="37"/>
      <c r="GR2893" s="37"/>
      <c r="GS2893" s="37"/>
      <c r="GT2893" s="37"/>
      <c r="GU2893" s="37"/>
      <c r="GV2893" s="37"/>
      <c r="GW2893" s="37"/>
      <c r="GX2893" s="37"/>
      <c r="GY2893" s="37"/>
      <c r="GZ2893" s="37"/>
      <c r="HA2893" s="37"/>
      <c r="HB2893" s="37"/>
      <c r="HC2893" s="37"/>
      <c r="HD2893" s="37"/>
      <c r="HE2893" s="37"/>
      <c r="HF2893" s="37"/>
      <c r="HG2893" s="37"/>
      <c r="HH2893" s="37"/>
      <c r="HI2893" s="37"/>
      <c r="HJ2893" s="37"/>
      <c r="HK2893" s="37"/>
      <c r="HL2893" s="37"/>
      <c r="HM2893" s="37"/>
      <c r="HN2893" s="37"/>
      <c r="HO2893" s="37"/>
      <c r="HP2893" s="37"/>
      <c r="HQ2893" s="37"/>
      <c r="HR2893" s="37"/>
      <c r="HS2893" s="37"/>
      <c r="HT2893" s="37"/>
      <c r="HU2893" s="37"/>
      <c r="HV2893" s="37"/>
      <c r="HW2893" s="37"/>
      <c r="HX2893" s="37"/>
      <c r="HY2893" s="37"/>
      <c r="HZ2893" s="37"/>
      <c r="IA2893" s="37"/>
      <c r="IB2893" s="37"/>
      <c r="IC2893" s="37"/>
      <c r="ID2893" s="37"/>
      <c r="IE2893" s="37"/>
      <c r="IF2893" s="37"/>
      <c r="IG2893" s="37"/>
      <c r="IH2893" s="37"/>
      <c r="II2893" s="37"/>
      <c r="IJ2893" s="37"/>
      <c r="IK2893" s="37"/>
      <c r="IL2893" s="37"/>
      <c r="IM2893" s="37"/>
      <c r="IN2893" s="37"/>
      <c r="IO2893" s="37"/>
      <c r="IP2893" s="37"/>
      <c r="IQ2893" s="37"/>
      <c r="IR2893" s="37"/>
      <c r="IS2893" s="37"/>
      <c r="IT2893" s="37"/>
      <c r="IU2893" s="37"/>
      <c r="IV2893" s="37"/>
      <c r="IW2893" s="37"/>
      <c r="IX2893" s="37"/>
      <c r="IY2893" s="37"/>
      <c r="IZ2893" s="37"/>
      <c r="JA2893" s="37"/>
      <c r="JB2893" s="37"/>
      <c r="JC2893" s="37"/>
      <c r="JD2893" s="37"/>
      <c r="JE2893" s="37"/>
      <c r="JF2893" s="37"/>
      <c r="JG2893" s="37"/>
      <c r="JH2893" s="37"/>
      <c r="JI2893" s="37"/>
      <c r="JJ2893" s="37"/>
      <c r="JK2893" s="37"/>
      <c r="JL2893" s="37"/>
      <c r="JM2893" s="37"/>
      <c r="JN2893" s="37"/>
      <c r="JO2893" s="37"/>
      <c r="JP2893" s="37"/>
      <c r="JQ2893" s="37"/>
      <c r="JR2893" s="37"/>
      <c r="JS2893" s="37"/>
      <c r="JT2893" s="37"/>
      <c r="JU2893" s="37"/>
      <c r="JV2893" s="37"/>
      <c r="JW2893" s="37"/>
      <c r="JX2893" s="37"/>
      <c r="JY2893" s="37"/>
      <c r="JZ2893" s="37"/>
      <c r="KA2893" s="37"/>
      <c r="KB2893" s="37"/>
      <c r="KC2893" s="37"/>
      <c r="KD2893" s="37"/>
      <c r="KE2893" s="37"/>
      <c r="KF2893" s="37"/>
      <c r="KG2893" s="37"/>
      <c r="KH2893" s="37"/>
      <c r="KI2893" s="37"/>
      <c r="KJ2893" s="37"/>
      <c r="KK2893" s="37"/>
      <c r="KL2893" s="37"/>
      <c r="KM2893" s="37"/>
      <c r="KN2893" s="37"/>
      <c r="KO2893" s="37"/>
      <c r="KP2893" s="37"/>
      <c r="KQ2893" s="37"/>
      <c r="KR2893" s="37"/>
      <c r="KS2893" s="37"/>
      <c r="KT2893" s="37"/>
      <c r="KU2893" s="37"/>
      <c r="KV2893" s="37"/>
      <c r="KW2893" s="37"/>
      <c r="KX2893" s="37"/>
      <c r="KY2893" s="37"/>
      <c r="KZ2893" s="37"/>
      <c r="LA2893" s="37"/>
      <c r="LB2893" s="37"/>
      <c r="LC2893" s="37"/>
      <c r="LD2893" s="37"/>
      <c r="LE2893" s="37"/>
      <c r="LF2893" s="37"/>
      <c r="LG2893" s="37"/>
      <c r="LH2893" s="37"/>
      <c r="LI2893" s="37"/>
      <c r="LJ2893" s="37"/>
      <c r="LK2893" s="37"/>
      <c r="LL2893" s="37"/>
      <c r="LM2893" s="37"/>
      <c r="LN2893" s="37"/>
      <c r="LO2893" s="37"/>
      <c r="LP2893" s="37"/>
      <c r="LQ2893" s="37"/>
      <c r="LR2893" s="37"/>
      <c r="LS2893" s="37"/>
      <c r="LT2893" s="37"/>
      <c r="LU2893" s="37"/>
      <c r="LV2893" s="37"/>
      <c r="LW2893" s="37"/>
      <c r="LX2893" s="37"/>
      <c r="LY2893" s="37"/>
      <c r="LZ2893" s="37"/>
      <c r="MA2893" s="37"/>
      <c r="MB2893" s="37"/>
      <c r="MC2893" s="37"/>
      <c r="MD2893" s="37"/>
      <c r="ME2893" s="37"/>
      <c r="MF2893" s="37"/>
      <c r="MG2893" s="37"/>
      <c r="MH2893" s="37"/>
      <c r="MI2893" s="37"/>
      <c r="MJ2893" s="37"/>
      <c r="MK2893" s="37"/>
      <c r="ML2893" s="37"/>
      <c r="MM2893" s="37"/>
      <c r="MN2893" s="37"/>
      <c r="MO2893" s="37"/>
      <c r="MP2893" s="37"/>
      <c r="MQ2893" s="37"/>
      <c r="MR2893" s="37"/>
      <c r="MS2893" s="37"/>
      <c r="MT2893" s="37"/>
      <c r="MU2893" s="37"/>
      <c r="MV2893" s="37"/>
      <c r="MW2893" s="37"/>
      <c r="MX2893" s="37"/>
      <c r="MY2893" s="37"/>
      <c r="MZ2893" s="37"/>
      <c r="NA2893" s="37"/>
      <c r="NB2893" s="37"/>
      <c r="NC2893" s="37"/>
      <c r="ND2893" s="37"/>
      <c r="NE2893" s="37"/>
      <c r="NF2893" s="37"/>
      <c r="NG2893" s="37"/>
      <c r="NH2893" s="37"/>
      <c r="NI2893" s="37"/>
      <c r="NJ2893" s="37"/>
      <c r="NK2893" s="37"/>
      <c r="NL2893" s="37"/>
      <c r="NM2893" s="37"/>
      <c r="NN2893" s="37"/>
      <c r="NO2893" s="37"/>
      <c r="NP2893" s="37"/>
      <c r="NQ2893" s="37"/>
      <c r="NR2893" s="37"/>
      <c r="NS2893" s="37"/>
      <c r="NT2893" s="37"/>
      <c r="NU2893" s="37"/>
      <c r="NV2893" s="37"/>
      <c r="NW2893" s="37"/>
      <c r="NX2893" s="37"/>
      <c r="NY2893" s="37"/>
      <c r="NZ2893" s="37"/>
      <c r="OA2893" s="37"/>
      <c r="OB2893" s="37"/>
      <c r="OC2893" s="37"/>
      <c r="OD2893" s="37"/>
      <c r="OE2893" s="37"/>
      <c r="OF2893" s="37"/>
      <c r="OG2893" s="37"/>
      <c r="OH2893" s="37"/>
      <c r="OI2893" s="37"/>
      <c r="OJ2893" s="37"/>
      <c r="OK2893" s="37"/>
      <c r="OL2893" s="37"/>
      <c r="OM2893" s="37"/>
      <c r="ON2893" s="37"/>
      <c r="OO2893" s="37"/>
      <c r="OP2893" s="37"/>
      <c r="OQ2893" s="37"/>
      <c r="OR2893" s="37"/>
      <c r="OS2893" s="37"/>
      <c r="OT2893" s="37"/>
      <c r="OU2893" s="37"/>
      <c r="OV2893" s="37"/>
      <c r="OW2893" s="37"/>
      <c r="OX2893" s="37"/>
      <c r="OY2893" s="37"/>
      <c r="OZ2893" s="37"/>
      <c r="PA2893" s="37"/>
      <c r="PB2893" s="37"/>
      <c r="PC2893" s="37"/>
      <c r="PD2893" s="37"/>
      <c r="PE2893" s="37"/>
      <c r="PF2893" s="37"/>
      <c r="PG2893" s="37"/>
      <c r="PH2893" s="37"/>
      <c r="PI2893" s="37"/>
      <c r="PJ2893" s="37"/>
      <c r="PK2893" s="37"/>
      <c r="PL2893" s="37"/>
      <c r="PM2893" s="37"/>
      <c r="PN2893" s="37"/>
      <c r="PO2893" s="37"/>
      <c r="PP2893" s="37"/>
      <c r="PQ2893" s="37"/>
      <c r="PR2893" s="37"/>
      <c r="PS2893" s="37"/>
      <c r="PT2893" s="37"/>
      <c r="PU2893" s="37"/>
      <c r="PV2893" s="37"/>
      <c r="PW2893" s="37"/>
      <c r="PX2893" s="37"/>
      <c r="PY2893" s="37"/>
      <c r="PZ2893" s="37"/>
      <c r="QA2893" s="37"/>
      <c r="QB2893" s="37"/>
      <c r="QC2893" s="37"/>
      <c r="QD2893" s="37"/>
      <c r="QE2893" s="37"/>
      <c r="QF2893" s="37"/>
      <c r="QG2893" s="37"/>
      <c r="QH2893" s="37"/>
      <c r="QI2893" s="37"/>
      <c r="QJ2893" s="37"/>
      <c r="QK2893" s="37"/>
      <c r="QL2893" s="37"/>
      <c r="QM2893" s="37"/>
      <c r="QN2893" s="37"/>
      <c r="QO2893" s="37"/>
      <c r="QP2893" s="37"/>
      <c r="QQ2893" s="37"/>
      <c r="QR2893" s="37"/>
      <c r="QS2893" s="37"/>
      <c r="QT2893" s="37"/>
      <c r="QU2893" s="37"/>
      <c r="QV2893" s="37"/>
      <c r="QW2893" s="37"/>
      <c r="QX2893" s="37"/>
      <c r="QY2893" s="37"/>
      <c r="QZ2893" s="37"/>
      <c r="RA2893" s="37"/>
      <c r="RB2893" s="37"/>
      <c r="RC2893" s="37"/>
      <c r="RD2893" s="37"/>
      <c r="RE2893" s="37"/>
      <c r="RF2893" s="37"/>
      <c r="RG2893" s="37"/>
      <c r="RH2893" s="37"/>
      <c r="RI2893" s="37"/>
      <c r="RJ2893" s="37"/>
      <c r="RK2893" s="37"/>
      <c r="RL2893" s="37"/>
      <c r="RM2893" s="37"/>
      <c r="RN2893" s="37"/>
      <c r="RO2893" s="37"/>
      <c r="RP2893" s="37"/>
      <c r="RQ2893" s="37"/>
      <c r="RR2893" s="37"/>
      <c r="RS2893" s="37"/>
      <c r="RT2893" s="37"/>
      <c r="RU2893" s="37"/>
      <c r="RV2893" s="37"/>
      <c r="RW2893" s="37"/>
      <c r="RX2893" s="37"/>
      <c r="RY2893" s="37"/>
      <c r="RZ2893" s="37"/>
      <c r="SA2893" s="37"/>
      <c r="SB2893" s="37"/>
      <c r="SC2893" s="37"/>
      <c r="SD2893" s="37"/>
      <c r="SE2893" s="37"/>
      <c r="SF2893" s="37"/>
    </row>
    <row r="2894" spans="1:500">
      <c r="A2894" s="37"/>
      <c r="B2894" s="37"/>
      <c r="C2894" s="37"/>
      <c r="D2894" s="37"/>
      <c r="E2894" s="37"/>
      <c r="F2894" s="37"/>
      <c r="G2894" s="37"/>
      <c r="H2894" s="37"/>
      <c r="I2894" s="37"/>
      <c r="J2894" s="37"/>
      <c r="K2894" s="37"/>
      <c r="L2894" s="37"/>
      <c r="M2894" s="37"/>
      <c r="N2894" s="37"/>
      <c r="O2894" s="37"/>
      <c r="P2894" s="37"/>
      <c r="Q2894" s="37"/>
      <c r="R2894" s="37"/>
      <c r="S2894" s="37"/>
      <c r="T2894" s="37"/>
      <c r="U2894" s="37"/>
      <c r="V2894" s="37"/>
      <c r="W2894" s="37"/>
      <c r="X2894" s="37"/>
      <c r="Y2894" s="37"/>
      <c r="Z2894" s="37"/>
      <c r="AA2894" s="37"/>
      <c r="AB2894" s="37"/>
      <c r="AC2894" s="37"/>
      <c r="AD2894" s="37"/>
      <c r="AE2894" s="37"/>
      <c r="AF2894" s="37"/>
      <c r="AG2894" s="37"/>
      <c r="AH2894" s="37"/>
      <c r="AI2894" s="37"/>
      <c r="AJ2894" s="37"/>
      <c r="AK2894" s="37"/>
      <c r="AL2894" s="37"/>
      <c r="AM2894" s="37"/>
      <c r="AN2894" s="37"/>
      <c r="AO2894" s="37"/>
      <c r="AP2894" s="37"/>
      <c r="AQ2894" s="37"/>
      <c r="AR2894" s="37"/>
      <c r="AS2894" s="37"/>
      <c r="AT2894" s="37"/>
      <c r="AU2894" s="37"/>
      <c r="AV2894" s="37"/>
      <c r="AW2894" s="37"/>
      <c r="AX2894" s="37"/>
      <c r="AY2894" s="37"/>
      <c r="AZ2894" s="37"/>
      <c r="BA2894" s="37"/>
      <c r="BB2894" s="37"/>
      <c r="BC2894" s="37"/>
      <c r="BD2894" s="37"/>
      <c r="BE2894" s="37"/>
      <c r="BF2894" s="37"/>
      <c r="BG2894" s="37"/>
      <c r="BH2894" s="37"/>
      <c r="BI2894" s="37"/>
      <c r="BJ2894" s="37"/>
      <c r="BK2894" s="37"/>
      <c r="BL2894" s="37"/>
      <c r="BM2894" s="37"/>
      <c r="BN2894" s="37"/>
      <c r="BO2894" s="37"/>
      <c r="BP2894" s="37"/>
      <c r="BQ2894" s="37"/>
      <c r="BR2894" s="37"/>
      <c r="BS2894" s="37"/>
      <c r="BT2894" s="37"/>
      <c r="BU2894" s="37"/>
      <c r="BV2894" s="37"/>
      <c r="BW2894" s="37"/>
      <c r="BX2894" s="37"/>
      <c r="BY2894" s="37"/>
      <c r="BZ2894" s="37"/>
      <c r="CA2894" s="37"/>
      <c r="CB2894" s="37"/>
      <c r="CC2894" s="37"/>
      <c r="CD2894" s="37"/>
      <c r="CE2894" s="37"/>
      <c r="CF2894" s="37"/>
      <c r="CG2894" s="37"/>
      <c r="CH2894" s="37"/>
      <c r="CI2894" s="37"/>
      <c r="CJ2894" s="37"/>
      <c r="CK2894" s="37"/>
      <c r="CL2894" s="37"/>
      <c r="CM2894" s="37"/>
      <c r="CN2894" s="37"/>
      <c r="CO2894" s="37"/>
      <c r="CP2894" s="37"/>
      <c r="CQ2894" s="37"/>
      <c r="CR2894" s="37"/>
      <c r="CS2894" s="37"/>
      <c r="CT2894" s="37"/>
      <c r="CU2894" s="37"/>
      <c r="CV2894" s="37"/>
      <c r="CW2894" s="37"/>
      <c r="CX2894" s="37"/>
      <c r="CY2894" s="37"/>
      <c r="CZ2894" s="37"/>
      <c r="DA2894" s="37"/>
      <c r="DB2894" s="37"/>
      <c r="DC2894" s="37"/>
      <c r="DD2894" s="37"/>
      <c r="DE2894" s="37"/>
      <c r="DF2894" s="37"/>
      <c r="DG2894" s="37"/>
      <c r="DH2894" s="37"/>
      <c r="DI2894" s="37"/>
      <c r="DJ2894" s="37"/>
      <c r="DK2894" s="37"/>
      <c r="DL2894" s="37"/>
      <c r="DM2894" s="37"/>
      <c r="DN2894" s="37"/>
      <c r="DO2894" s="37"/>
      <c r="DP2894" s="37"/>
      <c r="DQ2894" s="37"/>
      <c r="DR2894" s="37"/>
      <c r="DS2894" s="37"/>
      <c r="DT2894" s="37"/>
      <c r="DU2894" s="37"/>
      <c r="DV2894" s="37"/>
      <c r="DW2894" s="37"/>
      <c r="DX2894" s="37"/>
      <c r="DY2894" s="37"/>
      <c r="DZ2894" s="37"/>
      <c r="EA2894" s="37"/>
      <c r="EB2894" s="37"/>
      <c r="EC2894" s="37"/>
      <c r="ED2894" s="37"/>
      <c r="EE2894" s="37"/>
      <c r="EF2894" s="37"/>
      <c r="EG2894" s="37"/>
      <c r="EH2894" s="37"/>
      <c r="EI2894" s="37"/>
      <c r="EJ2894" s="37"/>
      <c r="EK2894" s="37"/>
      <c r="EL2894" s="37"/>
      <c r="EM2894" s="37"/>
      <c r="EN2894" s="37"/>
      <c r="EO2894" s="37"/>
      <c r="EP2894" s="37"/>
      <c r="EQ2894" s="37"/>
      <c r="ER2894" s="37"/>
      <c r="ES2894" s="37"/>
      <c r="ET2894" s="37"/>
      <c r="EU2894" s="37"/>
      <c r="EV2894" s="37"/>
      <c r="EW2894" s="37"/>
      <c r="EX2894" s="37"/>
      <c r="EY2894" s="37"/>
      <c r="EZ2894" s="37"/>
      <c r="FA2894" s="37"/>
      <c r="FB2894" s="37"/>
      <c r="FC2894" s="37"/>
      <c r="FD2894" s="37"/>
      <c r="FE2894" s="37"/>
      <c r="FF2894" s="37"/>
      <c r="FG2894" s="37"/>
      <c r="FH2894" s="37"/>
      <c r="FI2894" s="37"/>
      <c r="FJ2894" s="37"/>
      <c r="FK2894" s="37"/>
      <c r="FL2894" s="37"/>
      <c r="FM2894" s="37"/>
      <c r="FN2894" s="37"/>
      <c r="FO2894" s="37"/>
      <c r="FP2894" s="37"/>
      <c r="FQ2894" s="37"/>
      <c r="FR2894" s="37"/>
      <c r="FS2894" s="37"/>
      <c r="FT2894" s="37"/>
      <c r="FU2894" s="37"/>
      <c r="FV2894" s="37"/>
      <c r="FW2894" s="37"/>
      <c r="FX2894" s="37"/>
      <c r="FY2894" s="37"/>
      <c r="FZ2894" s="37"/>
      <c r="GA2894" s="37"/>
      <c r="GB2894" s="37"/>
      <c r="GC2894" s="37"/>
      <c r="GD2894" s="37"/>
      <c r="GE2894" s="37"/>
      <c r="GF2894" s="37"/>
      <c r="GG2894" s="37"/>
      <c r="GH2894" s="37"/>
      <c r="GI2894" s="37"/>
      <c r="GJ2894" s="37"/>
      <c r="GK2894" s="37"/>
      <c r="GL2894" s="37"/>
      <c r="GM2894" s="37"/>
      <c r="GN2894" s="37"/>
      <c r="GO2894" s="37"/>
      <c r="GP2894" s="37"/>
      <c r="GQ2894" s="37"/>
      <c r="GR2894" s="37"/>
      <c r="GS2894" s="37"/>
      <c r="GT2894" s="37"/>
      <c r="GU2894" s="37"/>
      <c r="GV2894" s="37"/>
      <c r="GW2894" s="37"/>
      <c r="GX2894" s="37"/>
      <c r="GY2894" s="37"/>
      <c r="GZ2894" s="37"/>
      <c r="HA2894" s="37"/>
      <c r="HB2894" s="37"/>
      <c r="HC2894" s="37"/>
      <c r="HD2894" s="37"/>
      <c r="HE2894" s="37"/>
      <c r="HF2894" s="37"/>
      <c r="HG2894" s="37"/>
      <c r="HH2894" s="37"/>
      <c r="HI2894" s="37"/>
      <c r="HJ2894" s="37"/>
      <c r="HK2894" s="37"/>
      <c r="HL2894" s="37"/>
      <c r="HM2894" s="37"/>
      <c r="HN2894" s="37"/>
      <c r="HO2894" s="37"/>
      <c r="HP2894" s="37"/>
      <c r="HQ2894" s="37"/>
      <c r="HR2894" s="37"/>
      <c r="HS2894" s="37"/>
      <c r="HT2894" s="37"/>
      <c r="HU2894" s="37"/>
      <c r="HV2894" s="37"/>
      <c r="HW2894" s="37"/>
      <c r="HX2894" s="37"/>
      <c r="HY2894" s="37"/>
      <c r="HZ2894" s="37"/>
      <c r="IA2894" s="37"/>
      <c r="IB2894" s="37"/>
      <c r="IC2894" s="37"/>
      <c r="ID2894" s="37"/>
      <c r="IE2894" s="37"/>
      <c r="IF2894" s="37"/>
      <c r="IG2894" s="37"/>
      <c r="IH2894" s="37"/>
      <c r="II2894" s="37"/>
      <c r="IJ2894" s="37"/>
      <c r="IK2894" s="37"/>
      <c r="IL2894" s="37"/>
      <c r="IM2894" s="37"/>
      <c r="IN2894" s="37"/>
      <c r="IO2894" s="37"/>
      <c r="IP2894" s="37"/>
      <c r="IQ2894" s="37"/>
      <c r="IR2894" s="37"/>
      <c r="IS2894" s="37"/>
      <c r="IT2894" s="37"/>
      <c r="IU2894" s="37"/>
      <c r="IV2894" s="37"/>
      <c r="IW2894" s="37"/>
      <c r="IX2894" s="37"/>
      <c r="IY2894" s="37"/>
      <c r="IZ2894" s="37"/>
      <c r="JA2894" s="37"/>
      <c r="JB2894" s="37"/>
      <c r="JC2894" s="37"/>
      <c r="JD2894" s="37"/>
      <c r="JE2894" s="37"/>
      <c r="JF2894" s="37"/>
      <c r="JG2894" s="37"/>
      <c r="JH2894" s="37"/>
      <c r="JI2894" s="37"/>
      <c r="JJ2894" s="37"/>
      <c r="JK2894" s="37"/>
      <c r="JL2894" s="37"/>
      <c r="JM2894" s="37"/>
      <c r="JN2894" s="37"/>
      <c r="JO2894" s="37"/>
      <c r="JP2894" s="37"/>
      <c r="JQ2894" s="37"/>
      <c r="JR2894" s="37"/>
      <c r="JS2894" s="37"/>
      <c r="JT2894" s="37"/>
      <c r="JU2894" s="37"/>
      <c r="JV2894" s="37"/>
      <c r="JW2894" s="37"/>
      <c r="JX2894" s="37"/>
      <c r="JY2894" s="37"/>
      <c r="JZ2894" s="37"/>
      <c r="KA2894" s="37"/>
      <c r="KB2894" s="37"/>
      <c r="KC2894" s="37"/>
      <c r="KD2894" s="37"/>
      <c r="KE2894" s="37"/>
      <c r="KF2894" s="37"/>
      <c r="KG2894" s="37"/>
      <c r="KH2894" s="37"/>
      <c r="KI2894" s="37"/>
      <c r="KJ2894" s="37"/>
      <c r="KK2894" s="37"/>
      <c r="KL2894" s="37"/>
      <c r="KM2894" s="37"/>
      <c r="KN2894" s="37"/>
      <c r="KO2894" s="37"/>
      <c r="KP2894" s="37"/>
      <c r="KQ2894" s="37"/>
      <c r="KR2894" s="37"/>
      <c r="KS2894" s="37"/>
      <c r="KT2894" s="37"/>
      <c r="KU2894" s="37"/>
      <c r="KV2894" s="37"/>
      <c r="KW2894" s="37"/>
      <c r="KX2894" s="37"/>
      <c r="KY2894" s="37"/>
      <c r="KZ2894" s="37"/>
      <c r="LA2894" s="37"/>
      <c r="LB2894" s="37"/>
      <c r="LC2894" s="37"/>
      <c r="LD2894" s="37"/>
      <c r="LE2894" s="37"/>
      <c r="LF2894" s="37"/>
      <c r="LG2894" s="37"/>
      <c r="LH2894" s="37"/>
      <c r="LI2894" s="37"/>
      <c r="LJ2894" s="37"/>
      <c r="LK2894" s="37"/>
      <c r="LL2894" s="37"/>
      <c r="LM2894" s="37"/>
      <c r="LN2894" s="37"/>
      <c r="LO2894" s="37"/>
      <c r="LP2894" s="37"/>
      <c r="LQ2894" s="37"/>
      <c r="LR2894" s="37"/>
      <c r="LS2894" s="37"/>
      <c r="LT2894" s="37"/>
      <c r="LU2894" s="37"/>
      <c r="LV2894" s="37"/>
      <c r="LW2894" s="37"/>
      <c r="LX2894" s="37"/>
      <c r="LY2894" s="37"/>
      <c r="LZ2894" s="37"/>
      <c r="MA2894" s="37"/>
      <c r="MB2894" s="37"/>
      <c r="MC2894" s="37"/>
      <c r="MD2894" s="37"/>
      <c r="ME2894" s="37"/>
      <c r="MF2894" s="37"/>
      <c r="MG2894" s="37"/>
      <c r="MH2894" s="37"/>
      <c r="MI2894" s="37"/>
      <c r="MJ2894" s="37"/>
      <c r="MK2894" s="37"/>
      <c r="ML2894" s="37"/>
      <c r="MM2894" s="37"/>
      <c r="MN2894" s="37"/>
      <c r="MO2894" s="37"/>
      <c r="MP2894" s="37"/>
      <c r="MQ2894" s="37"/>
      <c r="MR2894" s="37"/>
      <c r="MS2894" s="37"/>
      <c r="MT2894" s="37"/>
      <c r="MU2894" s="37"/>
      <c r="MV2894" s="37"/>
      <c r="MW2894" s="37"/>
      <c r="MX2894" s="37"/>
      <c r="MY2894" s="37"/>
      <c r="MZ2894" s="37"/>
      <c r="NA2894" s="37"/>
      <c r="NB2894" s="37"/>
      <c r="NC2894" s="37"/>
      <c r="ND2894" s="37"/>
      <c r="NE2894" s="37"/>
      <c r="NF2894" s="37"/>
      <c r="NG2894" s="37"/>
      <c r="NH2894" s="37"/>
      <c r="NI2894" s="37"/>
      <c r="NJ2894" s="37"/>
      <c r="NK2894" s="37"/>
      <c r="NL2894" s="37"/>
      <c r="NM2894" s="37"/>
      <c r="NN2894" s="37"/>
      <c r="NO2894" s="37"/>
      <c r="NP2894" s="37"/>
      <c r="NQ2894" s="37"/>
      <c r="NR2894" s="37"/>
      <c r="NS2894" s="37"/>
      <c r="NT2894" s="37"/>
      <c r="NU2894" s="37"/>
      <c r="NV2894" s="37"/>
      <c r="NW2894" s="37"/>
      <c r="NX2894" s="37"/>
      <c r="NY2894" s="37"/>
      <c r="NZ2894" s="37"/>
      <c r="OA2894" s="37"/>
      <c r="OB2894" s="37"/>
      <c r="OC2894" s="37"/>
      <c r="OD2894" s="37"/>
      <c r="OE2894" s="37"/>
      <c r="OF2894" s="37"/>
      <c r="OG2894" s="37"/>
      <c r="OH2894" s="37"/>
      <c r="OI2894" s="37"/>
      <c r="OJ2894" s="37"/>
      <c r="OK2894" s="37"/>
      <c r="OL2894" s="37"/>
      <c r="OM2894" s="37"/>
      <c r="ON2894" s="37"/>
      <c r="OO2894" s="37"/>
      <c r="OP2894" s="37"/>
      <c r="OQ2894" s="37"/>
      <c r="OR2894" s="37"/>
      <c r="OS2894" s="37"/>
      <c r="OT2894" s="37"/>
      <c r="OU2894" s="37"/>
      <c r="OV2894" s="37"/>
      <c r="OW2894" s="37"/>
      <c r="OX2894" s="37"/>
      <c r="OY2894" s="37"/>
      <c r="OZ2894" s="37"/>
      <c r="PA2894" s="37"/>
      <c r="PB2894" s="37"/>
      <c r="PC2894" s="37"/>
      <c r="PD2894" s="37"/>
      <c r="PE2894" s="37"/>
      <c r="PF2894" s="37"/>
      <c r="PG2894" s="37"/>
      <c r="PH2894" s="37"/>
      <c r="PI2894" s="37"/>
      <c r="PJ2894" s="37"/>
      <c r="PK2894" s="37"/>
      <c r="PL2894" s="37"/>
      <c r="PM2894" s="37"/>
      <c r="PN2894" s="37"/>
      <c r="PO2894" s="37"/>
      <c r="PP2894" s="37"/>
      <c r="PQ2894" s="37"/>
      <c r="PR2894" s="37"/>
      <c r="PS2894" s="37"/>
      <c r="PT2894" s="37"/>
      <c r="PU2894" s="37"/>
      <c r="PV2894" s="37"/>
      <c r="PW2894" s="37"/>
      <c r="PX2894" s="37"/>
      <c r="PY2894" s="37"/>
      <c r="PZ2894" s="37"/>
      <c r="QA2894" s="37"/>
      <c r="QB2894" s="37"/>
      <c r="QC2894" s="37"/>
      <c r="QD2894" s="37"/>
      <c r="QE2894" s="37"/>
      <c r="QF2894" s="37"/>
      <c r="QG2894" s="37"/>
      <c r="QH2894" s="37"/>
      <c r="QI2894" s="37"/>
      <c r="QJ2894" s="37"/>
      <c r="QK2894" s="37"/>
      <c r="QL2894" s="37"/>
      <c r="QM2894" s="37"/>
      <c r="QN2894" s="37"/>
      <c r="QO2894" s="37"/>
      <c r="QP2894" s="37"/>
      <c r="QQ2894" s="37"/>
      <c r="QR2894" s="37"/>
      <c r="QS2894" s="37"/>
      <c r="QT2894" s="37"/>
      <c r="QU2894" s="37"/>
      <c r="QV2894" s="37"/>
      <c r="QW2894" s="37"/>
      <c r="QX2894" s="37"/>
      <c r="QY2894" s="37"/>
      <c r="QZ2894" s="37"/>
      <c r="RA2894" s="37"/>
      <c r="RB2894" s="37"/>
      <c r="RC2894" s="37"/>
      <c r="RD2894" s="37"/>
      <c r="RE2894" s="37"/>
      <c r="RF2894" s="37"/>
      <c r="RG2894" s="37"/>
      <c r="RH2894" s="37"/>
      <c r="RI2894" s="37"/>
      <c r="RJ2894" s="37"/>
      <c r="RK2894" s="37"/>
      <c r="RL2894" s="37"/>
      <c r="RM2894" s="37"/>
      <c r="RN2894" s="37"/>
      <c r="RO2894" s="37"/>
      <c r="RP2894" s="37"/>
      <c r="RQ2894" s="37"/>
      <c r="RR2894" s="37"/>
      <c r="RS2894" s="37"/>
      <c r="RT2894" s="37"/>
      <c r="RU2894" s="37"/>
      <c r="RV2894" s="37"/>
      <c r="RW2894" s="37"/>
      <c r="RX2894" s="37"/>
      <c r="RY2894" s="37"/>
      <c r="RZ2894" s="37"/>
      <c r="SA2894" s="37"/>
      <c r="SB2894" s="37"/>
      <c r="SC2894" s="37"/>
      <c r="SD2894" s="37"/>
      <c r="SE2894" s="37"/>
      <c r="SF2894" s="37"/>
    </row>
    <row r="2895" spans="1:500">
      <c r="A2895" s="37"/>
      <c r="B2895" s="37"/>
      <c r="C2895" s="37"/>
      <c r="D2895" s="37"/>
      <c r="E2895" s="37"/>
      <c r="F2895" s="37"/>
      <c r="G2895" s="37"/>
      <c r="H2895" s="37"/>
      <c r="I2895" s="37"/>
      <c r="J2895" s="37"/>
      <c r="K2895" s="37"/>
      <c r="L2895" s="37"/>
      <c r="M2895" s="37"/>
      <c r="N2895" s="37"/>
      <c r="O2895" s="37"/>
      <c r="P2895" s="37"/>
      <c r="Q2895" s="37"/>
      <c r="R2895" s="37"/>
      <c r="S2895" s="37"/>
      <c r="T2895" s="37"/>
      <c r="U2895" s="37"/>
      <c r="V2895" s="37"/>
      <c r="W2895" s="37"/>
      <c r="X2895" s="37"/>
      <c r="Y2895" s="37"/>
      <c r="Z2895" s="37"/>
      <c r="AA2895" s="37"/>
      <c r="AB2895" s="37"/>
      <c r="AC2895" s="37"/>
      <c r="AD2895" s="37"/>
      <c r="AE2895" s="37"/>
      <c r="AF2895" s="37"/>
      <c r="AG2895" s="37"/>
      <c r="AH2895" s="37"/>
      <c r="AI2895" s="37"/>
      <c r="AJ2895" s="37"/>
      <c r="AK2895" s="37"/>
      <c r="AL2895" s="37"/>
      <c r="AM2895" s="37"/>
      <c r="AN2895" s="37"/>
      <c r="AO2895" s="37"/>
      <c r="AP2895" s="37"/>
      <c r="AQ2895" s="37"/>
      <c r="AR2895" s="37"/>
      <c r="AS2895" s="37"/>
      <c r="AT2895" s="37"/>
      <c r="AU2895" s="37"/>
      <c r="AV2895" s="37"/>
      <c r="AW2895" s="37"/>
      <c r="AX2895" s="37"/>
      <c r="AY2895" s="37"/>
      <c r="AZ2895" s="37"/>
      <c r="BA2895" s="37"/>
      <c r="BB2895" s="37"/>
      <c r="BC2895" s="37"/>
      <c r="BD2895" s="37"/>
      <c r="BE2895" s="37"/>
      <c r="BF2895" s="37"/>
      <c r="BG2895" s="37"/>
      <c r="BH2895" s="37"/>
      <c r="BI2895" s="37"/>
      <c r="BJ2895" s="37"/>
      <c r="BK2895" s="37"/>
      <c r="BL2895" s="37"/>
      <c r="BM2895" s="37"/>
      <c r="BN2895" s="37"/>
      <c r="BO2895" s="37"/>
      <c r="BP2895" s="37"/>
      <c r="BQ2895" s="37"/>
      <c r="BR2895" s="37"/>
      <c r="BS2895" s="37"/>
      <c r="BT2895" s="37"/>
      <c r="BU2895" s="37"/>
      <c r="BV2895" s="37"/>
      <c r="BW2895" s="37"/>
      <c r="BX2895" s="37"/>
      <c r="BY2895" s="37"/>
      <c r="BZ2895" s="37"/>
      <c r="CA2895" s="37"/>
      <c r="CB2895" s="37"/>
      <c r="CC2895" s="37"/>
      <c r="CD2895" s="37"/>
      <c r="CE2895" s="37"/>
      <c r="CF2895" s="37"/>
      <c r="CG2895" s="37"/>
      <c r="CH2895" s="37"/>
      <c r="CI2895" s="37"/>
      <c r="CJ2895" s="37"/>
      <c r="CK2895" s="37"/>
      <c r="CL2895" s="37"/>
      <c r="CM2895" s="37"/>
      <c r="CN2895" s="37"/>
      <c r="CO2895" s="37"/>
      <c r="CP2895" s="37"/>
      <c r="CQ2895" s="37"/>
      <c r="CR2895" s="37"/>
      <c r="CS2895" s="37"/>
      <c r="CT2895" s="37"/>
      <c r="CU2895" s="37"/>
      <c r="CV2895" s="37"/>
      <c r="CW2895" s="37"/>
      <c r="CX2895" s="37"/>
      <c r="CY2895" s="37"/>
      <c r="CZ2895" s="37"/>
      <c r="DA2895" s="37"/>
      <c r="DB2895" s="37"/>
      <c r="DC2895" s="37"/>
      <c r="DD2895" s="37"/>
      <c r="DE2895" s="37"/>
      <c r="DF2895" s="37"/>
      <c r="DG2895" s="37"/>
      <c r="DH2895" s="37"/>
      <c r="DI2895" s="37"/>
      <c r="DJ2895" s="37"/>
      <c r="DK2895" s="37"/>
      <c r="DL2895" s="37"/>
      <c r="DM2895" s="37"/>
      <c r="DN2895" s="37"/>
      <c r="DO2895" s="37"/>
      <c r="DP2895" s="37"/>
      <c r="DQ2895" s="37"/>
      <c r="DR2895" s="37"/>
      <c r="DS2895" s="37"/>
      <c r="DT2895" s="37"/>
      <c r="DU2895" s="37"/>
      <c r="DV2895" s="37"/>
      <c r="DW2895" s="37"/>
      <c r="DX2895" s="37"/>
      <c r="DY2895" s="37"/>
      <c r="DZ2895" s="37"/>
      <c r="EA2895" s="37"/>
      <c r="EB2895" s="37"/>
      <c r="EC2895" s="37"/>
      <c r="ED2895" s="37"/>
      <c r="EE2895" s="37"/>
      <c r="EF2895" s="37"/>
      <c r="EG2895" s="37"/>
      <c r="EH2895" s="37"/>
      <c r="EI2895" s="37"/>
      <c r="EJ2895" s="37"/>
      <c r="EK2895" s="37"/>
      <c r="EL2895" s="37"/>
      <c r="EM2895" s="37"/>
      <c r="EN2895" s="37"/>
      <c r="EO2895" s="37"/>
      <c r="EP2895" s="37"/>
      <c r="EQ2895" s="37"/>
      <c r="ER2895" s="37"/>
      <c r="ES2895" s="37"/>
      <c r="ET2895" s="37"/>
      <c r="EU2895" s="37"/>
      <c r="EV2895" s="37"/>
      <c r="EW2895" s="37"/>
      <c r="EX2895" s="37"/>
      <c r="EY2895" s="37"/>
      <c r="EZ2895" s="37"/>
      <c r="FA2895" s="37"/>
      <c r="FB2895" s="37"/>
      <c r="FC2895" s="37"/>
      <c r="FD2895" s="37"/>
      <c r="FE2895" s="37"/>
      <c r="FF2895" s="37"/>
      <c r="FG2895" s="37"/>
      <c r="FH2895" s="37"/>
      <c r="FI2895" s="37"/>
      <c r="FJ2895" s="37"/>
      <c r="FK2895" s="37"/>
      <c r="FL2895" s="37"/>
      <c r="FM2895" s="37"/>
      <c r="FN2895" s="37"/>
      <c r="FO2895" s="37"/>
      <c r="FP2895" s="37"/>
      <c r="FQ2895" s="37"/>
      <c r="FR2895" s="37"/>
      <c r="FS2895" s="37"/>
      <c r="FT2895" s="37"/>
      <c r="FU2895" s="37"/>
      <c r="FV2895" s="37"/>
      <c r="FW2895" s="37"/>
      <c r="FX2895" s="37"/>
      <c r="FY2895" s="37"/>
      <c r="FZ2895" s="37"/>
      <c r="GA2895" s="37"/>
      <c r="GB2895" s="37"/>
      <c r="GC2895" s="37"/>
      <c r="GD2895" s="37"/>
      <c r="GE2895" s="37"/>
      <c r="GF2895" s="37"/>
      <c r="GG2895" s="37"/>
      <c r="GH2895" s="37"/>
      <c r="GI2895" s="37"/>
      <c r="GJ2895" s="37"/>
      <c r="GK2895" s="37"/>
      <c r="GL2895" s="37"/>
      <c r="GM2895" s="37"/>
      <c r="GN2895" s="37"/>
      <c r="GO2895" s="37"/>
      <c r="GP2895" s="37"/>
      <c r="GQ2895" s="37"/>
      <c r="GR2895" s="37"/>
      <c r="GS2895" s="37"/>
      <c r="GT2895" s="37"/>
      <c r="GU2895" s="37"/>
      <c r="GV2895" s="37"/>
      <c r="GW2895" s="37"/>
      <c r="GX2895" s="37"/>
      <c r="GY2895" s="37"/>
      <c r="GZ2895" s="37"/>
      <c r="HA2895" s="37"/>
      <c r="HB2895" s="37"/>
      <c r="HC2895" s="37"/>
      <c r="HD2895" s="37"/>
      <c r="HE2895" s="37"/>
      <c r="HF2895" s="37"/>
      <c r="HG2895" s="37"/>
      <c r="HH2895" s="37"/>
      <c r="HI2895" s="37"/>
      <c r="HJ2895" s="37"/>
      <c r="HK2895" s="37"/>
      <c r="HL2895" s="37"/>
      <c r="HM2895" s="37"/>
      <c r="HN2895" s="37"/>
      <c r="HO2895" s="37"/>
      <c r="HP2895" s="37"/>
      <c r="HQ2895" s="37"/>
      <c r="HR2895" s="37"/>
      <c r="HS2895" s="37"/>
      <c r="HT2895" s="37"/>
      <c r="HU2895" s="37"/>
      <c r="HV2895" s="37"/>
      <c r="HW2895" s="37"/>
      <c r="HX2895" s="37"/>
      <c r="HY2895" s="37"/>
      <c r="HZ2895" s="37"/>
      <c r="IA2895" s="37"/>
      <c r="IB2895" s="37"/>
      <c r="IC2895" s="37"/>
      <c r="ID2895" s="37"/>
      <c r="IE2895" s="37"/>
      <c r="IF2895" s="37"/>
      <c r="IG2895" s="37"/>
      <c r="IH2895" s="37"/>
      <c r="II2895" s="37"/>
      <c r="IJ2895" s="37"/>
      <c r="IK2895" s="37"/>
      <c r="IL2895" s="37"/>
      <c r="IM2895" s="37"/>
      <c r="IN2895" s="37"/>
      <c r="IO2895" s="37"/>
      <c r="IP2895" s="37"/>
      <c r="IQ2895" s="37"/>
      <c r="IR2895" s="37"/>
      <c r="IS2895" s="37"/>
      <c r="IT2895" s="37"/>
      <c r="IU2895" s="37"/>
      <c r="IV2895" s="37"/>
      <c r="IW2895" s="37"/>
      <c r="IX2895" s="37"/>
      <c r="IY2895" s="37"/>
      <c r="IZ2895" s="37"/>
      <c r="JA2895" s="37"/>
      <c r="JB2895" s="37"/>
      <c r="JC2895" s="37"/>
      <c r="JD2895" s="37"/>
      <c r="JE2895" s="37"/>
      <c r="JF2895" s="37"/>
      <c r="JG2895" s="37"/>
      <c r="JH2895" s="37"/>
      <c r="JI2895" s="37"/>
      <c r="JJ2895" s="37"/>
      <c r="JK2895" s="37"/>
      <c r="JL2895" s="37"/>
      <c r="JM2895" s="37"/>
      <c r="JN2895" s="37"/>
      <c r="JO2895" s="37"/>
      <c r="JP2895" s="37"/>
      <c r="JQ2895" s="37"/>
      <c r="JR2895" s="37"/>
      <c r="JS2895" s="37"/>
      <c r="JT2895" s="37"/>
      <c r="JU2895" s="37"/>
      <c r="JV2895" s="37"/>
      <c r="JW2895" s="37"/>
      <c r="JX2895" s="37"/>
      <c r="JY2895" s="37"/>
      <c r="JZ2895" s="37"/>
      <c r="KA2895" s="37"/>
      <c r="KB2895" s="37"/>
      <c r="KC2895" s="37"/>
      <c r="KD2895" s="37"/>
      <c r="KE2895" s="37"/>
      <c r="KF2895" s="37"/>
      <c r="KG2895" s="37"/>
      <c r="KH2895" s="37"/>
      <c r="KI2895" s="37"/>
      <c r="KJ2895" s="37"/>
      <c r="KK2895" s="37"/>
      <c r="KL2895" s="37"/>
      <c r="KM2895" s="37"/>
      <c r="KN2895" s="37"/>
      <c r="KO2895" s="37"/>
      <c r="KP2895" s="37"/>
      <c r="KQ2895" s="37"/>
      <c r="KR2895" s="37"/>
      <c r="KS2895" s="37"/>
      <c r="KT2895" s="37"/>
      <c r="KU2895" s="37"/>
      <c r="KV2895" s="37"/>
      <c r="KW2895" s="37"/>
      <c r="KX2895" s="37"/>
      <c r="KY2895" s="37"/>
      <c r="KZ2895" s="37"/>
      <c r="LA2895" s="37"/>
      <c r="LB2895" s="37"/>
      <c r="LC2895" s="37"/>
      <c r="LD2895" s="37"/>
      <c r="LE2895" s="37"/>
      <c r="LF2895" s="37"/>
      <c r="LG2895" s="37"/>
      <c r="LH2895" s="37"/>
      <c r="LI2895" s="37"/>
      <c r="LJ2895" s="37"/>
      <c r="LK2895" s="37"/>
      <c r="LL2895" s="37"/>
      <c r="LM2895" s="37"/>
      <c r="LN2895" s="37"/>
      <c r="LO2895" s="37"/>
      <c r="LP2895" s="37"/>
      <c r="LQ2895" s="37"/>
      <c r="LR2895" s="37"/>
      <c r="LS2895" s="37"/>
      <c r="LT2895" s="37"/>
      <c r="LU2895" s="37"/>
      <c r="LV2895" s="37"/>
      <c r="LW2895" s="37"/>
      <c r="LX2895" s="37"/>
      <c r="LY2895" s="37"/>
      <c r="LZ2895" s="37"/>
      <c r="MA2895" s="37"/>
      <c r="MB2895" s="37"/>
      <c r="MC2895" s="37"/>
      <c r="MD2895" s="37"/>
      <c r="ME2895" s="37"/>
      <c r="MF2895" s="37"/>
      <c r="MG2895" s="37"/>
      <c r="MH2895" s="37"/>
      <c r="MI2895" s="37"/>
      <c r="MJ2895" s="37"/>
      <c r="MK2895" s="37"/>
      <c r="ML2895" s="37"/>
      <c r="MM2895" s="37"/>
      <c r="MN2895" s="37"/>
      <c r="MO2895" s="37"/>
      <c r="MP2895" s="37"/>
      <c r="MQ2895" s="37"/>
      <c r="MR2895" s="37"/>
      <c r="MS2895" s="37"/>
      <c r="MT2895" s="37"/>
      <c r="MU2895" s="37"/>
      <c r="MV2895" s="37"/>
      <c r="MW2895" s="37"/>
      <c r="MX2895" s="37"/>
      <c r="MY2895" s="37"/>
      <c r="MZ2895" s="37"/>
      <c r="NA2895" s="37"/>
      <c r="NB2895" s="37"/>
      <c r="NC2895" s="37"/>
      <c r="ND2895" s="37"/>
      <c r="NE2895" s="37"/>
      <c r="NF2895" s="37"/>
      <c r="NG2895" s="37"/>
      <c r="NH2895" s="37"/>
      <c r="NI2895" s="37"/>
      <c r="NJ2895" s="37"/>
      <c r="NK2895" s="37"/>
      <c r="NL2895" s="37"/>
      <c r="NM2895" s="37"/>
      <c r="NN2895" s="37"/>
      <c r="NO2895" s="37"/>
      <c r="NP2895" s="37"/>
      <c r="NQ2895" s="37"/>
      <c r="NR2895" s="37"/>
      <c r="NS2895" s="37"/>
      <c r="NT2895" s="37"/>
      <c r="NU2895" s="37"/>
      <c r="NV2895" s="37"/>
      <c r="NW2895" s="37"/>
      <c r="NX2895" s="37"/>
      <c r="NY2895" s="37"/>
      <c r="NZ2895" s="37"/>
      <c r="OA2895" s="37"/>
      <c r="OB2895" s="37"/>
      <c r="OC2895" s="37"/>
      <c r="OD2895" s="37"/>
      <c r="OE2895" s="37"/>
      <c r="OF2895" s="37"/>
      <c r="OG2895" s="37"/>
      <c r="OH2895" s="37"/>
      <c r="OI2895" s="37"/>
      <c r="OJ2895" s="37"/>
      <c r="OK2895" s="37"/>
      <c r="OL2895" s="37"/>
      <c r="OM2895" s="37"/>
      <c r="ON2895" s="37"/>
      <c r="OO2895" s="37"/>
      <c r="OP2895" s="37"/>
      <c r="OQ2895" s="37"/>
      <c r="OR2895" s="37"/>
      <c r="OS2895" s="37"/>
      <c r="OT2895" s="37"/>
      <c r="OU2895" s="37"/>
      <c r="OV2895" s="37"/>
      <c r="OW2895" s="37"/>
      <c r="OX2895" s="37"/>
      <c r="OY2895" s="37"/>
      <c r="OZ2895" s="37"/>
      <c r="PA2895" s="37"/>
      <c r="PB2895" s="37"/>
      <c r="PC2895" s="37"/>
      <c r="PD2895" s="37"/>
      <c r="PE2895" s="37"/>
      <c r="PF2895" s="37"/>
      <c r="PG2895" s="37"/>
      <c r="PH2895" s="37"/>
      <c r="PI2895" s="37"/>
      <c r="PJ2895" s="37"/>
      <c r="PK2895" s="37"/>
      <c r="PL2895" s="37"/>
      <c r="PM2895" s="37"/>
      <c r="PN2895" s="37"/>
      <c r="PO2895" s="37"/>
      <c r="PP2895" s="37"/>
      <c r="PQ2895" s="37"/>
      <c r="PR2895" s="37"/>
      <c r="PS2895" s="37"/>
      <c r="PT2895" s="37"/>
      <c r="PU2895" s="37"/>
      <c r="PV2895" s="37"/>
      <c r="PW2895" s="37"/>
      <c r="PX2895" s="37"/>
      <c r="PY2895" s="37"/>
      <c r="PZ2895" s="37"/>
      <c r="QA2895" s="37"/>
      <c r="QB2895" s="37"/>
      <c r="QC2895" s="37"/>
      <c r="QD2895" s="37"/>
      <c r="QE2895" s="37"/>
      <c r="QF2895" s="37"/>
      <c r="QG2895" s="37"/>
      <c r="QH2895" s="37"/>
      <c r="QI2895" s="37"/>
      <c r="QJ2895" s="37"/>
      <c r="QK2895" s="37"/>
      <c r="QL2895" s="37"/>
      <c r="QM2895" s="37"/>
      <c r="QN2895" s="37"/>
      <c r="QO2895" s="37"/>
      <c r="QP2895" s="37"/>
      <c r="QQ2895" s="37"/>
      <c r="QR2895" s="37"/>
      <c r="QS2895" s="37"/>
      <c r="QT2895" s="37"/>
      <c r="QU2895" s="37"/>
      <c r="QV2895" s="37"/>
      <c r="QW2895" s="37"/>
      <c r="QX2895" s="37"/>
      <c r="QY2895" s="37"/>
      <c r="QZ2895" s="37"/>
      <c r="RA2895" s="37"/>
      <c r="RB2895" s="37"/>
      <c r="RC2895" s="37"/>
      <c r="RD2895" s="37"/>
      <c r="RE2895" s="37"/>
      <c r="RF2895" s="37"/>
      <c r="RG2895" s="37"/>
      <c r="RH2895" s="37"/>
      <c r="RI2895" s="37"/>
      <c r="RJ2895" s="37"/>
      <c r="RK2895" s="37"/>
      <c r="RL2895" s="37"/>
      <c r="RM2895" s="37"/>
      <c r="RN2895" s="37"/>
      <c r="RO2895" s="37"/>
      <c r="RP2895" s="37"/>
      <c r="RQ2895" s="37"/>
      <c r="RR2895" s="37"/>
      <c r="RS2895" s="37"/>
      <c r="RT2895" s="37"/>
      <c r="RU2895" s="37"/>
      <c r="RV2895" s="37"/>
      <c r="RW2895" s="37"/>
      <c r="RX2895" s="37"/>
      <c r="RY2895" s="37"/>
      <c r="RZ2895" s="37"/>
      <c r="SA2895" s="37"/>
      <c r="SB2895" s="37"/>
      <c r="SC2895" s="37"/>
      <c r="SD2895" s="37"/>
      <c r="SE2895" s="37"/>
      <c r="SF2895" s="37"/>
    </row>
    <row r="2896" spans="1:500">
      <c r="A2896" s="37"/>
      <c r="B2896" s="37"/>
      <c r="C2896" s="37"/>
      <c r="D2896" s="37"/>
      <c r="E2896" s="37"/>
      <c r="F2896" s="37"/>
      <c r="G2896" s="37"/>
      <c r="H2896" s="37"/>
      <c r="I2896" s="37"/>
      <c r="J2896" s="37"/>
      <c r="K2896" s="37"/>
      <c r="L2896" s="37"/>
      <c r="M2896" s="37"/>
      <c r="N2896" s="37"/>
      <c r="O2896" s="37"/>
      <c r="P2896" s="37"/>
      <c r="Q2896" s="37"/>
      <c r="R2896" s="37"/>
      <c r="S2896" s="37"/>
      <c r="T2896" s="37"/>
      <c r="U2896" s="37"/>
      <c r="V2896" s="37"/>
      <c r="W2896" s="37"/>
      <c r="X2896" s="37"/>
      <c r="Y2896" s="37"/>
      <c r="Z2896" s="37"/>
      <c r="AA2896" s="37"/>
      <c r="AB2896" s="37"/>
      <c r="AC2896" s="37"/>
      <c r="AD2896" s="37"/>
      <c r="AE2896" s="37"/>
      <c r="AF2896" s="37"/>
      <c r="AG2896" s="37"/>
      <c r="AH2896" s="37"/>
      <c r="AI2896" s="37"/>
      <c r="AJ2896" s="37"/>
      <c r="AK2896" s="37"/>
      <c r="AL2896" s="37"/>
      <c r="AM2896" s="37"/>
      <c r="AN2896" s="37"/>
      <c r="AO2896" s="37"/>
      <c r="AP2896" s="37"/>
      <c r="AQ2896" s="37"/>
      <c r="AR2896" s="37"/>
      <c r="AS2896" s="37"/>
      <c r="AT2896" s="37"/>
      <c r="AU2896" s="37"/>
      <c r="AV2896" s="37"/>
      <c r="AW2896" s="37"/>
      <c r="AX2896" s="37"/>
      <c r="AY2896" s="37"/>
      <c r="AZ2896" s="37"/>
      <c r="BA2896" s="37"/>
      <c r="BB2896" s="37"/>
      <c r="BC2896" s="37"/>
      <c r="BD2896" s="37"/>
      <c r="BE2896" s="37"/>
      <c r="BF2896" s="37"/>
      <c r="BG2896" s="37"/>
      <c r="BH2896" s="37"/>
      <c r="BI2896" s="37"/>
      <c r="BJ2896" s="37"/>
      <c r="BK2896" s="37"/>
      <c r="BL2896" s="37"/>
      <c r="BM2896" s="37"/>
      <c r="BN2896" s="37"/>
      <c r="BO2896" s="37"/>
      <c r="BP2896" s="37"/>
      <c r="BQ2896" s="37"/>
      <c r="BR2896" s="37"/>
      <c r="BS2896" s="37"/>
      <c r="BT2896" s="37"/>
      <c r="BU2896" s="37"/>
      <c r="BV2896" s="37"/>
      <c r="BW2896" s="37"/>
      <c r="BX2896" s="37"/>
      <c r="BY2896" s="37"/>
      <c r="BZ2896" s="37"/>
      <c r="CA2896" s="37"/>
      <c r="CB2896" s="37"/>
      <c r="CC2896" s="37"/>
      <c r="CD2896" s="37"/>
      <c r="CE2896" s="37"/>
      <c r="CF2896" s="37"/>
      <c r="CG2896" s="37"/>
      <c r="CH2896" s="37"/>
      <c r="CI2896" s="37"/>
      <c r="CJ2896" s="37"/>
      <c r="CK2896" s="37"/>
      <c r="CL2896" s="37"/>
      <c r="CM2896" s="37"/>
      <c r="CN2896" s="37"/>
      <c r="CO2896" s="37"/>
      <c r="CP2896" s="37"/>
      <c r="CQ2896" s="37"/>
      <c r="CR2896" s="37"/>
      <c r="CS2896" s="37"/>
      <c r="CT2896" s="37"/>
      <c r="CU2896" s="37"/>
      <c r="CV2896" s="37"/>
      <c r="CW2896" s="37"/>
      <c r="CX2896" s="37"/>
      <c r="CY2896" s="37"/>
      <c r="CZ2896" s="37"/>
      <c r="DA2896" s="37"/>
      <c r="DB2896" s="37"/>
      <c r="DC2896" s="37"/>
      <c r="DD2896" s="37"/>
      <c r="DE2896" s="37"/>
      <c r="DF2896" s="37"/>
      <c r="DG2896" s="37"/>
      <c r="DH2896" s="37"/>
      <c r="DI2896" s="37"/>
      <c r="DJ2896" s="37"/>
      <c r="DK2896" s="37"/>
      <c r="DL2896" s="37"/>
      <c r="DM2896" s="37"/>
      <c r="DN2896" s="37"/>
      <c r="DO2896" s="37"/>
      <c r="DP2896" s="37"/>
      <c r="DQ2896" s="37"/>
      <c r="DR2896" s="37"/>
      <c r="DS2896" s="37"/>
      <c r="DT2896" s="37"/>
      <c r="DU2896" s="37"/>
      <c r="DV2896" s="37"/>
      <c r="DW2896" s="37"/>
      <c r="DX2896" s="37"/>
      <c r="DY2896" s="37"/>
      <c r="DZ2896" s="37"/>
      <c r="EA2896" s="37"/>
      <c r="EB2896" s="37"/>
      <c r="EC2896" s="37"/>
      <c r="ED2896" s="37"/>
      <c r="EE2896" s="37"/>
      <c r="EF2896" s="37"/>
      <c r="EG2896" s="37"/>
      <c r="EH2896" s="37"/>
      <c r="EI2896" s="37"/>
      <c r="EJ2896" s="37"/>
      <c r="EK2896" s="37"/>
      <c r="EL2896" s="37"/>
      <c r="EM2896" s="37"/>
      <c r="EN2896" s="37"/>
      <c r="EO2896" s="37"/>
      <c r="EP2896" s="37"/>
      <c r="EQ2896" s="37"/>
      <c r="ER2896" s="37"/>
      <c r="ES2896" s="37"/>
      <c r="ET2896" s="37"/>
      <c r="EU2896" s="37"/>
      <c r="EV2896" s="37"/>
      <c r="EW2896" s="37"/>
      <c r="EX2896" s="37"/>
      <c r="EY2896" s="37"/>
      <c r="EZ2896" s="37"/>
      <c r="FA2896" s="37"/>
      <c r="FB2896" s="37"/>
      <c r="FC2896" s="37"/>
      <c r="FD2896" s="37"/>
      <c r="FE2896" s="37"/>
      <c r="FF2896" s="37"/>
      <c r="FG2896" s="37"/>
      <c r="FH2896" s="37"/>
      <c r="FI2896" s="37"/>
      <c r="FJ2896" s="37"/>
      <c r="FK2896" s="37"/>
      <c r="FL2896" s="37"/>
      <c r="FM2896" s="37"/>
      <c r="FN2896" s="37"/>
      <c r="FO2896" s="37"/>
      <c r="FP2896" s="37"/>
      <c r="FQ2896" s="37"/>
      <c r="FR2896" s="37"/>
      <c r="FS2896" s="37"/>
      <c r="FT2896" s="37"/>
      <c r="FU2896" s="37"/>
      <c r="FV2896" s="37"/>
      <c r="FW2896" s="37"/>
      <c r="FX2896" s="37"/>
      <c r="FY2896" s="37"/>
      <c r="FZ2896" s="37"/>
      <c r="GA2896" s="37"/>
      <c r="GB2896" s="37"/>
      <c r="GC2896" s="37"/>
      <c r="GD2896" s="37"/>
      <c r="GE2896" s="37"/>
      <c r="GF2896" s="37"/>
      <c r="GG2896" s="37"/>
      <c r="GH2896" s="37"/>
      <c r="GI2896" s="37"/>
      <c r="GJ2896" s="37"/>
      <c r="GK2896" s="37"/>
      <c r="GL2896" s="37"/>
      <c r="GM2896" s="37"/>
      <c r="GN2896" s="37"/>
      <c r="GO2896" s="37"/>
      <c r="GP2896" s="37"/>
      <c r="GQ2896" s="37"/>
      <c r="GR2896" s="37"/>
      <c r="GS2896" s="37"/>
      <c r="GT2896" s="37"/>
      <c r="GU2896" s="37"/>
      <c r="GV2896" s="37"/>
      <c r="GW2896" s="37"/>
      <c r="GX2896" s="37"/>
      <c r="GY2896" s="37"/>
      <c r="GZ2896" s="37"/>
      <c r="HA2896" s="37"/>
      <c r="HB2896" s="37"/>
      <c r="HC2896" s="37"/>
      <c r="HD2896" s="37"/>
      <c r="HE2896" s="37"/>
      <c r="HF2896" s="37"/>
      <c r="HG2896" s="37"/>
      <c r="HH2896" s="37"/>
      <c r="HI2896" s="37"/>
      <c r="HJ2896" s="37"/>
      <c r="HK2896" s="37"/>
      <c r="HL2896" s="37"/>
      <c r="HM2896" s="37"/>
      <c r="HN2896" s="37"/>
      <c r="HO2896" s="37"/>
      <c r="HP2896" s="37"/>
      <c r="HQ2896" s="37"/>
      <c r="HR2896" s="37"/>
      <c r="HS2896" s="37"/>
      <c r="HT2896" s="37"/>
      <c r="HU2896" s="37"/>
      <c r="HV2896" s="37"/>
      <c r="HW2896" s="37"/>
      <c r="HX2896" s="37"/>
      <c r="HY2896" s="37"/>
      <c r="HZ2896" s="37"/>
      <c r="IA2896" s="37"/>
      <c r="IB2896" s="37"/>
      <c r="IC2896" s="37"/>
      <c r="ID2896" s="37"/>
      <c r="IE2896" s="37"/>
      <c r="IF2896" s="37"/>
      <c r="IG2896" s="37"/>
      <c r="IH2896" s="37"/>
      <c r="II2896" s="37"/>
      <c r="IJ2896" s="37"/>
      <c r="IK2896" s="37"/>
      <c r="IL2896" s="37"/>
      <c r="IM2896" s="37"/>
      <c r="IN2896" s="37"/>
      <c r="IO2896" s="37"/>
      <c r="IP2896" s="37"/>
      <c r="IQ2896" s="37"/>
      <c r="IR2896" s="37"/>
      <c r="IS2896" s="37"/>
      <c r="IT2896" s="37"/>
      <c r="IU2896" s="37"/>
      <c r="IV2896" s="37"/>
      <c r="IW2896" s="37"/>
      <c r="IX2896" s="37"/>
      <c r="IY2896" s="37"/>
      <c r="IZ2896" s="37"/>
      <c r="JA2896" s="37"/>
      <c r="JB2896" s="37"/>
      <c r="JC2896" s="37"/>
      <c r="JD2896" s="37"/>
      <c r="JE2896" s="37"/>
      <c r="JF2896" s="37"/>
      <c r="JG2896" s="37"/>
      <c r="JH2896" s="37"/>
      <c r="JI2896" s="37"/>
      <c r="JJ2896" s="37"/>
      <c r="JK2896" s="37"/>
      <c r="JL2896" s="37"/>
      <c r="JM2896" s="37"/>
      <c r="JN2896" s="37"/>
      <c r="JO2896" s="37"/>
      <c r="JP2896" s="37"/>
      <c r="JQ2896" s="37"/>
      <c r="JR2896" s="37"/>
      <c r="JS2896" s="37"/>
      <c r="JT2896" s="37"/>
      <c r="JU2896" s="37"/>
      <c r="JV2896" s="37"/>
      <c r="JW2896" s="37"/>
      <c r="JX2896" s="37"/>
      <c r="JY2896" s="37"/>
      <c r="JZ2896" s="37"/>
      <c r="KA2896" s="37"/>
      <c r="KB2896" s="37"/>
      <c r="KC2896" s="37"/>
      <c r="KD2896" s="37"/>
      <c r="KE2896" s="37"/>
      <c r="KF2896" s="37"/>
      <c r="KG2896" s="37"/>
      <c r="KH2896" s="37"/>
      <c r="KI2896" s="37"/>
      <c r="KJ2896" s="37"/>
      <c r="KK2896" s="37"/>
      <c r="KL2896" s="37"/>
      <c r="KM2896" s="37"/>
      <c r="KN2896" s="37"/>
      <c r="KO2896" s="37"/>
      <c r="KP2896" s="37"/>
      <c r="KQ2896" s="37"/>
      <c r="KR2896" s="37"/>
      <c r="KS2896" s="37"/>
      <c r="KT2896" s="37"/>
      <c r="KU2896" s="37"/>
      <c r="KV2896" s="37"/>
      <c r="KW2896" s="37"/>
      <c r="KX2896" s="37"/>
      <c r="KY2896" s="37"/>
      <c r="KZ2896" s="37"/>
      <c r="LA2896" s="37"/>
      <c r="LB2896" s="37"/>
      <c r="LC2896" s="37"/>
      <c r="LD2896" s="37"/>
      <c r="LE2896" s="37"/>
      <c r="LF2896" s="37"/>
      <c r="LG2896" s="37"/>
      <c r="LH2896" s="37"/>
      <c r="LI2896" s="37"/>
      <c r="LJ2896" s="37"/>
      <c r="LK2896" s="37"/>
      <c r="LL2896" s="37"/>
      <c r="LM2896" s="37"/>
      <c r="LN2896" s="37"/>
      <c r="LO2896" s="37"/>
      <c r="LP2896" s="37"/>
      <c r="LQ2896" s="37"/>
      <c r="LR2896" s="37"/>
      <c r="LS2896" s="37"/>
      <c r="LT2896" s="37"/>
      <c r="LU2896" s="37"/>
      <c r="LV2896" s="37"/>
      <c r="LW2896" s="37"/>
      <c r="LX2896" s="37"/>
      <c r="LY2896" s="37"/>
      <c r="LZ2896" s="37"/>
      <c r="MA2896" s="37"/>
      <c r="MB2896" s="37"/>
      <c r="MC2896" s="37"/>
      <c r="MD2896" s="37"/>
      <c r="ME2896" s="37"/>
      <c r="MF2896" s="37"/>
      <c r="MG2896" s="37"/>
      <c r="MH2896" s="37"/>
      <c r="MI2896" s="37"/>
      <c r="MJ2896" s="37"/>
      <c r="MK2896" s="37"/>
      <c r="ML2896" s="37"/>
      <c r="MM2896" s="37"/>
      <c r="MN2896" s="37"/>
      <c r="MO2896" s="37"/>
      <c r="MP2896" s="37"/>
      <c r="MQ2896" s="37"/>
      <c r="MR2896" s="37"/>
      <c r="MS2896" s="37"/>
      <c r="MT2896" s="37"/>
      <c r="MU2896" s="37"/>
      <c r="MV2896" s="37"/>
      <c r="MW2896" s="37"/>
      <c r="MX2896" s="37"/>
      <c r="MY2896" s="37"/>
      <c r="MZ2896" s="37"/>
      <c r="NA2896" s="37"/>
      <c r="NB2896" s="37"/>
      <c r="NC2896" s="37"/>
      <c r="ND2896" s="37"/>
      <c r="NE2896" s="37"/>
      <c r="NF2896" s="37"/>
      <c r="NG2896" s="37"/>
      <c r="NH2896" s="37"/>
      <c r="NI2896" s="37"/>
      <c r="NJ2896" s="37"/>
      <c r="NK2896" s="37"/>
      <c r="NL2896" s="37"/>
      <c r="NM2896" s="37"/>
      <c r="NN2896" s="37"/>
      <c r="NO2896" s="37"/>
      <c r="NP2896" s="37"/>
      <c r="NQ2896" s="37"/>
      <c r="NR2896" s="37"/>
      <c r="NS2896" s="37"/>
      <c r="NT2896" s="37"/>
      <c r="NU2896" s="37"/>
      <c r="NV2896" s="37"/>
      <c r="NW2896" s="37"/>
      <c r="NX2896" s="37"/>
      <c r="NY2896" s="37"/>
      <c r="NZ2896" s="37"/>
      <c r="OA2896" s="37"/>
      <c r="OB2896" s="37"/>
      <c r="OC2896" s="37"/>
      <c r="OD2896" s="37"/>
      <c r="OE2896" s="37"/>
      <c r="OF2896" s="37"/>
      <c r="OG2896" s="37"/>
      <c r="OH2896" s="37"/>
      <c r="OI2896" s="37"/>
      <c r="OJ2896" s="37"/>
      <c r="OK2896" s="37"/>
      <c r="OL2896" s="37"/>
      <c r="OM2896" s="37"/>
      <c r="ON2896" s="37"/>
      <c r="OO2896" s="37"/>
      <c r="OP2896" s="37"/>
      <c r="OQ2896" s="37"/>
      <c r="OR2896" s="37"/>
      <c r="OS2896" s="37"/>
      <c r="OT2896" s="37"/>
      <c r="OU2896" s="37"/>
      <c r="OV2896" s="37"/>
      <c r="OW2896" s="37"/>
      <c r="OX2896" s="37"/>
      <c r="OY2896" s="37"/>
      <c r="OZ2896" s="37"/>
      <c r="PA2896" s="37"/>
      <c r="PB2896" s="37"/>
      <c r="PC2896" s="37"/>
      <c r="PD2896" s="37"/>
      <c r="PE2896" s="37"/>
      <c r="PF2896" s="37"/>
      <c r="PG2896" s="37"/>
      <c r="PH2896" s="37"/>
      <c r="PI2896" s="37"/>
      <c r="PJ2896" s="37"/>
      <c r="PK2896" s="37"/>
      <c r="PL2896" s="37"/>
      <c r="PM2896" s="37"/>
      <c r="PN2896" s="37"/>
      <c r="PO2896" s="37"/>
      <c r="PP2896" s="37"/>
      <c r="PQ2896" s="37"/>
      <c r="PR2896" s="37"/>
      <c r="PS2896" s="37"/>
      <c r="PT2896" s="37"/>
      <c r="PU2896" s="37"/>
      <c r="PV2896" s="37"/>
      <c r="PW2896" s="37"/>
      <c r="PX2896" s="37"/>
      <c r="PY2896" s="37"/>
      <c r="PZ2896" s="37"/>
      <c r="QA2896" s="37"/>
      <c r="QB2896" s="37"/>
      <c r="QC2896" s="37"/>
      <c r="QD2896" s="37"/>
      <c r="QE2896" s="37"/>
      <c r="QF2896" s="37"/>
      <c r="QG2896" s="37"/>
      <c r="QH2896" s="37"/>
      <c r="QI2896" s="37"/>
      <c r="QJ2896" s="37"/>
      <c r="QK2896" s="37"/>
      <c r="QL2896" s="37"/>
      <c r="QM2896" s="37"/>
      <c r="QN2896" s="37"/>
      <c r="QO2896" s="37"/>
      <c r="QP2896" s="37"/>
      <c r="QQ2896" s="37"/>
      <c r="QR2896" s="37"/>
      <c r="QS2896" s="37"/>
      <c r="QT2896" s="37"/>
      <c r="QU2896" s="37"/>
      <c r="QV2896" s="37"/>
      <c r="QW2896" s="37"/>
      <c r="QX2896" s="37"/>
      <c r="QY2896" s="37"/>
      <c r="QZ2896" s="37"/>
      <c r="RA2896" s="37"/>
      <c r="RB2896" s="37"/>
      <c r="RC2896" s="37"/>
      <c r="RD2896" s="37"/>
      <c r="RE2896" s="37"/>
      <c r="RF2896" s="37"/>
      <c r="RG2896" s="37"/>
      <c r="RH2896" s="37"/>
      <c r="RI2896" s="37"/>
      <c r="RJ2896" s="37"/>
      <c r="RK2896" s="37"/>
      <c r="RL2896" s="37"/>
      <c r="RM2896" s="37"/>
      <c r="RN2896" s="37"/>
      <c r="RO2896" s="37"/>
      <c r="RP2896" s="37"/>
      <c r="RQ2896" s="37"/>
      <c r="RR2896" s="37"/>
      <c r="RS2896" s="37"/>
      <c r="RT2896" s="37"/>
      <c r="RU2896" s="37"/>
      <c r="RV2896" s="37"/>
      <c r="RW2896" s="37"/>
      <c r="RX2896" s="37"/>
      <c r="RY2896" s="37"/>
      <c r="RZ2896" s="37"/>
      <c r="SA2896" s="37"/>
      <c r="SB2896" s="37"/>
      <c r="SC2896" s="37"/>
      <c r="SD2896" s="37"/>
      <c r="SE2896" s="37"/>
      <c r="SF2896" s="37"/>
    </row>
    <row r="2897" spans="1:500">
      <c r="A2897" s="37"/>
      <c r="B2897" s="37"/>
      <c r="C2897" s="37"/>
      <c r="D2897" s="37"/>
      <c r="E2897" s="37"/>
      <c r="F2897" s="37"/>
      <c r="G2897" s="37"/>
      <c r="H2897" s="37"/>
      <c r="I2897" s="37"/>
      <c r="J2897" s="37"/>
      <c r="K2897" s="37"/>
      <c r="L2897" s="37"/>
      <c r="M2897" s="37"/>
      <c r="N2897" s="37"/>
      <c r="O2897" s="37"/>
      <c r="P2897" s="37"/>
      <c r="Q2897" s="37"/>
      <c r="R2897" s="37"/>
      <c r="S2897" s="37"/>
      <c r="T2897" s="37"/>
      <c r="U2897" s="37"/>
      <c r="V2897" s="37"/>
      <c r="W2897" s="37"/>
      <c r="X2897" s="37"/>
      <c r="Y2897" s="37"/>
      <c r="Z2897" s="37"/>
      <c r="AA2897" s="37"/>
      <c r="AB2897" s="37"/>
      <c r="AC2897" s="37"/>
      <c r="AD2897" s="37"/>
      <c r="AE2897" s="37"/>
      <c r="AF2897" s="37"/>
      <c r="AG2897" s="37"/>
      <c r="AH2897" s="37"/>
      <c r="AI2897" s="37"/>
      <c r="AJ2897" s="37"/>
      <c r="AK2897" s="37"/>
      <c r="AL2897" s="37"/>
      <c r="AM2897" s="37"/>
      <c r="AN2897" s="37"/>
      <c r="AO2897" s="37"/>
      <c r="AP2897" s="37"/>
      <c r="AQ2897" s="37"/>
      <c r="AR2897" s="37"/>
      <c r="AS2897" s="37"/>
      <c r="AT2897" s="37"/>
      <c r="AU2897" s="37"/>
      <c r="AV2897" s="37"/>
      <c r="AW2897" s="37"/>
      <c r="AX2897" s="37"/>
      <c r="AY2897" s="37"/>
      <c r="AZ2897" s="37"/>
      <c r="BA2897" s="37"/>
      <c r="BB2897" s="37"/>
      <c r="BC2897" s="37"/>
      <c r="BD2897" s="37"/>
      <c r="BE2897" s="37"/>
      <c r="BF2897" s="37"/>
      <c r="BG2897" s="37"/>
      <c r="BH2897" s="37"/>
      <c r="BI2897" s="37"/>
      <c r="BJ2897" s="37"/>
      <c r="BK2897" s="37"/>
      <c r="BL2897" s="37"/>
      <c r="BM2897" s="37"/>
      <c r="BN2897" s="37"/>
      <c r="BO2897" s="37"/>
      <c r="BP2897" s="37"/>
      <c r="BQ2897" s="37"/>
      <c r="BR2897" s="37"/>
      <c r="BS2897" s="37"/>
      <c r="BT2897" s="37"/>
      <c r="BU2897" s="37"/>
      <c r="BV2897" s="37"/>
      <c r="BW2897" s="37"/>
      <c r="BX2897" s="37"/>
      <c r="BY2897" s="37"/>
      <c r="BZ2897" s="37"/>
      <c r="CA2897" s="37"/>
      <c r="CB2897" s="37"/>
      <c r="CC2897" s="37"/>
      <c r="CD2897" s="37"/>
      <c r="CE2897" s="37"/>
      <c r="CF2897" s="37"/>
      <c r="CG2897" s="37"/>
      <c r="CH2897" s="37"/>
      <c r="CI2897" s="37"/>
      <c r="CJ2897" s="37"/>
      <c r="CK2897" s="37"/>
      <c r="CL2897" s="37"/>
      <c r="CM2897" s="37"/>
      <c r="CN2897" s="37"/>
      <c r="CO2897" s="37"/>
      <c r="CP2897" s="37"/>
      <c r="CQ2897" s="37"/>
      <c r="CR2897" s="37"/>
      <c r="CS2897" s="37"/>
      <c r="CT2897" s="37"/>
      <c r="CU2897" s="37"/>
      <c r="CV2897" s="37"/>
      <c r="CW2897" s="37"/>
      <c r="CX2897" s="37"/>
      <c r="CY2897" s="37"/>
      <c r="CZ2897" s="37"/>
      <c r="DA2897" s="37"/>
      <c r="DB2897" s="37"/>
      <c r="DC2897" s="37"/>
      <c r="DD2897" s="37"/>
      <c r="DE2897" s="37"/>
      <c r="DF2897" s="37"/>
      <c r="DG2897" s="37"/>
      <c r="DH2897" s="37"/>
      <c r="DI2897" s="37"/>
      <c r="DJ2897" s="37"/>
      <c r="DK2897" s="37"/>
      <c r="DL2897" s="37"/>
      <c r="DM2897" s="37"/>
      <c r="DN2897" s="37"/>
      <c r="DO2897" s="37"/>
      <c r="DP2897" s="37"/>
      <c r="DQ2897" s="37"/>
      <c r="DR2897" s="37"/>
      <c r="DS2897" s="37"/>
      <c r="DT2897" s="37"/>
      <c r="DU2897" s="37"/>
      <c r="DV2897" s="37"/>
      <c r="DW2897" s="37"/>
      <c r="DX2897" s="37"/>
      <c r="DY2897" s="37"/>
      <c r="DZ2897" s="37"/>
      <c r="EA2897" s="37"/>
      <c r="EB2897" s="37"/>
      <c r="EC2897" s="37"/>
      <c r="ED2897" s="37"/>
      <c r="EE2897" s="37"/>
      <c r="EF2897" s="37"/>
      <c r="EG2897" s="37"/>
      <c r="EH2897" s="37"/>
      <c r="EI2897" s="37"/>
      <c r="EJ2897" s="37"/>
      <c r="EK2897" s="37"/>
      <c r="EL2897" s="37"/>
      <c r="EM2897" s="37"/>
      <c r="EN2897" s="37"/>
      <c r="EO2897" s="37"/>
      <c r="EP2897" s="37"/>
      <c r="EQ2897" s="37"/>
      <c r="ER2897" s="37"/>
      <c r="ES2897" s="37"/>
      <c r="ET2897" s="37"/>
      <c r="EU2897" s="37"/>
      <c r="EV2897" s="37"/>
      <c r="EW2897" s="37"/>
      <c r="EX2897" s="37"/>
      <c r="EY2897" s="37"/>
      <c r="EZ2897" s="37"/>
      <c r="FA2897" s="37"/>
      <c r="FB2897" s="37"/>
      <c r="FC2897" s="37"/>
      <c r="FD2897" s="37"/>
      <c r="FE2897" s="37"/>
      <c r="FF2897" s="37"/>
      <c r="FG2897" s="37"/>
      <c r="FH2897" s="37"/>
      <c r="FI2897" s="37"/>
      <c r="FJ2897" s="37"/>
      <c r="FK2897" s="37"/>
      <c r="FL2897" s="37"/>
      <c r="FM2897" s="37"/>
      <c r="FN2897" s="37"/>
      <c r="FO2897" s="37"/>
      <c r="FP2897" s="37"/>
      <c r="FQ2897" s="37"/>
      <c r="FR2897" s="37"/>
      <c r="FS2897" s="37"/>
      <c r="FT2897" s="37"/>
      <c r="FU2897" s="37"/>
      <c r="FV2897" s="37"/>
      <c r="FW2897" s="37"/>
      <c r="FX2897" s="37"/>
      <c r="FY2897" s="37"/>
      <c r="FZ2897" s="37"/>
      <c r="GA2897" s="37"/>
      <c r="GB2897" s="37"/>
      <c r="GC2897" s="37"/>
      <c r="GD2897" s="37"/>
      <c r="GE2897" s="37"/>
      <c r="GF2897" s="37"/>
      <c r="GG2897" s="37"/>
      <c r="GH2897" s="37"/>
      <c r="GI2897" s="37"/>
      <c r="GJ2897" s="37"/>
      <c r="GK2897" s="37"/>
      <c r="GL2897" s="37"/>
      <c r="GM2897" s="37"/>
      <c r="GN2897" s="37"/>
      <c r="GO2897" s="37"/>
      <c r="GP2897" s="37"/>
      <c r="GQ2897" s="37"/>
      <c r="GR2897" s="37"/>
      <c r="GS2897" s="37"/>
      <c r="GT2897" s="37"/>
      <c r="GU2897" s="37"/>
      <c r="GV2897" s="37"/>
      <c r="GW2897" s="37"/>
      <c r="GX2897" s="37"/>
      <c r="GY2897" s="37"/>
      <c r="GZ2897" s="37"/>
      <c r="HA2897" s="37"/>
      <c r="HB2897" s="37"/>
      <c r="HC2897" s="37"/>
      <c r="HD2897" s="37"/>
      <c r="HE2897" s="37"/>
      <c r="HF2897" s="37"/>
      <c r="HG2897" s="37"/>
      <c r="HH2897" s="37"/>
      <c r="HI2897" s="37"/>
      <c r="HJ2897" s="37"/>
      <c r="HK2897" s="37"/>
      <c r="HL2897" s="37"/>
      <c r="HM2897" s="37"/>
      <c r="HN2897" s="37"/>
      <c r="HO2897" s="37"/>
      <c r="HP2897" s="37"/>
      <c r="HQ2897" s="37"/>
      <c r="HR2897" s="37"/>
      <c r="HS2897" s="37"/>
      <c r="HT2897" s="37"/>
      <c r="HU2897" s="37"/>
      <c r="HV2897" s="37"/>
      <c r="HW2897" s="37"/>
      <c r="HX2897" s="37"/>
      <c r="HY2897" s="37"/>
      <c r="HZ2897" s="37"/>
      <c r="IA2897" s="37"/>
      <c r="IB2897" s="37"/>
      <c r="IC2897" s="37"/>
      <c r="ID2897" s="37"/>
      <c r="IE2897" s="37"/>
      <c r="IF2897" s="37"/>
      <c r="IG2897" s="37"/>
      <c r="IH2897" s="37"/>
      <c r="II2897" s="37"/>
      <c r="IJ2897" s="37"/>
      <c r="IK2897" s="37"/>
      <c r="IL2897" s="37"/>
      <c r="IM2897" s="37"/>
      <c r="IN2897" s="37"/>
      <c r="IO2897" s="37"/>
      <c r="IP2897" s="37"/>
      <c r="IQ2897" s="37"/>
      <c r="IR2897" s="37"/>
      <c r="IS2897" s="37"/>
      <c r="IT2897" s="37"/>
      <c r="IU2897" s="37"/>
      <c r="IV2897" s="37"/>
      <c r="IW2897" s="37"/>
      <c r="IX2897" s="37"/>
      <c r="IY2897" s="37"/>
      <c r="IZ2897" s="37"/>
      <c r="JA2897" s="37"/>
      <c r="JB2897" s="37"/>
      <c r="JC2897" s="37"/>
      <c r="JD2897" s="37"/>
      <c r="JE2897" s="37"/>
      <c r="JF2897" s="37"/>
      <c r="JG2897" s="37"/>
      <c r="JH2897" s="37"/>
      <c r="JI2897" s="37"/>
      <c r="JJ2897" s="37"/>
      <c r="JK2897" s="37"/>
      <c r="JL2897" s="37"/>
      <c r="JM2897" s="37"/>
      <c r="JN2897" s="37"/>
      <c r="JO2897" s="37"/>
      <c r="JP2897" s="37"/>
      <c r="JQ2897" s="37"/>
      <c r="JR2897" s="37"/>
      <c r="JS2897" s="37"/>
      <c r="JT2897" s="37"/>
      <c r="JU2897" s="37"/>
      <c r="JV2897" s="37"/>
      <c r="JW2897" s="37"/>
      <c r="JX2897" s="37"/>
      <c r="JY2897" s="37"/>
      <c r="JZ2897" s="37"/>
      <c r="KA2897" s="37"/>
      <c r="KB2897" s="37"/>
      <c r="KC2897" s="37"/>
      <c r="KD2897" s="37"/>
      <c r="KE2897" s="37"/>
      <c r="KF2897" s="37"/>
      <c r="KG2897" s="37"/>
      <c r="KH2897" s="37"/>
      <c r="KI2897" s="37"/>
      <c r="KJ2897" s="37"/>
      <c r="KK2897" s="37"/>
      <c r="KL2897" s="37"/>
      <c r="KM2897" s="37"/>
      <c r="KN2897" s="37"/>
      <c r="KO2897" s="37"/>
      <c r="KP2897" s="37"/>
      <c r="KQ2897" s="37"/>
      <c r="KR2897" s="37"/>
      <c r="KS2897" s="37"/>
      <c r="KT2897" s="37"/>
      <c r="KU2897" s="37"/>
      <c r="KV2897" s="37"/>
      <c r="KW2897" s="37"/>
      <c r="KX2897" s="37"/>
      <c r="KY2897" s="37"/>
      <c r="KZ2897" s="37"/>
      <c r="LA2897" s="37"/>
      <c r="LB2897" s="37"/>
      <c r="LC2897" s="37"/>
      <c r="LD2897" s="37"/>
      <c r="LE2897" s="37"/>
      <c r="LF2897" s="37"/>
      <c r="LG2897" s="37"/>
      <c r="LH2897" s="37"/>
      <c r="LI2897" s="37"/>
      <c r="LJ2897" s="37"/>
      <c r="LK2897" s="37"/>
      <c r="LL2897" s="37"/>
      <c r="LM2897" s="37"/>
      <c r="LN2897" s="37"/>
      <c r="LO2897" s="37"/>
      <c r="LP2897" s="37"/>
      <c r="LQ2897" s="37"/>
      <c r="LR2897" s="37"/>
      <c r="LS2897" s="37"/>
      <c r="LT2897" s="37"/>
      <c r="LU2897" s="37"/>
      <c r="LV2897" s="37"/>
      <c r="LW2897" s="37"/>
      <c r="LX2897" s="37"/>
      <c r="LY2897" s="37"/>
      <c r="LZ2897" s="37"/>
      <c r="MA2897" s="37"/>
      <c r="MB2897" s="37"/>
      <c r="MC2897" s="37"/>
      <c r="MD2897" s="37"/>
      <c r="ME2897" s="37"/>
      <c r="MF2897" s="37"/>
      <c r="MG2897" s="37"/>
      <c r="MH2897" s="37"/>
      <c r="MI2897" s="37"/>
      <c r="MJ2897" s="37"/>
      <c r="MK2897" s="37"/>
      <c r="ML2897" s="37"/>
      <c r="MM2897" s="37"/>
      <c r="MN2897" s="37"/>
      <c r="MO2897" s="37"/>
      <c r="MP2897" s="37"/>
      <c r="MQ2897" s="37"/>
      <c r="MR2897" s="37"/>
      <c r="MS2897" s="37"/>
      <c r="MT2897" s="37"/>
      <c r="MU2897" s="37"/>
      <c r="MV2897" s="37"/>
      <c r="MW2897" s="37"/>
      <c r="MX2897" s="37"/>
      <c r="MY2897" s="37"/>
      <c r="MZ2897" s="37"/>
      <c r="NA2897" s="37"/>
      <c r="NB2897" s="37"/>
      <c r="NC2897" s="37"/>
      <c r="ND2897" s="37"/>
      <c r="NE2897" s="37"/>
      <c r="NF2897" s="37"/>
      <c r="NG2897" s="37"/>
      <c r="NH2897" s="37"/>
      <c r="NI2897" s="37"/>
      <c r="NJ2897" s="37"/>
      <c r="NK2897" s="37"/>
      <c r="NL2897" s="37"/>
      <c r="NM2897" s="37"/>
      <c r="NN2897" s="37"/>
      <c r="NO2897" s="37"/>
      <c r="NP2897" s="37"/>
      <c r="NQ2897" s="37"/>
      <c r="NR2897" s="37"/>
      <c r="NS2897" s="37"/>
      <c r="NT2897" s="37"/>
      <c r="NU2897" s="37"/>
      <c r="NV2897" s="37"/>
      <c r="NW2897" s="37"/>
      <c r="NX2897" s="37"/>
      <c r="NY2897" s="37"/>
      <c r="NZ2897" s="37"/>
      <c r="OA2897" s="37"/>
      <c r="OB2897" s="37"/>
      <c r="OC2897" s="37"/>
      <c r="OD2897" s="37"/>
      <c r="OE2897" s="37"/>
      <c r="OF2897" s="37"/>
      <c r="OG2897" s="37"/>
      <c r="OH2897" s="37"/>
      <c r="OI2897" s="37"/>
      <c r="OJ2897" s="37"/>
      <c r="OK2897" s="37"/>
      <c r="OL2897" s="37"/>
      <c r="OM2897" s="37"/>
      <c r="ON2897" s="37"/>
      <c r="OO2897" s="37"/>
      <c r="OP2897" s="37"/>
      <c r="OQ2897" s="37"/>
      <c r="OR2897" s="37"/>
      <c r="OS2897" s="37"/>
      <c r="OT2897" s="37"/>
      <c r="OU2897" s="37"/>
      <c r="OV2897" s="37"/>
      <c r="OW2897" s="37"/>
      <c r="OX2897" s="37"/>
      <c r="OY2897" s="37"/>
      <c r="OZ2897" s="37"/>
      <c r="PA2897" s="37"/>
      <c r="PB2897" s="37"/>
      <c r="PC2897" s="37"/>
      <c r="PD2897" s="37"/>
      <c r="PE2897" s="37"/>
      <c r="PF2897" s="37"/>
      <c r="PG2897" s="37"/>
      <c r="PH2897" s="37"/>
      <c r="PI2897" s="37"/>
      <c r="PJ2897" s="37"/>
      <c r="PK2897" s="37"/>
      <c r="PL2897" s="37"/>
      <c r="PM2897" s="37"/>
      <c r="PN2897" s="37"/>
      <c r="PO2897" s="37"/>
      <c r="PP2897" s="37"/>
      <c r="PQ2897" s="37"/>
      <c r="PR2897" s="37"/>
      <c r="PS2897" s="37"/>
      <c r="PT2897" s="37"/>
      <c r="PU2897" s="37"/>
      <c r="PV2897" s="37"/>
      <c r="PW2897" s="37"/>
      <c r="PX2897" s="37"/>
      <c r="PY2897" s="37"/>
      <c r="PZ2897" s="37"/>
      <c r="QA2897" s="37"/>
      <c r="QB2897" s="37"/>
      <c r="QC2897" s="37"/>
      <c r="QD2897" s="37"/>
      <c r="QE2897" s="37"/>
      <c r="QF2897" s="37"/>
      <c r="QG2897" s="37"/>
      <c r="QH2897" s="37"/>
      <c r="QI2897" s="37"/>
      <c r="QJ2897" s="37"/>
      <c r="QK2897" s="37"/>
      <c r="QL2897" s="37"/>
      <c r="QM2897" s="37"/>
      <c r="QN2897" s="37"/>
      <c r="QO2897" s="37"/>
      <c r="QP2897" s="37"/>
      <c r="QQ2897" s="37"/>
      <c r="QR2897" s="37"/>
      <c r="QS2897" s="37"/>
      <c r="QT2897" s="37"/>
      <c r="QU2897" s="37"/>
      <c r="QV2897" s="37"/>
      <c r="QW2897" s="37"/>
      <c r="QX2897" s="37"/>
      <c r="QY2897" s="37"/>
      <c r="QZ2897" s="37"/>
      <c r="RA2897" s="37"/>
      <c r="RB2897" s="37"/>
      <c r="RC2897" s="37"/>
      <c r="RD2897" s="37"/>
      <c r="RE2897" s="37"/>
      <c r="RF2897" s="37"/>
      <c r="RG2897" s="37"/>
      <c r="RH2897" s="37"/>
      <c r="RI2897" s="37"/>
      <c r="RJ2897" s="37"/>
      <c r="RK2897" s="37"/>
      <c r="RL2897" s="37"/>
      <c r="RM2897" s="37"/>
      <c r="RN2897" s="37"/>
      <c r="RO2897" s="37"/>
      <c r="RP2897" s="37"/>
      <c r="RQ2897" s="37"/>
      <c r="RR2897" s="37"/>
      <c r="RS2897" s="37"/>
      <c r="RT2897" s="37"/>
      <c r="RU2897" s="37"/>
      <c r="RV2897" s="37"/>
      <c r="RW2897" s="37"/>
      <c r="RX2897" s="37"/>
      <c r="RY2897" s="37"/>
      <c r="RZ2897" s="37"/>
      <c r="SA2897" s="37"/>
      <c r="SB2897" s="37"/>
      <c r="SC2897" s="37"/>
      <c r="SD2897" s="37"/>
      <c r="SE2897" s="37"/>
      <c r="SF2897" s="37"/>
    </row>
    <row r="2898" spans="1:500">
      <c r="A2898" s="37"/>
      <c r="B2898" s="37"/>
      <c r="C2898" s="37"/>
      <c r="D2898" s="37"/>
      <c r="E2898" s="37"/>
      <c r="F2898" s="37"/>
      <c r="G2898" s="37"/>
      <c r="H2898" s="37"/>
      <c r="I2898" s="37"/>
      <c r="J2898" s="37"/>
      <c r="K2898" s="37"/>
      <c r="L2898" s="37"/>
      <c r="M2898" s="37"/>
      <c r="N2898" s="37"/>
      <c r="O2898" s="37"/>
      <c r="P2898" s="37"/>
      <c r="Q2898" s="37"/>
      <c r="R2898" s="37"/>
      <c r="S2898" s="37"/>
      <c r="T2898" s="37"/>
      <c r="U2898" s="37"/>
      <c r="V2898" s="37"/>
      <c r="W2898" s="37"/>
      <c r="X2898" s="37"/>
      <c r="Y2898" s="37"/>
      <c r="Z2898" s="37"/>
      <c r="AA2898" s="37"/>
      <c r="AB2898" s="37"/>
      <c r="AC2898" s="37"/>
      <c r="AD2898" s="37"/>
      <c r="AE2898" s="37"/>
      <c r="AF2898" s="37"/>
      <c r="AG2898" s="37"/>
      <c r="AH2898" s="37"/>
      <c r="AI2898" s="37"/>
      <c r="AJ2898" s="37"/>
      <c r="AK2898" s="37"/>
      <c r="AL2898" s="37"/>
      <c r="AM2898" s="37"/>
      <c r="AN2898" s="37"/>
      <c r="AO2898" s="37"/>
      <c r="AP2898" s="37"/>
      <c r="AQ2898" s="37"/>
      <c r="AR2898" s="37"/>
      <c r="AS2898" s="37"/>
      <c r="AT2898" s="37"/>
      <c r="AU2898" s="37"/>
      <c r="AV2898" s="37"/>
      <c r="AW2898" s="37"/>
      <c r="AX2898" s="37"/>
      <c r="AY2898" s="37"/>
      <c r="AZ2898" s="37"/>
      <c r="BA2898" s="37"/>
      <c r="BB2898" s="37"/>
      <c r="BC2898" s="37"/>
      <c r="BD2898" s="37"/>
      <c r="BE2898" s="37"/>
      <c r="BF2898" s="37"/>
      <c r="BG2898" s="37"/>
      <c r="BH2898" s="37"/>
      <c r="BI2898" s="37"/>
      <c r="BJ2898" s="37"/>
      <c r="BK2898" s="37"/>
      <c r="BL2898" s="37"/>
      <c r="BM2898" s="37"/>
      <c r="BN2898" s="37"/>
      <c r="BO2898" s="37"/>
      <c r="BP2898" s="37"/>
      <c r="BQ2898" s="37"/>
      <c r="BR2898" s="37"/>
      <c r="BS2898" s="37"/>
      <c r="BT2898" s="37"/>
      <c r="BU2898" s="37"/>
      <c r="BV2898" s="37"/>
      <c r="BW2898" s="37"/>
      <c r="BX2898" s="37"/>
      <c r="BY2898" s="37"/>
      <c r="BZ2898" s="37"/>
      <c r="CA2898" s="37"/>
      <c r="CB2898" s="37"/>
      <c r="CC2898" s="37"/>
      <c r="CD2898" s="37"/>
      <c r="CE2898" s="37"/>
      <c r="CF2898" s="37"/>
      <c r="CG2898" s="37"/>
      <c r="CH2898" s="37"/>
      <c r="CI2898" s="37"/>
      <c r="CJ2898" s="37"/>
      <c r="CK2898" s="37"/>
      <c r="CL2898" s="37"/>
      <c r="CM2898" s="37"/>
      <c r="CN2898" s="37"/>
      <c r="CO2898" s="37"/>
      <c r="CP2898" s="37"/>
      <c r="CQ2898" s="37"/>
      <c r="CR2898" s="37"/>
      <c r="CS2898" s="37"/>
      <c r="CT2898" s="37"/>
      <c r="CU2898" s="37"/>
      <c r="CV2898" s="37"/>
      <c r="CW2898" s="37"/>
      <c r="CX2898" s="37"/>
      <c r="CY2898" s="37"/>
      <c r="CZ2898" s="37"/>
      <c r="DA2898" s="37"/>
      <c r="DB2898" s="37"/>
      <c r="DC2898" s="37"/>
      <c r="DD2898" s="37"/>
      <c r="DE2898" s="37"/>
      <c r="DF2898" s="37"/>
      <c r="DG2898" s="37"/>
      <c r="DH2898" s="37"/>
      <c r="DI2898" s="37"/>
      <c r="DJ2898" s="37"/>
      <c r="DK2898" s="37"/>
      <c r="DL2898" s="37"/>
      <c r="DM2898" s="37"/>
      <c r="DN2898" s="37"/>
      <c r="DO2898" s="37"/>
      <c r="DP2898" s="37"/>
      <c r="DQ2898" s="37"/>
      <c r="DR2898" s="37"/>
      <c r="DS2898" s="37"/>
      <c r="DT2898" s="37"/>
      <c r="DU2898" s="37"/>
      <c r="DV2898" s="37"/>
      <c r="DW2898" s="37"/>
      <c r="DX2898" s="37"/>
      <c r="DY2898" s="37"/>
      <c r="DZ2898" s="37"/>
      <c r="EA2898" s="37"/>
      <c r="EB2898" s="37"/>
      <c r="EC2898" s="37"/>
      <c r="ED2898" s="37"/>
      <c r="EE2898" s="37"/>
      <c r="EF2898" s="37"/>
      <c r="EG2898" s="37"/>
      <c r="EH2898" s="37"/>
      <c r="EI2898" s="37"/>
      <c r="EJ2898" s="37"/>
      <c r="EK2898" s="37"/>
      <c r="EL2898" s="37"/>
      <c r="EM2898" s="37"/>
      <c r="EN2898" s="37"/>
      <c r="EO2898" s="37"/>
      <c r="EP2898" s="37"/>
      <c r="EQ2898" s="37"/>
      <c r="ER2898" s="37"/>
      <c r="ES2898" s="37"/>
      <c r="ET2898" s="37"/>
      <c r="EU2898" s="37"/>
      <c r="EV2898" s="37"/>
      <c r="EW2898" s="37"/>
      <c r="EX2898" s="37"/>
      <c r="EY2898" s="37"/>
      <c r="EZ2898" s="37"/>
      <c r="FA2898" s="37"/>
      <c r="FB2898" s="37"/>
      <c r="FC2898" s="37"/>
      <c r="FD2898" s="37"/>
      <c r="FE2898" s="37"/>
      <c r="FF2898" s="37"/>
      <c r="FG2898" s="37"/>
      <c r="FH2898" s="37"/>
      <c r="FI2898" s="37"/>
      <c r="FJ2898" s="37"/>
      <c r="FK2898" s="37"/>
      <c r="FL2898" s="37"/>
      <c r="FM2898" s="37"/>
      <c r="FN2898" s="37"/>
      <c r="FO2898" s="37"/>
      <c r="FP2898" s="37"/>
      <c r="FQ2898" s="37"/>
      <c r="FR2898" s="37"/>
      <c r="FS2898" s="37"/>
      <c r="FT2898" s="37"/>
      <c r="FU2898" s="37"/>
      <c r="FV2898" s="37"/>
      <c r="FW2898" s="37"/>
      <c r="FX2898" s="37"/>
      <c r="FY2898" s="37"/>
      <c r="FZ2898" s="37"/>
      <c r="GA2898" s="37"/>
      <c r="GB2898" s="37"/>
      <c r="GC2898" s="37"/>
      <c r="GD2898" s="37"/>
      <c r="GE2898" s="37"/>
      <c r="GF2898" s="37"/>
      <c r="GG2898" s="37"/>
      <c r="GH2898" s="37"/>
      <c r="GI2898" s="37"/>
      <c r="GJ2898" s="37"/>
      <c r="GK2898" s="37"/>
      <c r="GL2898" s="37"/>
      <c r="GM2898" s="37"/>
      <c r="GN2898" s="37"/>
      <c r="GO2898" s="37"/>
      <c r="GP2898" s="37"/>
      <c r="GQ2898" s="37"/>
      <c r="GR2898" s="37"/>
      <c r="GS2898" s="37"/>
      <c r="GT2898" s="37"/>
      <c r="GU2898" s="37"/>
      <c r="GV2898" s="37"/>
      <c r="GW2898" s="37"/>
      <c r="GX2898" s="37"/>
      <c r="GY2898" s="37"/>
      <c r="GZ2898" s="37"/>
      <c r="HA2898" s="37"/>
      <c r="HB2898" s="37"/>
      <c r="HC2898" s="37"/>
      <c r="HD2898" s="37"/>
      <c r="HE2898" s="37"/>
      <c r="HF2898" s="37"/>
      <c r="HG2898" s="37"/>
      <c r="HH2898" s="37"/>
      <c r="HI2898" s="37"/>
      <c r="HJ2898" s="37"/>
      <c r="HK2898" s="37"/>
      <c r="HL2898" s="37"/>
      <c r="HM2898" s="37"/>
      <c r="HN2898" s="37"/>
      <c r="HO2898" s="37"/>
      <c r="HP2898" s="37"/>
      <c r="HQ2898" s="37"/>
      <c r="HR2898" s="37"/>
      <c r="HS2898" s="37"/>
      <c r="HT2898" s="37"/>
      <c r="HU2898" s="37"/>
      <c r="HV2898" s="37"/>
      <c r="HW2898" s="37"/>
      <c r="HX2898" s="37"/>
      <c r="HY2898" s="37"/>
      <c r="HZ2898" s="37"/>
      <c r="IA2898" s="37"/>
      <c r="IB2898" s="37"/>
      <c r="IC2898" s="37"/>
      <c r="ID2898" s="37"/>
      <c r="IE2898" s="37"/>
      <c r="IF2898" s="37"/>
      <c r="IG2898" s="37"/>
      <c r="IH2898" s="37"/>
      <c r="II2898" s="37"/>
      <c r="IJ2898" s="37"/>
      <c r="IK2898" s="37"/>
      <c r="IL2898" s="37"/>
      <c r="IM2898" s="37"/>
      <c r="IN2898" s="37"/>
      <c r="IO2898" s="37"/>
      <c r="IP2898" s="37"/>
      <c r="IQ2898" s="37"/>
      <c r="IR2898" s="37"/>
      <c r="IS2898" s="37"/>
      <c r="IT2898" s="37"/>
      <c r="IU2898" s="37"/>
      <c r="IV2898" s="37"/>
      <c r="IW2898" s="37"/>
      <c r="IX2898" s="37"/>
      <c r="IY2898" s="37"/>
      <c r="IZ2898" s="37"/>
      <c r="JA2898" s="37"/>
      <c r="JB2898" s="37"/>
      <c r="JC2898" s="37"/>
      <c r="JD2898" s="37"/>
      <c r="JE2898" s="37"/>
      <c r="JF2898" s="37"/>
      <c r="JG2898" s="37"/>
      <c r="JH2898" s="37"/>
      <c r="JI2898" s="37"/>
      <c r="JJ2898" s="37"/>
      <c r="JK2898" s="37"/>
      <c r="JL2898" s="37"/>
      <c r="JM2898" s="37"/>
      <c r="JN2898" s="37"/>
      <c r="JO2898" s="37"/>
      <c r="JP2898" s="37"/>
      <c r="JQ2898" s="37"/>
      <c r="JR2898" s="37"/>
      <c r="JS2898" s="37"/>
      <c r="JT2898" s="37"/>
      <c r="JU2898" s="37"/>
      <c r="JV2898" s="37"/>
      <c r="JW2898" s="37"/>
      <c r="JX2898" s="37"/>
      <c r="JY2898" s="37"/>
      <c r="JZ2898" s="37"/>
      <c r="KA2898" s="37"/>
      <c r="KB2898" s="37"/>
      <c r="KC2898" s="37"/>
      <c r="KD2898" s="37"/>
      <c r="KE2898" s="37"/>
      <c r="KF2898" s="37"/>
      <c r="KG2898" s="37"/>
      <c r="KH2898" s="37"/>
      <c r="KI2898" s="37"/>
      <c r="KJ2898" s="37"/>
      <c r="KK2898" s="37"/>
      <c r="KL2898" s="37"/>
      <c r="KM2898" s="37"/>
      <c r="KN2898" s="37"/>
      <c r="KO2898" s="37"/>
      <c r="KP2898" s="37"/>
      <c r="KQ2898" s="37"/>
      <c r="KR2898" s="37"/>
      <c r="KS2898" s="37"/>
      <c r="KT2898" s="37"/>
      <c r="KU2898" s="37"/>
      <c r="KV2898" s="37"/>
      <c r="KW2898" s="37"/>
      <c r="KX2898" s="37"/>
      <c r="KY2898" s="37"/>
      <c r="KZ2898" s="37"/>
      <c r="LA2898" s="37"/>
      <c r="LB2898" s="37"/>
      <c r="LC2898" s="37"/>
      <c r="LD2898" s="37"/>
      <c r="LE2898" s="37"/>
      <c r="LF2898" s="37"/>
      <c r="LG2898" s="37"/>
      <c r="LH2898" s="37"/>
      <c r="LI2898" s="37"/>
      <c r="LJ2898" s="37"/>
      <c r="LK2898" s="37"/>
      <c r="LL2898" s="37"/>
      <c r="LM2898" s="37"/>
      <c r="LN2898" s="37"/>
      <c r="LO2898" s="37"/>
      <c r="LP2898" s="37"/>
      <c r="LQ2898" s="37"/>
      <c r="LR2898" s="37"/>
      <c r="LS2898" s="37"/>
      <c r="LT2898" s="37"/>
      <c r="LU2898" s="37"/>
      <c r="LV2898" s="37"/>
      <c r="LW2898" s="37"/>
      <c r="LX2898" s="37"/>
      <c r="LY2898" s="37"/>
      <c r="LZ2898" s="37"/>
      <c r="MA2898" s="37"/>
      <c r="MB2898" s="37"/>
      <c r="MC2898" s="37"/>
      <c r="MD2898" s="37"/>
      <c r="ME2898" s="37"/>
      <c r="MF2898" s="37"/>
      <c r="MG2898" s="37"/>
      <c r="MH2898" s="37"/>
      <c r="MI2898" s="37"/>
      <c r="MJ2898" s="37"/>
      <c r="MK2898" s="37"/>
      <c r="ML2898" s="37"/>
      <c r="MM2898" s="37"/>
      <c r="MN2898" s="37"/>
      <c r="MO2898" s="37"/>
      <c r="MP2898" s="37"/>
      <c r="MQ2898" s="37"/>
      <c r="MR2898" s="37"/>
      <c r="MS2898" s="37"/>
      <c r="MT2898" s="37"/>
      <c r="MU2898" s="37"/>
      <c r="MV2898" s="37"/>
      <c r="MW2898" s="37"/>
      <c r="MX2898" s="37"/>
      <c r="MY2898" s="37"/>
      <c r="MZ2898" s="37"/>
      <c r="NA2898" s="37"/>
      <c r="NB2898" s="37"/>
      <c r="NC2898" s="37"/>
      <c r="ND2898" s="37"/>
      <c r="NE2898" s="37"/>
      <c r="NF2898" s="37"/>
      <c r="NG2898" s="37"/>
      <c r="NH2898" s="37"/>
      <c r="NI2898" s="37"/>
      <c r="NJ2898" s="37"/>
      <c r="NK2898" s="37"/>
      <c r="NL2898" s="37"/>
      <c r="NM2898" s="37"/>
      <c r="NN2898" s="37"/>
      <c r="NO2898" s="37"/>
      <c r="NP2898" s="37"/>
      <c r="NQ2898" s="37"/>
      <c r="NR2898" s="37"/>
      <c r="NS2898" s="37"/>
      <c r="NT2898" s="37"/>
      <c r="NU2898" s="37"/>
      <c r="NV2898" s="37"/>
      <c r="NW2898" s="37"/>
      <c r="NX2898" s="37"/>
      <c r="NY2898" s="37"/>
      <c r="NZ2898" s="37"/>
      <c r="OA2898" s="37"/>
      <c r="OB2898" s="37"/>
      <c r="OC2898" s="37"/>
      <c r="OD2898" s="37"/>
      <c r="OE2898" s="37"/>
      <c r="OF2898" s="37"/>
      <c r="OG2898" s="37"/>
      <c r="OH2898" s="37"/>
      <c r="OI2898" s="37"/>
      <c r="OJ2898" s="37"/>
      <c r="OK2898" s="37"/>
      <c r="OL2898" s="37"/>
      <c r="OM2898" s="37"/>
      <c r="ON2898" s="37"/>
      <c r="OO2898" s="37"/>
      <c r="OP2898" s="37"/>
      <c r="OQ2898" s="37"/>
      <c r="OR2898" s="37"/>
      <c r="OS2898" s="37"/>
      <c r="OT2898" s="37"/>
      <c r="OU2898" s="37"/>
      <c r="OV2898" s="37"/>
      <c r="OW2898" s="37"/>
      <c r="OX2898" s="37"/>
      <c r="OY2898" s="37"/>
      <c r="OZ2898" s="37"/>
      <c r="PA2898" s="37"/>
      <c r="PB2898" s="37"/>
      <c r="PC2898" s="37"/>
      <c r="PD2898" s="37"/>
      <c r="PE2898" s="37"/>
      <c r="PF2898" s="37"/>
      <c r="PG2898" s="37"/>
      <c r="PH2898" s="37"/>
      <c r="PI2898" s="37"/>
      <c r="PJ2898" s="37"/>
      <c r="PK2898" s="37"/>
      <c r="PL2898" s="37"/>
      <c r="PM2898" s="37"/>
      <c r="PN2898" s="37"/>
      <c r="PO2898" s="37"/>
      <c r="PP2898" s="37"/>
      <c r="PQ2898" s="37"/>
      <c r="PR2898" s="37"/>
      <c r="PS2898" s="37"/>
      <c r="PT2898" s="37"/>
      <c r="PU2898" s="37"/>
      <c r="PV2898" s="37"/>
      <c r="PW2898" s="37"/>
      <c r="PX2898" s="37"/>
      <c r="PY2898" s="37"/>
      <c r="PZ2898" s="37"/>
      <c r="QA2898" s="37"/>
      <c r="QB2898" s="37"/>
      <c r="QC2898" s="37"/>
      <c r="QD2898" s="37"/>
      <c r="QE2898" s="37"/>
      <c r="QF2898" s="37"/>
      <c r="QG2898" s="37"/>
      <c r="QH2898" s="37"/>
      <c r="QI2898" s="37"/>
      <c r="QJ2898" s="37"/>
      <c r="QK2898" s="37"/>
      <c r="QL2898" s="37"/>
      <c r="QM2898" s="37"/>
      <c r="QN2898" s="37"/>
      <c r="QO2898" s="37"/>
      <c r="QP2898" s="37"/>
      <c r="QQ2898" s="37"/>
      <c r="QR2898" s="37"/>
      <c r="QS2898" s="37"/>
      <c r="QT2898" s="37"/>
      <c r="QU2898" s="37"/>
      <c r="QV2898" s="37"/>
      <c r="QW2898" s="37"/>
      <c r="QX2898" s="37"/>
      <c r="QY2898" s="37"/>
      <c r="QZ2898" s="37"/>
      <c r="RA2898" s="37"/>
      <c r="RB2898" s="37"/>
      <c r="RC2898" s="37"/>
      <c r="RD2898" s="37"/>
      <c r="RE2898" s="37"/>
      <c r="RF2898" s="37"/>
      <c r="RG2898" s="37"/>
      <c r="RH2898" s="37"/>
      <c r="RI2898" s="37"/>
      <c r="RJ2898" s="37"/>
      <c r="RK2898" s="37"/>
      <c r="RL2898" s="37"/>
      <c r="RM2898" s="37"/>
      <c r="RN2898" s="37"/>
      <c r="RO2898" s="37"/>
      <c r="RP2898" s="37"/>
      <c r="RQ2898" s="37"/>
      <c r="RR2898" s="37"/>
      <c r="RS2898" s="37"/>
      <c r="RT2898" s="37"/>
      <c r="RU2898" s="37"/>
      <c r="RV2898" s="37"/>
      <c r="RW2898" s="37"/>
      <c r="RX2898" s="37"/>
      <c r="RY2898" s="37"/>
      <c r="RZ2898" s="37"/>
      <c r="SA2898" s="37"/>
      <c r="SB2898" s="37"/>
      <c r="SC2898" s="37"/>
      <c r="SD2898" s="37"/>
      <c r="SE2898" s="37"/>
      <c r="SF2898" s="37"/>
    </row>
    <row r="2899" spans="1:500">
      <c r="A2899" s="37"/>
      <c r="B2899" s="37"/>
      <c r="C2899" s="37"/>
      <c r="D2899" s="37"/>
      <c r="E2899" s="37"/>
      <c r="F2899" s="37"/>
      <c r="G2899" s="37"/>
      <c r="H2899" s="37"/>
      <c r="I2899" s="37"/>
      <c r="J2899" s="37"/>
      <c r="K2899" s="37"/>
      <c r="L2899" s="37"/>
      <c r="M2899" s="37"/>
      <c r="N2899" s="37"/>
      <c r="O2899" s="37"/>
      <c r="P2899" s="37"/>
      <c r="Q2899" s="37"/>
      <c r="R2899" s="37"/>
      <c r="S2899" s="37"/>
      <c r="T2899" s="37"/>
      <c r="U2899" s="37"/>
      <c r="V2899" s="37"/>
      <c r="W2899" s="37"/>
      <c r="X2899" s="37"/>
      <c r="Y2899" s="37"/>
      <c r="Z2899" s="37"/>
      <c r="AA2899" s="37"/>
      <c r="AB2899" s="37"/>
      <c r="AC2899" s="37"/>
      <c r="AD2899" s="37"/>
      <c r="AE2899" s="37"/>
      <c r="AF2899" s="37"/>
      <c r="AG2899" s="37"/>
      <c r="AH2899" s="37"/>
      <c r="AI2899" s="37"/>
      <c r="AJ2899" s="37"/>
      <c r="AK2899" s="37"/>
      <c r="AL2899" s="37"/>
      <c r="AM2899" s="37"/>
      <c r="AN2899" s="37"/>
      <c r="AO2899" s="37"/>
      <c r="AP2899" s="37"/>
      <c r="AQ2899" s="37"/>
      <c r="AR2899" s="37"/>
      <c r="AS2899" s="37"/>
      <c r="AT2899" s="37"/>
      <c r="AU2899" s="37"/>
      <c r="AV2899" s="37"/>
      <c r="AW2899" s="37"/>
      <c r="AX2899" s="37"/>
      <c r="AY2899" s="37"/>
      <c r="AZ2899" s="37"/>
      <c r="BA2899" s="37"/>
      <c r="BB2899" s="37"/>
      <c r="BC2899" s="37"/>
      <c r="BD2899" s="37"/>
      <c r="BE2899" s="37"/>
      <c r="BF2899" s="37"/>
      <c r="BG2899" s="37"/>
      <c r="BH2899" s="37"/>
      <c r="BI2899" s="37"/>
      <c r="BJ2899" s="37"/>
      <c r="BK2899" s="37"/>
      <c r="BL2899" s="37"/>
      <c r="BM2899" s="37"/>
      <c r="BN2899" s="37"/>
      <c r="BO2899" s="37"/>
      <c r="BP2899" s="37"/>
      <c r="BQ2899" s="37"/>
      <c r="BR2899" s="37"/>
      <c r="BS2899" s="37"/>
      <c r="BT2899" s="37"/>
      <c r="BU2899" s="37"/>
      <c r="BV2899" s="37"/>
      <c r="BW2899" s="37"/>
      <c r="BX2899" s="37"/>
      <c r="BY2899" s="37"/>
      <c r="BZ2899" s="37"/>
      <c r="CA2899" s="37"/>
      <c r="CB2899" s="37"/>
      <c r="CC2899" s="37"/>
      <c r="CD2899" s="37"/>
      <c r="CE2899" s="37"/>
      <c r="CF2899" s="37"/>
      <c r="CG2899" s="37"/>
      <c r="CH2899" s="37"/>
      <c r="CI2899" s="37"/>
      <c r="CJ2899" s="37"/>
      <c r="CK2899" s="37"/>
      <c r="CL2899" s="37"/>
      <c r="CM2899" s="37"/>
      <c r="CN2899" s="37"/>
      <c r="CO2899" s="37"/>
      <c r="CP2899" s="37"/>
      <c r="CQ2899" s="37"/>
      <c r="CR2899" s="37"/>
      <c r="CS2899" s="37"/>
      <c r="CT2899" s="37"/>
      <c r="CU2899" s="37"/>
      <c r="CV2899" s="37"/>
      <c r="CW2899" s="37"/>
      <c r="CX2899" s="37"/>
      <c r="CY2899" s="37"/>
      <c r="CZ2899" s="37"/>
      <c r="DA2899" s="37"/>
      <c r="DB2899" s="37"/>
      <c r="DC2899" s="37"/>
      <c r="DD2899" s="37"/>
      <c r="DE2899" s="37"/>
      <c r="DF2899" s="37"/>
      <c r="DG2899" s="37"/>
      <c r="DH2899" s="37"/>
      <c r="DI2899" s="37"/>
      <c r="DJ2899" s="37"/>
      <c r="DK2899" s="37"/>
      <c r="DL2899" s="37"/>
      <c r="DM2899" s="37"/>
      <c r="DN2899" s="37"/>
      <c r="DO2899" s="37"/>
      <c r="DP2899" s="37"/>
      <c r="DQ2899" s="37"/>
      <c r="DR2899" s="37"/>
      <c r="DS2899" s="37"/>
      <c r="DT2899" s="37"/>
      <c r="DU2899" s="37"/>
      <c r="DV2899" s="37"/>
      <c r="DW2899" s="37"/>
      <c r="DX2899" s="37"/>
      <c r="DY2899" s="37"/>
      <c r="DZ2899" s="37"/>
      <c r="EA2899" s="37"/>
      <c r="EB2899" s="37"/>
      <c r="EC2899" s="37"/>
      <c r="ED2899" s="37"/>
      <c r="EE2899" s="37"/>
      <c r="EF2899" s="37"/>
      <c r="EG2899" s="37"/>
      <c r="EH2899" s="37"/>
      <c r="EI2899" s="37"/>
      <c r="EJ2899" s="37"/>
      <c r="EK2899" s="37"/>
      <c r="EL2899" s="37"/>
      <c r="EM2899" s="37"/>
      <c r="EN2899" s="37"/>
      <c r="EO2899" s="37"/>
      <c r="EP2899" s="37"/>
      <c r="EQ2899" s="37"/>
      <c r="ER2899" s="37"/>
      <c r="ES2899" s="37"/>
      <c r="ET2899" s="37"/>
      <c r="EU2899" s="37"/>
      <c r="EV2899" s="37"/>
      <c r="EW2899" s="37"/>
      <c r="EX2899" s="37"/>
      <c r="EY2899" s="37"/>
      <c r="EZ2899" s="37"/>
      <c r="FA2899" s="37"/>
      <c r="FB2899" s="37"/>
      <c r="FC2899" s="37"/>
      <c r="FD2899" s="37"/>
      <c r="FE2899" s="37"/>
      <c r="FF2899" s="37"/>
      <c r="FG2899" s="37"/>
      <c r="FH2899" s="37"/>
      <c r="FI2899" s="37"/>
      <c r="FJ2899" s="37"/>
      <c r="FK2899" s="37"/>
      <c r="FL2899" s="37"/>
      <c r="FM2899" s="37"/>
      <c r="FN2899" s="37"/>
      <c r="FO2899" s="37"/>
      <c r="FP2899" s="37"/>
      <c r="FQ2899" s="37"/>
      <c r="FR2899" s="37"/>
      <c r="FS2899" s="37"/>
      <c r="FT2899" s="37"/>
      <c r="FU2899" s="37"/>
      <c r="FV2899" s="37"/>
      <c r="FW2899" s="37"/>
      <c r="FX2899" s="37"/>
      <c r="FY2899" s="37"/>
      <c r="FZ2899" s="37"/>
      <c r="GA2899" s="37"/>
      <c r="GB2899" s="37"/>
      <c r="GC2899" s="37"/>
      <c r="GD2899" s="37"/>
      <c r="GE2899" s="37"/>
      <c r="GF2899" s="37"/>
      <c r="GG2899" s="37"/>
      <c r="GH2899" s="37"/>
      <c r="GI2899" s="37"/>
      <c r="GJ2899" s="37"/>
      <c r="GK2899" s="37"/>
      <c r="GL2899" s="37"/>
      <c r="GM2899" s="37"/>
      <c r="GN2899" s="37"/>
      <c r="GO2899" s="37"/>
      <c r="GP2899" s="37"/>
      <c r="GQ2899" s="37"/>
      <c r="GR2899" s="37"/>
      <c r="GS2899" s="37"/>
      <c r="GT2899" s="37"/>
      <c r="GU2899" s="37"/>
      <c r="GV2899" s="37"/>
      <c r="GW2899" s="37"/>
      <c r="GX2899" s="37"/>
      <c r="GY2899" s="37"/>
      <c r="GZ2899" s="37"/>
      <c r="HA2899" s="37"/>
      <c r="HB2899" s="37"/>
      <c r="HC2899" s="37"/>
      <c r="HD2899" s="37"/>
      <c r="HE2899" s="37"/>
      <c r="HF2899" s="37"/>
      <c r="HG2899" s="37"/>
      <c r="HH2899" s="37"/>
      <c r="HI2899" s="37"/>
      <c r="HJ2899" s="37"/>
      <c r="HK2899" s="37"/>
      <c r="HL2899" s="37"/>
      <c r="HM2899" s="37"/>
      <c r="HN2899" s="37"/>
      <c r="HO2899" s="37"/>
      <c r="HP2899" s="37"/>
      <c r="HQ2899" s="37"/>
      <c r="HR2899" s="37"/>
      <c r="HS2899" s="37"/>
      <c r="HT2899" s="37"/>
      <c r="HU2899" s="37"/>
      <c r="HV2899" s="37"/>
      <c r="HW2899" s="37"/>
      <c r="HX2899" s="37"/>
      <c r="HY2899" s="37"/>
      <c r="HZ2899" s="37"/>
      <c r="IA2899" s="37"/>
      <c r="IB2899" s="37"/>
      <c r="IC2899" s="37"/>
      <c r="ID2899" s="37"/>
      <c r="IE2899" s="37"/>
      <c r="IF2899" s="37"/>
      <c r="IG2899" s="37"/>
      <c r="IH2899" s="37"/>
      <c r="II2899" s="37"/>
      <c r="IJ2899" s="37"/>
      <c r="IK2899" s="37"/>
      <c r="IL2899" s="37"/>
      <c r="IM2899" s="37"/>
      <c r="IN2899" s="37"/>
      <c r="IO2899" s="37"/>
      <c r="IP2899" s="37"/>
      <c r="IQ2899" s="37"/>
      <c r="IR2899" s="37"/>
      <c r="IS2899" s="37"/>
      <c r="IT2899" s="37"/>
      <c r="IU2899" s="37"/>
      <c r="IV2899" s="37"/>
      <c r="IW2899" s="37"/>
      <c r="IX2899" s="37"/>
      <c r="IY2899" s="37"/>
      <c r="IZ2899" s="37"/>
      <c r="JA2899" s="37"/>
      <c r="JB2899" s="37"/>
      <c r="JC2899" s="37"/>
      <c r="JD2899" s="37"/>
      <c r="JE2899" s="37"/>
      <c r="JF2899" s="37"/>
      <c r="JG2899" s="37"/>
      <c r="JH2899" s="37"/>
      <c r="JI2899" s="37"/>
      <c r="JJ2899" s="37"/>
      <c r="JK2899" s="37"/>
      <c r="JL2899" s="37"/>
      <c r="JM2899" s="37"/>
      <c r="JN2899" s="37"/>
      <c r="JO2899" s="37"/>
      <c r="JP2899" s="37"/>
      <c r="JQ2899" s="37"/>
      <c r="JR2899" s="37"/>
      <c r="JS2899" s="37"/>
      <c r="JT2899" s="37"/>
      <c r="JU2899" s="37"/>
      <c r="JV2899" s="37"/>
      <c r="JW2899" s="37"/>
      <c r="JX2899" s="37"/>
      <c r="JY2899" s="37"/>
      <c r="JZ2899" s="37"/>
      <c r="KA2899" s="37"/>
      <c r="KB2899" s="37"/>
      <c r="KC2899" s="37"/>
      <c r="KD2899" s="37"/>
      <c r="KE2899" s="37"/>
      <c r="KF2899" s="37"/>
      <c r="KG2899" s="37"/>
      <c r="KH2899" s="37"/>
      <c r="KI2899" s="37"/>
      <c r="KJ2899" s="37"/>
      <c r="KK2899" s="37"/>
      <c r="KL2899" s="37"/>
      <c r="KM2899" s="37"/>
      <c r="KN2899" s="37"/>
      <c r="KO2899" s="37"/>
      <c r="KP2899" s="37"/>
      <c r="KQ2899" s="37"/>
      <c r="KR2899" s="37"/>
      <c r="KS2899" s="37"/>
      <c r="KT2899" s="37"/>
      <c r="KU2899" s="37"/>
      <c r="KV2899" s="37"/>
      <c r="KW2899" s="37"/>
      <c r="KX2899" s="37"/>
      <c r="KY2899" s="37"/>
      <c r="KZ2899" s="37"/>
      <c r="LA2899" s="37"/>
      <c r="LB2899" s="37"/>
      <c r="LC2899" s="37"/>
      <c r="LD2899" s="37"/>
      <c r="LE2899" s="37"/>
      <c r="LF2899" s="37"/>
      <c r="LG2899" s="37"/>
      <c r="LH2899" s="37"/>
      <c r="LI2899" s="37"/>
      <c r="LJ2899" s="37"/>
      <c r="LK2899" s="37"/>
      <c r="LL2899" s="37"/>
      <c r="LM2899" s="37"/>
      <c r="LN2899" s="37"/>
      <c r="LO2899" s="37"/>
      <c r="LP2899" s="37"/>
      <c r="LQ2899" s="37"/>
      <c r="LR2899" s="37"/>
      <c r="LS2899" s="37"/>
      <c r="LT2899" s="37"/>
      <c r="LU2899" s="37"/>
      <c r="LV2899" s="37"/>
      <c r="LW2899" s="37"/>
      <c r="LX2899" s="37"/>
      <c r="LY2899" s="37"/>
      <c r="LZ2899" s="37"/>
      <c r="MA2899" s="37"/>
      <c r="MB2899" s="37"/>
      <c r="MC2899" s="37"/>
      <c r="MD2899" s="37"/>
      <c r="ME2899" s="37"/>
      <c r="MF2899" s="37"/>
      <c r="MG2899" s="37"/>
      <c r="MH2899" s="37"/>
      <c r="MI2899" s="37"/>
      <c r="MJ2899" s="37"/>
      <c r="MK2899" s="37"/>
      <c r="ML2899" s="37"/>
      <c r="MM2899" s="37"/>
      <c r="MN2899" s="37"/>
      <c r="MO2899" s="37"/>
      <c r="MP2899" s="37"/>
      <c r="MQ2899" s="37"/>
      <c r="MR2899" s="37"/>
      <c r="MS2899" s="37"/>
      <c r="MT2899" s="37"/>
      <c r="MU2899" s="37"/>
      <c r="MV2899" s="37"/>
      <c r="MW2899" s="37"/>
      <c r="MX2899" s="37"/>
      <c r="MY2899" s="37"/>
      <c r="MZ2899" s="37"/>
      <c r="NA2899" s="37"/>
      <c r="NB2899" s="37"/>
      <c r="NC2899" s="37"/>
      <c r="ND2899" s="37"/>
      <c r="NE2899" s="37"/>
      <c r="NF2899" s="37"/>
      <c r="NG2899" s="37"/>
      <c r="NH2899" s="37"/>
      <c r="NI2899" s="37"/>
      <c r="NJ2899" s="37"/>
      <c r="NK2899" s="37"/>
      <c r="NL2899" s="37"/>
      <c r="NM2899" s="37"/>
      <c r="NN2899" s="37"/>
      <c r="NO2899" s="37"/>
      <c r="NP2899" s="37"/>
      <c r="NQ2899" s="37"/>
      <c r="NR2899" s="37"/>
      <c r="NS2899" s="37"/>
      <c r="NT2899" s="37"/>
      <c r="NU2899" s="37"/>
      <c r="NV2899" s="37"/>
      <c r="NW2899" s="37"/>
      <c r="NX2899" s="37"/>
      <c r="NY2899" s="37"/>
      <c r="NZ2899" s="37"/>
      <c r="OA2899" s="37"/>
      <c r="OB2899" s="37"/>
      <c r="OC2899" s="37"/>
      <c r="OD2899" s="37"/>
      <c r="OE2899" s="37"/>
      <c r="OF2899" s="37"/>
      <c r="OG2899" s="37"/>
      <c r="OH2899" s="37"/>
      <c r="OI2899" s="37"/>
      <c r="OJ2899" s="37"/>
      <c r="OK2899" s="37"/>
      <c r="OL2899" s="37"/>
      <c r="OM2899" s="37"/>
      <c r="ON2899" s="37"/>
      <c r="OO2899" s="37"/>
      <c r="OP2899" s="37"/>
      <c r="OQ2899" s="37"/>
      <c r="OR2899" s="37"/>
      <c r="OS2899" s="37"/>
      <c r="OT2899" s="37"/>
      <c r="OU2899" s="37"/>
      <c r="OV2899" s="37"/>
      <c r="OW2899" s="37"/>
      <c r="OX2899" s="37"/>
      <c r="OY2899" s="37"/>
      <c r="OZ2899" s="37"/>
      <c r="PA2899" s="37"/>
      <c r="PB2899" s="37"/>
      <c r="PC2899" s="37"/>
      <c r="PD2899" s="37"/>
      <c r="PE2899" s="37"/>
      <c r="PF2899" s="37"/>
      <c r="PG2899" s="37"/>
      <c r="PH2899" s="37"/>
      <c r="PI2899" s="37"/>
      <c r="PJ2899" s="37"/>
      <c r="PK2899" s="37"/>
      <c r="PL2899" s="37"/>
      <c r="PM2899" s="37"/>
      <c r="PN2899" s="37"/>
      <c r="PO2899" s="37"/>
      <c r="PP2899" s="37"/>
      <c r="PQ2899" s="37"/>
      <c r="PR2899" s="37"/>
      <c r="PS2899" s="37"/>
      <c r="PT2899" s="37"/>
      <c r="PU2899" s="37"/>
      <c r="PV2899" s="37"/>
      <c r="PW2899" s="37"/>
      <c r="PX2899" s="37"/>
      <c r="PY2899" s="37"/>
      <c r="PZ2899" s="37"/>
      <c r="QA2899" s="37"/>
      <c r="QB2899" s="37"/>
      <c r="QC2899" s="37"/>
      <c r="QD2899" s="37"/>
      <c r="QE2899" s="37"/>
      <c r="QF2899" s="37"/>
      <c r="QG2899" s="37"/>
      <c r="QH2899" s="37"/>
      <c r="QI2899" s="37"/>
      <c r="QJ2899" s="37"/>
      <c r="QK2899" s="37"/>
      <c r="QL2899" s="37"/>
      <c r="QM2899" s="37"/>
      <c r="QN2899" s="37"/>
      <c r="QO2899" s="37"/>
      <c r="QP2899" s="37"/>
      <c r="QQ2899" s="37"/>
      <c r="QR2899" s="37"/>
      <c r="QS2899" s="37"/>
      <c r="QT2899" s="37"/>
      <c r="QU2899" s="37"/>
      <c r="QV2899" s="37"/>
      <c r="QW2899" s="37"/>
      <c r="QX2899" s="37"/>
      <c r="QY2899" s="37"/>
      <c r="QZ2899" s="37"/>
      <c r="RA2899" s="37"/>
      <c r="RB2899" s="37"/>
      <c r="RC2899" s="37"/>
      <c r="RD2899" s="37"/>
      <c r="RE2899" s="37"/>
      <c r="RF2899" s="37"/>
      <c r="RG2899" s="37"/>
      <c r="RH2899" s="37"/>
      <c r="RI2899" s="37"/>
      <c r="RJ2899" s="37"/>
      <c r="RK2899" s="37"/>
      <c r="RL2899" s="37"/>
      <c r="RM2899" s="37"/>
      <c r="RN2899" s="37"/>
      <c r="RO2899" s="37"/>
      <c r="RP2899" s="37"/>
      <c r="RQ2899" s="37"/>
      <c r="RR2899" s="37"/>
      <c r="RS2899" s="37"/>
      <c r="RT2899" s="37"/>
      <c r="RU2899" s="37"/>
      <c r="RV2899" s="37"/>
      <c r="RW2899" s="37"/>
      <c r="RX2899" s="37"/>
      <c r="RY2899" s="37"/>
      <c r="RZ2899" s="37"/>
      <c r="SA2899" s="37"/>
      <c r="SB2899" s="37"/>
      <c r="SC2899" s="37"/>
      <c r="SD2899" s="37"/>
      <c r="SE2899" s="37"/>
      <c r="SF2899" s="37"/>
    </row>
    <row r="2900" spans="1:500">
      <c r="A2900" s="37"/>
      <c r="B2900" s="37"/>
      <c r="C2900" s="37"/>
      <c r="D2900" s="37"/>
      <c r="E2900" s="37"/>
      <c r="F2900" s="37"/>
      <c r="G2900" s="37"/>
      <c r="H2900" s="37"/>
      <c r="I2900" s="37"/>
      <c r="J2900" s="37"/>
      <c r="K2900" s="37"/>
      <c r="L2900" s="37"/>
      <c r="M2900" s="37"/>
      <c r="N2900" s="37"/>
      <c r="O2900" s="37"/>
      <c r="P2900" s="37"/>
      <c r="Q2900" s="37"/>
      <c r="R2900" s="37"/>
      <c r="S2900" s="37"/>
      <c r="T2900" s="37"/>
      <c r="U2900" s="37"/>
      <c r="V2900" s="37"/>
      <c r="W2900" s="37"/>
      <c r="X2900" s="37"/>
      <c r="Y2900" s="37"/>
      <c r="Z2900" s="37"/>
      <c r="AA2900" s="37"/>
      <c r="AB2900" s="37"/>
      <c r="AC2900" s="37"/>
      <c r="AD2900" s="37"/>
      <c r="AE2900" s="37"/>
      <c r="AF2900" s="37"/>
      <c r="AG2900" s="37"/>
      <c r="AH2900" s="37"/>
      <c r="AI2900" s="37"/>
      <c r="AJ2900" s="37"/>
      <c r="AK2900" s="37"/>
      <c r="AL2900" s="37"/>
      <c r="AM2900" s="37"/>
      <c r="AN2900" s="37"/>
      <c r="AO2900" s="37"/>
      <c r="AP2900" s="37"/>
      <c r="AQ2900" s="37"/>
      <c r="AR2900" s="37"/>
      <c r="AS2900" s="37"/>
      <c r="AT2900" s="37"/>
      <c r="AU2900" s="37"/>
      <c r="AV2900" s="37"/>
      <c r="AW2900" s="37"/>
      <c r="AX2900" s="37"/>
      <c r="AY2900" s="37"/>
      <c r="AZ2900" s="37"/>
      <c r="BA2900" s="37"/>
      <c r="BB2900" s="37"/>
      <c r="BC2900" s="37"/>
      <c r="BD2900" s="37"/>
      <c r="BE2900" s="37"/>
      <c r="BF2900" s="37"/>
      <c r="BG2900" s="37"/>
      <c r="BH2900" s="37"/>
      <c r="BI2900" s="37"/>
      <c r="BJ2900" s="37"/>
      <c r="BK2900" s="37"/>
      <c r="BL2900" s="37"/>
      <c r="BM2900" s="37"/>
      <c r="BN2900" s="37"/>
      <c r="BO2900" s="37"/>
      <c r="BP2900" s="37"/>
      <c r="BQ2900" s="37"/>
      <c r="BR2900" s="37"/>
      <c r="BS2900" s="37"/>
      <c r="BT2900" s="37"/>
      <c r="BU2900" s="37"/>
      <c r="BV2900" s="37"/>
      <c r="BW2900" s="37"/>
      <c r="BX2900" s="37"/>
      <c r="BY2900" s="37"/>
      <c r="BZ2900" s="37"/>
      <c r="CA2900" s="37"/>
      <c r="CB2900" s="37"/>
      <c r="CC2900" s="37"/>
      <c r="CD2900" s="37"/>
      <c r="CE2900" s="37"/>
      <c r="CF2900" s="37"/>
      <c r="CG2900" s="37"/>
      <c r="CH2900" s="37"/>
      <c r="CI2900" s="37"/>
      <c r="CJ2900" s="37"/>
      <c r="CK2900" s="37"/>
      <c r="CL2900" s="37"/>
      <c r="CM2900" s="37"/>
      <c r="CN2900" s="37"/>
      <c r="CO2900" s="37"/>
      <c r="CP2900" s="37"/>
      <c r="CQ2900" s="37"/>
      <c r="CR2900" s="37"/>
      <c r="CS2900" s="37"/>
      <c r="CT2900" s="37"/>
      <c r="CU2900" s="37"/>
      <c r="CV2900" s="37"/>
      <c r="CW2900" s="37"/>
      <c r="CX2900" s="37"/>
      <c r="CY2900" s="37"/>
      <c r="CZ2900" s="37"/>
      <c r="DA2900" s="37"/>
      <c r="DB2900" s="37"/>
      <c r="DC2900" s="37"/>
      <c r="DD2900" s="37"/>
      <c r="DE2900" s="37"/>
      <c r="DF2900" s="37"/>
      <c r="DG2900" s="37"/>
      <c r="DH2900" s="37"/>
      <c r="DI2900" s="37"/>
      <c r="DJ2900" s="37"/>
      <c r="DK2900" s="37"/>
      <c r="DL2900" s="37"/>
      <c r="DM2900" s="37"/>
      <c r="DN2900" s="37"/>
      <c r="DO2900" s="37"/>
      <c r="DP2900" s="37"/>
      <c r="DQ2900" s="37"/>
      <c r="DR2900" s="37"/>
      <c r="DS2900" s="37"/>
      <c r="DT2900" s="37"/>
      <c r="DU2900" s="37"/>
      <c r="DV2900" s="37"/>
      <c r="DW2900" s="37"/>
      <c r="DX2900" s="37"/>
      <c r="DY2900" s="37"/>
      <c r="DZ2900" s="37"/>
      <c r="EA2900" s="37"/>
      <c r="EB2900" s="37"/>
      <c r="EC2900" s="37"/>
      <c r="ED2900" s="37"/>
      <c r="EE2900" s="37"/>
      <c r="EF2900" s="37"/>
      <c r="EG2900" s="37"/>
      <c r="EH2900" s="37"/>
      <c r="EI2900" s="37"/>
      <c r="EJ2900" s="37"/>
      <c r="EK2900" s="37"/>
      <c r="EL2900" s="37"/>
      <c r="EM2900" s="37"/>
      <c r="EN2900" s="37"/>
      <c r="EO2900" s="37"/>
      <c r="EP2900" s="37"/>
      <c r="EQ2900" s="37"/>
      <c r="ER2900" s="37"/>
      <c r="ES2900" s="37"/>
      <c r="ET2900" s="37"/>
      <c r="EU2900" s="37"/>
      <c r="EV2900" s="37"/>
      <c r="EW2900" s="37"/>
      <c r="EX2900" s="37"/>
      <c r="EY2900" s="37"/>
      <c r="EZ2900" s="37"/>
      <c r="FA2900" s="37"/>
      <c r="FB2900" s="37"/>
      <c r="FC2900" s="37"/>
      <c r="FD2900" s="37"/>
      <c r="FE2900" s="37"/>
      <c r="FF2900" s="37"/>
      <c r="FG2900" s="37"/>
      <c r="FH2900" s="37"/>
      <c r="FI2900" s="37"/>
      <c r="FJ2900" s="37"/>
      <c r="FK2900" s="37"/>
      <c r="FL2900" s="37"/>
      <c r="FM2900" s="37"/>
      <c r="FN2900" s="37"/>
      <c r="FO2900" s="37"/>
      <c r="FP2900" s="37"/>
      <c r="FQ2900" s="37"/>
      <c r="FR2900" s="37"/>
      <c r="FS2900" s="37"/>
      <c r="FT2900" s="37"/>
      <c r="FU2900" s="37"/>
      <c r="FV2900" s="37"/>
      <c r="FW2900" s="37"/>
      <c r="FX2900" s="37"/>
      <c r="FY2900" s="37"/>
      <c r="FZ2900" s="37"/>
      <c r="GA2900" s="37"/>
      <c r="GB2900" s="37"/>
      <c r="GC2900" s="37"/>
      <c r="GD2900" s="37"/>
      <c r="GE2900" s="37"/>
      <c r="GF2900" s="37"/>
      <c r="GG2900" s="37"/>
      <c r="GH2900" s="37"/>
      <c r="GI2900" s="37"/>
      <c r="GJ2900" s="37"/>
      <c r="GK2900" s="37"/>
      <c r="GL2900" s="37"/>
      <c r="GM2900" s="37"/>
      <c r="GN2900" s="37"/>
      <c r="GO2900" s="37"/>
      <c r="GP2900" s="37"/>
      <c r="GQ2900" s="37"/>
      <c r="GR2900" s="37"/>
      <c r="GS2900" s="37"/>
      <c r="GT2900" s="37"/>
      <c r="GU2900" s="37"/>
      <c r="GV2900" s="37"/>
      <c r="GW2900" s="37"/>
      <c r="GX2900" s="37"/>
      <c r="GY2900" s="37"/>
      <c r="GZ2900" s="37"/>
      <c r="HA2900" s="37"/>
      <c r="HB2900" s="37"/>
      <c r="HC2900" s="37"/>
      <c r="HD2900" s="37"/>
      <c r="HE2900" s="37"/>
      <c r="HF2900" s="37"/>
      <c r="HG2900" s="37"/>
      <c r="HH2900" s="37"/>
      <c r="HI2900" s="37"/>
      <c r="HJ2900" s="37"/>
      <c r="HK2900" s="37"/>
      <c r="HL2900" s="37"/>
      <c r="HM2900" s="37"/>
      <c r="HN2900" s="37"/>
      <c r="HO2900" s="37"/>
      <c r="HP2900" s="37"/>
      <c r="HQ2900" s="37"/>
      <c r="HR2900" s="37"/>
      <c r="HS2900" s="37"/>
      <c r="HT2900" s="37"/>
      <c r="HU2900" s="37"/>
      <c r="HV2900" s="37"/>
      <c r="HW2900" s="37"/>
      <c r="HX2900" s="37"/>
      <c r="HY2900" s="37"/>
      <c r="HZ2900" s="37"/>
      <c r="IA2900" s="37"/>
      <c r="IB2900" s="37"/>
      <c r="IC2900" s="37"/>
      <c r="ID2900" s="37"/>
      <c r="IE2900" s="37"/>
      <c r="IF2900" s="37"/>
      <c r="IG2900" s="37"/>
      <c r="IH2900" s="37"/>
      <c r="II2900" s="37"/>
      <c r="IJ2900" s="37"/>
      <c r="IK2900" s="37"/>
      <c r="IL2900" s="37"/>
      <c r="IM2900" s="37"/>
      <c r="IN2900" s="37"/>
      <c r="IO2900" s="37"/>
      <c r="IP2900" s="37"/>
      <c r="IQ2900" s="37"/>
      <c r="IR2900" s="37"/>
      <c r="IS2900" s="37"/>
      <c r="IT2900" s="37"/>
      <c r="IU2900" s="37"/>
      <c r="IV2900" s="37"/>
      <c r="IW2900" s="37"/>
      <c r="IX2900" s="37"/>
      <c r="IY2900" s="37"/>
      <c r="IZ2900" s="37"/>
      <c r="JA2900" s="37"/>
      <c r="JB2900" s="37"/>
      <c r="JC2900" s="37"/>
      <c r="JD2900" s="37"/>
      <c r="JE2900" s="37"/>
      <c r="JF2900" s="37"/>
      <c r="JG2900" s="37"/>
      <c r="JH2900" s="37"/>
      <c r="JI2900" s="37"/>
      <c r="JJ2900" s="37"/>
      <c r="JK2900" s="37"/>
      <c r="JL2900" s="37"/>
      <c r="JM2900" s="37"/>
      <c r="JN2900" s="37"/>
      <c r="JO2900" s="37"/>
      <c r="JP2900" s="37"/>
      <c r="JQ2900" s="37"/>
      <c r="JR2900" s="37"/>
      <c r="JS2900" s="37"/>
      <c r="JT2900" s="37"/>
      <c r="JU2900" s="37"/>
      <c r="JV2900" s="37"/>
      <c r="JW2900" s="37"/>
      <c r="JX2900" s="37"/>
      <c r="JY2900" s="37"/>
      <c r="JZ2900" s="37"/>
      <c r="KA2900" s="37"/>
      <c r="KB2900" s="37"/>
      <c r="KC2900" s="37"/>
      <c r="KD2900" s="37"/>
      <c r="KE2900" s="37"/>
      <c r="KF2900" s="37"/>
      <c r="KG2900" s="37"/>
      <c r="KH2900" s="37"/>
      <c r="KI2900" s="37"/>
      <c r="KJ2900" s="37"/>
      <c r="KK2900" s="37"/>
      <c r="KL2900" s="37"/>
      <c r="KM2900" s="37"/>
      <c r="KN2900" s="37"/>
      <c r="KO2900" s="37"/>
      <c r="KP2900" s="37"/>
      <c r="KQ2900" s="37"/>
      <c r="KR2900" s="37"/>
      <c r="KS2900" s="37"/>
      <c r="KT2900" s="37"/>
      <c r="KU2900" s="37"/>
      <c r="KV2900" s="37"/>
      <c r="KW2900" s="37"/>
      <c r="KX2900" s="37"/>
      <c r="KY2900" s="37"/>
      <c r="KZ2900" s="37"/>
      <c r="LA2900" s="37"/>
      <c r="LB2900" s="37"/>
      <c r="LC2900" s="37"/>
      <c r="LD2900" s="37"/>
      <c r="LE2900" s="37"/>
      <c r="LF2900" s="37"/>
      <c r="LG2900" s="37"/>
      <c r="LH2900" s="37"/>
      <c r="LI2900" s="37"/>
      <c r="LJ2900" s="37"/>
      <c r="LK2900" s="37"/>
      <c r="LL2900" s="37"/>
      <c r="LM2900" s="37"/>
      <c r="LN2900" s="37"/>
      <c r="LO2900" s="37"/>
      <c r="LP2900" s="37"/>
      <c r="LQ2900" s="37"/>
      <c r="LR2900" s="37"/>
      <c r="LS2900" s="37"/>
      <c r="LT2900" s="37"/>
      <c r="LU2900" s="37"/>
      <c r="LV2900" s="37"/>
      <c r="LW2900" s="37"/>
      <c r="LX2900" s="37"/>
      <c r="LY2900" s="37"/>
      <c r="LZ2900" s="37"/>
      <c r="MA2900" s="37"/>
      <c r="MB2900" s="37"/>
      <c r="MC2900" s="37"/>
      <c r="MD2900" s="37"/>
      <c r="ME2900" s="37"/>
      <c r="MF2900" s="37"/>
      <c r="MG2900" s="37"/>
      <c r="MH2900" s="37"/>
      <c r="MI2900" s="37"/>
      <c r="MJ2900" s="37"/>
      <c r="MK2900" s="37"/>
      <c r="ML2900" s="37"/>
      <c r="MM2900" s="37"/>
      <c r="MN2900" s="37"/>
      <c r="MO2900" s="37"/>
      <c r="MP2900" s="37"/>
      <c r="MQ2900" s="37"/>
      <c r="MR2900" s="37"/>
      <c r="MS2900" s="37"/>
      <c r="MT2900" s="37"/>
      <c r="MU2900" s="37"/>
      <c r="MV2900" s="37"/>
      <c r="MW2900" s="37"/>
      <c r="MX2900" s="37"/>
      <c r="MY2900" s="37"/>
      <c r="MZ2900" s="37"/>
      <c r="NA2900" s="37"/>
      <c r="NB2900" s="37"/>
      <c r="NC2900" s="37"/>
      <c r="ND2900" s="37"/>
      <c r="NE2900" s="37"/>
      <c r="NF2900" s="37"/>
      <c r="NG2900" s="37"/>
      <c r="NH2900" s="37"/>
      <c r="NI2900" s="37"/>
      <c r="NJ2900" s="37"/>
      <c r="NK2900" s="37"/>
      <c r="NL2900" s="37"/>
      <c r="NM2900" s="37"/>
      <c r="NN2900" s="37"/>
      <c r="NO2900" s="37"/>
      <c r="NP2900" s="37"/>
      <c r="NQ2900" s="37"/>
      <c r="NR2900" s="37"/>
      <c r="NS2900" s="37"/>
      <c r="NT2900" s="37"/>
      <c r="NU2900" s="37"/>
      <c r="NV2900" s="37"/>
      <c r="NW2900" s="37"/>
      <c r="NX2900" s="37"/>
      <c r="NY2900" s="37"/>
      <c r="NZ2900" s="37"/>
      <c r="OA2900" s="37"/>
      <c r="OB2900" s="37"/>
      <c r="OC2900" s="37"/>
      <c r="OD2900" s="37"/>
      <c r="OE2900" s="37"/>
      <c r="OF2900" s="37"/>
      <c r="OG2900" s="37"/>
      <c r="OH2900" s="37"/>
      <c r="OI2900" s="37"/>
      <c r="OJ2900" s="37"/>
      <c r="OK2900" s="37"/>
      <c r="OL2900" s="37"/>
      <c r="OM2900" s="37"/>
      <c r="ON2900" s="37"/>
      <c r="OO2900" s="37"/>
      <c r="OP2900" s="37"/>
      <c r="OQ2900" s="37"/>
      <c r="OR2900" s="37"/>
      <c r="OS2900" s="37"/>
      <c r="OT2900" s="37"/>
      <c r="OU2900" s="37"/>
      <c r="OV2900" s="37"/>
      <c r="OW2900" s="37"/>
      <c r="OX2900" s="37"/>
      <c r="OY2900" s="37"/>
      <c r="OZ2900" s="37"/>
      <c r="PA2900" s="37"/>
      <c r="PB2900" s="37"/>
      <c r="PC2900" s="37"/>
      <c r="PD2900" s="37"/>
      <c r="PE2900" s="37"/>
      <c r="PF2900" s="37"/>
      <c r="PG2900" s="37"/>
      <c r="PH2900" s="37"/>
      <c r="PI2900" s="37"/>
      <c r="PJ2900" s="37"/>
      <c r="PK2900" s="37"/>
      <c r="PL2900" s="37"/>
      <c r="PM2900" s="37"/>
      <c r="PN2900" s="37"/>
      <c r="PO2900" s="37"/>
      <c r="PP2900" s="37"/>
      <c r="PQ2900" s="37"/>
      <c r="PR2900" s="37"/>
      <c r="PS2900" s="37"/>
      <c r="PT2900" s="37"/>
      <c r="PU2900" s="37"/>
      <c r="PV2900" s="37"/>
      <c r="PW2900" s="37"/>
      <c r="PX2900" s="37"/>
      <c r="PY2900" s="37"/>
      <c r="PZ2900" s="37"/>
      <c r="QA2900" s="37"/>
      <c r="QB2900" s="37"/>
      <c r="QC2900" s="37"/>
      <c r="QD2900" s="37"/>
      <c r="QE2900" s="37"/>
      <c r="QF2900" s="37"/>
      <c r="QG2900" s="37"/>
      <c r="QH2900" s="37"/>
      <c r="QI2900" s="37"/>
      <c r="QJ2900" s="37"/>
      <c r="QK2900" s="37"/>
      <c r="QL2900" s="37"/>
      <c r="QM2900" s="37"/>
      <c r="QN2900" s="37"/>
      <c r="QO2900" s="37"/>
      <c r="QP2900" s="37"/>
      <c r="QQ2900" s="37"/>
      <c r="QR2900" s="37"/>
      <c r="QS2900" s="37"/>
      <c r="QT2900" s="37"/>
      <c r="QU2900" s="37"/>
      <c r="QV2900" s="37"/>
      <c r="QW2900" s="37"/>
      <c r="QX2900" s="37"/>
      <c r="QY2900" s="37"/>
      <c r="QZ2900" s="37"/>
      <c r="RA2900" s="37"/>
      <c r="RB2900" s="37"/>
      <c r="RC2900" s="37"/>
      <c r="RD2900" s="37"/>
      <c r="RE2900" s="37"/>
      <c r="RF2900" s="37"/>
      <c r="RG2900" s="37"/>
      <c r="RH2900" s="37"/>
      <c r="RI2900" s="37"/>
      <c r="RJ2900" s="37"/>
      <c r="RK2900" s="37"/>
      <c r="RL2900" s="37"/>
      <c r="RM2900" s="37"/>
      <c r="RN2900" s="37"/>
      <c r="RO2900" s="37"/>
      <c r="RP2900" s="37"/>
      <c r="RQ2900" s="37"/>
      <c r="RR2900" s="37"/>
      <c r="RS2900" s="37"/>
      <c r="RT2900" s="37"/>
      <c r="RU2900" s="37"/>
      <c r="RV2900" s="37"/>
      <c r="RW2900" s="37"/>
      <c r="RX2900" s="37"/>
      <c r="RY2900" s="37"/>
      <c r="RZ2900" s="37"/>
      <c r="SA2900" s="37"/>
      <c r="SB2900" s="37"/>
      <c r="SC2900" s="37"/>
      <c r="SD2900" s="37"/>
      <c r="SE2900" s="37"/>
      <c r="SF2900" s="37"/>
    </row>
    <row r="2901" spans="1:500">
      <c r="A2901" s="37"/>
      <c r="B2901" s="37"/>
      <c r="C2901" s="37"/>
      <c r="D2901" s="37"/>
      <c r="E2901" s="37"/>
      <c r="F2901" s="37"/>
      <c r="G2901" s="37"/>
      <c r="H2901" s="37"/>
      <c r="I2901" s="37"/>
      <c r="J2901" s="37"/>
      <c r="K2901" s="37"/>
      <c r="L2901" s="37"/>
      <c r="M2901" s="37"/>
      <c r="N2901" s="37"/>
      <c r="O2901" s="37"/>
      <c r="P2901" s="37"/>
      <c r="Q2901" s="37"/>
      <c r="R2901" s="37"/>
      <c r="S2901" s="37"/>
      <c r="T2901" s="37"/>
      <c r="U2901" s="37"/>
      <c r="V2901" s="37"/>
      <c r="W2901" s="37"/>
      <c r="X2901" s="37"/>
      <c r="Y2901" s="37"/>
      <c r="Z2901" s="37"/>
      <c r="AA2901" s="37"/>
      <c r="AB2901" s="37"/>
      <c r="AC2901" s="37"/>
      <c r="AD2901" s="37"/>
      <c r="AE2901" s="37"/>
      <c r="AF2901" s="37"/>
      <c r="AG2901" s="37"/>
      <c r="AH2901" s="37"/>
      <c r="AI2901" s="37"/>
      <c r="AJ2901" s="37"/>
      <c r="AK2901" s="37"/>
      <c r="AL2901" s="37"/>
      <c r="AM2901" s="37"/>
      <c r="AN2901" s="37"/>
      <c r="AO2901" s="37"/>
      <c r="AP2901" s="37"/>
      <c r="AQ2901" s="37"/>
      <c r="AR2901" s="37"/>
      <c r="AS2901" s="37"/>
      <c r="AT2901" s="37"/>
      <c r="AU2901" s="37"/>
      <c r="AV2901" s="37"/>
      <c r="AW2901" s="37"/>
      <c r="AX2901" s="37"/>
      <c r="AY2901" s="37"/>
      <c r="AZ2901" s="37"/>
      <c r="BA2901" s="37"/>
      <c r="BB2901" s="37"/>
      <c r="BC2901" s="37"/>
      <c r="BD2901" s="37"/>
      <c r="BE2901" s="37"/>
      <c r="BF2901" s="37"/>
      <c r="BG2901" s="37"/>
      <c r="BH2901" s="37"/>
      <c r="BI2901" s="37"/>
      <c r="BJ2901" s="37"/>
      <c r="BK2901" s="37"/>
      <c r="BL2901" s="37"/>
      <c r="BM2901" s="37"/>
      <c r="BN2901" s="37"/>
      <c r="BO2901" s="37"/>
      <c r="BP2901" s="37"/>
      <c r="BQ2901" s="37"/>
      <c r="BR2901" s="37"/>
      <c r="BS2901" s="37"/>
      <c r="BT2901" s="37"/>
      <c r="BU2901" s="37"/>
      <c r="BV2901" s="37"/>
      <c r="BW2901" s="37"/>
      <c r="BX2901" s="37"/>
      <c r="BY2901" s="37"/>
      <c r="BZ2901" s="37"/>
      <c r="CA2901" s="37"/>
      <c r="CB2901" s="37"/>
      <c r="CC2901" s="37"/>
      <c r="CD2901" s="37"/>
      <c r="CE2901" s="37"/>
      <c r="CF2901" s="37"/>
      <c r="CG2901" s="37"/>
      <c r="CH2901" s="37"/>
      <c r="CI2901" s="37"/>
      <c r="CJ2901" s="37"/>
      <c r="CK2901" s="37"/>
      <c r="CL2901" s="37"/>
      <c r="CM2901" s="37"/>
      <c r="CN2901" s="37"/>
      <c r="CO2901" s="37"/>
      <c r="CP2901" s="37"/>
      <c r="CQ2901" s="37"/>
      <c r="CR2901" s="37"/>
      <c r="CS2901" s="37"/>
      <c r="CT2901" s="37"/>
      <c r="CU2901" s="37"/>
      <c r="CV2901" s="37"/>
      <c r="CW2901" s="37"/>
      <c r="CX2901" s="37"/>
      <c r="CY2901" s="37"/>
      <c r="CZ2901" s="37"/>
      <c r="DA2901" s="37"/>
      <c r="DB2901" s="37"/>
      <c r="DC2901" s="37"/>
      <c r="DD2901" s="37"/>
      <c r="DE2901" s="37"/>
      <c r="DF2901" s="37"/>
      <c r="DG2901" s="37"/>
      <c r="DH2901" s="37"/>
      <c r="DI2901" s="37"/>
      <c r="DJ2901" s="37"/>
      <c r="DK2901" s="37"/>
      <c r="DL2901" s="37"/>
      <c r="DM2901" s="37"/>
      <c r="DN2901" s="37"/>
      <c r="DO2901" s="37"/>
      <c r="DP2901" s="37"/>
      <c r="DQ2901" s="37"/>
      <c r="DR2901" s="37"/>
      <c r="DS2901" s="37"/>
      <c r="DT2901" s="37"/>
      <c r="DU2901" s="37"/>
      <c r="DV2901" s="37"/>
      <c r="DW2901" s="37"/>
      <c r="DX2901" s="37"/>
      <c r="DY2901" s="37"/>
      <c r="DZ2901" s="37"/>
      <c r="EA2901" s="37"/>
      <c r="EB2901" s="37"/>
      <c r="EC2901" s="37"/>
      <c r="ED2901" s="37"/>
      <c r="EE2901" s="37"/>
      <c r="EF2901" s="37"/>
      <c r="EG2901" s="37"/>
      <c r="EH2901" s="37"/>
      <c r="EI2901" s="37"/>
      <c r="EJ2901" s="37"/>
      <c r="EK2901" s="37"/>
      <c r="EL2901" s="37"/>
      <c r="EM2901" s="37"/>
      <c r="EN2901" s="37"/>
      <c r="EO2901" s="37"/>
      <c r="EP2901" s="37"/>
      <c r="EQ2901" s="37"/>
      <c r="ER2901" s="37"/>
      <c r="ES2901" s="37"/>
      <c r="ET2901" s="37"/>
      <c r="EU2901" s="37"/>
      <c r="EV2901" s="37"/>
      <c r="EW2901" s="37"/>
      <c r="EX2901" s="37"/>
      <c r="EY2901" s="37"/>
      <c r="EZ2901" s="37"/>
      <c r="FA2901" s="37"/>
      <c r="FB2901" s="37"/>
      <c r="FC2901" s="37"/>
      <c r="FD2901" s="37"/>
      <c r="FE2901" s="37"/>
      <c r="FF2901" s="37"/>
      <c r="FG2901" s="37"/>
      <c r="FH2901" s="37"/>
      <c r="FI2901" s="37"/>
      <c r="FJ2901" s="37"/>
      <c r="FK2901" s="37"/>
      <c r="FL2901" s="37"/>
      <c r="FM2901" s="37"/>
      <c r="FN2901" s="37"/>
      <c r="FO2901" s="37"/>
      <c r="FP2901" s="37"/>
      <c r="FQ2901" s="37"/>
      <c r="FR2901" s="37"/>
      <c r="FS2901" s="37"/>
      <c r="FT2901" s="37"/>
      <c r="FU2901" s="37"/>
      <c r="FV2901" s="37"/>
      <c r="FW2901" s="37"/>
      <c r="FX2901" s="37"/>
      <c r="FY2901" s="37"/>
      <c r="FZ2901" s="37"/>
      <c r="GA2901" s="37"/>
      <c r="GB2901" s="37"/>
      <c r="GC2901" s="37"/>
      <c r="GD2901" s="37"/>
      <c r="GE2901" s="37"/>
      <c r="GF2901" s="37"/>
      <c r="GG2901" s="37"/>
      <c r="GH2901" s="37"/>
      <c r="GI2901" s="37"/>
      <c r="GJ2901" s="37"/>
      <c r="GK2901" s="37"/>
      <c r="GL2901" s="37"/>
      <c r="GM2901" s="37"/>
      <c r="GN2901" s="37"/>
      <c r="GO2901" s="37"/>
      <c r="GP2901" s="37"/>
      <c r="GQ2901" s="37"/>
      <c r="GR2901" s="37"/>
      <c r="GS2901" s="37"/>
      <c r="GT2901" s="37"/>
      <c r="GU2901" s="37"/>
      <c r="GV2901" s="37"/>
      <c r="GW2901" s="37"/>
      <c r="GX2901" s="37"/>
      <c r="GY2901" s="37"/>
      <c r="GZ2901" s="37"/>
      <c r="HA2901" s="37"/>
      <c r="HB2901" s="37"/>
      <c r="HC2901" s="37"/>
      <c r="HD2901" s="37"/>
      <c r="HE2901" s="37"/>
      <c r="HF2901" s="37"/>
      <c r="HG2901" s="37"/>
      <c r="HH2901" s="37"/>
      <c r="HI2901" s="37"/>
      <c r="HJ2901" s="37"/>
      <c r="HK2901" s="37"/>
      <c r="HL2901" s="37"/>
      <c r="HM2901" s="37"/>
      <c r="HN2901" s="37"/>
      <c r="HO2901" s="37"/>
      <c r="HP2901" s="37"/>
      <c r="HQ2901" s="37"/>
      <c r="HR2901" s="37"/>
      <c r="HS2901" s="37"/>
      <c r="HT2901" s="37"/>
      <c r="HU2901" s="37"/>
      <c r="HV2901" s="37"/>
      <c r="HW2901" s="37"/>
      <c r="HX2901" s="37"/>
      <c r="HY2901" s="37"/>
      <c r="HZ2901" s="37"/>
      <c r="IA2901" s="37"/>
      <c r="IB2901" s="37"/>
      <c r="IC2901" s="37"/>
      <c r="ID2901" s="37"/>
      <c r="IE2901" s="37"/>
      <c r="IF2901" s="37"/>
      <c r="IG2901" s="37"/>
      <c r="IH2901" s="37"/>
      <c r="II2901" s="37"/>
      <c r="IJ2901" s="37"/>
      <c r="IK2901" s="37"/>
      <c r="IL2901" s="37"/>
      <c r="IM2901" s="37"/>
      <c r="IN2901" s="37"/>
      <c r="IO2901" s="37"/>
      <c r="IP2901" s="37"/>
      <c r="IQ2901" s="37"/>
      <c r="IR2901" s="37"/>
      <c r="IS2901" s="37"/>
      <c r="IT2901" s="37"/>
      <c r="IU2901" s="37"/>
      <c r="IV2901" s="37"/>
      <c r="IW2901" s="37"/>
      <c r="IX2901" s="37"/>
      <c r="IY2901" s="37"/>
      <c r="IZ2901" s="37"/>
      <c r="JA2901" s="37"/>
      <c r="JB2901" s="37"/>
      <c r="JC2901" s="37"/>
      <c r="JD2901" s="37"/>
      <c r="JE2901" s="37"/>
      <c r="JF2901" s="37"/>
      <c r="JG2901" s="37"/>
      <c r="JH2901" s="37"/>
      <c r="JI2901" s="37"/>
      <c r="JJ2901" s="37"/>
      <c r="JK2901" s="37"/>
      <c r="JL2901" s="37"/>
      <c r="JM2901" s="37"/>
      <c r="JN2901" s="37"/>
      <c r="JO2901" s="37"/>
      <c r="JP2901" s="37"/>
      <c r="JQ2901" s="37"/>
      <c r="JR2901" s="37"/>
      <c r="JS2901" s="37"/>
      <c r="JT2901" s="37"/>
      <c r="JU2901" s="37"/>
      <c r="JV2901" s="37"/>
      <c r="JW2901" s="37"/>
      <c r="JX2901" s="37"/>
      <c r="JY2901" s="37"/>
      <c r="JZ2901" s="37"/>
      <c r="KA2901" s="37"/>
      <c r="KB2901" s="37"/>
      <c r="KC2901" s="37"/>
      <c r="KD2901" s="37"/>
      <c r="KE2901" s="37"/>
      <c r="KF2901" s="37"/>
      <c r="KG2901" s="37"/>
      <c r="KH2901" s="37"/>
      <c r="KI2901" s="37"/>
      <c r="KJ2901" s="37"/>
      <c r="KK2901" s="37"/>
      <c r="KL2901" s="37"/>
      <c r="KM2901" s="37"/>
      <c r="KN2901" s="37"/>
      <c r="KO2901" s="37"/>
      <c r="KP2901" s="37"/>
      <c r="KQ2901" s="37"/>
      <c r="KR2901" s="37"/>
      <c r="KS2901" s="37"/>
      <c r="KT2901" s="37"/>
      <c r="KU2901" s="37"/>
      <c r="KV2901" s="37"/>
      <c r="KW2901" s="37"/>
      <c r="KX2901" s="37"/>
      <c r="KY2901" s="37"/>
      <c r="KZ2901" s="37"/>
      <c r="LA2901" s="37"/>
      <c r="LB2901" s="37"/>
      <c r="LC2901" s="37"/>
      <c r="LD2901" s="37"/>
      <c r="LE2901" s="37"/>
      <c r="LF2901" s="37"/>
      <c r="LG2901" s="37"/>
      <c r="LH2901" s="37"/>
      <c r="LI2901" s="37"/>
      <c r="LJ2901" s="37"/>
      <c r="LK2901" s="37"/>
      <c r="LL2901" s="37"/>
      <c r="LM2901" s="37"/>
      <c r="LN2901" s="37"/>
      <c r="LO2901" s="37"/>
      <c r="LP2901" s="37"/>
      <c r="LQ2901" s="37"/>
      <c r="LR2901" s="37"/>
      <c r="LS2901" s="37"/>
      <c r="LT2901" s="37"/>
      <c r="LU2901" s="37"/>
      <c r="LV2901" s="37"/>
      <c r="LW2901" s="37"/>
      <c r="LX2901" s="37"/>
      <c r="LY2901" s="37"/>
      <c r="LZ2901" s="37"/>
      <c r="MA2901" s="37"/>
      <c r="MB2901" s="37"/>
      <c r="MC2901" s="37"/>
      <c r="MD2901" s="37"/>
      <c r="ME2901" s="37"/>
      <c r="MF2901" s="37"/>
      <c r="MG2901" s="37"/>
      <c r="MH2901" s="37"/>
      <c r="MI2901" s="37"/>
      <c r="MJ2901" s="37"/>
      <c r="MK2901" s="37"/>
      <c r="ML2901" s="37"/>
      <c r="MM2901" s="37"/>
      <c r="MN2901" s="37"/>
      <c r="MO2901" s="37"/>
      <c r="MP2901" s="37"/>
      <c r="MQ2901" s="37"/>
      <c r="MR2901" s="37"/>
      <c r="MS2901" s="37"/>
      <c r="MT2901" s="37"/>
      <c r="MU2901" s="37"/>
      <c r="MV2901" s="37"/>
      <c r="MW2901" s="37"/>
      <c r="MX2901" s="37"/>
      <c r="MY2901" s="37"/>
      <c r="MZ2901" s="37"/>
      <c r="NA2901" s="37"/>
      <c r="NB2901" s="37"/>
      <c r="NC2901" s="37"/>
      <c r="ND2901" s="37"/>
      <c r="NE2901" s="37"/>
      <c r="NF2901" s="37"/>
      <c r="NG2901" s="37"/>
      <c r="NH2901" s="37"/>
      <c r="NI2901" s="37"/>
      <c r="NJ2901" s="37"/>
      <c r="NK2901" s="37"/>
      <c r="NL2901" s="37"/>
      <c r="NM2901" s="37"/>
      <c r="NN2901" s="37"/>
      <c r="NO2901" s="37"/>
      <c r="NP2901" s="37"/>
      <c r="NQ2901" s="37"/>
      <c r="NR2901" s="37"/>
      <c r="NS2901" s="37"/>
      <c r="NT2901" s="37"/>
      <c r="NU2901" s="37"/>
      <c r="NV2901" s="37"/>
      <c r="NW2901" s="37"/>
      <c r="NX2901" s="37"/>
      <c r="NY2901" s="37"/>
      <c r="NZ2901" s="37"/>
      <c r="OA2901" s="37"/>
      <c r="OB2901" s="37"/>
      <c r="OC2901" s="37"/>
      <c r="OD2901" s="37"/>
      <c r="OE2901" s="37"/>
      <c r="OF2901" s="37"/>
      <c r="OG2901" s="37"/>
      <c r="OH2901" s="37"/>
      <c r="OI2901" s="37"/>
      <c r="OJ2901" s="37"/>
      <c r="OK2901" s="37"/>
      <c r="OL2901" s="37"/>
      <c r="OM2901" s="37"/>
      <c r="ON2901" s="37"/>
      <c r="OO2901" s="37"/>
      <c r="OP2901" s="37"/>
      <c r="OQ2901" s="37"/>
      <c r="OR2901" s="37"/>
      <c r="OS2901" s="37"/>
      <c r="OT2901" s="37"/>
      <c r="OU2901" s="37"/>
      <c r="OV2901" s="37"/>
      <c r="OW2901" s="37"/>
      <c r="OX2901" s="37"/>
      <c r="OY2901" s="37"/>
      <c r="OZ2901" s="37"/>
      <c r="PA2901" s="37"/>
      <c r="PB2901" s="37"/>
      <c r="PC2901" s="37"/>
      <c r="PD2901" s="37"/>
      <c r="PE2901" s="37"/>
      <c r="PF2901" s="37"/>
      <c r="PG2901" s="37"/>
      <c r="PH2901" s="37"/>
      <c r="PI2901" s="37"/>
      <c r="PJ2901" s="37"/>
      <c r="PK2901" s="37"/>
      <c r="PL2901" s="37"/>
      <c r="PM2901" s="37"/>
      <c r="PN2901" s="37"/>
      <c r="PO2901" s="37"/>
      <c r="PP2901" s="37"/>
      <c r="PQ2901" s="37"/>
      <c r="PR2901" s="37"/>
      <c r="PS2901" s="37"/>
      <c r="PT2901" s="37"/>
      <c r="PU2901" s="37"/>
      <c r="PV2901" s="37"/>
      <c r="PW2901" s="37"/>
      <c r="PX2901" s="37"/>
      <c r="PY2901" s="37"/>
      <c r="PZ2901" s="37"/>
      <c r="QA2901" s="37"/>
      <c r="QB2901" s="37"/>
      <c r="QC2901" s="37"/>
      <c r="QD2901" s="37"/>
      <c r="QE2901" s="37"/>
      <c r="QF2901" s="37"/>
      <c r="QG2901" s="37"/>
      <c r="QH2901" s="37"/>
      <c r="QI2901" s="37"/>
      <c r="QJ2901" s="37"/>
      <c r="QK2901" s="37"/>
      <c r="QL2901" s="37"/>
      <c r="QM2901" s="37"/>
      <c r="QN2901" s="37"/>
      <c r="QO2901" s="37"/>
      <c r="QP2901" s="37"/>
      <c r="QQ2901" s="37"/>
      <c r="QR2901" s="37"/>
      <c r="QS2901" s="37"/>
      <c r="QT2901" s="37"/>
      <c r="QU2901" s="37"/>
      <c r="QV2901" s="37"/>
      <c r="QW2901" s="37"/>
      <c r="QX2901" s="37"/>
      <c r="QY2901" s="37"/>
      <c r="QZ2901" s="37"/>
      <c r="RA2901" s="37"/>
      <c r="RB2901" s="37"/>
      <c r="RC2901" s="37"/>
      <c r="RD2901" s="37"/>
      <c r="RE2901" s="37"/>
      <c r="RF2901" s="37"/>
      <c r="RG2901" s="37"/>
      <c r="RH2901" s="37"/>
      <c r="RI2901" s="37"/>
      <c r="RJ2901" s="37"/>
      <c r="RK2901" s="37"/>
      <c r="RL2901" s="37"/>
      <c r="RM2901" s="37"/>
      <c r="RN2901" s="37"/>
      <c r="RO2901" s="37"/>
      <c r="RP2901" s="37"/>
      <c r="RQ2901" s="37"/>
      <c r="RR2901" s="37"/>
      <c r="RS2901" s="37"/>
      <c r="RT2901" s="37"/>
      <c r="RU2901" s="37"/>
      <c r="RV2901" s="37"/>
      <c r="RW2901" s="37"/>
      <c r="RX2901" s="37"/>
      <c r="RY2901" s="37"/>
      <c r="RZ2901" s="37"/>
      <c r="SA2901" s="37"/>
      <c r="SB2901" s="37"/>
      <c r="SC2901" s="37"/>
      <c r="SD2901" s="37"/>
      <c r="SE2901" s="37"/>
      <c r="SF2901" s="37"/>
    </row>
    <row r="2902" spans="1:500">
      <c r="A2902" s="37"/>
      <c r="B2902" s="37"/>
      <c r="C2902" s="37"/>
      <c r="D2902" s="37"/>
      <c r="E2902" s="37"/>
      <c r="F2902" s="37"/>
      <c r="G2902" s="37"/>
      <c r="H2902" s="37"/>
      <c r="I2902" s="37"/>
      <c r="J2902" s="37"/>
      <c r="K2902" s="37"/>
      <c r="L2902" s="37"/>
      <c r="M2902" s="37"/>
      <c r="N2902" s="37"/>
      <c r="O2902" s="37"/>
      <c r="P2902" s="37"/>
      <c r="Q2902" s="37"/>
      <c r="R2902" s="37"/>
      <c r="S2902" s="37"/>
      <c r="T2902" s="37"/>
      <c r="U2902" s="37"/>
      <c r="V2902" s="37"/>
      <c r="W2902" s="37"/>
      <c r="X2902" s="37"/>
      <c r="Y2902" s="37"/>
      <c r="Z2902" s="37"/>
      <c r="AA2902" s="37"/>
      <c r="AB2902" s="37"/>
      <c r="AC2902" s="37"/>
      <c r="AD2902" s="37"/>
      <c r="AE2902" s="37"/>
      <c r="AF2902" s="37"/>
      <c r="AG2902" s="37"/>
      <c r="AH2902" s="37"/>
      <c r="AI2902" s="37"/>
      <c r="AJ2902" s="37"/>
      <c r="AK2902" s="37"/>
      <c r="AL2902" s="37"/>
      <c r="AM2902" s="37"/>
      <c r="AN2902" s="37"/>
      <c r="AO2902" s="37"/>
      <c r="AP2902" s="37"/>
      <c r="AQ2902" s="37"/>
      <c r="AR2902" s="37"/>
      <c r="AS2902" s="37"/>
      <c r="AT2902" s="37"/>
      <c r="AU2902" s="37"/>
      <c r="AV2902" s="37"/>
      <c r="AW2902" s="37"/>
      <c r="AX2902" s="37"/>
      <c r="AY2902" s="37"/>
      <c r="AZ2902" s="37"/>
      <c r="BA2902" s="37"/>
      <c r="BB2902" s="37"/>
      <c r="BC2902" s="37"/>
      <c r="BD2902" s="37"/>
      <c r="BE2902" s="37"/>
      <c r="BF2902" s="37"/>
      <c r="BG2902" s="37"/>
      <c r="BH2902" s="37"/>
      <c r="BI2902" s="37"/>
      <c r="BJ2902" s="37"/>
      <c r="BK2902" s="37"/>
      <c r="BL2902" s="37"/>
      <c r="BM2902" s="37"/>
      <c r="BN2902" s="37"/>
      <c r="BO2902" s="37"/>
      <c r="BP2902" s="37"/>
      <c r="BQ2902" s="37"/>
      <c r="BR2902" s="37"/>
      <c r="BS2902" s="37"/>
      <c r="BT2902" s="37"/>
      <c r="BU2902" s="37"/>
      <c r="BV2902" s="37"/>
      <c r="BW2902" s="37"/>
      <c r="BX2902" s="37"/>
      <c r="BY2902" s="37"/>
      <c r="BZ2902" s="37"/>
      <c r="CA2902" s="37"/>
      <c r="CB2902" s="37"/>
      <c r="CC2902" s="37"/>
      <c r="CD2902" s="37"/>
      <c r="CE2902" s="37"/>
      <c r="CF2902" s="37"/>
      <c r="CG2902" s="37"/>
      <c r="CH2902" s="37"/>
      <c r="CI2902" s="37"/>
      <c r="CJ2902" s="37"/>
      <c r="CK2902" s="37"/>
      <c r="CL2902" s="37"/>
      <c r="CM2902" s="37"/>
      <c r="CN2902" s="37"/>
      <c r="CO2902" s="37"/>
      <c r="CP2902" s="37"/>
      <c r="CQ2902" s="37"/>
      <c r="CR2902" s="37"/>
      <c r="CS2902" s="37"/>
      <c r="CT2902" s="37"/>
      <c r="CU2902" s="37"/>
      <c r="CV2902" s="37"/>
      <c r="CW2902" s="37"/>
      <c r="CX2902" s="37"/>
      <c r="CY2902" s="37"/>
      <c r="CZ2902" s="37"/>
      <c r="DA2902" s="37"/>
      <c r="DB2902" s="37"/>
      <c r="DC2902" s="37"/>
      <c r="DD2902" s="37"/>
      <c r="DE2902" s="37"/>
      <c r="DF2902" s="37"/>
      <c r="DG2902" s="37"/>
      <c r="DH2902" s="37"/>
      <c r="DI2902" s="37"/>
      <c r="DJ2902" s="37"/>
      <c r="DK2902" s="37"/>
      <c r="DL2902" s="37"/>
      <c r="DM2902" s="37"/>
      <c r="DN2902" s="37"/>
      <c r="DO2902" s="37"/>
      <c r="DP2902" s="37"/>
      <c r="DQ2902" s="37"/>
      <c r="DR2902" s="37"/>
      <c r="DS2902" s="37"/>
      <c r="DT2902" s="37"/>
      <c r="DU2902" s="37"/>
      <c r="DV2902" s="37"/>
      <c r="DW2902" s="37"/>
      <c r="DX2902" s="37"/>
      <c r="DY2902" s="37"/>
      <c r="DZ2902" s="37"/>
      <c r="EA2902" s="37"/>
      <c r="EB2902" s="37"/>
      <c r="EC2902" s="37"/>
      <c r="ED2902" s="37"/>
      <c r="EE2902" s="37"/>
      <c r="EF2902" s="37"/>
      <c r="EG2902" s="37"/>
      <c r="EH2902" s="37"/>
      <c r="EI2902" s="37"/>
      <c r="EJ2902" s="37"/>
      <c r="EK2902" s="37"/>
      <c r="EL2902" s="37"/>
      <c r="EM2902" s="37"/>
      <c r="EN2902" s="37"/>
      <c r="EO2902" s="37"/>
      <c r="EP2902" s="37"/>
      <c r="EQ2902" s="37"/>
      <c r="ER2902" s="37"/>
      <c r="ES2902" s="37"/>
      <c r="ET2902" s="37"/>
      <c r="EU2902" s="37"/>
      <c r="EV2902" s="37"/>
      <c r="EW2902" s="37"/>
      <c r="EX2902" s="37"/>
      <c r="EY2902" s="37"/>
      <c r="EZ2902" s="37"/>
      <c r="FA2902" s="37"/>
      <c r="FB2902" s="37"/>
      <c r="FC2902" s="37"/>
      <c r="FD2902" s="37"/>
      <c r="FE2902" s="37"/>
      <c r="FF2902" s="37"/>
      <c r="FG2902" s="37"/>
      <c r="FH2902" s="37"/>
      <c r="FI2902" s="37"/>
      <c r="FJ2902" s="37"/>
      <c r="FK2902" s="37"/>
      <c r="FL2902" s="37"/>
      <c r="FM2902" s="37"/>
      <c r="FN2902" s="37"/>
      <c r="FO2902" s="37"/>
      <c r="FP2902" s="37"/>
      <c r="FQ2902" s="37"/>
      <c r="FR2902" s="37"/>
      <c r="FS2902" s="37"/>
      <c r="FT2902" s="37"/>
      <c r="FU2902" s="37"/>
      <c r="FV2902" s="37"/>
      <c r="FW2902" s="37"/>
      <c r="FX2902" s="37"/>
      <c r="FY2902" s="37"/>
      <c r="FZ2902" s="37"/>
      <c r="GA2902" s="37"/>
      <c r="GB2902" s="37"/>
      <c r="GC2902" s="37"/>
      <c r="GD2902" s="37"/>
      <c r="GE2902" s="37"/>
      <c r="GF2902" s="37"/>
      <c r="GG2902" s="37"/>
      <c r="GH2902" s="37"/>
      <c r="GI2902" s="37"/>
      <c r="GJ2902" s="37"/>
      <c r="GK2902" s="37"/>
      <c r="GL2902" s="37"/>
      <c r="GM2902" s="37"/>
      <c r="GN2902" s="37"/>
      <c r="GO2902" s="37"/>
      <c r="GP2902" s="37"/>
      <c r="GQ2902" s="37"/>
      <c r="GR2902" s="37"/>
      <c r="GS2902" s="37"/>
      <c r="GT2902" s="37"/>
      <c r="GU2902" s="37"/>
      <c r="GV2902" s="37"/>
      <c r="GW2902" s="37"/>
      <c r="GX2902" s="37"/>
      <c r="GY2902" s="37"/>
      <c r="GZ2902" s="37"/>
      <c r="HA2902" s="37"/>
      <c r="HB2902" s="37"/>
      <c r="HC2902" s="37"/>
      <c r="HD2902" s="37"/>
      <c r="HE2902" s="37"/>
      <c r="HF2902" s="37"/>
      <c r="HG2902" s="37"/>
      <c r="HH2902" s="37"/>
      <c r="HI2902" s="37"/>
      <c r="HJ2902" s="37"/>
      <c r="HK2902" s="37"/>
      <c r="HL2902" s="37"/>
      <c r="HM2902" s="37"/>
      <c r="HN2902" s="37"/>
      <c r="HO2902" s="37"/>
      <c r="HP2902" s="37"/>
      <c r="HQ2902" s="37"/>
      <c r="HR2902" s="37"/>
      <c r="HS2902" s="37"/>
      <c r="HT2902" s="37"/>
      <c r="HU2902" s="37"/>
      <c r="HV2902" s="37"/>
      <c r="HW2902" s="37"/>
      <c r="HX2902" s="37"/>
      <c r="HY2902" s="37"/>
      <c r="HZ2902" s="37"/>
      <c r="IA2902" s="37"/>
      <c r="IB2902" s="37"/>
      <c r="IC2902" s="37"/>
      <c r="ID2902" s="37"/>
      <c r="IE2902" s="37"/>
      <c r="IF2902" s="37"/>
      <c r="IG2902" s="37"/>
      <c r="IH2902" s="37"/>
      <c r="II2902" s="37"/>
      <c r="IJ2902" s="37"/>
      <c r="IK2902" s="37"/>
      <c r="IL2902" s="37"/>
      <c r="IM2902" s="37"/>
      <c r="IN2902" s="37"/>
      <c r="IO2902" s="37"/>
      <c r="IP2902" s="37"/>
      <c r="IQ2902" s="37"/>
      <c r="IR2902" s="37"/>
      <c r="IS2902" s="37"/>
      <c r="IT2902" s="37"/>
      <c r="IU2902" s="37"/>
      <c r="IV2902" s="37"/>
      <c r="IW2902" s="37"/>
      <c r="IX2902" s="37"/>
      <c r="IY2902" s="37"/>
      <c r="IZ2902" s="37"/>
      <c r="JA2902" s="37"/>
      <c r="JB2902" s="37"/>
      <c r="JC2902" s="37"/>
      <c r="JD2902" s="37"/>
      <c r="JE2902" s="37"/>
      <c r="JF2902" s="37"/>
      <c r="JG2902" s="37"/>
      <c r="JH2902" s="37"/>
      <c r="JI2902" s="37"/>
      <c r="JJ2902" s="37"/>
      <c r="JK2902" s="37"/>
      <c r="JL2902" s="37"/>
      <c r="JM2902" s="37"/>
      <c r="JN2902" s="37"/>
      <c r="JO2902" s="37"/>
      <c r="JP2902" s="37"/>
      <c r="JQ2902" s="37"/>
      <c r="JR2902" s="37"/>
      <c r="JS2902" s="37"/>
      <c r="JT2902" s="37"/>
      <c r="JU2902" s="37"/>
      <c r="JV2902" s="37"/>
      <c r="JW2902" s="37"/>
      <c r="JX2902" s="37"/>
      <c r="JY2902" s="37"/>
      <c r="JZ2902" s="37"/>
      <c r="KA2902" s="37"/>
      <c r="KB2902" s="37"/>
      <c r="KC2902" s="37"/>
      <c r="KD2902" s="37"/>
      <c r="KE2902" s="37"/>
      <c r="KF2902" s="37"/>
      <c r="KG2902" s="37"/>
      <c r="KH2902" s="37"/>
      <c r="KI2902" s="37"/>
      <c r="KJ2902" s="37"/>
      <c r="KK2902" s="37"/>
      <c r="KL2902" s="37"/>
      <c r="KM2902" s="37"/>
      <c r="KN2902" s="37"/>
      <c r="KO2902" s="37"/>
      <c r="KP2902" s="37"/>
      <c r="KQ2902" s="37"/>
      <c r="KR2902" s="37"/>
      <c r="KS2902" s="37"/>
      <c r="KT2902" s="37"/>
      <c r="KU2902" s="37"/>
      <c r="KV2902" s="37"/>
      <c r="KW2902" s="37"/>
      <c r="KX2902" s="37"/>
      <c r="KY2902" s="37"/>
      <c r="KZ2902" s="37"/>
      <c r="LA2902" s="37"/>
      <c r="LB2902" s="37"/>
      <c r="LC2902" s="37"/>
      <c r="LD2902" s="37"/>
      <c r="LE2902" s="37"/>
      <c r="LF2902" s="37"/>
      <c r="LG2902" s="37"/>
      <c r="LH2902" s="37"/>
      <c r="LI2902" s="37"/>
      <c r="LJ2902" s="37"/>
      <c r="LK2902" s="37"/>
      <c r="LL2902" s="37"/>
      <c r="LM2902" s="37"/>
      <c r="LN2902" s="37"/>
      <c r="LO2902" s="37"/>
      <c r="LP2902" s="37"/>
      <c r="LQ2902" s="37"/>
      <c r="LR2902" s="37"/>
      <c r="LS2902" s="37"/>
      <c r="LT2902" s="37"/>
      <c r="LU2902" s="37"/>
      <c r="LV2902" s="37"/>
      <c r="LW2902" s="37"/>
      <c r="LX2902" s="37"/>
      <c r="LY2902" s="37"/>
      <c r="LZ2902" s="37"/>
      <c r="MA2902" s="37"/>
      <c r="MB2902" s="37"/>
      <c r="MC2902" s="37"/>
      <c r="MD2902" s="37"/>
      <c r="ME2902" s="37"/>
      <c r="MF2902" s="37"/>
      <c r="MG2902" s="37"/>
      <c r="MH2902" s="37"/>
      <c r="MI2902" s="37"/>
      <c r="MJ2902" s="37"/>
      <c r="MK2902" s="37"/>
      <c r="ML2902" s="37"/>
      <c r="MM2902" s="37"/>
      <c r="MN2902" s="37"/>
      <c r="MO2902" s="37"/>
      <c r="MP2902" s="37"/>
      <c r="MQ2902" s="37"/>
      <c r="MR2902" s="37"/>
      <c r="MS2902" s="37"/>
      <c r="MT2902" s="37"/>
      <c r="MU2902" s="37"/>
      <c r="MV2902" s="37"/>
      <c r="MW2902" s="37"/>
      <c r="MX2902" s="37"/>
      <c r="MY2902" s="37"/>
      <c r="MZ2902" s="37"/>
      <c r="NA2902" s="37"/>
      <c r="NB2902" s="37"/>
      <c r="NC2902" s="37"/>
      <c r="ND2902" s="37"/>
      <c r="NE2902" s="37"/>
      <c r="NF2902" s="37"/>
      <c r="NG2902" s="37"/>
      <c r="NH2902" s="37"/>
      <c r="NI2902" s="37"/>
      <c r="NJ2902" s="37"/>
      <c r="NK2902" s="37"/>
      <c r="NL2902" s="37"/>
      <c r="NM2902" s="37"/>
      <c r="NN2902" s="37"/>
      <c r="NO2902" s="37"/>
      <c r="NP2902" s="37"/>
      <c r="NQ2902" s="37"/>
      <c r="NR2902" s="37"/>
      <c r="NS2902" s="37"/>
      <c r="NT2902" s="37"/>
      <c r="NU2902" s="37"/>
      <c r="NV2902" s="37"/>
      <c r="NW2902" s="37"/>
      <c r="NX2902" s="37"/>
      <c r="NY2902" s="37"/>
      <c r="NZ2902" s="37"/>
      <c r="OA2902" s="37"/>
      <c r="OB2902" s="37"/>
      <c r="OC2902" s="37"/>
      <c r="OD2902" s="37"/>
      <c r="OE2902" s="37"/>
      <c r="OF2902" s="37"/>
      <c r="OG2902" s="37"/>
      <c r="OH2902" s="37"/>
      <c r="OI2902" s="37"/>
      <c r="OJ2902" s="37"/>
      <c r="OK2902" s="37"/>
      <c r="OL2902" s="37"/>
      <c r="OM2902" s="37"/>
      <c r="ON2902" s="37"/>
      <c r="OO2902" s="37"/>
      <c r="OP2902" s="37"/>
      <c r="OQ2902" s="37"/>
      <c r="OR2902" s="37"/>
      <c r="OS2902" s="37"/>
      <c r="OT2902" s="37"/>
      <c r="OU2902" s="37"/>
      <c r="OV2902" s="37"/>
      <c r="OW2902" s="37"/>
      <c r="OX2902" s="37"/>
      <c r="OY2902" s="37"/>
      <c r="OZ2902" s="37"/>
      <c r="PA2902" s="37"/>
      <c r="PB2902" s="37"/>
      <c r="PC2902" s="37"/>
      <c r="PD2902" s="37"/>
      <c r="PE2902" s="37"/>
      <c r="PF2902" s="37"/>
      <c r="PG2902" s="37"/>
      <c r="PH2902" s="37"/>
      <c r="PI2902" s="37"/>
      <c r="PJ2902" s="37"/>
      <c r="PK2902" s="37"/>
      <c r="PL2902" s="37"/>
      <c r="PM2902" s="37"/>
      <c r="PN2902" s="37"/>
      <c r="PO2902" s="37"/>
      <c r="PP2902" s="37"/>
      <c r="PQ2902" s="37"/>
      <c r="PR2902" s="37"/>
      <c r="PS2902" s="37"/>
      <c r="PT2902" s="37"/>
      <c r="PU2902" s="37"/>
      <c r="PV2902" s="37"/>
      <c r="PW2902" s="37"/>
      <c r="PX2902" s="37"/>
      <c r="PY2902" s="37"/>
      <c r="PZ2902" s="37"/>
      <c r="QA2902" s="37"/>
      <c r="QB2902" s="37"/>
      <c r="QC2902" s="37"/>
      <c r="QD2902" s="37"/>
      <c r="QE2902" s="37"/>
      <c r="QF2902" s="37"/>
      <c r="QG2902" s="37"/>
      <c r="QH2902" s="37"/>
      <c r="QI2902" s="37"/>
      <c r="QJ2902" s="37"/>
      <c r="QK2902" s="37"/>
      <c r="QL2902" s="37"/>
      <c r="QM2902" s="37"/>
      <c r="QN2902" s="37"/>
      <c r="QO2902" s="37"/>
      <c r="QP2902" s="37"/>
      <c r="QQ2902" s="37"/>
      <c r="QR2902" s="37"/>
      <c r="QS2902" s="37"/>
      <c r="QT2902" s="37"/>
      <c r="QU2902" s="37"/>
      <c r="QV2902" s="37"/>
      <c r="QW2902" s="37"/>
      <c r="QX2902" s="37"/>
      <c r="QY2902" s="37"/>
      <c r="QZ2902" s="37"/>
      <c r="RA2902" s="37"/>
      <c r="RB2902" s="37"/>
      <c r="RC2902" s="37"/>
      <c r="RD2902" s="37"/>
      <c r="RE2902" s="37"/>
      <c r="RF2902" s="37"/>
      <c r="RG2902" s="37"/>
      <c r="RH2902" s="37"/>
      <c r="RI2902" s="37"/>
      <c r="RJ2902" s="37"/>
      <c r="RK2902" s="37"/>
      <c r="RL2902" s="37"/>
      <c r="RM2902" s="37"/>
      <c r="RN2902" s="37"/>
      <c r="RO2902" s="37"/>
      <c r="RP2902" s="37"/>
      <c r="RQ2902" s="37"/>
      <c r="RR2902" s="37"/>
      <c r="RS2902" s="37"/>
      <c r="RT2902" s="37"/>
      <c r="RU2902" s="37"/>
      <c r="RV2902" s="37"/>
      <c r="RW2902" s="37"/>
      <c r="RX2902" s="37"/>
      <c r="RY2902" s="37"/>
      <c r="RZ2902" s="37"/>
      <c r="SA2902" s="37"/>
      <c r="SB2902" s="37"/>
      <c r="SC2902" s="37"/>
      <c r="SD2902" s="37"/>
      <c r="SE2902" s="37"/>
      <c r="SF2902" s="37"/>
    </row>
    <row r="2903" spans="1:500">
      <c r="A2903" s="37"/>
      <c r="B2903" s="37"/>
      <c r="C2903" s="37"/>
      <c r="D2903" s="37"/>
      <c r="E2903" s="37"/>
      <c r="F2903" s="37"/>
      <c r="G2903" s="37"/>
      <c r="H2903" s="37"/>
      <c r="I2903" s="37"/>
      <c r="J2903" s="37"/>
      <c r="K2903" s="37"/>
      <c r="L2903" s="37"/>
      <c r="M2903" s="37"/>
      <c r="N2903" s="37"/>
      <c r="O2903" s="37"/>
      <c r="P2903" s="37"/>
      <c r="Q2903" s="37"/>
      <c r="R2903" s="37"/>
      <c r="S2903" s="37"/>
      <c r="T2903" s="37"/>
      <c r="U2903" s="37"/>
      <c r="V2903" s="37"/>
      <c r="W2903" s="37"/>
      <c r="X2903" s="37"/>
      <c r="Y2903" s="37"/>
      <c r="Z2903" s="37"/>
      <c r="AA2903" s="37"/>
      <c r="AB2903" s="37"/>
      <c r="AC2903" s="37"/>
      <c r="AD2903" s="37"/>
      <c r="AE2903" s="37"/>
      <c r="AF2903" s="37"/>
      <c r="AG2903" s="37"/>
      <c r="AH2903" s="37"/>
      <c r="AI2903" s="37"/>
      <c r="AJ2903" s="37"/>
      <c r="AK2903" s="37"/>
      <c r="AL2903" s="37"/>
      <c r="AM2903" s="37"/>
      <c r="AN2903" s="37"/>
      <c r="AO2903" s="37"/>
      <c r="AP2903" s="37"/>
      <c r="AQ2903" s="37"/>
      <c r="AR2903" s="37"/>
      <c r="AS2903" s="37"/>
      <c r="AT2903" s="37"/>
      <c r="AU2903" s="37"/>
      <c r="AV2903" s="37"/>
      <c r="AW2903" s="37"/>
      <c r="AX2903" s="37"/>
      <c r="AY2903" s="37"/>
      <c r="AZ2903" s="37"/>
      <c r="BA2903" s="37"/>
      <c r="BB2903" s="37"/>
      <c r="BC2903" s="37"/>
      <c r="BD2903" s="37"/>
      <c r="BE2903" s="37"/>
      <c r="BF2903" s="37"/>
      <c r="BG2903" s="37"/>
      <c r="BH2903" s="37"/>
      <c r="BI2903" s="37"/>
      <c r="BJ2903" s="37"/>
      <c r="BK2903" s="37"/>
      <c r="BL2903" s="37"/>
      <c r="BM2903" s="37"/>
      <c r="BN2903" s="37"/>
      <c r="BO2903" s="37"/>
      <c r="BP2903" s="37"/>
      <c r="BQ2903" s="37"/>
      <c r="BR2903" s="37"/>
      <c r="BS2903" s="37"/>
      <c r="BT2903" s="37"/>
      <c r="BU2903" s="37"/>
      <c r="BV2903" s="37"/>
      <c r="BW2903" s="37"/>
      <c r="BX2903" s="37"/>
      <c r="BY2903" s="37"/>
      <c r="BZ2903" s="37"/>
      <c r="CA2903" s="37"/>
      <c r="CB2903" s="37"/>
      <c r="CC2903" s="37"/>
      <c r="CD2903" s="37"/>
      <c r="CE2903" s="37"/>
      <c r="CF2903" s="37"/>
      <c r="CG2903" s="37"/>
      <c r="CH2903" s="37"/>
      <c r="CI2903" s="37"/>
      <c r="CJ2903" s="37"/>
      <c r="CK2903" s="37"/>
      <c r="CL2903" s="37"/>
      <c r="CM2903" s="37"/>
      <c r="CN2903" s="37"/>
      <c r="CO2903" s="37"/>
      <c r="CP2903" s="37"/>
      <c r="CQ2903" s="37"/>
      <c r="CR2903" s="37"/>
      <c r="CS2903" s="37"/>
      <c r="CT2903" s="37"/>
      <c r="CU2903" s="37"/>
      <c r="CV2903" s="37"/>
      <c r="CW2903" s="37"/>
      <c r="CX2903" s="37"/>
      <c r="CY2903" s="37"/>
      <c r="CZ2903" s="37"/>
      <c r="DA2903" s="37"/>
      <c r="DB2903" s="37"/>
      <c r="DC2903" s="37"/>
      <c r="DD2903" s="37"/>
      <c r="DE2903" s="37"/>
      <c r="DF2903" s="37"/>
      <c r="DG2903" s="37"/>
      <c r="DH2903" s="37"/>
      <c r="DI2903" s="37"/>
      <c r="DJ2903" s="37"/>
      <c r="DK2903" s="37"/>
      <c r="DL2903" s="37"/>
      <c r="DM2903" s="37"/>
      <c r="DN2903" s="37"/>
      <c r="DO2903" s="37"/>
      <c r="DP2903" s="37"/>
      <c r="DQ2903" s="37"/>
      <c r="DR2903" s="37"/>
      <c r="DS2903" s="37"/>
      <c r="DT2903" s="37"/>
      <c r="DU2903" s="37"/>
      <c r="DV2903" s="37"/>
      <c r="DW2903" s="37"/>
      <c r="DX2903" s="37"/>
      <c r="DY2903" s="37"/>
      <c r="DZ2903" s="37"/>
      <c r="EA2903" s="37"/>
      <c r="EB2903" s="37"/>
      <c r="EC2903" s="37"/>
      <c r="ED2903" s="37"/>
      <c r="EE2903" s="37"/>
      <c r="EF2903" s="37"/>
      <c r="EG2903" s="37"/>
      <c r="EH2903" s="37"/>
      <c r="EI2903" s="37"/>
      <c r="EJ2903" s="37"/>
      <c r="EK2903" s="37"/>
      <c r="EL2903" s="37"/>
      <c r="EM2903" s="37"/>
      <c r="EN2903" s="37"/>
      <c r="EO2903" s="37"/>
      <c r="EP2903" s="37"/>
      <c r="EQ2903" s="37"/>
      <c r="ER2903" s="37"/>
      <c r="ES2903" s="37"/>
      <c r="ET2903" s="37"/>
      <c r="EU2903" s="37"/>
      <c r="EV2903" s="37"/>
      <c r="EW2903" s="37"/>
      <c r="EX2903" s="37"/>
      <c r="EY2903" s="37"/>
      <c r="EZ2903" s="37"/>
      <c r="FA2903" s="37"/>
      <c r="FB2903" s="37"/>
      <c r="FC2903" s="37"/>
      <c r="FD2903" s="37"/>
      <c r="FE2903" s="37"/>
      <c r="FF2903" s="37"/>
      <c r="FG2903" s="37"/>
      <c r="FH2903" s="37"/>
      <c r="FI2903" s="37"/>
      <c r="FJ2903" s="37"/>
      <c r="FK2903" s="37"/>
      <c r="FL2903" s="37"/>
      <c r="FM2903" s="37"/>
      <c r="FN2903" s="37"/>
      <c r="FO2903" s="37"/>
      <c r="FP2903" s="37"/>
      <c r="FQ2903" s="37"/>
      <c r="FR2903" s="37"/>
      <c r="FS2903" s="37"/>
      <c r="FT2903" s="37"/>
      <c r="FU2903" s="37"/>
      <c r="FV2903" s="37"/>
      <c r="FW2903" s="37"/>
      <c r="FX2903" s="37"/>
      <c r="FY2903" s="37"/>
      <c r="FZ2903" s="37"/>
      <c r="GA2903" s="37"/>
      <c r="GB2903" s="37"/>
      <c r="GC2903" s="37"/>
      <c r="GD2903" s="37"/>
      <c r="GE2903" s="37"/>
      <c r="GF2903" s="37"/>
      <c r="GG2903" s="37"/>
      <c r="GH2903" s="37"/>
      <c r="GI2903" s="37"/>
      <c r="GJ2903" s="37"/>
      <c r="GK2903" s="37"/>
      <c r="GL2903" s="37"/>
      <c r="GM2903" s="37"/>
      <c r="GN2903" s="37"/>
      <c r="GO2903" s="37"/>
      <c r="GP2903" s="37"/>
      <c r="GQ2903" s="37"/>
      <c r="GR2903" s="37"/>
      <c r="GS2903" s="37"/>
      <c r="GT2903" s="37"/>
      <c r="GU2903" s="37"/>
      <c r="GV2903" s="37"/>
      <c r="GW2903" s="37"/>
      <c r="GX2903" s="37"/>
      <c r="GY2903" s="37"/>
      <c r="GZ2903" s="37"/>
      <c r="HA2903" s="37"/>
      <c r="HB2903" s="37"/>
      <c r="HC2903" s="37"/>
      <c r="HD2903" s="37"/>
      <c r="HE2903" s="37"/>
      <c r="HF2903" s="37"/>
      <c r="HG2903" s="37"/>
      <c r="HH2903" s="37"/>
      <c r="HI2903" s="37"/>
      <c r="HJ2903" s="37"/>
      <c r="HK2903" s="37"/>
      <c r="HL2903" s="37"/>
      <c r="HM2903" s="37"/>
      <c r="HN2903" s="37"/>
      <c r="HO2903" s="37"/>
      <c r="HP2903" s="37"/>
      <c r="HQ2903" s="37"/>
      <c r="HR2903" s="37"/>
      <c r="HS2903" s="37"/>
      <c r="HT2903" s="37"/>
      <c r="HU2903" s="37"/>
      <c r="HV2903" s="37"/>
      <c r="HW2903" s="37"/>
      <c r="HX2903" s="37"/>
      <c r="HY2903" s="37"/>
      <c r="HZ2903" s="37"/>
      <c r="IA2903" s="37"/>
      <c r="IB2903" s="37"/>
      <c r="IC2903" s="37"/>
      <c r="ID2903" s="37"/>
      <c r="IE2903" s="37"/>
      <c r="IF2903" s="37"/>
      <c r="IG2903" s="37"/>
      <c r="IH2903" s="37"/>
      <c r="II2903" s="37"/>
      <c r="IJ2903" s="37"/>
      <c r="IK2903" s="37"/>
      <c r="IL2903" s="37"/>
      <c r="IM2903" s="37"/>
      <c r="IN2903" s="37"/>
      <c r="IO2903" s="37"/>
      <c r="IP2903" s="37"/>
      <c r="IQ2903" s="37"/>
      <c r="IR2903" s="37"/>
      <c r="IS2903" s="37"/>
      <c r="IT2903" s="37"/>
      <c r="IU2903" s="37"/>
      <c r="IV2903" s="37"/>
      <c r="IW2903" s="37"/>
      <c r="IX2903" s="37"/>
      <c r="IY2903" s="37"/>
      <c r="IZ2903" s="37"/>
      <c r="JA2903" s="37"/>
      <c r="JB2903" s="37"/>
      <c r="JC2903" s="37"/>
      <c r="JD2903" s="37"/>
      <c r="JE2903" s="37"/>
      <c r="JF2903" s="37"/>
      <c r="JG2903" s="37"/>
      <c r="JH2903" s="37"/>
      <c r="JI2903" s="37"/>
      <c r="JJ2903" s="37"/>
      <c r="JK2903" s="37"/>
      <c r="JL2903" s="37"/>
      <c r="JM2903" s="37"/>
      <c r="JN2903" s="37"/>
      <c r="JO2903" s="37"/>
      <c r="JP2903" s="37"/>
      <c r="JQ2903" s="37"/>
      <c r="JR2903" s="37"/>
      <c r="JS2903" s="37"/>
      <c r="JT2903" s="37"/>
      <c r="JU2903" s="37"/>
      <c r="JV2903" s="37"/>
      <c r="JW2903" s="37"/>
      <c r="JX2903" s="37"/>
      <c r="JY2903" s="37"/>
      <c r="JZ2903" s="37"/>
      <c r="KA2903" s="37"/>
      <c r="KB2903" s="37"/>
      <c r="KC2903" s="37"/>
      <c r="KD2903" s="37"/>
      <c r="KE2903" s="37"/>
      <c r="KF2903" s="37"/>
      <c r="KG2903" s="37"/>
      <c r="KH2903" s="37"/>
      <c r="KI2903" s="37"/>
      <c r="KJ2903" s="37"/>
      <c r="KK2903" s="37"/>
      <c r="KL2903" s="37"/>
      <c r="KM2903" s="37"/>
      <c r="KN2903" s="37"/>
      <c r="KO2903" s="37"/>
      <c r="KP2903" s="37"/>
      <c r="KQ2903" s="37"/>
      <c r="KR2903" s="37"/>
      <c r="KS2903" s="37"/>
      <c r="KT2903" s="37"/>
      <c r="KU2903" s="37"/>
      <c r="KV2903" s="37"/>
      <c r="KW2903" s="37"/>
      <c r="KX2903" s="37"/>
      <c r="KY2903" s="37"/>
      <c r="KZ2903" s="37"/>
      <c r="LA2903" s="37"/>
      <c r="LB2903" s="37"/>
      <c r="LC2903" s="37"/>
      <c r="LD2903" s="37"/>
      <c r="LE2903" s="37"/>
      <c r="LF2903" s="37"/>
      <c r="LG2903" s="37"/>
      <c r="LH2903" s="37"/>
      <c r="LI2903" s="37"/>
      <c r="LJ2903" s="37"/>
      <c r="LK2903" s="37"/>
      <c r="LL2903" s="37"/>
      <c r="LM2903" s="37"/>
      <c r="LN2903" s="37"/>
      <c r="LO2903" s="37"/>
      <c r="LP2903" s="37"/>
      <c r="LQ2903" s="37"/>
      <c r="LR2903" s="37"/>
      <c r="LS2903" s="37"/>
      <c r="LT2903" s="37"/>
      <c r="LU2903" s="37"/>
      <c r="LV2903" s="37"/>
      <c r="LW2903" s="37"/>
      <c r="LX2903" s="37"/>
      <c r="LY2903" s="37"/>
      <c r="LZ2903" s="37"/>
      <c r="MA2903" s="37"/>
      <c r="MB2903" s="37"/>
      <c r="MC2903" s="37"/>
      <c r="MD2903" s="37"/>
      <c r="ME2903" s="37"/>
      <c r="MF2903" s="37"/>
      <c r="MG2903" s="37"/>
      <c r="MH2903" s="37"/>
      <c r="MI2903" s="37"/>
      <c r="MJ2903" s="37"/>
      <c r="MK2903" s="37"/>
      <c r="ML2903" s="37"/>
      <c r="MM2903" s="37"/>
      <c r="MN2903" s="37"/>
      <c r="MO2903" s="37"/>
      <c r="MP2903" s="37"/>
      <c r="MQ2903" s="37"/>
      <c r="MR2903" s="37"/>
      <c r="MS2903" s="37"/>
      <c r="MT2903" s="37"/>
      <c r="MU2903" s="37"/>
      <c r="MV2903" s="37"/>
      <c r="MW2903" s="37"/>
      <c r="MX2903" s="37"/>
      <c r="MY2903" s="37"/>
      <c r="MZ2903" s="37"/>
      <c r="NA2903" s="37"/>
      <c r="NB2903" s="37"/>
      <c r="NC2903" s="37"/>
      <c r="ND2903" s="37"/>
      <c r="NE2903" s="37"/>
      <c r="NF2903" s="37"/>
      <c r="NG2903" s="37"/>
      <c r="NH2903" s="37"/>
      <c r="NI2903" s="37"/>
      <c r="NJ2903" s="37"/>
      <c r="NK2903" s="37"/>
      <c r="NL2903" s="37"/>
      <c r="NM2903" s="37"/>
      <c r="NN2903" s="37"/>
      <c r="NO2903" s="37"/>
      <c r="NP2903" s="37"/>
      <c r="NQ2903" s="37"/>
      <c r="NR2903" s="37"/>
      <c r="NS2903" s="37"/>
      <c r="NT2903" s="37"/>
      <c r="NU2903" s="37"/>
      <c r="NV2903" s="37"/>
      <c r="NW2903" s="37"/>
      <c r="NX2903" s="37"/>
      <c r="NY2903" s="37"/>
      <c r="NZ2903" s="37"/>
      <c r="OA2903" s="37"/>
      <c r="OB2903" s="37"/>
      <c r="OC2903" s="37"/>
      <c r="OD2903" s="37"/>
      <c r="OE2903" s="37"/>
      <c r="OF2903" s="37"/>
      <c r="OG2903" s="37"/>
      <c r="OH2903" s="37"/>
      <c r="OI2903" s="37"/>
      <c r="OJ2903" s="37"/>
      <c r="OK2903" s="37"/>
      <c r="OL2903" s="37"/>
      <c r="OM2903" s="37"/>
      <c r="ON2903" s="37"/>
      <c r="OO2903" s="37"/>
      <c r="OP2903" s="37"/>
      <c r="OQ2903" s="37"/>
      <c r="OR2903" s="37"/>
      <c r="OS2903" s="37"/>
      <c r="OT2903" s="37"/>
      <c r="OU2903" s="37"/>
      <c r="OV2903" s="37"/>
      <c r="OW2903" s="37"/>
      <c r="OX2903" s="37"/>
      <c r="OY2903" s="37"/>
      <c r="OZ2903" s="37"/>
      <c r="PA2903" s="37"/>
      <c r="PB2903" s="37"/>
      <c r="PC2903" s="37"/>
      <c r="PD2903" s="37"/>
      <c r="PE2903" s="37"/>
      <c r="PF2903" s="37"/>
      <c r="PG2903" s="37"/>
      <c r="PH2903" s="37"/>
      <c r="PI2903" s="37"/>
      <c r="PJ2903" s="37"/>
      <c r="PK2903" s="37"/>
      <c r="PL2903" s="37"/>
      <c r="PM2903" s="37"/>
      <c r="PN2903" s="37"/>
      <c r="PO2903" s="37"/>
      <c r="PP2903" s="37"/>
      <c r="PQ2903" s="37"/>
      <c r="PR2903" s="37"/>
      <c r="PS2903" s="37"/>
      <c r="PT2903" s="37"/>
      <c r="PU2903" s="37"/>
      <c r="PV2903" s="37"/>
      <c r="PW2903" s="37"/>
      <c r="PX2903" s="37"/>
      <c r="PY2903" s="37"/>
      <c r="PZ2903" s="37"/>
      <c r="QA2903" s="37"/>
      <c r="QB2903" s="37"/>
      <c r="QC2903" s="37"/>
      <c r="QD2903" s="37"/>
      <c r="QE2903" s="37"/>
      <c r="QF2903" s="37"/>
      <c r="QG2903" s="37"/>
      <c r="QH2903" s="37"/>
      <c r="QI2903" s="37"/>
      <c r="QJ2903" s="37"/>
      <c r="QK2903" s="37"/>
      <c r="QL2903" s="37"/>
      <c r="QM2903" s="37"/>
      <c r="QN2903" s="37"/>
      <c r="QO2903" s="37"/>
      <c r="QP2903" s="37"/>
      <c r="QQ2903" s="37"/>
      <c r="QR2903" s="37"/>
      <c r="QS2903" s="37"/>
      <c r="QT2903" s="37"/>
      <c r="QU2903" s="37"/>
      <c r="QV2903" s="37"/>
      <c r="QW2903" s="37"/>
      <c r="QX2903" s="37"/>
      <c r="QY2903" s="37"/>
      <c r="QZ2903" s="37"/>
      <c r="RA2903" s="37"/>
      <c r="RB2903" s="37"/>
      <c r="RC2903" s="37"/>
      <c r="RD2903" s="37"/>
      <c r="RE2903" s="37"/>
      <c r="RF2903" s="37"/>
      <c r="RG2903" s="37"/>
      <c r="RH2903" s="37"/>
      <c r="RI2903" s="37"/>
      <c r="RJ2903" s="37"/>
      <c r="RK2903" s="37"/>
      <c r="RL2903" s="37"/>
      <c r="RM2903" s="37"/>
      <c r="RN2903" s="37"/>
      <c r="RO2903" s="37"/>
      <c r="RP2903" s="37"/>
      <c r="RQ2903" s="37"/>
      <c r="RR2903" s="37"/>
      <c r="RS2903" s="37"/>
      <c r="RT2903" s="37"/>
      <c r="RU2903" s="37"/>
      <c r="RV2903" s="37"/>
      <c r="RW2903" s="37"/>
      <c r="RX2903" s="37"/>
      <c r="RY2903" s="37"/>
      <c r="RZ2903" s="37"/>
      <c r="SA2903" s="37"/>
      <c r="SB2903" s="37"/>
      <c r="SC2903" s="37"/>
      <c r="SD2903" s="37"/>
      <c r="SE2903" s="37"/>
      <c r="SF2903" s="37"/>
    </row>
    <row r="2904" spans="1:500">
      <c r="A2904" s="37"/>
      <c r="B2904" s="37"/>
      <c r="C2904" s="37"/>
      <c r="D2904" s="37"/>
      <c r="E2904" s="37"/>
      <c r="F2904" s="37"/>
      <c r="G2904" s="37"/>
      <c r="H2904" s="37"/>
      <c r="I2904" s="37"/>
      <c r="J2904" s="37"/>
      <c r="K2904" s="37"/>
      <c r="L2904" s="37"/>
      <c r="M2904" s="37"/>
      <c r="N2904" s="37"/>
      <c r="O2904" s="37"/>
      <c r="P2904" s="37"/>
      <c r="Q2904" s="37"/>
      <c r="R2904" s="37"/>
      <c r="S2904" s="37"/>
      <c r="T2904" s="37"/>
      <c r="U2904" s="37"/>
      <c r="V2904" s="37"/>
      <c r="W2904" s="37"/>
      <c r="X2904" s="37"/>
      <c r="Y2904" s="37"/>
      <c r="Z2904" s="37"/>
      <c r="AA2904" s="37"/>
      <c r="AB2904" s="37"/>
      <c r="AC2904" s="37"/>
      <c r="AD2904" s="37"/>
      <c r="AE2904" s="37"/>
      <c r="AF2904" s="37"/>
      <c r="AG2904" s="37"/>
      <c r="AH2904" s="37"/>
      <c r="AI2904" s="37"/>
      <c r="AJ2904" s="37"/>
      <c r="AK2904" s="37"/>
      <c r="AL2904" s="37"/>
      <c r="AM2904" s="37"/>
      <c r="AN2904" s="37"/>
      <c r="AO2904" s="37"/>
      <c r="AP2904" s="37"/>
      <c r="AQ2904" s="37"/>
      <c r="AR2904" s="37"/>
      <c r="AS2904" s="37"/>
      <c r="AT2904" s="37"/>
      <c r="AU2904" s="37"/>
      <c r="AV2904" s="37"/>
      <c r="AW2904" s="37"/>
      <c r="AX2904" s="37"/>
      <c r="AY2904" s="37"/>
      <c r="AZ2904" s="37"/>
      <c r="BA2904" s="37"/>
      <c r="BB2904" s="37"/>
      <c r="BC2904" s="37"/>
      <c r="BD2904" s="37"/>
      <c r="BE2904" s="37"/>
      <c r="BF2904" s="37"/>
      <c r="BG2904" s="37"/>
      <c r="BH2904" s="37"/>
      <c r="BI2904" s="37"/>
      <c r="BJ2904" s="37"/>
      <c r="BK2904" s="37"/>
      <c r="BL2904" s="37"/>
      <c r="BM2904" s="37"/>
      <c r="BN2904" s="37"/>
      <c r="BO2904" s="37"/>
      <c r="BP2904" s="37"/>
      <c r="BQ2904" s="37"/>
      <c r="BR2904" s="37"/>
      <c r="BS2904" s="37"/>
      <c r="BT2904" s="37"/>
      <c r="BU2904" s="37"/>
      <c r="BV2904" s="37"/>
      <c r="BW2904" s="37"/>
      <c r="BX2904" s="37"/>
      <c r="BY2904" s="37"/>
      <c r="BZ2904" s="37"/>
      <c r="CA2904" s="37"/>
      <c r="CB2904" s="37"/>
      <c r="CC2904" s="37"/>
      <c r="CD2904" s="37"/>
      <c r="CE2904" s="37"/>
      <c r="CF2904" s="37"/>
      <c r="CG2904" s="37"/>
      <c r="CH2904" s="37"/>
      <c r="CI2904" s="37"/>
      <c r="CJ2904" s="37"/>
      <c r="CK2904" s="37"/>
      <c r="CL2904" s="37"/>
      <c r="CM2904" s="37"/>
      <c r="CN2904" s="37"/>
      <c r="CO2904" s="37"/>
      <c r="CP2904" s="37"/>
      <c r="CQ2904" s="37"/>
      <c r="CR2904" s="37"/>
      <c r="CS2904" s="37"/>
      <c r="CT2904" s="37"/>
      <c r="CU2904" s="37"/>
      <c r="CV2904" s="37"/>
      <c r="CW2904" s="37"/>
      <c r="CX2904" s="37"/>
      <c r="CY2904" s="37"/>
      <c r="CZ2904" s="37"/>
      <c r="DA2904" s="37"/>
      <c r="DB2904" s="37"/>
      <c r="DC2904" s="37"/>
      <c r="DD2904" s="37"/>
      <c r="DE2904" s="37"/>
      <c r="DF2904" s="37"/>
      <c r="DG2904" s="37"/>
      <c r="DH2904" s="37"/>
      <c r="DI2904" s="37"/>
      <c r="DJ2904" s="37"/>
      <c r="DK2904" s="37"/>
      <c r="DL2904" s="37"/>
      <c r="DM2904" s="37"/>
      <c r="DN2904" s="37"/>
      <c r="DO2904" s="37"/>
      <c r="DP2904" s="37"/>
      <c r="DQ2904" s="37"/>
      <c r="DR2904" s="37"/>
      <c r="DS2904" s="37"/>
      <c r="DT2904" s="37"/>
      <c r="DU2904" s="37"/>
      <c r="DV2904" s="37"/>
      <c r="DW2904" s="37"/>
      <c r="DX2904" s="37"/>
      <c r="DY2904" s="37"/>
      <c r="DZ2904" s="37"/>
      <c r="EA2904" s="37"/>
      <c r="EB2904" s="37"/>
      <c r="EC2904" s="37"/>
      <c r="ED2904" s="37"/>
      <c r="EE2904" s="37"/>
      <c r="EF2904" s="37"/>
      <c r="EG2904" s="37"/>
      <c r="EH2904" s="37"/>
      <c r="EI2904" s="37"/>
      <c r="EJ2904" s="37"/>
      <c r="EK2904" s="37"/>
      <c r="EL2904" s="37"/>
      <c r="EM2904" s="37"/>
      <c r="EN2904" s="37"/>
      <c r="EO2904" s="37"/>
      <c r="EP2904" s="37"/>
      <c r="EQ2904" s="37"/>
      <c r="ER2904" s="37"/>
      <c r="ES2904" s="37"/>
      <c r="ET2904" s="37"/>
      <c r="EU2904" s="37"/>
      <c r="EV2904" s="37"/>
      <c r="EW2904" s="37"/>
      <c r="EX2904" s="37"/>
      <c r="EY2904" s="37"/>
      <c r="EZ2904" s="37"/>
      <c r="FA2904" s="37"/>
      <c r="FB2904" s="37"/>
      <c r="FC2904" s="37"/>
      <c r="FD2904" s="37"/>
      <c r="FE2904" s="37"/>
      <c r="FF2904" s="37"/>
      <c r="FG2904" s="37"/>
      <c r="FH2904" s="37"/>
      <c r="FI2904" s="37"/>
      <c r="FJ2904" s="37"/>
      <c r="FK2904" s="37"/>
      <c r="FL2904" s="37"/>
      <c r="FM2904" s="37"/>
      <c r="FN2904" s="37"/>
      <c r="FO2904" s="37"/>
      <c r="FP2904" s="37"/>
      <c r="FQ2904" s="37"/>
      <c r="FR2904" s="37"/>
      <c r="FS2904" s="37"/>
      <c r="FT2904" s="37"/>
      <c r="FU2904" s="37"/>
      <c r="FV2904" s="37"/>
      <c r="FW2904" s="37"/>
      <c r="FX2904" s="37"/>
      <c r="FY2904" s="37"/>
      <c r="FZ2904" s="37"/>
      <c r="GA2904" s="37"/>
      <c r="GB2904" s="37"/>
      <c r="GC2904" s="37"/>
      <c r="GD2904" s="37"/>
      <c r="GE2904" s="37"/>
      <c r="GF2904" s="37"/>
      <c r="GG2904" s="37"/>
      <c r="GH2904" s="37"/>
      <c r="GI2904" s="37"/>
      <c r="GJ2904" s="37"/>
      <c r="GK2904" s="37"/>
      <c r="GL2904" s="37"/>
      <c r="GM2904" s="37"/>
      <c r="GN2904" s="37"/>
      <c r="GO2904" s="37"/>
      <c r="GP2904" s="37"/>
      <c r="GQ2904" s="37"/>
      <c r="GR2904" s="37"/>
      <c r="GS2904" s="37"/>
      <c r="GT2904" s="37"/>
      <c r="GU2904" s="37"/>
      <c r="GV2904" s="37"/>
      <c r="GW2904" s="37"/>
      <c r="GX2904" s="37"/>
      <c r="GY2904" s="37"/>
      <c r="GZ2904" s="37"/>
      <c r="HA2904" s="37"/>
      <c r="HB2904" s="37"/>
      <c r="HC2904" s="37"/>
      <c r="HD2904" s="37"/>
      <c r="HE2904" s="37"/>
      <c r="HF2904" s="37"/>
      <c r="HG2904" s="37"/>
      <c r="HH2904" s="37"/>
      <c r="HI2904" s="37"/>
      <c r="HJ2904" s="37"/>
      <c r="HK2904" s="37"/>
      <c r="HL2904" s="37"/>
      <c r="HM2904" s="37"/>
      <c r="HN2904" s="37"/>
      <c r="HO2904" s="37"/>
      <c r="HP2904" s="37"/>
      <c r="HQ2904" s="37"/>
      <c r="HR2904" s="37"/>
      <c r="HS2904" s="37"/>
      <c r="HT2904" s="37"/>
      <c r="HU2904" s="37"/>
      <c r="HV2904" s="37"/>
      <c r="HW2904" s="37"/>
      <c r="HX2904" s="37"/>
      <c r="HY2904" s="37"/>
      <c r="HZ2904" s="37"/>
      <c r="IA2904" s="37"/>
      <c r="IB2904" s="37"/>
      <c r="IC2904" s="37"/>
      <c r="ID2904" s="37"/>
      <c r="IE2904" s="37"/>
      <c r="IF2904" s="37"/>
      <c r="IG2904" s="37"/>
      <c r="IH2904" s="37"/>
      <c r="II2904" s="37"/>
      <c r="IJ2904" s="37"/>
      <c r="IK2904" s="37"/>
      <c r="IL2904" s="37"/>
      <c r="IM2904" s="37"/>
      <c r="IN2904" s="37"/>
      <c r="IO2904" s="37"/>
      <c r="IP2904" s="37"/>
      <c r="IQ2904" s="37"/>
      <c r="IR2904" s="37"/>
      <c r="IS2904" s="37"/>
      <c r="IT2904" s="37"/>
      <c r="IU2904" s="37"/>
      <c r="IV2904" s="37"/>
      <c r="IW2904" s="37"/>
      <c r="IX2904" s="37"/>
      <c r="IY2904" s="37"/>
      <c r="IZ2904" s="37"/>
      <c r="JA2904" s="37"/>
      <c r="JB2904" s="37"/>
      <c r="JC2904" s="37"/>
      <c r="JD2904" s="37"/>
      <c r="JE2904" s="37"/>
      <c r="JF2904" s="37"/>
      <c r="JG2904" s="37"/>
      <c r="JH2904" s="37"/>
      <c r="JI2904" s="37"/>
      <c r="JJ2904" s="37"/>
      <c r="JK2904" s="37"/>
      <c r="JL2904" s="37"/>
      <c r="JM2904" s="37"/>
      <c r="JN2904" s="37"/>
      <c r="JO2904" s="37"/>
      <c r="JP2904" s="37"/>
      <c r="JQ2904" s="37"/>
      <c r="JR2904" s="37"/>
      <c r="JS2904" s="37"/>
      <c r="JT2904" s="37"/>
      <c r="JU2904" s="37"/>
      <c r="JV2904" s="37"/>
      <c r="JW2904" s="37"/>
      <c r="JX2904" s="37"/>
      <c r="JY2904" s="37"/>
      <c r="JZ2904" s="37"/>
      <c r="KA2904" s="37"/>
      <c r="KB2904" s="37"/>
      <c r="KC2904" s="37"/>
      <c r="KD2904" s="37"/>
      <c r="KE2904" s="37"/>
      <c r="KF2904" s="37"/>
      <c r="KG2904" s="37"/>
      <c r="KH2904" s="37"/>
      <c r="KI2904" s="37"/>
      <c r="KJ2904" s="37"/>
      <c r="KK2904" s="37"/>
      <c r="KL2904" s="37"/>
      <c r="KM2904" s="37"/>
      <c r="KN2904" s="37"/>
      <c r="KO2904" s="37"/>
      <c r="KP2904" s="37"/>
      <c r="KQ2904" s="37"/>
      <c r="KR2904" s="37"/>
      <c r="KS2904" s="37"/>
      <c r="KT2904" s="37"/>
      <c r="KU2904" s="37"/>
      <c r="KV2904" s="37"/>
      <c r="KW2904" s="37"/>
      <c r="KX2904" s="37"/>
      <c r="KY2904" s="37"/>
      <c r="KZ2904" s="37"/>
      <c r="LA2904" s="37"/>
      <c r="LB2904" s="37"/>
      <c r="LC2904" s="37"/>
      <c r="LD2904" s="37"/>
      <c r="LE2904" s="37"/>
      <c r="LF2904" s="37"/>
      <c r="LG2904" s="37"/>
      <c r="LH2904" s="37"/>
      <c r="LI2904" s="37"/>
      <c r="LJ2904" s="37"/>
      <c r="LK2904" s="37"/>
      <c r="LL2904" s="37"/>
      <c r="LM2904" s="37"/>
      <c r="LN2904" s="37"/>
      <c r="LO2904" s="37"/>
      <c r="LP2904" s="37"/>
      <c r="LQ2904" s="37"/>
      <c r="LR2904" s="37"/>
      <c r="LS2904" s="37"/>
      <c r="LT2904" s="37"/>
      <c r="LU2904" s="37"/>
      <c r="LV2904" s="37"/>
      <c r="LW2904" s="37"/>
      <c r="LX2904" s="37"/>
      <c r="LY2904" s="37"/>
      <c r="LZ2904" s="37"/>
      <c r="MA2904" s="37"/>
      <c r="MB2904" s="37"/>
      <c r="MC2904" s="37"/>
      <c r="MD2904" s="37"/>
      <c r="ME2904" s="37"/>
      <c r="MF2904" s="37"/>
      <c r="MG2904" s="37"/>
      <c r="MH2904" s="37"/>
      <c r="MI2904" s="37"/>
      <c r="MJ2904" s="37"/>
      <c r="MK2904" s="37"/>
      <c r="ML2904" s="37"/>
      <c r="MM2904" s="37"/>
      <c r="MN2904" s="37"/>
      <c r="MO2904" s="37"/>
      <c r="MP2904" s="37"/>
      <c r="MQ2904" s="37"/>
      <c r="MR2904" s="37"/>
      <c r="MS2904" s="37"/>
      <c r="MT2904" s="37"/>
      <c r="MU2904" s="37"/>
      <c r="MV2904" s="37"/>
      <c r="MW2904" s="37"/>
      <c r="MX2904" s="37"/>
      <c r="MY2904" s="37"/>
      <c r="MZ2904" s="37"/>
      <c r="NA2904" s="37"/>
      <c r="NB2904" s="37"/>
      <c r="NC2904" s="37"/>
      <c r="ND2904" s="37"/>
      <c r="NE2904" s="37"/>
      <c r="NF2904" s="37"/>
      <c r="NG2904" s="37"/>
      <c r="NH2904" s="37"/>
      <c r="NI2904" s="37"/>
      <c r="NJ2904" s="37"/>
      <c r="NK2904" s="37"/>
      <c r="NL2904" s="37"/>
      <c r="NM2904" s="37"/>
      <c r="NN2904" s="37"/>
      <c r="NO2904" s="37"/>
      <c r="NP2904" s="37"/>
      <c r="NQ2904" s="37"/>
      <c r="NR2904" s="37"/>
      <c r="NS2904" s="37"/>
      <c r="NT2904" s="37"/>
      <c r="NU2904" s="37"/>
      <c r="NV2904" s="37"/>
      <c r="NW2904" s="37"/>
      <c r="NX2904" s="37"/>
      <c r="NY2904" s="37"/>
      <c r="NZ2904" s="37"/>
      <c r="OA2904" s="37"/>
      <c r="OB2904" s="37"/>
      <c r="OC2904" s="37"/>
      <c r="OD2904" s="37"/>
      <c r="OE2904" s="37"/>
      <c r="OF2904" s="37"/>
      <c r="OG2904" s="37"/>
      <c r="OH2904" s="37"/>
      <c r="OI2904" s="37"/>
      <c r="OJ2904" s="37"/>
      <c r="OK2904" s="37"/>
      <c r="OL2904" s="37"/>
      <c r="OM2904" s="37"/>
      <c r="ON2904" s="37"/>
      <c r="OO2904" s="37"/>
      <c r="OP2904" s="37"/>
      <c r="OQ2904" s="37"/>
      <c r="OR2904" s="37"/>
      <c r="OS2904" s="37"/>
      <c r="OT2904" s="37"/>
      <c r="OU2904" s="37"/>
      <c r="OV2904" s="37"/>
      <c r="OW2904" s="37"/>
      <c r="OX2904" s="37"/>
      <c r="OY2904" s="37"/>
      <c r="OZ2904" s="37"/>
      <c r="PA2904" s="37"/>
      <c r="PB2904" s="37"/>
      <c r="PC2904" s="37"/>
      <c r="PD2904" s="37"/>
      <c r="PE2904" s="37"/>
      <c r="PF2904" s="37"/>
      <c r="PG2904" s="37"/>
      <c r="PH2904" s="37"/>
      <c r="PI2904" s="37"/>
      <c r="PJ2904" s="37"/>
      <c r="PK2904" s="37"/>
      <c r="PL2904" s="37"/>
      <c r="PM2904" s="37"/>
      <c r="PN2904" s="37"/>
      <c r="PO2904" s="37"/>
      <c r="PP2904" s="37"/>
      <c r="PQ2904" s="37"/>
      <c r="PR2904" s="37"/>
      <c r="PS2904" s="37"/>
      <c r="PT2904" s="37"/>
      <c r="PU2904" s="37"/>
      <c r="PV2904" s="37"/>
      <c r="PW2904" s="37"/>
      <c r="PX2904" s="37"/>
      <c r="PY2904" s="37"/>
      <c r="PZ2904" s="37"/>
      <c r="QA2904" s="37"/>
      <c r="QB2904" s="37"/>
      <c r="QC2904" s="37"/>
      <c r="QD2904" s="37"/>
      <c r="QE2904" s="37"/>
      <c r="QF2904" s="37"/>
      <c r="QG2904" s="37"/>
      <c r="QH2904" s="37"/>
      <c r="QI2904" s="37"/>
      <c r="QJ2904" s="37"/>
      <c r="QK2904" s="37"/>
      <c r="QL2904" s="37"/>
      <c r="QM2904" s="37"/>
      <c r="QN2904" s="37"/>
      <c r="QO2904" s="37"/>
      <c r="QP2904" s="37"/>
      <c r="QQ2904" s="37"/>
      <c r="QR2904" s="37"/>
      <c r="QS2904" s="37"/>
      <c r="QT2904" s="37"/>
      <c r="QU2904" s="37"/>
      <c r="QV2904" s="37"/>
      <c r="QW2904" s="37"/>
      <c r="QX2904" s="37"/>
      <c r="QY2904" s="37"/>
      <c r="QZ2904" s="37"/>
      <c r="RA2904" s="37"/>
      <c r="RB2904" s="37"/>
      <c r="RC2904" s="37"/>
      <c r="RD2904" s="37"/>
      <c r="RE2904" s="37"/>
      <c r="RF2904" s="37"/>
      <c r="RG2904" s="37"/>
      <c r="RH2904" s="37"/>
      <c r="RI2904" s="37"/>
      <c r="RJ2904" s="37"/>
      <c r="RK2904" s="37"/>
      <c r="RL2904" s="37"/>
      <c r="RM2904" s="37"/>
      <c r="RN2904" s="37"/>
      <c r="RO2904" s="37"/>
      <c r="RP2904" s="37"/>
      <c r="RQ2904" s="37"/>
      <c r="RR2904" s="37"/>
      <c r="RS2904" s="37"/>
      <c r="RT2904" s="37"/>
      <c r="RU2904" s="37"/>
      <c r="RV2904" s="37"/>
      <c r="RW2904" s="37"/>
      <c r="RX2904" s="37"/>
      <c r="RY2904" s="37"/>
      <c r="RZ2904" s="37"/>
      <c r="SA2904" s="37"/>
      <c r="SB2904" s="37"/>
      <c r="SC2904" s="37"/>
      <c r="SD2904" s="37"/>
      <c r="SE2904" s="37"/>
      <c r="SF2904" s="37"/>
    </row>
    <row r="2905" spans="1:500">
      <c r="A2905" s="37"/>
      <c r="B2905" s="37"/>
      <c r="C2905" s="37"/>
      <c r="D2905" s="37"/>
      <c r="E2905" s="37"/>
      <c r="F2905" s="37"/>
      <c r="G2905" s="37"/>
      <c r="H2905" s="37"/>
      <c r="I2905" s="37"/>
      <c r="J2905" s="37"/>
      <c r="K2905" s="37"/>
      <c r="L2905" s="37"/>
      <c r="M2905" s="37"/>
      <c r="N2905" s="37"/>
      <c r="O2905" s="37"/>
      <c r="P2905" s="37"/>
      <c r="Q2905" s="37"/>
      <c r="R2905" s="37"/>
      <c r="S2905" s="37"/>
      <c r="T2905" s="37"/>
      <c r="U2905" s="37"/>
      <c r="V2905" s="37"/>
      <c r="W2905" s="37"/>
      <c r="X2905" s="37"/>
      <c r="Y2905" s="37"/>
      <c r="Z2905" s="37"/>
      <c r="AA2905" s="37"/>
      <c r="AB2905" s="37"/>
      <c r="AC2905" s="37"/>
      <c r="AD2905" s="37"/>
      <c r="AE2905" s="37"/>
      <c r="AF2905" s="37"/>
      <c r="AG2905" s="37"/>
      <c r="AH2905" s="37"/>
      <c r="AI2905" s="37"/>
      <c r="AJ2905" s="37"/>
      <c r="AK2905" s="37"/>
      <c r="AL2905" s="37"/>
      <c r="AM2905" s="37"/>
      <c r="AN2905" s="37"/>
      <c r="AO2905" s="37"/>
      <c r="AP2905" s="37"/>
      <c r="AQ2905" s="37"/>
      <c r="AR2905" s="37"/>
      <c r="AS2905" s="37"/>
      <c r="AT2905" s="37"/>
      <c r="AU2905" s="37"/>
      <c r="AV2905" s="37"/>
      <c r="AW2905" s="37"/>
      <c r="AX2905" s="37"/>
      <c r="AY2905" s="37"/>
      <c r="AZ2905" s="37"/>
      <c r="BA2905" s="37"/>
      <c r="BB2905" s="37"/>
      <c r="BC2905" s="37"/>
      <c r="BD2905" s="37"/>
      <c r="BE2905" s="37"/>
      <c r="BF2905" s="37"/>
      <c r="BG2905" s="37"/>
      <c r="BH2905" s="37"/>
      <c r="BI2905" s="37"/>
      <c r="BJ2905" s="37"/>
      <c r="BK2905" s="37"/>
      <c r="BL2905" s="37"/>
      <c r="BM2905" s="37"/>
      <c r="BN2905" s="37"/>
      <c r="BO2905" s="37"/>
      <c r="BP2905" s="37"/>
      <c r="BQ2905" s="37"/>
      <c r="BR2905" s="37"/>
      <c r="BS2905" s="37"/>
      <c r="BT2905" s="37"/>
      <c r="BU2905" s="37"/>
      <c r="BV2905" s="37"/>
      <c r="BW2905" s="37"/>
      <c r="BX2905" s="37"/>
      <c r="BY2905" s="37"/>
      <c r="BZ2905" s="37"/>
      <c r="CA2905" s="37"/>
      <c r="CB2905" s="37"/>
      <c r="CC2905" s="37"/>
      <c r="CD2905" s="37"/>
      <c r="CE2905" s="37"/>
      <c r="CF2905" s="37"/>
      <c r="CG2905" s="37"/>
      <c r="CH2905" s="37"/>
      <c r="CI2905" s="37"/>
      <c r="CJ2905" s="37"/>
      <c r="CK2905" s="37"/>
      <c r="CL2905" s="37"/>
      <c r="CM2905" s="37"/>
      <c r="CN2905" s="37"/>
      <c r="CO2905" s="37"/>
      <c r="CP2905" s="37"/>
      <c r="CQ2905" s="37"/>
      <c r="CR2905" s="37"/>
      <c r="CS2905" s="37"/>
      <c r="CT2905" s="37"/>
      <c r="CU2905" s="37"/>
      <c r="CV2905" s="37"/>
      <c r="CW2905" s="37"/>
      <c r="CX2905" s="37"/>
      <c r="CY2905" s="37"/>
      <c r="CZ2905" s="37"/>
      <c r="DA2905" s="37"/>
      <c r="DB2905" s="37"/>
      <c r="DC2905" s="37"/>
      <c r="DD2905" s="37"/>
      <c r="DE2905" s="37"/>
      <c r="DF2905" s="37"/>
      <c r="DG2905" s="37"/>
      <c r="DH2905" s="37"/>
      <c r="DI2905" s="37"/>
      <c r="DJ2905" s="37"/>
      <c r="DK2905" s="37"/>
      <c r="DL2905" s="37"/>
      <c r="DM2905" s="37"/>
      <c r="DN2905" s="37"/>
      <c r="DO2905" s="37"/>
      <c r="DP2905" s="37"/>
      <c r="DQ2905" s="37"/>
      <c r="DR2905" s="37"/>
      <c r="DS2905" s="37"/>
      <c r="DT2905" s="37"/>
      <c r="DU2905" s="37"/>
      <c r="DV2905" s="37"/>
      <c r="DW2905" s="37"/>
      <c r="DX2905" s="37"/>
      <c r="DY2905" s="37"/>
      <c r="DZ2905" s="37"/>
      <c r="EA2905" s="37"/>
      <c r="EB2905" s="37"/>
      <c r="EC2905" s="37"/>
      <c r="ED2905" s="37"/>
      <c r="EE2905" s="37"/>
      <c r="EF2905" s="37"/>
      <c r="EG2905" s="37"/>
      <c r="EH2905" s="37"/>
      <c r="EI2905" s="37"/>
      <c r="EJ2905" s="37"/>
      <c r="EK2905" s="37"/>
      <c r="EL2905" s="37"/>
      <c r="EM2905" s="37"/>
      <c r="EN2905" s="37"/>
      <c r="EO2905" s="37"/>
      <c r="EP2905" s="37"/>
      <c r="EQ2905" s="37"/>
      <c r="ER2905" s="37"/>
      <c r="ES2905" s="37"/>
      <c r="ET2905" s="37"/>
      <c r="EU2905" s="37"/>
      <c r="EV2905" s="37"/>
      <c r="EW2905" s="37"/>
      <c r="EX2905" s="37"/>
      <c r="EY2905" s="37"/>
      <c r="EZ2905" s="37"/>
      <c r="FA2905" s="37"/>
      <c r="FB2905" s="37"/>
      <c r="FC2905" s="37"/>
      <c r="FD2905" s="37"/>
      <c r="FE2905" s="37"/>
      <c r="FF2905" s="37"/>
      <c r="FG2905" s="37"/>
      <c r="FH2905" s="37"/>
      <c r="FI2905" s="37"/>
      <c r="FJ2905" s="37"/>
      <c r="FK2905" s="37"/>
      <c r="FL2905" s="37"/>
      <c r="FM2905" s="37"/>
      <c r="FN2905" s="37"/>
      <c r="FO2905" s="37"/>
      <c r="FP2905" s="37"/>
      <c r="FQ2905" s="37"/>
      <c r="FR2905" s="37"/>
      <c r="FS2905" s="37"/>
      <c r="FT2905" s="37"/>
      <c r="FU2905" s="37"/>
      <c r="FV2905" s="37"/>
      <c r="FW2905" s="37"/>
      <c r="FX2905" s="37"/>
      <c r="FY2905" s="37"/>
      <c r="FZ2905" s="37"/>
      <c r="GA2905" s="37"/>
      <c r="GB2905" s="37"/>
      <c r="GC2905" s="37"/>
      <c r="GD2905" s="37"/>
      <c r="GE2905" s="37"/>
      <c r="GF2905" s="37"/>
      <c r="GG2905" s="37"/>
      <c r="GH2905" s="37"/>
      <c r="GI2905" s="37"/>
      <c r="GJ2905" s="37"/>
      <c r="GK2905" s="37"/>
      <c r="GL2905" s="37"/>
      <c r="GM2905" s="37"/>
      <c r="GN2905" s="37"/>
      <c r="GO2905" s="37"/>
      <c r="GP2905" s="37"/>
      <c r="GQ2905" s="37"/>
      <c r="GR2905" s="37"/>
      <c r="GS2905" s="37"/>
      <c r="GT2905" s="37"/>
      <c r="GU2905" s="37"/>
      <c r="GV2905" s="37"/>
      <c r="GW2905" s="37"/>
      <c r="GX2905" s="37"/>
      <c r="GY2905" s="37"/>
      <c r="GZ2905" s="37"/>
      <c r="HA2905" s="37"/>
      <c r="HB2905" s="37"/>
      <c r="HC2905" s="37"/>
      <c r="HD2905" s="37"/>
      <c r="HE2905" s="37"/>
      <c r="HF2905" s="37"/>
      <c r="HG2905" s="37"/>
      <c r="HH2905" s="37"/>
      <c r="HI2905" s="37"/>
      <c r="HJ2905" s="37"/>
      <c r="HK2905" s="37"/>
      <c r="HL2905" s="37"/>
      <c r="HM2905" s="37"/>
      <c r="HN2905" s="37"/>
      <c r="HO2905" s="37"/>
      <c r="HP2905" s="37"/>
      <c r="HQ2905" s="37"/>
      <c r="HR2905" s="37"/>
      <c r="HS2905" s="37"/>
      <c r="HT2905" s="37"/>
      <c r="HU2905" s="37"/>
      <c r="HV2905" s="37"/>
      <c r="HW2905" s="37"/>
      <c r="HX2905" s="37"/>
      <c r="HY2905" s="37"/>
      <c r="HZ2905" s="37"/>
      <c r="IA2905" s="37"/>
      <c r="IB2905" s="37"/>
      <c r="IC2905" s="37"/>
      <c r="ID2905" s="37"/>
      <c r="IE2905" s="37"/>
      <c r="IF2905" s="37"/>
      <c r="IG2905" s="37"/>
      <c r="IH2905" s="37"/>
      <c r="II2905" s="37"/>
      <c r="IJ2905" s="37"/>
      <c r="IK2905" s="37"/>
      <c r="IL2905" s="37"/>
      <c r="IM2905" s="37"/>
      <c r="IN2905" s="37"/>
      <c r="IO2905" s="37"/>
      <c r="IP2905" s="37"/>
      <c r="IQ2905" s="37"/>
      <c r="IR2905" s="37"/>
      <c r="IS2905" s="37"/>
      <c r="IT2905" s="37"/>
      <c r="IU2905" s="37"/>
      <c r="IV2905" s="37"/>
      <c r="IW2905" s="37"/>
      <c r="IX2905" s="37"/>
      <c r="IY2905" s="37"/>
      <c r="IZ2905" s="37"/>
      <c r="JA2905" s="37"/>
      <c r="JB2905" s="37"/>
      <c r="JC2905" s="37"/>
      <c r="JD2905" s="37"/>
      <c r="JE2905" s="37"/>
      <c r="JF2905" s="37"/>
      <c r="JG2905" s="37"/>
      <c r="JH2905" s="37"/>
      <c r="JI2905" s="37"/>
      <c r="JJ2905" s="37"/>
      <c r="JK2905" s="37"/>
      <c r="JL2905" s="37"/>
      <c r="JM2905" s="37"/>
      <c r="JN2905" s="37"/>
      <c r="JO2905" s="37"/>
      <c r="JP2905" s="37"/>
      <c r="JQ2905" s="37"/>
      <c r="JR2905" s="37"/>
      <c r="JS2905" s="37"/>
      <c r="JT2905" s="37"/>
      <c r="JU2905" s="37"/>
      <c r="JV2905" s="37"/>
      <c r="JW2905" s="37"/>
      <c r="JX2905" s="37"/>
      <c r="JY2905" s="37"/>
      <c r="JZ2905" s="37"/>
      <c r="KA2905" s="37"/>
      <c r="KB2905" s="37"/>
      <c r="KC2905" s="37"/>
      <c r="KD2905" s="37"/>
      <c r="KE2905" s="37"/>
      <c r="KF2905" s="37"/>
      <c r="KG2905" s="37"/>
      <c r="KH2905" s="37"/>
      <c r="KI2905" s="37"/>
      <c r="KJ2905" s="37"/>
      <c r="KK2905" s="37"/>
      <c r="KL2905" s="37"/>
      <c r="KM2905" s="37"/>
      <c r="KN2905" s="37"/>
      <c r="KO2905" s="37"/>
      <c r="KP2905" s="37"/>
      <c r="KQ2905" s="37"/>
      <c r="KR2905" s="37"/>
      <c r="KS2905" s="37"/>
      <c r="KT2905" s="37"/>
      <c r="KU2905" s="37"/>
      <c r="KV2905" s="37"/>
      <c r="KW2905" s="37"/>
      <c r="KX2905" s="37"/>
      <c r="KY2905" s="37"/>
      <c r="KZ2905" s="37"/>
      <c r="LA2905" s="37"/>
      <c r="LB2905" s="37"/>
      <c r="LC2905" s="37"/>
      <c r="LD2905" s="37"/>
      <c r="LE2905" s="37"/>
      <c r="LF2905" s="37"/>
      <c r="LG2905" s="37"/>
      <c r="LH2905" s="37"/>
      <c r="LI2905" s="37"/>
      <c r="LJ2905" s="37"/>
      <c r="LK2905" s="37"/>
      <c r="LL2905" s="37"/>
      <c r="LM2905" s="37"/>
      <c r="LN2905" s="37"/>
      <c r="LO2905" s="37"/>
      <c r="LP2905" s="37"/>
      <c r="LQ2905" s="37"/>
      <c r="LR2905" s="37"/>
      <c r="LS2905" s="37"/>
      <c r="LT2905" s="37"/>
      <c r="LU2905" s="37"/>
      <c r="LV2905" s="37"/>
      <c r="LW2905" s="37"/>
      <c r="LX2905" s="37"/>
      <c r="LY2905" s="37"/>
      <c r="LZ2905" s="37"/>
      <c r="MA2905" s="37"/>
      <c r="MB2905" s="37"/>
      <c r="MC2905" s="37"/>
      <c r="MD2905" s="37"/>
      <c r="ME2905" s="37"/>
      <c r="MF2905" s="37"/>
      <c r="MG2905" s="37"/>
      <c r="MH2905" s="37"/>
      <c r="MI2905" s="37"/>
      <c r="MJ2905" s="37"/>
      <c r="MK2905" s="37"/>
      <c r="ML2905" s="37"/>
      <c r="MM2905" s="37"/>
      <c r="MN2905" s="37"/>
      <c r="MO2905" s="37"/>
      <c r="MP2905" s="37"/>
      <c r="MQ2905" s="37"/>
      <c r="MR2905" s="37"/>
      <c r="MS2905" s="37"/>
      <c r="MT2905" s="37"/>
      <c r="MU2905" s="37"/>
      <c r="MV2905" s="37"/>
      <c r="MW2905" s="37"/>
      <c r="MX2905" s="37"/>
      <c r="MY2905" s="37"/>
      <c r="MZ2905" s="37"/>
      <c r="NA2905" s="37"/>
      <c r="NB2905" s="37"/>
      <c r="NC2905" s="37"/>
      <c r="ND2905" s="37"/>
      <c r="NE2905" s="37"/>
      <c r="NF2905" s="37"/>
      <c r="NG2905" s="37"/>
      <c r="NH2905" s="37"/>
      <c r="NI2905" s="37"/>
      <c r="NJ2905" s="37"/>
      <c r="NK2905" s="37"/>
      <c r="NL2905" s="37"/>
      <c r="NM2905" s="37"/>
      <c r="NN2905" s="37"/>
      <c r="NO2905" s="37"/>
      <c r="NP2905" s="37"/>
      <c r="NQ2905" s="37"/>
      <c r="NR2905" s="37"/>
      <c r="NS2905" s="37"/>
      <c r="NT2905" s="37"/>
      <c r="NU2905" s="37"/>
      <c r="NV2905" s="37"/>
      <c r="NW2905" s="37"/>
      <c r="NX2905" s="37"/>
      <c r="NY2905" s="37"/>
      <c r="NZ2905" s="37"/>
      <c r="OA2905" s="37"/>
      <c r="OB2905" s="37"/>
      <c r="OC2905" s="37"/>
      <c r="OD2905" s="37"/>
      <c r="OE2905" s="37"/>
      <c r="OF2905" s="37"/>
      <c r="OG2905" s="37"/>
      <c r="OH2905" s="37"/>
      <c r="OI2905" s="37"/>
      <c r="OJ2905" s="37"/>
      <c r="OK2905" s="37"/>
      <c r="OL2905" s="37"/>
      <c r="OM2905" s="37"/>
      <c r="ON2905" s="37"/>
      <c r="OO2905" s="37"/>
      <c r="OP2905" s="37"/>
      <c r="OQ2905" s="37"/>
      <c r="OR2905" s="37"/>
      <c r="OS2905" s="37"/>
      <c r="OT2905" s="37"/>
      <c r="OU2905" s="37"/>
      <c r="OV2905" s="37"/>
      <c r="OW2905" s="37"/>
      <c r="OX2905" s="37"/>
      <c r="OY2905" s="37"/>
      <c r="OZ2905" s="37"/>
      <c r="PA2905" s="37"/>
      <c r="PB2905" s="37"/>
      <c r="PC2905" s="37"/>
      <c r="PD2905" s="37"/>
      <c r="PE2905" s="37"/>
      <c r="PF2905" s="37"/>
      <c r="PG2905" s="37"/>
      <c r="PH2905" s="37"/>
      <c r="PI2905" s="37"/>
      <c r="PJ2905" s="37"/>
      <c r="PK2905" s="37"/>
      <c r="PL2905" s="37"/>
      <c r="PM2905" s="37"/>
      <c r="PN2905" s="37"/>
      <c r="PO2905" s="37"/>
      <c r="PP2905" s="37"/>
      <c r="PQ2905" s="37"/>
      <c r="PR2905" s="37"/>
      <c r="PS2905" s="37"/>
      <c r="PT2905" s="37"/>
      <c r="PU2905" s="37"/>
      <c r="PV2905" s="37"/>
      <c r="PW2905" s="37"/>
      <c r="PX2905" s="37"/>
      <c r="PY2905" s="37"/>
      <c r="PZ2905" s="37"/>
      <c r="QA2905" s="37"/>
      <c r="QB2905" s="37"/>
      <c r="QC2905" s="37"/>
      <c r="QD2905" s="37"/>
      <c r="QE2905" s="37"/>
      <c r="QF2905" s="37"/>
      <c r="QG2905" s="37"/>
      <c r="QH2905" s="37"/>
      <c r="QI2905" s="37"/>
      <c r="QJ2905" s="37"/>
      <c r="QK2905" s="37"/>
      <c r="QL2905" s="37"/>
      <c r="QM2905" s="37"/>
      <c r="QN2905" s="37"/>
      <c r="QO2905" s="37"/>
      <c r="QP2905" s="37"/>
      <c r="QQ2905" s="37"/>
      <c r="QR2905" s="37"/>
      <c r="QS2905" s="37"/>
      <c r="QT2905" s="37"/>
      <c r="QU2905" s="37"/>
      <c r="QV2905" s="37"/>
      <c r="QW2905" s="37"/>
      <c r="QX2905" s="37"/>
      <c r="QY2905" s="37"/>
      <c r="QZ2905" s="37"/>
      <c r="RA2905" s="37"/>
      <c r="RB2905" s="37"/>
      <c r="RC2905" s="37"/>
      <c r="RD2905" s="37"/>
      <c r="RE2905" s="37"/>
      <c r="RF2905" s="37"/>
      <c r="RG2905" s="37"/>
      <c r="RH2905" s="37"/>
      <c r="RI2905" s="37"/>
      <c r="RJ2905" s="37"/>
      <c r="RK2905" s="37"/>
      <c r="RL2905" s="37"/>
      <c r="RM2905" s="37"/>
      <c r="RN2905" s="37"/>
      <c r="RO2905" s="37"/>
      <c r="RP2905" s="37"/>
      <c r="RQ2905" s="37"/>
      <c r="RR2905" s="37"/>
      <c r="RS2905" s="37"/>
      <c r="RT2905" s="37"/>
      <c r="RU2905" s="37"/>
      <c r="RV2905" s="37"/>
      <c r="RW2905" s="37"/>
      <c r="RX2905" s="37"/>
      <c r="RY2905" s="37"/>
      <c r="RZ2905" s="37"/>
      <c r="SA2905" s="37"/>
      <c r="SB2905" s="37"/>
      <c r="SC2905" s="37"/>
      <c r="SD2905" s="37"/>
      <c r="SE2905" s="37"/>
      <c r="SF2905" s="37"/>
    </row>
    <row r="2906" spans="1:500">
      <c r="A2906" s="37"/>
      <c r="B2906" s="37"/>
      <c r="C2906" s="37"/>
      <c r="D2906" s="37"/>
      <c r="E2906" s="37"/>
      <c r="F2906" s="37"/>
      <c r="G2906" s="37"/>
      <c r="H2906" s="37"/>
      <c r="I2906" s="37"/>
      <c r="J2906" s="37"/>
      <c r="K2906" s="37"/>
      <c r="L2906" s="37"/>
      <c r="M2906" s="37"/>
      <c r="N2906" s="37"/>
      <c r="O2906" s="37"/>
      <c r="P2906" s="37"/>
      <c r="Q2906" s="37"/>
      <c r="R2906" s="37"/>
      <c r="S2906" s="37"/>
      <c r="T2906" s="37"/>
      <c r="U2906" s="37"/>
      <c r="V2906" s="37"/>
      <c r="W2906" s="37"/>
      <c r="X2906" s="37"/>
      <c r="Y2906" s="37"/>
      <c r="Z2906" s="37"/>
      <c r="AA2906" s="37"/>
      <c r="AB2906" s="37"/>
      <c r="AC2906" s="37"/>
      <c r="AD2906" s="37"/>
      <c r="AE2906" s="37"/>
      <c r="AF2906" s="37"/>
      <c r="AG2906" s="37"/>
      <c r="AH2906" s="37"/>
      <c r="AI2906" s="37"/>
      <c r="AJ2906" s="37"/>
      <c r="AK2906" s="37"/>
      <c r="AL2906" s="37"/>
      <c r="AM2906" s="37"/>
      <c r="AN2906" s="37"/>
      <c r="AO2906" s="37"/>
      <c r="AP2906" s="37"/>
      <c r="AQ2906" s="37"/>
      <c r="AR2906" s="37"/>
      <c r="AS2906" s="37"/>
      <c r="AT2906" s="37"/>
      <c r="AU2906" s="37"/>
      <c r="AV2906" s="37"/>
      <c r="AW2906" s="37"/>
      <c r="AX2906" s="37"/>
      <c r="AY2906" s="37"/>
      <c r="AZ2906" s="37"/>
      <c r="BA2906" s="37"/>
      <c r="BB2906" s="37"/>
      <c r="BC2906" s="37"/>
      <c r="BD2906" s="37"/>
      <c r="BE2906" s="37"/>
      <c r="BF2906" s="37"/>
      <c r="BG2906" s="37"/>
      <c r="BH2906" s="37"/>
      <c r="BI2906" s="37"/>
      <c r="BJ2906" s="37"/>
      <c r="BK2906" s="37"/>
      <c r="BL2906" s="37"/>
      <c r="BM2906" s="37"/>
      <c r="BN2906" s="37"/>
      <c r="BO2906" s="37"/>
      <c r="BP2906" s="37"/>
      <c r="BQ2906" s="37"/>
      <c r="BR2906" s="37"/>
      <c r="BS2906" s="37"/>
      <c r="BT2906" s="37"/>
      <c r="BU2906" s="37"/>
      <c r="BV2906" s="37"/>
      <c r="BW2906" s="37"/>
      <c r="BX2906" s="37"/>
      <c r="BY2906" s="37"/>
      <c r="BZ2906" s="37"/>
      <c r="CA2906" s="37"/>
      <c r="CB2906" s="37"/>
      <c r="CC2906" s="37"/>
      <c r="CD2906" s="37"/>
      <c r="CE2906" s="37"/>
      <c r="CF2906" s="37"/>
      <c r="CG2906" s="37"/>
      <c r="CH2906" s="37"/>
      <c r="CI2906" s="37"/>
      <c r="CJ2906" s="37"/>
      <c r="CK2906" s="37"/>
      <c r="CL2906" s="37"/>
      <c r="CM2906" s="37"/>
      <c r="CN2906" s="37"/>
      <c r="CO2906" s="37"/>
      <c r="CP2906" s="37"/>
      <c r="CQ2906" s="37"/>
      <c r="CR2906" s="37"/>
      <c r="CS2906" s="37"/>
      <c r="CT2906" s="37"/>
      <c r="CU2906" s="37"/>
      <c r="CV2906" s="37"/>
      <c r="CW2906" s="37"/>
      <c r="CX2906" s="37"/>
      <c r="CY2906" s="37"/>
      <c r="CZ2906" s="37"/>
      <c r="DA2906" s="37"/>
      <c r="DB2906" s="37"/>
      <c r="DC2906" s="37"/>
      <c r="DD2906" s="37"/>
      <c r="DE2906" s="37"/>
      <c r="DF2906" s="37"/>
      <c r="DG2906" s="37"/>
      <c r="DH2906" s="37"/>
      <c r="DI2906" s="37"/>
      <c r="DJ2906" s="37"/>
      <c r="DK2906" s="37"/>
      <c r="DL2906" s="37"/>
      <c r="DM2906" s="37"/>
      <c r="DN2906" s="37"/>
      <c r="DO2906" s="37"/>
      <c r="DP2906" s="37"/>
      <c r="DQ2906" s="37"/>
      <c r="DR2906" s="37"/>
      <c r="DS2906" s="37"/>
      <c r="DT2906" s="37"/>
      <c r="DU2906" s="37"/>
      <c r="DV2906" s="37"/>
      <c r="DW2906" s="37"/>
      <c r="DX2906" s="37"/>
      <c r="DY2906" s="37"/>
      <c r="DZ2906" s="37"/>
      <c r="EA2906" s="37"/>
      <c r="EB2906" s="37"/>
      <c r="EC2906" s="37"/>
      <c r="ED2906" s="37"/>
      <c r="EE2906" s="37"/>
      <c r="EF2906" s="37"/>
      <c r="EG2906" s="37"/>
      <c r="EH2906" s="37"/>
      <c r="EI2906" s="37"/>
      <c r="EJ2906" s="37"/>
      <c r="EK2906" s="37"/>
      <c r="EL2906" s="37"/>
      <c r="EM2906" s="37"/>
      <c r="EN2906" s="37"/>
      <c r="EO2906" s="37"/>
      <c r="EP2906" s="37"/>
      <c r="EQ2906" s="37"/>
      <c r="ER2906" s="37"/>
      <c r="ES2906" s="37"/>
      <c r="ET2906" s="37"/>
      <c r="EU2906" s="37"/>
      <c r="EV2906" s="37"/>
      <c r="EW2906" s="37"/>
      <c r="EX2906" s="37"/>
      <c r="EY2906" s="37"/>
      <c r="EZ2906" s="37"/>
      <c r="FA2906" s="37"/>
      <c r="FB2906" s="37"/>
      <c r="FC2906" s="37"/>
      <c r="FD2906" s="37"/>
      <c r="FE2906" s="37"/>
      <c r="FF2906" s="37"/>
      <c r="FG2906" s="37"/>
      <c r="FH2906" s="37"/>
      <c r="FI2906" s="37"/>
      <c r="FJ2906" s="37"/>
      <c r="FK2906" s="37"/>
      <c r="FL2906" s="37"/>
      <c r="FM2906" s="37"/>
      <c r="FN2906" s="37"/>
      <c r="FO2906" s="37"/>
      <c r="FP2906" s="37"/>
      <c r="FQ2906" s="37"/>
      <c r="FR2906" s="37"/>
      <c r="FS2906" s="37"/>
      <c r="FT2906" s="37"/>
      <c r="FU2906" s="37"/>
      <c r="FV2906" s="37"/>
      <c r="FW2906" s="37"/>
      <c r="FX2906" s="37"/>
      <c r="FY2906" s="37"/>
      <c r="FZ2906" s="37"/>
      <c r="GA2906" s="37"/>
      <c r="GB2906" s="37"/>
      <c r="GC2906" s="37"/>
      <c r="GD2906" s="37"/>
      <c r="GE2906" s="37"/>
      <c r="GF2906" s="37"/>
      <c r="GG2906" s="37"/>
      <c r="GH2906" s="37"/>
      <c r="GI2906" s="37"/>
      <c r="GJ2906" s="37"/>
      <c r="GK2906" s="37"/>
      <c r="GL2906" s="37"/>
      <c r="GM2906" s="37"/>
      <c r="GN2906" s="37"/>
      <c r="GO2906" s="37"/>
      <c r="GP2906" s="37"/>
      <c r="GQ2906" s="37"/>
      <c r="GR2906" s="37"/>
      <c r="GS2906" s="37"/>
      <c r="GT2906" s="37"/>
      <c r="GU2906" s="37"/>
      <c r="GV2906" s="37"/>
      <c r="GW2906" s="37"/>
      <c r="GX2906" s="37"/>
      <c r="GY2906" s="37"/>
      <c r="GZ2906" s="37"/>
      <c r="HA2906" s="37"/>
      <c r="HB2906" s="37"/>
      <c r="HC2906" s="37"/>
      <c r="HD2906" s="37"/>
      <c r="HE2906" s="37"/>
      <c r="HF2906" s="37"/>
      <c r="HG2906" s="37"/>
      <c r="HH2906" s="37"/>
      <c r="HI2906" s="37"/>
      <c r="HJ2906" s="37"/>
      <c r="HK2906" s="37"/>
      <c r="HL2906" s="37"/>
      <c r="HM2906" s="37"/>
      <c r="HN2906" s="37"/>
      <c r="HO2906" s="37"/>
      <c r="HP2906" s="37"/>
      <c r="HQ2906" s="37"/>
      <c r="HR2906" s="37"/>
      <c r="HS2906" s="37"/>
      <c r="HT2906" s="37"/>
      <c r="HU2906" s="37"/>
      <c r="HV2906" s="37"/>
      <c r="HW2906" s="37"/>
      <c r="HX2906" s="37"/>
      <c r="HY2906" s="37"/>
      <c r="HZ2906" s="37"/>
      <c r="IA2906" s="37"/>
      <c r="IB2906" s="37"/>
      <c r="IC2906" s="37"/>
      <c r="ID2906" s="37"/>
      <c r="IE2906" s="37"/>
      <c r="IF2906" s="37"/>
      <c r="IG2906" s="37"/>
      <c r="IH2906" s="37"/>
      <c r="II2906" s="37"/>
      <c r="IJ2906" s="37"/>
      <c r="IK2906" s="37"/>
      <c r="IL2906" s="37"/>
      <c r="IM2906" s="37"/>
      <c r="IN2906" s="37"/>
      <c r="IO2906" s="37"/>
      <c r="IP2906" s="37"/>
      <c r="IQ2906" s="37"/>
      <c r="IR2906" s="37"/>
      <c r="IS2906" s="37"/>
      <c r="IT2906" s="37"/>
      <c r="IU2906" s="37"/>
      <c r="IV2906" s="37"/>
      <c r="IW2906" s="37"/>
      <c r="IX2906" s="37"/>
      <c r="IY2906" s="37"/>
      <c r="IZ2906" s="37"/>
      <c r="JA2906" s="37"/>
      <c r="JB2906" s="37"/>
      <c r="JC2906" s="37"/>
      <c r="JD2906" s="37"/>
      <c r="JE2906" s="37"/>
      <c r="JF2906" s="37"/>
      <c r="JG2906" s="37"/>
      <c r="JH2906" s="37"/>
      <c r="JI2906" s="37"/>
      <c r="JJ2906" s="37"/>
      <c r="JK2906" s="37"/>
      <c r="JL2906" s="37"/>
      <c r="JM2906" s="37"/>
      <c r="JN2906" s="37"/>
      <c r="JO2906" s="37"/>
      <c r="JP2906" s="37"/>
      <c r="JQ2906" s="37"/>
      <c r="JR2906" s="37"/>
      <c r="JS2906" s="37"/>
      <c r="JT2906" s="37"/>
      <c r="JU2906" s="37"/>
      <c r="JV2906" s="37"/>
      <c r="JW2906" s="37"/>
      <c r="JX2906" s="37"/>
      <c r="JY2906" s="37"/>
      <c r="JZ2906" s="37"/>
      <c r="KA2906" s="37"/>
      <c r="KB2906" s="37"/>
      <c r="KC2906" s="37"/>
      <c r="KD2906" s="37"/>
      <c r="KE2906" s="37"/>
      <c r="KF2906" s="37"/>
      <c r="KG2906" s="37"/>
      <c r="KH2906" s="37"/>
      <c r="KI2906" s="37"/>
      <c r="KJ2906" s="37"/>
      <c r="KK2906" s="37"/>
      <c r="KL2906" s="37"/>
      <c r="KM2906" s="37"/>
      <c r="KN2906" s="37"/>
      <c r="KO2906" s="37"/>
      <c r="KP2906" s="37"/>
      <c r="KQ2906" s="37"/>
      <c r="KR2906" s="37"/>
      <c r="KS2906" s="37"/>
      <c r="KT2906" s="37"/>
      <c r="KU2906" s="37"/>
      <c r="KV2906" s="37"/>
      <c r="KW2906" s="37"/>
      <c r="KX2906" s="37"/>
      <c r="KY2906" s="37"/>
      <c r="KZ2906" s="37"/>
      <c r="LA2906" s="37"/>
      <c r="LB2906" s="37"/>
      <c r="LC2906" s="37"/>
      <c r="LD2906" s="37"/>
      <c r="LE2906" s="37"/>
      <c r="LF2906" s="37"/>
      <c r="LG2906" s="37"/>
      <c r="LH2906" s="37"/>
      <c r="LI2906" s="37"/>
      <c r="LJ2906" s="37"/>
      <c r="LK2906" s="37"/>
      <c r="LL2906" s="37"/>
      <c r="LM2906" s="37"/>
      <c r="LN2906" s="37"/>
      <c r="LO2906" s="37"/>
      <c r="LP2906" s="37"/>
      <c r="LQ2906" s="37"/>
      <c r="LR2906" s="37"/>
      <c r="LS2906" s="37"/>
      <c r="LT2906" s="37"/>
      <c r="LU2906" s="37"/>
      <c r="LV2906" s="37"/>
      <c r="LW2906" s="37"/>
      <c r="LX2906" s="37"/>
      <c r="LY2906" s="37"/>
      <c r="LZ2906" s="37"/>
      <c r="MA2906" s="37"/>
      <c r="MB2906" s="37"/>
      <c r="MC2906" s="37"/>
      <c r="MD2906" s="37"/>
      <c r="ME2906" s="37"/>
      <c r="MF2906" s="37"/>
      <c r="MG2906" s="37"/>
      <c r="MH2906" s="37"/>
      <c r="MI2906" s="37"/>
      <c r="MJ2906" s="37"/>
      <c r="MK2906" s="37"/>
      <c r="ML2906" s="37"/>
      <c r="MM2906" s="37"/>
      <c r="MN2906" s="37"/>
      <c r="MO2906" s="37"/>
      <c r="MP2906" s="37"/>
      <c r="MQ2906" s="37"/>
      <c r="MR2906" s="37"/>
      <c r="MS2906" s="37"/>
      <c r="MT2906" s="37"/>
      <c r="MU2906" s="37"/>
      <c r="MV2906" s="37"/>
      <c r="MW2906" s="37"/>
      <c r="MX2906" s="37"/>
      <c r="MY2906" s="37"/>
      <c r="MZ2906" s="37"/>
      <c r="NA2906" s="37"/>
      <c r="NB2906" s="37"/>
      <c r="NC2906" s="37"/>
      <c r="ND2906" s="37"/>
      <c r="NE2906" s="37"/>
      <c r="NF2906" s="37"/>
      <c r="NG2906" s="37"/>
      <c r="NH2906" s="37"/>
      <c r="NI2906" s="37"/>
      <c r="NJ2906" s="37"/>
      <c r="NK2906" s="37"/>
      <c r="NL2906" s="37"/>
      <c r="NM2906" s="37"/>
      <c r="NN2906" s="37"/>
      <c r="NO2906" s="37"/>
      <c r="NP2906" s="37"/>
      <c r="NQ2906" s="37"/>
      <c r="NR2906" s="37"/>
      <c r="NS2906" s="37"/>
      <c r="NT2906" s="37"/>
      <c r="NU2906" s="37"/>
      <c r="NV2906" s="37"/>
      <c r="NW2906" s="37"/>
      <c r="NX2906" s="37"/>
      <c r="NY2906" s="37"/>
      <c r="NZ2906" s="37"/>
      <c r="OA2906" s="37"/>
      <c r="OB2906" s="37"/>
      <c r="OC2906" s="37"/>
      <c r="OD2906" s="37"/>
      <c r="OE2906" s="37"/>
      <c r="OF2906" s="37"/>
      <c r="OG2906" s="37"/>
      <c r="OH2906" s="37"/>
      <c r="OI2906" s="37"/>
      <c r="OJ2906" s="37"/>
      <c r="OK2906" s="37"/>
      <c r="OL2906" s="37"/>
      <c r="OM2906" s="37"/>
      <c r="ON2906" s="37"/>
      <c r="OO2906" s="37"/>
      <c r="OP2906" s="37"/>
      <c r="OQ2906" s="37"/>
      <c r="OR2906" s="37"/>
      <c r="OS2906" s="37"/>
      <c r="OT2906" s="37"/>
      <c r="OU2906" s="37"/>
      <c r="OV2906" s="37"/>
      <c r="OW2906" s="37"/>
      <c r="OX2906" s="37"/>
      <c r="OY2906" s="37"/>
      <c r="OZ2906" s="37"/>
      <c r="PA2906" s="37"/>
      <c r="PB2906" s="37"/>
      <c r="PC2906" s="37"/>
      <c r="PD2906" s="37"/>
      <c r="PE2906" s="37"/>
      <c r="PF2906" s="37"/>
      <c r="PG2906" s="37"/>
      <c r="PH2906" s="37"/>
      <c r="PI2906" s="37"/>
      <c r="PJ2906" s="37"/>
      <c r="PK2906" s="37"/>
      <c r="PL2906" s="37"/>
      <c r="PM2906" s="37"/>
      <c r="PN2906" s="37"/>
      <c r="PO2906" s="37"/>
      <c r="PP2906" s="37"/>
      <c r="PQ2906" s="37"/>
      <c r="PR2906" s="37"/>
      <c r="PS2906" s="37"/>
      <c r="PT2906" s="37"/>
      <c r="PU2906" s="37"/>
      <c r="PV2906" s="37"/>
      <c r="PW2906" s="37"/>
      <c r="PX2906" s="37"/>
      <c r="PY2906" s="37"/>
      <c r="PZ2906" s="37"/>
      <c r="QA2906" s="37"/>
      <c r="QB2906" s="37"/>
      <c r="QC2906" s="37"/>
      <c r="QD2906" s="37"/>
      <c r="QE2906" s="37"/>
      <c r="QF2906" s="37"/>
      <c r="QG2906" s="37"/>
      <c r="QH2906" s="37"/>
      <c r="QI2906" s="37"/>
      <c r="QJ2906" s="37"/>
      <c r="QK2906" s="37"/>
      <c r="QL2906" s="37"/>
      <c r="QM2906" s="37"/>
      <c r="QN2906" s="37"/>
      <c r="QO2906" s="37"/>
      <c r="QP2906" s="37"/>
      <c r="QQ2906" s="37"/>
      <c r="QR2906" s="37"/>
      <c r="QS2906" s="37"/>
      <c r="QT2906" s="37"/>
      <c r="QU2906" s="37"/>
      <c r="QV2906" s="37"/>
      <c r="QW2906" s="37"/>
      <c r="QX2906" s="37"/>
      <c r="QY2906" s="37"/>
      <c r="QZ2906" s="37"/>
      <c r="RA2906" s="37"/>
      <c r="RB2906" s="37"/>
      <c r="RC2906" s="37"/>
      <c r="RD2906" s="37"/>
      <c r="RE2906" s="37"/>
      <c r="RF2906" s="37"/>
      <c r="RG2906" s="37"/>
      <c r="RH2906" s="37"/>
      <c r="RI2906" s="37"/>
      <c r="RJ2906" s="37"/>
      <c r="RK2906" s="37"/>
      <c r="RL2906" s="37"/>
      <c r="RM2906" s="37"/>
      <c r="RN2906" s="37"/>
      <c r="RO2906" s="37"/>
      <c r="RP2906" s="37"/>
      <c r="RQ2906" s="37"/>
      <c r="RR2906" s="37"/>
      <c r="RS2906" s="37"/>
      <c r="RT2906" s="37"/>
      <c r="RU2906" s="37"/>
      <c r="RV2906" s="37"/>
      <c r="RW2906" s="37"/>
      <c r="RX2906" s="37"/>
      <c r="RY2906" s="37"/>
      <c r="RZ2906" s="37"/>
      <c r="SA2906" s="37"/>
      <c r="SB2906" s="37"/>
      <c r="SC2906" s="37"/>
      <c r="SD2906" s="37"/>
      <c r="SE2906" s="37"/>
      <c r="SF2906" s="37"/>
    </row>
    <row r="2907" spans="1:500">
      <c r="A2907" s="37"/>
      <c r="B2907" s="37"/>
      <c r="C2907" s="37"/>
      <c r="D2907" s="37"/>
      <c r="E2907" s="37"/>
      <c r="F2907" s="37"/>
      <c r="G2907" s="37"/>
      <c r="H2907" s="37"/>
      <c r="I2907" s="37"/>
      <c r="J2907" s="37"/>
      <c r="K2907" s="37"/>
      <c r="L2907" s="37"/>
      <c r="M2907" s="37"/>
      <c r="N2907" s="37"/>
      <c r="O2907" s="37"/>
      <c r="P2907" s="37"/>
      <c r="Q2907" s="37"/>
      <c r="R2907" s="37"/>
      <c r="S2907" s="37"/>
      <c r="T2907" s="37"/>
      <c r="U2907" s="37"/>
      <c r="V2907" s="37"/>
      <c r="W2907" s="37"/>
      <c r="X2907" s="37"/>
      <c r="Y2907" s="37"/>
      <c r="Z2907" s="37"/>
      <c r="AA2907" s="37"/>
      <c r="AB2907" s="37"/>
      <c r="AC2907" s="37"/>
      <c r="AD2907" s="37"/>
      <c r="AE2907" s="37"/>
      <c r="AF2907" s="37"/>
      <c r="AG2907" s="37"/>
      <c r="AH2907" s="37"/>
      <c r="AI2907" s="37"/>
      <c r="AJ2907" s="37"/>
      <c r="AK2907" s="37"/>
      <c r="AL2907" s="37"/>
      <c r="AM2907" s="37"/>
      <c r="AN2907" s="37"/>
      <c r="AO2907" s="37"/>
      <c r="AP2907" s="37"/>
      <c r="AQ2907" s="37"/>
      <c r="AR2907" s="37"/>
      <c r="AS2907" s="37"/>
      <c r="AT2907" s="37"/>
      <c r="AU2907" s="37"/>
      <c r="AV2907" s="37"/>
      <c r="AW2907" s="37"/>
      <c r="AX2907" s="37"/>
      <c r="AY2907" s="37"/>
      <c r="AZ2907" s="37"/>
      <c r="BA2907" s="37"/>
      <c r="BB2907" s="37"/>
      <c r="BC2907" s="37"/>
      <c r="BD2907" s="37"/>
      <c r="BE2907" s="37"/>
      <c r="BF2907" s="37"/>
      <c r="BG2907" s="37"/>
      <c r="BH2907" s="37"/>
      <c r="BI2907" s="37"/>
      <c r="BJ2907" s="37"/>
      <c r="BK2907" s="37"/>
      <c r="BL2907" s="37"/>
      <c r="BM2907" s="37"/>
      <c r="BN2907" s="37"/>
      <c r="BO2907" s="37"/>
      <c r="BP2907" s="37"/>
      <c r="BQ2907" s="37"/>
      <c r="BR2907" s="37"/>
      <c r="BS2907" s="37"/>
      <c r="BT2907" s="37"/>
      <c r="BU2907" s="37"/>
      <c r="BV2907" s="37"/>
      <c r="BW2907" s="37"/>
      <c r="BX2907" s="37"/>
      <c r="BY2907" s="37"/>
      <c r="BZ2907" s="37"/>
      <c r="CA2907" s="37"/>
      <c r="CB2907" s="37"/>
      <c r="CC2907" s="37"/>
      <c r="CD2907" s="37"/>
      <c r="CE2907" s="37"/>
      <c r="CF2907" s="37"/>
      <c r="CG2907" s="37"/>
      <c r="CH2907" s="37"/>
      <c r="CI2907" s="37"/>
      <c r="CJ2907" s="37"/>
      <c r="CK2907" s="37"/>
      <c r="CL2907" s="37"/>
      <c r="CM2907" s="37"/>
      <c r="CN2907" s="37"/>
      <c r="CO2907" s="37"/>
      <c r="CP2907" s="37"/>
      <c r="CQ2907" s="37"/>
      <c r="CR2907" s="37"/>
      <c r="CS2907" s="37"/>
      <c r="CT2907" s="37"/>
      <c r="CU2907" s="37"/>
      <c r="CV2907" s="37"/>
      <c r="CW2907" s="37"/>
      <c r="CX2907" s="37"/>
      <c r="CY2907" s="37"/>
      <c r="CZ2907" s="37"/>
      <c r="DA2907" s="37"/>
      <c r="DB2907" s="37"/>
      <c r="DC2907" s="37"/>
      <c r="DD2907" s="37"/>
      <c r="DE2907" s="37"/>
      <c r="DF2907" s="37"/>
      <c r="DG2907" s="37"/>
      <c r="DH2907" s="37"/>
      <c r="DI2907" s="37"/>
      <c r="DJ2907" s="37"/>
      <c r="DK2907" s="37"/>
      <c r="DL2907" s="37"/>
      <c r="DM2907" s="37"/>
      <c r="DN2907" s="37"/>
      <c r="DO2907" s="37"/>
      <c r="DP2907" s="37"/>
      <c r="DQ2907" s="37"/>
      <c r="DR2907" s="37"/>
      <c r="DS2907" s="37"/>
      <c r="DT2907" s="37"/>
      <c r="DU2907" s="37"/>
      <c r="DV2907" s="37"/>
      <c r="DW2907" s="37"/>
      <c r="DX2907" s="37"/>
      <c r="DY2907" s="37"/>
      <c r="DZ2907" s="37"/>
      <c r="EA2907" s="37"/>
      <c r="EB2907" s="37"/>
      <c r="EC2907" s="37"/>
      <c r="ED2907" s="37"/>
      <c r="EE2907" s="37"/>
      <c r="EF2907" s="37"/>
      <c r="EG2907" s="37"/>
      <c r="EH2907" s="37"/>
      <c r="EI2907" s="37"/>
      <c r="EJ2907" s="37"/>
      <c r="EK2907" s="37"/>
      <c r="EL2907" s="37"/>
      <c r="EM2907" s="37"/>
      <c r="EN2907" s="37"/>
      <c r="EO2907" s="37"/>
      <c r="EP2907" s="37"/>
      <c r="EQ2907" s="37"/>
      <c r="ER2907" s="37"/>
      <c r="ES2907" s="37"/>
      <c r="ET2907" s="37"/>
      <c r="EU2907" s="37"/>
      <c r="EV2907" s="37"/>
      <c r="EW2907" s="37"/>
      <c r="EX2907" s="37"/>
      <c r="EY2907" s="37"/>
      <c r="EZ2907" s="37"/>
      <c r="FA2907" s="37"/>
      <c r="FB2907" s="37"/>
      <c r="FC2907" s="37"/>
      <c r="FD2907" s="37"/>
      <c r="FE2907" s="37"/>
      <c r="FF2907" s="37"/>
      <c r="FG2907" s="37"/>
      <c r="FH2907" s="37"/>
      <c r="FI2907" s="37"/>
      <c r="FJ2907" s="37"/>
      <c r="FK2907" s="37"/>
      <c r="FL2907" s="37"/>
      <c r="FM2907" s="37"/>
      <c r="FN2907" s="37"/>
      <c r="FO2907" s="37"/>
      <c r="FP2907" s="37"/>
      <c r="FQ2907" s="37"/>
      <c r="FR2907" s="37"/>
      <c r="FS2907" s="37"/>
      <c r="FT2907" s="37"/>
      <c r="FU2907" s="37"/>
      <c r="FV2907" s="37"/>
      <c r="FW2907" s="37"/>
      <c r="FX2907" s="37"/>
      <c r="FY2907" s="37"/>
      <c r="FZ2907" s="37"/>
      <c r="GA2907" s="37"/>
      <c r="GB2907" s="37"/>
      <c r="GC2907" s="37"/>
      <c r="GD2907" s="37"/>
      <c r="GE2907" s="37"/>
      <c r="GF2907" s="37"/>
      <c r="GG2907" s="37"/>
      <c r="GH2907" s="37"/>
      <c r="GI2907" s="37"/>
      <c r="GJ2907" s="37"/>
      <c r="GK2907" s="37"/>
      <c r="GL2907" s="37"/>
      <c r="GM2907" s="37"/>
      <c r="GN2907" s="37"/>
      <c r="GO2907" s="37"/>
      <c r="GP2907" s="37"/>
      <c r="GQ2907" s="37"/>
      <c r="GR2907" s="37"/>
      <c r="GS2907" s="37"/>
      <c r="GT2907" s="37"/>
      <c r="GU2907" s="37"/>
      <c r="GV2907" s="37"/>
      <c r="GW2907" s="37"/>
      <c r="GX2907" s="37"/>
      <c r="GY2907" s="37"/>
      <c r="GZ2907" s="37"/>
      <c r="HA2907" s="37"/>
      <c r="HB2907" s="37"/>
      <c r="HC2907" s="37"/>
      <c r="HD2907" s="37"/>
      <c r="HE2907" s="37"/>
      <c r="HF2907" s="37"/>
      <c r="HG2907" s="37"/>
      <c r="HH2907" s="37"/>
      <c r="HI2907" s="37"/>
      <c r="HJ2907" s="37"/>
      <c r="HK2907" s="37"/>
      <c r="HL2907" s="37"/>
      <c r="HM2907" s="37"/>
      <c r="HN2907" s="37"/>
      <c r="HO2907" s="37"/>
      <c r="HP2907" s="37"/>
      <c r="HQ2907" s="37"/>
      <c r="HR2907" s="37"/>
      <c r="HS2907" s="37"/>
      <c r="HT2907" s="37"/>
      <c r="HU2907" s="37"/>
      <c r="HV2907" s="37"/>
      <c r="HW2907" s="37"/>
      <c r="HX2907" s="37"/>
      <c r="HY2907" s="37"/>
      <c r="HZ2907" s="37"/>
      <c r="IA2907" s="37"/>
      <c r="IB2907" s="37"/>
      <c r="IC2907" s="37"/>
      <c r="ID2907" s="37"/>
      <c r="IE2907" s="37"/>
      <c r="IF2907" s="37"/>
      <c r="IG2907" s="37"/>
      <c r="IH2907" s="37"/>
      <c r="II2907" s="37"/>
      <c r="IJ2907" s="37"/>
      <c r="IK2907" s="37"/>
      <c r="IL2907" s="37"/>
      <c r="IM2907" s="37"/>
      <c r="IN2907" s="37"/>
      <c r="IO2907" s="37"/>
      <c r="IP2907" s="37"/>
      <c r="IQ2907" s="37"/>
      <c r="IR2907" s="37"/>
      <c r="IS2907" s="37"/>
      <c r="IT2907" s="37"/>
      <c r="IU2907" s="37"/>
      <c r="IV2907" s="37"/>
      <c r="IW2907" s="37"/>
      <c r="IX2907" s="37"/>
      <c r="IY2907" s="37"/>
      <c r="IZ2907" s="37"/>
      <c r="JA2907" s="37"/>
      <c r="JB2907" s="37"/>
      <c r="JC2907" s="37"/>
      <c r="JD2907" s="37"/>
      <c r="JE2907" s="37"/>
      <c r="JF2907" s="37"/>
      <c r="JG2907" s="37"/>
      <c r="JH2907" s="37"/>
      <c r="JI2907" s="37"/>
      <c r="JJ2907" s="37"/>
      <c r="JK2907" s="37"/>
      <c r="JL2907" s="37"/>
      <c r="JM2907" s="37"/>
      <c r="JN2907" s="37"/>
      <c r="JO2907" s="37"/>
      <c r="JP2907" s="37"/>
      <c r="JQ2907" s="37"/>
      <c r="JR2907" s="37"/>
      <c r="JS2907" s="37"/>
      <c r="JT2907" s="37"/>
      <c r="JU2907" s="37"/>
      <c r="JV2907" s="37"/>
      <c r="JW2907" s="37"/>
      <c r="JX2907" s="37"/>
      <c r="JY2907" s="37"/>
      <c r="JZ2907" s="37"/>
      <c r="KA2907" s="37"/>
      <c r="KB2907" s="37"/>
      <c r="KC2907" s="37"/>
      <c r="KD2907" s="37"/>
      <c r="KE2907" s="37"/>
      <c r="KF2907" s="37"/>
      <c r="KG2907" s="37"/>
      <c r="KH2907" s="37"/>
      <c r="KI2907" s="37"/>
      <c r="KJ2907" s="37"/>
      <c r="KK2907" s="37"/>
      <c r="KL2907" s="37"/>
      <c r="KM2907" s="37"/>
      <c r="KN2907" s="37"/>
      <c r="KO2907" s="37"/>
      <c r="KP2907" s="37"/>
      <c r="KQ2907" s="37"/>
      <c r="KR2907" s="37"/>
      <c r="KS2907" s="37"/>
      <c r="KT2907" s="37"/>
      <c r="KU2907" s="37"/>
      <c r="KV2907" s="37"/>
      <c r="KW2907" s="37"/>
      <c r="KX2907" s="37"/>
      <c r="KY2907" s="37"/>
      <c r="KZ2907" s="37"/>
      <c r="LA2907" s="37"/>
      <c r="LB2907" s="37"/>
      <c r="LC2907" s="37"/>
      <c r="LD2907" s="37"/>
      <c r="LE2907" s="37"/>
      <c r="LF2907" s="37"/>
      <c r="LG2907" s="37"/>
      <c r="LH2907" s="37"/>
      <c r="LI2907" s="37"/>
      <c r="LJ2907" s="37"/>
      <c r="LK2907" s="37"/>
      <c r="LL2907" s="37"/>
      <c r="LM2907" s="37"/>
      <c r="LN2907" s="37"/>
      <c r="LO2907" s="37"/>
      <c r="LP2907" s="37"/>
      <c r="LQ2907" s="37"/>
      <c r="LR2907" s="37"/>
      <c r="LS2907" s="37"/>
      <c r="LT2907" s="37"/>
      <c r="LU2907" s="37"/>
      <c r="LV2907" s="37"/>
      <c r="LW2907" s="37"/>
      <c r="LX2907" s="37"/>
      <c r="LY2907" s="37"/>
      <c r="LZ2907" s="37"/>
      <c r="MA2907" s="37"/>
      <c r="MB2907" s="37"/>
      <c r="MC2907" s="37"/>
      <c r="MD2907" s="37"/>
      <c r="ME2907" s="37"/>
      <c r="MF2907" s="37"/>
      <c r="MG2907" s="37"/>
      <c r="MH2907" s="37"/>
      <c r="MI2907" s="37"/>
      <c r="MJ2907" s="37"/>
      <c r="MK2907" s="37"/>
      <c r="ML2907" s="37"/>
      <c r="MM2907" s="37"/>
      <c r="MN2907" s="37"/>
      <c r="MO2907" s="37"/>
      <c r="MP2907" s="37"/>
      <c r="MQ2907" s="37"/>
      <c r="MR2907" s="37"/>
      <c r="MS2907" s="37"/>
      <c r="MT2907" s="37"/>
      <c r="MU2907" s="37"/>
      <c r="MV2907" s="37"/>
      <c r="MW2907" s="37"/>
      <c r="MX2907" s="37"/>
      <c r="MY2907" s="37"/>
      <c r="MZ2907" s="37"/>
      <c r="NA2907" s="37"/>
      <c r="NB2907" s="37"/>
      <c r="NC2907" s="37"/>
      <c r="ND2907" s="37"/>
      <c r="NE2907" s="37"/>
      <c r="NF2907" s="37"/>
      <c r="NG2907" s="37"/>
      <c r="NH2907" s="37"/>
      <c r="NI2907" s="37"/>
      <c r="NJ2907" s="37"/>
      <c r="NK2907" s="37"/>
      <c r="NL2907" s="37"/>
      <c r="NM2907" s="37"/>
      <c r="NN2907" s="37"/>
      <c r="NO2907" s="37"/>
      <c r="NP2907" s="37"/>
      <c r="NQ2907" s="37"/>
      <c r="NR2907" s="37"/>
      <c r="NS2907" s="37"/>
      <c r="NT2907" s="37"/>
      <c r="NU2907" s="37"/>
      <c r="NV2907" s="37"/>
      <c r="NW2907" s="37"/>
      <c r="NX2907" s="37"/>
      <c r="NY2907" s="37"/>
      <c r="NZ2907" s="37"/>
      <c r="OA2907" s="37"/>
      <c r="OB2907" s="37"/>
      <c r="OC2907" s="37"/>
      <c r="OD2907" s="37"/>
      <c r="OE2907" s="37"/>
      <c r="OF2907" s="37"/>
      <c r="OG2907" s="37"/>
      <c r="OH2907" s="37"/>
      <c r="OI2907" s="37"/>
      <c r="OJ2907" s="37"/>
      <c r="OK2907" s="37"/>
      <c r="OL2907" s="37"/>
      <c r="OM2907" s="37"/>
      <c r="ON2907" s="37"/>
      <c r="OO2907" s="37"/>
      <c r="OP2907" s="37"/>
      <c r="OQ2907" s="37"/>
      <c r="OR2907" s="37"/>
      <c r="OS2907" s="37"/>
      <c r="OT2907" s="37"/>
      <c r="OU2907" s="37"/>
      <c r="OV2907" s="37"/>
      <c r="OW2907" s="37"/>
      <c r="OX2907" s="37"/>
      <c r="OY2907" s="37"/>
      <c r="OZ2907" s="37"/>
      <c r="PA2907" s="37"/>
      <c r="PB2907" s="37"/>
      <c r="PC2907" s="37"/>
      <c r="PD2907" s="37"/>
      <c r="PE2907" s="37"/>
      <c r="PF2907" s="37"/>
      <c r="PG2907" s="37"/>
      <c r="PH2907" s="37"/>
      <c r="PI2907" s="37"/>
      <c r="PJ2907" s="37"/>
      <c r="PK2907" s="37"/>
      <c r="PL2907" s="37"/>
      <c r="PM2907" s="37"/>
      <c r="PN2907" s="37"/>
      <c r="PO2907" s="37"/>
      <c r="PP2907" s="37"/>
      <c r="PQ2907" s="37"/>
      <c r="PR2907" s="37"/>
      <c r="PS2907" s="37"/>
      <c r="PT2907" s="37"/>
      <c r="PU2907" s="37"/>
      <c r="PV2907" s="37"/>
      <c r="PW2907" s="37"/>
      <c r="PX2907" s="37"/>
      <c r="PY2907" s="37"/>
      <c r="PZ2907" s="37"/>
      <c r="QA2907" s="37"/>
      <c r="QB2907" s="37"/>
      <c r="QC2907" s="37"/>
      <c r="QD2907" s="37"/>
      <c r="QE2907" s="37"/>
      <c r="QF2907" s="37"/>
      <c r="QG2907" s="37"/>
      <c r="QH2907" s="37"/>
      <c r="QI2907" s="37"/>
      <c r="QJ2907" s="37"/>
      <c r="QK2907" s="37"/>
      <c r="QL2907" s="37"/>
      <c r="QM2907" s="37"/>
      <c r="QN2907" s="37"/>
      <c r="QO2907" s="37"/>
      <c r="QP2907" s="37"/>
      <c r="QQ2907" s="37"/>
      <c r="QR2907" s="37"/>
      <c r="QS2907" s="37"/>
      <c r="QT2907" s="37"/>
      <c r="QU2907" s="37"/>
      <c r="QV2907" s="37"/>
      <c r="QW2907" s="37"/>
      <c r="QX2907" s="37"/>
      <c r="QY2907" s="37"/>
      <c r="QZ2907" s="37"/>
      <c r="RA2907" s="37"/>
      <c r="RB2907" s="37"/>
      <c r="RC2907" s="37"/>
      <c r="RD2907" s="37"/>
      <c r="RE2907" s="37"/>
      <c r="RF2907" s="37"/>
      <c r="RG2907" s="37"/>
      <c r="RH2907" s="37"/>
      <c r="RI2907" s="37"/>
      <c r="RJ2907" s="37"/>
      <c r="RK2907" s="37"/>
      <c r="RL2907" s="37"/>
      <c r="RM2907" s="37"/>
      <c r="RN2907" s="37"/>
      <c r="RO2907" s="37"/>
      <c r="RP2907" s="37"/>
      <c r="RQ2907" s="37"/>
      <c r="RR2907" s="37"/>
      <c r="RS2907" s="37"/>
      <c r="RT2907" s="37"/>
      <c r="RU2907" s="37"/>
      <c r="RV2907" s="37"/>
      <c r="RW2907" s="37"/>
      <c r="RX2907" s="37"/>
      <c r="RY2907" s="37"/>
      <c r="RZ2907" s="37"/>
      <c r="SA2907" s="37"/>
      <c r="SB2907" s="37"/>
      <c r="SC2907" s="37"/>
      <c r="SD2907" s="37"/>
      <c r="SE2907" s="37"/>
      <c r="SF2907" s="37"/>
    </row>
    <row r="2908" spans="1:500">
      <c r="A2908" s="37"/>
      <c r="B2908" s="37"/>
      <c r="C2908" s="37"/>
      <c r="D2908" s="37"/>
      <c r="E2908" s="37"/>
      <c r="F2908" s="37"/>
      <c r="G2908" s="37"/>
      <c r="H2908" s="37"/>
      <c r="I2908" s="37"/>
      <c r="J2908" s="37"/>
      <c r="K2908" s="37"/>
      <c r="L2908" s="37"/>
      <c r="M2908" s="37"/>
      <c r="N2908" s="37"/>
      <c r="O2908" s="37"/>
      <c r="P2908" s="37"/>
      <c r="Q2908" s="37"/>
      <c r="R2908" s="37"/>
      <c r="S2908" s="37"/>
      <c r="T2908" s="37"/>
      <c r="U2908" s="37"/>
      <c r="V2908" s="37"/>
      <c r="W2908" s="37"/>
      <c r="X2908" s="37"/>
      <c r="Y2908" s="37"/>
      <c r="Z2908" s="37"/>
      <c r="AA2908" s="37"/>
      <c r="AB2908" s="37"/>
      <c r="AC2908" s="37"/>
      <c r="AD2908" s="37"/>
      <c r="AE2908" s="37"/>
      <c r="AF2908" s="37"/>
      <c r="AG2908" s="37"/>
      <c r="AH2908" s="37"/>
      <c r="AI2908" s="37"/>
      <c r="AJ2908" s="37"/>
      <c r="AK2908" s="37"/>
      <c r="AL2908" s="37"/>
      <c r="AM2908" s="37"/>
      <c r="AN2908" s="37"/>
      <c r="AO2908" s="37"/>
      <c r="AP2908" s="37"/>
      <c r="AQ2908" s="37"/>
      <c r="AR2908" s="37"/>
      <c r="AS2908" s="37"/>
      <c r="AT2908" s="37"/>
      <c r="AU2908" s="37"/>
      <c r="AV2908" s="37"/>
      <c r="AW2908" s="37"/>
      <c r="AX2908" s="37"/>
      <c r="AY2908" s="37"/>
      <c r="AZ2908" s="37"/>
      <c r="BA2908" s="37"/>
      <c r="BB2908" s="37"/>
      <c r="BC2908" s="37"/>
      <c r="BD2908" s="37"/>
      <c r="BE2908" s="37"/>
      <c r="BF2908" s="37"/>
      <c r="BG2908" s="37"/>
      <c r="BH2908" s="37"/>
      <c r="BI2908" s="37"/>
      <c r="BJ2908" s="37"/>
      <c r="BK2908" s="37"/>
      <c r="BL2908" s="37"/>
      <c r="BM2908" s="37"/>
      <c r="BN2908" s="37"/>
      <c r="BO2908" s="37"/>
      <c r="BP2908" s="37"/>
      <c r="BQ2908" s="37"/>
      <c r="BR2908" s="37"/>
      <c r="BS2908" s="37"/>
      <c r="BT2908" s="37"/>
      <c r="BU2908" s="37"/>
      <c r="BV2908" s="37"/>
      <c r="BW2908" s="37"/>
      <c r="BX2908" s="37"/>
      <c r="BY2908" s="37"/>
      <c r="BZ2908" s="37"/>
      <c r="CA2908" s="37"/>
      <c r="CB2908" s="37"/>
      <c r="CC2908" s="37"/>
      <c r="CD2908" s="37"/>
      <c r="CE2908" s="37"/>
      <c r="CF2908" s="37"/>
      <c r="CG2908" s="37"/>
      <c r="CH2908" s="37"/>
      <c r="CI2908" s="37"/>
      <c r="CJ2908" s="37"/>
      <c r="CK2908" s="37"/>
      <c r="CL2908" s="37"/>
      <c r="CM2908" s="37"/>
      <c r="CN2908" s="37"/>
      <c r="CO2908" s="37"/>
      <c r="CP2908" s="37"/>
      <c r="CQ2908" s="37"/>
      <c r="CR2908" s="37"/>
      <c r="CS2908" s="37"/>
      <c r="CT2908" s="37"/>
      <c r="CU2908" s="37"/>
      <c r="CV2908" s="37"/>
      <c r="CW2908" s="37"/>
      <c r="CX2908" s="37"/>
      <c r="CY2908" s="37"/>
      <c r="CZ2908" s="37"/>
      <c r="DA2908" s="37"/>
      <c r="DB2908" s="37"/>
      <c r="DC2908" s="37"/>
      <c r="DD2908" s="37"/>
      <c r="DE2908" s="37"/>
      <c r="DF2908" s="37"/>
      <c r="DG2908" s="37"/>
      <c r="DH2908" s="37"/>
      <c r="DI2908" s="37"/>
      <c r="DJ2908" s="37"/>
      <c r="DK2908" s="37"/>
      <c r="DL2908" s="37"/>
      <c r="DM2908" s="37"/>
      <c r="DN2908" s="37"/>
      <c r="DO2908" s="37"/>
      <c r="DP2908" s="37"/>
      <c r="DQ2908" s="37"/>
      <c r="DR2908" s="37"/>
      <c r="DS2908" s="37"/>
      <c r="DT2908" s="37"/>
      <c r="DU2908" s="37"/>
      <c r="DV2908" s="37"/>
      <c r="DW2908" s="37"/>
      <c r="DX2908" s="37"/>
      <c r="DY2908" s="37"/>
      <c r="DZ2908" s="37"/>
      <c r="EA2908" s="37"/>
      <c r="EB2908" s="37"/>
      <c r="EC2908" s="37"/>
      <c r="ED2908" s="37"/>
      <c r="EE2908" s="37"/>
      <c r="EF2908" s="37"/>
      <c r="EG2908" s="37"/>
      <c r="EH2908" s="37"/>
      <c r="EI2908" s="37"/>
      <c r="EJ2908" s="37"/>
      <c r="EK2908" s="37"/>
      <c r="EL2908" s="37"/>
      <c r="EM2908" s="37"/>
      <c r="EN2908" s="37"/>
      <c r="EO2908" s="37"/>
      <c r="EP2908" s="37"/>
      <c r="EQ2908" s="37"/>
      <c r="ER2908" s="37"/>
      <c r="ES2908" s="37"/>
      <c r="ET2908" s="37"/>
      <c r="EU2908" s="37"/>
      <c r="EV2908" s="37"/>
      <c r="EW2908" s="37"/>
      <c r="EX2908" s="37"/>
      <c r="EY2908" s="37"/>
      <c r="EZ2908" s="37"/>
      <c r="FA2908" s="37"/>
      <c r="FB2908" s="37"/>
      <c r="FC2908" s="37"/>
      <c r="FD2908" s="37"/>
      <c r="FE2908" s="37"/>
      <c r="FF2908" s="37"/>
      <c r="FG2908" s="37"/>
      <c r="FH2908" s="37"/>
      <c r="FI2908" s="37"/>
      <c r="FJ2908" s="37"/>
      <c r="FK2908" s="37"/>
      <c r="FL2908" s="37"/>
      <c r="FM2908" s="37"/>
      <c r="FN2908" s="37"/>
      <c r="FO2908" s="37"/>
      <c r="FP2908" s="37"/>
      <c r="FQ2908" s="37"/>
      <c r="FR2908" s="37"/>
      <c r="FS2908" s="37"/>
      <c r="FT2908" s="37"/>
      <c r="FU2908" s="37"/>
      <c r="FV2908" s="37"/>
      <c r="FW2908" s="37"/>
      <c r="FX2908" s="37"/>
      <c r="FY2908" s="37"/>
      <c r="FZ2908" s="37"/>
      <c r="GA2908" s="37"/>
      <c r="GB2908" s="37"/>
      <c r="GC2908" s="37"/>
      <c r="GD2908" s="37"/>
      <c r="GE2908" s="37"/>
      <c r="GF2908" s="37"/>
      <c r="GG2908" s="37"/>
      <c r="GH2908" s="37"/>
      <c r="GI2908" s="37"/>
      <c r="GJ2908" s="37"/>
      <c r="GK2908" s="37"/>
      <c r="GL2908" s="37"/>
      <c r="GM2908" s="37"/>
      <c r="GN2908" s="37"/>
      <c r="GO2908" s="37"/>
      <c r="GP2908" s="37"/>
      <c r="GQ2908" s="37"/>
      <c r="GR2908" s="37"/>
      <c r="GS2908" s="37"/>
      <c r="GT2908" s="37"/>
      <c r="GU2908" s="37"/>
      <c r="GV2908" s="37"/>
      <c r="GW2908" s="37"/>
      <c r="GX2908" s="37"/>
      <c r="GY2908" s="37"/>
      <c r="GZ2908" s="37"/>
      <c r="HA2908" s="37"/>
      <c r="HB2908" s="37"/>
      <c r="HC2908" s="37"/>
      <c r="HD2908" s="37"/>
      <c r="HE2908" s="37"/>
      <c r="HF2908" s="37"/>
      <c r="HG2908" s="37"/>
      <c r="HH2908" s="37"/>
      <c r="HI2908" s="37"/>
      <c r="HJ2908" s="37"/>
      <c r="HK2908" s="37"/>
      <c r="HL2908" s="37"/>
      <c r="HM2908" s="37"/>
      <c r="HN2908" s="37"/>
      <c r="HO2908" s="37"/>
      <c r="HP2908" s="37"/>
      <c r="HQ2908" s="37"/>
      <c r="HR2908" s="37"/>
      <c r="HS2908" s="37"/>
      <c r="HT2908" s="37"/>
      <c r="HU2908" s="37"/>
      <c r="HV2908" s="37"/>
      <c r="HW2908" s="37"/>
      <c r="HX2908" s="37"/>
      <c r="HY2908" s="37"/>
      <c r="HZ2908" s="37"/>
      <c r="IA2908" s="37"/>
      <c r="IB2908" s="37"/>
      <c r="IC2908" s="37"/>
      <c r="ID2908" s="37"/>
      <c r="IE2908" s="37"/>
      <c r="IF2908" s="37"/>
      <c r="IG2908" s="37"/>
      <c r="IH2908" s="37"/>
      <c r="II2908" s="37"/>
      <c r="IJ2908" s="37"/>
      <c r="IK2908" s="37"/>
      <c r="IL2908" s="37"/>
      <c r="IM2908" s="37"/>
      <c r="IN2908" s="37"/>
      <c r="IO2908" s="37"/>
      <c r="IP2908" s="37"/>
      <c r="IQ2908" s="37"/>
      <c r="IR2908" s="37"/>
      <c r="IS2908" s="37"/>
      <c r="IT2908" s="37"/>
      <c r="IU2908" s="37"/>
      <c r="IV2908" s="37"/>
      <c r="IW2908" s="37"/>
      <c r="IX2908" s="37"/>
      <c r="IY2908" s="37"/>
      <c r="IZ2908" s="37"/>
      <c r="JA2908" s="37"/>
      <c r="JB2908" s="37"/>
      <c r="JC2908" s="37"/>
      <c r="JD2908" s="37"/>
      <c r="JE2908" s="37"/>
      <c r="JF2908" s="37"/>
      <c r="JG2908" s="37"/>
      <c r="JH2908" s="37"/>
      <c r="JI2908" s="37"/>
      <c r="JJ2908" s="37"/>
      <c r="JK2908" s="37"/>
      <c r="JL2908" s="37"/>
      <c r="JM2908" s="37"/>
      <c r="JN2908" s="37"/>
      <c r="JO2908" s="37"/>
      <c r="JP2908" s="37"/>
      <c r="JQ2908" s="37"/>
      <c r="JR2908" s="37"/>
      <c r="JS2908" s="37"/>
      <c r="JT2908" s="37"/>
      <c r="JU2908" s="37"/>
      <c r="JV2908" s="37"/>
      <c r="JW2908" s="37"/>
      <c r="JX2908" s="37"/>
      <c r="JY2908" s="37"/>
      <c r="JZ2908" s="37"/>
      <c r="KA2908" s="37"/>
      <c r="KB2908" s="37"/>
      <c r="KC2908" s="37"/>
      <c r="KD2908" s="37"/>
      <c r="KE2908" s="37"/>
      <c r="KF2908" s="37"/>
      <c r="KG2908" s="37"/>
      <c r="KH2908" s="37"/>
      <c r="KI2908" s="37"/>
      <c r="KJ2908" s="37"/>
      <c r="KK2908" s="37"/>
      <c r="KL2908" s="37"/>
      <c r="KM2908" s="37"/>
      <c r="KN2908" s="37"/>
      <c r="KO2908" s="37"/>
      <c r="KP2908" s="37"/>
      <c r="KQ2908" s="37"/>
      <c r="KR2908" s="37"/>
      <c r="KS2908" s="37"/>
      <c r="KT2908" s="37"/>
      <c r="KU2908" s="37"/>
      <c r="KV2908" s="37"/>
      <c r="KW2908" s="37"/>
      <c r="KX2908" s="37"/>
      <c r="KY2908" s="37"/>
      <c r="KZ2908" s="37"/>
      <c r="LA2908" s="37"/>
      <c r="LB2908" s="37"/>
      <c r="LC2908" s="37"/>
      <c r="LD2908" s="37"/>
      <c r="LE2908" s="37"/>
      <c r="LF2908" s="37"/>
      <c r="LG2908" s="37"/>
      <c r="LH2908" s="37"/>
      <c r="LI2908" s="37"/>
      <c r="LJ2908" s="37"/>
      <c r="LK2908" s="37"/>
      <c r="LL2908" s="37"/>
      <c r="LM2908" s="37"/>
      <c r="LN2908" s="37"/>
      <c r="LO2908" s="37"/>
      <c r="LP2908" s="37"/>
      <c r="LQ2908" s="37"/>
      <c r="LR2908" s="37"/>
      <c r="LS2908" s="37"/>
      <c r="LT2908" s="37"/>
      <c r="LU2908" s="37"/>
      <c r="LV2908" s="37"/>
      <c r="LW2908" s="37"/>
      <c r="LX2908" s="37"/>
      <c r="LY2908" s="37"/>
      <c r="LZ2908" s="37"/>
      <c r="MA2908" s="37"/>
      <c r="MB2908" s="37"/>
      <c r="MC2908" s="37"/>
      <c r="MD2908" s="37"/>
      <c r="ME2908" s="37"/>
      <c r="MF2908" s="37"/>
      <c r="MG2908" s="37"/>
      <c r="MH2908" s="37"/>
      <c r="MI2908" s="37"/>
      <c r="MJ2908" s="37"/>
      <c r="MK2908" s="37"/>
      <c r="ML2908" s="37"/>
      <c r="MM2908" s="37"/>
      <c r="MN2908" s="37"/>
      <c r="MO2908" s="37"/>
      <c r="MP2908" s="37"/>
      <c r="MQ2908" s="37"/>
      <c r="MR2908" s="37"/>
      <c r="MS2908" s="37"/>
      <c r="MT2908" s="37"/>
      <c r="MU2908" s="37"/>
      <c r="MV2908" s="37"/>
      <c r="MW2908" s="37"/>
      <c r="MX2908" s="37"/>
      <c r="MY2908" s="37"/>
      <c r="MZ2908" s="37"/>
      <c r="NA2908" s="37"/>
      <c r="NB2908" s="37"/>
      <c r="NC2908" s="37"/>
      <c r="ND2908" s="37"/>
      <c r="NE2908" s="37"/>
      <c r="NF2908" s="37"/>
      <c r="NG2908" s="37"/>
      <c r="NH2908" s="37"/>
      <c r="NI2908" s="37"/>
      <c r="NJ2908" s="37"/>
      <c r="NK2908" s="37"/>
      <c r="NL2908" s="37"/>
      <c r="NM2908" s="37"/>
      <c r="NN2908" s="37"/>
      <c r="NO2908" s="37"/>
      <c r="NP2908" s="37"/>
      <c r="NQ2908" s="37"/>
      <c r="NR2908" s="37"/>
      <c r="NS2908" s="37"/>
      <c r="NT2908" s="37"/>
      <c r="NU2908" s="37"/>
      <c r="NV2908" s="37"/>
      <c r="NW2908" s="37"/>
      <c r="NX2908" s="37"/>
      <c r="NY2908" s="37"/>
      <c r="NZ2908" s="37"/>
      <c r="OA2908" s="37"/>
      <c r="OB2908" s="37"/>
      <c r="OC2908" s="37"/>
      <c r="OD2908" s="37"/>
      <c r="OE2908" s="37"/>
      <c r="OF2908" s="37"/>
      <c r="OG2908" s="37"/>
      <c r="OH2908" s="37"/>
      <c r="OI2908" s="37"/>
      <c r="OJ2908" s="37"/>
      <c r="OK2908" s="37"/>
      <c r="OL2908" s="37"/>
      <c r="OM2908" s="37"/>
      <c r="ON2908" s="37"/>
      <c r="OO2908" s="37"/>
      <c r="OP2908" s="37"/>
      <c r="OQ2908" s="37"/>
      <c r="OR2908" s="37"/>
      <c r="OS2908" s="37"/>
      <c r="OT2908" s="37"/>
      <c r="OU2908" s="37"/>
      <c r="OV2908" s="37"/>
      <c r="OW2908" s="37"/>
      <c r="OX2908" s="37"/>
      <c r="OY2908" s="37"/>
      <c r="OZ2908" s="37"/>
      <c r="PA2908" s="37"/>
      <c r="PB2908" s="37"/>
      <c r="PC2908" s="37"/>
      <c r="PD2908" s="37"/>
      <c r="PE2908" s="37"/>
      <c r="PF2908" s="37"/>
      <c r="PG2908" s="37"/>
      <c r="PH2908" s="37"/>
      <c r="PI2908" s="37"/>
      <c r="PJ2908" s="37"/>
      <c r="PK2908" s="37"/>
      <c r="PL2908" s="37"/>
      <c r="PM2908" s="37"/>
      <c r="PN2908" s="37"/>
      <c r="PO2908" s="37"/>
      <c r="PP2908" s="37"/>
      <c r="PQ2908" s="37"/>
      <c r="PR2908" s="37"/>
      <c r="PS2908" s="37"/>
      <c r="PT2908" s="37"/>
      <c r="PU2908" s="37"/>
      <c r="PV2908" s="37"/>
      <c r="PW2908" s="37"/>
      <c r="PX2908" s="37"/>
      <c r="PY2908" s="37"/>
      <c r="PZ2908" s="37"/>
      <c r="QA2908" s="37"/>
      <c r="QB2908" s="37"/>
      <c r="QC2908" s="37"/>
      <c r="QD2908" s="37"/>
      <c r="QE2908" s="37"/>
      <c r="QF2908" s="37"/>
      <c r="QG2908" s="37"/>
      <c r="QH2908" s="37"/>
      <c r="QI2908" s="37"/>
      <c r="QJ2908" s="37"/>
      <c r="QK2908" s="37"/>
      <c r="QL2908" s="37"/>
      <c r="QM2908" s="37"/>
      <c r="QN2908" s="37"/>
      <c r="QO2908" s="37"/>
      <c r="QP2908" s="37"/>
      <c r="QQ2908" s="37"/>
      <c r="QR2908" s="37"/>
      <c r="QS2908" s="37"/>
      <c r="QT2908" s="37"/>
      <c r="QU2908" s="37"/>
      <c r="QV2908" s="37"/>
      <c r="QW2908" s="37"/>
      <c r="QX2908" s="37"/>
      <c r="QY2908" s="37"/>
      <c r="QZ2908" s="37"/>
      <c r="RA2908" s="37"/>
      <c r="RB2908" s="37"/>
      <c r="RC2908" s="37"/>
      <c r="RD2908" s="37"/>
      <c r="RE2908" s="37"/>
      <c r="RF2908" s="37"/>
      <c r="RG2908" s="37"/>
      <c r="RH2908" s="37"/>
      <c r="RI2908" s="37"/>
      <c r="RJ2908" s="37"/>
      <c r="RK2908" s="37"/>
      <c r="RL2908" s="37"/>
      <c r="RM2908" s="37"/>
      <c r="RN2908" s="37"/>
      <c r="RO2908" s="37"/>
      <c r="RP2908" s="37"/>
      <c r="RQ2908" s="37"/>
      <c r="RR2908" s="37"/>
      <c r="RS2908" s="37"/>
      <c r="RT2908" s="37"/>
      <c r="RU2908" s="37"/>
      <c r="RV2908" s="37"/>
      <c r="RW2908" s="37"/>
      <c r="RX2908" s="37"/>
      <c r="RY2908" s="37"/>
      <c r="RZ2908" s="37"/>
      <c r="SA2908" s="37"/>
      <c r="SB2908" s="37"/>
      <c r="SC2908" s="37"/>
      <c r="SD2908" s="37"/>
      <c r="SE2908" s="37"/>
      <c r="SF2908" s="37"/>
    </row>
    <row r="2909" spans="1:500">
      <c r="A2909" s="37"/>
      <c r="B2909" s="37"/>
      <c r="C2909" s="37"/>
      <c r="D2909" s="37"/>
      <c r="E2909" s="37"/>
      <c r="F2909" s="37"/>
      <c r="G2909" s="37"/>
      <c r="H2909" s="37"/>
      <c r="I2909" s="37"/>
      <c r="J2909" s="37"/>
      <c r="K2909" s="37"/>
      <c r="L2909" s="37"/>
      <c r="M2909" s="37"/>
      <c r="N2909" s="37"/>
      <c r="O2909" s="37"/>
      <c r="P2909" s="37"/>
      <c r="Q2909" s="37"/>
      <c r="R2909" s="37"/>
      <c r="S2909" s="37"/>
      <c r="T2909" s="37"/>
      <c r="U2909" s="37"/>
      <c r="V2909" s="37"/>
      <c r="W2909" s="37"/>
      <c r="X2909" s="37"/>
      <c r="Y2909" s="37"/>
      <c r="Z2909" s="37"/>
      <c r="AA2909" s="37"/>
      <c r="AB2909" s="37"/>
      <c r="AC2909" s="37"/>
      <c r="AD2909" s="37"/>
      <c r="AE2909" s="37"/>
      <c r="AF2909" s="37"/>
      <c r="AG2909" s="37"/>
      <c r="AH2909" s="37"/>
      <c r="AI2909" s="37"/>
      <c r="AJ2909" s="37"/>
      <c r="AK2909" s="37"/>
      <c r="AL2909" s="37"/>
      <c r="AM2909" s="37"/>
      <c r="AN2909" s="37"/>
      <c r="AO2909" s="37"/>
      <c r="AP2909" s="37"/>
      <c r="AQ2909" s="37"/>
      <c r="AR2909" s="37"/>
      <c r="AS2909" s="37"/>
      <c r="AT2909" s="37"/>
      <c r="AU2909" s="37"/>
      <c r="AV2909" s="37"/>
      <c r="AW2909" s="37"/>
      <c r="AX2909" s="37"/>
      <c r="AY2909" s="37"/>
      <c r="AZ2909" s="37"/>
      <c r="BA2909" s="37"/>
      <c r="BB2909" s="37"/>
      <c r="BC2909" s="37"/>
      <c r="BD2909" s="37"/>
      <c r="BE2909" s="37"/>
      <c r="BF2909" s="37"/>
      <c r="BG2909" s="37"/>
      <c r="BH2909" s="37"/>
      <c r="BI2909" s="37"/>
      <c r="BJ2909" s="37"/>
      <c r="BK2909" s="37"/>
      <c r="BL2909" s="37"/>
      <c r="BM2909" s="37"/>
      <c r="BN2909" s="37"/>
      <c r="BO2909" s="37"/>
      <c r="BP2909" s="37"/>
      <c r="BQ2909" s="37"/>
      <c r="BR2909" s="37"/>
      <c r="BS2909" s="37"/>
      <c r="BT2909" s="37"/>
      <c r="BU2909" s="37"/>
      <c r="BV2909" s="37"/>
      <c r="BW2909" s="37"/>
      <c r="BX2909" s="37"/>
      <c r="BY2909" s="37"/>
      <c r="BZ2909" s="37"/>
      <c r="CA2909" s="37"/>
      <c r="CB2909" s="37"/>
      <c r="CC2909" s="37"/>
      <c r="CD2909" s="37"/>
      <c r="CE2909" s="37"/>
      <c r="CF2909" s="37"/>
      <c r="CG2909" s="37"/>
      <c r="CH2909" s="37"/>
      <c r="CI2909" s="37"/>
      <c r="CJ2909" s="37"/>
      <c r="CK2909" s="37"/>
      <c r="CL2909" s="37"/>
      <c r="CM2909" s="37"/>
      <c r="CN2909" s="37"/>
      <c r="CO2909" s="37"/>
      <c r="CP2909" s="37"/>
      <c r="CQ2909" s="37"/>
      <c r="CR2909" s="37"/>
      <c r="CS2909" s="37"/>
      <c r="CT2909" s="37"/>
      <c r="CU2909" s="37"/>
      <c r="CV2909" s="37"/>
      <c r="CW2909" s="37"/>
      <c r="CX2909" s="37"/>
      <c r="CY2909" s="37"/>
      <c r="CZ2909" s="37"/>
      <c r="DA2909" s="37"/>
      <c r="DB2909" s="37"/>
      <c r="DC2909" s="37"/>
      <c r="DD2909" s="37"/>
      <c r="DE2909" s="37"/>
      <c r="DF2909" s="37"/>
      <c r="DG2909" s="37"/>
      <c r="DH2909" s="37"/>
      <c r="DI2909" s="37"/>
      <c r="DJ2909" s="37"/>
      <c r="DK2909" s="37"/>
      <c r="DL2909" s="37"/>
      <c r="DM2909" s="37"/>
      <c r="DN2909" s="37"/>
      <c r="DO2909" s="37"/>
      <c r="DP2909" s="37"/>
      <c r="DQ2909" s="37"/>
      <c r="DR2909" s="37"/>
      <c r="DS2909" s="37"/>
      <c r="DT2909" s="37"/>
      <c r="DU2909" s="37"/>
      <c r="DV2909" s="37"/>
      <c r="DW2909" s="37"/>
      <c r="DX2909" s="37"/>
      <c r="DY2909" s="37"/>
      <c r="DZ2909" s="37"/>
      <c r="EA2909" s="37"/>
      <c r="EB2909" s="37"/>
      <c r="EC2909" s="37"/>
      <c r="ED2909" s="37"/>
      <c r="EE2909" s="37"/>
      <c r="EF2909" s="37"/>
      <c r="EG2909" s="37"/>
      <c r="EH2909" s="37"/>
      <c r="EI2909" s="37"/>
      <c r="EJ2909" s="37"/>
      <c r="EK2909" s="37"/>
      <c r="EL2909" s="37"/>
      <c r="EM2909" s="37"/>
      <c r="EN2909" s="37"/>
      <c r="EO2909" s="37"/>
      <c r="EP2909" s="37"/>
      <c r="EQ2909" s="37"/>
      <c r="ER2909" s="37"/>
      <c r="ES2909" s="37"/>
      <c r="ET2909" s="37"/>
      <c r="EU2909" s="37"/>
      <c r="EV2909" s="37"/>
      <c r="EW2909" s="37"/>
      <c r="EX2909" s="37"/>
      <c r="EY2909" s="37"/>
      <c r="EZ2909" s="37"/>
      <c r="FA2909" s="37"/>
      <c r="FB2909" s="37"/>
      <c r="FC2909" s="37"/>
      <c r="FD2909" s="37"/>
      <c r="FE2909" s="37"/>
      <c r="FF2909" s="37"/>
      <c r="FG2909" s="37"/>
      <c r="FH2909" s="37"/>
      <c r="FI2909" s="37"/>
      <c r="FJ2909" s="37"/>
      <c r="FK2909" s="37"/>
      <c r="FL2909" s="37"/>
      <c r="FM2909" s="37"/>
      <c r="FN2909" s="37"/>
      <c r="FO2909" s="37"/>
      <c r="FP2909" s="37"/>
      <c r="FQ2909" s="37"/>
      <c r="FR2909" s="37"/>
      <c r="FS2909" s="37"/>
      <c r="FT2909" s="37"/>
      <c r="FU2909" s="37"/>
      <c r="FV2909" s="37"/>
      <c r="FW2909" s="37"/>
      <c r="FX2909" s="37"/>
      <c r="FY2909" s="37"/>
      <c r="FZ2909" s="37"/>
      <c r="GA2909" s="37"/>
      <c r="GB2909" s="37"/>
      <c r="GC2909" s="37"/>
      <c r="GD2909" s="37"/>
      <c r="GE2909" s="37"/>
      <c r="GF2909" s="37"/>
      <c r="GG2909" s="37"/>
      <c r="GH2909" s="37"/>
      <c r="GI2909" s="37"/>
      <c r="GJ2909" s="37"/>
      <c r="GK2909" s="37"/>
      <c r="GL2909" s="37"/>
      <c r="GM2909" s="37"/>
      <c r="GN2909" s="37"/>
      <c r="GO2909" s="37"/>
      <c r="GP2909" s="37"/>
      <c r="GQ2909" s="37"/>
      <c r="GR2909" s="37"/>
      <c r="GS2909" s="37"/>
      <c r="GT2909" s="37"/>
      <c r="GU2909" s="37"/>
      <c r="GV2909" s="37"/>
      <c r="GW2909" s="37"/>
      <c r="GX2909" s="37"/>
      <c r="GY2909" s="37"/>
      <c r="GZ2909" s="37"/>
      <c r="HA2909" s="37"/>
      <c r="HB2909" s="37"/>
      <c r="HC2909" s="37"/>
      <c r="HD2909" s="37"/>
      <c r="HE2909" s="37"/>
      <c r="HF2909" s="37"/>
      <c r="HG2909" s="37"/>
      <c r="HH2909" s="37"/>
      <c r="HI2909" s="37"/>
      <c r="HJ2909" s="37"/>
      <c r="HK2909" s="37"/>
      <c r="HL2909" s="37"/>
      <c r="HM2909" s="37"/>
      <c r="HN2909" s="37"/>
      <c r="HO2909" s="37"/>
      <c r="HP2909" s="37"/>
      <c r="HQ2909" s="37"/>
      <c r="HR2909" s="37"/>
      <c r="HS2909" s="37"/>
      <c r="HT2909" s="37"/>
      <c r="HU2909" s="37"/>
      <c r="HV2909" s="37"/>
      <c r="HW2909" s="37"/>
      <c r="HX2909" s="37"/>
      <c r="HY2909" s="37"/>
      <c r="HZ2909" s="37"/>
      <c r="IA2909" s="37"/>
      <c r="IB2909" s="37"/>
      <c r="IC2909" s="37"/>
      <c r="ID2909" s="37"/>
      <c r="IE2909" s="37"/>
      <c r="IF2909" s="37"/>
      <c r="IG2909" s="37"/>
      <c r="IH2909" s="37"/>
      <c r="II2909" s="37"/>
      <c r="IJ2909" s="37"/>
      <c r="IK2909" s="37"/>
      <c r="IL2909" s="37"/>
      <c r="IM2909" s="37"/>
      <c r="IN2909" s="37"/>
      <c r="IO2909" s="37"/>
      <c r="IP2909" s="37"/>
      <c r="IQ2909" s="37"/>
      <c r="IR2909" s="37"/>
      <c r="IS2909" s="37"/>
      <c r="IT2909" s="37"/>
      <c r="IU2909" s="37"/>
      <c r="IV2909" s="37"/>
      <c r="IW2909" s="37"/>
      <c r="IX2909" s="37"/>
      <c r="IY2909" s="37"/>
      <c r="IZ2909" s="37"/>
      <c r="JA2909" s="37"/>
      <c r="JB2909" s="37"/>
      <c r="JC2909" s="37"/>
      <c r="JD2909" s="37"/>
      <c r="JE2909" s="37"/>
      <c r="JF2909" s="37"/>
      <c r="JG2909" s="37"/>
      <c r="JH2909" s="37"/>
      <c r="JI2909" s="37"/>
      <c r="JJ2909" s="37"/>
      <c r="JK2909" s="37"/>
      <c r="JL2909" s="37"/>
      <c r="JM2909" s="37"/>
      <c r="JN2909" s="37"/>
      <c r="JO2909" s="37"/>
      <c r="JP2909" s="37"/>
      <c r="JQ2909" s="37"/>
      <c r="JR2909" s="37"/>
      <c r="JS2909" s="37"/>
      <c r="JT2909" s="37"/>
      <c r="JU2909" s="37"/>
      <c r="JV2909" s="37"/>
      <c r="JW2909" s="37"/>
      <c r="JX2909" s="37"/>
      <c r="JY2909" s="37"/>
      <c r="JZ2909" s="37"/>
      <c r="KA2909" s="37"/>
      <c r="KB2909" s="37"/>
      <c r="KC2909" s="37"/>
      <c r="KD2909" s="37"/>
      <c r="KE2909" s="37"/>
      <c r="KF2909" s="37"/>
      <c r="KG2909" s="37"/>
      <c r="KH2909" s="37"/>
      <c r="KI2909" s="37"/>
      <c r="KJ2909" s="37"/>
      <c r="KK2909" s="37"/>
      <c r="KL2909" s="37"/>
      <c r="KM2909" s="37"/>
      <c r="KN2909" s="37"/>
      <c r="KO2909" s="37"/>
      <c r="KP2909" s="37"/>
      <c r="KQ2909" s="37"/>
      <c r="KR2909" s="37"/>
      <c r="KS2909" s="37"/>
      <c r="KT2909" s="37"/>
      <c r="KU2909" s="37"/>
      <c r="KV2909" s="37"/>
      <c r="KW2909" s="37"/>
      <c r="KX2909" s="37"/>
      <c r="KY2909" s="37"/>
      <c r="KZ2909" s="37"/>
      <c r="LA2909" s="37"/>
      <c r="LB2909" s="37"/>
      <c r="LC2909" s="37"/>
      <c r="LD2909" s="37"/>
      <c r="LE2909" s="37"/>
      <c r="LF2909" s="37"/>
      <c r="LG2909" s="37"/>
      <c r="LH2909" s="37"/>
      <c r="LI2909" s="37"/>
      <c r="LJ2909" s="37"/>
      <c r="LK2909" s="37"/>
      <c r="LL2909" s="37"/>
      <c r="LM2909" s="37"/>
      <c r="LN2909" s="37"/>
      <c r="LO2909" s="37"/>
      <c r="LP2909" s="37"/>
      <c r="LQ2909" s="37"/>
      <c r="LR2909" s="37"/>
      <c r="LS2909" s="37"/>
      <c r="LT2909" s="37"/>
      <c r="LU2909" s="37"/>
      <c r="LV2909" s="37"/>
      <c r="LW2909" s="37"/>
      <c r="LX2909" s="37"/>
      <c r="LY2909" s="37"/>
      <c r="LZ2909" s="37"/>
      <c r="MA2909" s="37"/>
      <c r="MB2909" s="37"/>
      <c r="MC2909" s="37"/>
      <c r="MD2909" s="37"/>
      <c r="ME2909" s="37"/>
      <c r="MF2909" s="37"/>
      <c r="MG2909" s="37"/>
      <c r="MH2909" s="37"/>
      <c r="MI2909" s="37"/>
      <c r="MJ2909" s="37"/>
      <c r="MK2909" s="37"/>
      <c r="ML2909" s="37"/>
      <c r="MM2909" s="37"/>
      <c r="MN2909" s="37"/>
      <c r="MO2909" s="37"/>
      <c r="MP2909" s="37"/>
      <c r="MQ2909" s="37"/>
      <c r="MR2909" s="37"/>
      <c r="MS2909" s="37"/>
      <c r="MT2909" s="37"/>
      <c r="MU2909" s="37"/>
      <c r="MV2909" s="37"/>
      <c r="MW2909" s="37"/>
      <c r="MX2909" s="37"/>
      <c r="MY2909" s="37"/>
      <c r="MZ2909" s="37"/>
      <c r="NA2909" s="37"/>
      <c r="NB2909" s="37"/>
      <c r="NC2909" s="37"/>
      <c r="ND2909" s="37"/>
      <c r="NE2909" s="37"/>
      <c r="NF2909" s="37"/>
      <c r="NG2909" s="37"/>
      <c r="NH2909" s="37"/>
      <c r="NI2909" s="37"/>
      <c r="NJ2909" s="37"/>
      <c r="NK2909" s="37"/>
      <c r="NL2909" s="37"/>
      <c r="NM2909" s="37"/>
      <c r="NN2909" s="37"/>
      <c r="NO2909" s="37"/>
      <c r="NP2909" s="37"/>
      <c r="NQ2909" s="37"/>
      <c r="NR2909" s="37"/>
      <c r="NS2909" s="37"/>
      <c r="NT2909" s="37"/>
      <c r="NU2909" s="37"/>
      <c r="NV2909" s="37"/>
      <c r="NW2909" s="37"/>
      <c r="NX2909" s="37"/>
      <c r="NY2909" s="37"/>
      <c r="NZ2909" s="37"/>
      <c r="OA2909" s="37"/>
      <c r="OB2909" s="37"/>
      <c r="OC2909" s="37"/>
      <c r="OD2909" s="37"/>
      <c r="OE2909" s="37"/>
      <c r="OF2909" s="37"/>
      <c r="OG2909" s="37"/>
      <c r="OH2909" s="37"/>
      <c r="OI2909" s="37"/>
      <c r="OJ2909" s="37"/>
      <c r="OK2909" s="37"/>
      <c r="OL2909" s="37"/>
      <c r="OM2909" s="37"/>
      <c r="ON2909" s="37"/>
      <c r="OO2909" s="37"/>
      <c r="OP2909" s="37"/>
      <c r="OQ2909" s="37"/>
      <c r="OR2909" s="37"/>
      <c r="OS2909" s="37"/>
      <c r="OT2909" s="37"/>
      <c r="OU2909" s="37"/>
      <c r="OV2909" s="37"/>
      <c r="OW2909" s="37"/>
      <c r="OX2909" s="37"/>
      <c r="OY2909" s="37"/>
      <c r="OZ2909" s="37"/>
      <c r="PA2909" s="37"/>
      <c r="PB2909" s="37"/>
      <c r="PC2909" s="37"/>
      <c r="PD2909" s="37"/>
      <c r="PE2909" s="37"/>
      <c r="PF2909" s="37"/>
      <c r="PG2909" s="37"/>
      <c r="PH2909" s="37"/>
      <c r="PI2909" s="37"/>
      <c r="PJ2909" s="37"/>
      <c r="PK2909" s="37"/>
      <c r="PL2909" s="37"/>
      <c r="PM2909" s="37"/>
      <c r="PN2909" s="37"/>
      <c r="PO2909" s="37"/>
      <c r="PP2909" s="37"/>
      <c r="PQ2909" s="37"/>
      <c r="PR2909" s="37"/>
      <c r="PS2909" s="37"/>
      <c r="PT2909" s="37"/>
      <c r="PU2909" s="37"/>
      <c r="PV2909" s="37"/>
      <c r="PW2909" s="37"/>
      <c r="PX2909" s="37"/>
      <c r="PY2909" s="37"/>
      <c r="PZ2909" s="37"/>
      <c r="QA2909" s="37"/>
      <c r="QB2909" s="37"/>
      <c r="QC2909" s="37"/>
      <c r="QD2909" s="37"/>
      <c r="QE2909" s="37"/>
      <c r="QF2909" s="37"/>
      <c r="QG2909" s="37"/>
      <c r="QH2909" s="37"/>
      <c r="QI2909" s="37"/>
      <c r="QJ2909" s="37"/>
      <c r="QK2909" s="37"/>
      <c r="QL2909" s="37"/>
      <c r="QM2909" s="37"/>
      <c r="QN2909" s="37"/>
      <c r="QO2909" s="37"/>
      <c r="QP2909" s="37"/>
      <c r="QQ2909" s="37"/>
      <c r="QR2909" s="37"/>
      <c r="QS2909" s="37"/>
      <c r="QT2909" s="37"/>
      <c r="QU2909" s="37"/>
      <c r="QV2909" s="37"/>
      <c r="QW2909" s="37"/>
      <c r="QX2909" s="37"/>
      <c r="QY2909" s="37"/>
      <c r="QZ2909" s="37"/>
      <c r="RA2909" s="37"/>
      <c r="RB2909" s="37"/>
      <c r="RC2909" s="37"/>
      <c r="RD2909" s="37"/>
      <c r="RE2909" s="37"/>
      <c r="RF2909" s="37"/>
      <c r="RG2909" s="37"/>
      <c r="RH2909" s="37"/>
      <c r="RI2909" s="37"/>
      <c r="RJ2909" s="37"/>
      <c r="RK2909" s="37"/>
      <c r="RL2909" s="37"/>
      <c r="RM2909" s="37"/>
      <c r="RN2909" s="37"/>
      <c r="RO2909" s="37"/>
      <c r="RP2909" s="37"/>
      <c r="RQ2909" s="37"/>
      <c r="RR2909" s="37"/>
      <c r="RS2909" s="37"/>
      <c r="RT2909" s="37"/>
      <c r="RU2909" s="37"/>
      <c r="RV2909" s="37"/>
      <c r="RW2909" s="37"/>
      <c r="RX2909" s="37"/>
      <c r="RY2909" s="37"/>
      <c r="RZ2909" s="37"/>
      <c r="SA2909" s="37"/>
      <c r="SB2909" s="37"/>
      <c r="SC2909" s="37"/>
      <c r="SD2909" s="37"/>
      <c r="SE2909" s="37"/>
      <c r="SF2909" s="37"/>
    </row>
    <row r="2910" spans="1:500">
      <c r="A2910" s="37"/>
      <c r="B2910" s="37"/>
      <c r="C2910" s="37"/>
      <c r="D2910" s="37"/>
      <c r="E2910" s="37"/>
      <c r="F2910" s="37"/>
      <c r="G2910" s="37"/>
      <c r="H2910" s="37"/>
      <c r="I2910" s="37"/>
      <c r="J2910" s="37"/>
      <c r="K2910" s="37"/>
      <c r="L2910" s="37"/>
      <c r="M2910" s="37"/>
      <c r="N2910" s="37"/>
      <c r="O2910" s="37"/>
      <c r="P2910" s="37"/>
      <c r="Q2910" s="37"/>
      <c r="R2910" s="37"/>
      <c r="S2910" s="37"/>
      <c r="T2910" s="37"/>
      <c r="U2910" s="37"/>
      <c r="V2910" s="37"/>
      <c r="W2910" s="37"/>
      <c r="X2910" s="37"/>
      <c r="Y2910" s="37"/>
      <c r="Z2910" s="37"/>
      <c r="AA2910" s="37"/>
      <c r="AB2910" s="37"/>
      <c r="AC2910" s="37"/>
      <c r="AD2910" s="37"/>
      <c r="AE2910" s="37"/>
      <c r="AF2910" s="37"/>
      <c r="AG2910" s="37"/>
      <c r="AH2910" s="37"/>
      <c r="AI2910" s="37"/>
      <c r="AJ2910" s="37"/>
      <c r="AK2910" s="37"/>
      <c r="AL2910" s="37"/>
      <c r="AM2910" s="37"/>
      <c r="AN2910" s="37"/>
      <c r="AO2910" s="37"/>
      <c r="AP2910" s="37"/>
      <c r="AQ2910" s="37"/>
      <c r="AR2910" s="37"/>
      <c r="AS2910" s="37"/>
      <c r="AT2910" s="37"/>
      <c r="AU2910" s="37"/>
      <c r="AV2910" s="37"/>
      <c r="AW2910" s="37"/>
      <c r="AX2910" s="37"/>
      <c r="AY2910" s="37"/>
      <c r="AZ2910" s="37"/>
      <c r="BA2910" s="37"/>
      <c r="BB2910" s="37"/>
      <c r="BC2910" s="37"/>
      <c r="BD2910" s="37"/>
      <c r="BE2910" s="37"/>
      <c r="BF2910" s="37"/>
      <c r="BG2910" s="37"/>
      <c r="BH2910" s="37"/>
      <c r="BI2910" s="37"/>
      <c r="BJ2910" s="37"/>
      <c r="BK2910" s="37"/>
      <c r="BL2910" s="37"/>
      <c r="BM2910" s="37"/>
      <c r="BN2910" s="37"/>
      <c r="BO2910" s="37"/>
      <c r="BP2910" s="37"/>
      <c r="BQ2910" s="37"/>
      <c r="BR2910" s="37"/>
      <c r="BS2910" s="37"/>
      <c r="BT2910" s="37"/>
      <c r="BU2910" s="37"/>
      <c r="BV2910" s="37"/>
      <c r="BW2910" s="37"/>
      <c r="BX2910" s="37"/>
      <c r="BY2910" s="37"/>
      <c r="BZ2910" s="37"/>
      <c r="CA2910" s="37"/>
      <c r="CB2910" s="37"/>
      <c r="CC2910" s="37"/>
      <c r="CD2910" s="37"/>
      <c r="CE2910" s="37"/>
      <c r="CF2910" s="37"/>
      <c r="CG2910" s="37"/>
      <c r="CH2910" s="37"/>
      <c r="CI2910" s="37"/>
      <c r="CJ2910" s="37"/>
      <c r="CK2910" s="37"/>
      <c r="CL2910" s="37"/>
      <c r="CM2910" s="37"/>
      <c r="CN2910" s="37"/>
      <c r="CO2910" s="37"/>
      <c r="CP2910" s="37"/>
      <c r="CQ2910" s="37"/>
      <c r="CR2910" s="37"/>
      <c r="CS2910" s="37"/>
      <c r="CT2910" s="37"/>
      <c r="CU2910" s="37"/>
      <c r="CV2910" s="37"/>
      <c r="CW2910" s="37"/>
      <c r="CX2910" s="37"/>
      <c r="CY2910" s="37"/>
      <c r="CZ2910" s="37"/>
      <c r="DA2910" s="37"/>
      <c r="DB2910" s="37"/>
      <c r="DC2910" s="37"/>
      <c r="DD2910" s="37"/>
      <c r="DE2910" s="37"/>
      <c r="DF2910" s="37"/>
      <c r="DG2910" s="37"/>
      <c r="DH2910" s="37"/>
      <c r="DI2910" s="37"/>
      <c r="DJ2910" s="37"/>
      <c r="DK2910" s="37"/>
      <c r="DL2910" s="37"/>
      <c r="DM2910" s="37"/>
      <c r="DN2910" s="37"/>
      <c r="DO2910" s="37"/>
      <c r="DP2910" s="37"/>
      <c r="DQ2910" s="37"/>
      <c r="DR2910" s="37"/>
      <c r="DS2910" s="37"/>
      <c r="DT2910" s="37"/>
      <c r="DU2910" s="37"/>
      <c r="DV2910" s="37"/>
      <c r="DW2910" s="37"/>
      <c r="DX2910" s="37"/>
      <c r="DY2910" s="37"/>
      <c r="DZ2910" s="37"/>
      <c r="EA2910" s="37"/>
      <c r="EB2910" s="37"/>
      <c r="EC2910" s="37"/>
      <c r="ED2910" s="37"/>
      <c r="EE2910" s="37"/>
      <c r="EF2910" s="37"/>
      <c r="EG2910" s="37"/>
      <c r="EH2910" s="37"/>
      <c r="EI2910" s="37"/>
      <c r="EJ2910" s="37"/>
      <c r="EK2910" s="37"/>
      <c r="EL2910" s="37"/>
      <c r="EM2910" s="37"/>
      <c r="EN2910" s="37"/>
      <c r="EO2910" s="37"/>
      <c r="EP2910" s="37"/>
      <c r="EQ2910" s="37"/>
      <c r="ER2910" s="37"/>
      <c r="ES2910" s="37"/>
      <c r="ET2910" s="37"/>
      <c r="EU2910" s="37"/>
      <c r="EV2910" s="37"/>
      <c r="EW2910" s="37"/>
      <c r="EX2910" s="37"/>
      <c r="EY2910" s="37"/>
      <c r="EZ2910" s="37"/>
      <c r="FA2910" s="37"/>
      <c r="FB2910" s="37"/>
      <c r="FC2910" s="37"/>
      <c r="FD2910" s="37"/>
      <c r="FE2910" s="37"/>
      <c r="FF2910" s="37"/>
      <c r="FG2910" s="37"/>
      <c r="FH2910" s="37"/>
      <c r="FI2910" s="37"/>
      <c r="FJ2910" s="37"/>
      <c r="FK2910" s="37"/>
      <c r="FL2910" s="37"/>
      <c r="FM2910" s="37"/>
      <c r="FN2910" s="37"/>
      <c r="FO2910" s="37"/>
      <c r="FP2910" s="37"/>
      <c r="FQ2910" s="37"/>
      <c r="FR2910" s="37"/>
      <c r="FS2910" s="37"/>
      <c r="FT2910" s="37"/>
      <c r="FU2910" s="37"/>
      <c r="FV2910" s="37"/>
      <c r="FW2910" s="37"/>
      <c r="FX2910" s="37"/>
      <c r="FY2910" s="37"/>
      <c r="FZ2910" s="37"/>
      <c r="GA2910" s="37"/>
      <c r="GB2910" s="37"/>
      <c r="GC2910" s="37"/>
      <c r="GD2910" s="37"/>
      <c r="GE2910" s="37"/>
      <c r="GF2910" s="37"/>
      <c r="GG2910" s="37"/>
      <c r="GH2910" s="37"/>
      <c r="GI2910" s="37"/>
      <c r="GJ2910" s="37"/>
      <c r="GK2910" s="37"/>
      <c r="GL2910" s="37"/>
      <c r="GM2910" s="37"/>
      <c r="GN2910" s="37"/>
      <c r="GO2910" s="37"/>
      <c r="GP2910" s="37"/>
      <c r="GQ2910" s="37"/>
      <c r="GR2910" s="37"/>
      <c r="GS2910" s="37"/>
      <c r="GT2910" s="37"/>
      <c r="GU2910" s="37"/>
      <c r="GV2910" s="37"/>
      <c r="GW2910" s="37"/>
      <c r="GX2910" s="37"/>
      <c r="GY2910" s="37"/>
      <c r="GZ2910" s="37"/>
      <c r="HA2910" s="37"/>
      <c r="HB2910" s="37"/>
      <c r="HC2910" s="37"/>
      <c r="HD2910" s="37"/>
      <c r="HE2910" s="37"/>
      <c r="HF2910" s="37"/>
      <c r="HG2910" s="37"/>
      <c r="HH2910" s="37"/>
      <c r="HI2910" s="37"/>
      <c r="HJ2910" s="37"/>
      <c r="HK2910" s="37"/>
      <c r="HL2910" s="37"/>
      <c r="HM2910" s="37"/>
      <c r="HN2910" s="37"/>
      <c r="HO2910" s="37"/>
      <c r="HP2910" s="37"/>
      <c r="HQ2910" s="37"/>
      <c r="HR2910" s="37"/>
      <c r="HS2910" s="37"/>
      <c r="HT2910" s="37"/>
      <c r="HU2910" s="37"/>
      <c r="HV2910" s="37"/>
      <c r="HW2910" s="37"/>
      <c r="HX2910" s="37"/>
      <c r="HY2910" s="37"/>
      <c r="HZ2910" s="37"/>
      <c r="IA2910" s="37"/>
      <c r="IB2910" s="37"/>
      <c r="IC2910" s="37"/>
      <c r="ID2910" s="37"/>
      <c r="IE2910" s="37"/>
      <c r="IF2910" s="37"/>
      <c r="IG2910" s="37"/>
      <c r="IH2910" s="37"/>
      <c r="II2910" s="37"/>
      <c r="IJ2910" s="37"/>
      <c r="IK2910" s="37"/>
      <c r="IL2910" s="37"/>
      <c r="IM2910" s="37"/>
      <c r="IN2910" s="37"/>
      <c r="IO2910" s="37"/>
      <c r="IP2910" s="37"/>
      <c r="IQ2910" s="37"/>
      <c r="IR2910" s="37"/>
      <c r="IS2910" s="37"/>
      <c r="IT2910" s="37"/>
      <c r="IU2910" s="37"/>
      <c r="IV2910" s="37"/>
      <c r="IW2910" s="37"/>
      <c r="IX2910" s="37"/>
      <c r="IY2910" s="37"/>
      <c r="IZ2910" s="37"/>
      <c r="JA2910" s="37"/>
      <c r="JB2910" s="37"/>
      <c r="JC2910" s="37"/>
      <c r="JD2910" s="37"/>
      <c r="JE2910" s="37"/>
      <c r="JF2910" s="37"/>
      <c r="JG2910" s="37"/>
      <c r="JH2910" s="37"/>
      <c r="JI2910" s="37"/>
      <c r="JJ2910" s="37"/>
      <c r="JK2910" s="37"/>
      <c r="JL2910" s="37"/>
      <c r="JM2910" s="37"/>
      <c r="JN2910" s="37"/>
      <c r="JO2910" s="37"/>
      <c r="JP2910" s="37"/>
      <c r="JQ2910" s="37"/>
      <c r="JR2910" s="37"/>
      <c r="JS2910" s="37"/>
      <c r="JT2910" s="37"/>
      <c r="JU2910" s="37"/>
      <c r="JV2910" s="37"/>
      <c r="JW2910" s="37"/>
      <c r="JX2910" s="37"/>
      <c r="JY2910" s="37"/>
      <c r="JZ2910" s="37"/>
      <c r="KA2910" s="37"/>
      <c r="KB2910" s="37"/>
      <c r="KC2910" s="37"/>
      <c r="KD2910" s="37"/>
      <c r="KE2910" s="37"/>
      <c r="KF2910" s="37"/>
      <c r="KG2910" s="37"/>
      <c r="KH2910" s="37"/>
      <c r="KI2910" s="37"/>
      <c r="KJ2910" s="37"/>
      <c r="KK2910" s="37"/>
      <c r="KL2910" s="37"/>
      <c r="KM2910" s="37"/>
      <c r="KN2910" s="37"/>
      <c r="KO2910" s="37"/>
      <c r="KP2910" s="37"/>
      <c r="KQ2910" s="37"/>
      <c r="KR2910" s="37"/>
      <c r="KS2910" s="37"/>
      <c r="KT2910" s="37"/>
      <c r="KU2910" s="37"/>
      <c r="KV2910" s="37"/>
      <c r="KW2910" s="37"/>
      <c r="KX2910" s="37"/>
      <c r="KY2910" s="37"/>
      <c r="KZ2910" s="37"/>
      <c r="LA2910" s="37"/>
      <c r="LB2910" s="37"/>
      <c r="LC2910" s="37"/>
      <c r="LD2910" s="37"/>
      <c r="LE2910" s="37"/>
      <c r="LF2910" s="37"/>
      <c r="LG2910" s="37"/>
      <c r="LH2910" s="37"/>
      <c r="LI2910" s="37"/>
      <c r="LJ2910" s="37"/>
      <c r="LK2910" s="37"/>
      <c r="LL2910" s="37"/>
      <c r="LM2910" s="37"/>
      <c r="LN2910" s="37"/>
      <c r="LO2910" s="37"/>
      <c r="LP2910" s="37"/>
      <c r="LQ2910" s="37"/>
      <c r="LR2910" s="37"/>
      <c r="LS2910" s="37"/>
      <c r="LT2910" s="37"/>
      <c r="LU2910" s="37"/>
      <c r="LV2910" s="37"/>
      <c r="LW2910" s="37"/>
      <c r="LX2910" s="37"/>
      <c r="LY2910" s="37"/>
      <c r="LZ2910" s="37"/>
      <c r="MA2910" s="37"/>
      <c r="MB2910" s="37"/>
      <c r="MC2910" s="37"/>
      <c r="MD2910" s="37"/>
      <c r="ME2910" s="37"/>
      <c r="MF2910" s="37"/>
      <c r="MG2910" s="37"/>
      <c r="MH2910" s="37"/>
      <c r="MI2910" s="37"/>
      <c r="MJ2910" s="37"/>
      <c r="MK2910" s="37"/>
      <c r="ML2910" s="37"/>
      <c r="MM2910" s="37"/>
      <c r="MN2910" s="37"/>
      <c r="MO2910" s="37"/>
      <c r="MP2910" s="37"/>
      <c r="MQ2910" s="37"/>
      <c r="MR2910" s="37"/>
      <c r="MS2910" s="37"/>
      <c r="MT2910" s="37"/>
      <c r="MU2910" s="37"/>
      <c r="MV2910" s="37"/>
      <c r="MW2910" s="37"/>
      <c r="MX2910" s="37"/>
      <c r="MY2910" s="37"/>
      <c r="MZ2910" s="37"/>
      <c r="NA2910" s="37"/>
      <c r="NB2910" s="37"/>
      <c r="NC2910" s="37"/>
      <c r="ND2910" s="37"/>
      <c r="NE2910" s="37"/>
      <c r="NF2910" s="37"/>
      <c r="NG2910" s="37"/>
      <c r="NH2910" s="37"/>
      <c r="NI2910" s="37"/>
      <c r="NJ2910" s="37"/>
      <c r="NK2910" s="37"/>
      <c r="NL2910" s="37"/>
      <c r="NM2910" s="37"/>
      <c r="NN2910" s="37"/>
      <c r="NO2910" s="37"/>
      <c r="NP2910" s="37"/>
      <c r="NQ2910" s="37"/>
      <c r="NR2910" s="37"/>
      <c r="NS2910" s="37"/>
      <c r="NT2910" s="37"/>
      <c r="NU2910" s="37"/>
      <c r="NV2910" s="37"/>
      <c r="NW2910" s="37"/>
      <c r="NX2910" s="37"/>
      <c r="NY2910" s="37"/>
      <c r="NZ2910" s="37"/>
      <c r="OA2910" s="37"/>
      <c r="OB2910" s="37"/>
      <c r="OC2910" s="37"/>
      <c r="OD2910" s="37"/>
      <c r="OE2910" s="37"/>
      <c r="OF2910" s="37"/>
      <c r="OG2910" s="37"/>
      <c r="OH2910" s="37"/>
      <c r="OI2910" s="37"/>
      <c r="OJ2910" s="37"/>
      <c r="OK2910" s="37"/>
      <c r="OL2910" s="37"/>
      <c r="OM2910" s="37"/>
      <c r="ON2910" s="37"/>
      <c r="OO2910" s="37"/>
      <c r="OP2910" s="37"/>
      <c r="OQ2910" s="37"/>
      <c r="OR2910" s="37"/>
      <c r="OS2910" s="37"/>
      <c r="OT2910" s="37"/>
      <c r="OU2910" s="37"/>
      <c r="OV2910" s="37"/>
      <c r="OW2910" s="37"/>
      <c r="OX2910" s="37"/>
      <c r="OY2910" s="37"/>
      <c r="OZ2910" s="37"/>
      <c r="PA2910" s="37"/>
      <c r="PB2910" s="37"/>
      <c r="PC2910" s="37"/>
      <c r="PD2910" s="37"/>
      <c r="PE2910" s="37"/>
      <c r="PF2910" s="37"/>
      <c r="PG2910" s="37"/>
      <c r="PH2910" s="37"/>
      <c r="PI2910" s="37"/>
      <c r="PJ2910" s="37"/>
      <c r="PK2910" s="37"/>
      <c r="PL2910" s="37"/>
      <c r="PM2910" s="37"/>
      <c r="PN2910" s="37"/>
      <c r="PO2910" s="37"/>
      <c r="PP2910" s="37"/>
      <c r="PQ2910" s="37"/>
      <c r="PR2910" s="37"/>
      <c r="PS2910" s="37"/>
      <c r="PT2910" s="37"/>
      <c r="PU2910" s="37"/>
      <c r="PV2910" s="37"/>
      <c r="PW2910" s="37"/>
      <c r="PX2910" s="37"/>
      <c r="PY2910" s="37"/>
      <c r="PZ2910" s="37"/>
      <c r="QA2910" s="37"/>
      <c r="QB2910" s="37"/>
      <c r="QC2910" s="37"/>
      <c r="QD2910" s="37"/>
      <c r="QE2910" s="37"/>
      <c r="QF2910" s="37"/>
      <c r="QG2910" s="37"/>
      <c r="QH2910" s="37"/>
      <c r="QI2910" s="37"/>
      <c r="QJ2910" s="37"/>
      <c r="QK2910" s="37"/>
      <c r="QL2910" s="37"/>
      <c r="QM2910" s="37"/>
      <c r="QN2910" s="37"/>
      <c r="QO2910" s="37"/>
      <c r="QP2910" s="37"/>
      <c r="QQ2910" s="37"/>
      <c r="QR2910" s="37"/>
      <c r="QS2910" s="37"/>
      <c r="QT2910" s="37"/>
      <c r="QU2910" s="37"/>
      <c r="QV2910" s="37"/>
      <c r="QW2910" s="37"/>
      <c r="QX2910" s="37"/>
      <c r="QY2910" s="37"/>
      <c r="QZ2910" s="37"/>
      <c r="RA2910" s="37"/>
      <c r="RB2910" s="37"/>
      <c r="RC2910" s="37"/>
      <c r="RD2910" s="37"/>
      <c r="RE2910" s="37"/>
      <c r="RF2910" s="37"/>
      <c r="RG2910" s="37"/>
      <c r="RH2910" s="37"/>
      <c r="RI2910" s="37"/>
      <c r="RJ2910" s="37"/>
      <c r="RK2910" s="37"/>
      <c r="RL2910" s="37"/>
      <c r="RM2910" s="37"/>
      <c r="RN2910" s="37"/>
      <c r="RO2910" s="37"/>
      <c r="RP2910" s="37"/>
      <c r="RQ2910" s="37"/>
      <c r="RR2910" s="37"/>
      <c r="RS2910" s="37"/>
      <c r="RT2910" s="37"/>
      <c r="RU2910" s="37"/>
      <c r="RV2910" s="37"/>
      <c r="RW2910" s="37"/>
      <c r="RX2910" s="37"/>
      <c r="RY2910" s="37"/>
      <c r="RZ2910" s="37"/>
      <c r="SA2910" s="37"/>
      <c r="SB2910" s="37"/>
      <c r="SC2910" s="37"/>
      <c r="SD2910" s="37"/>
      <c r="SE2910" s="37"/>
      <c r="SF2910" s="37"/>
    </row>
    <row r="2911" spans="1:500">
      <c r="A2911" s="37"/>
      <c r="B2911" s="37"/>
      <c r="C2911" s="37"/>
      <c r="D2911" s="37"/>
      <c r="E2911" s="37"/>
      <c r="F2911" s="37"/>
      <c r="G2911" s="37"/>
      <c r="H2911" s="37"/>
      <c r="I2911" s="37"/>
      <c r="J2911" s="37"/>
      <c r="K2911" s="37"/>
      <c r="L2911" s="37"/>
      <c r="M2911" s="37"/>
      <c r="N2911" s="37"/>
      <c r="O2911" s="37"/>
      <c r="P2911" s="37"/>
      <c r="Q2911" s="37"/>
      <c r="R2911" s="37"/>
      <c r="S2911" s="37"/>
      <c r="T2911" s="37"/>
      <c r="U2911" s="37"/>
      <c r="V2911" s="37"/>
      <c r="W2911" s="37"/>
      <c r="X2911" s="37"/>
      <c r="Y2911" s="37"/>
      <c r="Z2911" s="37"/>
      <c r="AA2911" s="37"/>
      <c r="AB2911" s="37"/>
      <c r="AC2911" s="37"/>
      <c r="AD2911" s="37"/>
      <c r="AE2911" s="37"/>
      <c r="AF2911" s="37"/>
      <c r="AG2911" s="37"/>
      <c r="AH2911" s="37"/>
      <c r="AI2911" s="37"/>
      <c r="AJ2911" s="37"/>
      <c r="AK2911" s="37"/>
      <c r="AL2911" s="37"/>
      <c r="AM2911" s="37"/>
      <c r="AN2911" s="37"/>
      <c r="AO2911" s="37"/>
      <c r="AP2911" s="37"/>
      <c r="AQ2911" s="37"/>
      <c r="AR2911" s="37"/>
      <c r="AS2911" s="37"/>
      <c r="AT2911" s="37"/>
      <c r="AU2911" s="37"/>
      <c r="AV2911" s="37"/>
      <c r="AW2911" s="37"/>
      <c r="AX2911" s="37"/>
      <c r="AY2911" s="37"/>
      <c r="AZ2911" s="37"/>
      <c r="BA2911" s="37"/>
      <c r="BB2911" s="37"/>
      <c r="BC2911" s="37"/>
      <c r="BD2911" s="37"/>
      <c r="BE2911" s="37"/>
      <c r="BF2911" s="37"/>
      <c r="BG2911" s="37"/>
      <c r="BH2911" s="37"/>
      <c r="BI2911" s="37"/>
      <c r="BJ2911" s="37"/>
      <c r="BK2911" s="37"/>
      <c r="BL2911" s="37"/>
      <c r="BM2911" s="37"/>
      <c r="BN2911" s="37"/>
      <c r="BO2911" s="37"/>
      <c r="BP2911" s="37"/>
      <c r="BQ2911" s="37"/>
      <c r="BR2911" s="37"/>
      <c r="BS2911" s="37"/>
      <c r="BT2911" s="37"/>
      <c r="BU2911" s="37"/>
      <c r="BV2911" s="37"/>
      <c r="BW2911" s="37"/>
      <c r="BX2911" s="37"/>
      <c r="BY2911" s="37"/>
      <c r="BZ2911" s="37"/>
      <c r="CA2911" s="37"/>
      <c r="CB2911" s="37"/>
      <c r="CC2911" s="37"/>
      <c r="CD2911" s="37"/>
      <c r="CE2911" s="37"/>
      <c r="CF2911" s="37"/>
      <c r="CG2911" s="37"/>
      <c r="CH2911" s="37"/>
      <c r="CI2911" s="37"/>
      <c r="CJ2911" s="37"/>
      <c r="CK2911" s="37"/>
      <c r="CL2911" s="37"/>
      <c r="CM2911" s="37"/>
      <c r="CN2911" s="37"/>
      <c r="CO2911" s="37"/>
      <c r="CP2911" s="37"/>
      <c r="CQ2911" s="37"/>
      <c r="CR2911" s="37"/>
      <c r="CS2911" s="37"/>
      <c r="CT2911" s="37"/>
      <c r="CU2911" s="37"/>
      <c r="CV2911" s="37"/>
      <c r="CW2911" s="37"/>
      <c r="CX2911" s="37"/>
      <c r="CY2911" s="37"/>
      <c r="CZ2911" s="37"/>
      <c r="DA2911" s="37"/>
      <c r="DB2911" s="37"/>
      <c r="DC2911" s="37"/>
      <c r="DD2911" s="37"/>
      <c r="DE2911" s="37"/>
      <c r="DF2911" s="37"/>
      <c r="DG2911" s="37"/>
      <c r="DH2911" s="37"/>
      <c r="DI2911" s="37"/>
      <c r="DJ2911" s="37"/>
      <c r="DK2911" s="37"/>
      <c r="DL2911" s="37"/>
      <c r="DM2911" s="37"/>
      <c r="DN2911" s="37"/>
      <c r="DO2911" s="37"/>
      <c r="DP2911" s="37"/>
      <c r="DQ2911" s="37"/>
      <c r="DR2911" s="37"/>
      <c r="DS2911" s="37"/>
      <c r="DT2911" s="37"/>
      <c r="DU2911" s="37"/>
      <c r="DV2911" s="37"/>
      <c r="DW2911" s="37"/>
      <c r="DX2911" s="37"/>
      <c r="DY2911" s="37"/>
      <c r="DZ2911" s="37"/>
      <c r="EA2911" s="37"/>
      <c r="EB2911" s="37"/>
      <c r="EC2911" s="37"/>
      <c r="ED2911" s="37"/>
      <c r="EE2911" s="37"/>
      <c r="EF2911" s="37"/>
      <c r="EG2911" s="37"/>
      <c r="EH2911" s="37"/>
      <c r="EI2911" s="37"/>
      <c r="EJ2911" s="37"/>
      <c r="EK2911" s="37"/>
      <c r="EL2911" s="37"/>
      <c r="EM2911" s="37"/>
      <c r="EN2911" s="37"/>
      <c r="EO2911" s="37"/>
      <c r="EP2911" s="37"/>
      <c r="EQ2911" s="37"/>
      <c r="ER2911" s="37"/>
      <c r="ES2911" s="37"/>
      <c r="ET2911" s="37"/>
      <c r="EU2911" s="37"/>
      <c r="EV2911" s="37"/>
      <c r="EW2911" s="37"/>
      <c r="EX2911" s="37"/>
      <c r="EY2911" s="37"/>
      <c r="EZ2911" s="37"/>
      <c r="FA2911" s="37"/>
      <c r="FB2911" s="37"/>
      <c r="FC2911" s="37"/>
      <c r="FD2911" s="37"/>
      <c r="FE2911" s="37"/>
      <c r="FF2911" s="37"/>
      <c r="FG2911" s="37"/>
      <c r="FH2911" s="37"/>
      <c r="FI2911" s="37"/>
      <c r="FJ2911" s="37"/>
      <c r="FK2911" s="37"/>
      <c r="FL2911" s="37"/>
      <c r="FM2911" s="37"/>
      <c r="FN2911" s="37"/>
      <c r="FO2911" s="37"/>
      <c r="FP2911" s="37"/>
      <c r="FQ2911" s="37"/>
      <c r="FR2911" s="37"/>
      <c r="FS2911" s="37"/>
      <c r="FT2911" s="37"/>
      <c r="FU2911" s="37"/>
      <c r="FV2911" s="37"/>
      <c r="FW2911" s="37"/>
      <c r="FX2911" s="37"/>
      <c r="FY2911" s="37"/>
      <c r="FZ2911" s="37"/>
      <c r="GA2911" s="37"/>
      <c r="GB2911" s="37"/>
      <c r="GC2911" s="37"/>
      <c r="GD2911" s="37"/>
      <c r="GE2911" s="37"/>
      <c r="GF2911" s="37"/>
      <c r="GG2911" s="37"/>
      <c r="GH2911" s="37"/>
      <c r="GI2911" s="37"/>
      <c r="GJ2911" s="37"/>
      <c r="GK2911" s="37"/>
      <c r="GL2911" s="37"/>
      <c r="GM2911" s="37"/>
      <c r="GN2911" s="37"/>
      <c r="GO2911" s="37"/>
      <c r="GP2911" s="37"/>
      <c r="GQ2911" s="37"/>
      <c r="GR2911" s="37"/>
      <c r="GS2911" s="37"/>
      <c r="GT2911" s="37"/>
      <c r="GU2911" s="37"/>
      <c r="GV2911" s="37"/>
      <c r="GW2911" s="37"/>
      <c r="GX2911" s="37"/>
      <c r="GY2911" s="37"/>
      <c r="GZ2911" s="37"/>
      <c r="HA2911" s="37"/>
      <c r="HB2911" s="37"/>
      <c r="HC2911" s="37"/>
      <c r="HD2911" s="37"/>
      <c r="HE2911" s="37"/>
      <c r="HF2911" s="37"/>
      <c r="HG2911" s="37"/>
      <c r="HH2911" s="37"/>
      <c r="HI2911" s="37"/>
      <c r="HJ2911" s="37"/>
      <c r="HK2911" s="37"/>
      <c r="HL2911" s="37"/>
      <c r="HM2911" s="37"/>
      <c r="HN2911" s="37"/>
      <c r="HO2911" s="37"/>
      <c r="HP2911" s="37"/>
      <c r="HQ2911" s="37"/>
      <c r="HR2911" s="37"/>
      <c r="HS2911" s="37"/>
      <c r="HT2911" s="37"/>
      <c r="HU2911" s="37"/>
      <c r="HV2911" s="37"/>
      <c r="HW2911" s="37"/>
      <c r="HX2911" s="37"/>
      <c r="HY2911" s="37"/>
      <c r="HZ2911" s="37"/>
      <c r="IA2911" s="37"/>
      <c r="IB2911" s="37"/>
      <c r="IC2911" s="37"/>
      <c r="ID2911" s="37"/>
      <c r="IE2911" s="37"/>
      <c r="IF2911" s="37"/>
      <c r="IG2911" s="37"/>
      <c r="IH2911" s="37"/>
      <c r="II2911" s="37"/>
      <c r="IJ2911" s="37"/>
      <c r="IK2911" s="37"/>
      <c r="IL2911" s="37"/>
      <c r="IM2911" s="37"/>
      <c r="IN2911" s="37"/>
      <c r="IO2911" s="37"/>
      <c r="IP2911" s="37"/>
      <c r="IQ2911" s="37"/>
      <c r="IR2911" s="37"/>
      <c r="IS2911" s="37"/>
      <c r="IT2911" s="37"/>
      <c r="IU2911" s="37"/>
      <c r="IV2911" s="37"/>
      <c r="IW2911" s="37"/>
      <c r="IX2911" s="37"/>
      <c r="IY2911" s="37"/>
      <c r="IZ2911" s="37"/>
      <c r="JA2911" s="37"/>
      <c r="JB2911" s="37"/>
      <c r="JC2911" s="37"/>
      <c r="JD2911" s="37"/>
      <c r="JE2911" s="37"/>
      <c r="JF2911" s="37"/>
      <c r="JG2911" s="37"/>
      <c r="JH2911" s="37"/>
      <c r="JI2911" s="37"/>
      <c r="JJ2911" s="37"/>
      <c r="JK2911" s="37"/>
      <c r="JL2911" s="37"/>
      <c r="JM2911" s="37"/>
      <c r="JN2911" s="37"/>
      <c r="JO2911" s="37"/>
      <c r="JP2911" s="37"/>
      <c r="JQ2911" s="37"/>
      <c r="JR2911" s="37"/>
      <c r="JS2911" s="37"/>
      <c r="JT2911" s="37"/>
      <c r="JU2911" s="37"/>
      <c r="JV2911" s="37"/>
      <c r="JW2911" s="37"/>
      <c r="JX2911" s="37"/>
      <c r="JY2911" s="37"/>
      <c r="JZ2911" s="37"/>
      <c r="KA2911" s="37"/>
      <c r="KB2911" s="37"/>
      <c r="KC2911" s="37"/>
      <c r="KD2911" s="37"/>
      <c r="KE2911" s="37"/>
      <c r="KF2911" s="37"/>
      <c r="KG2911" s="37"/>
      <c r="KH2911" s="37"/>
      <c r="KI2911" s="37"/>
      <c r="KJ2911" s="37"/>
      <c r="KK2911" s="37"/>
      <c r="KL2911" s="37"/>
      <c r="KM2911" s="37"/>
      <c r="KN2911" s="37"/>
      <c r="KO2911" s="37"/>
      <c r="KP2911" s="37"/>
      <c r="KQ2911" s="37"/>
      <c r="KR2911" s="37"/>
      <c r="KS2911" s="37"/>
      <c r="KT2911" s="37"/>
      <c r="KU2911" s="37"/>
      <c r="KV2911" s="37"/>
      <c r="KW2911" s="37"/>
      <c r="KX2911" s="37"/>
      <c r="KY2911" s="37"/>
      <c r="KZ2911" s="37"/>
      <c r="LA2911" s="37"/>
      <c r="LB2911" s="37"/>
      <c r="LC2911" s="37"/>
      <c r="LD2911" s="37"/>
      <c r="LE2911" s="37"/>
      <c r="LF2911" s="37"/>
      <c r="LG2911" s="37"/>
      <c r="LH2911" s="37"/>
      <c r="LI2911" s="37"/>
      <c r="LJ2911" s="37"/>
      <c r="LK2911" s="37"/>
      <c r="LL2911" s="37"/>
      <c r="LM2911" s="37"/>
      <c r="LN2911" s="37"/>
      <c r="LO2911" s="37"/>
      <c r="LP2911" s="37"/>
      <c r="LQ2911" s="37"/>
      <c r="LR2911" s="37"/>
      <c r="LS2911" s="37"/>
      <c r="LT2911" s="37"/>
      <c r="LU2911" s="37"/>
      <c r="LV2911" s="37"/>
      <c r="LW2911" s="37"/>
      <c r="LX2911" s="37"/>
      <c r="LY2911" s="37"/>
      <c r="LZ2911" s="37"/>
      <c r="MA2911" s="37"/>
      <c r="MB2911" s="37"/>
      <c r="MC2911" s="37"/>
      <c r="MD2911" s="37"/>
      <c r="ME2911" s="37"/>
      <c r="MF2911" s="37"/>
      <c r="MG2911" s="37"/>
      <c r="MH2911" s="37"/>
      <c r="MI2911" s="37"/>
      <c r="MJ2911" s="37"/>
      <c r="MK2911" s="37"/>
      <c r="ML2911" s="37"/>
      <c r="MM2911" s="37"/>
      <c r="MN2911" s="37"/>
      <c r="MO2911" s="37"/>
      <c r="MP2911" s="37"/>
      <c r="MQ2911" s="37"/>
      <c r="MR2911" s="37"/>
      <c r="MS2911" s="37"/>
      <c r="MT2911" s="37"/>
      <c r="MU2911" s="37"/>
      <c r="MV2911" s="37"/>
      <c r="MW2911" s="37"/>
      <c r="MX2911" s="37"/>
      <c r="MY2911" s="37"/>
      <c r="MZ2911" s="37"/>
      <c r="NA2911" s="37"/>
      <c r="NB2911" s="37"/>
      <c r="NC2911" s="37"/>
      <c r="ND2911" s="37"/>
      <c r="NE2911" s="37"/>
      <c r="NF2911" s="37"/>
      <c r="NG2911" s="37"/>
      <c r="NH2911" s="37"/>
      <c r="NI2911" s="37"/>
      <c r="NJ2911" s="37"/>
      <c r="NK2911" s="37"/>
      <c r="NL2911" s="37"/>
      <c r="NM2911" s="37"/>
      <c r="NN2911" s="37"/>
      <c r="NO2911" s="37"/>
      <c r="NP2911" s="37"/>
      <c r="NQ2911" s="37"/>
      <c r="NR2911" s="37"/>
      <c r="NS2911" s="37"/>
      <c r="NT2911" s="37"/>
      <c r="NU2911" s="37"/>
      <c r="NV2911" s="37"/>
      <c r="NW2911" s="37"/>
      <c r="NX2911" s="37"/>
      <c r="NY2911" s="37"/>
      <c r="NZ2911" s="37"/>
      <c r="OA2911" s="37"/>
      <c r="OB2911" s="37"/>
      <c r="OC2911" s="37"/>
      <c r="OD2911" s="37"/>
      <c r="OE2911" s="37"/>
      <c r="OF2911" s="37"/>
      <c r="OG2911" s="37"/>
      <c r="OH2911" s="37"/>
      <c r="OI2911" s="37"/>
      <c r="OJ2911" s="37"/>
      <c r="OK2911" s="37"/>
      <c r="OL2911" s="37"/>
      <c r="OM2911" s="37"/>
      <c r="ON2911" s="37"/>
      <c r="OO2911" s="37"/>
      <c r="OP2911" s="37"/>
      <c r="OQ2911" s="37"/>
      <c r="OR2911" s="37"/>
      <c r="OS2911" s="37"/>
      <c r="OT2911" s="37"/>
      <c r="OU2911" s="37"/>
      <c r="OV2911" s="37"/>
      <c r="OW2911" s="37"/>
      <c r="OX2911" s="37"/>
      <c r="OY2911" s="37"/>
      <c r="OZ2911" s="37"/>
      <c r="PA2911" s="37"/>
      <c r="PB2911" s="37"/>
      <c r="PC2911" s="37"/>
      <c r="PD2911" s="37"/>
      <c r="PE2911" s="37"/>
      <c r="PF2911" s="37"/>
      <c r="PG2911" s="37"/>
      <c r="PH2911" s="37"/>
      <c r="PI2911" s="37"/>
      <c r="PJ2911" s="37"/>
      <c r="PK2911" s="37"/>
      <c r="PL2911" s="37"/>
      <c r="PM2911" s="37"/>
      <c r="PN2911" s="37"/>
      <c r="PO2911" s="37"/>
      <c r="PP2911" s="37"/>
      <c r="PQ2911" s="37"/>
      <c r="PR2911" s="37"/>
      <c r="PS2911" s="37"/>
      <c r="PT2911" s="37"/>
      <c r="PU2911" s="37"/>
      <c r="PV2911" s="37"/>
      <c r="PW2911" s="37"/>
      <c r="PX2911" s="37"/>
      <c r="PY2911" s="37"/>
      <c r="PZ2911" s="37"/>
      <c r="QA2911" s="37"/>
      <c r="QB2911" s="37"/>
      <c r="QC2911" s="37"/>
      <c r="QD2911" s="37"/>
      <c r="QE2911" s="37"/>
      <c r="QF2911" s="37"/>
      <c r="QG2911" s="37"/>
      <c r="QH2911" s="37"/>
      <c r="QI2911" s="37"/>
      <c r="QJ2911" s="37"/>
      <c r="QK2911" s="37"/>
      <c r="QL2911" s="37"/>
      <c r="QM2911" s="37"/>
      <c r="QN2911" s="37"/>
      <c r="QO2911" s="37"/>
      <c r="QP2911" s="37"/>
      <c r="QQ2911" s="37"/>
      <c r="QR2911" s="37"/>
      <c r="QS2911" s="37"/>
      <c r="QT2911" s="37"/>
      <c r="QU2911" s="37"/>
      <c r="QV2911" s="37"/>
      <c r="QW2911" s="37"/>
      <c r="QX2911" s="37"/>
      <c r="QY2911" s="37"/>
      <c r="QZ2911" s="37"/>
      <c r="RA2911" s="37"/>
      <c r="RB2911" s="37"/>
      <c r="RC2911" s="37"/>
      <c r="RD2911" s="37"/>
      <c r="RE2911" s="37"/>
      <c r="RF2911" s="37"/>
      <c r="RG2911" s="37"/>
      <c r="RH2911" s="37"/>
      <c r="RI2911" s="37"/>
      <c r="RJ2911" s="37"/>
      <c r="RK2911" s="37"/>
      <c r="RL2911" s="37"/>
      <c r="RM2911" s="37"/>
      <c r="RN2911" s="37"/>
      <c r="RO2911" s="37"/>
      <c r="RP2911" s="37"/>
      <c r="RQ2911" s="37"/>
      <c r="RR2911" s="37"/>
      <c r="RS2911" s="37"/>
      <c r="RT2911" s="37"/>
      <c r="RU2911" s="37"/>
      <c r="RV2911" s="37"/>
      <c r="RW2911" s="37"/>
      <c r="RX2911" s="37"/>
      <c r="RY2911" s="37"/>
      <c r="RZ2911" s="37"/>
      <c r="SA2911" s="37"/>
      <c r="SB2911" s="37"/>
      <c r="SC2911" s="37"/>
      <c r="SD2911" s="37"/>
      <c r="SE2911" s="37"/>
      <c r="SF2911" s="37"/>
    </row>
    <row r="2912" spans="1:500">
      <c r="A2912" s="37"/>
      <c r="B2912" s="37"/>
      <c r="C2912" s="37"/>
      <c r="D2912" s="37"/>
      <c r="E2912" s="37"/>
      <c r="F2912" s="37"/>
      <c r="G2912" s="37"/>
      <c r="H2912" s="37"/>
      <c r="I2912" s="37"/>
      <c r="J2912" s="37"/>
      <c r="K2912" s="37"/>
      <c r="L2912" s="37"/>
      <c r="M2912" s="37"/>
      <c r="N2912" s="37"/>
      <c r="O2912" s="37"/>
      <c r="P2912" s="37"/>
      <c r="Q2912" s="37"/>
      <c r="R2912" s="37"/>
      <c r="S2912" s="37"/>
      <c r="T2912" s="37"/>
      <c r="U2912" s="37"/>
      <c r="V2912" s="37"/>
      <c r="W2912" s="37"/>
      <c r="X2912" s="37"/>
      <c r="Y2912" s="37"/>
      <c r="Z2912" s="37"/>
      <c r="AA2912" s="37"/>
      <c r="AB2912" s="37"/>
      <c r="AC2912" s="37"/>
      <c r="AD2912" s="37"/>
      <c r="AE2912" s="37"/>
      <c r="AF2912" s="37"/>
      <c r="AG2912" s="37"/>
      <c r="AH2912" s="37"/>
      <c r="AI2912" s="37"/>
      <c r="AJ2912" s="37"/>
      <c r="AK2912" s="37"/>
      <c r="AL2912" s="37"/>
      <c r="AM2912" s="37"/>
      <c r="AN2912" s="37"/>
      <c r="AO2912" s="37"/>
      <c r="AP2912" s="37"/>
      <c r="AQ2912" s="37"/>
      <c r="AR2912" s="37"/>
      <c r="AS2912" s="37"/>
      <c r="AT2912" s="37"/>
      <c r="AU2912" s="37"/>
      <c r="AV2912" s="37"/>
      <c r="AW2912" s="37"/>
      <c r="AX2912" s="37"/>
      <c r="AY2912" s="37"/>
      <c r="AZ2912" s="37"/>
      <c r="BA2912" s="37"/>
      <c r="BB2912" s="37"/>
      <c r="BC2912" s="37"/>
      <c r="BD2912" s="37"/>
      <c r="BE2912" s="37"/>
      <c r="BF2912" s="37"/>
      <c r="BG2912" s="37"/>
      <c r="BH2912" s="37"/>
      <c r="BI2912" s="37"/>
      <c r="BJ2912" s="37"/>
      <c r="BK2912" s="37"/>
      <c r="BL2912" s="37"/>
      <c r="BM2912" s="37"/>
      <c r="BN2912" s="37"/>
      <c r="BO2912" s="37"/>
      <c r="BP2912" s="37"/>
      <c r="BQ2912" s="37"/>
      <c r="BR2912" s="37"/>
      <c r="BS2912" s="37"/>
      <c r="BT2912" s="37"/>
      <c r="BU2912" s="37"/>
      <c r="BV2912" s="37"/>
      <c r="BW2912" s="37"/>
      <c r="BX2912" s="37"/>
      <c r="BY2912" s="37"/>
      <c r="BZ2912" s="37"/>
      <c r="CA2912" s="37"/>
      <c r="CB2912" s="37"/>
      <c r="CC2912" s="37"/>
      <c r="CD2912" s="37"/>
      <c r="CE2912" s="37"/>
      <c r="CF2912" s="37"/>
      <c r="CG2912" s="37"/>
      <c r="CH2912" s="37"/>
      <c r="CI2912" s="37"/>
      <c r="CJ2912" s="37"/>
      <c r="CK2912" s="37"/>
      <c r="CL2912" s="37"/>
      <c r="CM2912" s="37"/>
      <c r="CN2912" s="37"/>
      <c r="CO2912" s="37"/>
      <c r="CP2912" s="37"/>
      <c r="CQ2912" s="37"/>
      <c r="CR2912" s="37"/>
      <c r="CS2912" s="37"/>
      <c r="CT2912" s="37"/>
      <c r="CU2912" s="37"/>
      <c r="CV2912" s="37"/>
      <c r="CW2912" s="37"/>
      <c r="CX2912" s="37"/>
      <c r="CY2912" s="37"/>
      <c r="CZ2912" s="37"/>
      <c r="DA2912" s="37"/>
      <c r="DB2912" s="37"/>
      <c r="DC2912" s="37"/>
      <c r="DD2912" s="37"/>
      <c r="DE2912" s="37"/>
      <c r="DF2912" s="37"/>
      <c r="DG2912" s="37"/>
      <c r="DH2912" s="37"/>
      <c r="DI2912" s="37"/>
      <c r="DJ2912" s="37"/>
      <c r="DK2912" s="37"/>
      <c r="DL2912" s="37"/>
      <c r="DM2912" s="37"/>
      <c r="DN2912" s="37"/>
      <c r="DO2912" s="37"/>
      <c r="DP2912" s="37"/>
      <c r="DQ2912" s="37"/>
      <c r="DR2912" s="37"/>
      <c r="DS2912" s="37"/>
      <c r="DT2912" s="37"/>
      <c r="DU2912" s="37"/>
      <c r="DV2912" s="37"/>
      <c r="DW2912" s="37"/>
      <c r="DX2912" s="37"/>
      <c r="DY2912" s="37"/>
      <c r="DZ2912" s="37"/>
      <c r="EA2912" s="37"/>
      <c r="EB2912" s="37"/>
      <c r="EC2912" s="37"/>
      <c r="ED2912" s="37"/>
      <c r="EE2912" s="37"/>
      <c r="EF2912" s="37"/>
      <c r="EG2912" s="37"/>
      <c r="EH2912" s="37"/>
      <c r="EI2912" s="37"/>
      <c r="EJ2912" s="37"/>
      <c r="EK2912" s="37"/>
      <c r="EL2912" s="37"/>
      <c r="EM2912" s="37"/>
      <c r="EN2912" s="37"/>
      <c r="EO2912" s="37"/>
      <c r="EP2912" s="37"/>
      <c r="EQ2912" s="37"/>
      <c r="ER2912" s="37"/>
      <c r="ES2912" s="37"/>
      <c r="ET2912" s="37"/>
      <c r="EU2912" s="37"/>
      <c r="EV2912" s="37"/>
      <c r="EW2912" s="37"/>
      <c r="EX2912" s="37"/>
      <c r="EY2912" s="37"/>
      <c r="EZ2912" s="37"/>
      <c r="FA2912" s="37"/>
      <c r="FB2912" s="37"/>
      <c r="FC2912" s="37"/>
      <c r="FD2912" s="37"/>
      <c r="FE2912" s="37"/>
      <c r="FF2912" s="37"/>
      <c r="FG2912" s="37"/>
      <c r="FH2912" s="37"/>
      <c r="FI2912" s="37"/>
      <c r="FJ2912" s="37"/>
      <c r="FK2912" s="37"/>
      <c r="FL2912" s="37"/>
      <c r="FM2912" s="37"/>
      <c r="FN2912" s="37"/>
      <c r="FO2912" s="37"/>
      <c r="FP2912" s="37"/>
      <c r="FQ2912" s="37"/>
      <c r="FR2912" s="37"/>
      <c r="FS2912" s="37"/>
      <c r="FT2912" s="37"/>
      <c r="FU2912" s="37"/>
      <c r="FV2912" s="37"/>
      <c r="FW2912" s="37"/>
      <c r="FX2912" s="37"/>
      <c r="FY2912" s="37"/>
      <c r="FZ2912" s="37"/>
      <c r="GA2912" s="37"/>
      <c r="GB2912" s="37"/>
      <c r="GC2912" s="37"/>
      <c r="GD2912" s="37"/>
      <c r="GE2912" s="37"/>
      <c r="GF2912" s="37"/>
      <c r="GG2912" s="37"/>
      <c r="GH2912" s="37"/>
      <c r="GI2912" s="37"/>
      <c r="GJ2912" s="37"/>
      <c r="GK2912" s="37"/>
      <c r="GL2912" s="37"/>
      <c r="GM2912" s="37"/>
      <c r="GN2912" s="37"/>
      <c r="GO2912" s="37"/>
      <c r="GP2912" s="37"/>
      <c r="GQ2912" s="37"/>
      <c r="GR2912" s="37"/>
      <c r="GS2912" s="37"/>
      <c r="GT2912" s="37"/>
      <c r="GU2912" s="37"/>
      <c r="GV2912" s="37"/>
      <c r="GW2912" s="37"/>
      <c r="GX2912" s="37"/>
      <c r="GY2912" s="37"/>
      <c r="GZ2912" s="37"/>
      <c r="HA2912" s="37"/>
      <c r="HB2912" s="37"/>
      <c r="HC2912" s="37"/>
      <c r="HD2912" s="37"/>
      <c r="HE2912" s="37"/>
      <c r="HF2912" s="37"/>
      <c r="HG2912" s="37"/>
      <c r="HH2912" s="37"/>
      <c r="HI2912" s="37"/>
      <c r="HJ2912" s="37"/>
      <c r="HK2912" s="37"/>
      <c r="HL2912" s="37"/>
      <c r="HM2912" s="37"/>
      <c r="HN2912" s="37"/>
      <c r="HO2912" s="37"/>
      <c r="HP2912" s="37"/>
      <c r="HQ2912" s="37"/>
      <c r="HR2912" s="37"/>
      <c r="HS2912" s="37"/>
      <c r="HT2912" s="37"/>
      <c r="HU2912" s="37"/>
      <c r="HV2912" s="37"/>
      <c r="HW2912" s="37"/>
      <c r="HX2912" s="37"/>
      <c r="HY2912" s="37"/>
      <c r="HZ2912" s="37"/>
      <c r="IA2912" s="37"/>
      <c r="IB2912" s="37"/>
      <c r="IC2912" s="37"/>
      <c r="ID2912" s="37"/>
      <c r="IE2912" s="37"/>
      <c r="IF2912" s="37"/>
      <c r="IG2912" s="37"/>
      <c r="IH2912" s="37"/>
      <c r="II2912" s="37"/>
      <c r="IJ2912" s="37"/>
      <c r="IK2912" s="37"/>
      <c r="IL2912" s="37"/>
      <c r="IM2912" s="37"/>
      <c r="IN2912" s="37"/>
      <c r="IO2912" s="37"/>
      <c r="IP2912" s="37"/>
      <c r="IQ2912" s="37"/>
      <c r="IR2912" s="37"/>
      <c r="IS2912" s="37"/>
      <c r="IT2912" s="37"/>
      <c r="IU2912" s="37"/>
      <c r="IV2912" s="37"/>
      <c r="IW2912" s="37"/>
      <c r="IX2912" s="37"/>
      <c r="IY2912" s="37"/>
      <c r="IZ2912" s="37"/>
      <c r="JA2912" s="37"/>
      <c r="JB2912" s="37"/>
      <c r="JC2912" s="37"/>
      <c r="JD2912" s="37"/>
      <c r="JE2912" s="37"/>
      <c r="JF2912" s="37"/>
      <c r="JG2912" s="37"/>
      <c r="JH2912" s="37"/>
      <c r="JI2912" s="37"/>
      <c r="JJ2912" s="37"/>
      <c r="JK2912" s="37"/>
      <c r="JL2912" s="37"/>
      <c r="JM2912" s="37"/>
      <c r="JN2912" s="37"/>
      <c r="JO2912" s="37"/>
      <c r="JP2912" s="37"/>
      <c r="JQ2912" s="37"/>
      <c r="JR2912" s="37"/>
      <c r="JS2912" s="37"/>
      <c r="JT2912" s="37"/>
      <c r="JU2912" s="37"/>
      <c r="JV2912" s="37"/>
      <c r="JW2912" s="37"/>
      <c r="JX2912" s="37"/>
      <c r="JY2912" s="37"/>
      <c r="JZ2912" s="37"/>
      <c r="KA2912" s="37"/>
      <c r="KB2912" s="37"/>
      <c r="KC2912" s="37"/>
      <c r="KD2912" s="37"/>
      <c r="KE2912" s="37"/>
      <c r="KF2912" s="37"/>
      <c r="KG2912" s="37"/>
      <c r="KH2912" s="37"/>
      <c r="KI2912" s="37"/>
      <c r="KJ2912" s="37"/>
      <c r="KK2912" s="37"/>
      <c r="KL2912" s="37"/>
      <c r="KM2912" s="37"/>
      <c r="KN2912" s="37"/>
      <c r="KO2912" s="37"/>
      <c r="KP2912" s="37"/>
      <c r="KQ2912" s="37"/>
      <c r="KR2912" s="37"/>
      <c r="KS2912" s="37"/>
      <c r="KT2912" s="37"/>
      <c r="KU2912" s="37"/>
      <c r="KV2912" s="37"/>
      <c r="KW2912" s="37"/>
      <c r="KX2912" s="37"/>
      <c r="KY2912" s="37"/>
      <c r="KZ2912" s="37"/>
      <c r="LA2912" s="37"/>
      <c r="LB2912" s="37"/>
      <c r="LC2912" s="37"/>
      <c r="LD2912" s="37"/>
      <c r="LE2912" s="37"/>
      <c r="LF2912" s="37"/>
      <c r="LG2912" s="37"/>
      <c r="LH2912" s="37"/>
      <c r="LI2912" s="37"/>
      <c r="LJ2912" s="37"/>
      <c r="LK2912" s="37"/>
      <c r="LL2912" s="37"/>
      <c r="LM2912" s="37"/>
      <c r="LN2912" s="37"/>
      <c r="LO2912" s="37"/>
      <c r="LP2912" s="37"/>
      <c r="LQ2912" s="37"/>
      <c r="LR2912" s="37"/>
      <c r="LS2912" s="37"/>
      <c r="LT2912" s="37"/>
      <c r="LU2912" s="37"/>
      <c r="LV2912" s="37"/>
      <c r="LW2912" s="37"/>
      <c r="LX2912" s="37"/>
      <c r="LY2912" s="37"/>
      <c r="LZ2912" s="37"/>
      <c r="MA2912" s="37"/>
      <c r="MB2912" s="37"/>
      <c r="MC2912" s="37"/>
      <c r="MD2912" s="37"/>
      <c r="ME2912" s="37"/>
      <c r="MF2912" s="37"/>
      <c r="MG2912" s="37"/>
      <c r="MH2912" s="37"/>
      <c r="MI2912" s="37"/>
      <c r="MJ2912" s="37"/>
      <c r="MK2912" s="37"/>
      <c r="ML2912" s="37"/>
      <c r="MM2912" s="37"/>
      <c r="MN2912" s="37"/>
      <c r="MO2912" s="37"/>
      <c r="MP2912" s="37"/>
      <c r="MQ2912" s="37"/>
      <c r="MR2912" s="37"/>
      <c r="MS2912" s="37"/>
      <c r="MT2912" s="37"/>
      <c r="MU2912" s="37"/>
      <c r="MV2912" s="37"/>
      <c r="MW2912" s="37"/>
      <c r="MX2912" s="37"/>
      <c r="MY2912" s="37"/>
      <c r="MZ2912" s="37"/>
      <c r="NA2912" s="37"/>
      <c r="NB2912" s="37"/>
      <c r="NC2912" s="37"/>
      <c r="ND2912" s="37"/>
      <c r="NE2912" s="37"/>
      <c r="NF2912" s="37"/>
      <c r="NG2912" s="37"/>
      <c r="NH2912" s="37"/>
      <c r="NI2912" s="37"/>
      <c r="NJ2912" s="37"/>
      <c r="NK2912" s="37"/>
      <c r="NL2912" s="37"/>
      <c r="NM2912" s="37"/>
      <c r="NN2912" s="37"/>
      <c r="NO2912" s="37"/>
      <c r="NP2912" s="37"/>
      <c r="NQ2912" s="37"/>
      <c r="NR2912" s="37"/>
      <c r="NS2912" s="37"/>
      <c r="NT2912" s="37"/>
      <c r="NU2912" s="37"/>
      <c r="NV2912" s="37"/>
      <c r="NW2912" s="37"/>
      <c r="NX2912" s="37"/>
      <c r="NY2912" s="37"/>
      <c r="NZ2912" s="37"/>
      <c r="OA2912" s="37"/>
      <c r="OB2912" s="37"/>
      <c r="OC2912" s="37"/>
      <c r="OD2912" s="37"/>
      <c r="OE2912" s="37"/>
      <c r="OF2912" s="37"/>
      <c r="OG2912" s="37"/>
      <c r="OH2912" s="37"/>
      <c r="OI2912" s="37"/>
      <c r="OJ2912" s="37"/>
      <c r="OK2912" s="37"/>
      <c r="OL2912" s="37"/>
      <c r="OM2912" s="37"/>
      <c r="ON2912" s="37"/>
      <c r="OO2912" s="37"/>
      <c r="OP2912" s="37"/>
      <c r="OQ2912" s="37"/>
      <c r="OR2912" s="37"/>
      <c r="OS2912" s="37"/>
      <c r="OT2912" s="37"/>
      <c r="OU2912" s="37"/>
      <c r="OV2912" s="37"/>
      <c r="OW2912" s="37"/>
      <c r="OX2912" s="37"/>
      <c r="OY2912" s="37"/>
      <c r="OZ2912" s="37"/>
      <c r="PA2912" s="37"/>
      <c r="PB2912" s="37"/>
      <c r="PC2912" s="37"/>
      <c r="PD2912" s="37"/>
      <c r="PE2912" s="37"/>
      <c r="PF2912" s="37"/>
      <c r="PG2912" s="37"/>
      <c r="PH2912" s="37"/>
      <c r="PI2912" s="37"/>
      <c r="PJ2912" s="37"/>
      <c r="PK2912" s="37"/>
      <c r="PL2912" s="37"/>
      <c r="PM2912" s="37"/>
      <c r="PN2912" s="37"/>
      <c r="PO2912" s="37"/>
      <c r="PP2912" s="37"/>
      <c r="PQ2912" s="37"/>
      <c r="PR2912" s="37"/>
      <c r="PS2912" s="37"/>
      <c r="PT2912" s="37"/>
      <c r="PU2912" s="37"/>
      <c r="PV2912" s="37"/>
      <c r="PW2912" s="37"/>
      <c r="PX2912" s="37"/>
      <c r="PY2912" s="37"/>
      <c r="PZ2912" s="37"/>
      <c r="QA2912" s="37"/>
      <c r="QB2912" s="37"/>
      <c r="QC2912" s="37"/>
      <c r="QD2912" s="37"/>
      <c r="QE2912" s="37"/>
      <c r="QF2912" s="37"/>
      <c r="QG2912" s="37"/>
      <c r="QH2912" s="37"/>
      <c r="QI2912" s="37"/>
      <c r="QJ2912" s="37"/>
      <c r="QK2912" s="37"/>
      <c r="QL2912" s="37"/>
      <c r="QM2912" s="37"/>
      <c r="QN2912" s="37"/>
      <c r="QO2912" s="37"/>
      <c r="QP2912" s="37"/>
      <c r="QQ2912" s="37"/>
      <c r="QR2912" s="37"/>
      <c r="QS2912" s="37"/>
      <c r="QT2912" s="37"/>
      <c r="QU2912" s="37"/>
      <c r="QV2912" s="37"/>
      <c r="QW2912" s="37"/>
      <c r="QX2912" s="37"/>
      <c r="QY2912" s="37"/>
      <c r="QZ2912" s="37"/>
      <c r="RA2912" s="37"/>
      <c r="RB2912" s="37"/>
      <c r="RC2912" s="37"/>
      <c r="RD2912" s="37"/>
      <c r="RE2912" s="37"/>
      <c r="RF2912" s="37"/>
      <c r="RG2912" s="37"/>
      <c r="RH2912" s="37"/>
      <c r="RI2912" s="37"/>
      <c r="RJ2912" s="37"/>
      <c r="RK2912" s="37"/>
      <c r="RL2912" s="37"/>
      <c r="RM2912" s="37"/>
      <c r="RN2912" s="37"/>
      <c r="RO2912" s="37"/>
      <c r="RP2912" s="37"/>
      <c r="RQ2912" s="37"/>
      <c r="RR2912" s="37"/>
      <c r="RS2912" s="37"/>
      <c r="RT2912" s="37"/>
      <c r="RU2912" s="37"/>
      <c r="RV2912" s="37"/>
      <c r="RW2912" s="37"/>
      <c r="RX2912" s="37"/>
      <c r="RY2912" s="37"/>
      <c r="RZ2912" s="37"/>
      <c r="SA2912" s="37"/>
      <c r="SB2912" s="37"/>
      <c r="SC2912" s="37"/>
      <c r="SD2912" s="37"/>
      <c r="SE2912" s="37"/>
      <c r="SF2912" s="37"/>
    </row>
    <row r="2913" spans="1:500">
      <c r="A2913" s="37"/>
      <c r="B2913" s="37"/>
      <c r="C2913" s="37"/>
      <c r="D2913" s="37"/>
      <c r="E2913" s="37"/>
      <c r="F2913" s="37"/>
      <c r="G2913" s="37"/>
      <c r="H2913" s="37"/>
      <c r="I2913" s="37"/>
      <c r="J2913" s="37"/>
      <c r="K2913" s="37"/>
      <c r="L2913" s="37"/>
      <c r="M2913" s="37"/>
      <c r="N2913" s="37"/>
      <c r="O2913" s="37"/>
      <c r="P2913" s="37"/>
      <c r="Q2913" s="37"/>
      <c r="R2913" s="37"/>
      <c r="S2913" s="37"/>
      <c r="T2913" s="37"/>
      <c r="U2913" s="37"/>
      <c r="V2913" s="37"/>
      <c r="W2913" s="37"/>
      <c r="X2913" s="37"/>
      <c r="Y2913" s="37"/>
      <c r="Z2913" s="37"/>
      <c r="AA2913" s="37"/>
      <c r="AB2913" s="37"/>
      <c r="AC2913" s="37"/>
      <c r="AD2913" s="37"/>
      <c r="AE2913" s="37"/>
      <c r="AF2913" s="37"/>
      <c r="AG2913" s="37"/>
      <c r="AH2913" s="37"/>
      <c r="AI2913" s="37"/>
      <c r="AJ2913" s="37"/>
      <c r="AK2913" s="37"/>
      <c r="AL2913" s="37"/>
      <c r="AM2913" s="37"/>
      <c r="AN2913" s="37"/>
      <c r="AO2913" s="37"/>
      <c r="AP2913" s="37"/>
      <c r="AQ2913" s="37"/>
      <c r="AR2913" s="37"/>
      <c r="AS2913" s="37"/>
      <c r="AT2913" s="37"/>
      <c r="AU2913" s="37"/>
      <c r="AV2913" s="37"/>
      <c r="AW2913" s="37"/>
      <c r="AX2913" s="37"/>
      <c r="AY2913" s="37"/>
      <c r="AZ2913" s="37"/>
      <c r="BA2913" s="37"/>
      <c r="BB2913" s="37"/>
      <c r="BC2913" s="37"/>
      <c r="BD2913" s="37"/>
      <c r="BE2913" s="37"/>
      <c r="BF2913" s="37"/>
      <c r="BG2913" s="37"/>
      <c r="BH2913" s="37"/>
      <c r="BI2913" s="37"/>
      <c r="BJ2913" s="37"/>
      <c r="BK2913" s="37"/>
      <c r="BL2913" s="37"/>
      <c r="BM2913" s="37"/>
      <c r="BN2913" s="37"/>
      <c r="BO2913" s="37"/>
      <c r="BP2913" s="37"/>
      <c r="BQ2913" s="37"/>
      <c r="BR2913" s="37"/>
      <c r="BS2913" s="37"/>
      <c r="BT2913" s="37"/>
      <c r="BU2913" s="37"/>
      <c r="BV2913" s="37"/>
      <c r="BW2913" s="37"/>
      <c r="BX2913" s="37"/>
      <c r="BY2913" s="37"/>
      <c r="BZ2913" s="37"/>
      <c r="CA2913" s="37"/>
      <c r="CB2913" s="37"/>
      <c r="CC2913" s="37"/>
      <c r="CD2913" s="37"/>
      <c r="CE2913" s="37"/>
      <c r="CF2913" s="37"/>
      <c r="CG2913" s="37"/>
      <c r="CH2913" s="37"/>
      <c r="CI2913" s="37"/>
      <c r="CJ2913" s="37"/>
      <c r="CK2913" s="37"/>
      <c r="CL2913" s="37"/>
      <c r="CM2913" s="37"/>
      <c r="CN2913" s="37"/>
      <c r="CO2913" s="37"/>
      <c r="CP2913" s="37"/>
      <c r="CQ2913" s="37"/>
      <c r="CR2913" s="37"/>
      <c r="CS2913" s="37"/>
      <c r="CT2913" s="37"/>
      <c r="CU2913" s="37"/>
      <c r="CV2913" s="37"/>
      <c r="CW2913" s="37"/>
      <c r="CX2913" s="37"/>
      <c r="CY2913" s="37"/>
      <c r="CZ2913" s="37"/>
      <c r="DA2913" s="37"/>
      <c r="DB2913" s="37"/>
      <c r="DC2913" s="37"/>
      <c r="DD2913" s="37"/>
      <c r="DE2913" s="37"/>
      <c r="DF2913" s="37"/>
      <c r="DG2913" s="37"/>
      <c r="DH2913" s="37"/>
      <c r="DI2913" s="37"/>
      <c r="DJ2913" s="37"/>
      <c r="DK2913" s="37"/>
      <c r="DL2913" s="37"/>
      <c r="DM2913" s="37"/>
      <c r="DN2913" s="37"/>
      <c r="DO2913" s="37"/>
      <c r="DP2913" s="37"/>
      <c r="DQ2913" s="37"/>
      <c r="DR2913" s="37"/>
      <c r="DS2913" s="37"/>
      <c r="DT2913" s="37"/>
      <c r="DU2913" s="37"/>
      <c r="DV2913" s="37"/>
      <c r="DW2913" s="37"/>
      <c r="DX2913" s="37"/>
      <c r="DY2913" s="37"/>
      <c r="DZ2913" s="37"/>
      <c r="EA2913" s="37"/>
      <c r="EB2913" s="37"/>
      <c r="EC2913" s="37"/>
      <c r="ED2913" s="37"/>
      <c r="EE2913" s="37"/>
      <c r="EF2913" s="37"/>
      <c r="EG2913" s="37"/>
      <c r="EH2913" s="37"/>
      <c r="EI2913" s="37"/>
      <c r="EJ2913" s="37"/>
      <c r="EK2913" s="37"/>
      <c r="EL2913" s="37"/>
      <c r="EM2913" s="37"/>
      <c r="EN2913" s="37"/>
      <c r="EO2913" s="37"/>
      <c r="EP2913" s="37"/>
      <c r="EQ2913" s="37"/>
      <c r="ER2913" s="37"/>
      <c r="ES2913" s="37"/>
      <c r="ET2913" s="37"/>
      <c r="EU2913" s="37"/>
      <c r="EV2913" s="37"/>
      <c r="EW2913" s="37"/>
      <c r="EX2913" s="37"/>
      <c r="EY2913" s="37"/>
      <c r="EZ2913" s="37"/>
      <c r="FA2913" s="37"/>
      <c r="FB2913" s="37"/>
      <c r="FC2913" s="37"/>
      <c r="FD2913" s="37"/>
      <c r="FE2913" s="37"/>
      <c r="FF2913" s="37"/>
      <c r="FG2913" s="37"/>
      <c r="FH2913" s="37"/>
      <c r="FI2913" s="37"/>
      <c r="FJ2913" s="37"/>
      <c r="FK2913" s="37"/>
      <c r="FL2913" s="37"/>
      <c r="FM2913" s="37"/>
      <c r="FN2913" s="37"/>
      <c r="FO2913" s="37"/>
      <c r="FP2913" s="37"/>
      <c r="FQ2913" s="37"/>
      <c r="FR2913" s="37"/>
      <c r="FS2913" s="37"/>
      <c r="FT2913" s="37"/>
      <c r="FU2913" s="37"/>
      <c r="FV2913" s="37"/>
      <c r="FW2913" s="37"/>
      <c r="FX2913" s="37"/>
      <c r="FY2913" s="37"/>
      <c r="FZ2913" s="37"/>
      <c r="GA2913" s="37"/>
      <c r="GB2913" s="37"/>
      <c r="GC2913" s="37"/>
      <c r="GD2913" s="37"/>
      <c r="GE2913" s="37"/>
      <c r="GF2913" s="37"/>
      <c r="GG2913" s="37"/>
      <c r="GH2913" s="37"/>
      <c r="GI2913" s="37"/>
      <c r="GJ2913" s="37"/>
      <c r="GK2913" s="37"/>
      <c r="GL2913" s="37"/>
      <c r="GM2913" s="37"/>
      <c r="GN2913" s="37"/>
      <c r="GO2913" s="37"/>
      <c r="GP2913" s="37"/>
      <c r="GQ2913" s="37"/>
      <c r="GR2913" s="37"/>
      <c r="GS2913" s="37"/>
      <c r="GT2913" s="37"/>
      <c r="GU2913" s="37"/>
      <c r="GV2913" s="37"/>
      <c r="GW2913" s="37"/>
      <c r="GX2913" s="37"/>
      <c r="GY2913" s="37"/>
      <c r="GZ2913" s="37"/>
      <c r="HA2913" s="37"/>
      <c r="HB2913" s="37"/>
      <c r="HC2913" s="37"/>
      <c r="HD2913" s="37"/>
      <c r="HE2913" s="37"/>
      <c r="HF2913" s="37"/>
      <c r="HG2913" s="37"/>
      <c r="HH2913" s="37"/>
      <c r="HI2913" s="37"/>
      <c r="HJ2913" s="37"/>
      <c r="HK2913" s="37"/>
      <c r="HL2913" s="37"/>
      <c r="HM2913" s="37"/>
      <c r="HN2913" s="37"/>
      <c r="HO2913" s="37"/>
      <c r="HP2913" s="37"/>
      <c r="HQ2913" s="37"/>
      <c r="HR2913" s="37"/>
      <c r="HS2913" s="37"/>
      <c r="HT2913" s="37"/>
      <c r="HU2913" s="37"/>
      <c r="HV2913" s="37"/>
      <c r="HW2913" s="37"/>
      <c r="HX2913" s="37"/>
      <c r="HY2913" s="37"/>
      <c r="HZ2913" s="37"/>
      <c r="IA2913" s="37"/>
      <c r="IB2913" s="37"/>
      <c r="IC2913" s="37"/>
      <c r="ID2913" s="37"/>
      <c r="IE2913" s="37"/>
      <c r="IF2913" s="37"/>
      <c r="IG2913" s="37"/>
      <c r="IH2913" s="37"/>
      <c r="II2913" s="37"/>
      <c r="IJ2913" s="37"/>
      <c r="IK2913" s="37"/>
      <c r="IL2913" s="37"/>
      <c r="IM2913" s="37"/>
      <c r="IN2913" s="37"/>
      <c r="IO2913" s="37"/>
      <c r="IP2913" s="37"/>
      <c r="IQ2913" s="37"/>
      <c r="IR2913" s="37"/>
      <c r="IS2913" s="37"/>
      <c r="IT2913" s="37"/>
      <c r="IU2913" s="37"/>
      <c r="IV2913" s="37"/>
      <c r="IW2913" s="37"/>
      <c r="IX2913" s="37"/>
      <c r="IY2913" s="37"/>
      <c r="IZ2913" s="37"/>
      <c r="JA2913" s="37"/>
      <c r="JB2913" s="37"/>
      <c r="JC2913" s="37"/>
      <c r="JD2913" s="37"/>
      <c r="JE2913" s="37"/>
      <c r="JF2913" s="37"/>
      <c r="JG2913" s="37"/>
      <c r="JH2913" s="37"/>
      <c r="JI2913" s="37"/>
      <c r="JJ2913" s="37"/>
      <c r="JK2913" s="37"/>
      <c r="JL2913" s="37"/>
      <c r="JM2913" s="37"/>
      <c r="JN2913" s="37"/>
      <c r="JO2913" s="37"/>
      <c r="JP2913" s="37"/>
      <c r="JQ2913" s="37"/>
      <c r="JR2913" s="37"/>
      <c r="JS2913" s="37"/>
      <c r="JT2913" s="37"/>
      <c r="JU2913" s="37"/>
      <c r="JV2913" s="37"/>
      <c r="JW2913" s="37"/>
      <c r="JX2913" s="37"/>
      <c r="JY2913" s="37"/>
      <c r="JZ2913" s="37"/>
      <c r="KA2913" s="37"/>
      <c r="KB2913" s="37"/>
      <c r="KC2913" s="37"/>
      <c r="KD2913" s="37"/>
      <c r="KE2913" s="37"/>
      <c r="KF2913" s="37"/>
      <c r="KG2913" s="37"/>
      <c r="KH2913" s="37"/>
      <c r="KI2913" s="37"/>
      <c r="KJ2913" s="37"/>
      <c r="KK2913" s="37"/>
      <c r="KL2913" s="37"/>
      <c r="KM2913" s="37"/>
      <c r="KN2913" s="37"/>
      <c r="KO2913" s="37"/>
      <c r="KP2913" s="37"/>
      <c r="KQ2913" s="37"/>
      <c r="KR2913" s="37"/>
      <c r="KS2913" s="37"/>
      <c r="KT2913" s="37"/>
      <c r="KU2913" s="37"/>
      <c r="KV2913" s="37"/>
      <c r="KW2913" s="37"/>
      <c r="KX2913" s="37"/>
      <c r="KY2913" s="37"/>
      <c r="KZ2913" s="37"/>
      <c r="LA2913" s="37"/>
      <c r="LB2913" s="37"/>
      <c r="LC2913" s="37"/>
      <c r="LD2913" s="37"/>
      <c r="LE2913" s="37"/>
      <c r="LF2913" s="37"/>
      <c r="LG2913" s="37"/>
      <c r="LH2913" s="37"/>
      <c r="LI2913" s="37"/>
      <c r="LJ2913" s="37"/>
      <c r="LK2913" s="37"/>
      <c r="LL2913" s="37"/>
      <c r="LM2913" s="37"/>
      <c r="LN2913" s="37"/>
      <c r="LO2913" s="37"/>
      <c r="LP2913" s="37"/>
      <c r="LQ2913" s="37"/>
      <c r="LR2913" s="37"/>
      <c r="LS2913" s="37"/>
      <c r="LT2913" s="37"/>
      <c r="LU2913" s="37"/>
      <c r="LV2913" s="37"/>
      <c r="LW2913" s="37"/>
      <c r="LX2913" s="37"/>
      <c r="LY2913" s="37"/>
      <c r="LZ2913" s="37"/>
      <c r="MA2913" s="37"/>
      <c r="MB2913" s="37"/>
      <c r="MC2913" s="37"/>
      <c r="MD2913" s="37"/>
      <c r="ME2913" s="37"/>
      <c r="MF2913" s="37"/>
      <c r="MG2913" s="37"/>
      <c r="MH2913" s="37"/>
      <c r="MI2913" s="37"/>
      <c r="MJ2913" s="37"/>
      <c r="MK2913" s="37"/>
      <c r="ML2913" s="37"/>
      <c r="MM2913" s="37"/>
      <c r="MN2913" s="37"/>
      <c r="MO2913" s="37"/>
      <c r="MP2913" s="37"/>
      <c r="MQ2913" s="37"/>
      <c r="MR2913" s="37"/>
      <c r="MS2913" s="37"/>
      <c r="MT2913" s="37"/>
      <c r="MU2913" s="37"/>
      <c r="MV2913" s="37"/>
      <c r="MW2913" s="37"/>
      <c r="MX2913" s="37"/>
      <c r="MY2913" s="37"/>
      <c r="MZ2913" s="37"/>
      <c r="NA2913" s="37"/>
      <c r="NB2913" s="37"/>
      <c r="NC2913" s="37"/>
      <c r="ND2913" s="37"/>
      <c r="NE2913" s="37"/>
      <c r="NF2913" s="37"/>
      <c r="NG2913" s="37"/>
      <c r="NH2913" s="37"/>
      <c r="NI2913" s="37"/>
      <c r="NJ2913" s="37"/>
      <c r="NK2913" s="37"/>
      <c r="NL2913" s="37"/>
      <c r="NM2913" s="37"/>
      <c r="NN2913" s="37"/>
      <c r="NO2913" s="37"/>
      <c r="NP2913" s="37"/>
      <c r="NQ2913" s="37"/>
      <c r="NR2913" s="37"/>
      <c r="NS2913" s="37"/>
      <c r="NT2913" s="37"/>
      <c r="NU2913" s="37"/>
      <c r="NV2913" s="37"/>
      <c r="NW2913" s="37"/>
      <c r="NX2913" s="37"/>
      <c r="NY2913" s="37"/>
      <c r="NZ2913" s="37"/>
      <c r="OA2913" s="37"/>
      <c r="OB2913" s="37"/>
      <c r="OC2913" s="37"/>
      <c r="OD2913" s="37"/>
      <c r="OE2913" s="37"/>
      <c r="OF2913" s="37"/>
      <c r="OG2913" s="37"/>
      <c r="OH2913" s="37"/>
      <c r="OI2913" s="37"/>
      <c r="OJ2913" s="37"/>
      <c r="OK2913" s="37"/>
      <c r="OL2913" s="37"/>
      <c r="OM2913" s="37"/>
      <c r="ON2913" s="37"/>
      <c r="OO2913" s="37"/>
      <c r="OP2913" s="37"/>
      <c r="OQ2913" s="37"/>
      <c r="OR2913" s="37"/>
      <c r="OS2913" s="37"/>
      <c r="OT2913" s="37"/>
      <c r="OU2913" s="37"/>
      <c r="OV2913" s="37"/>
      <c r="OW2913" s="37"/>
      <c r="OX2913" s="37"/>
      <c r="OY2913" s="37"/>
      <c r="OZ2913" s="37"/>
      <c r="PA2913" s="37"/>
      <c r="PB2913" s="37"/>
      <c r="PC2913" s="37"/>
      <c r="PD2913" s="37"/>
      <c r="PE2913" s="37"/>
      <c r="PF2913" s="37"/>
      <c r="PG2913" s="37"/>
      <c r="PH2913" s="37"/>
      <c r="PI2913" s="37"/>
      <c r="PJ2913" s="37"/>
      <c r="PK2913" s="37"/>
      <c r="PL2913" s="37"/>
      <c r="PM2913" s="37"/>
      <c r="PN2913" s="37"/>
      <c r="PO2913" s="37"/>
      <c r="PP2913" s="37"/>
      <c r="PQ2913" s="37"/>
      <c r="PR2913" s="37"/>
      <c r="PS2913" s="37"/>
      <c r="PT2913" s="37"/>
      <c r="PU2913" s="37"/>
      <c r="PV2913" s="37"/>
      <c r="PW2913" s="37"/>
      <c r="PX2913" s="37"/>
      <c r="PY2913" s="37"/>
      <c r="PZ2913" s="37"/>
      <c r="QA2913" s="37"/>
      <c r="QB2913" s="37"/>
      <c r="QC2913" s="37"/>
      <c r="QD2913" s="37"/>
      <c r="QE2913" s="37"/>
      <c r="QF2913" s="37"/>
      <c r="QG2913" s="37"/>
      <c r="QH2913" s="37"/>
      <c r="QI2913" s="37"/>
      <c r="QJ2913" s="37"/>
      <c r="QK2913" s="37"/>
      <c r="QL2913" s="37"/>
      <c r="QM2913" s="37"/>
      <c r="QN2913" s="37"/>
      <c r="QO2913" s="37"/>
      <c r="QP2913" s="37"/>
      <c r="QQ2913" s="37"/>
      <c r="QR2913" s="37"/>
      <c r="QS2913" s="37"/>
      <c r="QT2913" s="37"/>
      <c r="QU2913" s="37"/>
      <c r="QV2913" s="37"/>
      <c r="QW2913" s="37"/>
      <c r="QX2913" s="37"/>
      <c r="QY2913" s="37"/>
      <c r="QZ2913" s="37"/>
      <c r="RA2913" s="37"/>
      <c r="RB2913" s="37"/>
      <c r="RC2913" s="37"/>
      <c r="RD2913" s="37"/>
      <c r="RE2913" s="37"/>
      <c r="RF2913" s="37"/>
      <c r="RG2913" s="37"/>
      <c r="RH2913" s="37"/>
      <c r="RI2913" s="37"/>
      <c r="RJ2913" s="37"/>
      <c r="RK2913" s="37"/>
      <c r="RL2913" s="37"/>
      <c r="RM2913" s="37"/>
      <c r="RN2913" s="37"/>
      <c r="RO2913" s="37"/>
      <c r="RP2913" s="37"/>
      <c r="RQ2913" s="37"/>
      <c r="RR2913" s="37"/>
      <c r="RS2913" s="37"/>
      <c r="RT2913" s="37"/>
      <c r="RU2913" s="37"/>
      <c r="RV2913" s="37"/>
      <c r="RW2913" s="37"/>
      <c r="RX2913" s="37"/>
      <c r="RY2913" s="37"/>
      <c r="RZ2913" s="37"/>
      <c r="SA2913" s="37"/>
      <c r="SB2913" s="37"/>
      <c r="SC2913" s="37"/>
      <c r="SD2913" s="37"/>
      <c r="SE2913" s="37"/>
      <c r="SF2913" s="37"/>
    </row>
    <row r="2914" spans="1:500">
      <c r="A2914" s="37"/>
      <c r="B2914" s="37"/>
      <c r="C2914" s="37"/>
      <c r="D2914" s="37"/>
      <c r="E2914" s="37"/>
      <c r="F2914" s="37"/>
      <c r="G2914" s="37"/>
      <c r="H2914" s="37"/>
      <c r="I2914" s="37"/>
      <c r="J2914" s="37"/>
      <c r="K2914" s="37"/>
      <c r="L2914" s="37"/>
      <c r="M2914" s="37"/>
      <c r="N2914" s="37"/>
      <c r="O2914" s="37"/>
      <c r="P2914" s="37"/>
      <c r="Q2914" s="37"/>
      <c r="R2914" s="37"/>
      <c r="S2914" s="37"/>
      <c r="T2914" s="37"/>
      <c r="U2914" s="37"/>
      <c r="V2914" s="37"/>
      <c r="W2914" s="37"/>
      <c r="X2914" s="37"/>
      <c r="Y2914" s="37"/>
      <c r="Z2914" s="37"/>
      <c r="AA2914" s="37"/>
      <c r="AB2914" s="37"/>
      <c r="AC2914" s="37"/>
      <c r="AD2914" s="37"/>
      <c r="AE2914" s="37"/>
      <c r="AF2914" s="37"/>
      <c r="AG2914" s="37"/>
      <c r="AH2914" s="37"/>
      <c r="AI2914" s="37"/>
      <c r="AJ2914" s="37"/>
      <c r="AK2914" s="37"/>
      <c r="AL2914" s="37"/>
      <c r="AM2914" s="37"/>
      <c r="AN2914" s="37"/>
      <c r="AO2914" s="37"/>
      <c r="AP2914" s="37"/>
      <c r="AQ2914" s="37"/>
      <c r="AR2914" s="37"/>
      <c r="AS2914" s="37"/>
      <c r="AT2914" s="37"/>
      <c r="AU2914" s="37"/>
      <c r="AV2914" s="37"/>
      <c r="AW2914" s="37"/>
      <c r="AX2914" s="37"/>
      <c r="AY2914" s="37"/>
      <c r="AZ2914" s="37"/>
      <c r="BA2914" s="37"/>
      <c r="BB2914" s="37"/>
      <c r="BC2914" s="37"/>
      <c r="BD2914" s="37"/>
      <c r="BE2914" s="37"/>
      <c r="BF2914" s="37"/>
      <c r="BG2914" s="37"/>
      <c r="BH2914" s="37"/>
      <c r="BI2914" s="37"/>
      <c r="BJ2914" s="37"/>
      <c r="BK2914" s="37"/>
      <c r="BL2914" s="37"/>
      <c r="BM2914" s="37"/>
      <c r="BN2914" s="37"/>
      <c r="BO2914" s="37"/>
      <c r="BP2914" s="37"/>
      <c r="BQ2914" s="37"/>
      <c r="BR2914" s="37"/>
      <c r="BS2914" s="37"/>
      <c r="BT2914" s="37"/>
      <c r="BU2914" s="37"/>
      <c r="BV2914" s="37"/>
      <c r="BW2914" s="37"/>
      <c r="BX2914" s="37"/>
      <c r="BY2914" s="37"/>
      <c r="BZ2914" s="37"/>
      <c r="CA2914" s="37"/>
      <c r="CB2914" s="37"/>
      <c r="CC2914" s="37"/>
      <c r="CD2914" s="37"/>
      <c r="CE2914" s="37"/>
      <c r="CF2914" s="37"/>
      <c r="CG2914" s="37"/>
      <c r="CH2914" s="37"/>
      <c r="CI2914" s="37"/>
      <c r="CJ2914" s="37"/>
      <c r="CK2914" s="37"/>
      <c r="CL2914" s="37"/>
      <c r="CM2914" s="37"/>
      <c r="CN2914" s="37"/>
      <c r="CO2914" s="37"/>
      <c r="CP2914" s="37"/>
      <c r="CQ2914" s="37"/>
      <c r="CR2914" s="37"/>
      <c r="CS2914" s="37"/>
      <c r="CT2914" s="37"/>
      <c r="CU2914" s="37"/>
      <c r="CV2914" s="37"/>
      <c r="CW2914" s="37"/>
      <c r="CX2914" s="37"/>
      <c r="CY2914" s="37"/>
      <c r="CZ2914" s="37"/>
      <c r="DA2914" s="37"/>
      <c r="DB2914" s="37"/>
      <c r="DC2914" s="37"/>
      <c r="DD2914" s="37"/>
      <c r="DE2914" s="37"/>
      <c r="DF2914" s="37"/>
      <c r="DG2914" s="37"/>
      <c r="DH2914" s="37"/>
      <c r="DI2914" s="37"/>
      <c r="DJ2914" s="37"/>
      <c r="DK2914" s="37"/>
      <c r="DL2914" s="37"/>
      <c r="DM2914" s="37"/>
      <c r="DN2914" s="37"/>
      <c r="DO2914" s="37"/>
      <c r="DP2914" s="37"/>
      <c r="DQ2914" s="37"/>
      <c r="DR2914" s="37"/>
      <c r="DS2914" s="37"/>
      <c r="DT2914" s="37"/>
      <c r="DU2914" s="37"/>
      <c r="DV2914" s="37"/>
      <c r="DW2914" s="37"/>
      <c r="DX2914" s="37"/>
      <c r="DY2914" s="37"/>
      <c r="DZ2914" s="37"/>
      <c r="EA2914" s="37"/>
      <c r="EB2914" s="37"/>
      <c r="EC2914" s="37"/>
      <c r="ED2914" s="37"/>
      <c r="EE2914" s="37"/>
      <c r="EF2914" s="37"/>
      <c r="EG2914" s="37"/>
      <c r="EH2914" s="37"/>
      <c r="EI2914" s="37"/>
      <c r="EJ2914" s="37"/>
      <c r="EK2914" s="37"/>
      <c r="EL2914" s="37"/>
      <c r="EM2914" s="37"/>
      <c r="EN2914" s="37"/>
      <c r="EO2914" s="37"/>
      <c r="EP2914" s="37"/>
      <c r="EQ2914" s="37"/>
      <c r="ER2914" s="37"/>
      <c r="ES2914" s="37"/>
      <c r="ET2914" s="37"/>
      <c r="EU2914" s="37"/>
      <c r="EV2914" s="37"/>
      <c r="EW2914" s="37"/>
      <c r="EX2914" s="37"/>
      <c r="EY2914" s="37"/>
      <c r="EZ2914" s="37"/>
      <c r="FA2914" s="37"/>
      <c r="FB2914" s="37"/>
      <c r="FC2914" s="37"/>
      <c r="FD2914" s="37"/>
      <c r="FE2914" s="37"/>
      <c r="FF2914" s="37"/>
      <c r="FG2914" s="37"/>
      <c r="FH2914" s="37"/>
      <c r="FI2914" s="37"/>
      <c r="FJ2914" s="37"/>
      <c r="FK2914" s="37"/>
      <c r="FL2914" s="37"/>
      <c r="FM2914" s="37"/>
      <c r="FN2914" s="37"/>
      <c r="FO2914" s="37"/>
      <c r="FP2914" s="37"/>
      <c r="FQ2914" s="37"/>
      <c r="FR2914" s="37"/>
      <c r="FS2914" s="37"/>
      <c r="FT2914" s="37"/>
      <c r="FU2914" s="37"/>
      <c r="FV2914" s="37"/>
      <c r="FW2914" s="37"/>
      <c r="FX2914" s="37"/>
      <c r="FY2914" s="37"/>
      <c r="FZ2914" s="37"/>
      <c r="GA2914" s="37"/>
      <c r="GB2914" s="37"/>
      <c r="GC2914" s="37"/>
      <c r="GD2914" s="37"/>
      <c r="GE2914" s="37"/>
      <c r="GF2914" s="37"/>
      <c r="GG2914" s="37"/>
      <c r="GH2914" s="37"/>
      <c r="GI2914" s="37"/>
      <c r="GJ2914" s="37"/>
      <c r="GK2914" s="37"/>
      <c r="GL2914" s="37"/>
      <c r="GM2914" s="37"/>
      <c r="GN2914" s="37"/>
      <c r="GO2914" s="37"/>
      <c r="GP2914" s="37"/>
      <c r="GQ2914" s="37"/>
      <c r="GR2914" s="37"/>
      <c r="GS2914" s="37"/>
      <c r="GT2914" s="37"/>
      <c r="GU2914" s="37"/>
      <c r="GV2914" s="37"/>
      <c r="GW2914" s="37"/>
      <c r="GX2914" s="37"/>
      <c r="GY2914" s="37"/>
      <c r="GZ2914" s="37"/>
      <c r="HA2914" s="37"/>
      <c r="HB2914" s="37"/>
      <c r="HC2914" s="37"/>
      <c r="HD2914" s="37"/>
      <c r="HE2914" s="37"/>
      <c r="HF2914" s="37"/>
      <c r="HG2914" s="37"/>
      <c r="HH2914" s="37"/>
      <c r="HI2914" s="37"/>
      <c r="HJ2914" s="37"/>
      <c r="HK2914" s="37"/>
      <c r="HL2914" s="37"/>
      <c r="HM2914" s="37"/>
      <c r="HN2914" s="37"/>
      <c r="HO2914" s="37"/>
      <c r="HP2914" s="37"/>
      <c r="HQ2914" s="37"/>
      <c r="HR2914" s="37"/>
      <c r="HS2914" s="37"/>
      <c r="HT2914" s="37"/>
      <c r="HU2914" s="37"/>
      <c r="HV2914" s="37"/>
      <c r="HW2914" s="37"/>
      <c r="HX2914" s="37"/>
      <c r="HY2914" s="37"/>
      <c r="HZ2914" s="37"/>
      <c r="IA2914" s="37"/>
      <c r="IB2914" s="37"/>
      <c r="IC2914" s="37"/>
      <c r="ID2914" s="37"/>
      <c r="IE2914" s="37"/>
      <c r="IF2914" s="37"/>
      <c r="IG2914" s="37"/>
      <c r="IH2914" s="37"/>
      <c r="II2914" s="37"/>
      <c r="IJ2914" s="37"/>
      <c r="IK2914" s="37"/>
      <c r="IL2914" s="37"/>
      <c r="IM2914" s="37"/>
      <c r="IN2914" s="37"/>
      <c r="IO2914" s="37"/>
      <c r="IP2914" s="37"/>
      <c r="IQ2914" s="37"/>
      <c r="IR2914" s="37"/>
      <c r="IS2914" s="37"/>
      <c r="IT2914" s="37"/>
      <c r="IU2914" s="37"/>
      <c r="IV2914" s="37"/>
      <c r="IW2914" s="37"/>
      <c r="IX2914" s="37"/>
      <c r="IY2914" s="37"/>
      <c r="IZ2914" s="37"/>
      <c r="JA2914" s="37"/>
      <c r="JB2914" s="37"/>
      <c r="JC2914" s="37"/>
      <c r="JD2914" s="37"/>
      <c r="JE2914" s="37"/>
      <c r="JF2914" s="37"/>
      <c r="JG2914" s="37"/>
      <c r="JH2914" s="37"/>
      <c r="JI2914" s="37"/>
      <c r="JJ2914" s="37"/>
      <c r="JK2914" s="37"/>
      <c r="JL2914" s="37"/>
      <c r="JM2914" s="37"/>
      <c r="JN2914" s="37"/>
      <c r="JO2914" s="37"/>
      <c r="JP2914" s="37"/>
      <c r="JQ2914" s="37"/>
      <c r="JR2914" s="37"/>
      <c r="JS2914" s="37"/>
      <c r="JT2914" s="37"/>
      <c r="JU2914" s="37"/>
      <c r="JV2914" s="37"/>
      <c r="JW2914" s="37"/>
      <c r="JX2914" s="37"/>
      <c r="JY2914" s="37"/>
      <c r="JZ2914" s="37"/>
      <c r="KA2914" s="37"/>
      <c r="KB2914" s="37"/>
      <c r="KC2914" s="37"/>
      <c r="KD2914" s="37"/>
      <c r="KE2914" s="37"/>
      <c r="KF2914" s="37"/>
      <c r="KG2914" s="37"/>
      <c r="KH2914" s="37"/>
      <c r="KI2914" s="37"/>
      <c r="KJ2914" s="37"/>
      <c r="KK2914" s="37"/>
      <c r="KL2914" s="37"/>
      <c r="KM2914" s="37"/>
      <c r="KN2914" s="37"/>
      <c r="KO2914" s="37"/>
      <c r="KP2914" s="37"/>
      <c r="KQ2914" s="37"/>
      <c r="KR2914" s="37"/>
      <c r="KS2914" s="37"/>
      <c r="KT2914" s="37"/>
      <c r="KU2914" s="37"/>
      <c r="KV2914" s="37"/>
      <c r="KW2914" s="37"/>
      <c r="KX2914" s="37"/>
      <c r="KY2914" s="37"/>
      <c r="KZ2914" s="37"/>
      <c r="LA2914" s="37"/>
      <c r="LB2914" s="37"/>
      <c r="LC2914" s="37"/>
      <c r="LD2914" s="37"/>
      <c r="LE2914" s="37"/>
      <c r="LF2914" s="37"/>
      <c r="LG2914" s="37"/>
      <c r="LH2914" s="37"/>
      <c r="LI2914" s="37"/>
      <c r="LJ2914" s="37"/>
      <c r="LK2914" s="37"/>
      <c r="LL2914" s="37"/>
      <c r="LM2914" s="37"/>
      <c r="LN2914" s="37"/>
      <c r="LO2914" s="37"/>
      <c r="LP2914" s="37"/>
      <c r="LQ2914" s="37"/>
      <c r="LR2914" s="37"/>
      <c r="LS2914" s="37"/>
      <c r="LT2914" s="37"/>
      <c r="LU2914" s="37"/>
      <c r="LV2914" s="37"/>
      <c r="LW2914" s="37"/>
      <c r="LX2914" s="37"/>
      <c r="LY2914" s="37"/>
      <c r="LZ2914" s="37"/>
      <c r="MA2914" s="37"/>
      <c r="MB2914" s="37"/>
      <c r="MC2914" s="37"/>
      <c r="MD2914" s="37"/>
      <c r="ME2914" s="37"/>
      <c r="MF2914" s="37"/>
      <c r="MG2914" s="37"/>
      <c r="MH2914" s="37"/>
      <c r="MI2914" s="37"/>
      <c r="MJ2914" s="37"/>
      <c r="MK2914" s="37"/>
      <c r="ML2914" s="37"/>
      <c r="MM2914" s="37"/>
      <c r="MN2914" s="37"/>
      <c r="MO2914" s="37"/>
      <c r="MP2914" s="37"/>
      <c r="MQ2914" s="37"/>
      <c r="MR2914" s="37"/>
      <c r="MS2914" s="37"/>
      <c r="MT2914" s="37"/>
      <c r="MU2914" s="37"/>
      <c r="MV2914" s="37"/>
      <c r="MW2914" s="37"/>
      <c r="MX2914" s="37"/>
      <c r="MY2914" s="37"/>
      <c r="MZ2914" s="37"/>
      <c r="NA2914" s="37"/>
      <c r="NB2914" s="37"/>
      <c r="NC2914" s="37"/>
      <c r="ND2914" s="37"/>
      <c r="NE2914" s="37"/>
      <c r="NF2914" s="37"/>
      <c r="NG2914" s="37"/>
      <c r="NH2914" s="37"/>
      <c r="NI2914" s="37"/>
      <c r="NJ2914" s="37"/>
      <c r="NK2914" s="37"/>
      <c r="NL2914" s="37"/>
      <c r="NM2914" s="37"/>
      <c r="NN2914" s="37"/>
      <c r="NO2914" s="37"/>
      <c r="NP2914" s="37"/>
      <c r="NQ2914" s="37"/>
      <c r="NR2914" s="37"/>
      <c r="NS2914" s="37"/>
      <c r="NT2914" s="37"/>
      <c r="NU2914" s="37"/>
      <c r="NV2914" s="37"/>
      <c r="NW2914" s="37"/>
      <c r="NX2914" s="37"/>
      <c r="NY2914" s="37"/>
      <c r="NZ2914" s="37"/>
      <c r="OA2914" s="37"/>
      <c r="OB2914" s="37"/>
      <c r="OC2914" s="37"/>
      <c r="OD2914" s="37"/>
      <c r="OE2914" s="37"/>
      <c r="OF2914" s="37"/>
      <c r="OG2914" s="37"/>
      <c r="OH2914" s="37"/>
      <c r="OI2914" s="37"/>
      <c r="OJ2914" s="37"/>
      <c r="OK2914" s="37"/>
      <c r="OL2914" s="37"/>
      <c r="OM2914" s="37"/>
      <c r="ON2914" s="37"/>
      <c r="OO2914" s="37"/>
      <c r="OP2914" s="37"/>
      <c r="OQ2914" s="37"/>
      <c r="OR2914" s="37"/>
      <c r="OS2914" s="37"/>
      <c r="OT2914" s="37"/>
      <c r="OU2914" s="37"/>
      <c r="OV2914" s="37"/>
      <c r="OW2914" s="37"/>
      <c r="OX2914" s="37"/>
      <c r="OY2914" s="37"/>
      <c r="OZ2914" s="37"/>
      <c r="PA2914" s="37"/>
      <c r="PB2914" s="37"/>
      <c r="PC2914" s="37"/>
      <c r="PD2914" s="37"/>
      <c r="PE2914" s="37"/>
      <c r="PF2914" s="37"/>
      <c r="PG2914" s="37"/>
      <c r="PH2914" s="37"/>
      <c r="PI2914" s="37"/>
      <c r="PJ2914" s="37"/>
      <c r="PK2914" s="37"/>
      <c r="PL2914" s="37"/>
      <c r="PM2914" s="37"/>
      <c r="PN2914" s="37"/>
      <c r="PO2914" s="37"/>
      <c r="PP2914" s="37"/>
      <c r="PQ2914" s="37"/>
      <c r="PR2914" s="37"/>
      <c r="PS2914" s="37"/>
      <c r="PT2914" s="37"/>
      <c r="PU2914" s="37"/>
      <c r="PV2914" s="37"/>
      <c r="PW2914" s="37"/>
      <c r="PX2914" s="37"/>
      <c r="PY2914" s="37"/>
      <c r="PZ2914" s="37"/>
      <c r="QA2914" s="37"/>
      <c r="QB2914" s="37"/>
      <c r="QC2914" s="37"/>
      <c r="QD2914" s="37"/>
      <c r="QE2914" s="37"/>
      <c r="QF2914" s="37"/>
      <c r="QG2914" s="37"/>
      <c r="QH2914" s="37"/>
      <c r="QI2914" s="37"/>
      <c r="QJ2914" s="37"/>
      <c r="QK2914" s="37"/>
      <c r="QL2914" s="37"/>
      <c r="QM2914" s="37"/>
      <c r="QN2914" s="37"/>
      <c r="QO2914" s="37"/>
      <c r="QP2914" s="37"/>
      <c r="QQ2914" s="37"/>
      <c r="QR2914" s="37"/>
      <c r="QS2914" s="37"/>
      <c r="QT2914" s="37"/>
      <c r="QU2914" s="37"/>
      <c r="QV2914" s="37"/>
      <c r="QW2914" s="37"/>
      <c r="QX2914" s="37"/>
      <c r="QY2914" s="37"/>
      <c r="QZ2914" s="37"/>
      <c r="RA2914" s="37"/>
      <c r="RB2914" s="37"/>
      <c r="RC2914" s="37"/>
      <c r="RD2914" s="37"/>
      <c r="RE2914" s="37"/>
      <c r="RF2914" s="37"/>
      <c r="RG2914" s="37"/>
      <c r="RH2914" s="37"/>
      <c r="RI2914" s="37"/>
      <c r="RJ2914" s="37"/>
      <c r="RK2914" s="37"/>
      <c r="RL2914" s="37"/>
      <c r="RM2914" s="37"/>
      <c r="RN2914" s="37"/>
      <c r="RO2914" s="37"/>
      <c r="RP2914" s="37"/>
      <c r="RQ2914" s="37"/>
      <c r="RR2914" s="37"/>
      <c r="RS2914" s="37"/>
      <c r="RT2914" s="37"/>
      <c r="RU2914" s="37"/>
      <c r="RV2914" s="37"/>
      <c r="RW2914" s="37"/>
      <c r="RX2914" s="37"/>
      <c r="RY2914" s="37"/>
      <c r="RZ2914" s="37"/>
      <c r="SA2914" s="37"/>
      <c r="SB2914" s="37"/>
      <c r="SC2914" s="37"/>
      <c r="SD2914" s="37"/>
      <c r="SE2914" s="37"/>
      <c r="SF2914" s="37"/>
    </row>
    <row r="2915" spans="1:500">
      <c r="A2915" s="37"/>
      <c r="B2915" s="37"/>
      <c r="C2915" s="37"/>
      <c r="D2915" s="37"/>
      <c r="E2915" s="37"/>
      <c r="F2915" s="37"/>
      <c r="G2915" s="37"/>
      <c r="H2915" s="37"/>
      <c r="I2915" s="37"/>
      <c r="J2915" s="37"/>
      <c r="K2915" s="37"/>
      <c r="L2915" s="37"/>
      <c r="M2915" s="37"/>
      <c r="N2915" s="37"/>
      <c r="O2915" s="37"/>
      <c r="P2915" s="37"/>
      <c r="Q2915" s="37"/>
      <c r="R2915" s="37"/>
      <c r="S2915" s="37"/>
      <c r="T2915" s="37"/>
      <c r="U2915" s="37"/>
      <c r="V2915" s="37"/>
      <c r="W2915" s="37"/>
      <c r="X2915" s="37"/>
      <c r="Y2915" s="37"/>
      <c r="Z2915" s="37"/>
      <c r="AA2915" s="37"/>
      <c r="AB2915" s="37"/>
      <c r="AC2915" s="37"/>
      <c r="AD2915" s="37"/>
      <c r="AE2915" s="37"/>
      <c r="AF2915" s="37"/>
      <c r="AG2915" s="37"/>
      <c r="AH2915" s="37"/>
      <c r="AI2915" s="37"/>
      <c r="AJ2915" s="37"/>
      <c r="AK2915" s="37"/>
      <c r="AL2915" s="37"/>
      <c r="AM2915" s="37"/>
      <c r="AN2915" s="37"/>
      <c r="AO2915" s="37"/>
      <c r="AP2915" s="37"/>
      <c r="AQ2915" s="37"/>
      <c r="AR2915" s="37"/>
      <c r="AS2915" s="37"/>
      <c r="AT2915" s="37"/>
      <c r="AU2915" s="37"/>
      <c r="AV2915" s="37"/>
      <c r="AW2915" s="37"/>
      <c r="AX2915" s="37"/>
      <c r="AY2915" s="37"/>
      <c r="AZ2915" s="37"/>
      <c r="BA2915" s="37"/>
      <c r="BB2915" s="37"/>
      <c r="BC2915" s="37"/>
      <c r="BD2915" s="37"/>
      <c r="BE2915" s="37"/>
      <c r="BF2915" s="37"/>
      <c r="BG2915" s="37"/>
      <c r="BH2915" s="37"/>
      <c r="BI2915" s="37"/>
      <c r="BJ2915" s="37"/>
      <c r="BK2915" s="37"/>
      <c r="BL2915" s="37"/>
      <c r="BM2915" s="37"/>
      <c r="BN2915" s="37"/>
      <c r="BO2915" s="37"/>
      <c r="BP2915" s="37"/>
      <c r="BQ2915" s="37"/>
      <c r="BR2915" s="37"/>
      <c r="BS2915" s="37"/>
      <c r="BT2915" s="37"/>
      <c r="BU2915" s="37"/>
      <c r="BV2915" s="37"/>
      <c r="BW2915" s="37"/>
      <c r="BX2915" s="37"/>
      <c r="BY2915" s="37"/>
      <c r="BZ2915" s="37"/>
      <c r="CA2915" s="37"/>
      <c r="CB2915" s="37"/>
      <c r="CC2915" s="37"/>
      <c r="CD2915" s="37"/>
      <c r="CE2915" s="37"/>
      <c r="CF2915" s="37"/>
      <c r="CG2915" s="37"/>
      <c r="CH2915" s="37"/>
      <c r="CI2915" s="37"/>
      <c r="CJ2915" s="37"/>
      <c r="CK2915" s="37"/>
      <c r="CL2915" s="37"/>
      <c r="CM2915" s="37"/>
      <c r="CN2915" s="37"/>
      <c r="CO2915" s="37"/>
      <c r="CP2915" s="37"/>
      <c r="CQ2915" s="37"/>
      <c r="CR2915" s="37"/>
      <c r="CS2915" s="37"/>
      <c r="CT2915" s="37"/>
      <c r="CU2915" s="37"/>
      <c r="CV2915" s="37"/>
      <c r="CW2915" s="37"/>
      <c r="CX2915" s="37"/>
      <c r="CY2915" s="37"/>
      <c r="CZ2915" s="37"/>
      <c r="DA2915" s="37"/>
      <c r="DB2915" s="37"/>
      <c r="DC2915" s="37"/>
      <c r="DD2915" s="37"/>
      <c r="DE2915" s="37"/>
      <c r="DF2915" s="37"/>
      <c r="DG2915" s="37"/>
      <c r="DH2915" s="37"/>
      <c r="DI2915" s="37"/>
      <c r="DJ2915" s="37"/>
      <c r="DK2915" s="37"/>
      <c r="DL2915" s="37"/>
      <c r="DM2915" s="37"/>
      <c r="DN2915" s="37"/>
      <c r="DO2915" s="37"/>
      <c r="DP2915" s="37"/>
      <c r="DQ2915" s="37"/>
      <c r="DR2915" s="37"/>
      <c r="DS2915" s="37"/>
      <c r="DT2915" s="37"/>
      <c r="DU2915" s="37"/>
      <c r="DV2915" s="37"/>
      <c r="DW2915" s="37"/>
      <c r="DX2915" s="37"/>
      <c r="DY2915" s="37"/>
      <c r="DZ2915" s="37"/>
      <c r="EA2915" s="37"/>
      <c r="EB2915" s="37"/>
      <c r="EC2915" s="37"/>
      <c r="ED2915" s="37"/>
      <c r="EE2915" s="37"/>
      <c r="EF2915" s="37"/>
      <c r="EG2915" s="37"/>
      <c r="EH2915" s="37"/>
      <c r="EI2915" s="37"/>
      <c r="EJ2915" s="37"/>
      <c r="EK2915" s="37"/>
      <c r="EL2915" s="37"/>
      <c r="EM2915" s="37"/>
      <c r="EN2915" s="37"/>
      <c r="EO2915" s="37"/>
      <c r="EP2915" s="37"/>
      <c r="EQ2915" s="37"/>
      <c r="ER2915" s="37"/>
      <c r="ES2915" s="37"/>
      <c r="ET2915" s="37"/>
      <c r="EU2915" s="37"/>
      <c r="EV2915" s="37"/>
      <c r="EW2915" s="37"/>
      <c r="EX2915" s="37"/>
      <c r="EY2915" s="37"/>
      <c r="EZ2915" s="37"/>
      <c r="FA2915" s="37"/>
      <c r="FB2915" s="37"/>
      <c r="FC2915" s="37"/>
      <c r="FD2915" s="37"/>
      <c r="FE2915" s="37"/>
      <c r="FF2915" s="37"/>
      <c r="FG2915" s="37"/>
      <c r="FH2915" s="37"/>
      <c r="FI2915" s="37"/>
      <c r="FJ2915" s="37"/>
      <c r="FK2915" s="37"/>
      <c r="FL2915" s="37"/>
      <c r="FM2915" s="37"/>
      <c r="FN2915" s="37"/>
      <c r="FO2915" s="37"/>
      <c r="FP2915" s="37"/>
      <c r="FQ2915" s="37"/>
      <c r="FR2915" s="37"/>
      <c r="FS2915" s="37"/>
      <c r="FT2915" s="37"/>
      <c r="FU2915" s="37"/>
      <c r="FV2915" s="37"/>
      <c r="FW2915" s="37"/>
      <c r="FX2915" s="37"/>
      <c r="FY2915" s="37"/>
      <c r="FZ2915" s="37"/>
      <c r="GA2915" s="37"/>
      <c r="GB2915" s="37"/>
      <c r="GC2915" s="37"/>
      <c r="GD2915" s="37"/>
      <c r="GE2915" s="37"/>
      <c r="GF2915" s="37"/>
      <c r="GG2915" s="37"/>
      <c r="GH2915" s="37"/>
      <c r="GI2915" s="37"/>
      <c r="GJ2915" s="37"/>
      <c r="GK2915" s="37"/>
      <c r="GL2915" s="37"/>
      <c r="GM2915" s="37"/>
      <c r="GN2915" s="37"/>
      <c r="GO2915" s="37"/>
      <c r="GP2915" s="37"/>
      <c r="GQ2915" s="37"/>
      <c r="GR2915" s="37"/>
      <c r="GS2915" s="37"/>
      <c r="GT2915" s="37"/>
      <c r="GU2915" s="37"/>
      <c r="GV2915" s="37"/>
      <c r="GW2915" s="37"/>
      <c r="GX2915" s="37"/>
      <c r="GY2915" s="37"/>
      <c r="GZ2915" s="37"/>
      <c r="HA2915" s="37"/>
      <c r="HB2915" s="37"/>
      <c r="HC2915" s="37"/>
      <c r="HD2915" s="37"/>
      <c r="HE2915" s="37"/>
      <c r="HF2915" s="37"/>
      <c r="HG2915" s="37"/>
      <c r="HH2915" s="37"/>
      <c r="HI2915" s="37"/>
      <c r="HJ2915" s="37"/>
      <c r="HK2915" s="37"/>
      <c r="HL2915" s="37"/>
      <c r="HM2915" s="37"/>
      <c r="HN2915" s="37"/>
      <c r="HO2915" s="37"/>
      <c r="HP2915" s="37"/>
      <c r="HQ2915" s="37"/>
      <c r="HR2915" s="37"/>
      <c r="HS2915" s="37"/>
      <c r="HT2915" s="37"/>
      <c r="HU2915" s="37"/>
      <c r="HV2915" s="37"/>
      <c r="HW2915" s="37"/>
      <c r="HX2915" s="37"/>
      <c r="HY2915" s="37"/>
      <c r="HZ2915" s="37"/>
      <c r="IA2915" s="37"/>
      <c r="IB2915" s="37"/>
      <c r="IC2915" s="37"/>
      <c r="ID2915" s="37"/>
      <c r="IE2915" s="37"/>
      <c r="IF2915" s="37"/>
      <c r="IG2915" s="37"/>
      <c r="IH2915" s="37"/>
      <c r="II2915" s="37"/>
      <c r="IJ2915" s="37"/>
      <c r="IK2915" s="37"/>
      <c r="IL2915" s="37"/>
      <c r="IM2915" s="37"/>
      <c r="IN2915" s="37"/>
      <c r="IO2915" s="37"/>
      <c r="IP2915" s="37"/>
      <c r="IQ2915" s="37"/>
      <c r="IR2915" s="37"/>
      <c r="IS2915" s="37"/>
      <c r="IT2915" s="37"/>
      <c r="IU2915" s="37"/>
      <c r="IV2915" s="37"/>
      <c r="IW2915" s="37"/>
      <c r="IX2915" s="37"/>
      <c r="IY2915" s="37"/>
      <c r="IZ2915" s="37"/>
      <c r="JA2915" s="37"/>
      <c r="JB2915" s="37"/>
      <c r="JC2915" s="37"/>
      <c r="JD2915" s="37"/>
      <c r="JE2915" s="37"/>
      <c r="JF2915" s="37"/>
      <c r="JG2915" s="37"/>
      <c r="JH2915" s="37"/>
      <c r="JI2915" s="37"/>
      <c r="JJ2915" s="37"/>
      <c r="JK2915" s="37"/>
      <c r="JL2915" s="37"/>
      <c r="JM2915" s="37"/>
      <c r="JN2915" s="37"/>
      <c r="JO2915" s="37"/>
      <c r="JP2915" s="37"/>
      <c r="JQ2915" s="37"/>
      <c r="JR2915" s="37"/>
      <c r="JS2915" s="37"/>
      <c r="JT2915" s="37"/>
      <c r="JU2915" s="37"/>
      <c r="JV2915" s="37"/>
      <c r="JW2915" s="37"/>
      <c r="JX2915" s="37"/>
      <c r="JY2915" s="37"/>
      <c r="JZ2915" s="37"/>
      <c r="KA2915" s="37"/>
      <c r="KB2915" s="37"/>
      <c r="KC2915" s="37"/>
      <c r="KD2915" s="37"/>
      <c r="KE2915" s="37"/>
      <c r="KF2915" s="37"/>
      <c r="KG2915" s="37"/>
      <c r="KH2915" s="37"/>
      <c r="KI2915" s="37"/>
      <c r="KJ2915" s="37"/>
      <c r="KK2915" s="37"/>
      <c r="KL2915" s="37"/>
      <c r="KM2915" s="37"/>
      <c r="KN2915" s="37"/>
      <c r="KO2915" s="37"/>
      <c r="KP2915" s="37"/>
      <c r="KQ2915" s="37"/>
      <c r="KR2915" s="37"/>
      <c r="KS2915" s="37"/>
      <c r="KT2915" s="37"/>
      <c r="KU2915" s="37"/>
      <c r="KV2915" s="37"/>
      <c r="KW2915" s="37"/>
      <c r="KX2915" s="37"/>
      <c r="KY2915" s="37"/>
      <c r="KZ2915" s="37"/>
      <c r="LA2915" s="37"/>
      <c r="LB2915" s="37"/>
      <c r="LC2915" s="37"/>
      <c r="LD2915" s="37"/>
      <c r="LE2915" s="37"/>
      <c r="LF2915" s="37"/>
      <c r="LG2915" s="37"/>
      <c r="LH2915" s="37"/>
      <c r="LI2915" s="37"/>
      <c r="LJ2915" s="37"/>
      <c r="LK2915" s="37"/>
      <c r="LL2915" s="37"/>
      <c r="LM2915" s="37"/>
      <c r="LN2915" s="37"/>
      <c r="LO2915" s="37"/>
      <c r="LP2915" s="37"/>
      <c r="LQ2915" s="37"/>
      <c r="LR2915" s="37"/>
      <c r="LS2915" s="37"/>
      <c r="LT2915" s="37"/>
      <c r="LU2915" s="37"/>
      <c r="LV2915" s="37"/>
      <c r="LW2915" s="37"/>
      <c r="LX2915" s="37"/>
      <c r="LY2915" s="37"/>
      <c r="LZ2915" s="37"/>
      <c r="MA2915" s="37"/>
      <c r="MB2915" s="37"/>
      <c r="MC2915" s="37"/>
      <c r="MD2915" s="37"/>
      <c r="ME2915" s="37"/>
      <c r="MF2915" s="37"/>
      <c r="MG2915" s="37"/>
      <c r="MH2915" s="37"/>
      <c r="MI2915" s="37"/>
      <c r="MJ2915" s="37"/>
      <c r="MK2915" s="37"/>
      <c r="ML2915" s="37"/>
      <c r="MM2915" s="37"/>
      <c r="MN2915" s="37"/>
      <c r="MO2915" s="37"/>
      <c r="MP2915" s="37"/>
      <c r="MQ2915" s="37"/>
      <c r="MR2915" s="37"/>
      <c r="MS2915" s="37"/>
      <c r="MT2915" s="37"/>
      <c r="MU2915" s="37"/>
      <c r="MV2915" s="37"/>
      <c r="MW2915" s="37"/>
      <c r="MX2915" s="37"/>
      <c r="MY2915" s="37"/>
      <c r="MZ2915" s="37"/>
      <c r="NA2915" s="37"/>
      <c r="NB2915" s="37"/>
      <c r="NC2915" s="37"/>
      <c r="ND2915" s="37"/>
      <c r="NE2915" s="37"/>
      <c r="NF2915" s="37"/>
      <c r="NG2915" s="37"/>
      <c r="NH2915" s="37"/>
      <c r="NI2915" s="37"/>
      <c r="NJ2915" s="37"/>
      <c r="NK2915" s="37"/>
      <c r="NL2915" s="37"/>
      <c r="NM2915" s="37"/>
      <c r="NN2915" s="37"/>
      <c r="NO2915" s="37"/>
      <c r="NP2915" s="37"/>
      <c r="NQ2915" s="37"/>
      <c r="NR2915" s="37"/>
      <c r="NS2915" s="37"/>
      <c r="NT2915" s="37"/>
      <c r="NU2915" s="37"/>
      <c r="NV2915" s="37"/>
      <c r="NW2915" s="37"/>
      <c r="NX2915" s="37"/>
      <c r="NY2915" s="37"/>
      <c r="NZ2915" s="37"/>
      <c r="OA2915" s="37"/>
      <c r="OB2915" s="37"/>
      <c r="OC2915" s="37"/>
      <c r="OD2915" s="37"/>
      <c r="OE2915" s="37"/>
      <c r="OF2915" s="37"/>
      <c r="OG2915" s="37"/>
      <c r="OH2915" s="37"/>
      <c r="OI2915" s="37"/>
      <c r="OJ2915" s="37"/>
      <c r="OK2915" s="37"/>
      <c r="OL2915" s="37"/>
      <c r="OM2915" s="37"/>
      <c r="ON2915" s="37"/>
      <c r="OO2915" s="37"/>
      <c r="OP2915" s="37"/>
      <c r="OQ2915" s="37"/>
      <c r="OR2915" s="37"/>
      <c r="OS2915" s="37"/>
      <c r="OT2915" s="37"/>
      <c r="OU2915" s="37"/>
      <c r="OV2915" s="37"/>
      <c r="OW2915" s="37"/>
      <c r="OX2915" s="37"/>
      <c r="OY2915" s="37"/>
      <c r="OZ2915" s="37"/>
      <c r="PA2915" s="37"/>
      <c r="PB2915" s="37"/>
      <c r="PC2915" s="37"/>
      <c r="PD2915" s="37"/>
      <c r="PE2915" s="37"/>
      <c r="PF2915" s="37"/>
      <c r="PG2915" s="37"/>
      <c r="PH2915" s="37"/>
      <c r="PI2915" s="37"/>
      <c r="PJ2915" s="37"/>
      <c r="PK2915" s="37"/>
      <c r="PL2915" s="37"/>
      <c r="PM2915" s="37"/>
      <c r="PN2915" s="37"/>
      <c r="PO2915" s="37"/>
      <c r="PP2915" s="37"/>
      <c r="PQ2915" s="37"/>
      <c r="PR2915" s="37"/>
      <c r="PS2915" s="37"/>
      <c r="PT2915" s="37"/>
      <c r="PU2915" s="37"/>
      <c r="PV2915" s="37"/>
      <c r="PW2915" s="37"/>
      <c r="PX2915" s="37"/>
      <c r="PY2915" s="37"/>
      <c r="PZ2915" s="37"/>
      <c r="QA2915" s="37"/>
      <c r="QB2915" s="37"/>
      <c r="QC2915" s="37"/>
      <c r="QD2915" s="37"/>
      <c r="QE2915" s="37"/>
      <c r="QF2915" s="37"/>
      <c r="QG2915" s="37"/>
      <c r="QH2915" s="37"/>
      <c r="QI2915" s="37"/>
      <c r="QJ2915" s="37"/>
      <c r="QK2915" s="37"/>
      <c r="QL2915" s="37"/>
      <c r="QM2915" s="37"/>
      <c r="QN2915" s="37"/>
      <c r="QO2915" s="37"/>
      <c r="QP2915" s="37"/>
      <c r="QQ2915" s="37"/>
      <c r="QR2915" s="37"/>
      <c r="QS2915" s="37"/>
      <c r="QT2915" s="37"/>
      <c r="QU2915" s="37"/>
      <c r="QV2915" s="37"/>
      <c r="QW2915" s="37"/>
      <c r="QX2915" s="37"/>
      <c r="QY2915" s="37"/>
      <c r="QZ2915" s="37"/>
      <c r="RA2915" s="37"/>
      <c r="RB2915" s="37"/>
      <c r="RC2915" s="37"/>
      <c r="RD2915" s="37"/>
      <c r="RE2915" s="37"/>
      <c r="RF2915" s="37"/>
      <c r="RG2915" s="37"/>
      <c r="RH2915" s="37"/>
      <c r="RI2915" s="37"/>
      <c r="RJ2915" s="37"/>
      <c r="RK2915" s="37"/>
      <c r="RL2915" s="37"/>
      <c r="RM2915" s="37"/>
      <c r="RN2915" s="37"/>
      <c r="RO2915" s="37"/>
      <c r="RP2915" s="37"/>
      <c r="RQ2915" s="37"/>
      <c r="RR2915" s="37"/>
      <c r="RS2915" s="37"/>
      <c r="RT2915" s="37"/>
      <c r="RU2915" s="37"/>
      <c r="RV2915" s="37"/>
      <c r="RW2915" s="37"/>
      <c r="RX2915" s="37"/>
      <c r="RY2915" s="37"/>
      <c r="RZ2915" s="37"/>
      <c r="SA2915" s="37"/>
      <c r="SB2915" s="37"/>
      <c r="SC2915" s="37"/>
      <c r="SD2915" s="37"/>
      <c r="SE2915" s="37"/>
      <c r="SF2915" s="37"/>
    </row>
    <row r="2916" spans="1:500">
      <c r="A2916" s="37"/>
      <c r="B2916" s="37"/>
      <c r="C2916" s="37"/>
      <c r="D2916" s="37"/>
      <c r="E2916" s="37"/>
      <c r="F2916" s="37"/>
      <c r="G2916" s="37"/>
      <c r="H2916" s="37"/>
      <c r="I2916" s="37"/>
      <c r="J2916" s="37"/>
      <c r="K2916" s="37"/>
      <c r="L2916" s="37"/>
      <c r="M2916" s="37"/>
      <c r="N2916" s="37"/>
      <c r="O2916" s="37"/>
      <c r="P2916" s="37"/>
      <c r="Q2916" s="37"/>
      <c r="R2916" s="37"/>
      <c r="S2916" s="37"/>
      <c r="T2916" s="37"/>
      <c r="U2916" s="37"/>
      <c r="V2916" s="37"/>
      <c r="W2916" s="37"/>
      <c r="X2916" s="37"/>
      <c r="Y2916" s="37"/>
      <c r="Z2916" s="37"/>
      <c r="AA2916" s="37"/>
      <c r="AB2916" s="37"/>
      <c r="AC2916" s="37"/>
      <c r="AD2916" s="37"/>
      <c r="AE2916" s="37"/>
      <c r="AF2916" s="37"/>
      <c r="AG2916" s="37"/>
      <c r="AH2916" s="37"/>
      <c r="AI2916" s="37"/>
      <c r="AJ2916" s="37"/>
      <c r="AK2916" s="37"/>
      <c r="AL2916" s="37"/>
      <c r="AM2916" s="37"/>
      <c r="AN2916" s="37"/>
      <c r="AO2916" s="37"/>
      <c r="AP2916" s="37"/>
      <c r="AQ2916" s="37"/>
      <c r="AR2916" s="37"/>
      <c r="AS2916" s="37"/>
      <c r="AT2916" s="37"/>
      <c r="AU2916" s="37"/>
      <c r="AV2916" s="37"/>
      <c r="AW2916" s="37"/>
      <c r="AX2916" s="37"/>
      <c r="AY2916" s="37"/>
      <c r="AZ2916" s="37"/>
      <c r="BA2916" s="37"/>
      <c r="BB2916" s="37"/>
      <c r="BC2916" s="37"/>
      <c r="BD2916" s="37"/>
      <c r="BE2916" s="37"/>
      <c r="BF2916" s="37"/>
      <c r="BG2916" s="37"/>
      <c r="BH2916" s="37"/>
      <c r="BI2916" s="37"/>
      <c r="BJ2916" s="37"/>
      <c r="BK2916" s="37"/>
      <c r="BL2916" s="37"/>
      <c r="BM2916" s="37"/>
      <c r="BN2916" s="37"/>
      <c r="BO2916" s="37"/>
      <c r="BP2916" s="37"/>
      <c r="BQ2916" s="37"/>
      <c r="BR2916" s="37"/>
      <c r="BS2916" s="37"/>
      <c r="BT2916" s="37"/>
      <c r="BU2916" s="37"/>
      <c r="BV2916" s="37"/>
      <c r="BW2916" s="37"/>
      <c r="BX2916" s="37"/>
      <c r="BY2916" s="37"/>
      <c r="BZ2916" s="37"/>
      <c r="CA2916" s="37"/>
      <c r="CB2916" s="37"/>
      <c r="CC2916" s="37"/>
      <c r="CD2916" s="37"/>
      <c r="CE2916" s="37"/>
      <c r="CF2916" s="37"/>
      <c r="CG2916" s="37"/>
      <c r="CH2916" s="37"/>
      <c r="CI2916" s="37"/>
      <c r="CJ2916" s="37"/>
      <c r="CK2916" s="37"/>
      <c r="CL2916" s="37"/>
      <c r="CM2916" s="37"/>
      <c r="CN2916" s="37"/>
      <c r="CO2916" s="37"/>
      <c r="CP2916" s="37"/>
      <c r="CQ2916" s="37"/>
      <c r="CR2916" s="37"/>
      <c r="CS2916" s="37"/>
      <c r="CT2916" s="37"/>
      <c r="CU2916" s="37"/>
      <c r="CV2916" s="37"/>
      <c r="CW2916" s="37"/>
      <c r="CX2916" s="37"/>
      <c r="CY2916" s="37"/>
      <c r="CZ2916" s="37"/>
      <c r="DA2916" s="37"/>
      <c r="DB2916" s="37"/>
      <c r="DC2916" s="37"/>
      <c r="DD2916" s="37"/>
      <c r="DE2916" s="37"/>
      <c r="DF2916" s="37"/>
      <c r="DG2916" s="37"/>
      <c r="DH2916" s="37"/>
      <c r="DI2916" s="37"/>
      <c r="DJ2916" s="37"/>
      <c r="DK2916" s="37"/>
      <c r="DL2916" s="37"/>
      <c r="DM2916" s="37"/>
      <c r="DN2916" s="37"/>
      <c r="DO2916" s="37"/>
      <c r="DP2916" s="37"/>
      <c r="DQ2916" s="37"/>
      <c r="DR2916" s="37"/>
      <c r="DS2916" s="37"/>
      <c r="DT2916" s="37"/>
      <c r="DU2916" s="37"/>
      <c r="DV2916" s="37"/>
      <c r="DW2916" s="37"/>
      <c r="DX2916" s="37"/>
      <c r="DY2916" s="37"/>
      <c r="DZ2916" s="37"/>
      <c r="EA2916" s="37"/>
      <c r="EB2916" s="37"/>
      <c r="EC2916" s="37"/>
      <c r="ED2916" s="37"/>
      <c r="EE2916" s="37"/>
      <c r="EF2916" s="37"/>
      <c r="EG2916" s="37"/>
      <c r="EH2916" s="37"/>
      <c r="EI2916" s="37"/>
      <c r="EJ2916" s="37"/>
      <c r="EK2916" s="37"/>
      <c r="EL2916" s="37"/>
      <c r="EM2916" s="37"/>
      <c r="EN2916" s="37"/>
      <c r="EO2916" s="37"/>
      <c r="EP2916" s="37"/>
      <c r="EQ2916" s="37"/>
      <c r="ER2916" s="37"/>
      <c r="ES2916" s="37"/>
      <c r="ET2916" s="37"/>
      <c r="EU2916" s="37"/>
      <c r="EV2916" s="37"/>
      <c r="EW2916" s="37"/>
      <c r="EX2916" s="37"/>
      <c r="EY2916" s="37"/>
      <c r="EZ2916" s="37"/>
      <c r="FA2916" s="37"/>
      <c r="FB2916" s="37"/>
      <c r="FC2916" s="37"/>
      <c r="FD2916" s="37"/>
      <c r="FE2916" s="37"/>
      <c r="FF2916" s="37"/>
      <c r="FG2916" s="37"/>
      <c r="FH2916" s="37"/>
      <c r="FI2916" s="37"/>
      <c r="FJ2916" s="37"/>
      <c r="FK2916" s="37"/>
      <c r="FL2916" s="37"/>
      <c r="FM2916" s="37"/>
      <c r="FN2916" s="37"/>
      <c r="FO2916" s="37"/>
      <c r="FP2916" s="37"/>
      <c r="FQ2916" s="37"/>
      <c r="FR2916" s="37"/>
      <c r="FS2916" s="37"/>
      <c r="FT2916" s="37"/>
      <c r="FU2916" s="37"/>
      <c r="FV2916" s="37"/>
      <c r="FW2916" s="37"/>
      <c r="FX2916" s="37"/>
      <c r="FY2916" s="37"/>
      <c r="FZ2916" s="37"/>
      <c r="GA2916" s="37"/>
      <c r="GB2916" s="37"/>
      <c r="GC2916" s="37"/>
      <c r="GD2916" s="37"/>
      <c r="GE2916" s="37"/>
      <c r="GF2916" s="37"/>
      <c r="GG2916" s="37"/>
      <c r="GH2916" s="37"/>
      <c r="GI2916" s="37"/>
      <c r="GJ2916" s="37"/>
      <c r="GK2916" s="37"/>
      <c r="GL2916" s="37"/>
      <c r="GM2916" s="37"/>
      <c r="GN2916" s="37"/>
      <c r="GO2916" s="37"/>
      <c r="GP2916" s="37"/>
      <c r="GQ2916" s="37"/>
      <c r="GR2916" s="37"/>
      <c r="GS2916" s="37"/>
      <c r="GT2916" s="37"/>
      <c r="GU2916" s="37"/>
      <c r="GV2916" s="37"/>
      <c r="GW2916" s="37"/>
      <c r="GX2916" s="37"/>
      <c r="GY2916" s="37"/>
      <c r="GZ2916" s="37"/>
      <c r="HA2916" s="37"/>
      <c r="HB2916" s="37"/>
      <c r="HC2916" s="37"/>
      <c r="HD2916" s="37"/>
      <c r="HE2916" s="37"/>
      <c r="HF2916" s="37"/>
      <c r="HG2916" s="37"/>
      <c r="HH2916" s="37"/>
      <c r="HI2916" s="37"/>
      <c r="HJ2916" s="37"/>
      <c r="HK2916" s="37"/>
      <c r="HL2916" s="37"/>
      <c r="HM2916" s="37"/>
      <c r="HN2916" s="37"/>
      <c r="HO2916" s="37"/>
      <c r="HP2916" s="37"/>
      <c r="HQ2916" s="37"/>
      <c r="HR2916" s="37"/>
      <c r="HS2916" s="37"/>
      <c r="HT2916" s="37"/>
      <c r="HU2916" s="37"/>
      <c r="HV2916" s="37"/>
      <c r="HW2916" s="37"/>
      <c r="HX2916" s="37"/>
      <c r="HY2916" s="37"/>
      <c r="HZ2916" s="37"/>
      <c r="IA2916" s="37"/>
      <c r="IB2916" s="37"/>
      <c r="IC2916" s="37"/>
      <c r="ID2916" s="37"/>
      <c r="IE2916" s="37"/>
      <c r="IF2916" s="37"/>
      <c r="IG2916" s="37"/>
      <c r="IH2916" s="37"/>
      <c r="II2916" s="37"/>
      <c r="IJ2916" s="37"/>
      <c r="IK2916" s="37"/>
      <c r="IL2916" s="37"/>
      <c r="IM2916" s="37"/>
      <c r="IN2916" s="37"/>
      <c r="IO2916" s="37"/>
      <c r="IP2916" s="37"/>
      <c r="IQ2916" s="37"/>
      <c r="IR2916" s="37"/>
      <c r="IS2916" s="37"/>
      <c r="IT2916" s="37"/>
      <c r="IU2916" s="37"/>
      <c r="IV2916" s="37"/>
      <c r="IW2916" s="37"/>
      <c r="IX2916" s="37"/>
      <c r="IY2916" s="37"/>
      <c r="IZ2916" s="37"/>
      <c r="JA2916" s="37"/>
      <c r="JB2916" s="37"/>
      <c r="JC2916" s="37"/>
      <c r="JD2916" s="37"/>
      <c r="JE2916" s="37"/>
      <c r="JF2916" s="37"/>
      <c r="JG2916" s="37"/>
      <c r="JH2916" s="37"/>
      <c r="JI2916" s="37"/>
      <c r="JJ2916" s="37"/>
      <c r="JK2916" s="37"/>
      <c r="JL2916" s="37"/>
      <c r="JM2916" s="37"/>
      <c r="JN2916" s="37"/>
      <c r="JO2916" s="37"/>
      <c r="JP2916" s="37"/>
      <c r="JQ2916" s="37"/>
      <c r="JR2916" s="37"/>
      <c r="JS2916" s="37"/>
      <c r="JT2916" s="37"/>
      <c r="JU2916" s="37"/>
      <c r="JV2916" s="37"/>
      <c r="JW2916" s="37"/>
      <c r="JX2916" s="37"/>
      <c r="JY2916" s="37"/>
      <c r="JZ2916" s="37"/>
      <c r="KA2916" s="37"/>
      <c r="KB2916" s="37"/>
      <c r="KC2916" s="37"/>
      <c r="KD2916" s="37"/>
      <c r="KE2916" s="37"/>
      <c r="KF2916" s="37"/>
      <c r="KG2916" s="37"/>
      <c r="KH2916" s="37"/>
      <c r="KI2916" s="37"/>
      <c r="KJ2916" s="37"/>
      <c r="KK2916" s="37"/>
      <c r="KL2916" s="37"/>
      <c r="KM2916" s="37"/>
      <c r="KN2916" s="37"/>
      <c r="KO2916" s="37"/>
      <c r="KP2916" s="37"/>
      <c r="KQ2916" s="37"/>
      <c r="KR2916" s="37"/>
      <c r="KS2916" s="37"/>
      <c r="KT2916" s="37"/>
      <c r="KU2916" s="37"/>
      <c r="KV2916" s="37"/>
      <c r="KW2916" s="37"/>
      <c r="KX2916" s="37"/>
      <c r="KY2916" s="37"/>
      <c r="KZ2916" s="37"/>
      <c r="LA2916" s="37"/>
      <c r="LB2916" s="37"/>
      <c r="LC2916" s="37"/>
      <c r="LD2916" s="37"/>
      <c r="LE2916" s="37"/>
      <c r="LF2916" s="37"/>
      <c r="LG2916" s="37"/>
      <c r="LH2916" s="37"/>
      <c r="LI2916" s="37"/>
      <c r="LJ2916" s="37"/>
      <c r="LK2916" s="37"/>
      <c r="LL2916" s="37"/>
      <c r="LM2916" s="37"/>
      <c r="LN2916" s="37"/>
      <c r="LO2916" s="37"/>
      <c r="LP2916" s="37"/>
      <c r="LQ2916" s="37"/>
      <c r="LR2916" s="37"/>
      <c r="LS2916" s="37"/>
      <c r="LT2916" s="37"/>
      <c r="LU2916" s="37"/>
      <c r="LV2916" s="37"/>
      <c r="LW2916" s="37"/>
      <c r="LX2916" s="37"/>
      <c r="LY2916" s="37"/>
      <c r="LZ2916" s="37"/>
      <c r="MA2916" s="37"/>
      <c r="MB2916" s="37"/>
      <c r="MC2916" s="37"/>
      <c r="MD2916" s="37"/>
      <c r="ME2916" s="37"/>
      <c r="MF2916" s="37"/>
      <c r="MG2916" s="37"/>
      <c r="MH2916" s="37"/>
      <c r="MI2916" s="37"/>
      <c r="MJ2916" s="37"/>
      <c r="MK2916" s="37"/>
      <c r="ML2916" s="37"/>
      <c r="MM2916" s="37"/>
      <c r="MN2916" s="37"/>
      <c r="MO2916" s="37"/>
      <c r="MP2916" s="37"/>
      <c r="MQ2916" s="37"/>
      <c r="MR2916" s="37"/>
      <c r="MS2916" s="37"/>
      <c r="MT2916" s="37"/>
      <c r="MU2916" s="37"/>
      <c r="MV2916" s="37"/>
      <c r="MW2916" s="37"/>
      <c r="MX2916" s="37"/>
      <c r="MY2916" s="37"/>
      <c r="MZ2916" s="37"/>
      <c r="NA2916" s="37"/>
      <c r="NB2916" s="37"/>
      <c r="NC2916" s="37"/>
      <c r="ND2916" s="37"/>
      <c r="NE2916" s="37"/>
      <c r="NF2916" s="37"/>
      <c r="NG2916" s="37"/>
      <c r="NH2916" s="37"/>
      <c r="NI2916" s="37"/>
      <c r="NJ2916" s="37"/>
      <c r="NK2916" s="37"/>
      <c r="NL2916" s="37"/>
      <c r="NM2916" s="37"/>
      <c r="NN2916" s="37"/>
      <c r="NO2916" s="37"/>
      <c r="NP2916" s="37"/>
      <c r="NQ2916" s="37"/>
      <c r="NR2916" s="37"/>
      <c r="NS2916" s="37"/>
      <c r="NT2916" s="37"/>
      <c r="NU2916" s="37"/>
      <c r="NV2916" s="37"/>
      <c r="NW2916" s="37"/>
      <c r="NX2916" s="37"/>
      <c r="NY2916" s="37"/>
      <c r="NZ2916" s="37"/>
      <c r="OA2916" s="37"/>
      <c r="OB2916" s="37"/>
      <c r="OC2916" s="37"/>
      <c r="OD2916" s="37"/>
      <c r="OE2916" s="37"/>
      <c r="OF2916" s="37"/>
      <c r="OG2916" s="37"/>
      <c r="OH2916" s="37"/>
      <c r="OI2916" s="37"/>
      <c r="OJ2916" s="37"/>
      <c r="OK2916" s="37"/>
      <c r="OL2916" s="37"/>
      <c r="OM2916" s="37"/>
      <c r="ON2916" s="37"/>
      <c r="OO2916" s="37"/>
      <c r="OP2916" s="37"/>
      <c r="OQ2916" s="37"/>
      <c r="OR2916" s="37"/>
      <c r="OS2916" s="37"/>
      <c r="OT2916" s="37"/>
      <c r="OU2916" s="37"/>
      <c r="OV2916" s="37"/>
      <c r="OW2916" s="37"/>
      <c r="OX2916" s="37"/>
      <c r="OY2916" s="37"/>
      <c r="OZ2916" s="37"/>
      <c r="PA2916" s="37"/>
      <c r="PB2916" s="37"/>
      <c r="PC2916" s="37"/>
      <c r="PD2916" s="37"/>
      <c r="PE2916" s="37"/>
      <c r="PF2916" s="37"/>
      <c r="PG2916" s="37"/>
      <c r="PH2916" s="37"/>
      <c r="PI2916" s="37"/>
      <c r="PJ2916" s="37"/>
      <c r="PK2916" s="37"/>
      <c r="PL2916" s="37"/>
      <c r="PM2916" s="37"/>
      <c r="PN2916" s="37"/>
      <c r="PO2916" s="37"/>
      <c r="PP2916" s="37"/>
      <c r="PQ2916" s="37"/>
      <c r="PR2916" s="37"/>
      <c r="PS2916" s="37"/>
      <c r="PT2916" s="37"/>
      <c r="PU2916" s="37"/>
      <c r="PV2916" s="37"/>
      <c r="PW2916" s="37"/>
      <c r="PX2916" s="37"/>
      <c r="PY2916" s="37"/>
      <c r="PZ2916" s="37"/>
      <c r="QA2916" s="37"/>
      <c r="QB2916" s="37"/>
      <c r="QC2916" s="37"/>
      <c r="QD2916" s="37"/>
      <c r="QE2916" s="37"/>
      <c r="QF2916" s="37"/>
      <c r="QG2916" s="37"/>
      <c r="QH2916" s="37"/>
      <c r="QI2916" s="37"/>
      <c r="QJ2916" s="37"/>
      <c r="QK2916" s="37"/>
      <c r="QL2916" s="37"/>
      <c r="QM2916" s="37"/>
      <c r="QN2916" s="37"/>
      <c r="QO2916" s="37"/>
      <c r="QP2916" s="37"/>
      <c r="QQ2916" s="37"/>
      <c r="QR2916" s="37"/>
      <c r="QS2916" s="37"/>
      <c r="QT2916" s="37"/>
      <c r="QU2916" s="37"/>
      <c r="QV2916" s="37"/>
      <c r="QW2916" s="37"/>
      <c r="QX2916" s="37"/>
      <c r="QY2916" s="37"/>
      <c r="QZ2916" s="37"/>
      <c r="RA2916" s="37"/>
      <c r="RB2916" s="37"/>
      <c r="RC2916" s="37"/>
      <c r="RD2916" s="37"/>
      <c r="RE2916" s="37"/>
      <c r="RF2916" s="37"/>
      <c r="RG2916" s="37"/>
      <c r="RH2916" s="37"/>
      <c r="RI2916" s="37"/>
      <c r="RJ2916" s="37"/>
      <c r="RK2916" s="37"/>
      <c r="RL2916" s="37"/>
      <c r="RM2916" s="37"/>
      <c r="RN2916" s="37"/>
      <c r="RO2916" s="37"/>
      <c r="RP2916" s="37"/>
      <c r="RQ2916" s="37"/>
      <c r="RR2916" s="37"/>
      <c r="RS2916" s="37"/>
      <c r="RT2916" s="37"/>
      <c r="RU2916" s="37"/>
      <c r="RV2916" s="37"/>
      <c r="RW2916" s="37"/>
      <c r="RX2916" s="37"/>
      <c r="RY2916" s="37"/>
      <c r="RZ2916" s="37"/>
      <c r="SA2916" s="37"/>
      <c r="SB2916" s="37"/>
      <c r="SC2916" s="37"/>
      <c r="SD2916" s="37"/>
      <c r="SE2916" s="37"/>
      <c r="SF2916" s="37"/>
    </row>
    <row r="2917" spans="1:500">
      <c r="A2917" s="37"/>
      <c r="B2917" s="37"/>
      <c r="C2917" s="37"/>
      <c r="D2917" s="37"/>
      <c r="E2917" s="37"/>
      <c r="F2917" s="37"/>
      <c r="G2917" s="37"/>
      <c r="H2917" s="37"/>
      <c r="I2917" s="37"/>
      <c r="J2917" s="37"/>
      <c r="K2917" s="37"/>
      <c r="L2917" s="37"/>
      <c r="M2917" s="37"/>
      <c r="N2917" s="37"/>
      <c r="O2917" s="37"/>
      <c r="P2917" s="37"/>
      <c r="Q2917" s="37"/>
      <c r="R2917" s="37"/>
      <c r="S2917" s="37"/>
      <c r="T2917" s="37"/>
      <c r="U2917" s="37"/>
      <c r="V2917" s="37"/>
      <c r="W2917" s="37"/>
      <c r="X2917" s="37"/>
      <c r="Y2917" s="37"/>
      <c r="Z2917" s="37"/>
      <c r="AA2917" s="37"/>
      <c r="AB2917" s="37"/>
      <c r="AC2917" s="37"/>
      <c r="AD2917" s="37"/>
      <c r="AE2917" s="37"/>
      <c r="AF2917" s="37"/>
      <c r="AG2917" s="37"/>
      <c r="AH2917" s="37"/>
      <c r="AI2917" s="37"/>
      <c r="AJ2917" s="37"/>
      <c r="AK2917" s="37"/>
      <c r="AL2917" s="37"/>
      <c r="AM2917" s="37"/>
      <c r="AN2917" s="37"/>
      <c r="AO2917" s="37"/>
      <c r="AP2917" s="37"/>
      <c r="AQ2917" s="37"/>
      <c r="AR2917" s="37"/>
      <c r="AS2917" s="37"/>
      <c r="AT2917" s="37"/>
      <c r="AU2917" s="37"/>
      <c r="AV2917" s="37"/>
      <c r="AW2917" s="37"/>
      <c r="AX2917" s="37"/>
      <c r="AY2917" s="37"/>
      <c r="AZ2917" s="37"/>
      <c r="BA2917" s="37"/>
      <c r="BB2917" s="37"/>
      <c r="BC2917" s="37"/>
      <c r="BD2917" s="37"/>
      <c r="BE2917" s="37"/>
      <c r="BF2917" s="37"/>
      <c r="BG2917" s="37"/>
      <c r="BH2917" s="37"/>
      <c r="BI2917" s="37"/>
      <c r="BJ2917" s="37"/>
      <c r="BK2917" s="37"/>
      <c r="BL2917" s="37"/>
      <c r="BM2917" s="37"/>
      <c r="BN2917" s="37"/>
      <c r="BO2917" s="37"/>
      <c r="BP2917" s="37"/>
      <c r="BQ2917" s="37"/>
      <c r="BR2917" s="37"/>
      <c r="BS2917" s="37"/>
      <c r="BT2917" s="37"/>
      <c r="BU2917" s="37"/>
      <c r="BV2917" s="37"/>
      <c r="BW2917" s="37"/>
      <c r="BX2917" s="37"/>
      <c r="BY2917" s="37"/>
      <c r="BZ2917" s="37"/>
      <c r="CA2917" s="37"/>
      <c r="CB2917" s="37"/>
      <c r="CC2917" s="37"/>
      <c r="CD2917" s="37"/>
      <c r="CE2917" s="37"/>
      <c r="CF2917" s="37"/>
      <c r="CG2917" s="37"/>
      <c r="CH2917" s="37"/>
      <c r="CI2917" s="37"/>
      <c r="CJ2917" s="37"/>
      <c r="CK2917" s="37"/>
      <c r="CL2917" s="37"/>
      <c r="CM2917" s="37"/>
      <c r="CN2917" s="37"/>
      <c r="CO2917" s="37"/>
      <c r="CP2917" s="37"/>
      <c r="CQ2917" s="37"/>
      <c r="CR2917" s="37"/>
      <c r="CS2917" s="37"/>
      <c r="CT2917" s="37"/>
      <c r="CU2917" s="37"/>
      <c r="CV2917" s="37"/>
      <c r="CW2917" s="37"/>
      <c r="CX2917" s="37"/>
      <c r="CY2917" s="37"/>
      <c r="CZ2917" s="37"/>
      <c r="DA2917" s="37"/>
      <c r="DB2917" s="37"/>
      <c r="DC2917" s="37"/>
      <c r="DD2917" s="37"/>
      <c r="DE2917" s="37"/>
      <c r="DF2917" s="37"/>
      <c r="DG2917" s="37"/>
      <c r="DH2917" s="37"/>
      <c r="DI2917" s="37"/>
      <c r="DJ2917" s="37"/>
      <c r="DK2917" s="37"/>
      <c r="DL2917" s="37"/>
      <c r="DM2917" s="37"/>
      <c r="DN2917" s="37"/>
      <c r="DO2917" s="37"/>
      <c r="DP2917" s="37"/>
      <c r="DQ2917" s="37"/>
      <c r="DR2917" s="37"/>
      <c r="DS2917" s="37"/>
      <c r="DT2917" s="37"/>
      <c r="DU2917" s="37"/>
      <c r="DV2917" s="37"/>
      <c r="DW2917" s="37"/>
      <c r="DX2917" s="37"/>
      <c r="DY2917" s="37"/>
      <c r="DZ2917" s="37"/>
      <c r="EA2917" s="37"/>
      <c r="EB2917" s="37"/>
      <c r="EC2917" s="37"/>
      <c r="ED2917" s="37"/>
      <c r="EE2917" s="37"/>
      <c r="EF2917" s="37"/>
      <c r="EG2917" s="37"/>
      <c r="EH2917" s="37"/>
      <c r="EI2917" s="37"/>
      <c r="EJ2917" s="37"/>
      <c r="EK2917" s="37"/>
      <c r="EL2917" s="37"/>
      <c r="EM2917" s="37"/>
      <c r="EN2917" s="37"/>
      <c r="EO2917" s="37"/>
      <c r="EP2917" s="37"/>
      <c r="EQ2917" s="37"/>
      <c r="ER2917" s="37"/>
      <c r="ES2917" s="37"/>
      <c r="ET2917" s="37"/>
      <c r="EU2917" s="37"/>
      <c r="EV2917" s="37"/>
      <c r="EW2917" s="37"/>
      <c r="EX2917" s="37"/>
      <c r="EY2917" s="37"/>
      <c r="EZ2917" s="37"/>
      <c r="FA2917" s="37"/>
      <c r="FB2917" s="37"/>
      <c r="FC2917" s="37"/>
      <c r="FD2917" s="37"/>
      <c r="FE2917" s="37"/>
      <c r="FF2917" s="37"/>
      <c r="FG2917" s="37"/>
      <c r="FH2917" s="37"/>
      <c r="FI2917" s="37"/>
      <c r="FJ2917" s="37"/>
      <c r="FK2917" s="37"/>
      <c r="FL2917" s="37"/>
      <c r="FM2917" s="37"/>
      <c r="FN2917" s="37"/>
      <c r="FO2917" s="37"/>
      <c r="FP2917" s="37"/>
      <c r="FQ2917" s="37"/>
      <c r="FR2917" s="37"/>
      <c r="FS2917" s="37"/>
      <c r="FT2917" s="37"/>
      <c r="FU2917" s="37"/>
      <c r="FV2917" s="37"/>
      <c r="FW2917" s="37"/>
      <c r="FX2917" s="37"/>
      <c r="FY2917" s="37"/>
      <c r="FZ2917" s="37"/>
      <c r="GA2917" s="37"/>
      <c r="GB2917" s="37"/>
      <c r="GC2917" s="37"/>
      <c r="GD2917" s="37"/>
      <c r="GE2917" s="37"/>
      <c r="GF2917" s="37"/>
      <c r="GG2917" s="37"/>
      <c r="GH2917" s="37"/>
      <c r="GI2917" s="37"/>
      <c r="GJ2917" s="37"/>
      <c r="GK2917" s="37"/>
      <c r="GL2917" s="37"/>
      <c r="GM2917" s="37"/>
      <c r="GN2917" s="37"/>
      <c r="GO2917" s="37"/>
      <c r="GP2917" s="37"/>
      <c r="GQ2917" s="37"/>
      <c r="GR2917" s="37"/>
      <c r="GS2917" s="37"/>
      <c r="GT2917" s="37"/>
      <c r="GU2917" s="37"/>
      <c r="GV2917" s="37"/>
      <c r="GW2917" s="37"/>
      <c r="GX2917" s="37"/>
      <c r="GY2917" s="37"/>
      <c r="GZ2917" s="37"/>
      <c r="HA2917" s="37"/>
      <c r="HB2917" s="37"/>
      <c r="HC2917" s="37"/>
      <c r="HD2917" s="37"/>
      <c r="HE2917" s="37"/>
      <c r="HF2917" s="37"/>
      <c r="HG2917" s="37"/>
      <c r="HH2917" s="37"/>
      <c r="HI2917" s="37"/>
      <c r="HJ2917" s="37"/>
      <c r="HK2917" s="37"/>
      <c r="HL2917" s="37"/>
      <c r="HM2917" s="37"/>
      <c r="HN2917" s="37"/>
      <c r="HO2917" s="37"/>
      <c r="HP2917" s="37"/>
      <c r="HQ2917" s="37"/>
      <c r="HR2917" s="37"/>
      <c r="HS2917" s="37"/>
      <c r="HT2917" s="37"/>
      <c r="HU2917" s="37"/>
      <c r="HV2917" s="37"/>
      <c r="HW2917" s="37"/>
      <c r="HX2917" s="37"/>
      <c r="HY2917" s="37"/>
      <c r="HZ2917" s="37"/>
      <c r="IA2917" s="37"/>
      <c r="IB2917" s="37"/>
      <c r="IC2917" s="37"/>
      <c r="ID2917" s="37"/>
      <c r="IE2917" s="37"/>
      <c r="IF2917" s="37"/>
      <c r="IG2917" s="37"/>
      <c r="IH2917" s="37"/>
      <c r="II2917" s="37"/>
      <c r="IJ2917" s="37"/>
      <c r="IK2917" s="37"/>
      <c r="IL2917" s="37"/>
      <c r="IM2917" s="37"/>
      <c r="IN2917" s="37"/>
      <c r="IO2917" s="37"/>
      <c r="IP2917" s="37"/>
      <c r="IQ2917" s="37"/>
      <c r="IR2917" s="37"/>
      <c r="IS2917" s="37"/>
      <c r="IT2917" s="37"/>
      <c r="IU2917" s="37"/>
      <c r="IV2917" s="37"/>
      <c r="IW2917" s="37"/>
      <c r="IX2917" s="37"/>
      <c r="IY2917" s="37"/>
      <c r="IZ2917" s="37"/>
      <c r="JA2917" s="37"/>
      <c r="JB2917" s="37"/>
      <c r="JC2917" s="37"/>
      <c r="JD2917" s="37"/>
      <c r="JE2917" s="37"/>
      <c r="JF2917" s="37"/>
      <c r="JG2917" s="37"/>
      <c r="JH2917" s="37"/>
      <c r="JI2917" s="37"/>
      <c r="JJ2917" s="37"/>
      <c r="JK2917" s="37"/>
      <c r="JL2917" s="37"/>
      <c r="JM2917" s="37"/>
      <c r="JN2917" s="37"/>
      <c r="JO2917" s="37"/>
      <c r="JP2917" s="37"/>
      <c r="JQ2917" s="37"/>
      <c r="JR2917" s="37"/>
      <c r="JS2917" s="37"/>
      <c r="JT2917" s="37"/>
      <c r="JU2917" s="37"/>
      <c r="JV2917" s="37"/>
      <c r="JW2917" s="37"/>
      <c r="JX2917" s="37"/>
      <c r="JY2917" s="37"/>
      <c r="JZ2917" s="37"/>
      <c r="KA2917" s="37"/>
      <c r="KB2917" s="37"/>
      <c r="KC2917" s="37"/>
      <c r="KD2917" s="37"/>
      <c r="KE2917" s="37"/>
      <c r="KF2917" s="37"/>
      <c r="KG2917" s="37"/>
      <c r="KH2917" s="37"/>
      <c r="KI2917" s="37"/>
      <c r="KJ2917" s="37"/>
      <c r="KK2917" s="37"/>
      <c r="KL2917" s="37"/>
      <c r="KM2917" s="37"/>
      <c r="KN2917" s="37"/>
      <c r="KO2917" s="37"/>
      <c r="KP2917" s="37"/>
      <c r="KQ2917" s="37"/>
      <c r="KR2917" s="37"/>
      <c r="KS2917" s="37"/>
      <c r="KT2917" s="37"/>
      <c r="KU2917" s="37"/>
      <c r="KV2917" s="37"/>
      <c r="KW2917" s="37"/>
      <c r="KX2917" s="37"/>
      <c r="KY2917" s="37"/>
      <c r="KZ2917" s="37"/>
      <c r="LA2917" s="37"/>
      <c r="LB2917" s="37"/>
      <c r="LC2917" s="37"/>
      <c r="LD2917" s="37"/>
      <c r="LE2917" s="37"/>
      <c r="LF2917" s="37"/>
      <c r="LG2917" s="37"/>
      <c r="LH2917" s="37"/>
      <c r="LI2917" s="37"/>
      <c r="LJ2917" s="37"/>
      <c r="LK2917" s="37"/>
      <c r="LL2917" s="37"/>
      <c r="LM2917" s="37"/>
      <c r="LN2917" s="37"/>
      <c r="LO2917" s="37"/>
      <c r="LP2917" s="37"/>
      <c r="LQ2917" s="37"/>
      <c r="LR2917" s="37"/>
      <c r="LS2917" s="37"/>
      <c r="LT2917" s="37"/>
      <c r="LU2917" s="37"/>
      <c r="LV2917" s="37"/>
      <c r="LW2917" s="37"/>
      <c r="LX2917" s="37"/>
      <c r="LY2917" s="37"/>
      <c r="LZ2917" s="37"/>
      <c r="MA2917" s="37"/>
      <c r="MB2917" s="37"/>
      <c r="MC2917" s="37"/>
      <c r="MD2917" s="37"/>
      <c r="ME2917" s="37"/>
      <c r="MF2917" s="37"/>
      <c r="MG2917" s="37"/>
      <c r="MH2917" s="37"/>
      <c r="MI2917" s="37"/>
      <c r="MJ2917" s="37"/>
      <c r="MK2917" s="37"/>
      <c r="ML2917" s="37"/>
      <c r="MM2917" s="37"/>
      <c r="MN2917" s="37"/>
      <c r="MO2917" s="37"/>
      <c r="MP2917" s="37"/>
      <c r="MQ2917" s="37"/>
      <c r="MR2917" s="37"/>
      <c r="MS2917" s="37"/>
      <c r="MT2917" s="37"/>
      <c r="MU2917" s="37"/>
      <c r="MV2917" s="37"/>
      <c r="MW2917" s="37"/>
      <c r="MX2917" s="37"/>
      <c r="MY2917" s="37"/>
      <c r="MZ2917" s="37"/>
      <c r="NA2917" s="37"/>
      <c r="NB2917" s="37"/>
      <c r="NC2917" s="37"/>
      <c r="ND2917" s="37"/>
      <c r="NE2917" s="37"/>
      <c r="NF2917" s="37"/>
      <c r="NG2917" s="37"/>
      <c r="NH2917" s="37"/>
      <c r="NI2917" s="37"/>
      <c r="NJ2917" s="37"/>
      <c r="NK2917" s="37"/>
      <c r="NL2917" s="37"/>
      <c r="NM2917" s="37"/>
      <c r="NN2917" s="37"/>
      <c r="NO2917" s="37"/>
      <c r="NP2917" s="37"/>
      <c r="NQ2917" s="37"/>
      <c r="NR2917" s="37"/>
      <c r="NS2917" s="37"/>
      <c r="NT2917" s="37"/>
      <c r="NU2917" s="37"/>
      <c r="NV2917" s="37"/>
      <c r="NW2917" s="37"/>
      <c r="NX2917" s="37"/>
      <c r="NY2917" s="37"/>
      <c r="NZ2917" s="37"/>
      <c r="OA2917" s="37"/>
      <c r="OB2917" s="37"/>
      <c r="OC2917" s="37"/>
      <c r="OD2917" s="37"/>
      <c r="OE2917" s="37"/>
      <c r="OF2917" s="37"/>
      <c r="OG2917" s="37"/>
      <c r="OH2917" s="37"/>
      <c r="OI2917" s="37"/>
      <c r="OJ2917" s="37"/>
      <c r="OK2917" s="37"/>
      <c r="OL2917" s="37"/>
      <c r="OM2917" s="37"/>
      <c r="ON2917" s="37"/>
      <c r="OO2917" s="37"/>
      <c r="OP2917" s="37"/>
      <c r="OQ2917" s="37"/>
      <c r="OR2917" s="37"/>
      <c r="OS2917" s="37"/>
      <c r="OT2917" s="37"/>
      <c r="OU2917" s="37"/>
      <c r="OV2917" s="37"/>
      <c r="OW2917" s="37"/>
      <c r="OX2917" s="37"/>
      <c r="OY2917" s="37"/>
      <c r="OZ2917" s="37"/>
      <c r="PA2917" s="37"/>
      <c r="PB2917" s="37"/>
      <c r="PC2917" s="37"/>
      <c r="PD2917" s="37"/>
      <c r="PE2917" s="37"/>
      <c r="PF2917" s="37"/>
      <c r="PG2917" s="37"/>
      <c r="PH2917" s="37"/>
      <c r="PI2917" s="37"/>
      <c r="PJ2917" s="37"/>
      <c r="PK2917" s="37"/>
      <c r="PL2917" s="37"/>
      <c r="PM2917" s="37"/>
      <c r="PN2917" s="37"/>
      <c r="PO2917" s="37"/>
      <c r="PP2917" s="37"/>
      <c r="PQ2917" s="37"/>
      <c r="PR2917" s="37"/>
      <c r="PS2917" s="37"/>
      <c r="PT2917" s="37"/>
      <c r="PU2917" s="37"/>
      <c r="PV2917" s="37"/>
      <c r="PW2917" s="37"/>
      <c r="PX2917" s="37"/>
      <c r="PY2917" s="37"/>
      <c r="PZ2917" s="37"/>
      <c r="QA2917" s="37"/>
      <c r="QB2917" s="37"/>
      <c r="QC2917" s="37"/>
      <c r="QD2917" s="37"/>
      <c r="QE2917" s="37"/>
      <c r="QF2917" s="37"/>
      <c r="QG2917" s="37"/>
      <c r="QH2917" s="37"/>
      <c r="QI2917" s="37"/>
      <c r="QJ2917" s="37"/>
      <c r="QK2917" s="37"/>
      <c r="QL2917" s="37"/>
      <c r="QM2917" s="37"/>
      <c r="QN2917" s="37"/>
      <c r="QO2917" s="37"/>
      <c r="QP2917" s="37"/>
      <c r="QQ2917" s="37"/>
      <c r="QR2917" s="37"/>
      <c r="QS2917" s="37"/>
      <c r="QT2917" s="37"/>
      <c r="QU2917" s="37"/>
      <c r="QV2917" s="37"/>
      <c r="QW2917" s="37"/>
      <c r="QX2917" s="37"/>
      <c r="QY2917" s="37"/>
      <c r="QZ2917" s="37"/>
      <c r="RA2917" s="37"/>
      <c r="RB2917" s="37"/>
      <c r="RC2917" s="37"/>
      <c r="RD2917" s="37"/>
      <c r="RE2917" s="37"/>
      <c r="RF2917" s="37"/>
      <c r="RG2917" s="37"/>
      <c r="RH2917" s="37"/>
      <c r="RI2917" s="37"/>
      <c r="RJ2917" s="37"/>
      <c r="RK2917" s="37"/>
      <c r="RL2917" s="37"/>
      <c r="RM2917" s="37"/>
      <c r="RN2917" s="37"/>
      <c r="RO2917" s="37"/>
      <c r="RP2917" s="37"/>
      <c r="RQ2917" s="37"/>
      <c r="RR2917" s="37"/>
      <c r="RS2917" s="37"/>
      <c r="RT2917" s="37"/>
      <c r="RU2917" s="37"/>
      <c r="RV2917" s="37"/>
      <c r="RW2917" s="37"/>
      <c r="RX2917" s="37"/>
      <c r="RY2917" s="37"/>
      <c r="RZ2917" s="37"/>
      <c r="SA2917" s="37"/>
      <c r="SB2917" s="37"/>
      <c r="SC2917" s="37"/>
      <c r="SD2917" s="37"/>
      <c r="SE2917" s="37"/>
      <c r="SF2917" s="37"/>
    </row>
    <row r="2918" spans="1:500">
      <c r="A2918" s="37"/>
      <c r="B2918" s="37"/>
      <c r="C2918" s="37"/>
      <c r="D2918" s="37"/>
      <c r="E2918" s="37"/>
      <c r="F2918" s="37"/>
      <c r="G2918" s="37"/>
      <c r="H2918" s="37"/>
      <c r="I2918" s="37"/>
      <c r="J2918" s="37"/>
      <c r="K2918" s="37"/>
      <c r="L2918" s="37"/>
      <c r="M2918" s="37"/>
      <c r="N2918" s="37"/>
      <c r="O2918" s="37"/>
      <c r="P2918" s="37"/>
      <c r="Q2918" s="37"/>
      <c r="R2918" s="37"/>
      <c r="S2918" s="37"/>
      <c r="T2918" s="37"/>
      <c r="U2918" s="37"/>
      <c r="V2918" s="37"/>
      <c r="W2918" s="37"/>
      <c r="X2918" s="37"/>
      <c r="Y2918" s="37"/>
      <c r="Z2918" s="37"/>
      <c r="AA2918" s="37"/>
      <c r="AB2918" s="37"/>
      <c r="AC2918" s="37"/>
      <c r="AD2918" s="37"/>
      <c r="AE2918" s="37"/>
      <c r="AF2918" s="37"/>
      <c r="AG2918" s="37"/>
      <c r="AH2918" s="37"/>
      <c r="AI2918" s="37"/>
      <c r="AJ2918" s="37"/>
      <c r="AK2918" s="37"/>
      <c r="AL2918" s="37"/>
      <c r="AM2918" s="37"/>
      <c r="AN2918" s="37"/>
      <c r="AO2918" s="37"/>
      <c r="AP2918" s="37"/>
      <c r="AQ2918" s="37"/>
      <c r="AR2918" s="37"/>
      <c r="AS2918" s="37"/>
      <c r="AT2918" s="37"/>
      <c r="AU2918" s="37"/>
      <c r="AV2918" s="37"/>
      <c r="AW2918" s="37"/>
      <c r="AX2918" s="37"/>
      <c r="AY2918" s="37"/>
      <c r="AZ2918" s="37"/>
      <c r="BA2918" s="37"/>
      <c r="BB2918" s="37"/>
      <c r="BC2918" s="37"/>
      <c r="BD2918" s="37"/>
      <c r="BE2918" s="37"/>
      <c r="BF2918" s="37"/>
      <c r="BG2918" s="37"/>
      <c r="BH2918" s="37"/>
      <c r="BI2918" s="37"/>
      <c r="BJ2918" s="37"/>
      <c r="BK2918" s="37"/>
      <c r="BL2918" s="37"/>
      <c r="BM2918" s="37"/>
      <c r="BN2918" s="37"/>
      <c r="BO2918" s="37"/>
      <c r="BP2918" s="37"/>
      <c r="BQ2918" s="37"/>
      <c r="BR2918" s="37"/>
      <c r="BS2918" s="37"/>
      <c r="BT2918" s="37"/>
      <c r="BU2918" s="37"/>
      <c r="BV2918" s="37"/>
      <c r="BW2918" s="37"/>
      <c r="BX2918" s="37"/>
      <c r="BY2918" s="37"/>
      <c r="BZ2918" s="37"/>
      <c r="CA2918" s="37"/>
      <c r="CB2918" s="37"/>
      <c r="CC2918" s="37"/>
      <c r="CD2918" s="37"/>
      <c r="CE2918" s="37"/>
      <c r="CF2918" s="37"/>
      <c r="CG2918" s="37"/>
      <c r="CH2918" s="37"/>
      <c r="CI2918" s="37"/>
      <c r="CJ2918" s="37"/>
      <c r="CK2918" s="37"/>
      <c r="CL2918" s="37"/>
      <c r="CM2918" s="37"/>
      <c r="CN2918" s="37"/>
      <c r="CO2918" s="37"/>
      <c r="CP2918" s="37"/>
      <c r="CQ2918" s="37"/>
      <c r="CR2918" s="37"/>
      <c r="CS2918" s="37"/>
      <c r="CT2918" s="37"/>
      <c r="CU2918" s="37"/>
      <c r="CV2918" s="37"/>
      <c r="CW2918" s="37"/>
      <c r="CX2918" s="37"/>
      <c r="CY2918" s="37"/>
      <c r="CZ2918" s="37"/>
      <c r="DA2918" s="37"/>
      <c r="DB2918" s="37"/>
      <c r="DC2918" s="37"/>
      <c r="DD2918" s="37"/>
      <c r="DE2918" s="37"/>
      <c r="DF2918" s="37"/>
      <c r="DG2918" s="37"/>
      <c r="DH2918" s="37"/>
      <c r="DI2918" s="37"/>
      <c r="DJ2918" s="37"/>
      <c r="DK2918" s="37"/>
      <c r="DL2918" s="37"/>
      <c r="DM2918" s="37"/>
      <c r="DN2918" s="37"/>
      <c r="DO2918" s="37"/>
      <c r="DP2918" s="37"/>
      <c r="DQ2918" s="37"/>
      <c r="DR2918" s="37"/>
      <c r="DS2918" s="37"/>
      <c r="DT2918" s="37"/>
      <c r="DU2918" s="37"/>
      <c r="DV2918" s="37"/>
      <c r="DW2918" s="37"/>
      <c r="DX2918" s="37"/>
      <c r="DY2918" s="37"/>
      <c r="DZ2918" s="37"/>
      <c r="EA2918" s="37"/>
      <c r="EB2918" s="37"/>
      <c r="EC2918" s="37"/>
      <c r="ED2918" s="37"/>
      <c r="EE2918" s="37"/>
      <c r="EF2918" s="37"/>
      <c r="EG2918" s="37"/>
      <c r="EH2918" s="37"/>
      <c r="EI2918" s="37"/>
      <c r="EJ2918" s="37"/>
      <c r="EK2918" s="37"/>
      <c r="EL2918" s="37"/>
      <c r="EM2918" s="37"/>
      <c r="EN2918" s="37"/>
      <c r="EO2918" s="37"/>
      <c r="EP2918" s="37"/>
      <c r="EQ2918" s="37"/>
      <c r="ER2918" s="37"/>
      <c r="ES2918" s="37"/>
      <c r="ET2918" s="37"/>
      <c r="EU2918" s="37"/>
      <c r="EV2918" s="37"/>
      <c r="EW2918" s="37"/>
      <c r="EX2918" s="37"/>
      <c r="EY2918" s="37"/>
      <c r="EZ2918" s="37"/>
      <c r="FA2918" s="37"/>
      <c r="FB2918" s="37"/>
      <c r="FC2918" s="37"/>
      <c r="FD2918" s="37"/>
      <c r="FE2918" s="37"/>
      <c r="FF2918" s="37"/>
      <c r="FG2918" s="37"/>
      <c r="FH2918" s="37"/>
      <c r="FI2918" s="37"/>
      <c r="FJ2918" s="37"/>
      <c r="FK2918" s="37"/>
      <c r="FL2918" s="37"/>
      <c r="FM2918" s="37"/>
      <c r="FN2918" s="37"/>
      <c r="FO2918" s="37"/>
      <c r="FP2918" s="37"/>
      <c r="FQ2918" s="37"/>
      <c r="FR2918" s="37"/>
      <c r="FS2918" s="37"/>
      <c r="FT2918" s="37"/>
      <c r="FU2918" s="37"/>
      <c r="FV2918" s="37"/>
      <c r="FW2918" s="37"/>
      <c r="FX2918" s="37"/>
      <c r="FY2918" s="37"/>
      <c r="FZ2918" s="37"/>
      <c r="GA2918" s="37"/>
      <c r="GB2918" s="37"/>
      <c r="GC2918" s="37"/>
      <c r="GD2918" s="37"/>
      <c r="GE2918" s="37"/>
      <c r="GF2918" s="37"/>
      <c r="GG2918" s="37"/>
      <c r="GH2918" s="37"/>
      <c r="GI2918" s="37"/>
      <c r="GJ2918" s="37"/>
      <c r="GK2918" s="37"/>
      <c r="GL2918" s="37"/>
      <c r="GM2918" s="37"/>
      <c r="GN2918" s="37"/>
      <c r="GO2918" s="37"/>
      <c r="GP2918" s="37"/>
      <c r="GQ2918" s="37"/>
      <c r="GR2918" s="37"/>
      <c r="GS2918" s="37"/>
      <c r="GT2918" s="37"/>
      <c r="GU2918" s="37"/>
      <c r="GV2918" s="37"/>
      <c r="GW2918" s="37"/>
      <c r="GX2918" s="37"/>
      <c r="GY2918" s="37"/>
      <c r="GZ2918" s="37"/>
      <c r="HA2918" s="37"/>
      <c r="HB2918" s="37"/>
      <c r="HC2918" s="37"/>
      <c r="HD2918" s="37"/>
      <c r="HE2918" s="37"/>
      <c r="HF2918" s="37"/>
      <c r="HG2918" s="37"/>
      <c r="HH2918" s="37"/>
      <c r="HI2918" s="37"/>
      <c r="HJ2918" s="37"/>
      <c r="HK2918" s="37"/>
      <c r="HL2918" s="37"/>
      <c r="HM2918" s="37"/>
      <c r="HN2918" s="37"/>
      <c r="HO2918" s="37"/>
      <c r="HP2918" s="37"/>
      <c r="HQ2918" s="37"/>
      <c r="HR2918" s="37"/>
      <c r="HS2918" s="37"/>
      <c r="HT2918" s="37"/>
      <c r="HU2918" s="37"/>
      <c r="HV2918" s="37"/>
      <c r="HW2918" s="37"/>
      <c r="HX2918" s="37"/>
      <c r="HY2918" s="37"/>
      <c r="HZ2918" s="37"/>
      <c r="IA2918" s="37"/>
      <c r="IB2918" s="37"/>
      <c r="IC2918" s="37"/>
      <c r="ID2918" s="37"/>
      <c r="IE2918" s="37"/>
      <c r="IF2918" s="37"/>
      <c r="IG2918" s="37"/>
      <c r="IH2918" s="37"/>
      <c r="II2918" s="37"/>
      <c r="IJ2918" s="37"/>
      <c r="IK2918" s="37"/>
      <c r="IL2918" s="37"/>
      <c r="IM2918" s="37"/>
      <c r="IN2918" s="37"/>
      <c r="IO2918" s="37"/>
      <c r="IP2918" s="37"/>
      <c r="IQ2918" s="37"/>
      <c r="IR2918" s="37"/>
      <c r="IS2918" s="37"/>
      <c r="IT2918" s="37"/>
      <c r="IU2918" s="37"/>
      <c r="IV2918" s="37"/>
      <c r="IW2918" s="37"/>
      <c r="IX2918" s="37"/>
      <c r="IY2918" s="37"/>
      <c r="IZ2918" s="37"/>
      <c r="JA2918" s="37"/>
      <c r="JB2918" s="37"/>
      <c r="JC2918" s="37"/>
      <c r="JD2918" s="37"/>
      <c r="JE2918" s="37"/>
      <c r="JF2918" s="37"/>
      <c r="JG2918" s="37"/>
      <c r="JH2918" s="37"/>
      <c r="JI2918" s="37"/>
      <c r="JJ2918" s="37"/>
      <c r="JK2918" s="37"/>
      <c r="JL2918" s="37"/>
      <c r="JM2918" s="37"/>
      <c r="JN2918" s="37"/>
      <c r="JO2918" s="37"/>
      <c r="JP2918" s="37"/>
      <c r="JQ2918" s="37"/>
      <c r="JR2918" s="37"/>
      <c r="JS2918" s="37"/>
      <c r="JT2918" s="37"/>
      <c r="JU2918" s="37"/>
      <c r="JV2918" s="37"/>
      <c r="JW2918" s="37"/>
      <c r="JX2918" s="37"/>
      <c r="JY2918" s="37"/>
      <c r="JZ2918" s="37"/>
      <c r="KA2918" s="37"/>
      <c r="KB2918" s="37"/>
      <c r="KC2918" s="37"/>
      <c r="KD2918" s="37"/>
      <c r="KE2918" s="37"/>
      <c r="KF2918" s="37"/>
      <c r="KG2918" s="37"/>
      <c r="KH2918" s="37"/>
      <c r="KI2918" s="37"/>
      <c r="KJ2918" s="37"/>
      <c r="KK2918" s="37"/>
      <c r="KL2918" s="37"/>
      <c r="KM2918" s="37"/>
      <c r="KN2918" s="37"/>
      <c r="KO2918" s="37"/>
      <c r="KP2918" s="37"/>
      <c r="KQ2918" s="37"/>
      <c r="KR2918" s="37"/>
      <c r="KS2918" s="37"/>
      <c r="KT2918" s="37"/>
      <c r="KU2918" s="37"/>
      <c r="KV2918" s="37"/>
      <c r="KW2918" s="37"/>
      <c r="KX2918" s="37"/>
      <c r="KY2918" s="37"/>
      <c r="KZ2918" s="37"/>
      <c r="LA2918" s="37"/>
      <c r="LB2918" s="37"/>
      <c r="LC2918" s="37"/>
      <c r="LD2918" s="37"/>
      <c r="LE2918" s="37"/>
      <c r="LF2918" s="37"/>
      <c r="LG2918" s="37"/>
      <c r="LH2918" s="37"/>
      <c r="LI2918" s="37"/>
      <c r="LJ2918" s="37"/>
      <c r="LK2918" s="37"/>
      <c r="LL2918" s="37"/>
      <c r="LM2918" s="37"/>
      <c r="LN2918" s="37"/>
      <c r="LO2918" s="37"/>
      <c r="LP2918" s="37"/>
      <c r="LQ2918" s="37"/>
      <c r="LR2918" s="37"/>
      <c r="LS2918" s="37"/>
      <c r="LT2918" s="37"/>
      <c r="LU2918" s="37"/>
      <c r="LV2918" s="37"/>
      <c r="LW2918" s="37"/>
      <c r="LX2918" s="37"/>
      <c r="LY2918" s="37"/>
      <c r="LZ2918" s="37"/>
      <c r="MA2918" s="37"/>
      <c r="MB2918" s="37"/>
      <c r="MC2918" s="37"/>
      <c r="MD2918" s="37"/>
      <c r="ME2918" s="37"/>
      <c r="MF2918" s="37"/>
      <c r="MG2918" s="37"/>
      <c r="MH2918" s="37"/>
      <c r="MI2918" s="37"/>
      <c r="MJ2918" s="37"/>
      <c r="MK2918" s="37"/>
      <c r="ML2918" s="37"/>
      <c r="MM2918" s="37"/>
      <c r="MN2918" s="37"/>
      <c r="MO2918" s="37"/>
      <c r="MP2918" s="37"/>
      <c r="MQ2918" s="37"/>
      <c r="MR2918" s="37"/>
      <c r="MS2918" s="37"/>
      <c r="MT2918" s="37"/>
      <c r="MU2918" s="37"/>
      <c r="MV2918" s="37"/>
      <c r="MW2918" s="37"/>
      <c r="MX2918" s="37"/>
      <c r="MY2918" s="37"/>
      <c r="MZ2918" s="37"/>
      <c r="NA2918" s="37"/>
      <c r="NB2918" s="37"/>
      <c r="NC2918" s="37"/>
      <c r="ND2918" s="37"/>
      <c r="NE2918" s="37"/>
      <c r="NF2918" s="37"/>
      <c r="NG2918" s="37"/>
      <c r="NH2918" s="37"/>
      <c r="NI2918" s="37"/>
      <c r="NJ2918" s="37"/>
      <c r="NK2918" s="37"/>
      <c r="NL2918" s="37"/>
      <c r="NM2918" s="37"/>
      <c r="NN2918" s="37"/>
      <c r="NO2918" s="37"/>
      <c r="NP2918" s="37"/>
      <c r="NQ2918" s="37"/>
      <c r="NR2918" s="37"/>
      <c r="NS2918" s="37"/>
      <c r="NT2918" s="37"/>
      <c r="NU2918" s="37"/>
      <c r="NV2918" s="37"/>
      <c r="NW2918" s="37"/>
      <c r="NX2918" s="37"/>
      <c r="NY2918" s="37"/>
      <c r="NZ2918" s="37"/>
      <c r="OA2918" s="37"/>
      <c r="OB2918" s="37"/>
      <c r="OC2918" s="37"/>
      <c r="OD2918" s="37"/>
      <c r="OE2918" s="37"/>
      <c r="OF2918" s="37"/>
      <c r="OG2918" s="37"/>
      <c r="OH2918" s="37"/>
      <c r="OI2918" s="37"/>
      <c r="OJ2918" s="37"/>
      <c r="OK2918" s="37"/>
      <c r="OL2918" s="37"/>
      <c r="OM2918" s="37"/>
      <c r="ON2918" s="37"/>
      <c r="OO2918" s="37"/>
      <c r="OP2918" s="37"/>
      <c r="OQ2918" s="37"/>
      <c r="OR2918" s="37"/>
      <c r="OS2918" s="37"/>
      <c r="OT2918" s="37"/>
      <c r="OU2918" s="37"/>
      <c r="OV2918" s="37"/>
      <c r="OW2918" s="37"/>
      <c r="OX2918" s="37"/>
      <c r="OY2918" s="37"/>
      <c r="OZ2918" s="37"/>
      <c r="PA2918" s="37"/>
      <c r="PB2918" s="37"/>
      <c r="PC2918" s="37"/>
      <c r="PD2918" s="37"/>
      <c r="PE2918" s="37"/>
      <c r="PF2918" s="37"/>
      <c r="PG2918" s="37"/>
      <c r="PH2918" s="37"/>
      <c r="PI2918" s="37"/>
      <c r="PJ2918" s="37"/>
      <c r="PK2918" s="37"/>
      <c r="PL2918" s="37"/>
      <c r="PM2918" s="37"/>
      <c r="PN2918" s="37"/>
      <c r="PO2918" s="37"/>
      <c r="PP2918" s="37"/>
      <c r="PQ2918" s="37"/>
      <c r="PR2918" s="37"/>
      <c r="PS2918" s="37"/>
      <c r="PT2918" s="37"/>
      <c r="PU2918" s="37"/>
      <c r="PV2918" s="37"/>
      <c r="PW2918" s="37"/>
      <c r="PX2918" s="37"/>
      <c r="PY2918" s="37"/>
      <c r="PZ2918" s="37"/>
      <c r="QA2918" s="37"/>
      <c r="QB2918" s="37"/>
      <c r="QC2918" s="37"/>
      <c r="QD2918" s="37"/>
      <c r="QE2918" s="37"/>
      <c r="QF2918" s="37"/>
      <c r="QG2918" s="37"/>
      <c r="QH2918" s="37"/>
      <c r="QI2918" s="37"/>
      <c r="QJ2918" s="37"/>
      <c r="QK2918" s="37"/>
      <c r="QL2918" s="37"/>
      <c r="QM2918" s="37"/>
      <c r="QN2918" s="37"/>
      <c r="QO2918" s="37"/>
      <c r="QP2918" s="37"/>
      <c r="QQ2918" s="37"/>
      <c r="QR2918" s="37"/>
      <c r="QS2918" s="37"/>
      <c r="QT2918" s="37"/>
      <c r="QU2918" s="37"/>
      <c r="QV2918" s="37"/>
      <c r="QW2918" s="37"/>
      <c r="QX2918" s="37"/>
      <c r="QY2918" s="37"/>
      <c r="QZ2918" s="37"/>
      <c r="RA2918" s="37"/>
      <c r="RB2918" s="37"/>
      <c r="RC2918" s="37"/>
      <c r="RD2918" s="37"/>
      <c r="RE2918" s="37"/>
      <c r="RF2918" s="37"/>
      <c r="RG2918" s="37"/>
      <c r="RH2918" s="37"/>
      <c r="RI2918" s="37"/>
      <c r="RJ2918" s="37"/>
      <c r="RK2918" s="37"/>
      <c r="RL2918" s="37"/>
      <c r="RM2918" s="37"/>
      <c r="RN2918" s="37"/>
      <c r="RO2918" s="37"/>
      <c r="RP2918" s="37"/>
      <c r="RQ2918" s="37"/>
      <c r="RR2918" s="37"/>
      <c r="RS2918" s="37"/>
      <c r="RT2918" s="37"/>
      <c r="RU2918" s="37"/>
      <c r="RV2918" s="37"/>
      <c r="RW2918" s="37"/>
      <c r="RX2918" s="37"/>
      <c r="RY2918" s="37"/>
      <c r="RZ2918" s="37"/>
      <c r="SA2918" s="37"/>
      <c r="SB2918" s="37"/>
      <c r="SC2918" s="37"/>
      <c r="SD2918" s="37"/>
      <c r="SE2918" s="37"/>
      <c r="SF2918" s="37"/>
    </row>
    <row r="2919" spans="1:500">
      <c r="A2919" s="37"/>
      <c r="B2919" s="37"/>
      <c r="C2919" s="37"/>
      <c r="D2919" s="37"/>
      <c r="E2919" s="37"/>
      <c r="F2919" s="37"/>
      <c r="G2919" s="37"/>
      <c r="H2919" s="37"/>
      <c r="I2919" s="37"/>
      <c r="J2919" s="37"/>
      <c r="K2919" s="37"/>
      <c r="L2919" s="37"/>
      <c r="M2919" s="37"/>
      <c r="N2919" s="37"/>
      <c r="O2919" s="37"/>
      <c r="P2919" s="37"/>
      <c r="Q2919" s="37"/>
      <c r="R2919" s="37"/>
      <c r="S2919" s="37"/>
      <c r="T2919" s="37"/>
      <c r="U2919" s="37"/>
      <c r="V2919" s="37"/>
      <c r="W2919" s="37"/>
      <c r="X2919" s="37"/>
      <c r="Y2919" s="37"/>
      <c r="Z2919" s="37"/>
      <c r="AA2919" s="37"/>
      <c r="AB2919" s="37"/>
      <c r="AC2919" s="37"/>
      <c r="AD2919" s="37"/>
      <c r="AE2919" s="37"/>
      <c r="AF2919" s="37"/>
      <c r="AG2919" s="37"/>
      <c r="AH2919" s="37"/>
      <c r="AI2919" s="37"/>
      <c r="AJ2919" s="37"/>
      <c r="AK2919" s="37"/>
      <c r="AL2919" s="37"/>
      <c r="AM2919" s="37"/>
      <c r="AN2919" s="37"/>
      <c r="AO2919" s="37"/>
      <c r="AP2919" s="37"/>
      <c r="AQ2919" s="37"/>
      <c r="AR2919" s="37"/>
      <c r="AS2919" s="37"/>
      <c r="AT2919" s="37"/>
      <c r="AU2919" s="37"/>
      <c r="AV2919" s="37"/>
      <c r="AW2919" s="37"/>
      <c r="AX2919" s="37"/>
      <c r="AY2919" s="37"/>
      <c r="AZ2919" s="37"/>
      <c r="BA2919" s="37"/>
      <c r="BB2919" s="37"/>
      <c r="BC2919" s="37"/>
      <c r="BD2919" s="37"/>
      <c r="BE2919" s="37"/>
      <c r="BF2919" s="37"/>
      <c r="BG2919" s="37"/>
      <c r="BH2919" s="37"/>
      <c r="BI2919" s="37"/>
      <c r="BJ2919" s="37"/>
      <c r="BK2919" s="37"/>
      <c r="BL2919" s="37"/>
      <c r="BM2919" s="37"/>
      <c r="BN2919" s="37"/>
      <c r="BO2919" s="37"/>
      <c r="BP2919" s="37"/>
      <c r="BQ2919" s="37"/>
      <c r="BR2919" s="37"/>
      <c r="BS2919" s="37"/>
      <c r="BT2919" s="37"/>
      <c r="BU2919" s="37"/>
      <c r="BV2919" s="37"/>
      <c r="BW2919" s="37"/>
      <c r="BX2919" s="37"/>
      <c r="BY2919" s="37"/>
      <c r="BZ2919" s="37"/>
      <c r="CA2919" s="37"/>
      <c r="CB2919" s="37"/>
      <c r="CC2919" s="37"/>
      <c r="CD2919" s="37"/>
      <c r="CE2919" s="37"/>
      <c r="CF2919" s="37"/>
      <c r="CG2919" s="37"/>
      <c r="CH2919" s="37"/>
      <c r="CI2919" s="37"/>
      <c r="CJ2919" s="37"/>
      <c r="CK2919" s="37"/>
      <c r="CL2919" s="37"/>
      <c r="CM2919" s="37"/>
      <c r="CN2919" s="37"/>
      <c r="CO2919" s="37"/>
      <c r="CP2919" s="37"/>
      <c r="CQ2919" s="37"/>
      <c r="CR2919" s="37"/>
      <c r="CS2919" s="37"/>
      <c r="CT2919" s="37"/>
      <c r="CU2919" s="37"/>
      <c r="CV2919" s="37"/>
      <c r="CW2919" s="37"/>
      <c r="CX2919" s="37"/>
      <c r="CY2919" s="37"/>
      <c r="CZ2919" s="37"/>
      <c r="DA2919" s="37"/>
      <c r="DB2919" s="37"/>
      <c r="DC2919" s="37"/>
      <c r="DD2919" s="37"/>
      <c r="DE2919" s="37"/>
      <c r="DF2919" s="37"/>
      <c r="DG2919" s="37"/>
      <c r="DH2919" s="37"/>
      <c r="DI2919" s="37"/>
      <c r="DJ2919" s="37"/>
      <c r="DK2919" s="37"/>
      <c r="DL2919" s="37"/>
      <c r="DM2919" s="37"/>
      <c r="DN2919" s="37"/>
      <c r="DO2919" s="37"/>
      <c r="DP2919" s="37"/>
      <c r="DQ2919" s="37"/>
      <c r="DR2919" s="37"/>
      <c r="DS2919" s="37"/>
      <c r="DT2919" s="37"/>
      <c r="DU2919" s="37"/>
      <c r="DV2919" s="37"/>
      <c r="DW2919" s="37"/>
      <c r="DX2919" s="37"/>
      <c r="DY2919" s="37"/>
      <c r="DZ2919" s="37"/>
      <c r="EA2919" s="37"/>
      <c r="EB2919" s="37"/>
      <c r="EC2919" s="37"/>
      <c r="ED2919" s="37"/>
      <c r="EE2919" s="37"/>
      <c r="EF2919" s="37"/>
      <c r="EG2919" s="37"/>
      <c r="EH2919" s="37"/>
      <c r="EI2919" s="37"/>
      <c r="EJ2919" s="37"/>
      <c r="EK2919" s="37"/>
      <c r="EL2919" s="37"/>
      <c r="EM2919" s="37"/>
      <c r="EN2919" s="37"/>
      <c r="EO2919" s="37"/>
      <c r="EP2919" s="37"/>
      <c r="EQ2919" s="37"/>
      <c r="ER2919" s="37"/>
      <c r="ES2919" s="37"/>
      <c r="ET2919" s="37"/>
      <c r="EU2919" s="37"/>
      <c r="EV2919" s="37"/>
      <c r="EW2919" s="37"/>
      <c r="EX2919" s="37"/>
      <c r="EY2919" s="37"/>
      <c r="EZ2919" s="37"/>
      <c r="FA2919" s="37"/>
      <c r="FB2919" s="37"/>
      <c r="FC2919" s="37"/>
      <c r="FD2919" s="37"/>
      <c r="FE2919" s="37"/>
      <c r="FF2919" s="37"/>
      <c r="FG2919" s="37"/>
      <c r="FH2919" s="37"/>
      <c r="FI2919" s="37"/>
      <c r="FJ2919" s="37"/>
      <c r="FK2919" s="37"/>
      <c r="FL2919" s="37"/>
      <c r="FM2919" s="37"/>
      <c r="FN2919" s="37"/>
      <c r="FO2919" s="37"/>
      <c r="FP2919" s="37"/>
      <c r="FQ2919" s="37"/>
      <c r="FR2919" s="37"/>
      <c r="FS2919" s="37"/>
      <c r="FT2919" s="37"/>
      <c r="FU2919" s="37"/>
      <c r="FV2919" s="37"/>
      <c r="FW2919" s="37"/>
      <c r="FX2919" s="37"/>
      <c r="FY2919" s="37"/>
      <c r="FZ2919" s="37"/>
      <c r="GA2919" s="37"/>
      <c r="GB2919" s="37"/>
      <c r="GC2919" s="37"/>
      <c r="GD2919" s="37"/>
      <c r="GE2919" s="37"/>
      <c r="GF2919" s="37"/>
      <c r="GG2919" s="37"/>
      <c r="GH2919" s="37"/>
      <c r="GI2919" s="37"/>
      <c r="GJ2919" s="37"/>
      <c r="GK2919" s="37"/>
      <c r="GL2919" s="37"/>
      <c r="GM2919" s="37"/>
      <c r="GN2919" s="37"/>
      <c r="GO2919" s="37"/>
      <c r="GP2919" s="37"/>
      <c r="GQ2919" s="37"/>
      <c r="GR2919" s="37"/>
      <c r="GS2919" s="37"/>
      <c r="GT2919" s="37"/>
      <c r="GU2919" s="37"/>
      <c r="GV2919" s="37"/>
      <c r="GW2919" s="37"/>
      <c r="GX2919" s="37"/>
      <c r="GY2919" s="37"/>
      <c r="GZ2919" s="37"/>
      <c r="HA2919" s="37"/>
      <c r="HB2919" s="37"/>
      <c r="HC2919" s="37"/>
      <c r="HD2919" s="37"/>
      <c r="HE2919" s="37"/>
      <c r="HF2919" s="37"/>
      <c r="HG2919" s="37"/>
      <c r="HH2919" s="37"/>
      <c r="HI2919" s="37"/>
      <c r="HJ2919" s="37"/>
      <c r="HK2919" s="37"/>
      <c r="HL2919" s="37"/>
      <c r="HM2919" s="37"/>
      <c r="HN2919" s="37"/>
      <c r="HO2919" s="37"/>
      <c r="HP2919" s="37"/>
      <c r="HQ2919" s="37"/>
      <c r="HR2919" s="37"/>
      <c r="HS2919" s="37"/>
      <c r="HT2919" s="37"/>
      <c r="HU2919" s="37"/>
      <c r="HV2919" s="37"/>
      <c r="HW2919" s="37"/>
      <c r="HX2919" s="37"/>
      <c r="HY2919" s="37"/>
      <c r="HZ2919" s="37"/>
      <c r="IA2919" s="37"/>
      <c r="IB2919" s="37"/>
      <c r="IC2919" s="37"/>
      <c r="ID2919" s="37"/>
      <c r="IE2919" s="37"/>
      <c r="IF2919" s="37"/>
      <c r="IG2919" s="37"/>
      <c r="IH2919" s="37"/>
      <c r="II2919" s="37"/>
      <c r="IJ2919" s="37"/>
      <c r="IK2919" s="37"/>
      <c r="IL2919" s="37"/>
      <c r="IM2919" s="37"/>
      <c r="IN2919" s="37"/>
      <c r="IO2919" s="37"/>
      <c r="IP2919" s="37"/>
      <c r="IQ2919" s="37"/>
      <c r="IR2919" s="37"/>
      <c r="IS2919" s="37"/>
      <c r="IT2919" s="37"/>
      <c r="IU2919" s="37"/>
      <c r="IV2919" s="37"/>
      <c r="IW2919" s="37"/>
      <c r="IX2919" s="37"/>
      <c r="IY2919" s="37"/>
      <c r="IZ2919" s="37"/>
      <c r="JA2919" s="37"/>
      <c r="JB2919" s="37"/>
      <c r="JC2919" s="37"/>
      <c r="JD2919" s="37"/>
      <c r="JE2919" s="37"/>
      <c r="JF2919" s="37"/>
      <c r="JG2919" s="37"/>
      <c r="JH2919" s="37"/>
      <c r="JI2919" s="37"/>
      <c r="JJ2919" s="37"/>
      <c r="JK2919" s="37"/>
      <c r="JL2919" s="37"/>
      <c r="JM2919" s="37"/>
      <c r="JN2919" s="37"/>
      <c r="JO2919" s="37"/>
      <c r="JP2919" s="37"/>
      <c r="JQ2919" s="37"/>
      <c r="JR2919" s="37"/>
      <c r="JS2919" s="37"/>
      <c r="JT2919" s="37"/>
      <c r="JU2919" s="37"/>
      <c r="JV2919" s="37"/>
      <c r="JW2919" s="37"/>
      <c r="JX2919" s="37"/>
      <c r="JY2919" s="37"/>
      <c r="JZ2919" s="37"/>
      <c r="KA2919" s="37"/>
      <c r="KB2919" s="37"/>
      <c r="KC2919" s="37"/>
      <c r="KD2919" s="37"/>
      <c r="KE2919" s="37"/>
      <c r="KF2919" s="37"/>
      <c r="KG2919" s="37"/>
      <c r="KH2919" s="37"/>
      <c r="KI2919" s="37"/>
      <c r="KJ2919" s="37"/>
      <c r="KK2919" s="37"/>
      <c r="KL2919" s="37"/>
      <c r="KM2919" s="37"/>
      <c r="KN2919" s="37"/>
      <c r="KO2919" s="37"/>
      <c r="KP2919" s="37"/>
      <c r="KQ2919" s="37"/>
      <c r="KR2919" s="37"/>
      <c r="KS2919" s="37"/>
      <c r="KT2919" s="37"/>
      <c r="KU2919" s="37"/>
      <c r="KV2919" s="37"/>
      <c r="KW2919" s="37"/>
      <c r="KX2919" s="37"/>
      <c r="KY2919" s="37"/>
      <c r="KZ2919" s="37"/>
      <c r="LA2919" s="37"/>
      <c r="LB2919" s="37"/>
      <c r="LC2919" s="37"/>
      <c r="LD2919" s="37"/>
      <c r="LE2919" s="37"/>
      <c r="LF2919" s="37"/>
      <c r="LG2919" s="37"/>
      <c r="LH2919" s="37"/>
      <c r="LI2919" s="37"/>
      <c r="LJ2919" s="37"/>
      <c r="LK2919" s="37"/>
      <c r="LL2919" s="37"/>
      <c r="LM2919" s="37"/>
      <c r="LN2919" s="37"/>
      <c r="LO2919" s="37"/>
      <c r="LP2919" s="37"/>
      <c r="LQ2919" s="37"/>
      <c r="LR2919" s="37"/>
      <c r="LS2919" s="37"/>
      <c r="LT2919" s="37"/>
      <c r="LU2919" s="37"/>
      <c r="LV2919" s="37"/>
      <c r="LW2919" s="37"/>
      <c r="LX2919" s="37"/>
      <c r="LY2919" s="37"/>
      <c r="LZ2919" s="37"/>
      <c r="MA2919" s="37"/>
      <c r="MB2919" s="37"/>
      <c r="MC2919" s="37"/>
      <c r="MD2919" s="37"/>
      <c r="ME2919" s="37"/>
      <c r="MF2919" s="37"/>
      <c r="MG2919" s="37"/>
      <c r="MH2919" s="37"/>
      <c r="MI2919" s="37"/>
      <c r="MJ2919" s="37"/>
      <c r="MK2919" s="37"/>
      <c r="ML2919" s="37"/>
      <c r="MM2919" s="37"/>
      <c r="MN2919" s="37"/>
      <c r="MO2919" s="37"/>
      <c r="MP2919" s="37"/>
      <c r="MQ2919" s="37"/>
      <c r="MR2919" s="37"/>
      <c r="MS2919" s="37"/>
      <c r="MT2919" s="37"/>
      <c r="MU2919" s="37"/>
      <c r="MV2919" s="37"/>
      <c r="MW2919" s="37"/>
      <c r="MX2919" s="37"/>
      <c r="MY2919" s="37"/>
      <c r="MZ2919" s="37"/>
      <c r="NA2919" s="37"/>
      <c r="NB2919" s="37"/>
      <c r="NC2919" s="37"/>
      <c r="ND2919" s="37"/>
      <c r="NE2919" s="37"/>
      <c r="NF2919" s="37"/>
      <c r="NG2919" s="37"/>
      <c r="NH2919" s="37"/>
      <c r="NI2919" s="37"/>
      <c r="NJ2919" s="37"/>
      <c r="NK2919" s="37"/>
      <c r="NL2919" s="37"/>
      <c r="NM2919" s="37"/>
      <c r="NN2919" s="37"/>
      <c r="NO2919" s="37"/>
      <c r="NP2919" s="37"/>
      <c r="NQ2919" s="37"/>
      <c r="NR2919" s="37"/>
      <c r="NS2919" s="37"/>
      <c r="NT2919" s="37"/>
      <c r="NU2919" s="37"/>
      <c r="NV2919" s="37"/>
      <c r="NW2919" s="37"/>
      <c r="NX2919" s="37"/>
      <c r="NY2919" s="37"/>
      <c r="NZ2919" s="37"/>
      <c r="OA2919" s="37"/>
      <c r="OB2919" s="37"/>
      <c r="OC2919" s="37"/>
      <c r="OD2919" s="37"/>
      <c r="OE2919" s="37"/>
      <c r="OF2919" s="37"/>
      <c r="OG2919" s="37"/>
      <c r="OH2919" s="37"/>
      <c r="OI2919" s="37"/>
      <c r="OJ2919" s="37"/>
      <c r="OK2919" s="37"/>
      <c r="OL2919" s="37"/>
      <c r="OM2919" s="37"/>
      <c r="ON2919" s="37"/>
      <c r="OO2919" s="37"/>
      <c r="OP2919" s="37"/>
      <c r="OQ2919" s="37"/>
      <c r="OR2919" s="37"/>
      <c r="OS2919" s="37"/>
      <c r="OT2919" s="37"/>
      <c r="OU2919" s="37"/>
      <c r="OV2919" s="37"/>
      <c r="OW2919" s="37"/>
      <c r="OX2919" s="37"/>
      <c r="OY2919" s="37"/>
      <c r="OZ2919" s="37"/>
      <c r="PA2919" s="37"/>
      <c r="PB2919" s="37"/>
      <c r="PC2919" s="37"/>
      <c r="PD2919" s="37"/>
      <c r="PE2919" s="37"/>
      <c r="PF2919" s="37"/>
      <c r="PG2919" s="37"/>
      <c r="PH2919" s="37"/>
      <c r="PI2919" s="37"/>
      <c r="PJ2919" s="37"/>
      <c r="PK2919" s="37"/>
      <c r="PL2919" s="37"/>
      <c r="PM2919" s="37"/>
      <c r="PN2919" s="37"/>
      <c r="PO2919" s="37"/>
      <c r="PP2919" s="37"/>
      <c r="PQ2919" s="37"/>
      <c r="PR2919" s="37"/>
      <c r="PS2919" s="37"/>
      <c r="PT2919" s="37"/>
      <c r="PU2919" s="37"/>
      <c r="PV2919" s="37"/>
      <c r="PW2919" s="37"/>
      <c r="PX2919" s="37"/>
      <c r="PY2919" s="37"/>
      <c r="PZ2919" s="37"/>
      <c r="QA2919" s="37"/>
      <c r="QB2919" s="37"/>
      <c r="QC2919" s="37"/>
      <c r="QD2919" s="37"/>
      <c r="QE2919" s="37"/>
      <c r="QF2919" s="37"/>
      <c r="QG2919" s="37"/>
      <c r="QH2919" s="37"/>
      <c r="QI2919" s="37"/>
      <c r="QJ2919" s="37"/>
      <c r="QK2919" s="37"/>
      <c r="QL2919" s="37"/>
      <c r="QM2919" s="37"/>
      <c r="QN2919" s="37"/>
      <c r="QO2919" s="37"/>
      <c r="QP2919" s="37"/>
      <c r="QQ2919" s="37"/>
      <c r="QR2919" s="37"/>
      <c r="QS2919" s="37"/>
      <c r="QT2919" s="37"/>
      <c r="QU2919" s="37"/>
      <c r="QV2919" s="37"/>
      <c r="QW2919" s="37"/>
      <c r="QX2919" s="37"/>
      <c r="QY2919" s="37"/>
      <c r="QZ2919" s="37"/>
      <c r="RA2919" s="37"/>
      <c r="RB2919" s="37"/>
      <c r="RC2919" s="37"/>
      <c r="RD2919" s="37"/>
      <c r="RE2919" s="37"/>
      <c r="RF2919" s="37"/>
      <c r="RG2919" s="37"/>
      <c r="RH2919" s="37"/>
      <c r="RI2919" s="37"/>
      <c r="RJ2919" s="37"/>
      <c r="RK2919" s="37"/>
      <c r="RL2919" s="37"/>
      <c r="RM2919" s="37"/>
      <c r="RN2919" s="37"/>
      <c r="RO2919" s="37"/>
      <c r="RP2919" s="37"/>
      <c r="RQ2919" s="37"/>
      <c r="RR2919" s="37"/>
      <c r="RS2919" s="37"/>
      <c r="RT2919" s="37"/>
      <c r="RU2919" s="37"/>
      <c r="RV2919" s="37"/>
      <c r="RW2919" s="37"/>
      <c r="RX2919" s="37"/>
      <c r="RY2919" s="37"/>
      <c r="RZ2919" s="37"/>
      <c r="SA2919" s="37"/>
      <c r="SB2919" s="37"/>
      <c r="SC2919" s="37"/>
      <c r="SD2919" s="37"/>
      <c r="SE2919" s="37"/>
      <c r="SF2919" s="37"/>
    </row>
    <row r="2920" spans="1:500">
      <c r="A2920" s="37"/>
      <c r="B2920" s="37"/>
      <c r="C2920" s="37"/>
      <c r="D2920" s="37"/>
      <c r="E2920" s="37"/>
      <c r="F2920" s="37"/>
      <c r="G2920" s="37"/>
      <c r="H2920" s="37"/>
      <c r="I2920" s="37"/>
      <c r="J2920" s="37"/>
      <c r="K2920" s="37"/>
      <c r="L2920" s="37"/>
      <c r="M2920" s="37"/>
      <c r="N2920" s="37"/>
      <c r="O2920" s="37"/>
      <c r="P2920" s="37"/>
      <c r="Q2920" s="37"/>
      <c r="R2920" s="37"/>
      <c r="S2920" s="37"/>
      <c r="T2920" s="37"/>
      <c r="U2920" s="37"/>
      <c r="V2920" s="37"/>
      <c r="W2920" s="37"/>
      <c r="X2920" s="37"/>
      <c r="Y2920" s="37"/>
      <c r="Z2920" s="37"/>
      <c r="AA2920" s="37"/>
      <c r="AB2920" s="37"/>
      <c r="AC2920" s="37"/>
      <c r="AD2920" s="37"/>
      <c r="AE2920" s="37"/>
      <c r="AF2920" s="37"/>
      <c r="AG2920" s="37"/>
      <c r="AH2920" s="37"/>
      <c r="AI2920" s="37"/>
      <c r="AJ2920" s="37"/>
      <c r="AK2920" s="37"/>
      <c r="AL2920" s="37"/>
      <c r="AM2920" s="37"/>
      <c r="AN2920" s="37"/>
      <c r="AO2920" s="37"/>
      <c r="AP2920" s="37"/>
      <c r="AQ2920" s="37"/>
      <c r="AR2920" s="37"/>
      <c r="AS2920" s="37"/>
      <c r="AT2920" s="37"/>
      <c r="AU2920" s="37"/>
      <c r="AV2920" s="37"/>
      <c r="AW2920" s="37"/>
      <c r="AX2920" s="37"/>
      <c r="AY2920" s="37"/>
      <c r="AZ2920" s="37"/>
      <c r="BA2920" s="37"/>
      <c r="BB2920" s="37"/>
      <c r="BC2920" s="37"/>
      <c r="BD2920" s="37"/>
      <c r="BE2920" s="37"/>
      <c r="BF2920" s="37"/>
      <c r="BG2920" s="37"/>
      <c r="BH2920" s="37"/>
      <c r="BI2920" s="37"/>
      <c r="BJ2920" s="37"/>
      <c r="BK2920" s="37"/>
      <c r="BL2920" s="37"/>
      <c r="BM2920" s="37"/>
      <c r="BN2920" s="37"/>
      <c r="BO2920" s="37"/>
      <c r="BP2920" s="37"/>
      <c r="BQ2920" s="37"/>
      <c r="BR2920" s="37"/>
      <c r="BS2920" s="37"/>
      <c r="BT2920" s="37"/>
      <c r="BU2920" s="37"/>
      <c r="BV2920" s="37"/>
      <c r="BW2920" s="37"/>
      <c r="BX2920" s="37"/>
      <c r="BY2920" s="37"/>
      <c r="BZ2920" s="37"/>
      <c r="CA2920" s="37"/>
      <c r="CB2920" s="37"/>
      <c r="CC2920" s="37"/>
      <c r="CD2920" s="37"/>
      <c r="CE2920" s="37"/>
      <c r="CF2920" s="37"/>
      <c r="CG2920" s="37"/>
      <c r="CH2920" s="37"/>
      <c r="CI2920" s="37"/>
      <c r="CJ2920" s="37"/>
      <c r="CK2920" s="37"/>
      <c r="CL2920" s="37"/>
      <c r="CM2920" s="37"/>
      <c r="CN2920" s="37"/>
      <c r="CO2920" s="37"/>
      <c r="CP2920" s="37"/>
      <c r="CQ2920" s="37"/>
      <c r="CR2920" s="37"/>
      <c r="CS2920" s="37"/>
      <c r="CT2920" s="37"/>
      <c r="CU2920" s="37"/>
      <c r="CV2920" s="37"/>
      <c r="CW2920" s="37"/>
      <c r="CX2920" s="37"/>
      <c r="CY2920" s="37"/>
      <c r="CZ2920" s="37"/>
      <c r="DA2920" s="37"/>
      <c r="DB2920" s="37"/>
      <c r="DC2920" s="37"/>
      <c r="DD2920" s="37"/>
      <c r="DE2920" s="37"/>
      <c r="DF2920" s="37"/>
      <c r="DG2920" s="37"/>
      <c r="DH2920" s="37"/>
      <c r="DI2920" s="37"/>
      <c r="DJ2920" s="37"/>
      <c r="DK2920" s="37"/>
      <c r="DL2920" s="37"/>
      <c r="DM2920" s="37"/>
      <c r="DN2920" s="37"/>
      <c r="DO2920" s="37"/>
      <c r="DP2920" s="37"/>
      <c r="DQ2920" s="37"/>
      <c r="DR2920" s="37"/>
      <c r="DS2920" s="37"/>
      <c r="DT2920" s="37"/>
      <c r="DU2920" s="37"/>
      <c r="DV2920" s="37"/>
      <c r="DW2920" s="37"/>
      <c r="DX2920" s="37"/>
      <c r="DY2920" s="37"/>
      <c r="DZ2920" s="37"/>
      <c r="EA2920" s="37"/>
      <c r="EB2920" s="37"/>
      <c r="EC2920" s="37"/>
      <c r="ED2920" s="37"/>
      <c r="EE2920" s="37"/>
      <c r="EF2920" s="37"/>
      <c r="EG2920" s="37"/>
      <c r="EH2920" s="37"/>
      <c r="EI2920" s="37"/>
      <c r="EJ2920" s="37"/>
      <c r="EK2920" s="37"/>
      <c r="EL2920" s="37"/>
      <c r="EM2920" s="37"/>
      <c r="EN2920" s="37"/>
      <c r="EO2920" s="37"/>
      <c r="EP2920" s="37"/>
      <c r="EQ2920" s="37"/>
      <c r="ER2920" s="37"/>
      <c r="ES2920" s="37"/>
      <c r="ET2920" s="37"/>
      <c r="EU2920" s="37"/>
      <c r="EV2920" s="37"/>
      <c r="EW2920" s="37"/>
      <c r="EX2920" s="37"/>
      <c r="EY2920" s="37"/>
      <c r="EZ2920" s="37"/>
      <c r="FA2920" s="37"/>
      <c r="FB2920" s="37"/>
      <c r="FC2920" s="37"/>
      <c r="FD2920" s="37"/>
      <c r="FE2920" s="37"/>
      <c r="FF2920" s="37"/>
      <c r="FG2920" s="37"/>
      <c r="FH2920" s="37"/>
      <c r="FI2920" s="37"/>
      <c r="FJ2920" s="37"/>
      <c r="FK2920" s="37"/>
      <c r="FL2920" s="37"/>
      <c r="FM2920" s="37"/>
      <c r="FN2920" s="37"/>
      <c r="FO2920" s="37"/>
      <c r="FP2920" s="37"/>
      <c r="FQ2920" s="37"/>
      <c r="FR2920" s="37"/>
      <c r="FS2920" s="37"/>
      <c r="FT2920" s="37"/>
      <c r="FU2920" s="37"/>
      <c r="FV2920" s="37"/>
      <c r="FW2920" s="37"/>
      <c r="FX2920" s="37"/>
      <c r="FY2920" s="37"/>
      <c r="FZ2920" s="37"/>
      <c r="GA2920" s="37"/>
      <c r="GB2920" s="37"/>
      <c r="GC2920" s="37"/>
      <c r="GD2920" s="37"/>
      <c r="GE2920" s="37"/>
      <c r="GF2920" s="37"/>
      <c r="GG2920" s="37"/>
      <c r="GH2920" s="37"/>
      <c r="GI2920" s="37"/>
      <c r="GJ2920" s="37"/>
      <c r="GK2920" s="37"/>
      <c r="GL2920" s="37"/>
      <c r="GM2920" s="37"/>
      <c r="GN2920" s="37"/>
      <c r="GO2920" s="37"/>
      <c r="GP2920" s="37"/>
      <c r="GQ2920" s="37"/>
      <c r="GR2920" s="37"/>
      <c r="GS2920" s="37"/>
      <c r="GT2920" s="37"/>
      <c r="GU2920" s="37"/>
      <c r="GV2920" s="37"/>
      <c r="GW2920" s="37"/>
      <c r="GX2920" s="37"/>
      <c r="GY2920" s="37"/>
      <c r="GZ2920" s="37"/>
      <c r="HA2920" s="37"/>
      <c r="HB2920" s="37"/>
      <c r="HC2920" s="37"/>
      <c r="HD2920" s="37"/>
      <c r="HE2920" s="37"/>
      <c r="HF2920" s="37"/>
      <c r="HG2920" s="37"/>
      <c r="HH2920" s="37"/>
      <c r="HI2920" s="37"/>
      <c r="HJ2920" s="37"/>
      <c r="HK2920" s="37"/>
      <c r="HL2920" s="37"/>
      <c r="HM2920" s="37"/>
      <c r="HN2920" s="37"/>
      <c r="HO2920" s="37"/>
      <c r="HP2920" s="37"/>
      <c r="HQ2920" s="37"/>
      <c r="HR2920" s="37"/>
      <c r="HS2920" s="37"/>
      <c r="HT2920" s="37"/>
      <c r="HU2920" s="37"/>
      <c r="HV2920" s="37"/>
      <c r="HW2920" s="37"/>
      <c r="HX2920" s="37"/>
      <c r="HY2920" s="37"/>
      <c r="HZ2920" s="37"/>
      <c r="IA2920" s="37"/>
      <c r="IB2920" s="37"/>
      <c r="IC2920" s="37"/>
      <c r="ID2920" s="37"/>
      <c r="IE2920" s="37"/>
      <c r="IF2920" s="37"/>
      <c r="IG2920" s="37"/>
      <c r="IH2920" s="37"/>
      <c r="II2920" s="37"/>
      <c r="IJ2920" s="37"/>
      <c r="IK2920" s="37"/>
      <c r="IL2920" s="37"/>
      <c r="IM2920" s="37"/>
      <c r="IN2920" s="37"/>
      <c r="IO2920" s="37"/>
      <c r="IP2920" s="37"/>
      <c r="IQ2920" s="37"/>
      <c r="IR2920" s="37"/>
      <c r="IS2920" s="37"/>
      <c r="IT2920" s="37"/>
      <c r="IU2920" s="37"/>
      <c r="IV2920" s="37"/>
      <c r="IW2920" s="37"/>
      <c r="IX2920" s="37"/>
      <c r="IY2920" s="37"/>
      <c r="IZ2920" s="37"/>
      <c r="JA2920" s="37"/>
      <c r="JB2920" s="37"/>
      <c r="JC2920" s="37"/>
      <c r="JD2920" s="37"/>
      <c r="JE2920" s="37"/>
      <c r="JF2920" s="37"/>
      <c r="JG2920" s="37"/>
      <c r="JH2920" s="37"/>
      <c r="JI2920" s="37"/>
      <c r="JJ2920" s="37"/>
      <c r="JK2920" s="37"/>
      <c r="JL2920" s="37"/>
      <c r="JM2920" s="37"/>
      <c r="JN2920" s="37"/>
      <c r="JO2920" s="37"/>
      <c r="JP2920" s="37"/>
      <c r="JQ2920" s="37"/>
      <c r="JR2920" s="37"/>
      <c r="JS2920" s="37"/>
      <c r="JT2920" s="37"/>
      <c r="JU2920" s="37"/>
      <c r="JV2920" s="37"/>
      <c r="JW2920" s="37"/>
      <c r="JX2920" s="37"/>
      <c r="JY2920" s="37"/>
      <c r="JZ2920" s="37"/>
      <c r="KA2920" s="37"/>
      <c r="KB2920" s="37"/>
      <c r="KC2920" s="37"/>
      <c r="KD2920" s="37"/>
      <c r="KE2920" s="37"/>
      <c r="KF2920" s="37"/>
      <c r="KG2920" s="37"/>
      <c r="KH2920" s="37"/>
      <c r="KI2920" s="37"/>
      <c r="KJ2920" s="37"/>
      <c r="KK2920" s="37"/>
      <c r="KL2920" s="37"/>
      <c r="KM2920" s="37"/>
      <c r="KN2920" s="37"/>
      <c r="KO2920" s="37"/>
      <c r="KP2920" s="37"/>
      <c r="KQ2920" s="37"/>
      <c r="KR2920" s="37"/>
      <c r="KS2920" s="37"/>
      <c r="KT2920" s="37"/>
      <c r="KU2920" s="37"/>
      <c r="KV2920" s="37"/>
      <c r="KW2920" s="37"/>
      <c r="KX2920" s="37"/>
      <c r="KY2920" s="37"/>
      <c r="KZ2920" s="37"/>
      <c r="LA2920" s="37"/>
      <c r="LB2920" s="37"/>
      <c r="LC2920" s="37"/>
      <c r="LD2920" s="37"/>
      <c r="LE2920" s="37"/>
      <c r="LF2920" s="37"/>
      <c r="LG2920" s="37"/>
      <c r="LH2920" s="37"/>
      <c r="LI2920" s="37"/>
      <c r="LJ2920" s="37"/>
      <c r="LK2920" s="37"/>
      <c r="LL2920" s="37"/>
      <c r="LM2920" s="37"/>
      <c r="LN2920" s="37"/>
      <c r="LO2920" s="37"/>
      <c r="LP2920" s="37"/>
      <c r="LQ2920" s="37"/>
      <c r="LR2920" s="37"/>
      <c r="LS2920" s="37"/>
      <c r="LT2920" s="37"/>
      <c r="LU2920" s="37"/>
      <c r="LV2920" s="37"/>
      <c r="LW2920" s="37"/>
      <c r="LX2920" s="37"/>
      <c r="LY2920" s="37"/>
      <c r="LZ2920" s="37"/>
      <c r="MA2920" s="37"/>
      <c r="MB2920" s="37"/>
      <c r="MC2920" s="37"/>
      <c r="MD2920" s="37"/>
      <c r="ME2920" s="37"/>
      <c r="MF2920" s="37"/>
      <c r="MG2920" s="37"/>
      <c r="MH2920" s="37"/>
      <c r="MI2920" s="37"/>
      <c r="MJ2920" s="37"/>
      <c r="MK2920" s="37"/>
      <c r="ML2920" s="37"/>
      <c r="MM2920" s="37"/>
      <c r="MN2920" s="37"/>
      <c r="MO2920" s="37"/>
      <c r="MP2920" s="37"/>
      <c r="MQ2920" s="37"/>
      <c r="MR2920" s="37"/>
      <c r="MS2920" s="37"/>
      <c r="MT2920" s="37"/>
      <c r="MU2920" s="37"/>
      <c r="MV2920" s="37"/>
      <c r="MW2920" s="37"/>
      <c r="MX2920" s="37"/>
      <c r="MY2920" s="37"/>
      <c r="MZ2920" s="37"/>
      <c r="NA2920" s="37"/>
      <c r="NB2920" s="37"/>
      <c r="NC2920" s="37"/>
      <c r="ND2920" s="37"/>
      <c r="NE2920" s="37"/>
      <c r="NF2920" s="37"/>
      <c r="NG2920" s="37"/>
      <c r="NH2920" s="37"/>
      <c r="NI2920" s="37"/>
      <c r="NJ2920" s="37"/>
      <c r="NK2920" s="37"/>
      <c r="NL2920" s="37"/>
      <c r="NM2920" s="37"/>
      <c r="NN2920" s="37"/>
      <c r="NO2920" s="37"/>
      <c r="NP2920" s="37"/>
      <c r="NQ2920" s="37"/>
      <c r="NR2920" s="37"/>
      <c r="NS2920" s="37"/>
      <c r="NT2920" s="37"/>
      <c r="NU2920" s="37"/>
      <c r="NV2920" s="37"/>
      <c r="NW2920" s="37"/>
      <c r="NX2920" s="37"/>
      <c r="NY2920" s="37"/>
      <c r="NZ2920" s="37"/>
      <c r="OA2920" s="37"/>
      <c r="OB2920" s="37"/>
      <c r="OC2920" s="37"/>
      <c r="OD2920" s="37"/>
      <c r="OE2920" s="37"/>
      <c r="OF2920" s="37"/>
      <c r="OG2920" s="37"/>
      <c r="OH2920" s="37"/>
      <c r="OI2920" s="37"/>
      <c r="OJ2920" s="37"/>
      <c r="OK2920" s="37"/>
      <c r="OL2920" s="37"/>
      <c r="OM2920" s="37"/>
      <c r="ON2920" s="37"/>
      <c r="OO2920" s="37"/>
      <c r="OP2920" s="37"/>
      <c r="OQ2920" s="37"/>
      <c r="OR2920" s="37"/>
      <c r="OS2920" s="37"/>
      <c r="OT2920" s="37"/>
      <c r="OU2920" s="37"/>
      <c r="OV2920" s="37"/>
      <c r="OW2920" s="37"/>
      <c r="OX2920" s="37"/>
      <c r="OY2920" s="37"/>
      <c r="OZ2920" s="37"/>
      <c r="PA2920" s="37"/>
      <c r="PB2920" s="37"/>
      <c r="PC2920" s="37"/>
      <c r="PD2920" s="37"/>
      <c r="PE2920" s="37"/>
      <c r="PF2920" s="37"/>
      <c r="PG2920" s="37"/>
      <c r="PH2920" s="37"/>
      <c r="PI2920" s="37"/>
      <c r="PJ2920" s="37"/>
      <c r="PK2920" s="37"/>
      <c r="PL2920" s="37"/>
      <c r="PM2920" s="37"/>
      <c r="PN2920" s="37"/>
      <c r="PO2920" s="37"/>
      <c r="PP2920" s="37"/>
      <c r="PQ2920" s="37"/>
      <c r="PR2920" s="37"/>
      <c r="PS2920" s="37"/>
      <c r="PT2920" s="37"/>
      <c r="PU2920" s="37"/>
      <c r="PV2920" s="37"/>
      <c r="PW2920" s="37"/>
      <c r="PX2920" s="37"/>
      <c r="PY2920" s="37"/>
      <c r="PZ2920" s="37"/>
      <c r="QA2920" s="37"/>
      <c r="QB2920" s="37"/>
      <c r="QC2920" s="37"/>
      <c r="QD2920" s="37"/>
      <c r="QE2920" s="37"/>
      <c r="QF2920" s="37"/>
      <c r="QG2920" s="37"/>
      <c r="QH2920" s="37"/>
      <c r="QI2920" s="37"/>
      <c r="QJ2920" s="37"/>
      <c r="QK2920" s="37"/>
      <c r="QL2920" s="37"/>
      <c r="QM2920" s="37"/>
      <c r="QN2920" s="37"/>
      <c r="QO2920" s="37"/>
      <c r="QP2920" s="37"/>
      <c r="QQ2920" s="37"/>
      <c r="QR2920" s="37"/>
      <c r="QS2920" s="37"/>
      <c r="QT2920" s="37"/>
      <c r="QU2920" s="37"/>
      <c r="QV2920" s="37"/>
      <c r="QW2920" s="37"/>
      <c r="QX2920" s="37"/>
      <c r="QY2920" s="37"/>
      <c r="QZ2920" s="37"/>
      <c r="RA2920" s="37"/>
      <c r="RB2920" s="37"/>
      <c r="RC2920" s="37"/>
      <c r="RD2920" s="37"/>
      <c r="RE2920" s="37"/>
      <c r="RF2920" s="37"/>
      <c r="RG2920" s="37"/>
      <c r="RH2920" s="37"/>
      <c r="RI2920" s="37"/>
      <c r="RJ2920" s="37"/>
      <c r="RK2920" s="37"/>
      <c r="RL2920" s="37"/>
      <c r="RM2920" s="37"/>
      <c r="RN2920" s="37"/>
      <c r="RO2920" s="37"/>
      <c r="RP2920" s="37"/>
      <c r="RQ2920" s="37"/>
      <c r="RR2920" s="37"/>
      <c r="RS2920" s="37"/>
      <c r="RT2920" s="37"/>
      <c r="RU2920" s="37"/>
      <c r="RV2920" s="37"/>
      <c r="RW2920" s="37"/>
      <c r="RX2920" s="37"/>
      <c r="RY2920" s="37"/>
      <c r="RZ2920" s="37"/>
      <c r="SA2920" s="37"/>
      <c r="SB2920" s="37"/>
      <c r="SC2920" s="37"/>
      <c r="SD2920" s="37"/>
      <c r="SE2920" s="37"/>
      <c r="SF2920" s="37"/>
    </row>
    <row r="2921" spans="1:500">
      <c r="A2921" s="37"/>
      <c r="B2921" s="37"/>
      <c r="C2921" s="37"/>
      <c r="D2921" s="37"/>
      <c r="E2921" s="37"/>
      <c r="F2921" s="37"/>
      <c r="G2921" s="37"/>
      <c r="H2921" s="37"/>
      <c r="I2921" s="37"/>
      <c r="J2921" s="37"/>
      <c r="K2921" s="37"/>
      <c r="L2921" s="37"/>
      <c r="M2921" s="37"/>
      <c r="N2921" s="37"/>
      <c r="O2921" s="37"/>
      <c r="P2921" s="37"/>
      <c r="Q2921" s="37"/>
      <c r="R2921" s="37"/>
      <c r="S2921" s="37"/>
      <c r="T2921" s="37"/>
      <c r="U2921" s="37"/>
      <c r="V2921" s="37"/>
      <c r="W2921" s="37"/>
      <c r="X2921" s="37"/>
      <c r="Y2921" s="37"/>
      <c r="Z2921" s="37"/>
      <c r="AA2921" s="37"/>
      <c r="AB2921" s="37"/>
      <c r="AC2921" s="37"/>
      <c r="AD2921" s="37"/>
      <c r="AE2921" s="37"/>
      <c r="AF2921" s="37"/>
      <c r="AG2921" s="37"/>
      <c r="AH2921" s="37"/>
      <c r="AI2921" s="37"/>
      <c r="AJ2921" s="37"/>
      <c r="AK2921" s="37"/>
      <c r="AL2921" s="37"/>
      <c r="AM2921" s="37"/>
      <c r="AN2921" s="37"/>
      <c r="AO2921" s="37"/>
      <c r="AP2921" s="37"/>
      <c r="AQ2921" s="37"/>
      <c r="AR2921" s="37"/>
      <c r="AS2921" s="37"/>
      <c r="AT2921" s="37"/>
      <c r="AU2921" s="37"/>
      <c r="AV2921" s="37"/>
      <c r="AW2921" s="37"/>
      <c r="AX2921" s="37"/>
      <c r="AY2921" s="37"/>
      <c r="AZ2921" s="37"/>
      <c r="BA2921" s="37"/>
      <c r="BB2921" s="37"/>
      <c r="BC2921" s="37"/>
      <c r="BD2921" s="37"/>
      <c r="BE2921" s="37"/>
      <c r="BF2921" s="37"/>
      <c r="BG2921" s="37"/>
      <c r="BH2921" s="37"/>
      <c r="BI2921" s="37"/>
      <c r="BJ2921" s="37"/>
      <c r="BK2921" s="37"/>
      <c r="BL2921" s="37"/>
      <c r="BM2921" s="37"/>
      <c r="BN2921" s="37"/>
      <c r="BO2921" s="37"/>
      <c r="BP2921" s="37"/>
      <c r="BQ2921" s="37"/>
      <c r="BR2921" s="37"/>
      <c r="BS2921" s="37"/>
      <c r="BT2921" s="37"/>
      <c r="BU2921" s="37"/>
      <c r="BV2921" s="37"/>
      <c r="BW2921" s="37"/>
      <c r="BX2921" s="37"/>
      <c r="BY2921" s="37"/>
      <c r="BZ2921" s="37"/>
      <c r="CA2921" s="37"/>
      <c r="CB2921" s="37"/>
      <c r="CC2921" s="37"/>
      <c r="CD2921" s="37"/>
      <c r="CE2921" s="37"/>
      <c r="CF2921" s="37"/>
      <c r="CG2921" s="37"/>
      <c r="CH2921" s="37"/>
      <c r="CI2921" s="37"/>
      <c r="CJ2921" s="37"/>
      <c r="CK2921" s="37"/>
      <c r="CL2921" s="37"/>
      <c r="CM2921" s="37"/>
      <c r="CN2921" s="37"/>
      <c r="CO2921" s="37"/>
      <c r="CP2921" s="37"/>
      <c r="CQ2921" s="37"/>
      <c r="CR2921" s="37"/>
      <c r="CS2921" s="37"/>
      <c r="CT2921" s="37"/>
      <c r="CU2921" s="37"/>
      <c r="CV2921" s="37"/>
      <c r="CW2921" s="37"/>
      <c r="CX2921" s="37"/>
      <c r="CY2921" s="37"/>
      <c r="CZ2921" s="37"/>
      <c r="DA2921" s="37"/>
      <c r="DB2921" s="37"/>
      <c r="DC2921" s="37"/>
      <c r="DD2921" s="37"/>
      <c r="DE2921" s="37"/>
      <c r="DF2921" s="37"/>
      <c r="DG2921" s="37"/>
      <c r="DH2921" s="37"/>
      <c r="DI2921" s="37"/>
      <c r="DJ2921" s="37"/>
      <c r="DK2921" s="37"/>
      <c r="DL2921" s="37"/>
      <c r="DM2921" s="37"/>
      <c r="DN2921" s="37"/>
      <c r="DO2921" s="37"/>
      <c r="DP2921" s="37"/>
      <c r="DQ2921" s="37"/>
      <c r="DR2921" s="37"/>
      <c r="DS2921" s="37"/>
      <c r="DT2921" s="37"/>
      <c r="DU2921" s="37"/>
      <c r="DV2921" s="37"/>
      <c r="DW2921" s="37"/>
      <c r="DX2921" s="37"/>
      <c r="DY2921" s="37"/>
      <c r="DZ2921" s="37"/>
      <c r="EA2921" s="37"/>
      <c r="EB2921" s="37"/>
      <c r="EC2921" s="37"/>
      <c r="ED2921" s="37"/>
      <c r="EE2921" s="37"/>
      <c r="EF2921" s="37"/>
      <c r="EG2921" s="37"/>
      <c r="EH2921" s="37"/>
      <c r="EI2921" s="37"/>
      <c r="EJ2921" s="37"/>
      <c r="EK2921" s="37"/>
      <c r="EL2921" s="37"/>
      <c r="EM2921" s="37"/>
      <c r="EN2921" s="37"/>
      <c r="EO2921" s="37"/>
      <c r="EP2921" s="37"/>
      <c r="EQ2921" s="37"/>
      <c r="ER2921" s="37"/>
      <c r="ES2921" s="37"/>
      <c r="ET2921" s="37"/>
      <c r="EU2921" s="37"/>
      <c r="EV2921" s="37"/>
      <c r="EW2921" s="37"/>
      <c r="EX2921" s="37"/>
      <c r="EY2921" s="37"/>
      <c r="EZ2921" s="37"/>
      <c r="FA2921" s="37"/>
      <c r="FB2921" s="37"/>
      <c r="FC2921" s="37"/>
      <c r="FD2921" s="37"/>
      <c r="FE2921" s="37"/>
      <c r="FF2921" s="37"/>
      <c r="FG2921" s="37"/>
      <c r="FH2921" s="37"/>
      <c r="FI2921" s="37"/>
      <c r="FJ2921" s="37"/>
      <c r="FK2921" s="37"/>
      <c r="FL2921" s="37"/>
      <c r="FM2921" s="37"/>
      <c r="FN2921" s="37"/>
      <c r="FO2921" s="37"/>
      <c r="FP2921" s="37"/>
      <c r="FQ2921" s="37"/>
      <c r="FR2921" s="37"/>
      <c r="FS2921" s="37"/>
      <c r="FT2921" s="37"/>
      <c r="FU2921" s="37"/>
      <c r="FV2921" s="37"/>
      <c r="FW2921" s="37"/>
      <c r="FX2921" s="37"/>
      <c r="FY2921" s="37"/>
      <c r="FZ2921" s="37"/>
      <c r="GA2921" s="37"/>
      <c r="GB2921" s="37"/>
      <c r="GC2921" s="37"/>
      <c r="GD2921" s="37"/>
      <c r="GE2921" s="37"/>
      <c r="GF2921" s="37"/>
      <c r="GG2921" s="37"/>
      <c r="GH2921" s="37"/>
      <c r="GI2921" s="37"/>
      <c r="GJ2921" s="37"/>
      <c r="GK2921" s="37"/>
      <c r="GL2921" s="37"/>
      <c r="GM2921" s="37"/>
      <c r="GN2921" s="37"/>
      <c r="GO2921" s="37"/>
      <c r="GP2921" s="37"/>
      <c r="GQ2921" s="37"/>
      <c r="GR2921" s="37"/>
      <c r="GS2921" s="37"/>
      <c r="GT2921" s="37"/>
      <c r="GU2921" s="37"/>
      <c r="GV2921" s="37"/>
      <c r="GW2921" s="37"/>
      <c r="GX2921" s="37"/>
      <c r="GY2921" s="37"/>
      <c r="GZ2921" s="37"/>
      <c r="HA2921" s="37"/>
      <c r="HB2921" s="37"/>
      <c r="HC2921" s="37"/>
      <c r="HD2921" s="37"/>
      <c r="HE2921" s="37"/>
      <c r="HF2921" s="37"/>
      <c r="HG2921" s="37"/>
      <c r="HH2921" s="37"/>
      <c r="HI2921" s="37"/>
      <c r="HJ2921" s="37"/>
      <c r="HK2921" s="37"/>
      <c r="HL2921" s="37"/>
      <c r="HM2921" s="37"/>
      <c r="HN2921" s="37"/>
      <c r="HO2921" s="37"/>
      <c r="HP2921" s="37"/>
      <c r="HQ2921" s="37"/>
      <c r="HR2921" s="37"/>
      <c r="HS2921" s="37"/>
      <c r="HT2921" s="37"/>
      <c r="HU2921" s="37"/>
      <c r="HV2921" s="37"/>
      <c r="HW2921" s="37"/>
      <c r="HX2921" s="37"/>
      <c r="HY2921" s="37"/>
      <c r="HZ2921" s="37"/>
      <c r="IA2921" s="37"/>
      <c r="IB2921" s="37"/>
      <c r="IC2921" s="37"/>
      <c r="ID2921" s="37"/>
      <c r="IE2921" s="37"/>
      <c r="IF2921" s="37"/>
      <c r="IG2921" s="37"/>
      <c r="IH2921" s="37"/>
      <c r="II2921" s="37"/>
      <c r="IJ2921" s="37"/>
      <c r="IK2921" s="37"/>
      <c r="IL2921" s="37"/>
      <c r="IM2921" s="37"/>
      <c r="IN2921" s="37"/>
      <c r="IO2921" s="37"/>
      <c r="IP2921" s="37"/>
      <c r="IQ2921" s="37"/>
      <c r="IR2921" s="37"/>
      <c r="IS2921" s="37"/>
      <c r="IT2921" s="37"/>
      <c r="IU2921" s="37"/>
      <c r="IV2921" s="37"/>
      <c r="IW2921" s="37"/>
      <c r="IX2921" s="37"/>
      <c r="IY2921" s="37"/>
      <c r="IZ2921" s="37"/>
      <c r="JA2921" s="37"/>
      <c r="JB2921" s="37"/>
      <c r="JC2921" s="37"/>
      <c r="JD2921" s="37"/>
      <c r="JE2921" s="37"/>
      <c r="JF2921" s="37"/>
      <c r="JG2921" s="37"/>
      <c r="JH2921" s="37"/>
      <c r="JI2921" s="37"/>
      <c r="JJ2921" s="37"/>
      <c r="JK2921" s="37"/>
      <c r="JL2921" s="37"/>
      <c r="JM2921" s="37"/>
      <c r="JN2921" s="37"/>
      <c r="JO2921" s="37"/>
      <c r="JP2921" s="37"/>
      <c r="JQ2921" s="37"/>
      <c r="JR2921" s="37"/>
      <c r="JS2921" s="37"/>
      <c r="JT2921" s="37"/>
      <c r="JU2921" s="37"/>
      <c r="JV2921" s="37"/>
      <c r="JW2921" s="37"/>
      <c r="JX2921" s="37"/>
      <c r="JY2921" s="37"/>
      <c r="JZ2921" s="37"/>
      <c r="KA2921" s="37"/>
      <c r="KB2921" s="37"/>
      <c r="KC2921" s="37"/>
      <c r="KD2921" s="37"/>
      <c r="KE2921" s="37"/>
      <c r="KF2921" s="37"/>
      <c r="KG2921" s="37"/>
      <c r="KH2921" s="37"/>
      <c r="KI2921" s="37"/>
      <c r="KJ2921" s="37"/>
      <c r="KK2921" s="37"/>
      <c r="KL2921" s="37"/>
      <c r="KM2921" s="37"/>
      <c r="KN2921" s="37"/>
      <c r="KO2921" s="37"/>
      <c r="KP2921" s="37"/>
      <c r="KQ2921" s="37"/>
      <c r="KR2921" s="37"/>
      <c r="KS2921" s="37"/>
      <c r="KT2921" s="37"/>
      <c r="KU2921" s="37"/>
      <c r="KV2921" s="37"/>
      <c r="KW2921" s="37"/>
      <c r="KX2921" s="37"/>
      <c r="KY2921" s="37"/>
      <c r="KZ2921" s="37"/>
      <c r="LA2921" s="37"/>
      <c r="LB2921" s="37"/>
      <c r="LC2921" s="37"/>
      <c r="LD2921" s="37"/>
      <c r="LE2921" s="37"/>
      <c r="LF2921" s="37"/>
      <c r="LG2921" s="37"/>
      <c r="LH2921" s="37"/>
      <c r="LI2921" s="37"/>
      <c r="LJ2921" s="37"/>
      <c r="LK2921" s="37"/>
      <c r="LL2921" s="37"/>
      <c r="LM2921" s="37"/>
      <c r="LN2921" s="37"/>
      <c r="LO2921" s="37"/>
      <c r="LP2921" s="37"/>
      <c r="LQ2921" s="37"/>
      <c r="LR2921" s="37"/>
      <c r="LS2921" s="37"/>
      <c r="LT2921" s="37"/>
      <c r="LU2921" s="37"/>
      <c r="LV2921" s="37"/>
      <c r="LW2921" s="37"/>
      <c r="LX2921" s="37"/>
      <c r="LY2921" s="37"/>
      <c r="LZ2921" s="37"/>
      <c r="MA2921" s="37"/>
      <c r="MB2921" s="37"/>
      <c r="MC2921" s="37"/>
      <c r="MD2921" s="37"/>
      <c r="ME2921" s="37"/>
      <c r="MF2921" s="37"/>
      <c r="MG2921" s="37"/>
      <c r="MH2921" s="37"/>
      <c r="MI2921" s="37"/>
      <c r="MJ2921" s="37"/>
      <c r="MK2921" s="37"/>
      <c r="ML2921" s="37"/>
      <c r="MM2921" s="37"/>
      <c r="MN2921" s="37"/>
      <c r="MO2921" s="37"/>
      <c r="MP2921" s="37"/>
      <c r="MQ2921" s="37"/>
      <c r="MR2921" s="37"/>
      <c r="MS2921" s="37"/>
      <c r="MT2921" s="37"/>
      <c r="MU2921" s="37"/>
      <c r="MV2921" s="37"/>
      <c r="MW2921" s="37"/>
      <c r="MX2921" s="37"/>
      <c r="MY2921" s="37"/>
      <c r="MZ2921" s="37"/>
      <c r="NA2921" s="37"/>
      <c r="NB2921" s="37"/>
      <c r="NC2921" s="37"/>
      <c r="ND2921" s="37"/>
      <c r="NE2921" s="37"/>
      <c r="NF2921" s="37"/>
      <c r="NG2921" s="37"/>
      <c r="NH2921" s="37"/>
      <c r="NI2921" s="37"/>
      <c r="NJ2921" s="37"/>
      <c r="NK2921" s="37"/>
      <c r="NL2921" s="37"/>
      <c r="NM2921" s="37"/>
      <c r="NN2921" s="37"/>
      <c r="NO2921" s="37"/>
      <c r="NP2921" s="37"/>
      <c r="NQ2921" s="37"/>
      <c r="NR2921" s="37"/>
      <c r="NS2921" s="37"/>
      <c r="NT2921" s="37"/>
      <c r="NU2921" s="37"/>
      <c r="NV2921" s="37"/>
      <c r="NW2921" s="37"/>
      <c r="NX2921" s="37"/>
      <c r="NY2921" s="37"/>
      <c r="NZ2921" s="37"/>
      <c r="OA2921" s="37"/>
      <c r="OB2921" s="37"/>
      <c r="OC2921" s="37"/>
      <c r="OD2921" s="37"/>
      <c r="OE2921" s="37"/>
      <c r="OF2921" s="37"/>
      <c r="OG2921" s="37"/>
      <c r="OH2921" s="37"/>
      <c r="OI2921" s="37"/>
      <c r="OJ2921" s="37"/>
      <c r="OK2921" s="37"/>
      <c r="OL2921" s="37"/>
      <c r="OM2921" s="37"/>
      <c r="ON2921" s="37"/>
      <c r="OO2921" s="37"/>
      <c r="OP2921" s="37"/>
      <c r="OQ2921" s="37"/>
      <c r="OR2921" s="37"/>
      <c r="OS2921" s="37"/>
      <c r="OT2921" s="37"/>
      <c r="OU2921" s="37"/>
      <c r="OV2921" s="37"/>
      <c r="OW2921" s="37"/>
      <c r="OX2921" s="37"/>
      <c r="OY2921" s="37"/>
      <c r="OZ2921" s="37"/>
      <c r="PA2921" s="37"/>
      <c r="PB2921" s="37"/>
      <c r="PC2921" s="37"/>
      <c r="PD2921" s="37"/>
      <c r="PE2921" s="37"/>
      <c r="PF2921" s="37"/>
      <c r="PG2921" s="37"/>
      <c r="PH2921" s="37"/>
      <c r="PI2921" s="37"/>
      <c r="PJ2921" s="37"/>
      <c r="PK2921" s="37"/>
      <c r="PL2921" s="37"/>
      <c r="PM2921" s="37"/>
      <c r="PN2921" s="37"/>
      <c r="PO2921" s="37"/>
      <c r="PP2921" s="37"/>
      <c r="PQ2921" s="37"/>
      <c r="PR2921" s="37"/>
      <c r="PS2921" s="37"/>
      <c r="PT2921" s="37"/>
      <c r="PU2921" s="37"/>
      <c r="PV2921" s="37"/>
      <c r="PW2921" s="37"/>
      <c r="PX2921" s="37"/>
      <c r="PY2921" s="37"/>
      <c r="PZ2921" s="37"/>
      <c r="QA2921" s="37"/>
      <c r="QB2921" s="37"/>
      <c r="QC2921" s="37"/>
      <c r="QD2921" s="37"/>
      <c r="QE2921" s="37"/>
      <c r="QF2921" s="37"/>
      <c r="QG2921" s="37"/>
      <c r="QH2921" s="37"/>
      <c r="QI2921" s="37"/>
      <c r="QJ2921" s="37"/>
      <c r="QK2921" s="37"/>
      <c r="QL2921" s="37"/>
      <c r="QM2921" s="37"/>
      <c r="QN2921" s="37"/>
      <c r="QO2921" s="37"/>
      <c r="QP2921" s="37"/>
      <c r="QQ2921" s="37"/>
      <c r="QR2921" s="37"/>
      <c r="QS2921" s="37"/>
      <c r="QT2921" s="37"/>
      <c r="QU2921" s="37"/>
      <c r="QV2921" s="37"/>
      <c r="QW2921" s="37"/>
      <c r="QX2921" s="37"/>
      <c r="QY2921" s="37"/>
      <c r="QZ2921" s="37"/>
      <c r="RA2921" s="37"/>
      <c r="RB2921" s="37"/>
      <c r="RC2921" s="37"/>
      <c r="RD2921" s="37"/>
      <c r="RE2921" s="37"/>
      <c r="RF2921" s="37"/>
      <c r="RG2921" s="37"/>
      <c r="RH2921" s="37"/>
      <c r="RI2921" s="37"/>
      <c r="RJ2921" s="37"/>
      <c r="RK2921" s="37"/>
      <c r="RL2921" s="37"/>
      <c r="RM2921" s="37"/>
      <c r="RN2921" s="37"/>
      <c r="RO2921" s="37"/>
      <c r="RP2921" s="37"/>
      <c r="RQ2921" s="37"/>
      <c r="RR2921" s="37"/>
      <c r="RS2921" s="37"/>
      <c r="RT2921" s="37"/>
      <c r="RU2921" s="37"/>
      <c r="RV2921" s="37"/>
      <c r="RW2921" s="37"/>
      <c r="RX2921" s="37"/>
      <c r="RY2921" s="37"/>
      <c r="RZ2921" s="37"/>
      <c r="SA2921" s="37"/>
      <c r="SB2921" s="37"/>
      <c r="SC2921" s="37"/>
      <c r="SD2921" s="37"/>
      <c r="SE2921" s="37"/>
      <c r="SF2921" s="37"/>
    </row>
    <row r="2922" spans="1:500">
      <c r="A2922" s="37"/>
      <c r="B2922" s="37"/>
      <c r="C2922" s="37"/>
      <c r="D2922" s="37"/>
      <c r="E2922" s="37"/>
      <c r="F2922" s="37"/>
      <c r="G2922" s="37"/>
      <c r="H2922" s="37"/>
      <c r="I2922" s="37"/>
      <c r="J2922" s="37"/>
      <c r="K2922" s="37"/>
      <c r="L2922" s="37"/>
      <c r="M2922" s="37"/>
      <c r="N2922" s="37"/>
      <c r="O2922" s="37"/>
      <c r="P2922" s="37"/>
      <c r="Q2922" s="37"/>
      <c r="R2922" s="37"/>
      <c r="S2922" s="37"/>
      <c r="T2922" s="37"/>
      <c r="U2922" s="37"/>
      <c r="V2922" s="37"/>
      <c r="W2922" s="37"/>
      <c r="X2922" s="37"/>
      <c r="Y2922" s="37"/>
      <c r="Z2922" s="37"/>
      <c r="AA2922" s="37"/>
      <c r="AB2922" s="37"/>
      <c r="AC2922" s="37"/>
      <c r="AD2922" s="37"/>
      <c r="AE2922" s="37"/>
      <c r="AF2922" s="37"/>
      <c r="AG2922" s="37"/>
      <c r="AH2922" s="37"/>
      <c r="AI2922" s="37"/>
      <c r="AJ2922" s="37"/>
      <c r="AK2922" s="37"/>
      <c r="AL2922" s="37"/>
      <c r="AM2922" s="37"/>
      <c r="AN2922" s="37"/>
      <c r="AO2922" s="37"/>
      <c r="AP2922" s="37"/>
      <c r="AQ2922" s="37"/>
      <c r="AR2922" s="37"/>
      <c r="AS2922" s="37"/>
      <c r="AT2922" s="37"/>
      <c r="AU2922" s="37"/>
      <c r="AV2922" s="37"/>
      <c r="AW2922" s="37"/>
      <c r="AX2922" s="37"/>
      <c r="AY2922" s="37"/>
      <c r="AZ2922" s="37"/>
      <c r="BA2922" s="37"/>
      <c r="BB2922" s="37"/>
      <c r="BC2922" s="37"/>
      <c r="BD2922" s="37"/>
      <c r="BE2922" s="37"/>
      <c r="BF2922" s="37"/>
      <c r="BG2922" s="37"/>
      <c r="BH2922" s="37"/>
      <c r="BI2922" s="37"/>
      <c r="BJ2922" s="37"/>
      <c r="BK2922" s="37"/>
      <c r="BL2922" s="37"/>
      <c r="BM2922" s="37"/>
      <c r="BN2922" s="37"/>
      <c r="BO2922" s="37"/>
      <c r="BP2922" s="37"/>
      <c r="BQ2922" s="37"/>
      <c r="BR2922" s="37"/>
      <c r="BS2922" s="37"/>
      <c r="BT2922" s="37"/>
      <c r="BU2922" s="37"/>
      <c r="BV2922" s="37"/>
      <c r="BW2922" s="37"/>
      <c r="BX2922" s="37"/>
      <c r="BY2922" s="37"/>
      <c r="BZ2922" s="37"/>
      <c r="CA2922" s="37"/>
      <c r="CB2922" s="37"/>
      <c r="CC2922" s="37"/>
      <c r="CD2922" s="37"/>
      <c r="CE2922" s="37"/>
      <c r="CF2922" s="37"/>
      <c r="CG2922" s="37"/>
      <c r="CH2922" s="37"/>
      <c r="CI2922" s="37"/>
      <c r="CJ2922" s="37"/>
      <c r="CK2922" s="37"/>
      <c r="CL2922" s="37"/>
      <c r="CM2922" s="37"/>
      <c r="CN2922" s="37"/>
      <c r="CO2922" s="37"/>
      <c r="CP2922" s="37"/>
      <c r="CQ2922" s="37"/>
      <c r="CR2922" s="37"/>
      <c r="CS2922" s="37"/>
      <c r="CT2922" s="37"/>
      <c r="CU2922" s="37"/>
      <c r="CV2922" s="37"/>
      <c r="CW2922" s="37"/>
      <c r="CX2922" s="37"/>
      <c r="CY2922" s="37"/>
      <c r="CZ2922" s="37"/>
      <c r="DA2922" s="37"/>
      <c r="DB2922" s="37"/>
      <c r="DC2922" s="37"/>
      <c r="DD2922" s="37"/>
      <c r="DE2922" s="37"/>
      <c r="DF2922" s="37"/>
      <c r="DG2922" s="37"/>
      <c r="DH2922" s="37"/>
      <c r="DI2922" s="37"/>
      <c r="DJ2922" s="37"/>
      <c r="DK2922" s="37"/>
      <c r="DL2922" s="37"/>
      <c r="DM2922" s="37"/>
      <c r="DN2922" s="37"/>
      <c r="DO2922" s="37"/>
      <c r="DP2922" s="37"/>
      <c r="DQ2922" s="37"/>
      <c r="DR2922" s="37"/>
      <c r="DS2922" s="37"/>
      <c r="DT2922" s="37"/>
      <c r="DU2922" s="37"/>
      <c r="DV2922" s="37"/>
      <c r="DW2922" s="37"/>
      <c r="DX2922" s="37"/>
      <c r="DY2922" s="37"/>
      <c r="DZ2922" s="37"/>
      <c r="EA2922" s="37"/>
      <c r="EB2922" s="37"/>
      <c r="EC2922" s="37"/>
      <c r="ED2922" s="37"/>
      <c r="EE2922" s="37"/>
      <c r="EF2922" s="37"/>
      <c r="EG2922" s="37"/>
      <c r="EH2922" s="37"/>
      <c r="EI2922" s="37"/>
      <c r="EJ2922" s="37"/>
      <c r="EK2922" s="37"/>
      <c r="EL2922" s="37"/>
      <c r="EM2922" s="37"/>
      <c r="EN2922" s="37"/>
      <c r="EO2922" s="37"/>
      <c r="EP2922" s="37"/>
      <c r="EQ2922" s="37"/>
      <c r="ER2922" s="37"/>
      <c r="ES2922" s="37"/>
      <c r="ET2922" s="37"/>
      <c r="EU2922" s="37"/>
      <c r="EV2922" s="37"/>
      <c r="EW2922" s="37"/>
      <c r="EX2922" s="37"/>
      <c r="EY2922" s="37"/>
      <c r="EZ2922" s="37"/>
      <c r="FA2922" s="37"/>
      <c r="FB2922" s="37"/>
      <c r="FC2922" s="37"/>
      <c r="FD2922" s="37"/>
      <c r="FE2922" s="37"/>
      <c r="FF2922" s="37"/>
      <c r="FG2922" s="37"/>
      <c r="FH2922" s="37"/>
      <c r="FI2922" s="37"/>
      <c r="FJ2922" s="37"/>
      <c r="FK2922" s="37"/>
      <c r="FL2922" s="37"/>
      <c r="FM2922" s="37"/>
      <c r="FN2922" s="37"/>
      <c r="FO2922" s="37"/>
      <c r="FP2922" s="37"/>
      <c r="FQ2922" s="37"/>
      <c r="FR2922" s="37"/>
      <c r="FS2922" s="37"/>
      <c r="FT2922" s="37"/>
      <c r="FU2922" s="37"/>
      <c r="FV2922" s="37"/>
      <c r="FW2922" s="37"/>
      <c r="FX2922" s="37"/>
      <c r="FY2922" s="37"/>
      <c r="FZ2922" s="37"/>
      <c r="GA2922" s="37"/>
      <c r="GB2922" s="37"/>
      <c r="GC2922" s="37"/>
      <c r="GD2922" s="37"/>
      <c r="GE2922" s="37"/>
      <c r="GF2922" s="37"/>
      <c r="GG2922" s="37"/>
      <c r="GH2922" s="37"/>
      <c r="GI2922" s="37"/>
      <c r="GJ2922" s="37"/>
      <c r="GK2922" s="37"/>
      <c r="GL2922" s="37"/>
      <c r="GM2922" s="37"/>
      <c r="GN2922" s="37"/>
      <c r="GO2922" s="37"/>
      <c r="GP2922" s="37"/>
      <c r="GQ2922" s="37"/>
      <c r="GR2922" s="37"/>
      <c r="GS2922" s="37"/>
      <c r="GT2922" s="37"/>
      <c r="GU2922" s="37"/>
      <c r="GV2922" s="37"/>
      <c r="GW2922" s="37"/>
      <c r="GX2922" s="37"/>
      <c r="GY2922" s="37"/>
      <c r="GZ2922" s="37"/>
      <c r="HA2922" s="37"/>
      <c r="HB2922" s="37"/>
      <c r="HC2922" s="37"/>
      <c r="HD2922" s="37"/>
      <c r="HE2922" s="37"/>
      <c r="HF2922" s="37"/>
      <c r="HG2922" s="37"/>
      <c r="HH2922" s="37"/>
      <c r="HI2922" s="37"/>
      <c r="HJ2922" s="37"/>
      <c r="HK2922" s="37"/>
      <c r="HL2922" s="37"/>
      <c r="HM2922" s="37"/>
      <c r="HN2922" s="37"/>
      <c r="HO2922" s="37"/>
      <c r="HP2922" s="37"/>
      <c r="HQ2922" s="37"/>
      <c r="HR2922" s="37"/>
      <c r="HS2922" s="37"/>
      <c r="HT2922" s="37"/>
      <c r="HU2922" s="37"/>
      <c r="HV2922" s="37"/>
      <c r="HW2922" s="37"/>
      <c r="HX2922" s="37"/>
      <c r="HY2922" s="37"/>
      <c r="HZ2922" s="37"/>
      <c r="IA2922" s="37"/>
      <c r="IB2922" s="37"/>
      <c r="IC2922" s="37"/>
      <c r="ID2922" s="37"/>
      <c r="IE2922" s="37"/>
      <c r="IF2922" s="37"/>
      <c r="IG2922" s="37"/>
      <c r="IH2922" s="37"/>
      <c r="II2922" s="37"/>
      <c r="IJ2922" s="37"/>
      <c r="IK2922" s="37"/>
      <c r="IL2922" s="37"/>
      <c r="IM2922" s="37"/>
      <c r="IN2922" s="37"/>
      <c r="IO2922" s="37"/>
      <c r="IP2922" s="37"/>
      <c r="IQ2922" s="37"/>
      <c r="IR2922" s="37"/>
      <c r="IS2922" s="37"/>
      <c r="IT2922" s="37"/>
      <c r="IU2922" s="37"/>
      <c r="IV2922" s="37"/>
      <c r="IW2922" s="37"/>
      <c r="IX2922" s="37"/>
      <c r="IY2922" s="37"/>
      <c r="IZ2922" s="37"/>
      <c r="JA2922" s="37"/>
      <c r="JB2922" s="37"/>
      <c r="JC2922" s="37"/>
      <c r="JD2922" s="37"/>
      <c r="JE2922" s="37"/>
      <c r="JF2922" s="37"/>
      <c r="JG2922" s="37"/>
      <c r="JH2922" s="37"/>
      <c r="JI2922" s="37"/>
      <c r="JJ2922" s="37"/>
      <c r="JK2922" s="37"/>
      <c r="JL2922" s="37"/>
      <c r="JM2922" s="37"/>
      <c r="JN2922" s="37"/>
      <c r="JO2922" s="37"/>
      <c r="JP2922" s="37"/>
      <c r="JQ2922" s="37"/>
      <c r="JR2922" s="37"/>
      <c r="JS2922" s="37"/>
      <c r="JT2922" s="37"/>
      <c r="JU2922" s="37"/>
      <c r="JV2922" s="37"/>
      <c r="JW2922" s="37"/>
      <c r="JX2922" s="37"/>
      <c r="JY2922" s="37"/>
      <c r="JZ2922" s="37"/>
      <c r="KA2922" s="37"/>
      <c r="KB2922" s="37"/>
      <c r="KC2922" s="37"/>
      <c r="KD2922" s="37"/>
      <c r="KE2922" s="37"/>
      <c r="KF2922" s="37"/>
      <c r="KG2922" s="37"/>
      <c r="KH2922" s="37"/>
      <c r="KI2922" s="37"/>
      <c r="KJ2922" s="37"/>
      <c r="KK2922" s="37"/>
      <c r="KL2922" s="37"/>
      <c r="KM2922" s="37"/>
      <c r="KN2922" s="37"/>
      <c r="KO2922" s="37"/>
      <c r="KP2922" s="37"/>
      <c r="KQ2922" s="37"/>
      <c r="KR2922" s="37"/>
      <c r="KS2922" s="37"/>
      <c r="KT2922" s="37"/>
      <c r="KU2922" s="37"/>
      <c r="KV2922" s="37"/>
      <c r="KW2922" s="37"/>
      <c r="KX2922" s="37"/>
      <c r="KY2922" s="37"/>
      <c r="KZ2922" s="37"/>
      <c r="LA2922" s="37"/>
      <c r="LB2922" s="37"/>
      <c r="LC2922" s="37"/>
      <c r="LD2922" s="37"/>
      <c r="LE2922" s="37"/>
      <c r="LF2922" s="37"/>
      <c r="LG2922" s="37"/>
      <c r="LH2922" s="37"/>
      <c r="LI2922" s="37"/>
      <c r="LJ2922" s="37"/>
      <c r="LK2922" s="37"/>
      <c r="LL2922" s="37"/>
      <c r="LM2922" s="37"/>
      <c r="LN2922" s="37"/>
      <c r="LO2922" s="37"/>
      <c r="LP2922" s="37"/>
      <c r="LQ2922" s="37"/>
      <c r="LR2922" s="37"/>
      <c r="LS2922" s="37"/>
      <c r="LT2922" s="37"/>
      <c r="LU2922" s="37"/>
      <c r="LV2922" s="37"/>
      <c r="LW2922" s="37"/>
      <c r="LX2922" s="37"/>
      <c r="LY2922" s="37"/>
      <c r="LZ2922" s="37"/>
      <c r="MA2922" s="37"/>
      <c r="MB2922" s="37"/>
      <c r="MC2922" s="37"/>
      <c r="MD2922" s="37"/>
      <c r="ME2922" s="37"/>
      <c r="MF2922" s="37"/>
      <c r="MG2922" s="37"/>
      <c r="MH2922" s="37"/>
      <c r="MI2922" s="37"/>
      <c r="MJ2922" s="37"/>
      <c r="MK2922" s="37"/>
      <c r="ML2922" s="37"/>
      <c r="MM2922" s="37"/>
      <c r="MN2922" s="37"/>
      <c r="MO2922" s="37"/>
      <c r="MP2922" s="37"/>
      <c r="MQ2922" s="37"/>
      <c r="MR2922" s="37"/>
      <c r="MS2922" s="37"/>
      <c r="MT2922" s="37"/>
      <c r="MU2922" s="37"/>
      <c r="MV2922" s="37"/>
      <c r="MW2922" s="37"/>
      <c r="MX2922" s="37"/>
      <c r="MY2922" s="37"/>
      <c r="MZ2922" s="37"/>
      <c r="NA2922" s="37"/>
      <c r="NB2922" s="37"/>
      <c r="NC2922" s="37"/>
      <c r="ND2922" s="37"/>
      <c r="NE2922" s="37"/>
      <c r="NF2922" s="37"/>
      <c r="NG2922" s="37"/>
      <c r="NH2922" s="37"/>
      <c r="NI2922" s="37"/>
      <c r="NJ2922" s="37"/>
      <c r="NK2922" s="37"/>
      <c r="NL2922" s="37"/>
      <c r="NM2922" s="37"/>
      <c r="NN2922" s="37"/>
      <c r="NO2922" s="37"/>
      <c r="NP2922" s="37"/>
      <c r="NQ2922" s="37"/>
      <c r="NR2922" s="37"/>
      <c r="NS2922" s="37"/>
      <c r="NT2922" s="37"/>
      <c r="NU2922" s="37"/>
      <c r="NV2922" s="37"/>
      <c r="NW2922" s="37"/>
      <c r="NX2922" s="37"/>
      <c r="NY2922" s="37"/>
      <c r="NZ2922" s="37"/>
      <c r="OA2922" s="37"/>
      <c r="OB2922" s="37"/>
      <c r="OC2922" s="37"/>
      <c r="OD2922" s="37"/>
      <c r="OE2922" s="37"/>
      <c r="OF2922" s="37"/>
      <c r="OG2922" s="37"/>
      <c r="OH2922" s="37"/>
      <c r="OI2922" s="37"/>
      <c r="OJ2922" s="37"/>
      <c r="OK2922" s="37"/>
      <c r="OL2922" s="37"/>
      <c r="OM2922" s="37"/>
      <c r="ON2922" s="37"/>
      <c r="OO2922" s="37"/>
      <c r="OP2922" s="37"/>
      <c r="OQ2922" s="37"/>
      <c r="OR2922" s="37"/>
      <c r="OS2922" s="37"/>
      <c r="OT2922" s="37"/>
      <c r="OU2922" s="37"/>
      <c r="OV2922" s="37"/>
      <c r="OW2922" s="37"/>
      <c r="OX2922" s="37"/>
      <c r="OY2922" s="37"/>
      <c r="OZ2922" s="37"/>
      <c r="PA2922" s="37"/>
      <c r="PB2922" s="37"/>
      <c r="PC2922" s="37"/>
      <c r="PD2922" s="37"/>
      <c r="PE2922" s="37"/>
      <c r="PF2922" s="37"/>
      <c r="PG2922" s="37"/>
      <c r="PH2922" s="37"/>
      <c r="PI2922" s="37"/>
      <c r="PJ2922" s="37"/>
      <c r="PK2922" s="37"/>
      <c r="PL2922" s="37"/>
      <c r="PM2922" s="37"/>
      <c r="PN2922" s="37"/>
      <c r="PO2922" s="37"/>
      <c r="PP2922" s="37"/>
      <c r="PQ2922" s="37"/>
      <c r="PR2922" s="37"/>
      <c r="PS2922" s="37"/>
      <c r="PT2922" s="37"/>
      <c r="PU2922" s="37"/>
      <c r="PV2922" s="37"/>
      <c r="PW2922" s="37"/>
      <c r="PX2922" s="37"/>
      <c r="PY2922" s="37"/>
      <c r="PZ2922" s="37"/>
      <c r="QA2922" s="37"/>
      <c r="QB2922" s="37"/>
      <c r="QC2922" s="37"/>
      <c r="QD2922" s="37"/>
      <c r="QE2922" s="37"/>
      <c r="QF2922" s="37"/>
      <c r="QG2922" s="37"/>
      <c r="QH2922" s="37"/>
      <c r="QI2922" s="37"/>
      <c r="QJ2922" s="37"/>
      <c r="QK2922" s="37"/>
      <c r="QL2922" s="37"/>
      <c r="QM2922" s="37"/>
      <c r="QN2922" s="37"/>
      <c r="QO2922" s="37"/>
      <c r="QP2922" s="37"/>
      <c r="QQ2922" s="37"/>
      <c r="QR2922" s="37"/>
      <c r="QS2922" s="37"/>
      <c r="QT2922" s="37"/>
      <c r="QU2922" s="37"/>
      <c r="QV2922" s="37"/>
      <c r="QW2922" s="37"/>
      <c r="QX2922" s="37"/>
      <c r="QY2922" s="37"/>
      <c r="QZ2922" s="37"/>
      <c r="RA2922" s="37"/>
      <c r="RB2922" s="37"/>
      <c r="RC2922" s="37"/>
      <c r="RD2922" s="37"/>
      <c r="RE2922" s="37"/>
      <c r="RF2922" s="37"/>
      <c r="RG2922" s="37"/>
      <c r="RH2922" s="37"/>
      <c r="RI2922" s="37"/>
      <c r="RJ2922" s="37"/>
      <c r="RK2922" s="37"/>
      <c r="RL2922" s="37"/>
      <c r="RM2922" s="37"/>
      <c r="RN2922" s="37"/>
      <c r="RO2922" s="37"/>
      <c r="RP2922" s="37"/>
      <c r="RQ2922" s="37"/>
      <c r="RR2922" s="37"/>
      <c r="RS2922" s="37"/>
      <c r="RT2922" s="37"/>
      <c r="RU2922" s="37"/>
      <c r="RV2922" s="37"/>
      <c r="RW2922" s="37"/>
      <c r="RX2922" s="37"/>
      <c r="RY2922" s="37"/>
      <c r="RZ2922" s="37"/>
      <c r="SA2922" s="37"/>
      <c r="SB2922" s="37"/>
      <c r="SC2922" s="37"/>
      <c r="SD2922" s="37"/>
      <c r="SE2922" s="37"/>
      <c r="SF2922" s="37"/>
    </row>
    <row r="2923" spans="1:500">
      <c r="A2923" s="37"/>
      <c r="B2923" s="37"/>
      <c r="C2923" s="37"/>
      <c r="D2923" s="37"/>
      <c r="E2923" s="37"/>
      <c r="F2923" s="37"/>
      <c r="G2923" s="37"/>
      <c r="H2923" s="37"/>
      <c r="I2923" s="37"/>
      <c r="J2923" s="37"/>
      <c r="K2923" s="37"/>
      <c r="L2923" s="37"/>
      <c r="M2923" s="37"/>
      <c r="N2923" s="37"/>
      <c r="O2923" s="37"/>
      <c r="P2923" s="37"/>
      <c r="Q2923" s="37"/>
      <c r="R2923" s="37"/>
      <c r="S2923" s="37"/>
      <c r="T2923" s="37"/>
      <c r="U2923" s="37"/>
      <c r="V2923" s="37"/>
      <c r="W2923" s="37"/>
      <c r="X2923" s="37"/>
      <c r="Y2923" s="37"/>
      <c r="Z2923" s="37"/>
      <c r="AA2923" s="37"/>
      <c r="AB2923" s="37"/>
      <c r="AC2923" s="37"/>
      <c r="AD2923" s="37"/>
      <c r="AE2923" s="37"/>
      <c r="AF2923" s="37"/>
      <c r="AG2923" s="37"/>
      <c r="AH2923" s="37"/>
      <c r="AI2923" s="37"/>
      <c r="AJ2923" s="37"/>
      <c r="AK2923" s="37"/>
      <c r="AL2923" s="37"/>
      <c r="AM2923" s="37"/>
      <c r="AN2923" s="37"/>
      <c r="AO2923" s="37"/>
      <c r="AP2923" s="37"/>
      <c r="AQ2923" s="37"/>
      <c r="AR2923" s="37"/>
      <c r="AS2923" s="37"/>
      <c r="AT2923" s="37"/>
      <c r="AU2923" s="37"/>
      <c r="AV2923" s="37"/>
      <c r="AW2923" s="37"/>
      <c r="AX2923" s="37"/>
      <c r="AY2923" s="37"/>
      <c r="AZ2923" s="37"/>
      <c r="BA2923" s="37"/>
      <c r="BB2923" s="37"/>
      <c r="BC2923" s="37"/>
      <c r="BD2923" s="37"/>
      <c r="BE2923" s="37"/>
      <c r="BF2923" s="37"/>
      <c r="BG2923" s="37"/>
      <c r="BH2923" s="37"/>
      <c r="BI2923" s="37"/>
      <c r="BJ2923" s="37"/>
      <c r="BK2923" s="37"/>
      <c r="BL2923" s="37"/>
      <c r="BM2923" s="37"/>
      <c r="BN2923" s="37"/>
      <c r="BO2923" s="37"/>
      <c r="BP2923" s="37"/>
      <c r="BQ2923" s="37"/>
      <c r="BR2923" s="37"/>
      <c r="BS2923" s="37"/>
      <c r="BT2923" s="37"/>
      <c r="BU2923" s="37"/>
      <c r="BV2923" s="37"/>
      <c r="BW2923" s="37"/>
      <c r="BX2923" s="37"/>
      <c r="BY2923" s="37"/>
      <c r="BZ2923" s="37"/>
      <c r="CA2923" s="37"/>
      <c r="CB2923" s="37"/>
      <c r="CC2923" s="37"/>
      <c r="CD2923" s="37"/>
      <c r="CE2923" s="37"/>
      <c r="CF2923" s="37"/>
      <c r="CG2923" s="37"/>
      <c r="CH2923" s="37"/>
      <c r="CI2923" s="37"/>
      <c r="CJ2923" s="37"/>
      <c r="CK2923" s="37"/>
      <c r="CL2923" s="37"/>
      <c r="CM2923" s="37"/>
      <c r="CN2923" s="37"/>
      <c r="CO2923" s="37"/>
      <c r="CP2923" s="37"/>
      <c r="CQ2923" s="37"/>
      <c r="CR2923" s="37"/>
      <c r="CS2923" s="37"/>
      <c r="CT2923" s="37"/>
      <c r="CU2923" s="37"/>
      <c r="CV2923" s="37"/>
      <c r="CW2923" s="37"/>
      <c r="CX2923" s="37"/>
      <c r="CY2923" s="37"/>
      <c r="CZ2923" s="37"/>
      <c r="DA2923" s="37"/>
      <c r="DB2923" s="37"/>
      <c r="DC2923" s="37"/>
      <c r="DD2923" s="37"/>
      <c r="DE2923" s="37"/>
      <c r="DF2923" s="37"/>
      <c r="DG2923" s="37"/>
      <c r="DH2923" s="37"/>
      <c r="DI2923" s="37"/>
      <c r="DJ2923" s="37"/>
      <c r="DK2923" s="37"/>
      <c r="DL2923" s="37"/>
      <c r="DM2923" s="37"/>
      <c r="DN2923" s="37"/>
      <c r="DO2923" s="37"/>
      <c r="DP2923" s="37"/>
      <c r="DQ2923" s="37"/>
      <c r="DR2923" s="37"/>
      <c r="DS2923" s="37"/>
      <c r="DT2923" s="37"/>
      <c r="DU2923" s="37"/>
      <c r="DV2923" s="37"/>
      <c r="DW2923" s="37"/>
      <c r="DX2923" s="37"/>
      <c r="DY2923" s="37"/>
      <c r="DZ2923" s="37"/>
      <c r="EA2923" s="37"/>
      <c r="EB2923" s="37"/>
      <c r="EC2923" s="37"/>
      <c r="ED2923" s="37"/>
      <c r="EE2923" s="37"/>
      <c r="EF2923" s="37"/>
      <c r="EG2923" s="37"/>
      <c r="EH2923" s="37"/>
      <c r="EI2923" s="37"/>
      <c r="EJ2923" s="37"/>
      <c r="EK2923" s="37"/>
      <c r="EL2923" s="37"/>
      <c r="EM2923" s="37"/>
      <c r="EN2923" s="37"/>
      <c r="EO2923" s="37"/>
      <c r="EP2923" s="37"/>
      <c r="EQ2923" s="37"/>
      <c r="ER2923" s="37"/>
      <c r="ES2923" s="37"/>
      <c r="ET2923" s="37"/>
      <c r="EU2923" s="37"/>
      <c r="EV2923" s="37"/>
      <c r="EW2923" s="37"/>
      <c r="EX2923" s="37"/>
      <c r="EY2923" s="37"/>
      <c r="EZ2923" s="37"/>
      <c r="FA2923" s="37"/>
      <c r="FB2923" s="37"/>
      <c r="FC2923" s="37"/>
      <c r="FD2923" s="37"/>
      <c r="FE2923" s="37"/>
      <c r="FF2923" s="37"/>
      <c r="FG2923" s="37"/>
      <c r="FH2923" s="37"/>
      <c r="FI2923" s="37"/>
      <c r="FJ2923" s="37"/>
      <c r="FK2923" s="37"/>
      <c r="FL2923" s="37"/>
      <c r="FM2923" s="37"/>
      <c r="FN2923" s="37"/>
      <c r="FO2923" s="37"/>
      <c r="FP2923" s="37"/>
      <c r="FQ2923" s="37"/>
      <c r="FR2923" s="37"/>
      <c r="FS2923" s="37"/>
      <c r="FT2923" s="37"/>
      <c r="FU2923" s="37"/>
      <c r="FV2923" s="37"/>
      <c r="FW2923" s="37"/>
      <c r="FX2923" s="37"/>
      <c r="FY2923" s="37"/>
      <c r="FZ2923" s="37"/>
      <c r="GA2923" s="37"/>
      <c r="GB2923" s="37"/>
      <c r="GC2923" s="37"/>
      <c r="GD2923" s="37"/>
      <c r="GE2923" s="37"/>
      <c r="GF2923" s="37"/>
      <c r="GG2923" s="37"/>
      <c r="GH2923" s="37"/>
      <c r="GI2923" s="37"/>
      <c r="GJ2923" s="37"/>
      <c r="GK2923" s="37"/>
      <c r="GL2923" s="37"/>
      <c r="GM2923" s="37"/>
      <c r="GN2923" s="37"/>
      <c r="GO2923" s="37"/>
      <c r="GP2923" s="37"/>
      <c r="GQ2923" s="37"/>
      <c r="GR2923" s="37"/>
      <c r="GS2923" s="37"/>
      <c r="GT2923" s="37"/>
      <c r="GU2923" s="37"/>
      <c r="GV2923" s="37"/>
      <c r="GW2923" s="37"/>
      <c r="GX2923" s="37"/>
      <c r="GY2923" s="37"/>
      <c r="GZ2923" s="37"/>
      <c r="HA2923" s="37"/>
      <c r="HB2923" s="37"/>
      <c r="HC2923" s="37"/>
      <c r="HD2923" s="37"/>
      <c r="HE2923" s="37"/>
      <c r="HF2923" s="37"/>
      <c r="HG2923" s="37"/>
      <c r="HH2923" s="37"/>
      <c r="HI2923" s="37"/>
      <c r="HJ2923" s="37"/>
      <c r="HK2923" s="37"/>
      <c r="HL2923" s="37"/>
      <c r="HM2923" s="37"/>
      <c r="HN2923" s="37"/>
      <c r="HO2923" s="37"/>
      <c r="HP2923" s="37"/>
      <c r="HQ2923" s="37"/>
      <c r="HR2923" s="37"/>
      <c r="HS2923" s="37"/>
      <c r="HT2923" s="37"/>
      <c r="HU2923" s="37"/>
      <c r="HV2923" s="37"/>
      <c r="HW2923" s="37"/>
      <c r="HX2923" s="37"/>
      <c r="HY2923" s="37"/>
      <c r="HZ2923" s="37"/>
      <c r="IA2923" s="37"/>
      <c r="IB2923" s="37"/>
      <c r="IC2923" s="37"/>
      <c r="ID2923" s="37"/>
      <c r="IE2923" s="37"/>
      <c r="IF2923" s="37"/>
      <c r="IG2923" s="37"/>
      <c r="IH2923" s="37"/>
      <c r="II2923" s="37"/>
      <c r="IJ2923" s="37"/>
      <c r="IK2923" s="37"/>
      <c r="IL2923" s="37"/>
      <c r="IM2923" s="37"/>
      <c r="IN2923" s="37"/>
      <c r="IO2923" s="37"/>
      <c r="IP2923" s="37"/>
      <c r="IQ2923" s="37"/>
      <c r="IR2923" s="37"/>
      <c r="IS2923" s="37"/>
      <c r="IT2923" s="37"/>
      <c r="IU2923" s="37"/>
      <c r="IV2923" s="37"/>
      <c r="IW2923" s="37"/>
      <c r="IX2923" s="37"/>
      <c r="IY2923" s="37"/>
      <c r="IZ2923" s="37"/>
      <c r="JA2923" s="37"/>
      <c r="JB2923" s="37"/>
      <c r="JC2923" s="37"/>
      <c r="JD2923" s="37"/>
      <c r="JE2923" s="37"/>
      <c r="JF2923" s="37"/>
      <c r="JG2923" s="37"/>
      <c r="JH2923" s="37"/>
      <c r="JI2923" s="37"/>
      <c r="JJ2923" s="37"/>
      <c r="JK2923" s="37"/>
      <c r="JL2923" s="37"/>
      <c r="JM2923" s="37"/>
      <c r="JN2923" s="37"/>
      <c r="JO2923" s="37"/>
      <c r="JP2923" s="37"/>
      <c r="JQ2923" s="37"/>
      <c r="JR2923" s="37"/>
      <c r="JS2923" s="37"/>
      <c r="JT2923" s="37"/>
      <c r="JU2923" s="37"/>
      <c r="JV2923" s="37"/>
      <c r="JW2923" s="37"/>
      <c r="JX2923" s="37"/>
      <c r="JY2923" s="37"/>
      <c r="JZ2923" s="37"/>
      <c r="KA2923" s="37"/>
      <c r="KB2923" s="37"/>
      <c r="KC2923" s="37"/>
      <c r="KD2923" s="37"/>
      <c r="KE2923" s="37"/>
      <c r="KF2923" s="37"/>
      <c r="KG2923" s="37"/>
      <c r="KH2923" s="37"/>
      <c r="KI2923" s="37"/>
      <c r="KJ2923" s="37"/>
      <c r="KK2923" s="37"/>
      <c r="KL2923" s="37"/>
      <c r="KM2923" s="37"/>
      <c r="KN2923" s="37"/>
      <c r="KO2923" s="37"/>
      <c r="KP2923" s="37"/>
      <c r="KQ2923" s="37"/>
      <c r="KR2923" s="37"/>
      <c r="KS2923" s="37"/>
      <c r="KT2923" s="37"/>
      <c r="KU2923" s="37"/>
      <c r="KV2923" s="37"/>
      <c r="KW2923" s="37"/>
      <c r="KX2923" s="37"/>
      <c r="KY2923" s="37"/>
      <c r="KZ2923" s="37"/>
      <c r="LA2923" s="37"/>
      <c r="LB2923" s="37"/>
      <c r="LC2923" s="37"/>
      <c r="LD2923" s="37"/>
      <c r="LE2923" s="37"/>
      <c r="LF2923" s="37"/>
      <c r="LG2923" s="37"/>
      <c r="LH2923" s="37"/>
      <c r="LI2923" s="37"/>
      <c r="LJ2923" s="37"/>
      <c r="LK2923" s="37"/>
      <c r="LL2923" s="37"/>
      <c r="LM2923" s="37"/>
      <c r="LN2923" s="37"/>
      <c r="LO2923" s="37"/>
      <c r="LP2923" s="37"/>
      <c r="LQ2923" s="37"/>
      <c r="LR2923" s="37"/>
      <c r="LS2923" s="37"/>
      <c r="LT2923" s="37"/>
      <c r="LU2923" s="37"/>
      <c r="LV2923" s="37"/>
      <c r="LW2923" s="37"/>
      <c r="LX2923" s="37"/>
      <c r="LY2923" s="37"/>
      <c r="LZ2923" s="37"/>
      <c r="MA2923" s="37"/>
      <c r="MB2923" s="37"/>
      <c r="MC2923" s="37"/>
      <c r="MD2923" s="37"/>
      <c r="ME2923" s="37"/>
      <c r="MF2923" s="37"/>
      <c r="MG2923" s="37"/>
      <c r="MH2923" s="37"/>
      <c r="MI2923" s="37"/>
      <c r="MJ2923" s="37"/>
      <c r="MK2923" s="37"/>
      <c r="ML2923" s="37"/>
      <c r="MM2923" s="37"/>
      <c r="MN2923" s="37"/>
      <c r="MO2923" s="37"/>
      <c r="MP2923" s="37"/>
      <c r="MQ2923" s="37"/>
      <c r="MR2923" s="37"/>
      <c r="MS2923" s="37"/>
      <c r="MT2923" s="37"/>
      <c r="MU2923" s="37"/>
      <c r="MV2923" s="37"/>
      <c r="MW2923" s="37"/>
      <c r="MX2923" s="37"/>
      <c r="MY2923" s="37"/>
      <c r="MZ2923" s="37"/>
      <c r="NA2923" s="37"/>
      <c r="NB2923" s="37"/>
      <c r="NC2923" s="37"/>
      <c r="ND2923" s="37"/>
      <c r="NE2923" s="37"/>
      <c r="NF2923" s="37"/>
      <c r="NG2923" s="37"/>
      <c r="NH2923" s="37"/>
      <c r="NI2923" s="37"/>
      <c r="NJ2923" s="37"/>
      <c r="NK2923" s="37"/>
      <c r="NL2923" s="37"/>
      <c r="NM2923" s="37"/>
      <c r="NN2923" s="37"/>
      <c r="NO2923" s="37"/>
      <c r="NP2923" s="37"/>
      <c r="NQ2923" s="37"/>
      <c r="NR2923" s="37"/>
      <c r="NS2923" s="37"/>
      <c r="NT2923" s="37"/>
      <c r="NU2923" s="37"/>
      <c r="NV2923" s="37"/>
      <c r="NW2923" s="37"/>
      <c r="NX2923" s="37"/>
      <c r="NY2923" s="37"/>
      <c r="NZ2923" s="37"/>
      <c r="OA2923" s="37"/>
      <c r="OB2923" s="37"/>
      <c r="OC2923" s="37"/>
      <c r="OD2923" s="37"/>
      <c r="OE2923" s="37"/>
      <c r="OF2923" s="37"/>
      <c r="OG2923" s="37"/>
      <c r="OH2923" s="37"/>
      <c r="OI2923" s="37"/>
      <c r="OJ2923" s="37"/>
      <c r="OK2923" s="37"/>
      <c r="OL2923" s="37"/>
      <c r="OM2923" s="37"/>
      <c r="ON2923" s="37"/>
      <c r="OO2923" s="37"/>
      <c r="OP2923" s="37"/>
      <c r="OQ2923" s="37"/>
      <c r="OR2923" s="37"/>
      <c r="OS2923" s="37"/>
      <c r="OT2923" s="37"/>
      <c r="OU2923" s="37"/>
      <c r="OV2923" s="37"/>
      <c r="OW2923" s="37"/>
      <c r="OX2923" s="37"/>
      <c r="OY2923" s="37"/>
      <c r="OZ2923" s="37"/>
      <c r="PA2923" s="37"/>
      <c r="PB2923" s="37"/>
      <c r="PC2923" s="37"/>
      <c r="PD2923" s="37"/>
      <c r="PE2923" s="37"/>
      <c r="PF2923" s="37"/>
      <c r="PG2923" s="37"/>
      <c r="PH2923" s="37"/>
      <c r="PI2923" s="37"/>
      <c r="PJ2923" s="37"/>
      <c r="PK2923" s="37"/>
      <c r="PL2923" s="37"/>
      <c r="PM2923" s="37"/>
      <c r="PN2923" s="37"/>
      <c r="PO2923" s="37"/>
      <c r="PP2923" s="37"/>
      <c r="PQ2923" s="37"/>
      <c r="PR2923" s="37"/>
      <c r="PS2923" s="37"/>
      <c r="PT2923" s="37"/>
      <c r="PU2923" s="37"/>
      <c r="PV2923" s="37"/>
      <c r="PW2923" s="37"/>
      <c r="PX2923" s="37"/>
      <c r="PY2923" s="37"/>
      <c r="PZ2923" s="37"/>
      <c r="QA2923" s="37"/>
      <c r="QB2923" s="37"/>
      <c r="QC2923" s="37"/>
      <c r="QD2923" s="37"/>
      <c r="QE2923" s="37"/>
      <c r="QF2923" s="37"/>
      <c r="QG2923" s="37"/>
      <c r="QH2923" s="37"/>
      <c r="QI2923" s="37"/>
      <c r="QJ2923" s="37"/>
      <c r="QK2923" s="37"/>
      <c r="QL2923" s="37"/>
      <c r="QM2923" s="37"/>
      <c r="QN2923" s="37"/>
      <c r="QO2923" s="37"/>
      <c r="QP2923" s="37"/>
      <c r="QQ2923" s="37"/>
      <c r="QR2923" s="37"/>
      <c r="QS2923" s="37"/>
      <c r="QT2923" s="37"/>
      <c r="QU2923" s="37"/>
      <c r="QV2923" s="37"/>
      <c r="QW2923" s="37"/>
      <c r="QX2923" s="37"/>
      <c r="QY2923" s="37"/>
      <c r="QZ2923" s="37"/>
      <c r="RA2923" s="37"/>
      <c r="RB2923" s="37"/>
      <c r="RC2923" s="37"/>
      <c r="RD2923" s="37"/>
      <c r="RE2923" s="37"/>
      <c r="RF2923" s="37"/>
      <c r="RG2923" s="37"/>
      <c r="RH2923" s="37"/>
      <c r="RI2923" s="37"/>
      <c r="RJ2923" s="37"/>
      <c r="RK2923" s="37"/>
      <c r="RL2923" s="37"/>
      <c r="RM2923" s="37"/>
      <c r="RN2923" s="37"/>
      <c r="RO2923" s="37"/>
      <c r="RP2923" s="37"/>
      <c r="RQ2923" s="37"/>
      <c r="RR2923" s="37"/>
      <c r="RS2923" s="37"/>
      <c r="RT2923" s="37"/>
      <c r="RU2923" s="37"/>
      <c r="RV2923" s="37"/>
      <c r="RW2923" s="37"/>
      <c r="RX2923" s="37"/>
      <c r="RY2923" s="37"/>
      <c r="RZ2923" s="37"/>
      <c r="SA2923" s="37"/>
      <c r="SB2923" s="37"/>
      <c r="SC2923" s="37"/>
      <c r="SD2923" s="37"/>
      <c r="SE2923" s="37"/>
      <c r="SF2923" s="37"/>
    </row>
    <row r="2924" spans="1:500">
      <c r="A2924" s="37"/>
      <c r="B2924" s="37"/>
      <c r="C2924" s="37"/>
      <c r="D2924" s="37"/>
      <c r="E2924" s="37"/>
      <c r="F2924" s="37"/>
      <c r="G2924" s="37"/>
      <c r="H2924" s="37"/>
      <c r="I2924" s="37"/>
      <c r="J2924" s="37"/>
      <c r="K2924" s="37"/>
      <c r="L2924" s="37"/>
      <c r="M2924" s="37"/>
      <c r="N2924" s="37"/>
      <c r="O2924" s="37"/>
      <c r="P2924" s="37"/>
      <c r="Q2924" s="37"/>
      <c r="R2924" s="37"/>
      <c r="S2924" s="37"/>
      <c r="T2924" s="37"/>
      <c r="U2924" s="37"/>
      <c r="V2924" s="37"/>
      <c r="W2924" s="37"/>
      <c r="X2924" s="37"/>
      <c r="Y2924" s="37"/>
      <c r="Z2924" s="37"/>
      <c r="AA2924" s="37"/>
      <c r="AB2924" s="37"/>
      <c r="AC2924" s="37"/>
      <c r="AD2924" s="37"/>
      <c r="AE2924" s="37"/>
      <c r="AF2924" s="37"/>
      <c r="AG2924" s="37"/>
      <c r="AH2924" s="37"/>
      <c r="AI2924" s="37"/>
      <c r="AJ2924" s="37"/>
      <c r="AK2924" s="37"/>
      <c r="AL2924" s="37"/>
      <c r="AM2924" s="37"/>
      <c r="AN2924" s="37"/>
      <c r="AO2924" s="37"/>
      <c r="AP2924" s="37"/>
      <c r="AQ2924" s="37"/>
      <c r="AR2924" s="37"/>
      <c r="AS2924" s="37"/>
      <c r="AT2924" s="37"/>
      <c r="AU2924" s="37"/>
      <c r="AV2924" s="37"/>
      <c r="AW2924" s="37"/>
      <c r="AX2924" s="37"/>
      <c r="AY2924" s="37"/>
      <c r="AZ2924" s="37"/>
      <c r="BA2924" s="37"/>
      <c r="BB2924" s="37"/>
      <c r="BC2924" s="37"/>
      <c r="BD2924" s="37"/>
      <c r="BE2924" s="37"/>
      <c r="BF2924" s="37"/>
      <c r="BG2924" s="37"/>
      <c r="BH2924" s="37"/>
      <c r="BI2924" s="37"/>
      <c r="BJ2924" s="37"/>
      <c r="BK2924" s="37"/>
      <c r="BL2924" s="37"/>
      <c r="BM2924" s="37"/>
      <c r="BN2924" s="37"/>
      <c r="BO2924" s="37"/>
      <c r="BP2924" s="37"/>
      <c r="BQ2924" s="37"/>
      <c r="BR2924" s="37"/>
      <c r="BS2924" s="37"/>
      <c r="BT2924" s="37"/>
      <c r="BU2924" s="37"/>
      <c r="BV2924" s="37"/>
      <c r="BW2924" s="37"/>
      <c r="BX2924" s="37"/>
      <c r="BY2924" s="37"/>
      <c r="BZ2924" s="37"/>
      <c r="CA2924" s="37"/>
      <c r="CB2924" s="37"/>
      <c r="CC2924" s="37"/>
      <c r="CD2924" s="37"/>
      <c r="CE2924" s="37"/>
      <c r="CF2924" s="37"/>
      <c r="CG2924" s="37"/>
      <c r="CH2924" s="37"/>
      <c r="CI2924" s="37"/>
      <c r="CJ2924" s="37"/>
      <c r="CK2924" s="37"/>
      <c r="CL2924" s="37"/>
      <c r="CM2924" s="37"/>
      <c r="CN2924" s="37"/>
      <c r="CO2924" s="37"/>
      <c r="CP2924" s="37"/>
      <c r="CQ2924" s="37"/>
      <c r="CR2924" s="37"/>
      <c r="CS2924" s="37"/>
      <c r="CT2924" s="37"/>
      <c r="CU2924" s="37"/>
      <c r="CV2924" s="37"/>
      <c r="CW2924" s="37"/>
      <c r="CX2924" s="37"/>
      <c r="CY2924" s="37"/>
      <c r="CZ2924" s="37"/>
      <c r="DA2924" s="37"/>
      <c r="DB2924" s="37"/>
      <c r="DC2924" s="37"/>
      <c r="DD2924" s="37"/>
      <c r="DE2924" s="37"/>
      <c r="DF2924" s="37"/>
      <c r="DG2924" s="37"/>
      <c r="DH2924" s="37"/>
      <c r="DI2924" s="37"/>
      <c r="DJ2924" s="37"/>
      <c r="DK2924" s="37"/>
      <c r="DL2924" s="37"/>
      <c r="DM2924" s="37"/>
      <c r="DN2924" s="37"/>
      <c r="DO2924" s="37"/>
      <c r="DP2924" s="37"/>
      <c r="DQ2924" s="37"/>
      <c r="DR2924" s="37"/>
      <c r="DS2924" s="37"/>
      <c r="DT2924" s="37"/>
      <c r="DU2924" s="37"/>
      <c r="DV2924" s="37"/>
      <c r="DW2924" s="37"/>
      <c r="DX2924" s="37"/>
      <c r="DY2924" s="37"/>
      <c r="DZ2924" s="37"/>
      <c r="EA2924" s="37"/>
      <c r="EB2924" s="37"/>
      <c r="EC2924" s="37"/>
      <c r="ED2924" s="37"/>
      <c r="EE2924" s="37"/>
      <c r="EF2924" s="37"/>
      <c r="EG2924" s="37"/>
      <c r="EH2924" s="37"/>
      <c r="EI2924" s="37"/>
      <c r="EJ2924" s="37"/>
      <c r="EK2924" s="37"/>
      <c r="EL2924" s="37"/>
      <c r="EM2924" s="37"/>
      <c r="EN2924" s="37"/>
      <c r="EO2924" s="37"/>
      <c r="EP2924" s="37"/>
      <c r="EQ2924" s="37"/>
      <c r="ER2924" s="37"/>
      <c r="ES2924" s="37"/>
      <c r="ET2924" s="37"/>
      <c r="EU2924" s="37"/>
      <c r="EV2924" s="37"/>
      <c r="EW2924" s="37"/>
      <c r="EX2924" s="37"/>
      <c r="EY2924" s="37"/>
      <c r="EZ2924" s="37"/>
      <c r="FA2924" s="37"/>
      <c r="FB2924" s="37"/>
      <c r="FC2924" s="37"/>
      <c r="FD2924" s="37"/>
      <c r="FE2924" s="37"/>
      <c r="FF2924" s="37"/>
      <c r="FG2924" s="37"/>
      <c r="FH2924" s="37"/>
      <c r="FI2924" s="37"/>
      <c r="FJ2924" s="37"/>
      <c r="FK2924" s="37"/>
      <c r="FL2924" s="37"/>
      <c r="FM2924" s="37"/>
      <c r="FN2924" s="37"/>
      <c r="FO2924" s="37"/>
      <c r="FP2924" s="37"/>
      <c r="FQ2924" s="37"/>
      <c r="FR2924" s="37"/>
      <c r="FS2924" s="37"/>
      <c r="FT2924" s="37"/>
      <c r="FU2924" s="37"/>
      <c r="FV2924" s="37"/>
      <c r="FW2924" s="37"/>
      <c r="FX2924" s="37"/>
      <c r="FY2924" s="37"/>
      <c r="FZ2924" s="37"/>
      <c r="GA2924" s="37"/>
      <c r="GB2924" s="37"/>
      <c r="GC2924" s="37"/>
      <c r="GD2924" s="37"/>
      <c r="GE2924" s="37"/>
      <c r="GF2924" s="37"/>
      <c r="GG2924" s="37"/>
      <c r="GH2924" s="37"/>
      <c r="GI2924" s="37"/>
      <c r="GJ2924" s="37"/>
      <c r="GK2924" s="37"/>
      <c r="GL2924" s="37"/>
      <c r="GM2924" s="37"/>
      <c r="GN2924" s="37"/>
      <c r="GO2924" s="37"/>
      <c r="GP2924" s="37"/>
      <c r="GQ2924" s="37"/>
      <c r="GR2924" s="37"/>
      <c r="GS2924" s="37"/>
      <c r="GT2924" s="37"/>
      <c r="GU2924" s="37"/>
      <c r="GV2924" s="37"/>
      <c r="GW2924" s="37"/>
      <c r="GX2924" s="37"/>
      <c r="GY2924" s="37"/>
      <c r="GZ2924" s="37"/>
      <c r="HA2924" s="37"/>
      <c r="HB2924" s="37"/>
      <c r="HC2924" s="37"/>
      <c r="HD2924" s="37"/>
      <c r="HE2924" s="37"/>
      <c r="HF2924" s="37"/>
      <c r="HG2924" s="37"/>
      <c r="HH2924" s="37"/>
      <c r="HI2924" s="37"/>
      <c r="HJ2924" s="37"/>
      <c r="HK2924" s="37"/>
      <c r="HL2924" s="37"/>
      <c r="HM2924" s="37"/>
      <c r="HN2924" s="37"/>
      <c r="HO2924" s="37"/>
      <c r="HP2924" s="37"/>
      <c r="HQ2924" s="37"/>
      <c r="HR2924" s="37"/>
      <c r="HS2924" s="37"/>
      <c r="HT2924" s="37"/>
      <c r="HU2924" s="37"/>
      <c r="HV2924" s="37"/>
      <c r="HW2924" s="37"/>
      <c r="HX2924" s="37"/>
      <c r="HY2924" s="37"/>
      <c r="HZ2924" s="37"/>
      <c r="IA2924" s="37"/>
      <c r="IB2924" s="37"/>
      <c r="IC2924" s="37"/>
      <c r="ID2924" s="37"/>
      <c r="IE2924" s="37"/>
      <c r="IF2924" s="37"/>
      <c r="IG2924" s="37"/>
      <c r="IH2924" s="37"/>
      <c r="II2924" s="37"/>
      <c r="IJ2924" s="37"/>
      <c r="IK2924" s="37"/>
      <c r="IL2924" s="37"/>
      <c r="IM2924" s="37"/>
      <c r="IN2924" s="37"/>
      <c r="IO2924" s="37"/>
      <c r="IP2924" s="37"/>
      <c r="IQ2924" s="37"/>
      <c r="IR2924" s="37"/>
      <c r="IS2924" s="37"/>
      <c r="IT2924" s="37"/>
      <c r="IU2924" s="37"/>
      <c r="IV2924" s="37"/>
      <c r="IW2924" s="37"/>
      <c r="IX2924" s="37"/>
      <c r="IY2924" s="37"/>
      <c r="IZ2924" s="37"/>
      <c r="JA2924" s="37"/>
      <c r="JB2924" s="37"/>
      <c r="JC2924" s="37"/>
      <c r="JD2924" s="37"/>
      <c r="JE2924" s="37"/>
      <c r="JF2924" s="37"/>
      <c r="JG2924" s="37"/>
      <c r="JH2924" s="37"/>
      <c r="JI2924" s="37"/>
      <c r="JJ2924" s="37"/>
      <c r="JK2924" s="37"/>
      <c r="JL2924" s="37"/>
      <c r="JM2924" s="37"/>
      <c r="JN2924" s="37"/>
      <c r="JO2924" s="37"/>
      <c r="JP2924" s="37"/>
      <c r="JQ2924" s="37"/>
      <c r="JR2924" s="37"/>
      <c r="JS2924" s="37"/>
      <c r="JT2924" s="37"/>
      <c r="JU2924" s="37"/>
      <c r="JV2924" s="37"/>
      <c r="JW2924" s="37"/>
      <c r="JX2924" s="37"/>
      <c r="JY2924" s="37"/>
      <c r="JZ2924" s="37"/>
      <c r="KA2924" s="37"/>
      <c r="KB2924" s="37"/>
      <c r="KC2924" s="37"/>
      <c r="KD2924" s="37"/>
      <c r="KE2924" s="37"/>
      <c r="KF2924" s="37"/>
      <c r="KG2924" s="37"/>
      <c r="KH2924" s="37"/>
      <c r="KI2924" s="37"/>
      <c r="KJ2924" s="37"/>
      <c r="KK2924" s="37"/>
      <c r="KL2924" s="37"/>
      <c r="KM2924" s="37"/>
      <c r="KN2924" s="37"/>
      <c r="KO2924" s="37"/>
      <c r="KP2924" s="37"/>
      <c r="KQ2924" s="37"/>
      <c r="KR2924" s="37"/>
      <c r="KS2924" s="37"/>
      <c r="KT2924" s="37"/>
      <c r="KU2924" s="37"/>
      <c r="KV2924" s="37"/>
      <c r="KW2924" s="37"/>
      <c r="KX2924" s="37"/>
      <c r="KY2924" s="37"/>
      <c r="KZ2924" s="37"/>
      <c r="LA2924" s="37"/>
      <c r="LB2924" s="37"/>
      <c r="LC2924" s="37"/>
      <c r="LD2924" s="37"/>
      <c r="LE2924" s="37"/>
      <c r="LF2924" s="37"/>
      <c r="LG2924" s="37"/>
      <c r="LH2924" s="37"/>
      <c r="LI2924" s="37"/>
      <c r="LJ2924" s="37"/>
      <c r="LK2924" s="37"/>
      <c r="LL2924" s="37"/>
      <c r="LM2924" s="37"/>
      <c r="LN2924" s="37"/>
      <c r="LO2924" s="37"/>
      <c r="LP2924" s="37"/>
      <c r="LQ2924" s="37"/>
      <c r="LR2924" s="37"/>
      <c r="LS2924" s="37"/>
      <c r="LT2924" s="37"/>
      <c r="LU2924" s="37"/>
      <c r="LV2924" s="37"/>
      <c r="LW2924" s="37"/>
      <c r="LX2924" s="37"/>
      <c r="LY2924" s="37"/>
      <c r="LZ2924" s="37"/>
      <c r="MA2924" s="37"/>
      <c r="MB2924" s="37"/>
      <c r="MC2924" s="37"/>
      <c r="MD2924" s="37"/>
      <c r="ME2924" s="37"/>
      <c r="MF2924" s="37"/>
      <c r="MG2924" s="37"/>
      <c r="MH2924" s="37"/>
      <c r="MI2924" s="37"/>
      <c r="MJ2924" s="37"/>
      <c r="MK2924" s="37"/>
      <c r="ML2924" s="37"/>
      <c r="MM2924" s="37"/>
      <c r="MN2924" s="37"/>
      <c r="MO2924" s="37"/>
      <c r="MP2924" s="37"/>
      <c r="MQ2924" s="37"/>
      <c r="MR2924" s="37"/>
      <c r="MS2924" s="37"/>
      <c r="MT2924" s="37"/>
      <c r="MU2924" s="37"/>
      <c r="MV2924" s="37"/>
      <c r="MW2924" s="37"/>
      <c r="MX2924" s="37"/>
      <c r="MY2924" s="37"/>
      <c r="MZ2924" s="37"/>
      <c r="NA2924" s="37"/>
      <c r="NB2924" s="37"/>
      <c r="NC2924" s="37"/>
      <c r="ND2924" s="37"/>
      <c r="NE2924" s="37"/>
      <c r="NF2924" s="37"/>
      <c r="NG2924" s="37"/>
      <c r="NH2924" s="37"/>
      <c r="NI2924" s="37"/>
      <c r="NJ2924" s="37"/>
      <c r="NK2924" s="37"/>
      <c r="NL2924" s="37"/>
      <c r="NM2924" s="37"/>
      <c r="NN2924" s="37"/>
      <c r="NO2924" s="37"/>
      <c r="NP2924" s="37"/>
      <c r="NQ2924" s="37"/>
      <c r="NR2924" s="37"/>
      <c r="NS2924" s="37"/>
      <c r="NT2924" s="37"/>
      <c r="NU2924" s="37"/>
      <c r="NV2924" s="37"/>
      <c r="NW2924" s="37"/>
      <c r="NX2924" s="37"/>
      <c r="NY2924" s="37"/>
      <c r="NZ2924" s="37"/>
      <c r="OA2924" s="37"/>
      <c r="OB2924" s="37"/>
      <c r="OC2924" s="37"/>
      <c r="OD2924" s="37"/>
      <c r="OE2924" s="37"/>
      <c r="OF2924" s="37"/>
      <c r="OG2924" s="37"/>
      <c r="OH2924" s="37"/>
      <c r="OI2924" s="37"/>
      <c r="OJ2924" s="37"/>
      <c r="OK2924" s="37"/>
      <c r="OL2924" s="37"/>
      <c r="OM2924" s="37"/>
      <c r="ON2924" s="37"/>
      <c r="OO2924" s="37"/>
      <c r="OP2924" s="37"/>
      <c r="OQ2924" s="37"/>
      <c r="OR2924" s="37"/>
      <c r="OS2924" s="37"/>
      <c r="OT2924" s="37"/>
      <c r="OU2924" s="37"/>
      <c r="OV2924" s="37"/>
      <c r="OW2924" s="37"/>
      <c r="OX2924" s="37"/>
      <c r="OY2924" s="37"/>
      <c r="OZ2924" s="37"/>
      <c r="PA2924" s="37"/>
      <c r="PB2924" s="37"/>
      <c r="PC2924" s="37"/>
      <c r="PD2924" s="37"/>
      <c r="PE2924" s="37"/>
      <c r="PF2924" s="37"/>
      <c r="PG2924" s="37"/>
      <c r="PH2924" s="37"/>
      <c r="PI2924" s="37"/>
      <c r="PJ2924" s="37"/>
      <c r="PK2924" s="37"/>
      <c r="PL2924" s="37"/>
      <c r="PM2924" s="37"/>
      <c r="PN2924" s="37"/>
      <c r="PO2924" s="37"/>
      <c r="PP2924" s="37"/>
      <c r="PQ2924" s="37"/>
      <c r="PR2924" s="37"/>
      <c r="PS2924" s="37"/>
      <c r="PT2924" s="37"/>
      <c r="PU2924" s="37"/>
      <c r="PV2924" s="37"/>
      <c r="PW2924" s="37"/>
      <c r="PX2924" s="37"/>
      <c r="PY2924" s="37"/>
      <c r="PZ2924" s="37"/>
      <c r="QA2924" s="37"/>
      <c r="QB2924" s="37"/>
      <c r="QC2924" s="37"/>
      <c r="QD2924" s="37"/>
      <c r="QE2924" s="37"/>
      <c r="QF2924" s="37"/>
      <c r="QG2924" s="37"/>
      <c r="QH2924" s="37"/>
      <c r="QI2924" s="37"/>
      <c r="QJ2924" s="37"/>
      <c r="QK2924" s="37"/>
      <c r="QL2924" s="37"/>
      <c r="QM2924" s="37"/>
      <c r="QN2924" s="37"/>
      <c r="QO2924" s="37"/>
      <c r="QP2924" s="37"/>
      <c r="QQ2924" s="37"/>
      <c r="QR2924" s="37"/>
      <c r="QS2924" s="37"/>
      <c r="QT2924" s="37"/>
      <c r="QU2924" s="37"/>
      <c r="QV2924" s="37"/>
      <c r="QW2924" s="37"/>
      <c r="QX2924" s="37"/>
      <c r="QY2924" s="37"/>
      <c r="QZ2924" s="37"/>
      <c r="RA2924" s="37"/>
      <c r="RB2924" s="37"/>
      <c r="RC2924" s="37"/>
      <c r="RD2924" s="37"/>
      <c r="RE2924" s="37"/>
      <c r="RF2924" s="37"/>
      <c r="RG2924" s="37"/>
      <c r="RH2924" s="37"/>
      <c r="RI2924" s="37"/>
      <c r="RJ2924" s="37"/>
      <c r="RK2924" s="37"/>
      <c r="RL2924" s="37"/>
      <c r="RM2924" s="37"/>
      <c r="RN2924" s="37"/>
      <c r="RO2924" s="37"/>
      <c r="RP2924" s="37"/>
      <c r="RQ2924" s="37"/>
      <c r="RR2924" s="37"/>
      <c r="RS2924" s="37"/>
      <c r="RT2924" s="37"/>
      <c r="RU2924" s="37"/>
      <c r="RV2924" s="37"/>
      <c r="RW2924" s="37"/>
      <c r="RX2924" s="37"/>
      <c r="RY2924" s="37"/>
      <c r="RZ2924" s="37"/>
      <c r="SA2924" s="37"/>
      <c r="SB2924" s="37"/>
      <c r="SC2924" s="37"/>
      <c r="SD2924" s="37"/>
      <c r="SE2924" s="37"/>
      <c r="SF2924" s="37"/>
    </row>
    <row r="2925" spans="1:500">
      <c r="A2925" s="37"/>
      <c r="B2925" s="37"/>
      <c r="C2925" s="37"/>
      <c r="D2925" s="37"/>
      <c r="E2925" s="37"/>
      <c r="F2925" s="37"/>
      <c r="G2925" s="37"/>
      <c r="H2925" s="37"/>
      <c r="I2925" s="37"/>
      <c r="J2925" s="37"/>
      <c r="K2925" s="37"/>
      <c r="L2925" s="37"/>
      <c r="M2925" s="37"/>
      <c r="N2925" s="37"/>
      <c r="O2925" s="37"/>
      <c r="P2925" s="37"/>
      <c r="Q2925" s="37"/>
      <c r="R2925" s="37"/>
      <c r="S2925" s="37"/>
      <c r="T2925" s="37"/>
      <c r="U2925" s="37"/>
      <c r="V2925" s="37"/>
      <c r="W2925" s="37"/>
      <c r="X2925" s="37"/>
      <c r="Y2925" s="37"/>
      <c r="Z2925" s="37"/>
      <c r="AA2925" s="37"/>
      <c r="AB2925" s="37"/>
      <c r="AC2925" s="37"/>
      <c r="AD2925" s="37"/>
      <c r="AE2925" s="37"/>
      <c r="AF2925" s="37"/>
      <c r="AG2925" s="37"/>
      <c r="AH2925" s="37"/>
      <c r="AI2925" s="37"/>
      <c r="AJ2925" s="37"/>
      <c r="AK2925" s="37"/>
      <c r="AL2925" s="37"/>
      <c r="AM2925" s="37"/>
      <c r="AN2925" s="37"/>
      <c r="AO2925" s="37"/>
      <c r="AP2925" s="37"/>
      <c r="AQ2925" s="37"/>
      <c r="AR2925" s="37"/>
      <c r="AS2925" s="37"/>
      <c r="AT2925" s="37"/>
      <c r="AU2925" s="37"/>
      <c r="AV2925" s="37"/>
      <c r="AW2925" s="37"/>
      <c r="AX2925" s="37"/>
      <c r="AY2925" s="37"/>
      <c r="AZ2925" s="37"/>
      <c r="BA2925" s="37"/>
      <c r="BB2925" s="37"/>
      <c r="BC2925" s="37"/>
      <c r="BD2925" s="37"/>
      <c r="BE2925" s="37"/>
      <c r="BF2925" s="37"/>
      <c r="BG2925" s="37"/>
      <c r="BH2925" s="37"/>
      <c r="BI2925" s="37"/>
      <c r="BJ2925" s="37"/>
      <c r="BK2925" s="37"/>
      <c r="BL2925" s="37"/>
      <c r="BM2925" s="37"/>
      <c r="BN2925" s="37"/>
      <c r="BO2925" s="37"/>
      <c r="BP2925" s="37"/>
      <c r="BQ2925" s="37"/>
      <c r="BR2925" s="37"/>
      <c r="BS2925" s="37"/>
      <c r="BT2925" s="37"/>
      <c r="BU2925" s="37"/>
      <c r="BV2925" s="37"/>
      <c r="BW2925" s="37"/>
      <c r="BX2925" s="37"/>
      <c r="BY2925" s="37"/>
      <c r="BZ2925" s="37"/>
      <c r="CA2925" s="37"/>
      <c r="CB2925" s="37"/>
      <c r="CC2925" s="37"/>
      <c r="CD2925" s="37"/>
      <c r="CE2925" s="37"/>
      <c r="CF2925" s="37"/>
      <c r="CG2925" s="37"/>
      <c r="CH2925" s="37"/>
      <c r="CI2925" s="37"/>
      <c r="CJ2925" s="37"/>
      <c r="CK2925" s="37"/>
      <c r="CL2925" s="37"/>
      <c r="CM2925" s="37"/>
      <c r="CN2925" s="37"/>
      <c r="CO2925" s="37"/>
      <c r="CP2925" s="37"/>
      <c r="CQ2925" s="37"/>
      <c r="CR2925" s="37"/>
      <c r="CS2925" s="37"/>
      <c r="CT2925" s="37"/>
      <c r="CU2925" s="37"/>
      <c r="CV2925" s="37"/>
      <c r="CW2925" s="37"/>
      <c r="CX2925" s="37"/>
      <c r="CY2925" s="37"/>
      <c r="CZ2925" s="37"/>
      <c r="DA2925" s="37"/>
      <c r="DB2925" s="37"/>
      <c r="DC2925" s="37"/>
      <c r="DD2925" s="37"/>
      <c r="DE2925" s="37"/>
      <c r="DF2925" s="37"/>
      <c r="DG2925" s="37"/>
      <c r="DH2925" s="37"/>
      <c r="DI2925" s="37"/>
      <c r="DJ2925" s="37"/>
      <c r="DK2925" s="37"/>
      <c r="DL2925" s="37"/>
      <c r="DM2925" s="37"/>
      <c r="DN2925" s="37"/>
      <c r="DO2925" s="37"/>
      <c r="DP2925" s="37"/>
      <c r="DQ2925" s="37"/>
      <c r="DR2925" s="37"/>
      <c r="DS2925" s="37"/>
      <c r="DT2925" s="37"/>
      <c r="DU2925" s="37"/>
      <c r="DV2925" s="37"/>
      <c r="DW2925" s="37"/>
      <c r="DX2925" s="37"/>
      <c r="DY2925" s="37"/>
      <c r="DZ2925" s="37"/>
      <c r="EA2925" s="37"/>
      <c r="EB2925" s="37"/>
      <c r="EC2925" s="37"/>
      <c r="ED2925" s="37"/>
      <c r="EE2925" s="37"/>
      <c r="EF2925" s="37"/>
      <c r="EG2925" s="37"/>
      <c r="EH2925" s="37"/>
      <c r="EI2925" s="37"/>
      <c r="EJ2925" s="37"/>
      <c r="EK2925" s="37"/>
      <c r="EL2925" s="37"/>
      <c r="EM2925" s="37"/>
      <c r="EN2925" s="37"/>
      <c r="EO2925" s="37"/>
      <c r="EP2925" s="37"/>
      <c r="EQ2925" s="37"/>
      <c r="ER2925" s="37"/>
      <c r="ES2925" s="37"/>
      <c r="ET2925" s="37"/>
      <c r="EU2925" s="37"/>
      <c r="EV2925" s="37"/>
      <c r="EW2925" s="37"/>
      <c r="EX2925" s="37"/>
      <c r="EY2925" s="37"/>
      <c r="EZ2925" s="37"/>
      <c r="FA2925" s="37"/>
      <c r="FB2925" s="37"/>
      <c r="FC2925" s="37"/>
      <c r="FD2925" s="37"/>
      <c r="FE2925" s="37"/>
      <c r="FF2925" s="37"/>
      <c r="FG2925" s="37"/>
      <c r="FH2925" s="37"/>
      <c r="FI2925" s="37"/>
      <c r="FJ2925" s="37"/>
      <c r="FK2925" s="37"/>
      <c r="FL2925" s="37"/>
      <c r="FM2925" s="37"/>
      <c r="FN2925" s="37"/>
      <c r="FO2925" s="37"/>
      <c r="FP2925" s="37"/>
      <c r="FQ2925" s="37"/>
      <c r="FR2925" s="37"/>
      <c r="FS2925" s="37"/>
      <c r="FT2925" s="37"/>
      <c r="FU2925" s="37"/>
      <c r="FV2925" s="37"/>
      <c r="FW2925" s="37"/>
      <c r="FX2925" s="37"/>
      <c r="FY2925" s="37"/>
      <c r="FZ2925" s="37"/>
      <c r="GA2925" s="37"/>
      <c r="GB2925" s="37"/>
      <c r="GC2925" s="37"/>
      <c r="GD2925" s="37"/>
      <c r="GE2925" s="37"/>
      <c r="GF2925" s="37"/>
      <c r="GG2925" s="37"/>
      <c r="GH2925" s="37"/>
      <c r="GI2925" s="37"/>
      <c r="GJ2925" s="37"/>
      <c r="GK2925" s="37"/>
      <c r="GL2925" s="37"/>
      <c r="GM2925" s="37"/>
      <c r="GN2925" s="37"/>
      <c r="GO2925" s="37"/>
      <c r="GP2925" s="37"/>
      <c r="GQ2925" s="37"/>
      <c r="GR2925" s="37"/>
      <c r="GS2925" s="37"/>
      <c r="GT2925" s="37"/>
      <c r="GU2925" s="37"/>
      <c r="GV2925" s="37"/>
      <c r="GW2925" s="37"/>
      <c r="GX2925" s="37"/>
      <c r="GY2925" s="37"/>
      <c r="GZ2925" s="37"/>
      <c r="HA2925" s="37"/>
      <c r="HB2925" s="37"/>
      <c r="HC2925" s="37"/>
      <c r="HD2925" s="37"/>
      <c r="HE2925" s="37"/>
      <c r="HF2925" s="37"/>
      <c r="HG2925" s="37"/>
      <c r="HH2925" s="37"/>
      <c r="HI2925" s="37"/>
      <c r="HJ2925" s="37"/>
      <c r="HK2925" s="37"/>
      <c r="HL2925" s="37"/>
      <c r="HM2925" s="37"/>
      <c r="HN2925" s="37"/>
      <c r="HO2925" s="37"/>
      <c r="HP2925" s="37"/>
      <c r="HQ2925" s="37"/>
      <c r="HR2925" s="37"/>
      <c r="HS2925" s="37"/>
      <c r="HT2925" s="37"/>
      <c r="HU2925" s="37"/>
      <c r="HV2925" s="37"/>
      <c r="HW2925" s="37"/>
      <c r="HX2925" s="37"/>
      <c r="HY2925" s="37"/>
      <c r="HZ2925" s="37"/>
      <c r="IA2925" s="37"/>
      <c r="IB2925" s="37"/>
      <c r="IC2925" s="37"/>
      <c r="ID2925" s="37"/>
      <c r="IE2925" s="37"/>
      <c r="IF2925" s="37"/>
      <c r="IG2925" s="37"/>
      <c r="IH2925" s="37"/>
      <c r="II2925" s="37"/>
      <c r="IJ2925" s="37"/>
      <c r="IK2925" s="37"/>
      <c r="IL2925" s="37"/>
      <c r="IM2925" s="37"/>
      <c r="IN2925" s="37"/>
      <c r="IO2925" s="37"/>
      <c r="IP2925" s="37"/>
      <c r="IQ2925" s="37"/>
      <c r="IR2925" s="37"/>
      <c r="IS2925" s="37"/>
      <c r="IT2925" s="37"/>
      <c r="IU2925" s="37"/>
      <c r="IV2925" s="37"/>
      <c r="IW2925" s="37"/>
      <c r="IX2925" s="37"/>
      <c r="IY2925" s="37"/>
      <c r="IZ2925" s="37"/>
      <c r="JA2925" s="37"/>
      <c r="JB2925" s="37"/>
      <c r="JC2925" s="37"/>
      <c r="JD2925" s="37"/>
      <c r="JE2925" s="37"/>
      <c r="JF2925" s="37"/>
      <c r="JG2925" s="37"/>
      <c r="JH2925" s="37"/>
      <c r="JI2925" s="37"/>
      <c r="JJ2925" s="37"/>
      <c r="JK2925" s="37"/>
      <c r="JL2925" s="37"/>
      <c r="JM2925" s="37"/>
      <c r="JN2925" s="37"/>
      <c r="JO2925" s="37"/>
      <c r="JP2925" s="37"/>
      <c r="JQ2925" s="37"/>
      <c r="JR2925" s="37"/>
      <c r="JS2925" s="37"/>
      <c r="JT2925" s="37"/>
      <c r="JU2925" s="37"/>
      <c r="JV2925" s="37"/>
      <c r="JW2925" s="37"/>
      <c r="JX2925" s="37"/>
      <c r="JY2925" s="37"/>
      <c r="JZ2925" s="37"/>
      <c r="KA2925" s="37"/>
      <c r="KB2925" s="37"/>
      <c r="KC2925" s="37"/>
      <c r="KD2925" s="37"/>
      <c r="KE2925" s="37"/>
      <c r="KF2925" s="37"/>
      <c r="KG2925" s="37"/>
      <c r="KH2925" s="37"/>
      <c r="KI2925" s="37"/>
      <c r="KJ2925" s="37"/>
      <c r="KK2925" s="37"/>
      <c r="KL2925" s="37"/>
      <c r="KM2925" s="37"/>
      <c r="KN2925" s="37"/>
      <c r="KO2925" s="37"/>
      <c r="KP2925" s="37"/>
      <c r="KQ2925" s="37"/>
      <c r="KR2925" s="37"/>
      <c r="KS2925" s="37"/>
      <c r="KT2925" s="37"/>
      <c r="KU2925" s="37"/>
      <c r="KV2925" s="37"/>
      <c r="KW2925" s="37"/>
      <c r="KX2925" s="37"/>
      <c r="KY2925" s="37"/>
      <c r="KZ2925" s="37"/>
      <c r="LA2925" s="37"/>
      <c r="LB2925" s="37"/>
      <c r="LC2925" s="37"/>
      <c r="LD2925" s="37"/>
      <c r="LE2925" s="37"/>
      <c r="LF2925" s="37"/>
      <c r="LG2925" s="37"/>
      <c r="LH2925" s="37"/>
      <c r="LI2925" s="37"/>
      <c r="LJ2925" s="37"/>
      <c r="LK2925" s="37"/>
      <c r="LL2925" s="37"/>
      <c r="LM2925" s="37"/>
      <c r="LN2925" s="37"/>
      <c r="LO2925" s="37"/>
      <c r="LP2925" s="37"/>
      <c r="LQ2925" s="37"/>
      <c r="LR2925" s="37"/>
      <c r="LS2925" s="37"/>
      <c r="LT2925" s="37"/>
      <c r="LU2925" s="37"/>
      <c r="LV2925" s="37"/>
      <c r="LW2925" s="37"/>
      <c r="LX2925" s="37"/>
      <c r="LY2925" s="37"/>
      <c r="LZ2925" s="37"/>
      <c r="MA2925" s="37"/>
      <c r="MB2925" s="37"/>
      <c r="MC2925" s="37"/>
      <c r="MD2925" s="37"/>
      <c r="ME2925" s="37"/>
      <c r="MF2925" s="37"/>
      <c r="MG2925" s="37"/>
      <c r="MH2925" s="37"/>
      <c r="MI2925" s="37"/>
      <c r="MJ2925" s="37"/>
      <c r="MK2925" s="37"/>
      <c r="ML2925" s="37"/>
      <c r="MM2925" s="37"/>
      <c r="MN2925" s="37"/>
      <c r="MO2925" s="37"/>
      <c r="MP2925" s="37"/>
      <c r="MQ2925" s="37"/>
      <c r="MR2925" s="37"/>
      <c r="MS2925" s="37"/>
      <c r="MT2925" s="37"/>
      <c r="MU2925" s="37"/>
      <c r="MV2925" s="37"/>
      <c r="MW2925" s="37"/>
      <c r="MX2925" s="37"/>
      <c r="MY2925" s="37"/>
      <c r="MZ2925" s="37"/>
      <c r="NA2925" s="37"/>
      <c r="NB2925" s="37"/>
      <c r="NC2925" s="37"/>
      <c r="ND2925" s="37"/>
      <c r="NE2925" s="37"/>
      <c r="NF2925" s="37"/>
      <c r="NG2925" s="37"/>
      <c r="NH2925" s="37"/>
      <c r="NI2925" s="37"/>
      <c r="NJ2925" s="37"/>
      <c r="NK2925" s="37"/>
      <c r="NL2925" s="37"/>
      <c r="NM2925" s="37"/>
      <c r="NN2925" s="37"/>
      <c r="NO2925" s="37"/>
      <c r="NP2925" s="37"/>
      <c r="NQ2925" s="37"/>
      <c r="NR2925" s="37"/>
      <c r="NS2925" s="37"/>
      <c r="NT2925" s="37"/>
      <c r="NU2925" s="37"/>
      <c r="NV2925" s="37"/>
      <c r="NW2925" s="37"/>
      <c r="NX2925" s="37"/>
      <c r="NY2925" s="37"/>
      <c r="NZ2925" s="37"/>
      <c r="OA2925" s="37"/>
      <c r="OB2925" s="37"/>
      <c r="OC2925" s="37"/>
      <c r="OD2925" s="37"/>
      <c r="OE2925" s="37"/>
      <c r="OF2925" s="37"/>
      <c r="OG2925" s="37"/>
      <c r="OH2925" s="37"/>
      <c r="OI2925" s="37"/>
      <c r="OJ2925" s="37"/>
      <c r="OK2925" s="37"/>
      <c r="OL2925" s="37"/>
      <c r="OM2925" s="37"/>
      <c r="ON2925" s="37"/>
      <c r="OO2925" s="37"/>
      <c r="OP2925" s="37"/>
      <c r="OQ2925" s="37"/>
      <c r="OR2925" s="37"/>
      <c r="OS2925" s="37"/>
      <c r="OT2925" s="37"/>
      <c r="OU2925" s="37"/>
      <c r="OV2925" s="37"/>
      <c r="OW2925" s="37"/>
      <c r="OX2925" s="37"/>
      <c r="OY2925" s="37"/>
      <c r="OZ2925" s="37"/>
      <c r="PA2925" s="37"/>
      <c r="PB2925" s="37"/>
      <c r="PC2925" s="37"/>
      <c r="PD2925" s="37"/>
      <c r="PE2925" s="37"/>
      <c r="PF2925" s="37"/>
      <c r="PG2925" s="37"/>
      <c r="PH2925" s="37"/>
      <c r="PI2925" s="37"/>
      <c r="PJ2925" s="37"/>
      <c r="PK2925" s="37"/>
      <c r="PL2925" s="37"/>
      <c r="PM2925" s="37"/>
      <c r="PN2925" s="37"/>
      <c r="PO2925" s="37"/>
      <c r="PP2925" s="37"/>
      <c r="PQ2925" s="37"/>
      <c r="PR2925" s="37"/>
      <c r="PS2925" s="37"/>
      <c r="PT2925" s="37"/>
      <c r="PU2925" s="37"/>
      <c r="PV2925" s="37"/>
      <c r="PW2925" s="37"/>
      <c r="PX2925" s="37"/>
      <c r="PY2925" s="37"/>
      <c r="PZ2925" s="37"/>
      <c r="QA2925" s="37"/>
      <c r="QB2925" s="37"/>
      <c r="QC2925" s="37"/>
      <c r="QD2925" s="37"/>
      <c r="QE2925" s="37"/>
      <c r="QF2925" s="37"/>
      <c r="QG2925" s="37"/>
      <c r="QH2925" s="37"/>
      <c r="QI2925" s="37"/>
      <c r="QJ2925" s="37"/>
      <c r="QK2925" s="37"/>
      <c r="QL2925" s="37"/>
      <c r="QM2925" s="37"/>
      <c r="QN2925" s="37"/>
      <c r="QO2925" s="37"/>
      <c r="QP2925" s="37"/>
      <c r="QQ2925" s="37"/>
      <c r="QR2925" s="37"/>
      <c r="QS2925" s="37"/>
      <c r="QT2925" s="37"/>
      <c r="QU2925" s="37"/>
      <c r="QV2925" s="37"/>
      <c r="QW2925" s="37"/>
      <c r="QX2925" s="37"/>
      <c r="QY2925" s="37"/>
      <c r="QZ2925" s="37"/>
      <c r="RA2925" s="37"/>
      <c r="RB2925" s="37"/>
      <c r="RC2925" s="37"/>
      <c r="RD2925" s="37"/>
      <c r="RE2925" s="37"/>
      <c r="RF2925" s="37"/>
      <c r="RG2925" s="37"/>
      <c r="RH2925" s="37"/>
      <c r="RI2925" s="37"/>
      <c r="RJ2925" s="37"/>
      <c r="RK2925" s="37"/>
      <c r="RL2925" s="37"/>
      <c r="RM2925" s="37"/>
      <c r="RN2925" s="37"/>
      <c r="RO2925" s="37"/>
      <c r="RP2925" s="37"/>
      <c r="RQ2925" s="37"/>
      <c r="RR2925" s="37"/>
      <c r="RS2925" s="37"/>
      <c r="RT2925" s="37"/>
      <c r="RU2925" s="37"/>
      <c r="RV2925" s="37"/>
      <c r="RW2925" s="37"/>
      <c r="RX2925" s="37"/>
      <c r="RY2925" s="37"/>
      <c r="RZ2925" s="37"/>
      <c r="SA2925" s="37"/>
      <c r="SB2925" s="37"/>
      <c r="SC2925" s="37"/>
      <c r="SD2925" s="37"/>
      <c r="SE2925" s="37"/>
      <c r="SF2925" s="37"/>
    </row>
    <row r="2926" spans="1:500">
      <c r="A2926" s="37"/>
      <c r="B2926" s="37"/>
      <c r="C2926" s="37"/>
      <c r="D2926" s="37"/>
      <c r="E2926" s="37"/>
      <c r="F2926" s="37"/>
      <c r="G2926" s="37"/>
      <c r="H2926" s="37"/>
      <c r="I2926" s="37"/>
      <c r="J2926" s="37"/>
      <c r="K2926" s="37"/>
      <c r="L2926" s="37"/>
      <c r="M2926" s="37"/>
      <c r="N2926" s="37"/>
      <c r="O2926" s="37"/>
      <c r="P2926" s="37"/>
      <c r="Q2926" s="37"/>
      <c r="R2926" s="37"/>
      <c r="S2926" s="37"/>
      <c r="T2926" s="37"/>
      <c r="U2926" s="37"/>
      <c r="V2926" s="37"/>
      <c r="W2926" s="37"/>
      <c r="X2926" s="37"/>
      <c r="Y2926" s="37"/>
      <c r="Z2926" s="37"/>
      <c r="AA2926" s="37"/>
      <c r="AB2926" s="37"/>
      <c r="AC2926" s="37"/>
      <c r="AD2926" s="37"/>
      <c r="AE2926" s="37"/>
      <c r="AF2926" s="37"/>
      <c r="AG2926" s="37"/>
      <c r="AH2926" s="37"/>
      <c r="AI2926" s="37"/>
      <c r="AJ2926" s="37"/>
      <c r="AK2926" s="37"/>
      <c r="AL2926" s="37"/>
      <c r="AM2926" s="37"/>
      <c r="AN2926" s="37"/>
      <c r="AO2926" s="37"/>
      <c r="AP2926" s="37"/>
      <c r="AQ2926" s="37"/>
      <c r="AR2926" s="37"/>
      <c r="AS2926" s="37"/>
      <c r="AT2926" s="37"/>
      <c r="AU2926" s="37"/>
      <c r="AV2926" s="37"/>
      <c r="AW2926" s="37"/>
      <c r="AX2926" s="37"/>
      <c r="AY2926" s="37"/>
      <c r="AZ2926" s="37"/>
      <c r="BA2926" s="37"/>
      <c r="BB2926" s="37"/>
      <c r="BC2926" s="37"/>
      <c r="BD2926" s="37"/>
      <c r="BE2926" s="37"/>
      <c r="BF2926" s="37"/>
      <c r="BG2926" s="37"/>
      <c r="BH2926" s="37"/>
      <c r="BI2926" s="37"/>
      <c r="BJ2926" s="37"/>
      <c r="BK2926" s="37"/>
      <c r="BL2926" s="37"/>
      <c r="BM2926" s="37"/>
      <c r="BN2926" s="37"/>
      <c r="BO2926" s="37"/>
      <c r="BP2926" s="37"/>
      <c r="BQ2926" s="37"/>
      <c r="BR2926" s="37"/>
      <c r="BS2926" s="37"/>
      <c r="BT2926" s="37"/>
      <c r="BU2926" s="37"/>
      <c r="BV2926" s="37"/>
      <c r="BW2926" s="37"/>
      <c r="BX2926" s="37"/>
      <c r="BY2926" s="37"/>
      <c r="BZ2926" s="37"/>
      <c r="CA2926" s="37"/>
      <c r="CB2926" s="37"/>
      <c r="CC2926" s="37"/>
      <c r="CD2926" s="37"/>
      <c r="CE2926" s="37"/>
      <c r="CF2926" s="37"/>
      <c r="CG2926" s="37"/>
      <c r="CH2926" s="37"/>
      <c r="CI2926" s="37"/>
      <c r="CJ2926" s="37"/>
      <c r="CK2926" s="37"/>
      <c r="CL2926" s="37"/>
      <c r="CM2926" s="37"/>
      <c r="CN2926" s="37"/>
      <c r="CO2926" s="37"/>
      <c r="CP2926" s="37"/>
      <c r="CQ2926" s="37"/>
      <c r="CR2926" s="37"/>
      <c r="CS2926" s="37"/>
      <c r="CT2926" s="37"/>
      <c r="CU2926" s="37"/>
      <c r="CV2926" s="37"/>
      <c r="CW2926" s="37"/>
      <c r="CX2926" s="37"/>
      <c r="CY2926" s="37"/>
      <c r="CZ2926" s="37"/>
      <c r="DA2926" s="37"/>
      <c r="DB2926" s="37"/>
      <c r="DC2926" s="37"/>
      <c r="DD2926" s="37"/>
      <c r="DE2926" s="37"/>
      <c r="DF2926" s="37"/>
      <c r="DG2926" s="37"/>
      <c r="DH2926" s="37"/>
      <c r="DI2926" s="37"/>
      <c r="DJ2926" s="37"/>
      <c r="DK2926" s="37"/>
      <c r="DL2926" s="37"/>
      <c r="DM2926" s="37"/>
      <c r="DN2926" s="37"/>
      <c r="DO2926" s="37"/>
      <c r="DP2926" s="37"/>
      <c r="DQ2926" s="37"/>
      <c r="DR2926" s="37"/>
      <c r="DS2926" s="37"/>
      <c r="DT2926" s="37"/>
      <c r="DU2926" s="37"/>
      <c r="DV2926" s="37"/>
      <c r="DW2926" s="37"/>
      <c r="DX2926" s="37"/>
      <c r="DY2926" s="37"/>
      <c r="DZ2926" s="37"/>
      <c r="EA2926" s="37"/>
      <c r="EB2926" s="37"/>
      <c r="EC2926" s="37"/>
      <c r="ED2926" s="37"/>
      <c r="EE2926" s="37"/>
      <c r="EF2926" s="37"/>
      <c r="EG2926" s="37"/>
      <c r="EH2926" s="37"/>
      <c r="EI2926" s="37"/>
      <c r="EJ2926" s="37"/>
      <c r="EK2926" s="37"/>
      <c r="EL2926" s="37"/>
      <c r="EM2926" s="37"/>
      <c r="EN2926" s="37"/>
      <c r="EO2926" s="37"/>
      <c r="EP2926" s="37"/>
      <c r="EQ2926" s="37"/>
      <c r="ER2926" s="37"/>
      <c r="ES2926" s="37"/>
      <c r="ET2926" s="37"/>
      <c r="EU2926" s="37"/>
      <c r="EV2926" s="37"/>
      <c r="EW2926" s="37"/>
      <c r="EX2926" s="37"/>
      <c r="EY2926" s="37"/>
      <c r="EZ2926" s="37"/>
      <c r="FA2926" s="37"/>
      <c r="FB2926" s="37"/>
      <c r="FC2926" s="37"/>
      <c r="FD2926" s="37"/>
      <c r="FE2926" s="37"/>
      <c r="FF2926" s="37"/>
      <c r="FG2926" s="37"/>
      <c r="FH2926" s="37"/>
      <c r="FI2926" s="37"/>
      <c r="FJ2926" s="37"/>
      <c r="FK2926" s="37"/>
      <c r="FL2926" s="37"/>
      <c r="FM2926" s="37"/>
      <c r="FN2926" s="37"/>
      <c r="FO2926" s="37"/>
      <c r="FP2926" s="37"/>
      <c r="FQ2926" s="37"/>
      <c r="FR2926" s="37"/>
      <c r="FS2926" s="37"/>
      <c r="FT2926" s="37"/>
      <c r="FU2926" s="37"/>
      <c r="FV2926" s="37"/>
      <c r="FW2926" s="37"/>
      <c r="FX2926" s="37"/>
      <c r="FY2926" s="37"/>
      <c r="FZ2926" s="37"/>
      <c r="GA2926" s="37"/>
      <c r="GB2926" s="37"/>
      <c r="GC2926" s="37"/>
      <c r="GD2926" s="37"/>
      <c r="GE2926" s="37"/>
      <c r="GF2926" s="37"/>
      <c r="GG2926" s="37"/>
      <c r="GH2926" s="37"/>
      <c r="GI2926" s="37"/>
      <c r="GJ2926" s="37"/>
      <c r="GK2926" s="37"/>
      <c r="GL2926" s="37"/>
      <c r="GM2926" s="37"/>
      <c r="GN2926" s="37"/>
      <c r="GO2926" s="37"/>
      <c r="GP2926" s="37"/>
      <c r="GQ2926" s="37"/>
      <c r="GR2926" s="37"/>
      <c r="GS2926" s="37"/>
      <c r="GT2926" s="37"/>
      <c r="GU2926" s="37"/>
      <c r="GV2926" s="37"/>
      <c r="GW2926" s="37"/>
      <c r="GX2926" s="37"/>
      <c r="GY2926" s="37"/>
      <c r="GZ2926" s="37"/>
      <c r="HA2926" s="37"/>
      <c r="HB2926" s="37"/>
      <c r="HC2926" s="37"/>
      <c r="HD2926" s="37"/>
      <c r="HE2926" s="37"/>
      <c r="HF2926" s="37"/>
      <c r="HG2926" s="37"/>
      <c r="HH2926" s="37"/>
      <c r="HI2926" s="37"/>
      <c r="HJ2926" s="37"/>
      <c r="HK2926" s="37"/>
      <c r="HL2926" s="37"/>
      <c r="HM2926" s="37"/>
      <c r="HN2926" s="37"/>
      <c r="HO2926" s="37"/>
      <c r="HP2926" s="37"/>
      <c r="HQ2926" s="37"/>
      <c r="HR2926" s="37"/>
      <c r="HS2926" s="37"/>
      <c r="HT2926" s="37"/>
      <c r="HU2926" s="37"/>
      <c r="HV2926" s="37"/>
      <c r="HW2926" s="37"/>
      <c r="HX2926" s="37"/>
      <c r="HY2926" s="37"/>
      <c r="HZ2926" s="37"/>
      <c r="IA2926" s="37"/>
      <c r="IB2926" s="37"/>
      <c r="IC2926" s="37"/>
      <c r="ID2926" s="37"/>
      <c r="IE2926" s="37"/>
      <c r="IF2926" s="37"/>
      <c r="IG2926" s="37"/>
      <c r="IH2926" s="37"/>
      <c r="II2926" s="37"/>
      <c r="IJ2926" s="37"/>
      <c r="IK2926" s="37"/>
      <c r="IL2926" s="37"/>
      <c r="IM2926" s="37"/>
      <c r="IN2926" s="37"/>
      <c r="IO2926" s="37"/>
      <c r="IP2926" s="37"/>
      <c r="IQ2926" s="37"/>
      <c r="IR2926" s="37"/>
      <c r="IS2926" s="37"/>
      <c r="IT2926" s="37"/>
      <c r="IU2926" s="37"/>
      <c r="IV2926" s="37"/>
      <c r="IW2926" s="37"/>
      <c r="IX2926" s="37"/>
      <c r="IY2926" s="37"/>
      <c r="IZ2926" s="37"/>
      <c r="JA2926" s="37"/>
      <c r="JB2926" s="37"/>
      <c r="JC2926" s="37"/>
      <c r="JD2926" s="37"/>
      <c r="JE2926" s="37"/>
      <c r="JF2926" s="37"/>
      <c r="JG2926" s="37"/>
      <c r="JH2926" s="37"/>
      <c r="JI2926" s="37"/>
      <c r="JJ2926" s="37"/>
      <c r="JK2926" s="37"/>
      <c r="JL2926" s="37"/>
      <c r="JM2926" s="37"/>
      <c r="JN2926" s="37"/>
      <c r="JO2926" s="37"/>
      <c r="JP2926" s="37"/>
      <c r="JQ2926" s="37"/>
      <c r="JR2926" s="37"/>
      <c r="JS2926" s="37"/>
      <c r="JT2926" s="37"/>
      <c r="JU2926" s="37"/>
      <c r="JV2926" s="37"/>
      <c r="JW2926" s="37"/>
      <c r="JX2926" s="37"/>
      <c r="JY2926" s="37"/>
      <c r="JZ2926" s="37"/>
      <c r="KA2926" s="37"/>
      <c r="KB2926" s="37"/>
      <c r="KC2926" s="37"/>
      <c r="KD2926" s="37"/>
      <c r="KE2926" s="37"/>
      <c r="KF2926" s="37"/>
      <c r="KG2926" s="37"/>
      <c r="KH2926" s="37"/>
      <c r="KI2926" s="37"/>
      <c r="KJ2926" s="37"/>
      <c r="KK2926" s="37"/>
      <c r="KL2926" s="37"/>
      <c r="KM2926" s="37"/>
      <c r="KN2926" s="37"/>
      <c r="KO2926" s="37"/>
      <c r="KP2926" s="37"/>
      <c r="KQ2926" s="37"/>
      <c r="KR2926" s="37"/>
      <c r="KS2926" s="37"/>
      <c r="KT2926" s="37"/>
      <c r="KU2926" s="37"/>
      <c r="KV2926" s="37"/>
      <c r="KW2926" s="37"/>
      <c r="KX2926" s="37"/>
      <c r="KY2926" s="37"/>
      <c r="KZ2926" s="37"/>
      <c r="LA2926" s="37"/>
      <c r="LB2926" s="37"/>
      <c r="LC2926" s="37"/>
      <c r="LD2926" s="37"/>
      <c r="LE2926" s="37"/>
      <c r="LF2926" s="37"/>
      <c r="LG2926" s="37"/>
      <c r="LH2926" s="37"/>
      <c r="LI2926" s="37"/>
      <c r="LJ2926" s="37"/>
      <c r="LK2926" s="37"/>
      <c r="LL2926" s="37"/>
      <c r="LM2926" s="37"/>
      <c r="LN2926" s="37"/>
      <c r="LO2926" s="37"/>
      <c r="LP2926" s="37"/>
      <c r="LQ2926" s="37"/>
      <c r="LR2926" s="37"/>
      <c r="LS2926" s="37"/>
      <c r="LT2926" s="37"/>
      <c r="LU2926" s="37"/>
      <c r="LV2926" s="37"/>
      <c r="LW2926" s="37"/>
      <c r="LX2926" s="37"/>
      <c r="LY2926" s="37"/>
      <c r="LZ2926" s="37"/>
      <c r="MA2926" s="37"/>
      <c r="MB2926" s="37"/>
      <c r="MC2926" s="37"/>
      <c r="MD2926" s="37"/>
      <c r="ME2926" s="37"/>
      <c r="MF2926" s="37"/>
      <c r="MG2926" s="37"/>
      <c r="MH2926" s="37"/>
      <c r="MI2926" s="37"/>
      <c r="MJ2926" s="37"/>
      <c r="MK2926" s="37"/>
      <c r="ML2926" s="37"/>
      <c r="MM2926" s="37"/>
      <c r="MN2926" s="37"/>
      <c r="MO2926" s="37"/>
      <c r="MP2926" s="37"/>
      <c r="MQ2926" s="37"/>
      <c r="MR2926" s="37"/>
      <c r="MS2926" s="37"/>
      <c r="MT2926" s="37"/>
      <c r="MU2926" s="37"/>
      <c r="MV2926" s="37"/>
      <c r="MW2926" s="37"/>
      <c r="MX2926" s="37"/>
      <c r="MY2926" s="37"/>
      <c r="MZ2926" s="37"/>
      <c r="NA2926" s="37"/>
      <c r="NB2926" s="37"/>
      <c r="NC2926" s="37"/>
      <c r="ND2926" s="37"/>
      <c r="NE2926" s="37"/>
      <c r="NF2926" s="37"/>
      <c r="NG2926" s="37"/>
      <c r="NH2926" s="37"/>
      <c r="NI2926" s="37"/>
      <c r="NJ2926" s="37"/>
      <c r="NK2926" s="37"/>
      <c r="NL2926" s="37"/>
      <c r="NM2926" s="37"/>
      <c r="NN2926" s="37"/>
      <c r="NO2926" s="37"/>
      <c r="NP2926" s="37"/>
      <c r="NQ2926" s="37"/>
      <c r="NR2926" s="37"/>
      <c r="NS2926" s="37"/>
      <c r="NT2926" s="37"/>
      <c r="NU2926" s="37"/>
      <c r="NV2926" s="37"/>
      <c r="NW2926" s="37"/>
      <c r="NX2926" s="37"/>
      <c r="NY2926" s="37"/>
      <c r="NZ2926" s="37"/>
      <c r="OA2926" s="37"/>
      <c r="OB2926" s="37"/>
      <c r="OC2926" s="37"/>
      <c r="OD2926" s="37"/>
      <c r="OE2926" s="37"/>
      <c r="OF2926" s="37"/>
      <c r="OG2926" s="37"/>
      <c r="OH2926" s="37"/>
      <c r="OI2926" s="37"/>
      <c r="OJ2926" s="37"/>
      <c r="OK2926" s="37"/>
      <c r="OL2926" s="37"/>
      <c r="OM2926" s="37"/>
      <c r="ON2926" s="37"/>
      <c r="OO2926" s="37"/>
      <c r="OP2926" s="37"/>
      <c r="OQ2926" s="37"/>
      <c r="OR2926" s="37"/>
      <c r="OS2926" s="37"/>
      <c r="OT2926" s="37"/>
      <c r="OU2926" s="37"/>
      <c r="OV2926" s="37"/>
      <c r="OW2926" s="37"/>
      <c r="OX2926" s="37"/>
      <c r="OY2926" s="37"/>
      <c r="OZ2926" s="37"/>
      <c r="PA2926" s="37"/>
      <c r="PB2926" s="37"/>
      <c r="PC2926" s="37"/>
      <c r="PD2926" s="37"/>
      <c r="PE2926" s="37"/>
      <c r="PF2926" s="37"/>
      <c r="PG2926" s="37"/>
      <c r="PH2926" s="37"/>
      <c r="PI2926" s="37"/>
      <c r="PJ2926" s="37"/>
      <c r="PK2926" s="37"/>
      <c r="PL2926" s="37"/>
      <c r="PM2926" s="37"/>
      <c r="PN2926" s="37"/>
      <c r="PO2926" s="37"/>
      <c r="PP2926" s="37"/>
      <c r="PQ2926" s="37"/>
      <c r="PR2926" s="37"/>
      <c r="PS2926" s="37"/>
      <c r="PT2926" s="37"/>
      <c r="PU2926" s="37"/>
      <c r="PV2926" s="37"/>
      <c r="PW2926" s="37"/>
      <c r="PX2926" s="37"/>
      <c r="PY2926" s="37"/>
      <c r="PZ2926" s="37"/>
      <c r="QA2926" s="37"/>
      <c r="QB2926" s="37"/>
      <c r="QC2926" s="37"/>
      <c r="QD2926" s="37"/>
      <c r="QE2926" s="37"/>
      <c r="QF2926" s="37"/>
      <c r="QG2926" s="37"/>
      <c r="QH2926" s="37"/>
      <c r="QI2926" s="37"/>
      <c r="QJ2926" s="37"/>
      <c r="QK2926" s="37"/>
      <c r="QL2926" s="37"/>
      <c r="QM2926" s="37"/>
      <c r="QN2926" s="37"/>
      <c r="QO2926" s="37"/>
      <c r="QP2926" s="37"/>
      <c r="QQ2926" s="37"/>
      <c r="QR2926" s="37"/>
      <c r="QS2926" s="37"/>
      <c r="QT2926" s="37"/>
      <c r="QU2926" s="37"/>
      <c r="QV2926" s="37"/>
      <c r="QW2926" s="37"/>
      <c r="QX2926" s="37"/>
      <c r="QY2926" s="37"/>
      <c r="QZ2926" s="37"/>
      <c r="RA2926" s="37"/>
      <c r="RB2926" s="37"/>
      <c r="RC2926" s="37"/>
      <c r="RD2926" s="37"/>
      <c r="RE2926" s="37"/>
      <c r="RF2926" s="37"/>
      <c r="RG2926" s="37"/>
      <c r="RH2926" s="37"/>
      <c r="RI2926" s="37"/>
      <c r="RJ2926" s="37"/>
      <c r="RK2926" s="37"/>
      <c r="RL2926" s="37"/>
      <c r="RM2926" s="37"/>
      <c r="RN2926" s="37"/>
      <c r="RO2926" s="37"/>
      <c r="RP2926" s="37"/>
      <c r="RQ2926" s="37"/>
      <c r="RR2926" s="37"/>
      <c r="RS2926" s="37"/>
      <c r="RT2926" s="37"/>
      <c r="RU2926" s="37"/>
      <c r="RV2926" s="37"/>
      <c r="RW2926" s="37"/>
      <c r="RX2926" s="37"/>
      <c r="RY2926" s="37"/>
      <c r="RZ2926" s="37"/>
      <c r="SA2926" s="37"/>
      <c r="SB2926" s="37"/>
      <c r="SC2926" s="37"/>
      <c r="SD2926" s="37"/>
      <c r="SE2926" s="37"/>
      <c r="SF2926" s="37"/>
    </row>
    <row r="2927" spans="1:500">
      <c r="A2927" s="37"/>
      <c r="B2927" s="37"/>
      <c r="C2927" s="37"/>
      <c r="D2927" s="37"/>
      <c r="E2927" s="37"/>
      <c r="F2927" s="37"/>
      <c r="G2927" s="37"/>
      <c r="H2927" s="37"/>
      <c r="I2927" s="37"/>
      <c r="J2927" s="37"/>
      <c r="K2927" s="37"/>
      <c r="L2927" s="37"/>
      <c r="M2927" s="37"/>
      <c r="N2927" s="37"/>
      <c r="O2927" s="37"/>
      <c r="P2927" s="37"/>
      <c r="Q2927" s="37"/>
      <c r="R2927" s="37"/>
      <c r="S2927" s="37"/>
      <c r="T2927" s="37"/>
      <c r="U2927" s="37"/>
      <c r="V2927" s="37"/>
      <c r="W2927" s="37"/>
      <c r="X2927" s="37"/>
      <c r="Y2927" s="37"/>
      <c r="Z2927" s="37"/>
      <c r="AA2927" s="37"/>
      <c r="AB2927" s="37"/>
      <c r="AC2927" s="37"/>
      <c r="AD2927" s="37"/>
      <c r="AE2927" s="37"/>
      <c r="AF2927" s="37"/>
      <c r="AG2927" s="37"/>
      <c r="AH2927" s="37"/>
      <c r="AI2927" s="37"/>
      <c r="AJ2927" s="37"/>
      <c r="AK2927" s="37"/>
      <c r="AL2927" s="37"/>
      <c r="AM2927" s="37"/>
      <c r="AN2927" s="37"/>
      <c r="AO2927" s="37"/>
      <c r="AP2927" s="37"/>
      <c r="AQ2927" s="37"/>
      <c r="AR2927" s="37"/>
      <c r="AS2927" s="37"/>
      <c r="AT2927" s="37"/>
      <c r="AU2927" s="37"/>
      <c r="AV2927" s="37"/>
      <c r="AW2927" s="37"/>
      <c r="AX2927" s="37"/>
      <c r="AY2927" s="37"/>
      <c r="AZ2927" s="37"/>
      <c r="BA2927" s="37"/>
      <c r="BB2927" s="37"/>
      <c r="BC2927" s="37"/>
      <c r="BD2927" s="37"/>
      <c r="BE2927" s="37"/>
      <c r="BF2927" s="37"/>
      <c r="BG2927" s="37"/>
      <c r="BH2927" s="37"/>
      <c r="BI2927" s="37"/>
      <c r="BJ2927" s="37"/>
      <c r="BK2927" s="37"/>
      <c r="BL2927" s="37"/>
      <c r="BM2927" s="37"/>
      <c r="BN2927" s="37"/>
      <c r="BO2927" s="37"/>
      <c r="BP2927" s="37"/>
      <c r="BQ2927" s="37"/>
      <c r="BR2927" s="37"/>
      <c r="BS2927" s="37"/>
      <c r="BT2927" s="37"/>
      <c r="BU2927" s="37"/>
      <c r="BV2927" s="37"/>
      <c r="BW2927" s="37"/>
      <c r="BX2927" s="37"/>
      <c r="BY2927" s="37"/>
      <c r="BZ2927" s="37"/>
      <c r="CA2927" s="37"/>
      <c r="CB2927" s="37"/>
      <c r="CC2927" s="37"/>
      <c r="CD2927" s="37"/>
      <c r="CE2927" s="37"/>
      <c r="CF2927" s="37"/>
      <c r="CG2927" s="37"/>
      <c r="CH2927" s="37"/>
      <c r="CI2927" s="37"/>
      <c r="CJ2927" s="37"/>
      <c r="CK2927" s="37"/>
      <c r="CL2927" s="37"/>
      <c r="CM2927" s="37"/>
      <c r="CN2927" s="37"/>
      <c r="CO2927" s="37"/>
      <c r="CP2927" s="37"/>
      <c r="CQ2927" s="37"/>
      <c r="CR2927" s="37"/>
      <c r="CS2927" s="37"/>
      <c r="CT2927" s="37"/>
      <c r="CU2927" s="37"/>
      <c r="CV2927" s="37"/>
      <c r="CW2927" s="37"/>
      <c r="CX2927" s="37"/>
      <c r="CY2927" s="37"/>
      <c r="CZ2927" s="37"/>
      <c r="DA2927" s="37"/>
      <c r="DB2927" s="37"/>
      <c r="DC2927" s="37"/>
      <c r="DD2927" s="37"/>
      <c r="DE2927" s="37"/>
      <c r="DF2927" s="37"/>
      <c r="DG2927" s="37"/>
      <c r="DH2927" s="37"/>
      <c r="DI2927" s="37"/>
      <c r="DJ2927" s="37"/>
      <c r="DK2927" s="37"/>
      <c r="DL2927" s="37"/>
      <c r="DM2927" s="37"/>
      <c r="DN2927" s="37"/>
      <c r="DO2927" s="37"/>
      <c r="DP2927" s="37"/>
      <c r="DQ2927" s="37"/>
      <c r="DR2927" s="37"/>
      <c r="DS2927" s="37"/>
      <c r="DT2927" s="37"/>
      <c r="DU2927" s="37"/>
      <c r="DV2927" s="37"/>
      <c r="DW2927" s="37"/>
      <c r="DX2927" s="37"/>
      <c r="DY2927" s="37"/>
      <c r="DZ2927" s="37"/>
      <c r="EA2927" s="37"/>
      <c r="EB2927" s="37"/>
      <c r="EC2927" s="37"/>
      <c r="ED2927" s="37"/>
      <c r="EE2927" s="37"/>
      <c r="EF2927" s="37"/>
      <c r="EG2927" s="37"/>
      <c r="EH2927" s="37"/>
      <c r="EI2927" s="37"/>
      <c r="EJ2927" s="37"/>
      <c r="EK2927" s="37"/>
      <c r="EL2927" s="37"/>
      <c r="EM2927" s="37"/>
      <c r="EN2927" s="37"/>
      <c r="EO2927" s="37"/>
      <c r="EP2927" s="37"/>
      <c r="EQ2927" s="37"/>
      <c r="ER2927" s="37"/>
      <c r="ES2927" s="37"/>
      <c r="ET2927" s="37"/>
      <c r="EU2927" s="37"/>
      <c r="EV2927" s="37"/>
      <c r="EW2927" s="37"/>
      <c r="EX2927" s="37"/>
      <c r="EY2927" s="37"/>
      <c r="EZ2927" s="37"/>
      <c r="FA2927" s="37"/>
      <c r="FB2927" s="37"/>
      <c r="FC2927" s="37"/>
      <c r="FD2927" s="37"/>
      <c r="FE2927" s="37"/>
      <c r="FF2927" s="37"/>
      <c r="FG2927" s="37"/>
      <c r="FH2927" s="37"/>
      <c r="FI2927" s="37"/>
      <c r="FJ2927" s="37"/>
      <c r="FK2927" s="37"/>
      <c r="FL2927" s="37"/>
      <c r="FM2927" s="37"/>
      <c r="FN2927" s="37"/>
      <c r="FO2927" s="37"/>
      <c r="FP2927" s="37"/>
      <c r="FQ2927" s="37"/>
      <c r="FR2927" s="37"/>
      <c r="FS2927" s="37"/>
      <c r="FT2927" s="37"/>
      <c r="FU2927" s="37"/>
      <c r="FV2927" s="37"/>
      <c r="FW2927" s="37"/>
      <c r="FX2927" s="37"/>
      <c r="FY2927" s="37"/>
      <c r="FZ2927" s="37"/>
      <c r="GA2927" s="37"/>
      <c r="GB2927" s="37"/>
      <c r="GC2927" s="37"/>
      <c r="GD2927" s="37"/>
      <c r="GE2927" s="37"/>
      <c r="GF2927" s="37"/>
      <c r="GG2927" s="37"/>
      <c r="GH2927" s="37"/>
      <c r="GI2927" s="37"/>
      <c r="GJ2927" s="37"/>
      <c r="GK2927" s="37"/>
      <c r="GL2927" s="37"/>
      <c r="GM2927" s="37"/>
      <c r="GN2927" s="37"/>
      <c r="GO2927" s="37"/>
      <c r="GP2927" s="37"/>
      <c r="GQ2927" s="37"/>
      <c r="GR2927" s="37"/>
      <c r="GS2927" s="37"/>
      <c r="GT2927" s="37"/>
      <c r="GU2927" s="37"/>
      <c r="GV2927" s="37"/>
      <c r="GW2927" s="37"/>
      <c r="GX2927" s="37"/>
      <c r="GY2927" s="37"/>
      <c r="GZ2927" s="37"/>
      <c r="HA2927" s="37"/>
      <c r="HB2927" s="37"/>
      <c r="HC2927" s="37"/>
      <c r="HD2927" s="37"/>
      <c r="HE2927" s="37"/>
      <c r="HF2927" s="37"/>
      <c r="HG2927" s="37"/>
      <c r="HH2927" s="37"/>
      <c r="HI2927" s="37"/>
      <c r="HJ2927" s="37"/>
      <c r="HK2927" s="37"/>
      <c r="HL2927" s="37"/>
      <c r="HM2927" s="37"/>
      <c r="HN2927" s="37"/>
      <c r="HO2927" s="37"/>
      <c r="HP2927" s="37"/>
      <c r="HQ2927" s="37"/>
      <c r="HR2927" s="37"/>
      <c r="HS2927" s="37"/>
      <c r="HT2927" s="37"/>
      <c r="HU2927" s="37"/>
      <c r="HV2927" s="37"/>
      <c r="HW2927" s="37"/>
      <c r="HX2927" s="37"/>
      <c r="HY2927" s="37"/>
      <c r="HZ2927" s="37"/>
      <c r="IA2927" s="37"/>
      <c r="IB2927" s="37"/>
      <c r="IC2927" s="37"/>
      <c r="ID2927" s="37"/>
      <c r="IE2927" s="37"/>
      <c r="IF2927" s="37"/>
      <c r="IG2927" s="37"/>
      <c r="IH2927" s="37"/>
      <c r="II2927" s="37"/>
      <c r="IJ2927" s="37"/>
      <c r="IK2927" s="37"/>
      <c r="IL2927" s="37"/>
      <c r="IM2927" s="37"/>
      <c r="IN2927" s="37"/>
      <c r="IO2927" s="37"/>
      <c r="IP2927" s="37"/>
      <c r="IQ2927" s="37"/>
      <c r="IR2927" s="37"/>
      <c r="IS2927" s="37"/>
      <c r="IT2927" s="37"/>
      <c r="IU2927" s="37"/>
      <c r="IV2927" s="37"/>
      <c r="IW2927" s="37"/>
      <c r="IX2927" s="37"/>
      <c r="IY2927" s="37"/>
      <c r="IZ2927" s="37"/>
      <c r="JA2927" s="37"/>
      <c r="JB2927" s="37"/>
      <c r="JC2927" s="37"/>
      <c r="JD2927" s="37"/>
      <c r="JE2927" s="37"/>
      <c r="JF2927" s="37"/>
      <c r="JG2927" s="37"/>
      <c r="JH2927" s="37"/>
      <c r="JI2927" s="37"/>
      <c r="JJ2927" s="37"/>
      <c r="JK2927" s="37"/>
      <c r="JL2927" s="37"/>
      <c r="JM2927" s="37"/>
      <c r="JN2927" s="37"/>
      <c r="JO2927" s="37"/>
      <c r="JP2927" s="37"/>
      <c r="JQ2927" s="37"/>
      <c r="JR2927" s="37"/>
      <c r="JS2927" s="37"/>
      <c r="JT2927" s="37"/>
      <c r="JU2927" s="37"/>
      <c r="JV2927" s="37"/>
      <c r="JW2927" s="37"/>
      <c r="JX2927" s="37"/>
      <c r="JY2927" s="37"/>
      <c r="JZ2927" s="37"/>
      <c r="KA2927" s="37"/>
      <c r="KB2927" s="37"/>
      <c r="KC2927" s="37"/>
      <c r="KD2927" s="37"/>
      <c r="KE2927" s="37"/>
      <c r="KF2927" s="37"/>
      <c r="KG2927" s="37"/>
      <c r="KH2927" s="37"/>
      <c r="KI2927" s="37"/>
      <c r="KJ2927" s="37"/>
      <c r="KK2927" s="37"/>
      <c r="KL2927" s="37"/>
      <c r="KM2927" s="37"/>
      <c r="KN2927" s="37"/>
      <c r="KO2927" s="37"/>
      <c r="KP2927" s="37"/>
      <c r="KQ2927" s="37"/>
      <c r="KR2927" s="37"/>
      <c r="KS2927" s="37"/>
      <c r="KT2927" s="37"/>
      <c r="KU2927" s="37"/>
      <c r="KV2927" s="37"/>
      <c r="KW2927" s="37"/>
      <c r="KX2927" s="37"/>
      <c r="KY2927" s="37"/>
      <c r="KZ2927" s="37"/>
      <c r="LA2927" s="37"/>
      <c r="LB2927" s="37"/>
      <c r="LC2927" s="37"/>
      <c r="LD2927" s="37"/>
      <c r="LE2927" s="37"/>
      <c r="LF2927" s="37"/>
      <c r="LG2927" s="37"/>
      <c r="LH2927" s="37"/>
      <c r="LI2927" s="37"/>
      <c r="LJ2927" s="37"/>
      <c r="LK2927" s="37"/>
      <c r="LL2927" s="37"/>
      <c r="LM2927" s="37"/>
      <c r="LN2927" s="37"/>
      <c r="LO2927" s="37"/>
      <c r="LP2927" s="37"/>
      <c r="LQ2927" s="37"/>
      <c r="LR2927" s="37"/>
      <c r="LS2927" s="37"/>
      <c r="LT2927" s="37"/>
      <c r="LU2927" s="37"/>
      <c r="LV2927" s="37"/>
      <c r="LW2927" s="37"/>
      <c r="LX2927" s="37"/>
      <c r="LY2927" s="37"/>
      <c r="LZ2927" s="37"/>
      <c r="MA2927" s="37"/>
      <c r="MB2927" s="37"/>
      <c r="MC2927" s="37"/>
      <c r="MD2927" s="37"/>
      <c r="ME2927" s="37"/>
      <c r="MF2927" s="37"/>
      <c r="MG2927" s="37"/>
      <c r="MH2927" s="37"/>
      <c r="MI2927" s="37"/>
      <c r="MJ2927" s="37"/>
      <c r="MK2927" s="37"/>
      <c r="ML2927" s="37"/>
      <c r="MM2927" s="37"/>
      <c r="MN2927" s="37"/>
      <c r="MO2927" s="37"/>
      <c r="MP2927" s="37"/>
      <c r="MQ2927" s="37"/>
      <c r="MR2927" s="37"/>
      <c r="MS2927" s="37"/>
      <c r="MT2927" s="37"/>
      <c r="MU2927" s="37"/>
      <c r="MV2927" s="37"/>
      <c r="MW2927" s="37"/>
      <c r="MX2927" s="37"/>
      <c r="MY2927" s="37"/>
      <c r="MZ2927" s="37"/>
      <c r="NA2927" s="37"/>
      <c r="NB2927" s="37"/>
      <c r="NC2927" s="37"/>
      <c r="ND2927" s="37"/>
      <c r="NE2927" s="37"/>
      <c r="NF2927" s="37"/>
      <c r="NG2927" s="37"/>
      <c r="NH2927" s="37"/>
      <c r="NI2927" s="37"/>
      <c r="NJ2927" s="37"/>
      <c r="NK2927" s="37"/>
      <c r="NL2927" s="37"/>
      <c r="NM2927" s="37"/>
      <c r="NN2927" s="37"/>
      <c r="NO2927" s="37"/>
      <c r="NP2927" s="37"/>
      <c r="NQ2927" s="37"/>
      <c r="NR2927" s="37"/>
      <c r="NS2927" s="37"/>
      <c r="NT2927" s="37"/>
      <c r="NU2927" s="37"/>
      <c r="NV2927" s="37"/>
      <c r="NW2927" s="37"/>
      <c r="NX2927" s="37"/>
      <c r="NY2927" s="37"/>
      <c r="NZ2927" s="37"/>
      <c r="OA2927" s="37"/>
      <c r="OB2927" s="37"/>
      <c r="OC2927" s="37"/>
      <c r="OD2927" s="37"/>
      <c r="OE2927" s="37"/>
      <c r="OF2927" s="37"/>
      <c r="OG2927" s="37"/>
      <c r="OH2927" s="37"/>
      <c r="OI2927" s="37"/>
      <c r="OJ2927" s="37"/>
      <c r="OK2927" s="37"/>
      <c r="OL2927" s="37"/>
      <c r="OM2927" s="37"/>
      <c r="ON2927" s="37"/>
      <c r="OO2927" s="37"/>
      <c r="OP2927" s="37"/>
      <c r="OQ2927" s="37"/>
      <c r="OR2927" s="37"/>
      <c r="OS2927" s="37"/>
      <c r="OT2927" s="37"/>
      <c r="OU2927" s="37"/>
      <c r="OV2927" s="37"/>
      <c r="OW2927" s="37"/>
      <c r="OX2927" s="37"/>
      <c r="OY2927" s="37"/>
      <c r="OZ2927" s="37"/>
      <c r="PA2927" s="37"/>
      <c r="PB2927" s="37"/>
      <c r="PC2927" s="37"/>
      <c r="PD2927" s="37"/>
      <c r="PE2927" s="37"/>
      <c r="PF2927" s="37"/>
      <c r="PG2927" s="37"/>
      <c r="PH2927" s="37"/>
      <c r="PI2927" s="37"/>
      <c r="PJ2927" s="37"/>
      <c r="PK2927" s="37"/>
      <c r="PL2927" s="37"/>
      <c r="PM2927" s="37"/>
      <c r="PN2927" s="37"/>
      <c r="PO2927" s="37"/>
      <c r="PP2927" s="37"/>
      <c r="PQ2927" s="37"/>
      <c r="PR2927" s="37"/>
      <c r="PS2927" s="37"/>
      <c r="PT2927" s="37"/>
      <c r="PU2927" s="37"/>
      <c r="PV2927" s="37"/>
      <c r="PW2927" s="37"/>
      <c r="PX2927" s="37"/>
      <c r="PY2927" s="37"/>
      <c r="PZ2927" s="37"/>
      <c r="QA2927" s="37"/>
      <c r="QB2927" s="37"/>
      <c r="QC2927" s="37"/>
      <c r="QD2927" s="37"/>
      <c r="QE2927" s="37"/>
      <c r="QF2927" s="37"/>
      <c r="QG2927" s="37"/>
      <c r="QH2927" s="37"/>
      <c r="QI2927" s="37"/>
      <c r="QJ2927" s="37"/>
      <c r="QK2927" s="37"/>
      <c r="QL2927" s="37"/>
      <c r="QM2927" s="37"/>
      <c r="QN2927" s="37"/>
      <c r="QO2927" s="37"/>
      <c r="QP2927" s="37"/>
      <c r="QQ2927" s="37"/>
      <c r="QR2927" s="37"/>
      <c r="QS2927" s="37"/>
      <c r="QT2927" s="37"/>
      <c r="QU2927" s="37"/>
      <c r="QV2927" s="37"/>
      <c r="QW2927" s="37"/>
      <c r="QX2927" s="37"/>
      <c r="QY2927" s="37"/>
      <c r="QZ2927" s="37"/>
      <c r="RA2927" s="37"/>
      <c r="RB2927" s="37"/>
      <c r="RC2927" s="37"/>
      <c r="RD2927" s="37"/>
      <c r="RE2927" s="37"/>
      <c r="RF2927" s="37"/>
      <c r="RG2927" s="37"/>
      <c r="RH2927" s="37"/>
      <c r="RI2927" s="37"/>
      <c r="RJ2927" s="37"/>
      <c r="RK2927" s="37"/>
      <c r="RL2927" s="37"/>
      <c r="RM2927" s="37"/>
      <c r="RN2927" s="37"/>
      <c r="RO2927" s="37"/>
      <c r="RP2927" s="37"/>
      <c r="RQ2927" s="37"/>
      <c r="RR2927" s="37"/>
      <c r="RS2927" s="37"/>
      <c r="RT2927" s="37"/>
      <c r="RU2927" s="37"/>
      <c r="RV2927" s="37"/>
      <c r="RW2927" s="37"/>
      <c r="RX2927" s="37"/>
      <c r="RY2927" s="37"/>
      <c r="RZ2927" s="37"/>
      <c r="SA2927" s="37"/>
      <c r="SB2927" s="37"/>
      <c r="SC2927" s="37"/>
      <c r="SD2927" s="37"/>
      <c r="SE2927" s="37"/>
      <c r="SF2927" s="37"/>
    </row>
    <row r="2928" spans="1:500">
      <c r="A2928" s="37"/>
      <c r="B2928" s="37"/>
      <c r="C2928" s="37"/>
      <c r="D2928" s="37"/>
      <c r="E2928" s="37"/>
      <c r="F2928" s="37"/>
      <c r="G2928" s="37"/>
      <c r="H2928" s="37"/>
      <c r="I2928" s="37"/>
      <c r="J2928" s="37"/>
      <c r="K2928" s="37"/>
      <c r="L2928" s="37"/>
      <c r="M2928" s="37"/>
      <c r="N2928" s="37"/>
      <c r="O2928" s="37"/>
      <c r="P2928" s="37"/>
      <c r="Q2928" s="37"/>
      <c r="R2928" s="37"/>
      <c r="S2928" s="37"/>
      <c r="T2928" s="37"/>
      <c r="U2928" s="37"/>
      <c r="V2928" s="37"/>
      <c r="W2928" s="37"/>
      <c r="X2928" s="37"/>
      <c r="Y2928" s="37"/>
      <c r="Z2928" s="37"/>
      <c r="AA2928" s="37"/>
      <c r="AB2928" s="37"/>
      <c r="AC2928" s="37"/>
      <c r="AD2928" s="37"/>
      <c r="AE2928" s="37"/>
      <c r="AF2928" s="37"/>
      <c r="AG2928" s="37"/>
      <c r="AH2928" s="37"/>
      <c r="AI2928" s="37"/>
      <c r="AJ2928" s="37"/>
      <c r="AK2928" s="37"/>
      <c r="AL2928" s="37"/>
      <c r="AM2928" s="37"/>
      <c r="AN2928" s="37"/>
      <c r="AO2928" s="37"/>
      <c r="AP2928" s="37"/>
      <c r="AQ2928" s="37"/>
      <c r="AR2928" s="37"/>
      <c r="AS2928" s="37"/>
      <c r="AT2928" s="37"/>
      <c r="AU2928" s="37"/>
      <c r="AV2928" s="37"/>
      <c r="AW2928" s="37"/>
      <c r="AX2928" s="37"/>
      <c r="AY2928" s="37"/>
      <c r="AZ2928" s="37"/>
      <c r="BA2928" s="37"/>
      <c r="BB2928" s="37"/>
      <c r="BC2928" s="37"/>
      <c r="BD2928" s="37"/>
      <c r="BE2928" s="37"/>
      <c r="BF2928" s="37"/>
      <c r="BG2928" s="37"/>
      <c r="BH2928" s="37"/>
      <c r="BI2928" s="37"/>
      <c r="BJ2928" s="37"/>
      <c r="BK2928" s="37"/>
      <c r="BL2928" s="37"/>
      <c r="BM2928" s="37"/>
      <c r="BN2928" s="37"/>
      <c r="BO2928" s="37"/>
      <c r="BP2928" s="37"/>
      <c r="BQ2928" s="37"/>
      <c r="BR2928" s="37"/>
      <c r="BS2928" s="37"/>
      <c r="BT2928" s="37"/>
      <c r="BU2928" s="37"/>
      <c r="BV2928" s="37"/>
      <c r="BW2928" s="37"/>
      <c r="BX2928" s="37"/>
      <c r="BY2928" s="37"/>
      <c r="BZ2928" s="37"/>
      <c r="CA2928" s="37"/>
      <c r="CB2928" s="37"/>
      <c r="CC2928" s="37"/>
      <c r="CD2928" s="37"/>
      <c r="CE2928" s="37"/>
      <c r="CF2928" s="37"/>
      <c r="CG2928" s="37"/>
      <c r="CH2928" s="37"/>
      <c r="CI2928" s="37"/>
      <c r="CJ2928" s="37"/>
      <c r="CK2928" s="37"/>
      <c r="CL2928" s="37"/>
      <c r="CM2928" s="37"/>
      <c r="CN2928" s="37"/>
      <c r="CO2928" s="37"/>
      <c r="CP2928" s="37"/>
      <c r="CQ2928" s="37"/>
      <c r="CR2928" s="37"/>
      <c r="CS2928" s="37"/>
      <c r="CT2928" s="37"/>
      <c r="CU2928" s="37"/>
      <c r="CV2928" s="37"/>
      <c r="CW2928" s="37"/>
      <c r="CX2928" s="37"/>
      <c r="CY2928" s="37"/>
      <c r="CZ2928" s="37"/>
      <c r="DA2928" s="37"/>
      <c r="DB2928" s="37"/>
      <c r="DC2928" s="37"/>
      <c r="DD2928" s="37"/>
      <c r="DE2928" s="37"/>
      <c r="DF2928" s="37"/>
      <c r="DG2928" s="37"/>
      <c r="DH2928" s="37"/>
      <c r="DI2928" s="37"/>
      <c r="DJ2928" s="37"/>
      <c r="DK2928" s="37"/>
      <c r="DL2928" s="37"/>
      <c r="DM2928" s="37"/>
      <c r="DN2928" s="37"/>
      <c r="DO2928" s="37"/>
      <c r="DP2928" s="37"/>
      <c r="DQ2928" s="37"/>
      <c r="DR2928" s="37"/>
      <c r="DS2928" s="37"/>
      <c r="DT2928" s="37"/>
      <c r="DU2928" s="37"/>
      <c r="DV2928" s="37"/>
      <c r="DW2928" s="37"/>
      <c r="DX2928" s="37"/>
      <c r="DY2928" s="37"/>
      <c r="DZ2928" s="37"/>
      <c r="EA2928" s="37"/>
      <c r="EB2928" s="37"/>
      <c r="EC2928" s="37"/>
      <c r="ED2928" s="37"/>
      <c r="EE2928" s="37"/>
      <c r="EF2928" s="37"/>
      <c r="EG2928" s="37"/>
      <c r="EH2928" s="37"/>
      <c r="EI2928" s="37"/>
      <c r="EJ2928" s="37"/>
      <c r="EK2928" s="37"/>
      <c r="EL2928" s="37"/>
      <c r="EM2928" s="37"/>
      <c r="EN2928" s="37"/>
      <c r="EO2928" s="37"/>
      <c r="EP2928" s="37"/>
      <c r="EQ2928" s="37"/>
      <c r="ER2928" s="37"/>
      <c r="ES2928" s="37"/>
      <c r="ET2928" s="37"/>
      <c r="EU2928" s="37"/>
      <c r="EV2928" s="37"/>
      <c r="EW2928" s="37"/>
      <c r="EX2928" s="37"/>
      <c r="EY2928" s="37"/>
      <c r="EZ2928" s="37"/>
      <c r="FA2928" s="37"/>
      <c r="FB2928" s="37"/>
      <c r="FC2928" s="37"/>
      <c r="FD2928" s="37"/>
      <c r="FE2928" s="37"/>
      <c r="FF2928" s="37"/>
      <c r="FG2928" s="37"/>
      <c r="FH2928" s="37"/>
      <c r="FI2928" s="37"/>
      <c r="FJ2928" s="37"/>
      <c r="FK2928" s="37"/>
      <c r="FL2928" s="37"/>
      <c r="FM2928" s="37"/>
      <c r="FN2928" s="37"/>
      <c r="FO2928" s="37"/>
      <c r="FP2928" s="37"/>
      <c r="FQ2928" s="37"/>
      <c r="FR2928" s="37"/>
      <c r="FS2928" s="37"/>
      <c r="FT2928" s="37"/>
      <c r="FU2928" s="37"/>
      <c r="FV2928" s="37"/>
      <c r="FW2928" s="37"/>
      <c r="FX2928" s="37"/>
      <c r="FY2928" s="37"/>
      <c r="FZ2928" s="37"/>
      <c r="GA2928" s="37"/>
      <c r="GB2928" s="37"/>
      <c r="GC2928" s="37"/>
      <c r="GD2928" s="37"/>
      <c r="GE2928" s="37"/>
      <c r="GF2928" s="37"/>
      <c r="GG2928" s="37"/>
      <c r="GH2928" s="37"/>
      <c r="GI2928" s="37"/>
      <c r="GJ2928" s="37"/>
      <c r="GK2928" s="37"/>
      <c r="GL2928" s="37"/>
      <c r="GM2928" s="37"/>
      <c r="GN2928" s="37"/>
      <c r="GO2928" s="37"/>
      <c r="GP2928" s="37"/>
      <c r="GQ2928" s="37"/>
      <c r="GR2928" s="37"/>
      <c r="GS2928" s="37"/>
      <c r="GT2928" s="37"/>
      <c r="GU2928" s="37"/>
      <c r="GV2928" s="37"/>
      <c r="GW2928" s="37"/>
      <c r="GX2928" s="37"/>
      <c r="GY2928" s="37"/>
      <c r="GZ2928" s="37"/>
      <c r="HA2928" s="37"/>
      <c r="HB2928" s="37"/>
      <c r="HC2928" s="37"/>
      <c r="HD2928" s="37"/>
      <c r="HE2928" s="37"/>
      <c r="HF2928" s="37"/>
      <c r="HG2928" s="37"/>
      <c r="HH2928" s="37"/>
      <c r="HI2928" s="37"/>
      <c r="HJ2928" s="37"/>
      <c r="HK2928" s="37"/>
      <c r="HL2928" s="37"/>
      <c r="HM2928" s="37"/>
      <c r="HN2928" s="37"/>
      <c r="HO2928" s="37"/>
      <c r="HP2928" s="37"/>
      <c r="HQ2928" s="37"/>
      <c r="HR2928" s="37"/>
      <c r="HS2928" s="37"/>
      <c r="HT2928" s="37"/>
      <c r="HU2928" s="37"/>
      <c r="HV2928" s="37"/>
      <c r="HW2928" s="37"/>
      <c r="HX2928" s="37"/>
      <c r="HY2928" s="37"/>
      <c r="HZ2928" s="37"/>
      <c r="IA2928" s="37"/>
      <c r="IB2928" s="37"/>
      <c r="IC2928" s="37"/>
      <c r="ID2928" s="37"/>
      <c r="IE2928" s="37"/>
      <c r="IF2928" s="37"/>
      <c r="IG2928" s="37"/>
      <c r="IH2928" s="37"/>
      <c r="II2928" s="37"/>
      <c r="IJ2928" s="37"/>
      <c r="IK2928" s="37"/>
      <c r="IL2928" s="37"/>
      <c r="IM2928" s="37"/>
      <c r="IN2928" s="37"/>
      <c r="IO2928" s="37"/>
      <c r="IP2928" s="37"/>
      <c r="IQ2928" s="37"/>
      <c r="IR2928" s="37"/>
      <c r="IS2928" s="37"/>
      <c r="IT2928" s="37"/>
      <c r="IU2928" s="37"/>
      <c r="IV2928" s="37"/>
      <c r="IW2928" s="37"/>
      <c r="IX2928" s="37"/>
      <c r="IY2928" s="37"/>
      <c r="IZ2928" s="37"/>
      <c r="JA2928" s="37"/>
      <c r="JB2928" s="37"/>
      <c r="JC2928" s="37"/>
      <c r="JD2928" s="37"/>
      <c r="JE2928" s="37"/>
      <c r="JF2928" s="37"/>
      <c r="JG2928" s="37"/>
      <c r="JH2928" s="37"/>
      <c r="JI2928" s="37"/>
      <c r="JJ2928" s="37"/>
      <c r="JK2928" s="37"/>
      <c r="JL2928" s="37"/>
      <c r="JM2928" s="37"/>
      <c r="JN2928" s="37"/>
      <c r="JO2928" s="37"/>
      <c r="JP2928" s="37"/>
      <c r="JQ2928" s="37"/>
      <c r="JR2928" s="37"/>
      <c r="JS2928" s="37"/>
      <c r="JT2928" s="37"/>
      <c r="JU2928" s="37"/>
      <c r="JV2928" s="37"/>
      <c r="JW2928" s="37"/>
      <c r="JX2928" s="37"/>
      <c r="JY2928" s="37"/>
      <c r="JZ2928" s="37"/>
      <c r="KA2928" s="37"/>
      <c r="KB2928" s="37"/>
      <c r="KC2928" s="37"/>
      <c r="KD2928" s="37"/>
      <c r="KE2928" s="37"/>
      <c r="KF2928" s="37"/>
      <c r="KG2928" s="37"/>
      <c r="KH2928" s="37"/>
      <c r="KI2928" s="37"/>
      <c r="KJ2928" s="37"/>
      <c r="KK2928" s="37"/>
      <c r="KL2928" s="37"/>
      <c r="KM2928" s="37"/>
      <c r="KN2928" s="37"/>
      <c r="KO2928" s="37"/>
      <c r="KP2928" s="37"/>
      <c r="KQ2928" s="37"/>
      <c r="KR2928" s="37"/>
      <c r="KS2928" s="37"/>
      <c r="KT2928" s="37"/>
      <c r="KU2928" s="37"/>
      <c r="KV2928" s="37"/>
      <c r="KW2928" s="37"/>
      <c r="KX2928" s="37"/>
      <c r="KY2928" s="37"/>
      <c r="KZ2928" s="37"/>
      <c r="LA2928" s="37"/>
      <c r="LB2928" s="37"/>
      <c r="LC2928" s="37"/>
      <c r="LD2928" s="37"/>
      <c r="LE2928" s="37"/>
      <c r="LF2928" s="37"/>
      <c r="LG2928" s="37"/>
      <c r="LH2928" s="37"/>
      <c r="LI2928" s="37"/>
      <c r="LJ2928" s="37"/>
      <c r="LK2928" s="37"/>
      <c r="LL2928" s="37"/>
      <c r="LM2928" s="37"/>
      <c r="LN2928" s="37"/>
      <c r="LO2928" s="37"/>
      <c r="LP2928" s="37"/>
      <c r="LQ2928" s="37"/>
      <c r="LR2928" s="37"/>
      <c r="LS2928" s="37"/>
      <c r="LT2928" s="37"/>
      <c r="LU2928" s="37"/>
      <c r="LV2928" s="37"/>
      <c r="LW2928" s="37"/>
      <c r="LX2928" s="37"/>
      <c r="LY2928" s="37"/>
      <c r="LZ2928" s="37"/>
      <c r="MA2928" s="37"/>
      <c r="MB2928" s="37"/>
      <c r="MC2928" s="37"/>
      <c r="MD2928" s="37"/>
      <c r="ME2928" s="37"/>
      <c r="MF2928" s="37"/>
      <c r="MG2928" s="37"/>
      <c r="MH2928" s="37"/>
      <c r="MI2928" s="37"/>
      <c r="MJ2928" s="37"/>
      <c r="MK2928" s="37"/>
      <c r="ML2928" s="37"/>
      <c r="MM2928" s="37"/>
      <c r="MN2928" s="37"/>
      <c r="MO2928" s="37"/>
      <c r="MP2928" s="37"/>
      <c r="MQ2928" s="37"/>
      <c r="MR2928" s="37"/>
      <c r="MS2928" s="37"/>
      <c r="MT2928" s="37"/>
      <c r="MU2928" s="37"/>
      <c r="MV2928" s="37"/>
      <c r="MW2928" s="37"/>
      <c r="MX2928" s="37"/>
      <c r="MY2928" s="37"/>
      <c r="MZ2928" s="37"/>
      <c r="NA2928" s="37"/>
      <c r="NB2928" s="37"/>
      <c r="NC2928" s="37"/>
      <c r="ND2928" s="37"/>
      <c r="NE2928" s="37"/>
      <c r="NF2928" s="37"/>
      <c r="NG2928" s="37"/>
      <c r="NH2928" s="37"/>
      <c r="NI2928" s="37"/>
      <c r="NJ2928" s="37"/>
      <c r="NK2928" s="37"/>
      <c r="NL2928" s="37"/>
      <c r="NM2928" s="37"/>
      <c r="NN2928" s="37"/>
      <c r="NO2928" s="37"/>
      <c r="NP2928" s="37"/>
      <c r="NQ2928" s="37"/>
      <c r="NR2928" s="37"/>
      <c r="NS2928" s="37"/>
      <c r="NT2928" s="37"/>
      <c r="NU2928" s="37"/>
      <c r="NV2928" s="37"/>
      <c r="NW2928" s="37"/>
      <c r="NX2928" s="37"/>
      <c r="NY2928" s="37"/>
      <c r="NZ2928" s="37"/>
      <c r="OA2928" s="37"/>
      <c r="OB2928" s="37"/>
      <c r="OC2928" s="37"/>
      <c r="OD2928" s="37"/>
      <c r="OE2928" s="37"/>
      <c r="OF2928" s="37"/>
      <c r="OG2928" s="37"/>
      <c r="OH2928" s="37"/>
      <c r="OI2928" s="37"/>
      <c r="OJ2928" s="37"/>
      <c r="OK2928" s="37"/>
      <c r="OL2928" s="37"/>
      <c r="OM2928" s="37"/>
      <c r="ON2928" s="37"/>
      <c r="OO2928" s="37"/>
      <c r="OP2928" s="37"/>
      <c r="OQ2928" s="37"/>
      <c r="OR2928" s="37"/>
      <c r="OS2928" s="37"/>
      <c r="OT2928" s="37"/>
      <c r="OU2928" s="37"/>
      <c r="OV2928" s="37"/>
      <c r="OW2928" s="37"/>
      <c r="OX2928" s="37"/>
      <c r="OY2928" s="37"/>
      <c r="OZ2928" s="37"/>
      <c r="PA2928" s="37"/>
      <c r="PB2928" s="37"/>
      <c r="PC2928" s="37"/>
      <c r="PD2928" s="37"/>
      <c r="PE2928" s="37"/>
      <c r="PF2928" s="37"/>
      <c r="PG2928" s="37"/>
      <c r="PH2928" s="37"/>
      <c r="PI2928" s="37"/>
      <c r="PJ2928" s="37"/>
      <c r="PK2928" s="37"/>
      <c r="PL2928" s="37"/>
      <c r="PM2928" s="37"/>
      <c r="PN2928" s="37"/>
      <c r="PO2928" s="37"/>
      <c r="PP2928" s="37"/>
      <c r="PQ2928" s="37"/>
      <c r="PR2928" s="37"/>
      <c r="PS2928" s="37"/>
      <c r="PT2928" s="37"/>
      <c r="PU2928" s="37"/>
      <c r="PV2928" s="37"/>
      <c r="PW2928" s="37"/>
      <c r="PX2928" s="37"/>
      <c r="PY2928" s="37"/>
      <c r="PZ2928" s="37"/>
      <c r="QA2928" s="37"/>
      <c r="QB2928" s="37"/>
      <c r="QC2928" s="37"/>
      <c r="QD2928" s="37"/>
      <c r="QE2928" s="37"/>
      <c r="QF2928" s="37"/>
      <c r="QG2928" s="37"/>
      <c r="QH2928" s="37"/>
      <c r="QI2928" s="37"/>
      <c r="QJ2928" s="37"/>
      <c r="QK2928" s="37"/>
      <c r="QL2928" s="37"/>
      <c r="QM2928" s="37"/>
      <c r="QN2928" s="37"/>
      <c r="QO2928" s="37"/>
      <c r="QP2928" s="37"/>
      <c r="QQ2928" s="37"/>
      <c r="QR2928" s="37"/>
      <c r="QS2928" s="37"/>
      <c r="QT2928" s="37"/>
      <c r="QU2928" s="37"/>
      <c r="QV2928" s="37"/>
      <c r="QW2928" s="37"/>
      <c r="QX2928" s="37"/>
      <c r="QY2928" s="37"/>
      <c r="QZ2928" s="37"/>
      <c r="RA2928" s="37"/>
      <c r="RB2928" s="37"/>
      <c r="RC2928" s="37"/>
      <c r="RD2928" s="37"/>
      <c r="RE2928" s="37"/>
      <c r="RF2928" s="37"/>
      <c r="RG2928" s="37"/>
      <c r="RH2928" s="37"/>
      <c r="RI2928" s="37"/>
      <c r="RJ2928" s="37"/>
      <c r="RK2928" s="37"/>
      <c r="RL2928" s="37"/>
      <c r="RM2928" s="37"/>
      <c r="RN2928" s="37"/>
      <c r="RO2928" s="37"/>
      <c r="RP2928" s="37"/>
      <c r="RQ2928" s="37"/>
      <c r="RR2928" s="37"/>
      <c r="RS2928" s="37"/>
      <c r="RT2928" s="37"/>
      <c r="RU2928" s="37"/>
      <c r="RV2928" s="37"/>
      <c r="RW2928" s="37"/>
      <c r="RX2928" s="37"/>
      <c r="RY2928" s="37"/>
      <c r="RZ2928" s="37"/>
      <c r="SA2928" s="37"/>
      <c r="SB2928" s="37"/>
      <c r="SC2928" s="37"/>
      <c r="SD2928" s="37"/>
      <c r="SE2928" s="37"/>
      <c r="SF2928" s="37"/>
    </row>
    <row r="2929" spans="1:500">
      <c r="A2929" s="37"/>
      <c r="B2929" s="37"/>
      <c r="C2929" s="37"/>
      <c r="D2929" s="37"/>
      <c r="E2929" s="37"/>
      <c r="F2929" s="37"/>
      <c r="G2929" s="37"/>
      <c r="H2929" s="37"/>
      <c r="I2929" s="37"/>
      <c r="J2929" s="37"/>
      <c r="K2929" s="37"/>
      <c r="L2929" s="37"/>
      <c r="M2929" s="37"/>
      <c r="N2929" s="37"/>
      <c r="O2929" s="37"/>
      <c r="P2929" s="37"/>
      <c r="Q2929" s="37"/>
      <c r="R2929" s="37"/>
      <c r="S2929" s="37"/>
      <c r="T2929" s="37"/>
      <c r="U2929" s="37"/>
      <c r="V2929" s="37"/>
      <c r="W2929" s="37"/>
      <c r="X2929" s="37"/>
      <c r="Y2929" s="37"/>
      <c r="Z2929" s="37"/>
      <c r="AA2929" s="37"/>
      <c r="AB2929" s="37"/>
      <c r="AC2929" s="37"/>
      <c r="AD2929" s="37"/>
      <c r="AE2929" s="37"/>
      <c r="AF2929" s="37"/>
      <c r="AG2929" s="37"/>
      <c r="AH2929" s="37"/>
      <c r="AI2929" s="37"/>
      <c r="AJ2929" s="37"/>
      <c r="AK2929" s="37"/>
      <c r="AL2929" s="37"/>
      <c r="AM2929" s="37"/>
      <c r="AN2929" s="37"/>
      <c r="AO2929" s="37"/>
      <c r="AP2929" s="37"/>
      <c r="AQ2929" s="37"/>
      <c r="AR2929" s="37"/>
      <c r="AS2929" s="37"/>
      <c r="AT2929" s="37"/>
      <c r="AU2929" s="37"/>
      <c r="AV2929" s="37"/>
      <c r="AW2929" s="37"/>
      <c r="AX2929" s="37"/>
      <c r="AY2929" s="37"/>
      <c r="AZ2929" s="37"/>
      <c r="BA2929" s="37"/>
      <c r="BB2929" s="37"/>
      <c r="BC2929" s="37"/>
      <c r="BD2929" s="37"/>
      <c r="BE2929" s="37"/>
      <c r="BF2929" s="37"/>
      <c r="BG2929" s="37"/>
      <c r="BH2929" s="37"/>
      <c r="BI2929" s="37"/>
      <c r="BJ2929" s="37"/>
      <c r="BK2929" s="37"/>
      <c r="BL2929" s="37"/>
      <c r="BM2929" s="37"/>
      <c r="BN2929" s="37"/>
      <c r="BO2929" s="37"/>
      <c r="BP2929" s="37"/>
      <c r="BQ2929" s="37"/>
      <c r="BR2929" s="37"/>
      <c r="BS2929" s="37"/>
      <c r="BT2929" s="37"/>
      <c r="BU2929" s="37"/>
      <c r="BV2929" s="37"/>
      <c r="BW2929" s="37"/>
      <c r="BX2929" s="37"/>
      <c r="BY2929" s="37"/>
      <c r="BZ2929" s="37"/>
      <c r="CA2929" s="37"/>
      <c r="CB2929" s="37"/>
      <c r="CC2929" s="37"/>
      <c r="CD2929" s="37"/>
      <c r="CE2929" s="37"/>
      <c r="CF2929" s="37"/>
      <c r="CG2929" s="37"/>
      <c r="CH2929" s="37"/>
      <c r="CI2929" s="37"/>
      <c r="CJ2929" s="37"/>
      <c r="CK2929" s="37"/>
      <c r="CL2929" s="37"/>
      <c r="CM2929" s="37"/>
      <c r="CN2929" s="37"/>
      <c r="CO2929" s="37"/>
      <c r="CP2929" s="37"/>
      <c r="CQ2929" s="37"/>
      <c r="CR2929" s="37"/>
      <c r="CS2929" s="37"/>
      <c r="CT2929" s="37"/>
      <c r="CU2929" s="37"/>
      <c r="CV2929" s="37"/>
      <c r="CW2929" s="37"/>
      <c r="CX2929" s="37"/>
      <c r="CY2929" s="37"/>
      <c r="CZ2929" s="37"/>
      <c r="DA2929" s="37"/>
      <c r="DB2929" s="37"/>
      <c r="DC2929" s="37"/>
      <c r="DD2929" s="37"/>
      <c r="DE2929" s="37"/>
      <c r="DF2929" s="37"/>
      <c r="DG2929" s="37"/>
      <c r="DH2929" s="37"/>
      <c r="DI2929" s="37"/>
      <c r="DJ2929" s="37"/>
      <c r="DK2929" s="37"/>
      <c r="DL2929" s="37"/>
      <c r="DM2929" s="37"/>
      <c r="DN2929" s="37"/>
      <c r="DO2929" s="37"/>
      <c r="DP2929" s="37"/>
      <c r="DQ2929" s="37"/>
      <c r="DR2929" s="37"/>
      <c r="DS2929" s="37"/>
      <c r="DT2929" s="37"/>
      <c r="DU2929" s="37"/>
      <c r="DV2929" s="37"/>
      <c r="DW2929" s="37"/>
      <c r="DX2929" s="37"/>
      <c r="DY2929" s="37"/>
      <c r="DZ2929" s="37"/>
      <c r="EA2929" s="37"/>
      <c r="EB2929" s="37"/>
      <c r="EC2929" s="37"/>
      <c r="ED2929" s="37"/>
      <c r="EE2929" s="37"/>
      <c r="EF2929" s="37"/>
      <c r="EG2929" s="37"/>
      <c r="EH2929" s="37"/>
      <c r="EI2929" s="37"/>
      <c r="EJ2929" s="37"/>
      <c r="EK2929" s="37"/>
      <c r="EL2929" s="37"/>
      <c r="EM2929" s="37"/>
      <c r="EN2929" s="37"/>
      <c r="EO2929" s="37"/>
      <c r="EP2929" s="37"/>
      <c r="EQ2929" s="37"/>
      <c r="ER2929" s="37"/>
      <c r="ES2929" s="37"/>
      <c r="ET2929" s="37"/>
      <c r="EU2929" s="37"/>
      <c r="EV2929" s="37"/>
      <c r="EW2929" s="37"/>
      <c r="EX2929" s="37"/>
      <c r="EY2929" s="37"/>
      <c r="EZ2929" s="37"/>
      <c r="FA2929" s="37"/>
      <c r="FB2929" s="37"/>
      <c r="FC2929" s="37"/>
      <c r="FD2929" s="37"/>
      <c r="FE2929" s="37"/>
      <c r="FF2929" s="37"/>
      <c r="FG2929" s="37"/>
      <c r="FH2929" s="37"/>
      <c r="FI2929" s="37"/>
      <c r="FJ2929" s="37"/>
      <c r="FK2929" s="37"/>
      <c r="FL2929" s="37"/>
      <c r="FM2929" s="37"/>
      <c r="FN2929" s="37"/>
      <c r="FO2929" s="37"/>
      <c r="FP2929" s="37"/>
      <c r="FQ2929" s="37"/>
      <c r="FR2929" s="37"/>
      <c r="FS2929" s="37"/>
      <c r="FT2929" s="37"/>
      <c r="FU2929" s="37"/>
      <c r="FV2929" s="37"/>
      <c r="FW2929" s="37"/>
      <c r="FX2929" s="37"/>
      <c r="FY2929" s="37"/>
      <c r="FZ2929" s="37"/>
      <c r="GA2929" s="37"/>
      <c r="GB2929" s="37"/>
      <c r="GC2929" s="37"/>
      <c r="GD2929" s="37"/>
      <c r="GE2929" s="37"/>
      <c r="GF2929" s="37"/>
      <c r="GG2929" s="37"/>
      <c r="GH2929" s="37"/>
      <c r="GI2929" s="37"/>
      <c r="GJ2929" s="37"/>
      <c r="GK2929" s="37"/>
      <c r="GL2929" s="37"/>
      <c r="GM2929" s="37"/>
      <c r="GN2929" s="37"/>
      <c r="GO2929" s="37"/>
      <c r="GP2929" s="37"/>
      <c r="GQ2929" s="37"/>
      <c r="GR2929" s="37"/>
      <c r="GS2929" s="37"/>
      <c r="GT2929" s="37"/>
      <c r="GU2929" s="37"/>
      <c r="GV2929" s="37"/>
      <c r="GW2929" s="37"/>
      <c r="GX2929" s="37"/>
      <c r="GY2929" s="37"/>
      <c r="GZ2929" s="37"/>
      <c r="HA2929" s="37"/>
      <c r="HB2929" s="37"/>
      <c r="HC2929" s="37"/>
      <c r="HD2929" s="37"/>
      <c r="HE2929" s="37"/>
      <c r="HF2929" s="37"/>
      <c r="HG2929" s="37"/>
      <c r="HH2929" s="37"/>
      <c r="HI2929" s="37"/>
      <c r="HJ2929" s="37"/>
      <c r="HK2929" s="37"/>
      <c r="HL2929" s="37"/>
      <c r="HM2929" s="37"/>
      <c r="HN2929" s="37"/>
      <c r="HO2929" s="37"/>
      <c r="HP2929" s="37"/>
      <c r="HQ2929" s="37"/>
      <c r="HR2929" s="37"/>
      <c r="HS2929" s="37"/>
      <c r="HT2929" s="37"/>
      <c r="HU2929" s="37"/>
      <c r="HV2929" s="37"/>
      <c r="HW2929" s="37"/>
      <c r="HX2929" s="37"/>
      <c r="HY2929" s="37"/>
      <c r="HZ2929" s="37"/>
      <c r="IA2929" s="37"/>
      <c r="IB2929" s="37"/>
      <c r="IC2929" s="37"/>
      <c r="ID2929" s="37"/>
      <c r="IE2929" s="37"/>
      <c r="IF2929" s="37"/>
      <c r="IG2929" s="37"/>
      <c r="IH2929" s="37"/>
      <c r="II2929" s="37"/>
      <c r="IJ2929" s="37"/>
      <c r="IK2929" s="37"/>
      <c r="IL2929" s="37"/>
      <c r="IM2929" s="37"/>
      <c r="IN2929" s="37"/>
      <c r="IO2929" s="37"/>
      <c r="IP2929" s="37"/>
      <c r="IQ2929" s="37"/>
      <c r="IR2929" s="37"/>
      <c r="IS2929" s="37"/>
      <c r="IT2929" s="37"/>
      <c r="IU2929" s="37"/>
      <c r="IV2929" s="37"/>
      <c r="IW2929" s="37"/>
      <c r="IX2929" s="37"/>
      <c r="IY2929" s="37"/>
      <c r="IZ2929" s="37"/>
      <c r="JA2929" s="37"/>
      <c r="JB2929" s="37"/>
      <c r="JC2929" s="37"/>
      <c r="JD2929" s="37"/>
      <c r="JE2929" s="37"/>
      <c r="JF2929" s="37"/>
      <c r="JG2929" s="37"/>
      <c r="JH2929" s="37"/>
      <c r="JI2929" s="37"/>
      <c r="JJ2929" s="37"/>
      <c r="JK2929" s="37"/>
      <c r="JL2929" s="37"/>
      <c r="JM2929" s="37"/>
      <c r="JN2929" s="37"/>
      <c r="JO2929" s="37"/>
      <c r="JP2929" s="37"/>
      <c r="JQ2929" s="37"/>
      <c r="JR2929" s="37"/>
      <c r="JS2929" s="37"/>
      <c r="JT2929" s="37"/>
      <c r="JU2929" s="37"/>
      <c r="JV2929" s="37"/>
      <c r="JW2929" s="37"/>
      <c r="JX2929" s="37"/>
      <c r="JY2929" s="37"/>
      <c r="JZ2929" s="37"/>
      <c r="KA2929" s="37"/>
      <c r="KB2929" s="37"/>
      <c r="KC2929" s="37"/>
      <c r="KD2929" s="37"/>
      <c r="KE2929" s="37"/>
      <c r="KF2929" s="37"/>
      <c r="KG2929" s="37"/>
      <c r="KH2929" s="37"/>
      <c r="KI2929" s="37"/>
      <c r="KJ2929" s="37"/>
      <c r="KK2929" s="37"/>
      <c r="KL2929" s="37"/>
      <c r="KM2929" s="37"/>
      <c r="KN2929" s="37"/>
      <c r="KO2929" s="37"/>
      <c r="KP2929" s="37"/>
      <c r="KQ2929" s="37"/>
      <c r="KR2929" s="37"/>
      <c r="KS2929" s="37"/>
      <c r="KT2929" s="37"/>
      <c r="KU2929" s="37"/>
      <c r="KV2929" s="37"/>
      <c r="KW2929" s="37"/>
      <c r="KX2929" s="37"/>
      <c r="KY2929" s="37"/>
      <c r="KZ2929" s="37"/>
      <c r="LA2929" s="37"/>
      <c r="LB2929" s="37"/>
      <c r="LC2929" s="37"/>
      <c r="LD2929" s="37"/>
      <c r="LE2929" s="37"/>
      <c r="LF2929" s="37"/>
      <c r="LG2929" s="37"/>
      <c r="LH2929" s="37"/>
      <c r="LI2929" s="37"/>
      <c r="LJ2929" s="37"/>
      <c r="LK2929" s="37"/>
      <c r="LL2929" s="37"/>
      <c r="LM2929" s="37"/>
      <c r="LN2929" s="37"/>
      <c r="LO2929" s="37"/>
      <c r="LP2929" s="37"/>
      <c r="LQ2929" s="37"/>
      <c r="LR2929" s="37"/>
      <c r="LS2929" s="37"/>
      <c r="LT2929" s="37"/>
      <c r="LU2929" s="37"/>
      <c r="LV2929" s="37"/>
      <c r="LW2929" s="37"/>
      <c r="LX2929" s="37"/>
      <c r="LY2929" s="37"/>
      <c r="LZ2929" s="37"/>
      <c r="MA2929" s="37"/>
      <c r="MB2929" s="37"/>
      <c r="MC2929" s="37"/>
      <c r="MD2929" s="37"/>
      <c r="ME2929" s="37"/>
      <c r="MF2929" s="37"/>
      <c r="MG2929" s="37"/>
      <c r="MH2929" s="37"/>
      <c r="MI2929" s="37"/>
      <c r="MJ2929" s="37"/>
      <c r="MK2929" s="37"/>
      <c r="ML2929" s="37"/>
      <c r="MM2929" s="37"/>
      <c r="MN2929" s="37"/>
      <c r="MO2929" s="37"/>
      <c r="MP2929" s="37"/>
      <c r="MQ2929" s="37"/>
      <c r="MR2929" s="37"/>
      <c r="MS2929" s="37"/>
      <c r="MT2929" s="37"/>
      <c r="MU2929" s="37"/>
      <c r="MV2929" s="37"/>
      <c r="MW2929" s="37"/>
      <c r="MX2929" s="37"/>
      <c r="MY2929" s="37"/>
      <c r="MZ2929" s="37"/>
      <c r="NA2929" s="37"/>
      <c r="NB2929" s="37"/>
      <c r="NC2929" s="37"/>
      <c r="ND2929" s="37"/>
      <c r="NE2929" s="37"/>
      <c r="NF2929" s="37"/>
      <c r="NG2929" s="37"/>
      <c r="NH2929" s="37"/>
      <c r="NI2929" s="37"/>
      <c r="NJ2929" s="37"/>
      <c r="NK2929" s="37"/>
      <c r="NL2929" s="37"/>
      <c r="NM2929" s="37"/>
      <c r="NN2929" s="37"/>
      <c r="NO2929" s="37"/>
      <c r="NP2929" s="37"/>
      <c r="NQ2929" s="37"/>
      <c r="NR2929" s="37"/>
      <c r="NS2929" s="37"/>
      <c r="NT2929" s="37"/>
      <c r="NU2929" s="37"/>
      <c r="NV2929" s="37"/>
      <c r="NW2929" s="37"/>
      <c r="NX2929" s="37"/>
      <c r="NY2929" s="37"/>
      <c r="NZ2929" s="37"/>
      <c r="OA2929" s="37"/>
      <c r="OB2929" s="37"/>
      <c r="OC2929" s="37"/>
      <c r="OD2929" s="37"/>
      <c r="OE2929" s="37"/>
      <c r="OF2929" s="37"/>
      <c r="OG2929" s="37"/>
      <c r="OH2929" s="37"/>
      <c r="OI2929" s="37"/>
      <c r="OJ2929" s="37"/>
      <c r="OK2929" s="37"/>
      <c r="OL2929" s="37"/>
      <c r="OM2929" s="37"/>
      <c r="ON2929" s="37"/>
      <c r="OO2929" s="37"/>
      <c r="OP2929" s="37"/>
      <c r="OQ2929" s="37"/>
      <c r="OR2929" s="37"/>
      <c r="OS2929" s="37"/>
      <c r="OT2929" s="37"/>
      <c r="OU2929" s="37"/>
      <c r="OV2929" s="37"/>
      <c r="OW2929" s="37"/>
      <c r="OX2929" s="37"/>
      <c r="OY2929" s="37"/>
      <c r="OZ2929" s="37"/>
      <c r="PA2929" s="37"/>
      <c r="PB2929" s="37"/>
      <c r="PC2929" s="37"/>
      <c r="PD2929" s="37"/>
      <c r="PE2929" s="37"/>
      <c r="PF2929" s="37"/>
      <c r="PG2929" s="37"/>
      <c r="PH2929" s="37"/>
      <c r="PI2929" s="37"/>
      <c r="PJ2929" s="37"/>
      <c r="PK2929" s="37"/>
      <c r="PL2929" s="37"/>
      <c r="PM2929" s="37"/>
      <c r="PN2929" s="37"/>
      <c r="PO2929" s="37"/>
      <c r="PP2929" s="37"/>
      <c r="PQ2929" s="37"/>
      <c r="PR2929" s="37"/>
      <c r="PS2929" s="37"/>
      <c r="PT2929" s="37"/>
      <c r="PU2929" s="37"/>
      <c r="PV2929" s="37"/>
      <c r="PW2929" s="37"/>
      <c r="PX2929" s="37"/>
      <c r="PY2929" s="37"/>
      <c r="PZ2929" s="37"/>
      <c r="QA2929" s="37"/>
      <c r="QB2929" s="37"/>
      <c r="QC2929" s="37"/>
      <c r="QD2929" s="37"/>
      <c r="QE2929" s="37"/>
      <c r="QF2929" s="37"/>
      <c r="QG2929" s="37"/>
      <c r="QH2929" s="37"/>
      <c r="QI2929" s="37"/>
      <c r="QJ2929" s="37"/>
      <c r="QK2929" s="37"/>
      <c r="QL2929" s="37"/>
      <c r="QM2929" s="37"/>
      <c r="QN2929" s="37"/>
      <c r="QO2929" s="37"/>
      <c r="QP2929" s="37"/>
      <c r="QQ2929" s="37"/>
      <c r="QR2929" s="37"/>
      <c r="QS2929" s="37"/>
      <c r="QT2929" s="37"/>
      <c r="QU2929" s="37"/>
      <c r="QV2929" s="37"/>
      <c r="QW2929" s="37"/>
      <c r="QX2929" s="37"/>
      <c r="QY2929" s="37"/>
      <c r="QZ2929" s="37"/>
      <c r="RA2929" s="37"/>
      <c r="RB2929" s="37"/>
      <c r="RC2929" s="37"/>
      <c r="RD2929" s="37"/>
      <c r="RE2929" s="37"/>
      <c r="RF2929" s="37"/>
      <c r="RG2929" s="37"/>
      <c r="RH2929" s="37"/>
      <c r="RI2929" s="37"/>
      <c r="RJ2929" s="37"/>
      <c r="RK2929" s="37"/>
      <c r="RL2929" s="37"/>
      <c r="RM2929" s="37"/>
      <c r="RN2929" s="37"/>
      <c r="RO2929" s="37"/>
      <c r="RP2929" s="37"/>
      <c r="RQ2929" s="37"/>
      <c r="RR2929" s="37"/>
      <c r="RS2929" s="37"/>
      <c r="RT2929" s="37"/>
      <c r="RU2929" s="37"/>
      <c r="RV2929" s="37"/>
      <c r="RW2929" s="37"/>
      <c r="RX2929" s="37"/>
      <c r="RY2929" s="37"/>
      <c r="RZ2929" s="37"/>
      <c r="SA2929" s="37"/>
      <c r="SB2929" s="37"/>
      <c r="SC2929" s="37"/>
      <c r="SD2929" s="37"/>
      <c r="SE2929" s="37"/>
      <c r="SF2929" s="37"/>
    </row>
    <row r="2930" spans="1:500">
      <c r="A2930" s="37"/>
      <c r="B2930" s="37"/>
      <c r="C2930" s="37"/>
      <c r="D2930" s="37"/>
      <c r="E2930" s="37"/>
      <c r="F2930" s="37"/>
      <c r="G2930" s="37"/>
      <c r="H2930" s="37"/>
      <c r="I2930" s="37"/>
      <c r="J2930" s="37"/>
      <c r="K2930" s="37"/>
      <c r="L2930" s="37"/>
      <c r="M2930" s="37"/>
      <c r="N2930" s="37"/>
      <c r="O2930" s="37"/>
      <c r="P2930" s="37"/>
      <c r="Q2930" s="37"/>
      <c r="R2930" s="37"/>
      <c r="S2930" s="37"/>
      <c r="T2930" s="37"/>
      <c r="U2930" s="37"/>
      <c r="V2930" s="37"/>
      <c r="W2930" s="37"/>
      <c r="X2930" s="37"/>
      <c r="Y2930" s="37"/>
      <c r="Z2930" s="37"/>
      <c r="AA2930" s="37"/>
      <c r="AB2930" s="37"/>
      <c r="AC2930" s="37"/>
      <c r="AD2930" s="37"/>
      <c r="AE2930" s="37"/>
      <c r="AF2930" s="37"/>
      <c r="AG2930" s="37"/>
      <c r="AH2930" s="37"/>
      <c r="AI2930" s="37"/>
      <c r="AJ2930" s="37"/>
      <c r="AK2930" s="37"/>
      <c r="AL2930" s="37"/>
      <c r="AM2930" s="37"/>
      <c r="AN2930" s="37"/>
      <c r="AO2930" s="37"/>
      <c r="AP2930" s="37"/>
      <c r="AQ2930" s="37"/>
      <c r="AR2930" s="37"/>
      <c r="AS2930" s="37"/>
      <c r="AT2930" s="37"/>
      <c r="AU2930" s="37"/>
      <c r="AV2930" s="37"/>
      <c r="AW2930" s="37"/>
      <c r="AX2930" s="37"/>
      <c r="AY2930" s="37"/>
      <c r="AZ2930" s="37"/>
      <c r="BA2930" s="37"/>
      <c r="BB2930" s="37"/>
      <c r="BC2930" s="37"/>
      <c r="BD2930" s="37"/>
      <c r="BE2930" s="37"/>
      <c r="BF2930" s="37"/>
      <c r="BG2930" s="37"/>
      <c r="BH2930" s="37"/>
      <c r="BI2930" s="37"/>
      <c r="BJ2930" s="37"/>
      <c r="BK2930" s="37"/>
      <c r="BL2930" s="37"/>
      <c r="BM2930" s="37"/>
      <c r="BN2930" s="37"/>
      <c r="BO2930" s="37"/>
      <c r="BP2930" s="37"/>
      <c r="BQ2930" s="37"/>
      <c r="BR2930" s="37"/>
      <c r="BS2930" s="37"/>
      <c r="BT2930" s="37"/>
      <c r="BU2930" s="37"/>
      <c r="BV2930" s="37"/>
      <c r="BW2930" s="37"/>
      <c r="BX2930" s="37"/>
      <c r="BY2930" s="37"/>
      <c r="BZ2930" s="37"/>
      <c r="CA2930" s="37"/>
      <c r="CB2930" s="37"/>
      <c r="CC2930" s="37"/>
      <c r="CD2930" s="37"/>
      <c r="CE2930" s="37"/>
      <c r="CF2930" s="37"/>
      <c r="CG2930" s="37"/>
      <c r="CH2930" s="37"/>
      <c r="CI2930" s="37"/>
      <c r="CJ2930" s="37"/>
      <c r="CK2930" s="37"/>
      <c r="CL2930" s="37"/>
      <c r="CM2930" s="37"/>
      <c r="CN2930" s="37"/>
      <c r="CO2930" s="37"/>
      <c r="CP2930" s="37"/>
      <c r="CQ2930" s="37"/>
      <c r="CR2930" s="37"/>
      <c r="CS2930" s="37"/>
      <c r="CT2930" s="37"/>
      <c r="CU2930" s="37"/>
      <c r="CV2930" s="37"/>
      <c r="CW2930" s="37"/>
      <c r="CX2930" s="37"/>
      <c r="CY2930" s="37"/>
      <c r="CZ2930" s="37"/>
      <c r="DA2930" s="37"/>
      <c r="DB2930" s="37"/>
      <c r="DC2930" s="37"/>
      <c r="DD2930" s="37"/>
      <c r="DE2930" s="37"/>
      <c r="DF2930" s="37"/>
      <c r="DG2930" s="37"/>
      <c r="DH2930" s="37"/>
      <c r="DI2930" s="37"/>
      <c r="DJ2930" s="37"/>
      <c r="DK2930" s="37"/>
      <c r="DL2930" s="37"/>
      <c r="DM2930" s="37"/>
      <c r="DN2930" s="37"/>
      <c r="DO2930" s="37"/>
      <c r="DP2930" s="37"/>
      <c r="DQ2930" s="37"/>
      <c r="DR2930" s="37"/>
      <c r="DS2930" s="37"/>
      <c r="DT2930" s="37"/>
      <c r="DU2930" s="37"/>
      <c r="DV2930" s="37"/>
      <c r="DW2930" s="37"/>
      <c r="DX2930" s="37"/>
      <c r="DY2930" s="37"/>
      <c r="DZ2930" s="37"/>
      <c r="EA2930" s="37"/>
      <c r="EB2930" s="37"/>
      <c r="EC2930" s="37"/>
      <c r="ED2930" s="37"/>
      <c r="EE2930" s="37"/>
      <c r="EF2930" s="37"/>
      <c r="EG2930" s="37"/>
      <c r="EH2930" s="37"/>
      <c r="EI2930" s="37"/>
      <c r="EJ2930" s="37"/>
      <c r="EK2930" s="37"/>
      <c r="EL2930" s="37"/>
      <c r="EM2930" s="37"/>
      <c r="EN2930" s="37"/>
      <c r="EO2930" s="37"/>
      <c r="EP2930" s="37"/>
      <c r="EQ2930" s="37"/>
      <c r="ER2930" s="37"/>
      <c r="ES2930" s="37"/>
      <c r="ET2930" s="37"/>
      <c r="EU2930" s="37"/>
      <c r="EV2930" s="37"/>
      <c r="EW2930" s="37"/>
      <c r="EX2930" s="37"/>
      <c r="EY2930" s="37"/>
      <c r="EZ2930" s="37"/>
      <c r="FA2930" s="37"/>
      <c r="FB2930" s="37"/>
      <c r="FC2930" s="37"/>
      <c r="FD2930" s="37"/>
      <c r="FE2930" s="37"/>
      <c r="FF2930" s="37"/>
      <c r="FG2930" s="37"/>
      <c r="FH2930" s="37"/>
      <c r="FI2930" s="37"/>
      <c r="FJ2930" s="37"/>
      <c r="FK2930" s="37"/>
      <c r="FL2930" s="37"/>
      <c r="FM2930" s="37"/>
      <c r="FN2930" s="37"/>
      <c r="FO2930" s="37"/>
      <c r="FP2930" s="37"/>
      <c r="FQ2930" s="37"/>
      <c r="FR2930" s="37"/>
      <c r="FS2930" s="37"/>
      <c r="FT2930" s="37"/>
      <c r="FU2930" s="37"/>
      <c r="FV2930" s="37"/>
      <c r="FW2930" s="37"/>
      <c r="FX2930" s="37"/>
      <c r="FY2930" s="37"/>
      <c r="FZ2930" s="37"/>
      <c r="GA2930" s="37"/>
      <c r="GB2930" s="37"/>
      <c r="GC2930" s="37"/>
      <c r="GD2930" s="37"/>
      <c r="GE2930" s="37"/>
      <c r="GF2930" s="37"/>
      <c r="GG2930" s="37"/>
      <c r="GH2930" s="37"/>
      <c r="GI2930" s="37"/>
      <c r="GJ2930" s="37"/>
      <c r="GK2930" s="37"/>
      <c r="GL2930" s="37"/>
      <c r="GM2930" s="37"/>
      <c r="GN2930" s="37"/>
      <c r="GO2930" s="37"/>
      <c r="GP2930" s="37"/>
      <c r="GQ2930" s="37"/>
      <c r="GR2930" s="37"/>
      <c r="GS2930" s="37"/>
      <c r="GT2930" s="37"/>
      <c r="GU2930" s="37"/>
      <c r="GV2930" s="37"/>
      <c r="GW2930" s="37"/>
      <c r="GX2930" s="37"/>
      <c r="GY2930" s="37"/>
      <c r="GZ2930" s="37"/>
      <c r="HA2930" s="37"/>
      <c r="HB2930" s="37"/>
      <c r="HC2930" s="37"/>
      <c r="HD2930" s="37"/>
      <c r="HE2930" s="37"/>
      <c r="HF2930" s="37"/>
      <c r="HG2930" s="37"/>
      <c r="HH2930" s="37"/>
      <c r="HI2930" s="37"/>
      <c r="HJ2930" s="37"/>
      <c r="HK2930" s="37"/>
      <c r="HL2930" s="37"/>
      <c r="HM2930" s="37"/>
      <c r="HN2930" s="37"/>
      <c r="HO2930" s="37"/>
      <c r="HP2930" s="37"/>
      <c r="HQ2930" s="37"/>
      <c r="HR2930" s="37"/>
      <c r="HS2930" s="37"/>
      <c r="HT2930" s="37"/>
      <c r="HU2930" s="37"/>
      <c r="HV2930" s="37"/>
      <c r="HW2930" s="37"/>
      <c r="HX2930" s="37"/>
      <c r="HY2930" s="37"/>
      <c r="HZ2930" s="37"/>
      <c r="IA2930" s="37"/>
      <c r="IB2930" s="37"/>
      <c r="IC2930" s="37"/>
      <c r="ID2930" s="37"/>
      <c r="IE2930" s="37"/>
      <c r="IF2930" s="37"/>
      <c r="IG2930" s="37"/>
      <c r="IH2930" s="37"/>
      <c r="II2930" s="37"/>
      <c r="IJ2930" s="37"/>
      <c r="IK2930" s="37"/>
      <c r="IL2930" s="37"/>
      <c r="IM2930" s="37"/>
      <c r="IN2930" s="37"/>
      <c r="IO2930" s="37"/>
      <c r="IP2930" s="37"/>
      <c r="IQ2930" s="37"/>
      <c r="IR2930" s="37"/>
      <c r="IS2930" s="37"/>
      <c r="IT2930" s="37"/>
      <c r="IU2930" s="37"/>
      <c r="IV2930" s="37"/>
      <c r="IW2930" s="37"/>
      <c r="IX2930" s="37"/>
      <c r="IY2930" s="37"/>
      <c r="IZ2930" s="37"/>
      <c r="JA2930" s="37"/>
      <c r="JB2930" s="37"/>
      <c r="JC2930" s="37"/>
      <c r="JD2930" s="37"/>
      <c r="JE2930" s="37"/>
      <c r="JF2930" s="37"/>
      <c r="JG2930" s="37"/>
      <c r="JH2930" s="37"/>
      <c r="JI2930" s="37"/>
      <c r="JJ2930" s="37"/>
      <c r="JK2930" s="37"/>
      <c r="JL2930" s="37"/>
      <c r="JM2930" s="37"/>
      <c r="JN2930" s="37"/>
      <c r="JO2930" s="37"/>
      <c r="JP2930" s="37"/>
      <c r="JQ2930" s="37"/>
      <c r="JR2930" s="37"/>
      <c r="JS2930" s="37"/>
      <c r="JT2930" s="37"/>
      <c r="JU2930" s="37"/>
      <c r="JV2930" s="37"/>
      <c r="JW2930" s="37"/>
      <c r="JX2930" s="37"/>
      <c r="JY2930" s="37"/>
      <c r="JZ2930" s="37"/>
      <c r="KA2930" s="37"/>
      <c r="KB2930" s="37"/>
      <c r="KC2930" s="37"/>
      <c r="KD2930" s="37"/>
      <c r="KE2930" s="37"/>
      <c r="KF2930" s="37"/>
      <c r="KG2930" s="37"/>
      <c r="KH2930" s="37"/>
      <c r="KI2930" s="37"/>
      <c r="KJ2930" s="37"/>
      <c r="KK2930" s="37"/>
      <c r="KL2930" s="37"/>
      <c r="KM2930" s="37"/>
      <c r="KN2930" s="37"/>
      <c r="KO2930" s="37"/>
      <c r="KP2930" s="37"/>
      <c r="KQ2930" s="37"/>
      <c r="KR2930" s="37"/>
      <c r="KS2930" s="37"/>
      <c r="KT2930" s="37"/>
      <c r="KU2930" s="37"/>
      <c r="KV2930" s="37"/>
      <c r="KW2930" s="37"/>
      <c r="KX2930" s="37"/>
      <c r="KY2930" s="37"/>
      <c r="KZ2930" s="37"/>
      <c r="LA2930" s="37"/>
      <c r="LB2930" s="37"/>
      <c r="LC2930" s="37"/>
      <c r="LD2930" s="37"/>
      <c r="LE2930" s="37"/>
      <c r="LF2930" s="37"/>
      <c r="LG2930" s="37"/>
      <c r="LH2930" s="37"/>
      <c r="LI2930" s="37"/>
      <c r="LJ2930" s="37"/>
      <c r="LK2930" s="37"/>
      <c r="LL2930" s="37"/>
      <c r="LM2930" s="37"/>
      <c r="LN2930" s="37"/>
      <c r="LO2930" s="37"/>
      <c r="LP2930" s="37"/>
      <c r="LQ2930" s="37"/>
      <c r="LR2930" s="37"/>
      <c r="LS2930" s="37"/>
      <c r="LT2930" s="37"/>
      <c r="LU2930" s="37"/>
      <c r="LV2930" s="37"/>
      <c r="LW2930" s="37"/>
      <c r="LX2930" s="37"/>
      <c r="LY2930" s="37"/>
      <c r="LZ2930" s="37"/>
      <c r="MA2930" s="37"/>
      <c r="MB2930" s="37"/>
      <c r="MC2930" s="37"/>
      <c r="MD2930" s="37"/>
      <c r="ME2930" s="37"/>
      <c r="MF2930" s="37"/>
      <c r="MG2930" s="37"/>
      <c r="MH2930" s="37"/>
      <c r="MI2930" s="37"/>
      <c r="MJ2930" s="37"/>
      <c r="MK2930" s="37"/>
      <c r="ML2930" s="37"/>
      <c r="MM2930" s="37"/>
      <c r="MN2930" s="37"/>
      <c r="MO2930" s="37"/>
      <c r="MP2930" s="37"/>
      <c r="MQ2930" s="37"/>
      <c r="MR2930" s="37"/>
      <c r="MS2930" s="37"/>
      <c r="MT2930" s="37"/>
      <c r="MU2930" s="37"/>
      <c r="MV2930" s="37"/>
      <c r="MW2930" s="37"/>
      <c r="MX2930" s="37"/>
      <c r="MY2930" s="37"/>
      <c r="MZ2930" s="37"/>
      <c r="NA2930" s="37"/>
      <c r="NB2930" s="37"/>
      <c r="NC2930" s="37"/>
      <c r="ND2930" s="37"/>
      <c r="NE2930" s="37"/>
      <c r="NF2930" s="37"/>
      <c r="NG2930" s="37"/>
      <c r="NH2930" s="37"/>
      <c r="NI2930" s="37"/>
      <c r="NJ2930" s="37"/>
      <c r="NK2930" s="37"/>
      <c r="NL2930" s="37"/>
      <c r="NM2930" s="37"/>
      <c r="NN2930" s="37"/>
      <c r="NO2930" s="37"/>
      <c r="NP2930" s="37"/>
      <c r="NQ2930" s="37"/>
      <c r="NR2930" s="37"/>
      <c r="NS2930" s="37"/>
      <c r="NT2930" s="37"/>
      <c r="NU2930" s="37"/>
      <c r="NV2930" s="37"/>
      <c r="NW2930" s="37"/>
      <c r="NX2930" s="37"/>
      <c r="NY2930" s="37"/>
      <c r="NZ2930" s="37"/>
      <c r="OA2930" s="37"/>
      <c r="OB2930" s="37"/>
      <c r="OC2930" s="37"/>
      <c r="OD2930" s="37"/>
      <c r="OE2930" s="37"/>
      <c r="OF2930" s="37"/>
      <c r="OG2930" s="37"/>
      <c r="OH2930" s="37"/>
      <c r="OI2930" s="37"/>
      <c r="OJ2930" s="37"/>
      <c r="OK2930" s="37"/>
      <c r="OL2930" s="37"/>
      <c r="OM2930" s="37"/>
      <c r="ON2930" s="37"/>
      <c r="OO2930" s="37"/>
      <c r="OP2930" s="37"/>
      <c r="OQ2930" s="37"/>
      <c r="OR2930" s="37"/>
      <c r="OS2930" s="37"/>
      <c r="OT2930" s="37"/>
      <c r="OU2930" s="37"/>
      <c r="OV2930" s="37"/>
      <c r="OW2930" s="37"/>
      <c r="OX2930" s="37"/>
      <c r="OY2930" s="37"/>
      <c r="OZ2930" s="37"/>
      <c r="PA2930" s="37"/>
      <c r="PB2930" s="37"/>
      <c r="PC2930" s="37"/>
      <c r="PD2930" s="37"/>
      <c r="PE2930" s="37"/>
      <c r="PF2930" s="37"/>
      <c r="PG2930" s="37"/>
      <c r="PH2930" s="37"/>
      <c r="PI2930" s="37"/>
      <c r="PJ2930" s="37"/>
      <c r="PK2930" s="37"/>
      <c r="PL2930" s="37"/>
      <c r="PM2930" s="37"/>
      <c r="PN2930" s="37"/>
      <c r="PO2930" s="37"/>
      <c r="PP2930" s="37"/>
      <c r="PQ2930" s="37"/>
      <c r="PR2930" s="37"/>
      <c r="PS2930" s="37"/>
      <c r="PT2930" s="37"/>
      <c r="PU2930" s="37"/>
      <c r="PV2930" s="37"/>
      <c r="PW2930" s="37"/>
      <c r="PX2930" s="37"/>
      <c r="PY2930" s="37"/>
      <c r="PZ2930" s="37"/>
      <c r="QA2930" s="37"/>
      <c r="QB2930" s="37"/>
      <c r="QC2930" s="37"/>
      <c r="QD2930" s="37"/>
      <c r="QE2930" s="37"/>
      <c r="QF2930" s="37"/>
      <c r="QG2930" s="37"/>
      <c r="QH2930" s="37"/>
      <c r="QI2930" s="37"/>
      <c r="QJ2930" s="37"/>
      <c r="QK2930" s="37"/>
      <c r="QL2930" s="37"/>
      <c r="QM2930" s="37"/>
      <c r="QN2930" s="37"/>
      <c r="QO2930" s="37"/>
      <c r="QP2930" s="37"/>
      <c r="QQ2930" s="37"/>
      <c r="QR2930" s="37"/>
      <c r="QS2930" s="37"/>
      <c r="QT2930" s="37"/>
      <c r="QU2930" s="37"/>
      <c r="QV2930" s="37"/>
      <c r="QW2930" s="37"/>
      <c r="QX2930" s="37"/>
      <c r="QY2930" s="37"/>
      <c r="QZ2930" s="37"/>
      <c r="RA2930" s="37"/>
      <c r="RB2930" s="37"/>
      <c r="RC2930" s="37"/>
      <c r="RD2930" s="37"/>
      <c r="RE2930" s="37"/>
      <c r="RF2930" s="37"/>
      <c r="RG2930" s="37"/>
      <c r="RH2930" s="37"/>
      <c r="RI2930" s="37"/>
      <c r="RJ2930" s="37"/>
      <c r="RK2930" s="37"/>
      <c r="RL2930" s="37"/>
      <c r="RM2930" s="37"/>
      <c r="RN2930" s="37"/>
      <c r="RO2930" s="37"/>
      <c r="RP2930" s="37"/>
      <c r="RQ2930" s="37"/>
      <c r="RR2930" s="37"/>
      <c r="RS2930" s="37"/>
      <c r="RT2930" s="37"/>
      <c r="RU2930" s="37"/>
      <c r="RV2930" s="37"/>
      <c r="RW2930" s="37"/>
      <c r="RX2930" s="37"/>
      <c r="RY2930" s="37"/>
      <c r="RZ2930" s="37"/>
      <c r="SA2930" s="37"/>
      <c r="SB2930" s="37"/>
      <c r="SC2930" s="37"/>
      <c r="SD2930" s="37"/>
      <c r="SE2930" s="37"/>
      <c r="SF2930" s="37"/>
    </row>
    <row r="2931" spans="1:500">
      <c r="A2931" s="37"/>
      <c r="B2931" s="37"/>
      <c r="C2931" s="37"/>
      <c r="D2931" s="37"/>
      <c r="E2931" s="37"/>
      <c r="F2931" s="37"/>
      <c r="G2931" s="37"/>
      <c r="H2931" s="37"/>
      <c r="I2931" s="37"/>
      <c r="J2931" s="37"/>
      <c r="K2931" s="37"/>
      <c r="L2931" s="37"/>
      <c r="M2931" s="37"/>
      <c r="N2931" s="37"/>
      <c r="O2931" s="37"/>
      <c r="P2931" s="37"/>
      <c r="Q2931" s="37"/>
      <c r="R2931" s="37"/>
      <c r="S2931" s="37"/>
      <c r="T2931" s="37"/>
      <c r="U2931" s="37"/>
      <c r="V2931" s="37"/>
      <c r="W2931" s="37"/>
      <c r="X2931" s="37"/>
      <c r="Y2931" s="37"/>
      <c r="Z2931" s="37"/>
      <c r="AA2931" s="37"/>
      <c r="AB2931" s="37"/>
      <c r="AC2931" s="37"/>
      <c r="AD2931" s="37"/>
      <c r="AE2931" s="37"/>
      <c r="AF2931" s="37"/>
      <c r="AG2931" s="37"/>
      <c r="AH2931" s="37"/>
      <c r="AI2931" s="37"/>
      <c r="AJ2931" s="37"/>
      <c r="AK2931" s="37"/>
      <c r="AL2931" s="37"/>
      <c r="AM2931" s="37"/>
      <c r="AN2931" s="37"/>
      <c r="AO2931" s="37"/>
      <c r="AP2931" s="37"/>
      <c r="AQ2931" s="37"/>
      <c r="AR2931" s="37"/>
      <c r="AS2931" s="37"/>
      <c r="AT2931" s="37"/>
      <c r="AU2931" s="37"/>
      <c r="AV2931" s="37"/>
      <c r="AW2931" s="37"/>
      <c r="AX2931" s="37"/>
      <c r="AY2931" s="37"/>
      <c r="AZ2931" s="37"/>
      <c r="BA2931" s="37"/>
      <c r="BB2931" s="37"/>
      <c r="BC2931" s="37"/>
      <c r="BD2931" s="37"/>
      <c r="BE2931" s="37"/>
      <c r="BF2931" s="37"/>
      <c r="BG2931" s="37"/>
      <c r="BH2931" s="37"/>
      <c r="BI2931" s="37"/>
      <c r="BJ2931" s="37"/>
      <c r="BK2931" s="37"/>
      <c r="BL2931" s="37"/>
      <c r="BM2931" s="37"/>
      <c r="BN2931" s="37"/>
      <c r="BO2931" s="37"/>
      <c r="BP2931" s="37"/>
      <c r="BQ2931" s="37"/>
      <c r="BR2931" s="37"/>
      <c r="BS2931" s="37"/>
      <c r="BT2931" s="37"/>
      <c r="BU2931" s="37"/>
      <c r="BV2931" s="37"/>
      <c r="BW2931" s="37"/>
      <c r="BX2931" s="37"/>
      <c r="BY2931" s="37"/>
      <c r="BZ2931" s="37"/>
      <c r="CA2931" s="37"/>
      <c r="CB2931" s="37"/>
      <c r="CC2931" s="37"/>
      <c r="CD2931" s="37"/>
      <c r="CE2931" s="37"/>
      <c r="CF2931" s="37"/>
      <c r="CG2931" s="37"/>
      <c r="CH2931" s="37"/>
      <c r="CI2931" s="37"/>
      <c r="CJ2931" s="37"/>
      <c r="CK2931" s="37"/>
      <c r="CL2931" s="37"/>
      <c r="CM2931" s="37"/>
      <c r="CN2931" s="37"/>
      <c r="CO2931" s="37"/>
      <c r="CP2931" s="37"/>
      <c r="CQ2931" s="37"/>
      <c r="CR2931" s="37"/>
      <c r="CS2931" s="37"/>
      <c r="CT2931" s="37"/>
      <c r="CU2931" s="37"/>
      <c r="CV2931" s="37"/>
      <c r="CW2931" s="37"/>
      <c r="CX2931" s="37"/>
      <c r="CY2931" s="37"/>
      <c r="CZ2931" s="37"/>
      <c r="DA2931" s="37"/>
      <c r="DB2931" s="37"/>
      <c r="DC2931" s="37"/>
      <c r="DD2931" s="37"/>
      <c r="DE2931" s="37"/>
      <c r="DF2931" s="37"/>
      <c r="DG2931" s="37"/>
      <c r="DH2931" s="37"/>
      <c r="DI2931" s="37"/>
      <c r="DJ2931" s="37"/>
      <c r="DK2931" s="37"/>
      <c r="DL2931" s="37"/>
      <c r="DM2931" s="37"/>
      <c r="DN2931" s="37"/>
      <c r="DO2931" s="37"/>
      <c r="DP2931" s="37"/>
      <c r="DQ2931" s="37"/>
      <c r="DR2931" s="37"/>
      <c r="DS2931" s="37"/>
      <c r="DT2931" s="37"/>
      <c r="DU2931" s="37"/>
      <c r="DV2931" s="37"/>
      <c r="DW2931" s="37"/>
      <c r="DX2931" s="37"/>
      <c r="DY2931" s="37"/>
      <c r="DZ2931" s="37"/>
      <c r="EA2931" s="37"/>
      <c r="EB2931" s="37"/>
      <c r="EC2931" s="37"/>
      <c r="ED2931" s="37"/>
      <c r="EE2931" s="37"/>
      <c r="EF2931" s="37"/>
      <c r="EG2931" s="37"/>
      <c r="EH2931" s="37"/>
      <c r="EI2931" s="37"/>
      <c r="EJ2931" s="37"/>
      <c r="EK2931" s="37"/>
      <c r="EL2931" s="37"/>
      <c r="EM2931" s="37"/>
      <c r="EN2931" s="37"/>
      <c r="EO2931" s="37"/>
      <c r="EP2931" s="37"/>
      <c r="EQ2931" s="37"/>
      <c r="ER2931" s="37"/>
      <c r="ES2931" s="37"/>
      <c r="ET2931" s="37"/>
      <c r="EU2931" s="37"/>
      <c r="EV2931" s="37"/>
      <c r="EW2931" s="37"/>
      <c r="EX2931" s="37"/>
      <c r="EY2931" s="37"/>
      <c r="EZ2931" s="37"/>
      <c r="FA2931" s="37"/>
      <c r="FB2931" s="37"/>
      <c r="FC2931" s="37"/>
      <c r="FD2931" s="37"/>
      <c r="FE2931" s="37"/>
      <c r="FF2931" s="37"/>
      <c r="FG2931" s="37"/>
      <c r="FH2931" s="37"/>
      <c r="FI2931" s="37"/>
      <c r="FJ2931" s="37"/>
      <c r="FK2931" s="37"/>
      <c r="FL2931" s="37"/>
      <c r="FM2931" s="37"/>
      <c r="FN2931" s="37"/>
      <c r="FO2931" s="37"/>
      <c r="FP2931" s="37"/>
      <c r="FQ2931" s="37"/>
      <c r="FR2931" s="37"/>
      <c r="FS2931" s="37"/>
      <c r="FT2931" s="37"/>
      <c r="FU2931" s="37"/>
      <c r="FV2931" s="37"/>
      <c r="FW2931" s="37"/>
      <c r="FX2931" s="37"/>
      <c r="FY2931" s="37"/>
      <c r="FZ2931" s="37"/>
      <c r="GA2931" s="37"/>
      <c r="GB2931" s="37"/>
      <c r="GC2931" s="37"/>
      <c r="GD2931" s="37"/>
      <c r="GE2931" s="37"/>
      <c r="GF2931" s="37"/>
      <c r="GG2931" s="37"/>
      <c r="GH2931" s="37"/>
      <c r="GI2931" s="37"/>
      <c r="GJ2931" s="37"/>
      <c r="GK2931" s="37"/>
      <c r="GL2931" s="37"/>
      <c r="GM2931" s="37"/>
      <c r="GN2931" s="37"/>
      <c r="GO2931" s="37"/>
      <c r="GP2931" s="37"/>
      <c r="GQ2931" s="37"/>
      <c r="GR2931" s="37"/>
      <c r="GS2931" s="37"/>
      <c r="GT2931" s="37"/>
      <c r="GU2931" s="37"/>
      <c r="GV2931" s="37"/>
      <c r="GW2931" s="37"/>
      <c r="GX2931" s="37"/>
      <c r="GY2931" s="37"/>
      <c r="GZ2931" s="37"/>
      <c r="HA2931" s="37"/>
      <c r="HB2931" s="37"/>
      <c r="HC2931" s="37"/>
      <c r="HD2931" s="37"/>
      <c r="HE2931" s="37"/>
      <c r="HF2931" s="37"/>
      <c r="HG2931" s="37"/>
      <c r="HH2931" s="37"/>
      <c r="HI2931" s="37"/>
      <c r="HJ2931" s="37"/>
      <c r="HK2931" s="37"/>
      <c r="HL2931" s="37"/>
      <c r="HM2931" s="37"/>
      <c r="HN2931" s="37"/>
      <c r="HO2931" s="37"/>
      <c r="HP2931" s="37"/>
      <c r="HQ2931" s="37"/>
      <c r="HR2931" s="37"/>
      <c r="HS2931" s="37"/>
      <c r="HT2931" s="37"/>
      <c r="HU2931" s="37"/>
      <c r="HV2931" s="37"/>
      <c r="HW2931" s="37"/>
      <c r="HX2931" s="37"/>
      <c r="HY2931" s="37"/>
      <c r="HZ2931" s="37"/>
      <c r="IA2931" s="37"/>
      <c r="IB2931" s="37"/>
      <c r="IC2931" s="37"/>
      <c r="ID2931" s="37"/>
      <c r="IE2931" s="37"/>
      <c r="IF2931" s="37"/>
      <c r="IG2931" s="37"/>
      <c r="IH2931" s="37"/>
      <c r="II2931" s="37"/>
      <c r="IJ2931" s="37"/>
      <c r="IK2931" s="37"/>
      <c r="IL2931" s="37"/>
      <c r="IM2931" s="37"/>
      <c r="IN2931" s="37"/>
      <c r="IO2931" s="37"/>
      <c r="IP2931" s="37"/>
      <c r="IQ2931" s="37"/>
      <c r="IR2931" s="37"/>
      <c r="IS2931" s="37"/>
      <c r="IT2931" s="37"/>
      <c r="IU2931" s="37"/>
      <c r="IV2931" s="37"/>
      <c r="IW2931" s="37"/>
      <c r="IX2931" s="37"/>
      <c r="IY2931" s="37"/>
      <c r="IZ2931" s="37"/>
      <c r="JA2931" s="37"/>
      <c r="JB2931" s="37"/>
      <c r="JC2931" s="37"/>
      <c r="JD2931" s="37"/>
      <c r="JE2931" s="37"/>
      <c r="JF2931" s="37"/>
      <c r="JG2931" s="37"/>
      <c r="JH2931" s="37"/>
      <c r="JI2931" s="37"/>
      <c r="JJ2931" s="37"/>
      <c r="JK2931" s="37"/>
      <c r="JL2931" s="37"/>
      <c r="JM2931" s="37"/>
      <c r="JN2931" s="37"/>
      <c r="JO2931" s="37"/>
      <c r="JP2931" s="37"/>
      <c r="JQ2931" s="37"/>
      <c r="JR2931" s="37"/>
      <c r="JS2931" s="37"/>
      <c r="JT2931" s="37"/>
      <c r="JU2931" s="37"/>
      <c r="JV2931" s="37"/>
      <c r="JW2931" s="37"/>
      <c r="JX2931" s="37"/>
      <c r="JY2931" s="37"/>
      <c r="JZ2931" s="37"/>
      <c r="KA2931" s="37"/>
      <c r="KB2931" s="37"/>
      <c r="KC2931" s="37"/>
      <c r="KD2931" s="37"/>
      <c r="KE2931" s="37"/>
      <c r="KF2931" s="37"/>
      <c r="KG2931" s="37"/>
      <c r="KH2931" s="37"/>
      <c r="KI2931" s="37"/>
      <c r="KJ2931" s="37"/>
      <c r="KK2931" s="37"/>
      <c r="KL2931" s="37"/>
      <c r="KM2931" s="37"/>
      <c r="KN2931" s="37"/>
      <c r="KO2931" s="37"/>
      <c r="KP2931" s="37"/>
      <c r="KQ2931" s="37"/>
      <c r="KR2931" s="37"/>
      <c r="KS2931" s="37"/>
      <c r="KT2931" s="37"/>
      <c r="KU2931" s="37"/>
      <c r="KV2931" s="37"/>
      <c r="KW2931" s="37"/>
      <c r="KX2931" s="37"/>
      <c r="KY2931" s="37"/>
      <c r="KZ2931" s="37"/>
      <c r="LA2931" s="37"/>
      <c r="LB2931" s="37"/>
      <c r="LC2931" s="37"/>
      <c r="LD2931" s="37"/>
      <c r="LE2931" s="37"/>
      <c r="LF2931" s="37"/>
      <c r="LG2931" s="37"/>
      <c r="LH2931" s="37"/>
      <c r="LI2931" s="37"/>
      <c r="LJ2931" s="37"/>
      <c r="LK2931" s="37"/>
      <c r="LL2931" s="37"/>
      <c r="LM2931" s="37"/>
      <c r="LN2931" s="37"/>
      <c r="LO2931" s="37"/>
      <c r="LP2931" s="37"/>
      <c r="LQ2931" s="37"/>
      <c r="LR2931" s="37"/>
      <c r="LS2931" s="37"/>
      <c r="LT2931" s="37"/>
      <c r="LU2931" s="37"/>
      <c r="LV2931" s="37"/>
      <c r="LW2931" s="37"/>
      <c r="LX2931" s="37"/>
      <c r="LY2931" s="37"/>
      <c r="LZ2931" s="37"/>
      <c r="MA2931" s="37"/>
      <c r="MB2931" s="37"/>
      <c r="MC2931" s="37"/>
      <c r="MD2931" s="37"/>
      <c r="ME2931" s="37"/>
      <c r="MF2931" s="37"/>
      <c r="MG2931" s="37"/>
      <c r="MH2931" s="37"/>
      <c r="MI2931" s="37"/>
      <c r="MJ2931" s="37"/>
      <c r="MK2931" s="37"/>
      <c r="ML2931" s="37"/>
      <c r="MM2931" s="37"/>
      <c r="MN2931" s="37"/>
      <c r="MO2931" s="37"/>
      <c r="MP2931" s="37"/>
      <c r="MQ2931" s="37"/>
      <c r="MR2931" s="37"/>
      <c r="MS2931" s="37"/>
      <c r="MT2931" s="37"/>
      <c r="MU2931" s="37"/>
      <c r="MV2931" s="37"/>
      <c r="MW2931" s="37"/>
      <c r="MX2931" s="37"/>
      <c r="MY2931" s="37"/>
      <c r="MZ2931" s="37"/>
      <c r="NA2931" s="37"/>
      <c r="NB2931" s="37"/>
      <c r="NC2931" s="37"/>
      <c r="ND2931" s="37"/>
      <c r="NE2931" s="37"/>
      <c r="NF2931" s="37"/>
      <c r="NG2931" s="37"/>
      <c r="NH2931" s="37"/>
      <c r="NI2931" s="37"/>
      <c r="NJ2931" s="37"/>
      <c r="NK2931" s="37"/>
      <c r="NL2931" s="37"/>
      <c r="NM2931" s="37"/>
      <c r="NN2931" s="37"/>
      <c r="NO2931" s="37"/>
      <c r="NP2931" s="37"/>
      <c r="NQ2931" s="37"/>
      <c r="NR2931" s="37"/>
      <c r="NS2931" s="37"/>
      <c r="NT2931" s="37"/>
      <c r="NU2931" s="37"/>
      <c r="NV2931" s="37"/>
      <c r="NW2931" s="37"/>
      <c r="NX2931" s="37"/>
      <c r="NY2931" s="37"/>
      <c r="NZ2931" s="37"/>
      <c r="OA2931" s="37"/>
      <c r="OB2931" s="37"/>
      <c r="OC2931" s="37"/>
      <c r="OD2931" s="37"/>
      <c r="OE2931" s="37"/>
      <c r="OF2931" s="37"/>
      <c r="OG2931" s="37"/>
      <c r="OH2931" s="37"/>
      <c r="OI2931" s="37"/>
      <c r="OJ2931" s="37"/>
      <c r="OK2931" s="37"/>
      <c r="OL2931" s="37"/>
      <c r="OM2931" s="37"/>
      <c r="ON2931" s="37"/>
      <c r="OO2931" s="37"/>
      <c r="OP2931" s="37"/>
      <c r="OQ2931" s="37"/>
      <c r="OR2931" s="37"/>
      <c r="OS2931" s="37"/>
      <c r="OT2931" s="37"/>
      <c r="OU2931" s="37"/>
      <c r="OV2931" s="37"/>
      <c r="OW2931" s="37"/>
      <c r="OX2931" s="37"/>
      <c r="OY2931" s="37"/>
      <c r="OZ2931" s="37"/>
      <c r="PA2931" s="37"/>
      <c r="PB2931" s="37"/>
      <c r="PC2931" s="37"/>
      <c r="PD2931" s="37"/>
      <c r="PE2931" s="37"/>
      <c r="PF2931" s="37"/>
      <c r="PG2931" s="37"/>
      <c r="PH2931" s="37"/>
      <c r="PI2931" s="37"/>
      <c r="PJ2931" s="37"/>
      <c r="PK2931" s="37"/>
      <c r="PL2931" s="37"/>
      <c r="PM2931" s="37"/>
      <c r="PN2931" s="37"/>
      <c r="PO2931" s="37"/>
      <c r="PP2931" s="37"/>
      <c r="PQ2931" s="37"/>
      <c r="PR2931" s="37"/>
      <c r="PS2931" s="37"/>
      <c r="PT2931" s="37"/>
      <c r="PU2931" s="37"/>
      <c r="PV2931" s="37"/>
      <c r="PW2931" s="37"/>
      <c r="PX2931" s="37"/>
      <c r="PY2931" s="37"/>
      <c r="PZ2931" s="37"/>
      <c r="QA2931" s="37"/>
      <c r="QB2931" s="37"/>
      <c r="QC2931" s="37"/>
      <c r="QD2931" s="37"/>
      <c r="QE2931" s="37"/>
      <c r="QF2931" s="37"/>
      <c r="QG2931" s="37"/>
      <c r="QH2931" s="37"/>
      <c r="QI2931" s="37"/>
      <c r="QJ2931" s="37"/>
      <c r="QK2931" s="37"/>
      <c r="QL2931" s="37"/>
      <c r="QM2931" s="37"/>
      <c r="QN2931" s="37"/>
      <c r="QO2931" s="37"/>
      <c r="QP2931" s="37"/>
      <c r="QQ2931" s="37"/>
      <c r="QR2931" s="37"/>
      <c r="QS2931" s="37"/>
      <c r="QT2931" s="37"/>
      <c r="QU2931" s="37"/>
      <c r="QV2931" s="37"/>
      <c r="QW2931" s="37"/>
      <c r="QX2931" s="37"/>
      <c r="QY2931" s="37"/>
      <c r="QZ2931" s="37"/>
      <c r="RA2931" s="37"/>
      <c r="RB2931" s="37"/>
      <c r="RC2931" s="37"/>
      <c r="RD2931" s="37"/>
      <c r="RE2931" s="37"/>
      <c r="RF2931" s="37"/>
      <c r="RG2931" s="37"/>
      <c r="RH2931" s="37"/>
      <c r="RI2931" s="37"/>
      <c r="RJ2931" s="37"/>
      <c r="RK2931" s="37"/>
      <c r="RL2931" s="37"/>
      <c r="RM2931" s="37"/>
      <c r="RN2931" s="37"/>
      <c r="RO2931" s="37"/>
      <c r="RP2931" s="37"/>
      <c r="RQ2931" s="37"/>
      <c r="RR2931" s="37"/>
      <c r="RS2931" s="37"/>
      <c r="RT2931" s="37"/>
      <c r="RU2931" s="37"/>
      <c r="RV2931" s="37"/>
      <c r="RW2931" s="37"/>
      <c r="RX2931" s="37"/>
      <c r="RY2931" s="37"/>
      <c r="RZ2931" s="37"/>
      <c r="SA2931" s="37"/>
      <c r="SB2931" s="37"/>
      <c r="SC2931" s="37"/>
      <c r="SD2931" s="37"/>
      <c r="SE2931" s="37"/>
      <c r="SF2931" s="37"/>
    </row>
    <row r="2932" spans="1:500">
      <c r="A2932" s="37"/>
      <c r="B2932" s="37"/>
      <c r="C2932" s="37"/>
      <c r="D2932" s="37"/>
      <c r="E2932" s="37"/>
      <c r="F2932" s="37"/>
      <c r="G2932" s="37"/>
      <c r="H2932" s="37"/>
      <c r="I2932" s="37"/>
      <c r="J2932" s="37"/>
      <c r="K2932" s="37"/>
      <c r="L2932" s="37"/>
      <c r="M2932" s="37"/>
      <c r="N2932" s="37"/>
      <c r="O2932" s="37"/>
      <c r="P2932" s="37"/>
      <c r="Q2932" s="37"/>
      <c r="R2932" s="37"/>
      <c r="S2932" s="37"/>
      <c r="T2932" s="37"/>
      <c r="U2932" s="37"/>
      <c r="V2932" s="37"/>
      <c r="W2932" s="37"/>
      <c r="X2932" s="37"/>
      <c r="Y2932" s="37"/>
      <c r="Z2932" s="37"/>
      <c r="AA2932" s="37"/>
      <c r="AB2932" s="37"/>
      <c r="AC2932" s="37"/>
      <c r="AD2932" s="37"/>
      <c r="AE2932" s="37"/>
      <c r="AF2932" s="37"/>
      <c r="AG2932" s="37"/>
      <c r="AH2932" s="37"/>
      <c r="AI2932" s="37"/>
      <c r="AJ2932" s="37"/>
      <c r="AK2932" s="37"/>
      <c r="AL2932" s="37"/>
      <c r="AM2932" s="37"/>
      <c r="AN2932" s="37"/>
      <c r="AO2932" s="37"/>
      <c r="AP2932" s="37"/>
      <c r="AQ2932" s="37"/>
      <c r="AR2932" s="37"/>
      <c r="AS2932" s="37"/>
      <c r="AT2932" s="37"/>
      <c r="AU2932" s="37"/>
      <c r="AV2932" s="37"/>
      <c r="AW2932" s="37"/>
      <c r="AX2932" s="37"/>
      <c r="AY2932" s="37"/>
      <c r="AZ2932" s="37"/>
      <c r="BA2932" s="37"/>
      <c r="BB2932" s="37"/>
      <c r="BC2932" s="37"/>
      <c r="BD2932" s="37"/>
      <c r="BE2932" s="37"/>
      <c r="BF2932" s="37"/>
      <c r="BG2932" s="37"/>
      <c r="BH2932" s="37"/>
      <c r="BI2932" s="37"/>
      <c r="BJ2932" s="37"/>
      <c r="BK2932" s="37"/>
      <c r="BL2932" s="37"/>
      <c r="BM2932" s="37"/>
      <c r="BN2932" s="37"/>
      <c r="BO2932" s="37"/>
      <c r="BP2932" s="37"/>
      <c r="BQ2932" s="37"/>
      <c r="BR2932" s="37"/>
      <c r="BS2932" s="37"/>
      <c r="BT2932" s="37"/>
      <c r="BU2932" s="37"/>
      <c r="BV2932" s="37"/>
      <c r="BW2932" s="37"/>
      <c r="BX2932" s="37"/>
      <c r="BY2932" s="37"/>
      <c r="BZ2932" s="37"/>
      <c r="CA2932" s="37"/>
      <c r="CB2932" s="37"/>
      <c r="CC2932" s="37"/>
      <c r="CD2932" s="37"/>
      <c r="CE2932" s="37"/>
      <c r="CF2932" s="37"/>
      <c r="CG2932" s="37"/>
      <c r="CH2932" s="37"/>
      <c r="CI2932" s="37"/>
      <c r="CJ2932" s="37"/>
      <c r="CK2932" s="37"/>
      <c r="CL2932" s="37"/>
      <c r="CM2932" s="37"/>
      <c r="CN2932" s="37"/>
      <c r="CO2932" s="37"/>
      <c r="CP2932" s="37"/>
      <c r="CQ2932" s="37"/>
      <c r="CR2932" s="37"/>
      <c r="CS2932" s="37"/>
      <c r="CT2932" s="37"/>
      <c r="CU2932" s="37"/>
      <c r="CV2932" s="37"/>
      <c r="CW2932" s="37"/>
      <c r="CX2932" s="37"/>
      <c r="CY2932" s="37"/>
      <c r="CZ2932" s="37"/>
      <c r="DA2932" s="37"/>
      <c r="DB2932" s="37"/>
      <c r="DC2932" s="37"/>
      <c r="DD2932" s="37"/>
      <c r="DE2932" s="37"/>
      <c r="DF2932" s="37"/>
      <c r="DG2932" s="37"/>
      <c r="DH2932" s="37"/>
      <c r="DI2932" s="37"/>
      <c r="DJ2932" s="37"/>
      <c r="DK2932" s="37"/>
      <c r="DL2932" s="37"/>
      <c r="DM2932" s="37"/>
      <c r="DN2932" s="37"/>
      <c r="DO2932" s="37"/>
      <c r="DP2932" s="37"/>
      <c r="DQ2932" s="37"/>
      <c r="DR2932" s="37"/>
      <c r="DS2932" s="37"/>
      <c r="DT2932" s="37"/>
      <c r="DU2932" s="37"/>
      <c r="DV2932" s="37"/>
      <c r="DW2932" s="37"/>
      <c r="DX2932" s="37"/>
      <c r="DY2932" s="37"/>
      <c r="DZ2932" s="37"/>
      <c r="EA2932" s="37"/>
      <c r="EB2932" s="37"/>
      <c r="EC2932" s="37"/>
      <c r="ED2932" s="37"/>
      <c r="EE2932" s="37"/>
      <c r="EF2932" s="37"/>
      <c r="EG2932" s="37"/>
      <c r="EH2932" s="37"/>
      <c r="EI2932" s="37"/>
      <c r="EJ2932" s="37"/>
      <c r="EK2932" s="37"/>
      <c r="EL2932" s="37"/>
      <c r="EM2932" s="37"/>
      <c r="EN2932" s="37"/>
      <c r="EO2932" s="37"/>
      <c r="EP2932" s="37"/>
      <c r="EQ2932" s="37"/>
      <c r="ER2932" s="37"/>
      <c r="ES2932" s="37"/>
      <c r="ET2932" s="37"/>
      <c r="EU2932" s="37"/>
      <c r="EV2932" s="37"/>
      <c r="EW2932" s="37"/>
      <c r="EX2932" s="37"/>
      <c r="EY2932" s="37"/>
      <c r="EZ2932" s="37"/>
      <c r="FA2932" s="37"/>
      <c r="FB2932" s="37"/>
      <c r="FC2932" s="37"/>
      <c r="FD2932" s="37"/>
      <c r="FE2932" s="37"/>
      <c r="FF2932" s="37"/>
      <c r="FG2932" s="37"/>
      <c r="FH2932" s="37"/>
      <c r="FI2932" s="37"/>
      <c r="FJ2932" s="37"/>
      <c r="FK2932" s="37"/>
      <c r="FL2932" s="37"/>
      <c r="FM2932" s="37"/>
      <c r="FN2932" s="37"/>
      <c r="FO2932" s="37"/>
      <c r="FP2932" s="37"/>
      <c r="FQ2932" s="37"/>
      <c r="FR2932" s="37"/>
      <c r="FS2932" s="37"/>
      <c r="FT2932" s="37"/>
      <c r="FU2932" s="37"/>
      <c r="FV2932" s="37"/>
      <c r="FW2932" s="37"/>
      <c r="FX2932" s="37"/>
      <c r="FY2932" s="37"/>
      <c r="FZ2932" s="37"/>
      <c r="GA2932" s="37"/>
      <c r="GB2932" s="37"/>
      <c r="GC2932" s="37"/>
      <c r="GD2932" s="37"/>
      <c r="GE2932" s="37"/>
      <c r="GF2932" s="37"/>
      <c r="GG2932" s="37"/>
      <c r="GH2932" s="37"/>
      <c r="GI2932" s="37"/>
      <c r="GJ2932" s="37"/>
      <c r="GK2932" s="37"/>
      <c r="GL2932" s="37"/>
      <c r="GM2932" s="37"/>
      <c r="GN2932" s="37"/>
      <c r="GO2932" s="37"/>
      <c r="GP2932" s="37"/>
      <c r="GQ2932" s="37"/>
      <c r="GR2932" s="37"/>
      <c r="GS2932" s="37"/>
      <c r="GT2932" s="37"/>
      <c r="GU2932" s="37"/>
      <c r="GV2932" s="37"/>
      <c r="GW2932" s="37"/>
      <c r="GX2932" s="37"/>
      <c r="GY2932" s="37"/>
      <c r="GZ2932" s="37"/>
      <c r="HA2932" s="37"/>
      <c r="HB2932" s="37"/>
      <c r="HC2932" s="37"/>
      <c r="HD2932" s="37"/>
      <c r="HE2932" s="37"/>
      <c r="HF2932" s="37"/>
      <c r="HG2932" s="37"/>
      <c r="HH2932" s="37"/>
      <c r="HI2932" s="37"/>
      <c r="HJ2932" s="37"/>
      <c r="HK2932" s="37"/>
      <c r="HL2932" s="37"/>
      <c r="HM2932" s="37"/>
      <c r="HN2932" s="37"/>
      <c r="HO2932" s="37"/>
      <c r="HP2932" s="37"/>
      <c r="HQ2932" s="37"/>
      <c r="HR2932" s="37"/>
      <c r="HS2932" s="37"/>
      <c r="HT2932" s="37"/>
      <c r="HU2932" s="37"/>
      <c r="HV2932" s="37"/>
      <c r="HW2932" s="37"/>
      <c r="HX2932" s="37"/>
      <c r="HY2932" s="37"/>
      <c r="HZ2932" s="37"/>
      <c r="IA2932" s="37"/>
      <c r="IB2932" s="37"/>
      <c r="IC2932" s="37"/>
      <c r="ID2932" s="37"/>
      <c r="IE2932" s="37"/>
      <c r="IF2932" s="37"/>
      <c r="IG2932" s="37"/>
      <c r="IH2932" s="37"/>
      <c r="II2932" s="37"/>
      <c r="IJ2932" s="37"/>
      <c r="IK2932" s="37"/>
      <c r="IL2932" s="37"/>
      <c r="IM2932" s="37"/>
      <c r="IN2932" s="37"/>
      <c r="IO2932" s="37"/>
      <c r="IP2932" s="37"/>
      <c r="IQ2932" s="37"/>
      <c r="IR2932" s="37"/>
      <c r="IS2932" s="37"/>
      <c r="IT2932" s="37"/>
      <c r="IU2932" s="37"/>
      <c r="IV2932" s="37"/>
      <c r="IW2932" s="37"/>
      <c r="IX2932" s="37"/>
      <c r="IY2932" s="37"/>
      <c r="IZ2932" s="37"/>
      <c r="JA2932" s="37"/>
      <c r="JB2932" s="37"/>
      <c r="JC2932" s="37"/>
      <c r="JD2932" s="37"/>
      <c r="JE2932" s="37"/>
      <c r="JF2932" s="37"/>
      <c r="JG2932" s="37"/>
      <c r="JH2932" s="37"/>
      <c r="JI2932" s="37"/>
      <c r="JJ2932" s="37"/>
      <c r="JK2932" s="37"/>
      <c r="JL2932" s="37"/>
      <c r="JM2932" s="37"/>
      <c r="JN2932" s="37"/>
      <c r="JO2932" s="37"/>
      <c r="JP2932" s="37"/>
      <c r="JQ2932" s="37"/>
      <c r="JR2932" s="37"/>
      <c r="JS2932" s="37"/>
      <c r="JT2932" s="37"/>
      <c r="JU2932" s="37"/>
      <c r="JV2932" s="37"/>
      <c r="JW2932" s="37"/>
      <c r="JX2932" s="37"/>
      <c r="JY2932" s="37"/>
      <c r="JZ2932" s="37"/>
      <c r="KA2932" s="37"/>
      <c r="KB2932" s="37"/>
      <c r="KC2932" s="37"/>
      <c r="KD2932" s="37"/>
      <c r="KE2932" s="37"/>
      <c r="KF2932" s="37"/>
      <c r="KG2932" s="37"/>
      <c r="KH2932" s="37"/>
      <c r="KI2932" s="37"/>
      <c r="KJ2932" s="37"/>
      <c r="KK2932" s="37"/>
      <c r="KL2932" s="37"/>
      <c r="KM2932" s="37"/>
      <c r="KN2932" s="37"/>
      <c r="KO2932" s="37"/>
      <c r="KP2932" s="37"/>
      <c r="KQ2932" s="37"/>
      <c r="KR2932" s="37"/>
      <c r="KS2932" s="37"/>
      <c r="KT2932" s="37"/>
      <c r="KU2932" s="37"/>
      <c r="KV2932" s="37"/>
      <c r="KW2932" s="37"/>
      <c r="KX2932" s="37"/>
      <c r="KY2932" s="37"/>
      <c r="KZ2932" s="37"/>
      <c r="LA2932" s="37"/>
      <c r="LB2932" s="37"/>
      <c r="LC2932" s="37"/>
      <c r="LD2932" s="37"/>
      <c r="LE2932" s="37"/>
      <c r="LF2932" s="37"/>
      <c r="LG2932" s="37"/>
      <c r="LH2932" s="37"/>
      <c r="LI2932" s="37"/>
      <c r="LJ2932" s="37"/>
      <c r="LK2932" s="37"/>
      <c r="LL2932" s="37"/>
      <c r="LM2932" s="37"/>
      <c r="LN2932" s="37"/>
      <c r="LO2932" s="37"/>
      <c r="LP2932" s="37"/>
      <c r="LQ2932" s="37"/>
      <c r="LR2932" s="37"/>
      <c r="LS2932" s="37"/>
      <c r="LT2932" s="37"/>
      <c r="LU2932" s="37"/>
      <c r="LV2932" s="37"/>
      <c r="LW2932" s="37"/>
      <c r="LX2932" s="37"/>
      <c r="LY2932" s="37"/>
      <c r="LZ2932" s="37"/>
      <c r="MA2932" s="37"/>
      <c r="MB2932" s="37"/>
      <c r="MC2932" s="37"/>
      <c r="MD2932" s="37"/>
      <c r="ME2932" s="37"/>
      <c r="MF2932" s="37"/>
      <c r="MG2932" s="37"/>
      <c r="MH2932" s="37"/>
      <c r="MI2932" s="37"/>
      <c r="MJ2932" s="37"/>
      <c r="MK2932" s="37"/>
      <c r="ML2932" s="37"/>
      <c r="MM2932" s="37"/>
      <c r="MN2932" s="37"/>
      <c r="MO2932" s="37"/>
      <c r="MP2932" s="37"/>
      <c r="MQ2932" s="37"/>
      <c r="MR2932" s="37"/>
      <c r="MS2932" s="37"/>
      <c r="MT2932" s="37"/>
      <c r="MU2932" s="37"/>
      <c r="MV2932" s="37"/>
      <c r="MW2932" s="37"/>
      <c r="MX2932" s="37"/>
      <c r="MY2932" s="37"/>
      <c r="MZ2932" s="37"/>
      <c r="NA2932" s="37"/>
      <c r="NB2932" s="37"/>
      <c r="NC2932" s="37"/>
      <c r="ND2932" s="37"/>
      <c r="NE2932" s="37"/>
      <c r="NF2932" s="37"/>
      <c r="NG2932" s="37"/>
      <c r="NH2932" s="37"/>
      <c r="NI2932" s="37"/>
      <c r="NJ2932" s="37"/>
      <c r="NK2932" s="37"/>
      <c r="NL2932" s="37"/>
      <c r="NM2932" s="37"/>
      <c r="NN2932" s="37"/>
      <c r="NO2932" s="37"/>
      <c r="NP2932" s="37"/>
      <c r="NQ2932" s="37"/>
      <c r="NR2932" s="37"/>
      <c r="NS2932" s="37"/>
      <c r="NT2932" s="37"/>
      <c r="NU2932" s="37"/>
      <c r="NV2932" s="37"/>
      <c r="NW2932" s="37"/>
      <c r="NX2932" s="37"/>
      <c r="NY2932" s="37"/>
      <c r="NZ2932" s="37"/>
      <c r="OA2932" s="37"/>
      <c r="OB2932" s="37"/>
      <c r="OC2932" s="37"/>
      <c r="OD2932" s="37"/>
      <c r="OE2932" s="37"/>
      <c r="OF2932" s="37"/>
      <c r="OG2932" s="37"/>
      <c r="OH2932" s="37"/>
      <c r="OI2932" s="37"/>
      <c r="OJ2932" s="37"/>
      <c r="OK2932" s="37"/>
      <c r="OL2932" s="37"/>
      <c r="OM2932" s="37"/>
      <c r="ON2932" s="37"/>
      <c r="OO2932" s="37"/>
      <c r="OP2932" s="37"/>
      <c r="OQ2932" s="37"/>
      <c r="OR2932" s="37"/>
      <c r="OS2932" s="37"/>
      <c r="OT2932" s="37"/>
      <c r="OU2932" s="37"/>
      <c r="OV2932" s="37"/>
      <c r="OW2932" s="37"/>
      <c r="OX2932" s="37"/>
      <c r="OY2932" s="37"/>
      <c r="OZ2932" s="37"/>
      <c r="PA2932" s="37"/>
      <c r="PB2932" s="37"/>
      <c r="PC2932" s="37"/>
      <c r="PD2932" s="37"/>
      <c r="PE2932" s="37"/>
      <c r="PF2932" s="37"/>
      <c r="PG2932" s="37"/>
      <c r="PH2932" s="37"/>
      <c r="PI2932" s="37"/>
      <c r="PJ2932" s="37"/>
      <c r="PK2932" s="37"/>
      <c r="PL2932" s="37"/>
      <c r="PM2932" s="37"/>
      <c r="PN2932" s="37"/>
      <c r="PO2932" s="37"/>
      <c r="PP2932" s="37"/>
      <c r="PQ2932" s="37"/>
      <c r="PR2932" s="37"/>
      <c r="PS2932" s="37"/>
      <c r="PT2932" s="37"/>
      <c r="PU2932" s="37"/>
      <c r="PV2932" s="37"/>
      <c r="PW2932" s="37"/>
      <c r="PX2932" s="37"/>
      <c r="PY2932" s="37"/>
      <c r="PZ2932" s="37"/>
      <c r="QA2932" s="37"/>
      <c r="QB2932" s="37"/>
      <c r="QC2932" s="37"/>
      <c r="QD2932" s="37"/>
      <c r="QE2932" s="37"/>
      <c r="QF2932" s="37"/>
      <c r="QG2932" s="37"/>
      <c r="QH2932" s="37"/>
      <c r="QI2932" s="37"/>
      <c r="QJ2932" s="37"/>
      <c r="QK2932" s="37"/>
      <c r="QL2932" s="37"/>
      <c r="QM2932" s="37"/>
      <c r="QN2932" s="37"/>
      <c r="QO2932" s="37"/>
      <c r="QP2932" s="37"/>
      <c r="QQ2932" s="37"/>
      <c r="QR2932" s="37"/>
      <c r="QS2932" s="37"/>
      <c r="QT2932" s="37"/>
      <c r="QU2932" s="37"/>
      <c r="QV2932" s="37"/>
      <c r="QW2932" s="37"/>
      <c r="QX2932" s="37"/>
      <c r="QY2932" s="37"/>
      <c r="QZ2932" s="37"/>
      <c r="RA2932" s="37"/>
      <c r="RB2932" s="37"/>
      <c r="RC2932" s="37"/>
      <c r="RD2932" s="37"/>
      <c r="RE2932" s="37"/>
      <c r="RF2932" s="37"/>
      <c r="RG2932" s="37"/>
      <c r="RH2932" s="37"/>
      <c r="RI2932" s="37"/>
      <c r="RJ2932" s="37"/>
      <c r="RK2932" s="37"/>
      <c r="RL2932" s="37"/>
      <c r="RM2932" s="37"/>
      <c r="RN2932" s="37"/>
      <c r="RO2932" s="37"/>
      <c r="RP2932" s="37"/>
      <c r="RQ2932" s="37"/>
      <c r="RR2932" s="37"/>
      <c r="RS2932" s="37"/>
      <c r="RT2932" s="37"/>
      <c r="RU2932" s="37"/>
      <c r="RV2932" s="37"/>
      <c r="RW2932" s="37"/>
      <c r="RX2932" s="37"/>
      <c r="RY2932" s="37"/>
      <c r="RZ2932" s="37"/>
      <c r="SA2932" s="37"/>
      <c r="SB2932" s="37"/>
      <c r="SC2932" s="37"/>
      <c r="SD2932" s="37"/>
      <c r="SE2932" s="37"/>
      <c r="SF2932" s="37"/>
    </row>
    <row r="2933" spans="1:500">
      <c r="A2933" s="37"/>
      <c r="B2933" s="37"/>
      <c r="C2933" s="37"/>
      <c r="D2933" s="37"/>
      <c r="E2933" s="37"/>
      <c r="F2933" s="37"/>
      <c r="G2933" s="37"/>
      <c r="H2933" s="37"/>
      <c r="I2933" s="37"/>
      <c r="J2933" s="37"/>
      <c r="K2933" s="37"/>
      <c r="L2933" s="37"/>
      <c r="M2933" s="37"/>
      <c r="N2933" s="37"/>
      <c r="O2933" s="37"/>
      <c r="P2933" s="37"/>
      <c r="Q2933" s="37"/>
      <c r="R2933" s="37"/>
      <c r="S2933" s="37"/>
      <c r="T2933" s="37"/>
      <c r="U2933" s="37"/>
      <c r="V2933" s="37"/>
      <c r="W2933" s="37"/>
      <c r="X2933" s="37"/>
      <c r="Y2933" s="37"/>
      <c r="Z2933" s="37"/>
      <c r="AA2933" s="37"/>
      <c r="AB2933" s="37"/>
      <c r="AC2933" s="37"/>
      <c r="AD2933" s="37"/>
      <c r="AE2933" s="37"/>
      <c r="AF2933" s="37"/>
      <c r="AG2933" s="37"/>
      <c r="AH2933" s="37"/>
      <c r="AI2933" s="37"/>
      <c r="AJ2933" s="37"/>
      <c r="AK2933" s="37"/>
      <c r="AL2933" s="37"/>
      <c r="AM2933" s="37"/>
      <c r="AN2933" s="37"/>
      <c r="AO2933" s="37"/>
      <c r="AP2933" s="37"/>
      <c r="AQ2933" s="37"/>
      <c r="AR2933" s="37"/>
      <c r="AS2933" s="37"/>
      <c r="AT2933" s="37"/>
      <c r="AU2933" s="37"/>
      <c r="AV2933" s="37"/>
      <c r="AW2933" s="37"/>
      <c r="AX2933" s="37"/>
      <c r="AY2933" s="37"/>
      <c r="AZ2933" s="37"/>
      <c r="BA2933" s="37"/>
      <c r="BB2933" s="37"/>
      <c r="BC2933" s="37"/>
      <c r="BD2933" s="37"/>
      <c r="BE2933" s="37"/>
      <c r="BF2933" s="37"/>
      <c r="BG2933" s="37"/>
      <c r="BH2933" s="37"/>
      <c r="BI2933" s="37"/>
      <c r="BJ2933" s="37"/>
      <c r="BK2933" s="37"/>
      <c r="BL2933" s="37"/>
      <c r="BM2933" s="37"/>
      <c r="BN2933" s="37"/>
      <c r="BO2933" s="37"/>
      <c r="BP2933" s="37"/>
      <c r="BQ2933" s="37"/>
      <c r="BR2933" s="37"/>
      <c r="BS2933" s="37"/>
      <c r="BT2933" s="37"/>
      <c r="BU2933" s="37"/>
      <c r="BV2933" s="37"/>
      <c r="BW2933" s="37"/>
      <c r="BX2933" s="37"/>
      <c r="BY2933" s="37"/>
      <c r="BZ2933" s="37"/>
      <c r="CA2933" s="37"/>
      <c r="CB2933" s="37"/>
      <c r="CC2933" s="37"/>
      <c r="CD2933" s="37"/>
      <c r="CE2933" s="37"/>
      <c r="CF2933" s="37"/>
      <c r="CG2933" s="37"/>
      <c r="CH2933" s="37"/>
      <c r="CI2933" s="37"/>
      <c r="CJ2933" s="37"/>
      <c r="CK2933" s="37"/>
      <c r="CL2933" s="37"/>
      <c r="CM2933" s="37"/>
      <c r="CN2933" s="37"/>
      <c r="CO2933" s="37"/>
      <c r="CP2933" s="37"/>
      <c r="CQ2933" s="37"/>
      <c r="CR2933" s="37"/>
      <c r="CS2933" s="37"/>
      <c r="CT2933" s="37"/>
      <c r="CU2933" s="37"/>
      <c r="CV2933" s="37"/>
      <c r="CW2933" s="37"/>
      <c r="CX2933" s="37"/>
      <c r="CY2933" s="37"/>
      <c r="CZ2933" s="37"/>
      <c r="DA2933" s="37"/>
      <c r="DB2933" s="37"/>
      <c r="DC2933" s="37"/>
      <c r="DD2933" s="37"/>
      <c r="DE2933" s="37"/>
      <c r="DF2933" s="37"/>
      <c r="DG2933" s="37"/>
      <c r="DH2933" s="37"/>
      <c r="DI2933" s="37"/>
      <c r="DJ2933" s="37"/>
      <c r="DK2933" s="37"/>
      <c r="DL2933" s="37"/>
      <c r="DM2933" s="37"/>
      <c r="DN2933" s="37"/>
      <c r="DO2933" s="37"/>
      <c r="DP2933" s="37"/>
      <c r="DQ2933" s="37"/>
      <c r="DR2933" s="37"/>
      <c r="DS2933" s="37"/>
      <c r="DT2933" s="37"/>
      <c r="DU2933" s="37"/>
      <c r="DV2933" s="37"/>
      <c r="DW2933" s="37"/>
      <c r="DX2933" s="37"/>
      <c r="DY2933" s="37"/>
      <c r="DZ2933" s="37"/>
      <c r="EA2933" s="37"/>
      <c r="EB2933" s="37"/>
      <c r="EC2933" s="37"/>
      <c r="ED2933" s="37"/>
      <c r="EE2933" s="37"/>
      <c r="EF2933" s="37"/>
      <c r="EG2933" s="37"/>
      <c r="EH2933" s="37"/>
      <c r="EI2933" s="37"/>
      <c r="EJ2933" s="37"/>
      <c r="EK2933" s="37"/>
      <c r="EL2933" s="37"/>
      <c r="EM2933" s="37"/>
      <c r="EN2933" s="37"/>
      <c r="EO2933" s="37"/>
      <c r="EP2933" s="37"/>
      <c r="EQ2933" s="37"/>
      <c r="ER2933" s="37"/>
      <c r="ES2933" s="37"/>
      <c r="ET2933" s="37"/>
      <c r="EU2933" s="37"/>
      <c r="EV2933" s="37"/>
      <c r="EW2933" s="37"/>
      <c r="EX2933" s="37"/>
      <c r="EY2933" s="37"/>
      <c r="EZ2933" s="37"/>
      <c r="FA2933" s="37"/>
      <c r="FB2933" s="37"/>
      <c r="FC2933" s="37"/>
      <c r="FD2933" s="37"/>
      <c r="FE2933" s="37"/>
      <c r="FF2933" s="37"/>
      <c r="FG2933" s="37"/>
      <c r="FH2933" s="37"/>
      <c r="FI2933" s="37"/>
      <c r="FJ2933" s="37"/>
      <c r="FK2933" s="37"/>
      <c r="FL2933" s="37"/>
      <c r="FM2933" s="37"/>
      <c r="FN2933" s="37"/>
      <c r="FO2933" s="37"/>
      <c r="FP2933" s="37"/>
      <c r="FQ2933" s="37"/>
      <c r="FR2933" s="37"/>
      <c r="FS2933" s="37"/>
      <c r="FT2933" s="37"/>
      <c r="FU2933" s="37"/>
      <c r="FV2933" s="37"/>
      <c r="FW2933" s="37"/>
      <c r="FX2933" s="37"/>
      <c r="FY2933" s="37"/>
      <c r="FZ2933" s="37"/>
      <c r="GA2933" s="37"/>
      <c r="GB2933" s="37"/>
      <c r="GC2933" s="37"/>
      <c r="GD2933" s="37"/>
      <c r="GE2933" s="37"/>
      <c r="GF2933" s="37"/>
      <c r="GG2933" s="37"/>
      <c r="GH2933" s="37"/>
      <c r="GI2933" s="37"/>
      <c r="GJ2933" s="37"/>
      <c r="GK2933" s="37"/>
      <c r="GL2933" s="37"/>
      <c r="GM2933" s="37"/>
      <c r="GN2933" s="37"/>
      <c r="GO2933" s="37"/>
      <c r="GP2933" s="37"/>
      <c r="GQ2933" s="37"/>
      <c r="GR2933" s="37"/>
      <c r="GS2933" s="37"/>
      <c r="GT2933" s="37"/>
      <c r="GU2933" s="37"/>
      <c r="GV2933" s="37"/>
      <c r="GW2933" s="37"/>
      <c r="GX2933" s="37"/>
      <c r="GY2933" s="37"/>
      <c r="GZ2933" s="37"/>
      <c r="HA2933" s="37"/>
      <c r="HB2933" s="37"/>
      <c r="HC2933" s="37"/>
      <c r="HD2933" s="37"/>
      <c r="HE2933" s="37"/>
      <c r="HF2933" s="37"/>
      <c r="HG2933" s="37"/>
      <c r="HH2933" s="37"/>
      <c r="HI2933" s="37"/>
      <c r="HJ2933" s="37"/>
      <c r="HK2933" s="37"/>
      <c r="HL2933" s="37"/>
      <c r="HM2933" s="37"/>
      <c r="HN2933" s="37"/>
      <c r="HO2933" s="37"/>
      <c r="HP2933" s="37"/>
      <c r="HQ2933" s="37"/>
      <c r="HR2933" s="37"/>
      <c r="HS2933" s="37"/>
      <c r="HT2933" s="37"/>
      <c r="HU2933" s="37"/>
      <c r="HV2933" s="37"/>
      <c r="HW2933" s="37"/>
      <c r="HX2933" s="37"/>
      <c r="HY2933" s="37"/>
      <c r="HZ2933" s="37"/>
      <c r="IA2933" s="37"/>
      <c r="IB2933" s="37"/>
      <c r="IC2933" s="37"/>
      <c r="ID2933" s="37"/>
      <c r="IE2933" s="37"/>
      <c r="IF2933" s="37"/>
      <c r="IG2933" s="37"/>
      <c r="IH2933" s="37"/>
      <c r="II2933" s="37"/>
      <c r="IJ2933" s="37"/>
      <c r="IK2933" s="37"/>
      <c r="IL2933" s="37"/>
      <c r="IM2933" s="37"/>
      <c r="IN2933" s="37"/>
      <c r="IO2933" s="37"/>
      <c r="IP2933" s="37"/>
      <c r="IQ2933" s="37"/>
      <c r="IR2933" s="37"/>
      <c r="IS2933" s="37"/>
      <c r="IT2933" s="37"/>
      <c r="IU2933" s="37"/>
      <c r="IV2933" s="37"/>
      <c r="IW2933" s="37"/>
      <c r="IX2933" s="37"/>
      <c r="IY2933" s="37"/>
      <c r="IZ2933" s="37"/>
      <c r="JA2933" s="37"/>
      <c r="JB2933" s="37"/>
      <c r="JC2933" s="37"/>
      <c r="JD2933" s="37"/>
      <c r="JE2933" s="37"/>
      <c r="JF2933" s="37"/>
      <c r="JG2933" s="37"/>
      <c r="JH2933" s="37"/>
      <c r="JI2933" s="37"/>
      <c r="JJ2933" s="37"/>
      <c r="JK2933" s="37"/>
      <c r="JL2933" s="37"/>
      <c r="JM2933" s="37"/>
      <c r="JN2933" s="37"/>
      <c r="JO2933" s="37"/>
      <c r="JP2933" s="37"/>
      <c r="JQ2933" s="37"/>
      <c r="JR2933" s="37"/>
      <c r="JS2933" s="37"/>
      <c r="JT2933" s="37"/>
      <c r="JU2933" s="37"/>
      <c r="JV2933" s="37"/>
      <c r="JW2933" s="37"/>
      <c r="JX2933" s="37"/>
      <c r="JY2933" s="37"/>
      <c r="JZ2933" s="37"/>
      <c r="KA2933" s="37"/>
      <c r="KB2933" s="37"/>
      <c r="KC2933" s="37"/>
      <c r="KD2933" s="37"/>
      <c r="KE2933" s="37"/>
      <c r="KF2933" s="37"/>
      <c r="KG2933" s="37"/>
      <c r="KH2933" s="37"/>
      <c r="KI2933" s="37"/>
      <c r="KJ2933" s="37"/>
      <c r="KK2933" s="37"/>
      <c r="KL2933" s="37"/>
      <c r="KM2933" s="37"/>
      <c r="KN2933" s="37"/>
      <c r="KO2933" s="37"/>
      <c r="KP2933" s="37"/>
      <c r="KQ2933" s="37"/>
      <c r="KR2933" s="37"/>
      <c r="KS2933" s="37"/>
      <c r="KT2933" s="37"/>
      <c r="KU2933" s="37"/>
      <c r="KV2933" s="37"/>
      <c r="KW2933" s="37"/>
      <c r="KX2933" s="37"/>
      <c r="KY2933" s="37"/>
      <c r="KZ2933" s="37"/>
      <c r="LA2933" s="37"/>
      <c r="LB2933" s="37"/>
      <c r="LC2933" s="37"/>
      <c r="LD2933" s="37"/>
      <c r="LE2933" s="37"/>
      <c r="LF2933" s="37"/>
      <c r="LG2933" s="37"/>
      <c r="LH2933" s="37"/>
      <c r="LI2933" s="37"/>
      <c r="LJ2933" s="37"/>
      <c r="LK2933" s="37"/>
      <c r="LL2933" s="37"/>
      <c r="LM2933" s="37"/>
      <c r="LN2933" s="37"/>
      <c r="LO2933" s="37"/>
      <c r="LP2933" s="37"/>
      <c r="LQ2933" s="37"/>
      <c r="LR2933" s="37"/>
      <c r="LS2933" s="37"/>
      <c r="LT2933" s="37"/>
      <c r="LU2933" s="37"/>
      <c r="LV2933" s="37"/>
      <c r="LW2933" s="37"/>
      <c r="LX2933" s="37"/>
      <c r="LY2933" s="37"/>
      <c r="LZ2933" s="37"/>
      <c r="MA2933" s="37"/>
      <c r="MB2933" s="37"/>
      <c r="MC2933" s="37"/>
      <c r="MD2933" s="37"/>
      <c r="ME2933" s="37"/>
      <c r="MF2933" s="37"/>
      <c r="MG2933" s="37"/>
      <c r="MH2933" s="37"/>
      <c r="MI2933" s="37"/>
      <c r="MJ2933" s="37"/>
      <c r="MK2933" s="37"/>
      <c r="ML2933" s="37"/>
      <c r="MM2933" s="37"/>
      <c r="MN2933" s="37"/>
      <c r="MO2933" s="37"/>
      <c r="MP2933" s="37"/>
      <c r="MQ2933" s="37"/>
      <c r="MR2933" s="37"/>
      <c r="MS2933" s="37"/>
      <c r="MT2933" s="37"/>
      <c r="MU2933" s="37"/>
      <c r="MV2933" s="37"/>
      <c r="MW2933" s="37"/>
      <c r="MX2933" s="37"/>
      <c r="MY2933" s="37"/>
      <c r="MZ2933" s="37"/>
      <c r="NA2933" s="37"/>
      <c r="NB2933" s="37"/>
      <c r="NC2933" s="37"/>
      <c r="ND2933" s="37"/>
      <c r="NE2933" s="37"/>
      <c r="NF2933" s="37"/>
      <c r="NG2933" s="37"/>
      <c r="NH2933" s="37"/>
      <c r="NI2933" s="37"/>
      <c r="NJ2933" s="37"/>
      <c r="NK2933" s="37"/>
      <c r="NL2933" s="37"/>
      <c r="NM2933" s="37"/>
      <c r="NN2933" s="37"/>
      <c r="NO2933" s="37"/>
      <c r="NP2933" s="37"/>
      <c r="NQ2933" s="37"/>
      <c r="NR2933" s="37"/>
      <c r="NS2933" s="37"/>
      <c r="NT2933" s="37"/>
      <c r="NU2933" s="37"/>
      <c r="NV2933" s="37"/>
      <c r="NW2933" s="37"/>
      <c r="NX2933" s="37"/>
      <c r="NY2933" s="37"/>
      <c r="NZ2933" s="37"/>
      <c r="OA2933" s="37"/>
      <c r="OB2933" s="37"/>
      <c r="OC2933" s="37"/>
      <c r="OD2933" s="37"/>
      <c r="OE2933" s="37"/>
      <c r="OF2933" s="37"/>
      <c r="OG2933" s="37"/>
      <c r="OH2933" s="37"/>
      <c r="OI2933" s="37"/>
      <c r="OJ2933" s="37"/>
      <c r="OK2933" s="37"/>
      <c r="OL2933" s="37"/>
      <c r="OM2933" s="37"/>
      <c r="ON2933" s="37"/>
      <c r="OO2933" s="37"/>
      <c r="OP2933" s="37"/>
      <c r="OQ2933" s="37"/>
      <c r="OR2933" s="37"/>
      <c r="OS2933" s="37"/>
      <c r="OT2933" s="37"/>
      <c r="OU2933" s="37"/>
      <c r="OV2933" s="37"/>
      <c r="OW2933" s="37"/>
      <c r="OX2933" s="37"/>
      <c r="OY2933" s="37"/>
      <c r="OZ2933" s="37"/>
      <c r="PA2933" s="37"/>
      <c r="PB2933" s="37"/>
      <c r="PC2933" s="37"/>
      <c r="PD2933" s="37"/>
      <c r="PE2933" s="37"/>
      <c r="PF2933" s="37"/>
      <c r="PG2933" s="37"/>
      <c r="PH2933" s="37"/>
      <c r="PI2933" s="37"/>
      <c r="PJ2933" s="37"/>
      <c r="PK2933" s="37"/>
      <c r="PL2933" s="37"/>
      <c r="PM2933" s="37"/>
      <c r="PN2933" s="37"/>
      <c r="PO2933" s="37"/>
      <c r="PP2933" s="37"/>
      <c r="PQ2933" s="37"/>
      <c r="PR2933" s="37"/>
      <c r="PS2933" s="37"/>
      <c r="PT2933" s="37"/>
      <c r="PU2933" s="37"/>
      <c r="PV2933" s="37"/>
      <c r="PW2933" s="37"/>
      <c r="PX2933" s="37"/>
      <c r="PY2933" s="37"/>
      <c r="PZ2933" s="37"/>
      <c r="QA2933" s="37"/>
      <c r="QB2933" s="37"/>
      <c r="QC2933" s="37"/>
      <c r="QD2933" s="37"/>
      <c r="QE2933" s="37"/>
      <c r="QF2933" s="37"/>
      <c r="QG2933" s="37"/>
      <c r="QH2933" s="37"/>
      <c r="QI2933" s="37"/>
      <c r="QJ2933" s="37"/>
      <c r="QK2933" s="37"/>
      <c r="QL2933" s="37"/>
      <c r="QM2933" s="37"/>
      <c r="QN2933" s="37"/>
      <c r="QO2933" s="37"/>
      <c r="QP2933" s="37"/>
      <c r="QQ2933" s="37"/>
      <c r="QR2933" s="37"/>
      <c r="QS2933" s="37"/>
      <c r="QT2933" s="37"/>
      <c r="QU2933" s="37"/>
      <c r="QV2933" s="37"/>
      <c r="QW2933" s="37"/>
      <c r="QX2933" s="37"/>
      <c r="QY2933" s="37"/>
      <c r="QZ2933" s="37"/>
      <c r="RA2933" s="37"/>
      <c r="RB2933" s="37"/>
      <c r="RC2933" s="37"/>
      <c r="RD2933" s="37"/>
      <c r="RE2933" s="37"/>
      <c r="RF2933" s="37"/>
      <c r="RG2933" s="37"/>
      <c r="RH2933" s="37"/>
      <c r="RI2933" s="37"/>
      <c r="RJ2933" s="37"/>
      <c r="RK2933" s="37"/>
      <c r="RL2933" s="37"/>
      <c r="RM2933" s="37"/>
      <c r="RN2933" s="37"/>
      <c r="RO2933" s="37"/>
      <c r="RP2933" s="37"/>
      <c r="RQ2933" s="37"/>
      <c r="RR2933" s="37"/>
      <c r="RS2933" s="37"/>
      <c r="RT2933" s="37"/>
      <c r="RU2933" s="37"/>
      <c r="RV2933" s="37"/>
      <c r="RW2933" s="37"/>
      <c r="RX2933" s="37"/>
      <c r="RY2933" s="37"/>
      <c r="RZ2933" s="37"/>
      <c r="SA2933" s="37"/>
      <c r="SB2933" s="37"/>
      <c r="SC2933" s="37"/>
      <c r="SD2933" s="37"/>
      <c r="SE2933" s="37"/>
      <c r="SF2933" s="37"/>
    </row>
    <row r="2934" spans="1:500">
      <c r="A2934" s="37"/>
      <c r="B2934" s="37"/>
      <c r="C2934" s="37"/>
      <c r="D2934" s="37"/>
      <c r="E2934" s="37"/>
      <c r="F2934" s="37"/>
      <c r="G2934" s="37"/>
      <c r="H2934" s="37"/>
      <c r="I2934" s="37"/>
      <c r="J2934" s="37"/>
      <c r="K2934" s="37"/>
      <c r="L2934" s="37"/>
      <c r="M2934" s="37"/>
      <c r="N2934" s="37"/>
      <c r="O2934" s="37"/>
      <c r="P2934" s="37"/>
      <c r="Q2934" s="37"/>
      <c r="R2934" s="37"/>
      <c r="S2934" s="37"/>
      <c r="T2934" s="37"/>
      <c r="U2934" s="37"/>
      <c r="V2934" s="37"/>
      <c r="W2934" s="37"/>
      <c r="X2934" s="37"/>
      <c r="Y2934" s="37"/>
      <c r="Z2934" s="37"/>
      <c r="AA2934" s="37"/>
      <c r="AB2934" s="37"/>
      <c r="AC2934" s="37"/>
      <c r="AD2934" s="37"/>
      <c r="AE2934" s="37"/>
      <c r="AF2934" s="37"/>
      <c r="AG2934" s="37"/>
      <c r="AH2934" s="37"/>
      <c r="AI2934" s="37"/>
      <c r="AJ2934" s="37"/>
      <c r="AK2934" s="37"/>
      <c r="AL2934" s="37"/>
      <c r="AM2934" s="37"/>
      <c r="AN2934" s="37"/>
      <c r="AO2934" s="37"/>
      <c r="AP2934" s="37"/>
      <c r="AQ2934" s="37"/>
      <c r="AR2934" s="37"/>
      <c r="AS2934" s="37"/>
      <c r="AT2934" s="37"/>
      <c r="AU2934" s="37"/>
      <c r="AV2934" s="37"/>
      <c r="AW2934" s="37"/>
      <c r="AX2934" s="37"/>
      <c r="AY2934" s="37"/>
      <c r="AZ2934" s="37"/>
      <c r="BA2934" s="37"/>
      <c r="BB2934" s="37"/>
      <c r="BC2934" s="37"/>
      <c r="BD2934" s="37"/>
      <c r="BE2934" s="37"/>
      <c r="BF2934" s="37"/>
      <c r="BG2934" s="37"/>
      <c r="BH2934" s="37"/>
      <c r="BI2934" s="37"/>
      <c r="BJ2934" s="37"/>
      <c r="BK2934" s="37"/>
      <c r="BL2934" s="37"/>
      <c r="BM2934" s="37"/>
      <c r="BN2934" s="37"/>
      <c r="BO2934" s="37"/>
      <c r="BP2934" s="37"/>
      <c r="BQ2934" s="37"/>
      <c r="BR2934" s="37"/>
      <c r="BS2934" s="37"/>
      <c r="BT2934" s="37"/>
      <c r="BU2934" s="37"/>
      <c r="BV2934" s="37"/>
      <c r="BW2934" s="37"/>
      <c r="BX2934" s="37"/>
      <c r="BY2934" s="37"/>
      <c r="BZ2934" s="37"/>
      <c r="CA2934" s="37"/>
      <c r="CB2934" s="37"/>
      <c r="CC2934" s="37"/>
      <c r="CD2934" s="37"/>
      <c r="CE2934" s="37"/>
      <c r="CF2934" s="37"/>
      <c r="CG2934" s="37"/>
      <c r="CH2934" s="37"/>
      <c r="CI2934" s="37"/>
      <c r="CJ2934" s="37"/>
      <c r="CK2934" s="37"/>
      <c r="CL2934" s="37"/>
      <c r="CM2934" s="37"/>
      <c r="CN2934" s="37"/>
      <c r="CO2934" s="37"/>
      <c r="CP2934" s="37"/>
      <c r="CQ2934" s="37"/>
      <c r="CR2934" s="37"/>
      <c r="CS2934" s="37"/>
      <c r="CT2934" s="37"/>
      <c r="CU2934" s="37"/>
      <c r="CV2934" s="37"/>
      <c r="CW2934" s="37"/>
      <c r="CX2934" s="37"/>
      <c r="CY2934" s="37"/>
      <c r="CZ2934" s="37"/>
      <c r="DA2934" s="37"/>
      <c r="DB2934" s="37"/>
      <c r="DC2934" s="37"/>
      <c r="DD2934" s="37"/>
      <c r="DE2934" s="37"/>
      <c r="DF2934" s="37"/>
      <c r="DG2934" s="37"/>
      <c r="DH2934" s="37"/>
      <c r="DI2934" s="37"/>
      <c r="DJ2934" s="37"/>
      <c r="DK2934" s="37"/>
      <c r="DL2934" s="37"/>
      <c r="DM2934" s="37"/>
      <c r="DN2934" s="37"/>
      <c r="DO2934" s="37"/>
      <c r="DP2934" s="37"/>
      <c r="DQ2934" s="37"/>
      <c r="DR2934" s="37"/>
      <c r="DS2934" s="37"/>
      <c r="DT2934" s="37"/>
      <c r="DU2934" s="37"/>
      <c r="DV2934" s="37"/>
      <c r="DW2934" s="37"/>
      <c r="DX2934" s="37"/>
      <c r="DY2934" s="37"/>
      <c r="DZ2934" s="37"/>
      <c r="EA2934" s="37"/>
      <c r="EB2934" s="37"/>
      <c r="EC2934" s="37"/>
      <c r="ED2934" s="37"/>
      <c r="EE2934" s="37"/>
      <c r="EF2934" s="37"/>
      <c r="EG2934" s="37"/>
      <c r="EH2934" s="37"/>
      <c r="EI2934" s="37"/>
      <c r="EJ2934" s="37"/>
      <c r="EK2934" s="37"/>
      <c r="EL2934" s="37"/>
      <c r="EM2934" s="37"/>
      <c r="EN2934" s="37"/>
      <c r="EO2934" s="37"/>
      <c r="EP2934" s="37"/>
      <c r="EQ2934" s="37"/>
      <c r="ER2934" s="37"/>
      <c r="ES2934" s="37"/>
      <c r="ET2934" s="37"/>
      <c r="EU2934" s="37"/>
      <c r="EV2934" s="37"/>
      <c r="EW2934" s="37"/>
      <c r="EX2934" s="37"/>
      <c r="EY2934" s="37"/>
      <c r="EZ2934" s="37"/>
      <c r="FA2934" s="37"/>
      <c r="FB2934" s="37"/>
      <c r="FC2934" s="37"/>
      <c r="FD2934" s="37"/>
      <c r="FE2934" s="37"/>
      <c r="FF2934" s="37"/>
      <c r="FG2934" s="37"/>
      <c r="FH2934" s="37"/>
      <c r="FI2934" s="37"/>
      <c r="FJ2934" s="37"/>
      <c r="FK2934" s="37"/>
      <c r="FL2934" s="37"/>
      <c r="FM2934" s="37"/>
      <c r="FN2934" s="37"/>
      <c r="FO2934" s="37"/>
      <c r="FP2934" s="37"/>
      <c r="FQ2934" s="37"/>
      <c r="FR2934" s="37"/>
      <c r="FS2934" s="37"/>
      <c r="FT2934" s="37"/>
      <c r="FU2934" s="37"/>
      <c r="FV2934" s="37"/>
      <c r="FW2934" s="37"/>
      <c r="FX2934" s="37"/>
      <c r="FY2934" s="37"/>
      <c r="FZ2934" s="37"/>
      <c r="GA2934" s="37"/>
      <c r="GB2934" s="37"/>
      <c r="GC2934" s="37"/>
      <c r="GD2934" s="37"/>
      <c r="GE2934" s="37"/>
      <c r="GF2934" s="37"/>
      <c r="GG2934" s="37"/>
      <c r="GH2934" s="37"/>
      <c r="GI2934" s="37"/>
      <c r="GJ2934" s="37"/>
      <c r="GK2934" s="37"/>
      <c r="GL2934" s="37"/>
      <c r="GM2934" s="37"/>
      <c r="GN2934" s="37"/>
      <c r="GO2934" s="37"/>
      <c r="GP2934" s="37"/>
      <c r="GQ2934" s="37"/>
      <c r="GR2934" s="37"/>
      <c r="GS2934" s="37"/>
      <c r="GT2934" s="37"/>
      <c r="GU2934" s="37"/>
      <c r="GV2934" s="37"/>
      <c r="GW2934" s="37"/>
      <c r="GX2934" s="37"/>
      <c r="GY2934" s="37"/>
      <c r="GZ2934" s="37"/>
      <c r="HA2934" s="37"/>
      <c r="HB2934" s="37"/>
      <c r="HC2934" s="37"/>
      <c r="HD2934" s="37"/>
      <c r="HE2934" s="37"/>
      <c r="HF2934" s="37"/>
      <c r="HG2934" s="37"/>
      <c r="HH2934" s="37"/>
      <c r="HI2934" s="37"/>
      <c r="HJ2934" s="37"/>
      <c r="HK2934" s="37"/>
      <c r="HL2934" s="37"/>
      <c r="HM2934" s="37"/>
      <c r="HN2934" s="37"/>
      <c r="HO2934" s="37"/>
      <c r="HP2934" s="37"/>
      <c r="HQ2934" s="37"/>
      <c r="HR2934" s="37"/>
      <c r="HS2934" s="37"/>
      <c r="HT2934" s="37"/>
      <c r="HU2934" s="37"/>
      <c r="HV2934" s="37"/>
      <c r="HW2934" s="37"/>
      <c r="HX2934" s="37"/>
      <c r="HY2934" s="37"/>
      <c r="HZ2934" s="37"/>
      <c r="IA2934" s="37"/>
      <c r="IB2934" s="37"/>
      <c r="IC2934" s="37"/>
      <c r="ID2934" s="37"/>
      <c r="IE2934" s="37"/>
      <c r="IF2934" s="37"/>
      <c r="IG2934" s="37"/>
      <c r="IH2934" s="37"/>
      <c r="II2934" s="37"/>
      <c r="IJ2934" s="37"/>
      <c r="IK2934" s="37"/>
      <c r="IL2934" s="37"/>
      <c r="IM2934" s="37"/>
      <c r="IN2934" s="37"/>
      <c r="IO2934" s="37"/>
      <c r="IP2934" s="37"/>
      <c r="IQ2934" s="37"/>
      <c r="IR2934" s="37"/>
      <c r="IS2934" s="37"/>
      <c r="IT2934" s="37"/>
      <c r="IU2934" s="37"/>
      <c r="IV2934" s="37"/>
      <c r="IW2934" s="37"/>
      <c r="IX2934" s="37"/>
      <c r="IY2934" s="37"/>
      <c r="IZ2934" s="37"/>
      <c r="JA2934" s="37"/>
      <c r="JB2934" s="37"/>
      <c r="JC2934" s="37"/>
      <c r="JD2934" s="37"/>
      <c r="JE2934" s="37"/>
      <c r="JF2934" s="37"/>
      <c r="JG2934" s="37"/>
      <c r="JH2934" s="37"/>
      <c r="JI2934" s="37"/>
      <c r="JJ2934" s="37"/>
      <c r="JK2934" s="37"/>
      <c r="JL2934" s="37"/>
      <c r="JM2934" s="37"/>
      <c r="JN2934" s="37"/>
      <c r="JO2934" s="37"/>
      <c r="JP2934" s="37"/>
      <c r="JQ2934" s="37"/>
      <c r="JR2934" s="37"/>
      <c r="JS2934" s="37"/>
      <c r="JT2934" s="37"/>
      <c r="JU2934" s="37"/>
      <c r="JV2934" s="37"/>
      <c r="JW2934" s="37"/>
      <c r="JX2934" s="37"/>
      <c r="JY2934" s="37"/>
      <c r="JZ2934" s="37"/>
      <c r="KA2934" s="37"/>
      <c r="KB2934" s="37"/>
      <c r="KC2934" s="37"/>
      <c r="KD2934" s="37"/>
      <c r="KE2934" s="37"/>
      <c r="KF2934" s="37"/>
      <c r="KG2934" s="37"/>
      <c r="KH2934" s="37"/>
      <c r="KI2934" s="37"/>
      <c r="KJ2934" s="37"/>
      <c r="KK2934" s="37"/>
      <c r="KL2934" s="37"/>
      <c r="KM2934" s="37"/>
      <c r="KN2934" s="37"/>
      <c r="KO2934" s="37"/>
      <c r="KP2934" s="37"/>
      <c r="KQ2934" s="37"/>
      <c r="KR2934" s="37"/>
      <c r="KS2934" s="37"/>
      <c r="KT2934" s="37"/>
      <c r="KU2934" s="37"/>
      <c r="KV2934" s="37"/>
      <c r="KW2934" s="37"/>
      <c r="KX2934" s="37"/>
      <c r="KY2934" s="37"/>
      <c r="KZ2934" s="37"/>
      <c r="LA2934" s="37"/>
      <c r="LB2934" s="37"/>
      <c r="LC2934" s="37"/>
      <c r="LD2934" s="37"/>
      <c r="LE2934" s="37"/>
      <c r="LF2934" s="37"/>
      <c r="LG2934" s="37"/>
      <c r="LH2934" s="37"/>
      <c r="LI2934" s="37"/>
      <c r="LJ2934" s="37"/>
      <c r="LK2934" s="37"/>
      <c r="LL2934" s="37"/>
      <c r="LM2934" s="37"/>
      <c r="LN2934" s="37"/>
      <c r="LO2934" s="37"/>
      <c r="LP2934" s="37"/>
      <c r="LQ2934" s="37"/>
      <c r="LR2934" s="37"/>
      <c r="LS2934" s="37"/>
      <c r="LT2934" s="37"/>
      <c r="LU2934" s="37"/>
      <c r="LV2934" s="37"/>
      <c r="LW2934" s="37"/>
      <c r="LX2934" s="37"/>
      <c r="LY2934" s="37"/>
      <c r="LZ2934" s="37"/>
      <c r="MA2934" s="37"/>
      <c r="MB2934" s="37"/>
      <c r="MC2934" s="37"/>
      <c r="MD2934" s="37"/>
      <c r="ME2934" s="37"/>
      <c r="MF2934" s="37"/>
      <c r="MG2934" s="37"/>
      <c r="MH2934" s="37"/>
      <c r="MI2934" s="37"/>
      <c r="MJ2934" s="37"/>
      <c r="MK2934" s="37"/>
      <c r="ML2934" s="37"/>
      <c r="MM2934" s="37"/>
      <c r="MN2934" s="37"/>
      <c r="MO2934" s="37"/>
      <c r="MP2934" s="37"/>
      <c r="MQ2934" s="37"/>
      <c r="MR2934" s="37"/>
      <c r="MS2934" s="37"/>
      <c r="MT2934" s="37"/>
      <c r="MU2934" s="37"/>
      <c r="MV2934" s="37"/>
      <c r="MW2934" s="37"/>
      <c r="MX2934" s="37"/>
      <c r="MY2934" s="37"/>
      <c r="MZ2934" s="37"/>
      <c r="NA2934" s="37"/>
      <c r="NB2934" s="37"/>
      <c r="NC2934" s="37"/>
      <c r="ND2934" s="37"/>
      <c r="NE2934" s="37"/>
      <c r="NF2934" s="37"/>
      <c r="NG2934" s="37"/>
      <c r="NH2934" s="37"/>
      <c r="NI2934" s="37"/>
      <c r="NJ2934" s="37"/>
      <c r="NK2934" s="37"/>
      <c r="NL2934" s="37"/>
      <c r="NM2934" s="37"/>
      <c r="NN2934" s="37"/>
      <c r="NO2934" s="37"/>
      <c r="NP2934" s="37"/>
      <c r="NQ2934" s="37"/>
      <c r="NR2934" s="37"/>
      <c r="NS2934" s="37"/>
      <c r="NT2934" s="37"/>
      <c r="NU2934" s="37"/>
      <c r="NV2934" s="37"/>
      <c r="NW2934" s="37"/>
      <c r="NX2934" s="37"/>
      <c r="NY2934" s="37"/>
      <c r="NZ2934" s="37"/>
      <c r="OA2934" s="37"/>
      <c r="OB2934" s="37"/>
      <c r="OC2934" s="37"/>
      <c r="OD2934" s="37"/>
      <c r="OE2934" s="37"/>
      <c r="OF2934" s="37"/>
      <c r="OG2934" s="37"/>
      <c r="OH2934" s="37"/>
      <c r="OI2934" s="37"/>
      <c r="OJ2934" s="37"/>
      <c r="OK2934" s="37"/>
      <c r="OL2934" s="37"/>
      <c r="OM2934" s="37"/>
      <c r="ON2934" s="37"/>
      <c r="OO2934" s="37"/>
      <c r="OP2934" s="37"/>
      <c r="OQ2934" s="37"/>
      <c r="OR2934" s="37"/>
      <c r="OS2934" s="37"/>
      <c r="OT2934" s="37"/>
      <c r="OU2934" s="37"/>
      <c r="OV2934" s="37"/>
      <c r="OW2934" s="37"/>
      <c r="OX2934" s="37"/>
      <c r="OY2934" s="37"/>
      <c r="OZ2934" s="37"/>
      <c r="PA2934" s="37"/>
      <c r="PB2934" s="37"/>
      <c r="PC2934" s="37"/>
      <c r="PD2934" s="37"/>
      <c r="PE2934" s="37"/>
      <c r="PF2934" s="37"/>
      <c r="PG2934" s="37"/>
      <c r="PH2934" s="37"/>
      <c r="PI2934" s="37"/>
      <c r="PJ2934" s="37"/>
      <c r="PK2934" s="37"/>
      <c r="PL2934" s="37"/>
      <c r="PM2934" s="37"/>
      <c r="PN2934" s="37"/>
      <c r="PO2934" s="37"/>
      <c r="PP2934" s="37"/>
      <c r="PQ2934" s="37"/>
      <c r="PR2934" s="37"/>
      <c r="PS2934" s="37"/>
      <c r="PT2934" s="37"/>
      <c r="PU2934" s="37"/>
      <c r="PV2934" s="37"/>
      <c r="PW2934" s="37"/>
      <c r="PX2934" s="37"/>
      <c r="PY2934" s="37"/>
      <c r="PZ2934" s="37"/>
      <c r="QA2934" s="37"/>
      <c r="QB2934" s="37"/>
      <c r="QC2934" s="37"/>
      <c r="QD2934" s="37"/>
      <c r="QE2934" s="37"/>
      <c r="QF2934" s="37"/>
      <c r="QG2934" s="37"/>
      <c r="QH2934" s="37"/>
      <c r="QI2934" s="37"/>
      <c r="QJ2934" s="37"/>
      <c r="QK2934" s="37"/>
      <c r="QL2934" s="37"/>
      <c r="QM2934" s="37"/>
      <c r="QN2934" s="37"/>
      <c r="QO2934" s="37"/>
      <c r="QP2934" s="37"/>
      <c r="QQ2934" s="37"/>
      <c r="QR2934" s="37"/>
      <c r="QS2934" s="37"/>
      <c r="QT2934" s="37"/>
      <c r="QU2934" s="37"/>
      <c r="QV2934" s="37"/>
      <c r="QW2934" s="37"/>
      <c r="QX2934" s="37"/>
      <c r="QY2934" s="37"/>
      <c r="QZ2934" s="37"/>
      <c r="RA2934" s="37"/>
      <c r="RB2934" s="37"/>
      <c r="RC2934" s="37"/>
      <c r="RD2934" s="37"/>
      <c r="RE2934" s="37"/>
      <c r="RF2934" s="37"/>
      <c r="RG2934" s="37"/>
      <c r="RH2934" s="37"/>
      <c r="RI2934" s="37"/>
      <c r="RJ2934" s="37"/>
      <c r="RK2934" s="37"/>
      <c r="RL2934" s="37"/>
      <c r="RM2934" s="37"/>
      <c r="RN2934" s="37"/>
      <c r="RO2934" s="37"/>
      <c r="RP2934" s="37"/>
      <c r="RQ2934" s="37"/>
      <c r="RR2934" s="37"/>
      <c r="RS2934" s="37"/>
      <c r="RT2934" s="37"/>
      <c r="RU2934" s="37"/>
      <c r="RV2934" s="37"/>
      <c r="RW2934" s="37"/>
      <c r="RX2934" s="37"/>
      <c r="RY2934" s="37"/>
      <c r="RZ2934" s="37"/>
      <c r="SA2934" s="37"/>
      <c r="SB2934" s="37"/>
      <c r="SC2934" s="37"/>
      <c r="SD2934" s="37"/>
      <c r="SE2934" s="37"/>
      <c r="SF2934" s="37"/>
    </row>
    <row r="2935" spans="1:500">
      <c r="A2935" s="37"/>
      <c r="B2935" s="37"/>
      <c r="C2935" s="37"/>
      <c r="D2935" s="37"/>
      <c r="E2935" s="37"/>
      <c r="F2935" s="37"/>
      <c r="G2935" s="37"/>
      <c r="H2935" s="37"/>
      <c r="I2935" s="37"/>
      <c r="J2935" s="37"/>
      <c r="K2935" s="37"/>
      <c r="L2935" s="37"/>
      <c r="M2935" s="37"/>
      <c r="N2935" s="37"/>
      <c r="O2935" s="37"/>
      <c r="P2935" s="37"/>
      <c r="Q2935" s="37"/>
      <c r="R2935" s="37"/>
      <c r="S2935" s="37"/>
      <c r="T2935" s="37"/>
      <c r="U2935" s="37"/>
      <c r="V2935" s="37"/>
      <c r="W2935" s="37"/>
      <c r="X2935" s="37"/>
      <c r="Y2935" s="37"/>
      <c r="Z2935" s="37"/>
      <c r="AA2935" s="37"/>
      <c r="AB2935" s="37"/>
      <c r="AC2935" s="37"/>
      <c r="AD2935" s="37"/>
      <c r="AE2935" s="37"/>
      <c r="AF2935" s="37"/>
      <c r="AG2935" s="37"/>
      <c r="AH2935" s="37"/>
      <c r="AI2935" s="37"/>
      <c r="AJ2935" s="37"/>
      <c r="AK2935" s="37"/>
      <c r="AL2935" s="37"/>
      <c r="AM2935" s="37"/>
      <c r="AN2935" s="37"/>
      <c r="AO2935" s="37"/>
      <c r="AP2935" s="37"/>
      <c r="AQ2935" s="37"/>
      <c r="AR2935" s="37"/>
      <c r="AS2935" s="37"/>
      <c r="AT2935" s="37"/>
      <c r="AU2935" s="37"/>
      <c r="AV2935" s="37"/>
      <c r="AW2935" s="37"/>
      <c r="AX2935" s="37"/>
      <c r="AY2935" s="37"/>
      <c r="AZ2935" s="37"/>
      <c r="BA2935" s="37"/>
      <c r="BB2935" s="37"/>
      <c r="BC2935" s="37"/>
      <c r="BD2935" s="37"/>
      <c r="BE2935" s="37"/>
      <c r="BF2935" s="37"/>
      <c r="BG2935" s="37"/>
      <c r="BH2935" s="37"/>
      <c r="BI2935" s="37"/>
      <c r="BJ2935" s="37"/>
      <c r="BK2935" s="37"/>
      <c r="BL2935" s="37"/>
      <c r="BM2935" s="37"/>
      <c r="BN2935" s="37"/>
      <c r="BO2935" s="37"/>
      <c r="BP2935" s="37"/>
      <c r="BQ2935" s="37"/>
      <c r="BR2935" s="37"/>
      <c r="BS2935" s="37"/>
      <c r="BT2935" s="37"/>
      <c r="BU2935" s="37"/>
      <c r="BV2935" s="37"/>
      <c r="BW2935" s="37"/>
      <c r="BX2935" s="37"/>
      <c r="BY2935" s="37"/>
      <c r="BZ2935" s="37"/>
      <c r="CA2935" s="37"/>
      <c r="CB2935" s="37"/>
      <c r="CC2935" s="37"/>
      <c r="CD2935" s="37"/>
      <c r="CE2935" s="37"/>
      <c r="CF2935" s="37"/>
      <c r="CG2935" s="37"/>
      <c r="CH2935" s="37"/>
      <c r="CI2935" s="37"/>
      <c r="CJ2935" s="37"/>
      <c r="CK2935" s="37"/>
      <c r="CL2935" s="37"/>
      <c r="CM2935" s="37"/>
      <c r="CN2935" s="37"/>
      <c r="CO2935" s="37"/>
      <c r="CP2935" s="37"/>
      <c r="CQ2935" s="37"/>
      <c r="CR2935" s="37"/>
      <c r="CS2935" s="37"/>
      <c r="CT2935" s="37"/>
      <c r="CU2935" s="37"/>
      <c r="CV2935" s="37"/>
      <c r="CW2935" s="37"/>
      <c r="CX2935" s="37"/>
      <c r="CY2935" s="37"/>
      <c r="CZ2935" s="37"/>
      <c r="DA2935" s="37"/>
      <c r="DB2935" s="37"/>
      <c r="DC2935" s="37"/>
      <c r="DD2935" s="37"/>
      <c r="DE2935" s="37"/>
      <c r="DF2935" s="37"/>
      <c r="DG2935" s="37"/>
      <c r="DH2935" s="37"/>
      <c r="DI2935" s="37"/>
      <c r="DJ2935" s="37"/>
      <c r="DK2935" s="37"/>
      <c r="DL2935" s="37"/>
      <c r="DM2935" s="37"/>
      <c r="DN2935" s="37"/>
      <c r="DO2935" s="37"/>
      <c r="DP2935" s="37"/>
      <c r="DQ2935" s="37"/>
      <c r="DR2935" s="37"/>
      <c r="DS2935" s="37"/>
      <c r="DT2935" s="37"/>
      <c r="DU2935" s="37"/>
      <c r="DV2935" s="37"/>
      <c r="DW2935" s="37"/>
      <c r="DX2935" s="37"/>
      <c r="DY2935" s="37"/>
      <c r="DZ2935" s="37"/>
      <c r="EA2935" s="37"/>
      <c r="EB2935" s="37"/>
      <c r="EC2935" s="37"/>
      <c r="ED2935" s="37"/>
      <c r="EE2935" s="37"/>
      <c r="EF2935" s="37"/>
      <c r="EG2935" s="37"/>
      <c r="EH2935" s="37"/>
      <c r="EI2935" s="37"/>
      <c r="EJ2935" s="37"/>
      <c r="EK2935" s="37"/>
      <c r="EL2935" s="37"/>
      <c r="EM2935" s="37"/>
      <c r="EN2935" s="37"/>
      <c r="EO2935" s="37"/>
      <c r="EP2935" s="37"/>
      <c r="EQ2935" s="37"/>
      <c r="ER2935" s="37"/>
      <c r="ES2935" s="37"/>
      <c r="ET2935" s="37"/>
      <c r="EU2935" s="37"/>
      <c r="EV2935" s="37"/>
      <c r="EW2935" s="37"/>
      <c r="EX2935" s="37"/>
      <c r="EY2935" s="37"/>
      <c r="EZ2935" s="37"/>
      <c r="FA2935" s="37"/>
      <c r="FB2935" s="37"/>
      <c r="FC2935" s="37"/>
      <c r="FD2935" s="37"/>
      <c r="FE2935" s="37"/>
      <c r="FF2935" s="37"/>
      <c r="FG2935" s="37"/>
      <c r="FH2935" s="37"/>
      <c r="FI2935" s="37"/>
      <c r="FJ2935" s="37"/>
      <c r="FK2935" s="37"/>
      <c r="FL2935" s="37"/>
      <c r="FM2935" s="37"/>
      <c r="FN2935" s="37"/>
      <c r="FO2935" s="37"/>
      <c r="FP2935" s="37"/>
      <c r="FQ2935" s="37"/>
      <c r="FR2935" s="37"/>
      <c r="FS2935" s="37"/>
      <c r="FT2935" s="37"/>
      <c r="FU2935" s="37"/>
      <c r="FV2935" s="37"/>
      <c r="FW2935" s="37"/>
      <c r="FX2935" s="37"/>
      <c r="FY2935" s="37"/>
      <c r="FZ2935" s="37"/>
      <c r="GA2935" s="37"/>
      <c r="GB2935" s="37"/>
      <c r="GC2935" s="37"/>
      <c r="GD2935" s="37"/>
      <c r="GE2935" s="37"/>
      <c r="GF2935" s="37"/>
      <c r="GG2935" s="37"/>
      <c r="GH2935" s="37"/>
      <c r="GI2935" s="37"/>
      <c r="GJ2935" s="37"/>
      <c r="GK2935" s="37"/>
      <c r="GL2935" s="37"/>
      <c r="GM2935" s="37"/>
      <c r="GN2935" s="37"/>
      <c r="GO2935" s="37"/>
      <c r="GP2935" s="37"/>
      <c r="GQ2935" s="37"/>
      <c r="GR2935" s="37"/>
      <c r="GS2935" s="37"/>
      <c r="GT2935" s="37"/>
      <c r="GU2935" s="37"/>
      <c r="GV2935" s="37"/>
      <c r="GW2935" s="37"/>
      <c r="GX2935" s="37"/>
      <c r="GY2935" s="37"/>
      <c r="GZ2935" s="37"/>
      <c r="HA2935" s="37"/>
      <c r="HB2935" s="37"/>
      <c r="HC2935" s="37"/>
      <c r="HD2935" s="37"/>
      <c r="HE2935" s="37"/>
      <c r="HF2935" s="37"/>
      <c r="HG2935" s="37"/>
      <c r="HH2935" s="37"/>
      <c r="HI2935" s="37"/>
      <c r="HJ2935" s="37"/>
      <c r="HK2935" s="37"/>
      <c r="HL2935" s="37"/>
      <c r="HM2935" s="37"/>
      <c r="HN2935" s="37"/>
      <c r="HO2935" s="37"/>
      <c r="HP2935" s="37"/>
      <c r="HQ2935" s="37"/>
      <c r="HR2935" s="37"/>
      <c r="HS2935" s="37"/>
      <c r="HT2935" s="37"/>
      <c r="HU2935" s="37"/>
      <c r="HV2935" s="37"/>
      <c r="HW2935" s="37"/>
      <c r="HX2935" s="37"/>
      <c r="HY2935" s="37"/>
      <c r="HZ2935" s="37"/>
      <c r="IA2935" s="37"/>
      <c r="IB2935" s="37"/>
      <c r="IC2935" s="37"/>
      <c r="ID2935" s="37"/>
      <c r="IE2935" s="37"/>
      <c r="IF2935" s="37"/>
      <c r="IG2935" s="37"/>
      <c r="IH2935" s="37"/>
      <c r="II2935" s="37"/>
      <c r="IJ2935" s="37"/>
      <c r="IK2935" s="37"/>
      <c r="IL2935" s="37"/>
      <c r="IM2935" s="37"/>
      <c r="IN2935" s="37"/>
      <c r="IO2935" s="37"/>
      <c r="IP2935" s="37"/>
      <c r="IQ2935" s="37"/>
      <c r="IR2935" s="37"/>
      <c r="IS2935" s="37"/>
      <c r="IT2935" s="37"/>
      <c r="IU2935" s="37"/>
      <c r="IV2935" s="37"/>
      <c r="IW2935" s="37"/>
      <c r="IX2935" s="37"/>
      <c r="IY2935" s="37"/>
      <c r="IZ2935" s="37"/>
      <c r="JA2935" s="37"/>
      <c r="JB2935" s="37"/>
      <c r="JC2935" s="37"/>
      <c r="JD2935" s="37"/>
      <c r="JE2935" s="37"/>
      <c r="JF2935" s="37"/>
      <c r="JG2935" s="37"/>
      <c r="JH2935" s="37"/>
      <c r="JI2935" s="37"/>
      <c r="JJ2935" s="37"/>
      <c r="JK2935" s="37"/>
      <c r="JL2935" s="37"/>
      <c r="JM2935" s="37"/>
      <c r="JN2935" s="37"/>
      <c r="JO2935" s="37"/>
      <c r="JP2935" s="37"/>
      <c r="JQ2935" s="37"/>
      <c r="JR2935" s="37"/>
      <c r="JS2935" s="37"/>
      <c r="JT2935" s="37"/>
      <c r="JU2935" s="37"/>
      <c r="JV2935" s="37"/>
      <c r="JW2935" s="37"/>
      <c r="JX2935" s="37"/>
      <c r="JY2935" s="37"/>
      <c r="JZ2935" s="37"/>
      <c r="KA2935" s="37"/>
      <c r="KB2935" s="37"/>
      <c r="KC2935" s="37"/>
      <c r="KD2935" s="37"/>
      <c r="KE2935" s="37"/>
      <c r="KF2935" s="37"/>
      <c r="KG2935" s="37"/>
      <c r="KH2935" s="37"/>
      <c r="KI2935" s="37"/>
      <c r="KJ2935" s="37"/>
      <c r="KK2935" s="37"/>
      <c r="KL2935" s="37"/>
      <c r="KM2935" s="37"/>
      <c r="KN2935" s="37"/>
      <c r="KO2935" s="37"/>
      <c r="KP2935" s="37"/>
      <c r="KQ2935" s="37"/>
      <c r="KR2935" s="37"/>
      <c r="KS2935" s="37"/>
      <c r="KT2935" s="37"/>
      <c r="KU2935" s="37"/>
      <c r="KV2935" s="37"/>
      <c r="KW2935" s="37"/>
      <c r="KX2935" s="37"/>
      <c r="KY2935" s="37"/>
      <c r="KZ2935" s="37"/>
      <c r="LA2935" s="37"/>
      <c r="LB2935" s="37"/>
      <c r="LC2935" s="37"/>
      <c r="LD2935" s="37"/>
      <c r="LE2935" s="37"/>
      <c r="LF2935" s="37"/>
      <c r="LG2935" s="37"/>
      <c r="LH2935" s="37"/>
      <c r="LI2935" s="37"/>
      <c r="LJ2935" s="37"/>
      <c r="LK2935" s="37"/>
      <c r="LL2935" s="37"/>
      <c r="LM2935" s="37"/>
      <c r="LN2935" s="37"/>
      <c r="LO2935" s="37"/>
      <c r="LP2935" s="37"/>
      <c r="LQ2935" s="37"/>
      <c r="LR2935" s="37"/>
      <c r="LS2935" s="37"/>
      <c r="LT2935" s="37"/>
      <c r="LU2935" s="37"/>
      <c r="LV2935" s="37"/>
      <c r="LW2935" s="37"/>
      <c r="LX2935" s="37"/>
      <c r="LY2935" s="37"/>
      <c r="LZ2935" s="37"/>
      <c r="MA2935" s="37"/>
      <c r="MB2935" s="37"/>
      <c r="MC2935" s="37"/>
      <c r="MD2935" s="37"/>
      <c r="ME2935" s="37"/>
      <c r="MF2935" s="37"/>
      <c r="MG2935" s="37"/>
      <c r="MH2935" s="37"/>
      <c r="MI2935" s="37"/>
      <c r="MJ2935" s="37"/>
      <c r="MK2935" s="37"/>
      <c r="ML2935" s="37"/>
      <c r="MM2935" s="37"/>
      <c r="MN2935" s="37"/>
      <c r="MO2935" s="37"/>
      <c r="MP2935" s="37"/>
      <c r="MQ2935" s="37"/>
      <c r="MR2935" s="37"/>
      <c r="MS2935" s="37"/>
      <c r="MT2935" s="37"/>
      <c r="MU2935" s="37"/>
      <c r="MV2935" s="37"/>
      <c r="MW2935" s="37"/>
      <c r="MX2935" s="37"/>
      <c r="MY2935" s="37"/>
      <c r="MZ2935" s="37"/>
      <c r="NA2935" s="37"/>
      <c r="NB2935" s="37"/>
      <c r="NC2935" s="37"/>
      <c r="ND2935" s="37"/>
      <c r="NE2935" s="37"/>
      <c r="NF2935" s="37"/>
      <c r="NG2935" s="37"/>
      <c r="NH2935" s="37"/>
      <c r="NI2935" s="37"/>
      <c r="NJ2935" s="37"/>
      <c r="NK2935" s="37"/>
      <c r="NL2935" s="37"/>
      <c r="NM2935" s="37"/>
      <c r="NN2935" s="37"/>
      <c r="NO2935" s="37"/>
      <c r="NP2935" s="37"/>
      <c r="NQ2935" s="37"/>
      <c r="NR2935" s="37"/>
      <c r="NS2935" s="37"/>
      <c r="NT2935" s="37"/>
      <c r="NU2935" s="37"/>
      <c r="NV2935" s="37"/>
      <c r="NW2935" s="37"/>
      <c r="NX2935" s="37"/>
      <c r="NY2935" s="37"/>
      <c r="NZ2935" s="37"/>
      <c r="OA2935" s="37"/>
      <c r="OB2935" s="37"/>
      <c r="OC2935" s="37"/>
      <c r="OD2935" s="37"/>
      <c r="OE2935" s="37"/>
      <c r="OF2935" s="37"/>
      <c r="OG2935" s="37"/>
      <c r="OH2935" s="37"/>
      <c r="OI2935" s="37"/>
      <c r="OJ2935" s="37"/>
      <c r="OK2935" s="37"/>
      <c r="OL2935" s="37"/>
      <c r="OM2935" s="37"/>
      <c r="ON2935" s="37"/>
      <c r="OO2935" s="37"/>
      <c r="OP2935" s="37"/>
      <c r="OQ2935" s="37"/>
      <c r="OR2935" s="37"/>
      <c r="OS2935" s="37"/>
      <c r="OT2935" s="37"/>
      <c r="OU2935" s="37"/>
      <c r="OV2935" s="37"/>
      <c r="OW2935" s="37"/>
      <c r="OX2935" s="37"/>
      <c r="OY2935" s="37"/>
      <c r="OZ2935" s="37"/>
      <c r="PA2935" s="37"/>
      <c r="PB2935" s="37"/>
      <c r="PC2935" s="37"/>
      <c r="PD2935" s="37"/>
      <c r="PE2935" s="37"/>
      <c r="PF2935" s="37"/>
      <c r="PG2935" s="37"/>
      <c r="PH2935" s="37"/>
      <c r="PI2935" s="37"/>
      <c r="PJ2935" s="37"/>
      <c r="PK2935" s="37"/>
      <c r="PL2935" s="37"/>
      <c r="PM2935" s="37"/>
      <c r="PN2935" s="37"/>
      <c r="PO2935" s="37"/>
      <c r="PP2935" s="37"/>
      <c r="PQ2935" s="37"/>
      <c r="PR2935" s="37"/>
      <c r="PS2935" s="37"/>
      <c r="PT2935" s="37"/>
      <c r="PU2935" s="37"/>
      <c r="PV2935" s="37"/>
      <c r="PW2935" s="37"/>
      <c r="PX2935" s="37"/>
      <c r="PY2935" s="37"/>
      <c r="PZ2935" s="37"/>
      <c r="QA2935" s="37"/>
      <c r="QB2935" s="37"/>
      <c r="QC2935" s="37"/>
      <c r="QD2935" s="37"/>
      <c r="QE2935" s="37"/>
      <c r="QF2935" s="37"/>
      <c r="QG2935" s="37"/>
      <c r="QH2935" s="37"/>
      <c r="QI2935" s="37"/>
      <c r="QJ2935" s="37"/>
      <c r="QK2935" s="37"/>
      <c r="QL2935" s="37"/>
      <c r="QM2935" s="37"/>
      <c r="QN2935" s="37"/>
      <c r="QO2935" s="37"/>
      <c r="QP2935" s="37"/>
      <c r="QQ2935" s="37"/>
      <c r="QR2935" s="37"/>
      <c r="QS2935" s="37"/>
      <c r="QT2935" s="37"/>
      <c r="QU2935" s="37"/>
      <c r="QV2935" s="37"/>
      <c r="QW2935" s="37"/>
      <c r="QX2935" s="37"/>
      <c r="QY2935" s="37"/>
      <c r="QZ2935" s="37"/>
      <c r="RA2935" s="37"/>
      <c r="RB2935" s="37"/>
      <c r="RC2935" s="37"/>
      <c r="RD2935" s="37"/>
      <c r="RE2935" s="37"/>
      <c r="RF2935" s="37"/>
      <c r="RG2935" s="37"/>
      <c r="RH2935" s="37"/>
      <c r="RI2935" s="37"/>
      <c r="RJ2935" s="37"/>
      <c r="RK2935" s="37"/>
      <c r="RL2935" s="37"/>
      <c r="RM2935" s="37"/>
      <c r="RN2935" s="37"/>
      <c r="RO2935" s="37"/>
      <c r="RP2935" s="37"/>
      <c r="RQ2935" s="37"/>
      <c r="RR2935" s="37"/>
      <c r="RS2935" s="37"/>
      <c r="RT2935" s="37"/>
      <c r="RU2935" s="37"/>
      <c r="RV2935" s="37"/>
      <c r="RW2935" s="37"/>
      <c r="RX2935" s="37"/>
      <c r="RY2935" s="37"/>
      <c r="RZ2935" s="37"/>
      <c r="SA2935" s="37"/>
      <c r="SB2935" s="37"/>
      <c r="SC2935" s="37"/>
      <c r="SD2935" s="37"/>
      <c r="SE2935" s="37"/>
      <c r="SF2935" s="37"/>
    </row>
    <row r="2936" spans="1:500">
      <c r="A2936" s="37"/>
      <c r="B2936" s="37"/>
      <c r="C2936" s="37"/>
      <c r="D2936" s="37"/>
      <c r="E2936" s="37"/>
      <c r="F2936" s="37"/>
      <c r="G2936" s="37"/>
      <c r="H2936" s="37"/>
      <c r="I2936" s="37"/>
      <c r="J2936" s="37"/>
      <c r="K2936" s="37"/>
      <c r="L2936" s="37"/>
      <c r="M2936" s="37"/>
      <c r="N2936" s="37"/>
      <c r="O2936" s="37"/>
      <c r="P2936" s="37"/>
      <c r="Q2936" s="37"/>
      <c r="R2936" s="37"/>
      <c r="S2936" s="37"/>
      <c r="T2936" s="37"/>
      <c r="U2936" s="37"/>
      <c r="V2936" s="37"/>
      <c r="W2936" s="37"/>
      <c r="X2936" s="37"/>
      <c r="Y2936" s="37"/>
      <c r="Z2936" s="37"/>
      <c r="AA2936" s="37"/>
      <c r="AB2936" s="37"/>
      <c r="AC2936" s="37"/>
      <c r="AD2936" s="37"/>
      <c r="AE2936" s="37"/>
      <c r="AF2936" s="37"/>
      <c r="AG2936" s="37"/>
      <c r="AH2936" s="37"/>
      <c r="AI2936" s="37"/>
      <c r="AJ2936" s="37"/>
      <c r="AK2936" s="37"/>
      <c r="AL2936" s="37"/>
      <c r="AM2936" s="37"/>
      <c r="AN2936" s="37"/>
      <c r="AO2936" s="37"/>
      <c r="AP2936" s="37"/>
      <c r="AQ2936" s="37"/>
      <c r="AR2936" s="37"/>
      <c r="AS2936" s="37"/>
      <c r="AT2936" s="37"/>
      <c r="AU2936" s="37"/>
      <c r="AV2936" s="37"/>
      <c r="AW2936" s="37"/>
      <c r="AX2936" s="37"/>
      <c r="AY2936" s="37"/>
      <c r="AZ2936" s="37"/>
      <c r="BA2936" s="37"/>
      <c r="BB2936" s="37"/>
      <c r="BC2936" s="37"/>
      <c r="BD2936" s="37"/>
      <c r="BE2936" s="37"/>
      <c r="BF2936" s="37"/>
      <c r="BG2936" s="37"/>
      <c r="BH2936" s="37"/>
      <c r="BI2936" s="37"/>
      <c r="BJ2936" s="37"/>
      <c r="BK2936" s="37"/>
      <c r="BL2936" s="37"/>
      <c r="BM2936" s="37"/>
      <c r="BN2936" s="37"/>
      <c r="BO2936" s="37"/>
      <c r="BP2936" s="37"/>
      <c r="BQ2936" s="37"/>
      <c r="BR2936" s="37"/>
      <c r="BS2936" s="37"/>
      <c r="BT2936" s="37"/>
      <c r="BU2936" s="37"/>
      <c r="BV2936" s="37"/>
      <c r="BW2936" s="37"/>
      <c r="BX2936" s="37"/>
      <c r="BY2936" s="37"/>
      <c r="BZ2936" s="37"/>
      <c r="CA2936" s="37"/>
      <c r="CB2936" s="37"/>
      <c r="CC2936" s="37"/>
      <c r="CD2936" s="37"/>
      <c r="CE2936" s="37"/>
      <c r="CF2936" s="37"/>
      <c r="CG2936" s="37"/>
      <c r="CH2936" s="37"/>
      <c r="CI2936" s="37"/>
      <c r="CJ2936" s="37"/>
      <c r="CK2936" s="37"/>
      <c r="CL2936" s="37"/>
      <c r="CM2936" s="37"/>
      <c r="CN2936" s="37"/>
      <c r="CO2936" s="37"/>
      <c r="CP2936" s="37"/>
      <c r="CQ2936" s="37"/>
      <c r="CR2936" s="37"/>
      <c r="CS2936" s="37"/>
      <c r="CT2936" s="37"/>
      <c r="CU2936" s="37"/>
      <c r="CV2936" s="37"/>
      <c r="CW2936" s="37"/>
      <c r="CX2936" s="37"/>
      <c r="CY2936" s="37"/>
      <c r="CZ2936" s="37"/>
      <c r="DA2936" s="37"/>
      <c r="DB2936" s="37"/>
      <c r="DC2936" s="37"/>
      <c r="DD2936" s="37"/>
      <c r="DE2936" s="37"/>
      <c r="DF2936" s="37"/>
      <c r="DG2936" s="37"/>
      <c r="DH2936" s="37"/>
      <c r="DI2936" s="37"/>
      <c r="DJ2936" s="37"/>
      <c r="DK2936" s="37"/>
      <c r="DL2936" s="37"/>
      <c r="DM2936" s="37"/>
      <c r="DN2936" s="37"/>
      <c r="DO2936" s="37"/>
      <c r="DP2936" s="37"/>
      <c r="DQ2936" s="37"/>
      <c r="DR2936" s="37"/>
      <c r="DS2936" s="37"/>
      <c r="DT2936" s="37"/>
      <c r="DU2936" s="37"/>
      <c r="DV2936" s="37"/>
      <c r="DW2936" s="37"/>
      <c r="DX2936" s="37"/>
      <c r="DY2936" s="37"/>
      <c r="DZ2936" s="37"/>
      <c r="EA2936" s="37"/>
      <c r="EB2936" s="37"/>
      <c r="EC2936" s="37"/>
      <c r="ED2936" s="37"/>
      <c r="EE2936" s="37"/>
      <c r="EF2936" s="37"/>
      <c r="EG2936" s="37"/>
      <c r="EH2936" s="37"/>
      <c r="EI2936" s="37"/>
      <c r="EJ2936" s="37"/>
      <c r="EK2936" s="37"/>
      <c r="EL2936" s="37"/>
      <c r="EM2936" s="37"/>
      <c r="EN2936" s="37"/>
      <c r="EO2936" s="37"/>
      <c r="EP2936" s="37"/>
      <c r="EQ2936" s="37"/>
      <c r="ER2936" s="37"/>
      <c r="ES2936" s="37"/>
      <c r="ET2936" s="37"/>
      <c r="EU2936" s="37"/>
      <c r="EV2936" s="37"/>
      <c r="EW2936" s="37"/>
      <c r="EX2936" s="37"/>
      <c r="EY2936" s="37"/>
      <c r="EZ2936" s="37"/>
      <c r="FA2936" s="37"/>
      <c r="FB2936" s="37"/>
      <c r="FC2936" s="37"/>
      <c r="FD2936" s="37"/>
      <c r="FE2936" s="37"/>
      <c r="FF2936" s="37"/>
      <c r="FG2936" s="37"/>
      <c r="FH2936" s="37"/>
      <c r="FI2936" s="37"/>
      <c r="FJ2936" s="37"/>
      <c r="FK2936" s="37"/>
      <c r="FL2936" s="37"/>
      <c r="FM2936" s="37"/>
      <c r="FN2936" s="37"/>
      <c r="FO2936" s="37"/>
      <c r="FP2936" s="37"/>
      <c r="FQ2936" s="37"/>
      <c r="FR2936" s="37"/>
      <c r="FS2936" s="37"/>
      <c r="FT2936" s="37"/>
      <c r="FU2936" s="37"/>
      <c r="FV2936" s="37"/>
      <c r="FW2936" s="37"/>
      <c r="FX2936" s="37"/>
      <c r="FY2936" s="37"/>
      <c r="FZ2936" s="37"/>
      <c r="GA2936" s="37"/>
      <c r="GB2936" s="37"/>
      <c r="GC2936" s="37"/>
      <c r="GD2936" s="37"/>
      <c r="GE2936" s="37"/>
      <c r="GF2936" s="37"/>
      <c r="GG2936" s="37"/>
      <c r="GH2936" s="37"/>
      <c r="GI2936" s="37"/>
      <c r="GJ2936" s="37"/>
      <c r="GK2936" s="37"/>
      <c r="GL2936" s="37"/>
      <c r="GM2936" s="37"/>
      <c r="GN2936" s="37"/>
      <c r="GO2936" s="37"/>
      <c r="GP2936" s="37"/>
      <c r="GQ2936" s="37"/>
      <c r="GR2936" s="37"/>
      <c r="GS2936" s="37"/>
      <c r="GT2936" s="37"/>
      <c r="GU2936" s="37"/>
      <c r="GV2936" s="37"/>
      <c r="GW2936" s="37"/>
      <c r="GX2936" s="37"/>
      <c r="GY2936" s="37"/>
      <c r="GZ2936" s="37"/>
      <c r="HA2936" s="37"/>
      <c r="HB2936" s="37"/>
      <c r="HC2936" s="37"/>
      <c r="HD2936" s="37"/>
      <c r="HE2936" s="37"/>
      <c r="HF2936" s="37"/>
      <c r="HG2936" s="37"/>
      <c r="HH2936" s="37"/>
      <c r="HI2936" s="37"/>
      <c r="HJ2936" s="37"/>
      <c r="HK2936" s="37"/>
      <c r="HL2936" s="37"/>
      <c r="HM2936" s="37"/>
      <c r="HN2936" s="37"/>
      <c r="HO2936" s="37"/>
      <c r="HP2936" s="37"/>
      <c r="HQ2936" s="37"/>
      <c r="HR2936" s="37"/>
      <c r="HS2936" s="37"/>
      <c r="HT2936" s="37"/>
      <c r="HU2936" s="37"/>
      <c r="HV2936" s="37"/>
      <c r="HW2936" s="37"/>
      <c r="HX2936" s="37"/>
      <c r="HY2936" s="37"/>
      <c r="HZ2936" s="37"/>
      <c r="IA2936" s="37"/>
      <c r="IB2936" s="37"/>
      <c r="IC2936" s="37"/>
      <c r="ID2936" s="37"/>
      <c r="IE2936" s="37"/>
      <c r="IF2936" s="37"/>
      <c r="IG2936" s="37"/>
      <c r="IH2936" s="37"/>
      <c r="II2936" s="37"/>
      <c r="IJ2936" s="37"/>
      <c r="IK2936" s="37"/>
      <c r="IL2936" s="37"/>
      <c r="IM2936" s="37"/>
      <c r="IN2936" s="37"/>
      <c r="IO2936" s="37"/>
      <c r="IP2936" s="37"/>
      <c r="IQ2936" s="37"/>
      <c r="IR2936" s="37"/>
      <c r="IS2936" s="37"/>
      <c r="IT2936" s="37"/>
      <c r="IU2936" s="37"/>
      <c r="IV2936" s="37"/>
      <c r="IW2936" s="37"/>
      <c r="IX2936" s="37"/>
      <c r="IY2936" s="37"/>
      <c r="IZ2936" s="37"/>
      <c r="JA2936" s="37"/>
      <c r="JB2936" s="37"/>
      <c r="JC2936" s="37"/>
      <c r="JD2936" s="37"/>
      <c r="JE2936" s="37"/>
      <c r="JF2936" s="37"/>
      <c r="JG2936" s="37"/>
      <c r="JH2936" s="37"/>
      <c r="JI2936" s="37"/>
      <c r="JJ2936" s="37"/>
      <c r="JK2936" s="37"/>
      <c r="JL2936" s="37"/>
      <c r="JM2936" s="37"/>
      <c r="JN2936" s="37"/>
      <c r="JO2936" s="37"/>
      <c r="JP2936" s="37"/>
      <c r="JQ2936" s="37"/>
      <c r="JR2936" s="37"/>
      <c r="JS2936" s="37"/>
      <c r="JT2936" s="37"/>
      <c r="JU2936" s="37"/>
      <c r="JV2936" s="37"/>
      <c r="JW2936" s="37"/>
      <c r="JX2936" s="37"/>
      <c r="JY2936" s="37"/>
      <c r="JZ2936" s="37"/>
      <c r="KA2936" s="37"/>
      <c r="KB2936" s="37"/>
      <c r="KC2936" s="37"/>
      <c r="KD2936" s="37"/>
      <c r="KE2936" s="37"/>
      <c r="KF2936" s="37"/>
      <c r="KG2936" s="37"/>
      <c r="KH2936" s="37"/>
      <c r="KI2936" s="37"/>
      <c r="KJ2936" s="37"/>
      <c r="KK2936" s="37"/>
      <c r="KL2936" s="37"/>
      <c r="KM2936" s="37"/>
      <c r="KN2936" s="37"/>
      <c r="KO2936" s="37"/>
      <c r="KP2936" s="37"/>
      <c r="KQ2936" s="37"/>
      <c r="KR2936" s="37"/>
      <c r="KS2936" s="37"/>
      <c r="KT2936" s="37"/>
      <c r="KU2936" s="37"/>
      <c r="KV2936" s="37"/>
      <c r="KW2936" s="37"/>
      <c r="KX2936" s="37"/>
      <c r="KY2936" s="37"/>
      <c r="KZ2936" s="37"/>
      <c r="LA2936" s="37"/>
      <c r="LB2936" s="37"/>
      <c r="LC2936" s="37"/>
      <c r="LD2936" s="37"/>
      <c r="LE2936" s="37"/>
      <c r="LF2936" s="37"/>
      <c r="LG2936" s="37"/>
      <c r="LH2936" s="37"/>
      <c r="LI2936" s="37"/>
      <c r="LJ2936" s="37"/>
      <c r="LK2936" s="37"/>
      <c r="LL2936" s="37"/>
      <c r="LM2936" s="37"/>
      <c r="LN2936" s="37"/>
      <c r="LO2936" s="37"/>
      <c r="LP2936" s="37"/>
      <c r="LQ2936" s="37"/>
      <c r="LR2936" s="37"/>
      <c r="LS2936" s="37"/>
      <c r="LT2936" s="37"/>
      <c r="LU2936" s="37"/>
      <c r="LV2936" s="37"/>
      <c r="LW2936" s="37"/>
      <c r="LX2936" s="37"/>
      <c r="LY2936" s="37"/>
      <c r="LZ2936" s="37"/>
      <c r="MA2936" s="37"/>
      <c r="MB2936" s="37"/>
      <c r="MC2936" s="37"/>
      <c r="MD2936" s="37"/>
      <c r="ME2936" s="37"/>
      <c r="MF2936" s="37"/>
      <c r="MG2936" s="37"/>
      <c r="MH2936" s="37"/>
      <c r="MI2936" s="37"/>
      <c r="MJ2936" s="37"/>
      <c r="MK2936" s="37"/>
      <c r="ML2936" s="37"/>
      <c r="MM2936" s="37"/>
      <c r="MN2936" s="37"/>
      <c r="MO2936" s="37"/>
      <c r="MP2936" s="37"/>
      <c r="MQ2936" s="37"/>
      <c r="MR2936" s="37"/>
      <c r="MS2936" s="37"/>
      <c r="MT2936" s="37"/>
      <c r="MU2936" s="37"/>
      <c r="MV2936" s="37"/>
      <c r="MW2936" s="37"/>
      <c r="MX2936" s="37"/>
      <c r="MY2936" s="37"/>
      <c r="MZ2936" s="37"/>
      <c r="NA2936" s="37"/>
      <c r="NB2936" s="37"/>
      <c r="NC2936" s="37"/>
      <c r="ND2936" s="37"/>
      <c r="NE2936" s="37"/>
      <c r="NF2936" s="37"/>
      <c r="NG2936" s="37"/>
      <c r="NH2936" s="37"/>
      <c r="NI2936" s="37"/>
      <c r="NJ2936" s="37"/>
      <c r="NK2936" s="37"/>
      <c r="NL2936" s="37"/>
      <c r="NM2936" s="37"/>
      <c r="NN2936" s="37"/>
      <c r="NO2936" s="37"/>
      <c r="NP2936" s="37"/>
      <c r="NQ2936" s="37"/>
      <c r="NR2936" s="37"/>
      <c r="NS2936" s="37"/>
      <c r="NT2936" s="37"/>
      <c r="NU2936" s="37"/>
      <c r="NV2936" s="37"/>
      <c r="NW2936" s="37"/>
      <c r="NX2936" s="37"/>
      <c r="NY2936" s="37"/>
      <c r="NZ2936" s="37"/>
      <c r="OA2936" s="37"/>
      <c r="OB2936" s="37"/>
      <c r="OC2936" s="37"/>
      <c r="OD2936" s="37"/>
      <c r="OE2936" s="37"/>
      <c r="OF2936" s="37"/>
      <c r="OG2936" s="37"/>
      <c r="OH2936" s="37"/>
      <c r="OI2936" s="37"/>
      <c r="OJ2936" s="37"/>
      <c r="OK2936" s="37"/>
      <c r="OL2936" s="37"/>
      <c r="OM2936" s="37"/>
      <c r="ON2936" s="37"/>
      <c r="OO2936" s="37"/>
      <c r="OP2936" s="37"/>
      <c r="OQ2936" s="37"/>
      <c r="OR2936" s="37"/>
      <c r="OS2936" s="37"/>
      <c r="OT2936" s="37"/>
      <c r="OU2936" s="37"/>
      <c r="OV2936" s="37"/>
      <c r="OW2936" s="37"/>
      <c r="OX2936" s="37"/>
      <c r="OY2936" s="37"/>
      <c r="OZ2936" s="37"/>
      <c r="PA2936" s="37"/>
      <c r="PB2936" s="37"/>
      <c r="PC2936" s="37"/>
      <c r="PD2936" s="37"/>
      <c r="PE2936" s="37"/>
      <c r="PF2936" s="37"/>
      <c r="PG2936" s="37"/>
      <c r="PH2936" s="37"/>
      <c r="PI2936" s="37"/>
      <c r="PJ2936" s="37"/>
      <c r="PK2936" s="37"/>
      <c r="PL2936" s="37"/>
      <c r="PM2936" s="37"/>
      <c r="PN2936" s="37"/>
      <c r="PO2936" s="37"/>
      <c r="PP2936" s="37"/>
      <c r="PQ2936" s="37"/>
      <c r="PR2936" s="37"/>
      <c r="PS2936" s="37"/>
      <c r="PT2936" s="37"/>
      <c r="PU2936" s="37"/>
      <c r="PV2936" s="37"/>
      <c r="PW2936" s="37"/>
      <c r="PX2936" s="37"/>
      <c r="PY2936" s="37"/>
      <c r="PZ2936" s="37"/>
      <c r="QA2936" s="37"/>
      <c r="QB2936" s="37"/>
      <c r="QC2936" s="37"/>
      <c r="QD2936" s="37"/>
      <c r="QE2936" s="37"/>
      <c r="QF2936" s="37"/>
      <c r="QG2936" s="37"/>
      <c r="QH2936" s="37"/>
      <c r="QI2936" s="37"/>
      <c r="QJ2936" s="37"/>
      <c r="QK2936" s="37"/>
      <c r="QL2936" s="37"/>
      <c r="QM2936" s="37"/>
      <c r="QN2936" s="37"/>
      <c r="QO2936" s="37"/>
      <c r="QP2936" s="37"/>
      <c r="QQ2936" s="37"/>
      <c r="QR2936" s="37"/>
      <c r="QS2936" s="37"/>
      <c r="QT2936" s="37"/>
      <c r="QU2936" s="37"/>
      <c r="QV2936" s="37"/>
      <c r="QW2936" s="37"/>
      <c r="QX2936" s="37"/>
      <c r="QY2936" s="37"/>
      <c r="QZ2936" s="37"/>
      <c r="RA2936" s="37"/>
      <c r="RB2936" s="37"/>
      <c r="RC2936" s="37"/>
      <c r="RD2936" s="37"/>
      <c r="RE2936" s="37"/>
      <c r="RF2936" s="37"/>
      <c r="RG2936" s="37"/>
      <c r="RH2936" s="37"/>
      <c r="RI2936" s="37"/>
      <c r="RJ2936" s="37"/>
      <c r="RK2936" s="37"/>
      <c r="RL2936" s="37"/>
      <c r="RM2936" s="37"/>
      <c r="RN2936" s="37"/>
      <c r="RO2936" s="37"/>
      <c r="RP2936" s="37"/>
      <c r="RQ2936" s="37"/>
      <c r="RR2936" s="37"/>
      <c r="RS2936" s="37"/>
      <c r="RT2936" s="37"/>
      <c r="RU2936" s="37"/>
      <c r="RV2936" s="37"/>
      <c r="RW2936" s="37"/>
      <c r="RX2936" s="37"/>
      <c r="RY2936" s="37"/>
      <c r="RZ2936" s="37"/>
      <c r="SA2936" s="37"/>
      <c r="SB2936" s="37"/>
      <c r="SC2936" s="37"/>
      <c r="SD2936" s="37"/>
      <c r="SE2936" s="37"/>
      <c r="SF2936" s="37"/>
    </row>
    <row r="2937" spans="1:500">
      <c r="A2937" s="37"/>
      <c r="B2937" s="37"/>
      <c r="C2937" s="37"/>
      <c r="D2937" s="37"/>
      <c r="E2937" s="37"/>
      <c r="F2937" s="37"/>
      <c r="G2937" s="37"/>
      <c r="H2937" s="37"/>
      <c r="I2937" s="37"/>
      <c r="J2937" s="37"/>
      <c r="K2937" s="37"/>
      <c r="L2937" s="37"/>
      <c r="M2937" s="37"/>
      <c r="N2937" s="37"/>
      <c r="O2937" s="37"/>
      <c r="P2937" s="37"/>
      <c r="Q2937" s="37"/>
      <c r="R2937" s="37"/>
      <c r="S2937" s="37"/>
      <c r="T2937" s="37"/>
      <c r="U2937" s="37"/>
      <c r="V2937" s="37"/>
      <c r="W2937" s="37"/>
      <c r="X2937" s="37"/>
      <c r="Y2937" s="37"/>
      <c r="Z2937" s="37"/>
      <c r="AA2937" s="37"/>
      <c r="AB2937" s="37"/>
      <c r="AC2937" s="37"/>
      <c r="AD2937" s="37"/>
      <c r="AE2937" s="37"/>
      <c r="AF2937" s="37"/>
      <c r="AG2937" s="37"/>
      <c r="AH2937" s="37"/>
      <c r="AI2937" s="37"/>
      <c r="AJ2937" s="37"/>
      <c r="AK2937" s="37"/>
      <c r="AL2937" s="37"/>
      <c r="AM2937" s="37"/>
      <c r="AN2937" s="37"/>
      <c r="AO2937" s="37"/>
      <c r="AP2937" s="37"/>
      <c r="AQ2937" s="37"/>
      <c r="AR2937" s="37"/>
      <c r="AS2937" s="37"/>
      <c r="AT2937" s="37"/>
      <c r="AU2937" s="37"/>
      <c r="AV2937" s="37"/>
      <c r="AW2937" s="37"/>
      <c r="AX2937" s="37"/>
      <c r="AY2937" s="37"/>
      <c r="AZ2937" s="37"/>
      <c r="BA2937" s="37"/>
      <c r="BB2937" s="37"/>
      <c r="BC2937" s="37"/>
      <c r="BD2937" s="37"/>
      <c r="BE2937" s="37"/>
      <c r="BF2937" s="37"/>
      <c r="BG2937" s="37"/>
      <c r="BH2937" s="37"/>
      <c r="BI2937" s="37"/>
      <c r="BJ2937" s="37"/>
      <c r="BK2937" s="37"/>
      <c r="BL2937" s="37"/>
      <c r="BM2937" s="37"/>
      <c r="BN2937" s="37"/>
      <c r="BO2937" s="37"/>
      <c r="BP2937" s="37"/>
      <c r="BQ2937" s="37"/>
      <c r="BR2937" s="37"/>
      <c r="BS2937" s="37"/>
      <c r="BT2937" s="37"/>
      <c r="BU2937" s="37"/>
      <c r="BV2937" s="37"/>
      <c r="BW2937" s="37"/>
      <c r="BX2937" s="37"/>
      <c r="BY2937" s="37"/>
      <c r="BZ2937" s="37"/>
      <c r="CA2937" s="37"/>
      <c r="CB2937" s="37"/>
      <c r="CC2937" s="37"/>
      <c r="CD2937" s="37"/>
      <c r="CE2937" s="37"/>
      <c r="CF2937" s="37"/>
      <c r="CG2937" s="37"/>
      <c r="CH2937" s="37"/>
      <c r="CI2937" s="37"/>
      <c r="CJ2937" s="37"/>
      <c r="CK2937" s="37"/>
      <c r="CL2937" s="37"/>
      <c r="CM2937" s="37"/>
      <c r="CN2937" s="37"/>
      <c r="CO2937" s="37"/>
      <c r="CP2937" s="37"/>
      <c r="CQ2937" s="37"/>
      <c r="CR2937" s="37"/>
      <c r="CS2937" s="37"/>
      <c r="CT2937" s="37"/>
      <c r="CU2937" s="37"/>
      <c r="CV2937" s="37"/>
      <c r="CW2937" s="37"/>
      <c r="CX2937" s="37"/>
      <c r="CY2937" s="37"/>
      <c r="CZ2937" s="37"/>
      <c r="DA2937" s="37"/>
      <c r="DB2937" s="37"/>
      <c r="DC2937" s="37"/>
      <c r="DD2937" s="37"/>
      <c r="DE2937" s="37"/>
      <c r="DF2937" s="37"/>
      <c r="DG2937" s="37"/>
      <c r="DH2937" s="37"/>
      <c r="DI2937" s="37"/>
      <c r="DJ2937" s="37"/>
      <c r="DK2937" s="37"/>
      <c r="DL2937" s="37"/>
      <c r="DM2937" s="37"/>
      <c r="DN2937" s="37"/>
      <c r="DO2937" s="37"/>
      <c r="DP2937" s="37"/>
      <c r="DQ2937" s="37"/>
      <c r="DR2937" s="37"/>
      <c r="DS2937" s="37"/>
      <c r="DT2937" s="37"/>
      <c r="DU2937" s="37"/>
      <c r="DV2937" s="37"/>
      <c r="DW2937" s="37"/>
      <c r="DX2937" s="37"/>
      <c r="DY2937" s="37"/>
      <c r="DZ2937" s="37"/>
      <c r="EA2937" s="37"/>
      <c r="EB2937" s="37"/>
      <c r="EC2937" s="37"/>
      <c r="ED2937" s="37"/>
      <c r="EE2937" s="37"/>
      <c r="EF2937" s="37"/>
      <c r="EG2937" s="37"/>
      <c r="EH2937" s="37"/>
      <c r="EI2937" s="37"/>
      <c r="EJ2937" s="37"/>
      <c r="EK2937" s="37"/>
      <c r="EL2937" s="37"/>
      <c r="EM2937" s="37"/>
      <c r="EN2937" s="37"/>
      <c r="EO2937" s="37"/>
      <c r="EP2937" s="37"/>
      <c r="EQ2937" s="37"/>
      <c r="ER2937" s="37"/>
      <c r="ES2937" s="37"/>
      <c r="ET2937" s="37"/>
      <c r="EU2937" s="37"/>
      <c r="EV2937" s="37"/>
      <c r="EW2937" s="37"/>
      <c r="EX2937" s="37"/>
      <c r="EY2937" s="37"/>
      <c r="EZ2937" s="37"/>
      <c r="FA2937" s="37"/>
      <c r="FB2937" s="37"/>
      <c r="FC2937" s="37"/>
      <c r="FD2937" s="37"/>
      <c r="FE2937" s="37"/>
      <c r="FF2937" s="37"/>
      <c r="FG2937" s="37"/>
      <c r="FH2937" s="37"/>
      <c r="FI2937" s="37"/>
      <c r="FJ2937" s="37"/>
      <c r="FK2937" s="37"/>
      <c r="FL2937" s="37"/>
      <c r="FM2937" s="37"/>
      <c r="FN2937" s="37"/>
      <c r="FO2937" s="37"/>
      <c r="FP2937" s="37"/>
      <c r="FQ2937" s="37"/>
      <c r="FR2937" s="37"/>
      <c r="FS2937" s="37"/>
      <c r="FT2937" s="37"/>
      <c r="FU2937" s="37"/>
      <c r="FV2937" s="37"/>
      <c r="FW2937" s="37"/>
      <c r="FX2937" s="37"/>
      <c r="FY2937" s="37"/>
      <c r="FZ2937" s="37"/>
      <c r="GA2937" s="37"/>
      <c r="GB2937" s="37"/>
      <c r="GC2937" s="37"/>
      <c r="GD2937" s="37"/>
      <c r="GE2937" s="37"/>
      <c r="GF2937" s="37"/>
      <c r="GG2937" s="37"/>
      <c r="GH2937" s="37"/>
      <c r="GI2937" s="37"/>
      <c r="GJ2937" s="37"/>
      <c r="GK2937" s="37"/>
      <c r="GL2937" s="37"/>
      <c r="GM2937" s="37"/>
      <c r="GN2937" s="37"/>
      <c r="GO2937" s="37"/>
      <c r="GP2937" s="37"/>
      <c r="GQ2937" s="37"/>
      <c r="GR2937" s="37"/>
      <c r="GS2937" s="37"/>
      <c r="GT2937" s="37"/>
      <c r="GU2937" s="37"/>
      <c r="GV2937" s="37"/>
      <c r="GW2937" s="37"/>
      <c r="GX2937" s="37"/>
      <c r="GY2937" s="37"/>
      <c r="GZ2937" s="37"/>
      <c r="HA2937" s="37"/>
      <c r="HB2937" s="37"/>
      <c r="HC2937" s="37"/>
      <c r="HD2937" s="37"/>
      <c r="HE2937" s="37"/>
      <c r="HF2937" s="37"/>
      <c r="HG2937" s="37"/>
      <c r="HH2937" s="37"/>
      <c r="HI2937" s="37"/>
      <c r="HJ2937" s="37"/>
      <c r="HK2937" s="37"/>
      <c r="HL2937" s="37"/>
      <c r="HM2937" s="37"/>
      <c r="HN2937" s="37"/>
      <c r="HO2937" s="37"/>
      <c r="HP2937" s="37"/>
      <c r="HQ2937" s="37"/>
      <c r="HR2937" s="37"/>
      <c r="HS2937" s="37"/>
      <c r="HT2937" s="37"/>
      <c r="HU2937" s="37"/>
      <c r="HV2937" s="37"/>
      <c r="HW2937" s="37"/>
      <c r="HX2937" s="37"/>
      <c r="HY2937" s="37"/>
      <c r="HZ2937" s="37"/>
      <c r="IA2937" s="37"/>
      <c r="IB2937" s="37"/>
      <c r="IC2937" s="37"/>
      <c r="ID2937" s="37"/>
      <c r="IE2937" s="37"/>
      <c r="IF2937" s="37"/>
      <c r="IG2937" s="37"/>
      <c r="IH2937" s="37"/>
      <c r="II2937" s="37"/>
      <c r="IJ2937" s="37"/>
      <c r="IK2937" s="37"/>
      <c r="IL2937" s="37"/>
      <c r="IM2937" s="37"/>
      <c r="IN2937" s="37"/>
      <c r="IO2937" s="37"/>
      <c r="IP2937" s="37"/>
      <c r="IQ2937" s="37"/>
      <c r="IR2937" s="37"/>
      <c r="IS2937" s="37"/>
      <c r="IT2937" s="37"/>
      <c r="IU2937" s="37"/>
      <c r="IV2937" s="37"/>
      <c r="IW2937" s="37"/>
      <c r="IX2937" s="37"/>
      <c r="IY2937" s="37"/>
      <c r="IZ2937" s="37"/>
      <c r="JA2937" s="37"/>
      <c r="JB2937" s="37"/>
      <c r="JC2937" s="37"/>
      <c r="JD2937" s="37"/>
      <c r="JE2937" s="37"/>
      <c r="JF2937" s="37"/>
      <c r="JG2937" s="37"/>
      <c r="JH2937" s="37"/>
      <c r="JI2937" s="37"/>
      <c r="JJ2937" s="37"/>
      <c r="JK2937" s="37"/>
      <c r="JL2937" s="37"/>
      <c r="JM2937" s="37"/>
      <c r="JN2937" s="37"/>
      <c r="JO2937" s="37"/>
      <c r="JP2937" s="37"/>
      <c r="JQ2937" s="37"/>
      <c r="JR2937" s="37"/>
      <c r="JS2937" s="37"/>
      <c r="JT2937" s="37"/>
      <c r="JU2937" s="37"/>
      <c r="JV2937" s="37"/>
      <c r="JW2937" s="37"/>
      <c r="JX2937" s="37"/>
      <c r="JY2937" s="37"/>
      <c r="JZ2937" s="37"/>
      <c r="KA2937" s="37"/>
      <c r="KB2937" s="37"/>
      <c r="KC2937" s="37"/>
      <c r="KD2937" s="37"/>
      <c r="KE2937" s="37"/>
      <c r="KF2937" s="37"/>
      <c r="KG2937" s="37"/>
      <c r="KH2937" s="37"/>
      <c r="KI2937" s="37"/>
      <c r="KJ2937" s="37"/>
      <c r="KK2937" s="37"/>
      <c r="KL2937" s="37"/>
      <c r="KM2937" s="37"/>
      <c r="KN2937" s="37"/>
      <c r="KO2937" s="37"/>
      <c r="KP2937" s="37"/>
      <c r="KQ2937" s="37"/>
      <c r="KR2937" s="37"/>
      <c r="KS2937" s="37"/>
      <c r="KT2937" s="37"/>
      <c r="KU2937" s="37"/>
      <c r="KV2937" s="37"/>
      <c r="KW2937" s="37"/>
      <c r="KX2937" s="37"/>
      <c r="KY2937" s="37"/>
      <c r="KZ2937" s="37"/>
      <c r="LA2937" s="37"/>
      <c r="LB2937" s="37"/>
      <c r="LC2937" s="37"/>
      <c r="LD2937" s="37"/>
      <c r="LE2937" s="37"/>
      <c r="LF2937" s="37"/>
      <c r="LG2937" s="37"/>
      <c r="LH2937" s="37"/>
      <c r="LI2937" s="37"/>
      <c r="LJ2937" s="37"/>
      <c r="LK2937" s="37"/>
      <c r="LL2937" s="37"/>
      <c r="LM2937" s="37"/>
      <c r="LN2937" s="37"/>
      <c r="LO2937" s="37"/>
      <c r="LP2937" s="37"/>
      <c r="LQ2937" s="37"/>
      <c r="LR2937" s="37"/>
      <c r="LS2937" s="37"/>
      <c r="LT2937" s="37"/>
      <c r="LU2937" s="37"/>
      <c r="LV2937" s="37"/>
      <c r="LW2937" s="37"/>
      <c r="LX2937" s="37"/>
      <c r="LY2937" s="37"/>
      <c r="LZ2937" s="37"/>
      <c r="MA2937" s="37"/>
      <c r="MB2937" s="37"/>
      <c r="MC2937" s="37"/>
      <c r="MD2937" s="37"/>
      <c r="ME2937" s="37"/>
      <c r="MF2937" s="37"/>
      <c r="MG2937" s="37"/>
      <c r="MH2937" s="37"/>
      <c r="MI2937" s="37"/>
      <c r="MJ2937" s="37"/>
      <c r="MK2937" s="37"/>
      <c r="ML2937" s="37"/>
      <c r="MM2937" s="37"/>
      <c r="MN2937" s="37"/>
      <c r="MO2937" s="37"/>
      <c r="MP2937" s="37"/>
      <c r="MQ2937" s="37"/>
      <c r="MR2937" s="37"/>
      <c r="MS2937" s="37"/>
      <c r="MT2937" s="37"/>
      <c r="MU2937" s="37"/>
      <c r="MV2937" s="37"/>
      <c r="MW2937" s="37"/>
      <c r="MX2937" s="37"/>
      <c r="MY2937" s="37"/>
      <c r="MZ2937" s="37"/>
      <c r="NA2937" s="37"/>
      <c r="NB2937" s="37"/>
      <c r="NC2937" s="37"/>
      <c r="ND2937" s="37"/>
      <c r="NE2937" s="37"/>
      <c r="NF2937" s="37"/>
      <c r="NG2937" s="37"/>
      <c r="NH2937" s="37"/>
      <c r="NI2937" s="37"/>
      <c r="NJ2937" s="37"/>
      <c r="NK2937" s="37"/>
      <c r="NL2937" s="37"/>
      <c r="NM2937" s="37"/>
      <c r="NN2937" s="37"/>
      <c r="NO2937" s="37"/>
      <c r="NP2937" s="37"/>
      <c r="NQ2937" s="37"/>
      <c r="NR2937" s="37"/>
      <c r="NS2937" s="37"/>
      <c r="NT2937" s="37"/>
      <c r="NU2937" s="37"/>
      <c r="NV2937" s="37"/>
      <c r="NW2937" s="37"/>
      <c r="NX2937" s="37"/>
      <c r="NY2937" s="37"/>
      <c r="NZ2937" s="37"/>
      <c r="OA2937" s="37"/>
      <c r="OB2937" s="37"/>
      <c r="OC2937" s="37"/>
      <c r="OD2937" s="37"/>
      <c r="OE2937" s="37"/>
      <c r="OF2937" s="37"/>
      <c r="OG2937" s="37"/>
      <c r="OH2937" s="37"/>
      <c r="OI2937" s="37"/>
      <c r="OJ2937" s="37"/>
      <c r="OK2937" s="37"/>
      <c r="OL2937" s="37"/>
      <c r="OM2937" s="37"/>
      <c r="ON2937" s="37"/>
      <c r="OO2937" s="37"/>
      <c r="OP2937" s="37"/>
      <c r="OQ2937" s="37"/>
      <c r="OR2937" s="37"/>
      <c r="OS2937" s="37"/>
      <c r="OT2937" s="37"/>
      <c r="OU2937" s="37"/>
      <c r="OV2937" s="37"/>
      <c r="OW2937" s="37"/>
      <c r="OX2937" s="37"/>
      <c r="OY2937" s="37"/>
      <c r="OZ2937" s="37"/>
      <c r="PA2937" s="37"/>
      <c r="PB2937" s="37"/>
      <c r="PC2937" s="37"/>
      <c r="PD2937" s="37"/>
      <c r="PE2937" s="37"/>
      <c r="PF2937" s="37"/>
      <c r="PG2937" s="37"/>
      <c r="PH2937" s="37"/>
      <c r="PI2937" s="37"/>
      <c r="PJ2937" s="37"/>
      <c r="PK2937" s="37"/>
      <c r="PL2937" s="37"/>
      <c r="PM2937" s="37"/>
      <c r="PN2937" s="37"/>
      <c r="PO2937" s="37"/>
      <c r="PP2937" s="37"/>
      <c r="PQ2937" s="37"/>
      <c r="PR2937" s="37"/>
      <c r="PS2937" s="37"/>
      <c r="PT2937" s="37"/>
      <c r="PU2937" s="37"/>
      <c r="PV2937" s="37"/>
      <c r="PW2937" s="37"/>
      <c r="PX2937" s="37"/>
      <c r="PY2937" s="37"/>
      <c r="PZ2937" s="37"/>
      <c r="QA2937" s="37"/>
      <c r="QB2937" s="37"/>
      <c r="QC2937" s="37"/>
      <c r="QD2937" s="37"/>
      <c r="QE2937" s="37"/>
      <c r="QF2937" s="37"/>
      <c r="QG2937" s="37"/>
      <c r="QH2937" s="37"/>
      <c r="QI2937" s="37"/>
      <c r="QJ2937" s="37"/>
      <c r="QK2937" s="37"/>
      <c r="QL2937" s="37"/>
      <c r="QM2937" s="37"/>
      <c r="QN2937" s="37"/>
      <c r="QO2937" s="37"/>
      <c r="QP2937" s="37"/>
      <c r="QQ2937" s="37"/>
      <c r="QR2937" s="37"/>
      <c r="QS2937" s="37"/>
      <c r="QT2937" s="37"/>
      <c r="QU2937" s="37"/>
      <c r="QV2937" s="37"/>
      <c r="QW2937" s="37"/>
      <c r="QX2937" s="37"/>
      <c r="QY2937" s="37"/>
      <c r="QZ2937" s="37"/>
      <c r="RA2937" s="37"/>
      <c r="RB2937" s="37"/>
      <c r="RC2937" s="37"/>
      <c r="RD2937" s="37"/>
      <c r="RE2937" s="37"/>
      <c r="RF2937" s="37"/>
      <c r="RG2937" s="37"/>
      <c r="RH2937" s="37"/>
      <c r="RI2937" s="37"/>
      <c r="RJ2937" s="37"/>
      <c r="RK2937" s="37"/>
      <c r="RL2937" s="37"/>
      <c r="RM2937" s="37"/>
      <c r="RN2937" s="37"/>
      <c r="RO2937" s="37"/>
      <c r="RP2937" s="37"/>
      <c r="RQ2937" s="37"/>
      <c r="RR2937" s="37"/>
      <c r="RS2937" s="37"/>
      <c r="RT2937" s="37"/>
      <c r="RU2937" s="37"/>
      <c r="RV2937" s="37"/>
      <c r="RW2937" s="37"/>
      <c r="RX2937" s="37"/>
      <c r="RY2937" s="37"/>
      <c r="RZ2937" s="37"/>
      <c r="SA2937" s="37"/>
      <c r="SB2937" s="37"/>
      <c r="SC2937" s="37"/>
      <c r="SD2937" s="37"/>
      <c r="SE2937" s="37"/>
      <c r="SF2937" s="37"/>
    </row>
    <row r="2938" spans="1:500">
      <c r="A2938" s="37"/>
      <c r="B2938" s="37"/>
      <c r="C2938" s="37"/>
      <c r="D2938" s="37"/>
      <c r="E2938" s="37"/>
      <c r="F2938" s="37"/>
      <c r="G2938" s="37"/>
      <c r="H2938" s="37"/>
      <c r="I2938" s="37"/>
      <c r="J2938" s="37"/>
      <c r="K2938" s="37"/>
      <c r="L2938" s="37"/>
      <c r="M2938" s="37"/>
      <c r="N2938" s="37"/>
      <c r="O2938" s="37"/>
      <c r="P2938" s="37"/>
      <c r="Q2938" s="37"/>
      <c r="R2938" s="37"/>
      <c r="S2938" s="37"/>
      <c r="T2938" s="37"/>
      <c r="U2938" s="37"/>
      <c r="V2938" s="37"/>
      <c r="W2938" s="37"/>
      <c r="X2938" s="37"/>
      <c r="Y2938" s="37"/>
      <c r="Z2938" s="37"/>
      <c r="AA2938" s="37"/>
      <c r="AB2938" s="37"/>
      <c r="AC2938" s="37"/>
      <c r="AD2938" s="37"/>
      <c r="AE2938" s="37"/>
      <c r="AF2938" s="37"/>
      <c r="AG2938" s="37"/>
      <c r="AH2938" s="37"/>
      <c r="AI2938" s="37"/>
      <c r="AJ2938" s="37"/>
      <c r="AK2938" s="37"/>
      <c r="AL2938" s="37"/>
      <c r="AM2938" s="37"/>
      <c r="AN2938" s="37"/>
      <c r="AO2938" s="37"/>
      <c r="AP2938" s="37"/>
      <c r="AQ2938" s="37"/>
      <c r="AR2938" s="37"/>
      <c r="AS2938" s="37"/>
      <c r="AT2938" s="37"/>
      <c r="AU2938" s="37"/>
      <c r="AV2938" s="37"/>
      <c r="AW2938" s="37"/>
      <c r="AX2938" s="37"/>
      <c r="AY2938" s="37"/>
      <c r="AZ2938" s="37"/>
      <c r="BA2938" s="37"/>
      <c r="BB2938" s="37"/>
      <c r="BC2938" s="37"/>
      <c r="BD2938" s="37"/>
      <c r="BE2938" s="37"/>
      <c r="BF2938" s="37"/>
      <c r="BG2938" s="37"/>
      <c r="BH2938" s="37"/>
      <c r="BI2938" s="37"/>
      <c r="BJ2938" s="37"/>
      <c r="BK2938" s="37"/>
      <c r="BL2938" s="37"/>
      <c r="BM2938" s="37"/>
      <c r="BN2938" s="37"/>
      <c r="BO2938" s="37"/>
      <c r="BP2938" s="37"/>
      <c r="BQ2938" s="37"/>
      <c r="BR2938" s="37"/>
      <c r="BS2938" s="37"/>
      <c r="BT2938" s="37"/>
      <c r="BU2938" s="37"/>
      <c r="BV2938" s="37"/>
      <c r="BW2938" s="37"/>
      <c r="BX2938" s="37"/>
      <c r="BY2938" s="37"/>
      <c r="BZ2938" s="37"/>
      <c r="CA2938" s="37"/>
      <c r="CB2938" s="37"/>
      <c r="CC2938" s="37"/>
      <c r="CD2938" s="37"/>
      <c r="CE2938" s="37"/>
      <c r="CF2938" s="37"/>
      <c r="CG2938" s="37"/>
      <c r="CH2938" s="37"/>
      <c r="CI2938" s="37"/>
      <c r="CJ2938" s="37"/>
      <c r="CK2938" s="37"/>
      <c r="CL2938" s="37"/>
      <c r="CM2938" s="37"/>
      <c r="CN2938" s="37"/>
      <c r="CO2938" s="37"/>
      <c r="CP2938" s="37"/>
      <c r="CQ2938" s="37"/>
      <c r="CR2938" s="37"/>
      <c r="CS2938" s="37"/>
      <c r="CT2938" s="37"/>
      <c r="CU2938" s="37"/>
      <c r="CV2938" s="37"/>
      <c r="CW2938" s="37"/>
      <c r="CX2938" s="37"/>
      <c r="CY2938" s="37"/>
      <c r="CZ2938" s="37"/>
      <c r="DA2938" s="37"/>
      <c r="DB2938" s="37"/>
      <c r="DC2938" s="37"/>
      <c r="DD2938" s="37"/>
      <c r="DE2938" s="37"/>
      <c r="DF2938" s="37"/>
      <c r="DG2938" s="37"/>
      <c r="DH2938" s="37"/>
      <c r="DI2938" s="37"/>
      <c r="DJ2938" s="37"/>
      <c r="DK2938" s="37"/>
      <c r="DL2938" s="37"/>
      <c r="DM2938" s="37"/>
      <c r="DN2938" s="37"/>
      <c r="DO2938" s="37"/>
      <c r="DP2938" s="37"/>
      <c r="DQ2938" s="37"/>
      <c r="DR2938" s="37"/>
      <c r="DS2938" s="37"/>
      <c r="DT2938" s="37"/>
      <c r="DU2938" s="37"/>
      <c r="DV2938" s="37"/>
      <c r="DW2938" s="37"/>
      <c r="DX2938" s="37"/>
      <c r="DY2938" s="37"/>
      <c r="DZ2938" s="37"/>
      <c r="EA2938" s="37"/>
      <c r="EB2938" s="37"/>
      <c r="EC2938" s="37"/>
      <c r="ED2938" s="37"/>
      <c r="EE2938" s="37"/>
      <c r="EF2938" s="37"/>
      <c r="EG2938" s="37"/>
      <c r="EH2938" s="37"/>
      <c r="EI2938" s="37"/>
      <c r="EJ2938" s="37"/>
      <c r="EK2938" s="37"/>
      <c r="EL2938" s="37"/>
      <c r="EM2938" s="37"/>
      <c r="EN2938" s="37"/>
      <c r="EO2938" s="37"/>
      <c r="EP2938" s="37"/>
      <c r="EQ2938" s="37"/>
      <c r="ER2938" s="37"/>
      <c r="ES2938" s="37"/>
      <c r="ET2938" s="37"/>
      <c r="EU2938" s="37"/>
      <c r="EV2938" s="37"/>
      <c r="EW2938" s="37"/>
      <c r="EX2938" s="37"/>
      <c r="EY2938" s="37"/>
      <c r="EZ2938" s="37"/>
      <c r="FA2938" s="37"/>
      <c r="FB2938" s="37"/>
      <c r="FC2938" s="37"/>
      <c r="FD2938" s="37"/>
      <c r="FE2938" s="37"/>
      <c r="FF2938" s="37"/>
      <c r="FG2938" s="37"/>
      <c r="FH2938" s="37"/>
      <c r="FI2938" s="37"/>
      <c r="FJ2938" s="37"/>
      <c r="FK2938" s="37"/>
      <c r="FL2938" s="37"/>
      <c r="FM2938" s="37"/>
      <c r="FN2938" s="37"/>
      <c r="FO2938" s="37"/>
      <c r="FP2938" s="37"/>
      <c r="FQ2938" s="37"/>
      <c r="FR2938" s="37"/>
      <c r="FS2938" s="37"/>
      <c r="FT2938" s="37"/>
      <c r="FU2938" s="37"/>
      <c r="FV2938" s="37"/>
      <c r="FW2938" s="37"/>
      <c r="FX2938" s="37"/>
      <c r="FY2938" s="37"/>
      <c r="FZ2938" s="37"/>
      <c r="GA2938" s="37"/>
      <c r="GB2938" s="37"/>
      <c r="GC2938" s="37"/>
      <c r="GD2938" s="37"/>
      <c r="GE2938" s="37"/>
      <c r="GF2938" s="37"/>
      <c r="GG2938" s="37"/>
      <c r="GH2938" s="37"/>
      <c r="GI2938" s="37"/>
      <c r="GJ2938" s="37"/>
      <c r="GK2938" s="37"/>
      <c r="GL2938" s="37"/>
      <c r="GM2938" s="37"/>
      <c r="GN2938" s="37"/>
      <c r="GO2938" s="37"/>
      <c r="GP2938" s="37"/>
      <c r="GQ2938" s="37"/>
      <c r="GR2938" s="37"/>
      <c r="GS2938" s="37"/>
      <c r="GT2938" s="37"/>
      <c r="GU2938" s="37"/>
      <c r="GV2938" s="37"/>
      <c r="GW2938" s="37"/>
      <c r="GX2938" s="37"/>
      <c r="GY2938" s="37"/>
      <c r="GZ2938" s="37"/>
      <c r="HA2938" s="37"/>
      <c r="HB2938" s="37"/>
      <c r="HC2938" s="37"/>
      <c r="HD2938" s="37"/>
      <c r="HE2938" s="37"/>
      <c r="HF2938" s="37"/>
      <c r="HG2938" s="37"/>
      <c r="HH2938" s="37"/>
      <c r="HI2938" s="37"/>
      <c r="HJ2938" s="37"/>
      <c r="HK2938" s="37"/>
      <c r="HL2938" s="37"/>
      <c r="HM2938" s="37"/>
      <c r="HN2938" s="37"/>
      <c r="HO2938" s="37"/>
      <c r="HP2938" s="37"/>
      <c r="HQ2938" s="37"/>
      <c r="HR2938" s="37"/>
      <c r="HS2938" s="37"/>
      <c r="HT2938" s="37"/>
      <c r="HU2938" s="37"/>
      <c r="HV2938" s="37"/>
      <c r="HW2938" s="37"/>
      <c r="HX2938" s="37"/>
      <c r="HY2938" s="37"/>
      <c r="HZ2938" s="37"/>
      <c r="IA2938" s="37"/>
      <c r="IB2938" s="37"/>
      <c r="IC2938" s="37"/>
      <c r="ID2938" s="37"/>
      <c r="IE2938" s="37"/>
      <c r="IF2938" s="37"/>
      <c r="IG2938" s="37"/>
      <c r="IH2938" s="37"/>
      <c r="II2938" s="37"/>
      <c r="IJ2938" s="37"/>
      <c r="IK2938" s="37"/>
      <c r="IL2938" s="37"/>
      <c r="IM2938" s="37"/>
      <c r="IN2938" s="37"/>
      <c r="IO2938" s="37"/>
      <c r="IP2938" s="37"/>
      <c r="IQ2938" s="37"/>
      <c r="IR2938" s="37"/>
      <c r="IS2938" s="37"/>
      <c r="IT2938" s="37"/>
      <c r="IU2938" s="37"/>
      <c r="IV2938" s="37"/>
      <c r="IW2938" s="37"/>
      <c r="IX2938" s="37"/>
      <c r="IY2938" s="37"/>
      <c r="IZ2938" s="37"/>
      <c r="JA2938" s="37"/>
      <c r="JB2938" s="37"/>
      <c r="JC2938" s="37"/>
      <c r="JD2938" s="37"/>
      <c r="JE2938" s="37"/>
      <c r="JF2938" s="37"/>
      <c r="JG2938" s="37"/>
      <c r="JH2938" s="37"/>
      <c r="JI2938" s="37"/>
      <c r="JJ2938" s="37"/>
      <c r="JK2938" s="37"/>
      <c r="JL2938" s="37"/>
      <c r="JM2938" s="37"/>
      <c r="JN2938" s="37"/>
      <c r="JO2938" s="37"/>
      <c r="JP2938" s="37"/>
      <c r="JQ2938" s="37"/>
      <c r="JR2938" s="37"/>
      <c r="JS2938" s="37"/>
      <c r="JT2938" s="37"/>
      <c r="JU2938" s="37"/>
      <c r="JV2938" s="37"/>
      <c r="JW2938" s="37"/>
      <c r="JX2938" s="37"/>
      <c r="JY2938" s="37"/>
      <c r="JZ2938" s="37"/>
      <c r="KA2938" s="37"/>
      <c r="KB2938" s="37"/>
      <c r="KC2938" s="37"/>
      <c r="KD2938" s="37"/>
      <c r="KE2938" s="37"/>
      <c r="KF2938" s="37"/>
      <c r="KG2938" s="37"/>
      <c r="KH2938" s="37"/>
      <c r="KI2938" s="37"/>
      <c r="KJ2938" s="37"/>
      <c r="KK2938" s="37"/>
      <c r="KL2938" s="37"/>
      <c r="KM2938" s="37"/>
      <c r="KN2938" s="37"/>
      <c r="KO2938" s="37"/>
      <c r="KP2938" s="37"/>
      <c r="KQ2938" s="37"/>
      <c r="KR2938" s="37"/>
      <c r="KS2938" s="37"/>
      <c r="KT2938" s="37"/>
      <c r="KU2938" s="37"/>
      <c r="KV2938" s="37"/>
      <c r="KW2938" s="37"/>
      <c r="KX2938" s="37"/>
      <c r="KY2938" s="37"/>
      <c r="KZ2938" s="37"/>
      <c r="LA2938" s="37"/>
      <c r="LB2938" s="37"/>
      <c r="LC2938" s="37"/>
      <c r="LD2938" s="37"/>
      <c r="LE2938" s="37"/>
      <c r="LF2938" s="37"/>
      <c r="LG2938" s="37"/>
      <c r="LH2938" s="37"/>
      <c r="LI2938" s="37"/>
      <c r="LJ2938" s="37"/>
      <c r="LK2938" s="37"/>
      <c r="LL2938" s="37"/>
      <c r="LM2938" s="37"/>
      <c r="LN2938" s="37"/>
      <c r="LO2938" s="37"/>
      <c r="LP2938" s="37"/>
      <c r="LQ2938" s="37"/>
      <c r="LR2938" s="37"/>
      <c r="LS2938" s="37"/>
      <c r="LT2938" s="37"/>
      <c r="LU2938" s="37"/>
      <c r="LV2938" s="37"/>
      <c r="LW2938" s="37"/>
      <c r="LX2938" s="37"/>
      <c r="LY2938" s="37"/>
      <c r="LZ2938" s="37"/>
      <c r="MA2938" s="37"/>
      <c r="MB2938" s="37"/>
      <c r="MC2938" s="37"/>
      <c r="MD2938" s="37"/>
      <c r="ME2938" s="37"/>
      <c r="MF2938" s="37"/>
      <c r="MG2938" s="37"/>
      <c r="MH2938" s="37"/>
      <c r="MI2938" s="37"/>
      <c r="MJ2938" s="37"/>
      <c r="MK2938" s="37"/>
      <c r="ML2938" s="37"/>
      <c r="MM2938" s="37"/>
      <c r="MN2938" s="37"/>
      <c r="MO2938" s="37"/>
      <c r="MP2938" s="37"/>
      <c r="MQ2938" s="37"/>
      <c r="MR2938" s="37"/>
      <c r="MS2938" s="37"/>
      <c r="MT2938" s="37"/>
      <c r="MU2938" s="37"/>
      <c r="MV2938" s="37"/>
      <c r="MW2938" s="37"/>
      <c r="MX2938" s="37"/>
      <c r="MY2938" s="37"/>
      <c r="MZ2938" s="37"/>
      <c r="NA2938" s="37"/>
      <c r="NB2938" s="37"/>
      <c r="NC2938" s="37"/>
      <c r="ND2938" s="37"/>
      <c r="NE2938" s="37"/>
      <c r="NF2938" s="37"/>
      <c r="NG2938" s="37"/>
      <c r="NH2938" s="37"/>
      <c r="NI2938" s="37"/>
      <c r="NJ2938" s="37"/>
      <c r="NK2938" s="37"/>
      <c r="NL2938" s="37"/>
      <c r="NM2938" s="37"/>
      <c r="NN2938" s="37"/>
      <c r="NO2938" s="37"/>
      <c r="NP2938" s="37"/>
      <c r="NQ2938" s="37"/>
      <c r="NR2938" s="37"/>
      <c r="NS2938" s="37"/>
      <c r="NT2938" s="37"/>
      <c r="NU2938" s="37"/>
      <c r="NV2938" s="37"/>
      <c r="NW2938" s="37"/>
      <c r="NX2938" s="37"/>
      <c r="NY2938" s="37"/>
      <c r="NZ2938" s="37"/>
      <c r="OA2938" s="37"/>
      <c r="OB2938" s="37"/>
      <c r="OC2938" s="37"/>
      <c r="OD2938" s="37"/>
      <c r="OE2938" s="37"/>
      <c r="OF2938" s="37"/>
      <c r="OG2938" s="37"/>
      <c r="OH2938" s="37"/>
      <c r="OI2938" s="37"/>
      <c r="OJ2938" s="37"/>
      <c r="OK2938" s="37"/>
      <c r="OL2938" s="37"/>
      <c r="OM2938" s="37"/>
      <c r="ON2938" s="37"/>
      <c r="OO2938" s="37"/>
      <c r="OP2938" s="37"/>
      <c r="OQ2938" s="37"/>
      <c r="OR2938" s="37"/>
      <c r="OS2938" s="37"/>
      <c r="OT2938" s="37"/>
      <c r="OU2938" s="37"/>
      <c r="OV2938" s="37"/>
      <c r="OW2938" s="37"/>
      <c r="OX2938" s="37"/>
      <c r="OY2938" s="37"/>
      <c r="OZ2938" s="37"/>
      <c r="PA2938" s="37"/>
      <c r="PB2938" s="37"/>
      <c r="PC2938" s="37"/>
      <c r="PD2938" s="37"/>
      <c r="PE2938" s="37"/>
      <c r="PF2938" s="37"/>
      <c r="PG2938" s="37"/>
      <c r="PH2938" s="37"/>
      <c r="PI2938" s="37"/>
      <c r="PJ2938" s="37"/>
      <c r="PK2938" s="37"/>
      <c r="PL2938" s="37"/>
      <c r="PM2938" s="37"/>
      <c r="PN2938" s="37"/>
      <c r="PO2938" s="37"/>
      <c r="PP2938" s="37"/>
      <c r="PQ2938" s="37"/>
      <c r="PR2938" s="37"/>
      <c r="PS2938" s="37"/>
      <c r="PT2938" s="37"/>
      <c r="PU2938" s="37"/>
      <c r="PV2938" s="37"/>
      <c r="PW2938" s="37"/>
      <c r="PX2938" s="37"/>
      <c r="PY2938" s="37"/>
      <c r="PZ2938" s="37"/>
      <c r="QA2938" s="37"/>
      <c r="QB2938" s="37"/>
      <c r="QC2938" s="37"/>
      <c r="QD2938" s="37"/>
      <c r="QE2938" s="37"/>
      <c r="QF2938" s="37"/>
      <c r="QG2938" s="37"/>
      <c r="QH2938" s="37"/>
      <c r="QI2938" s="37"/>
      <c r="QJ2938" s="37"/>
      <c r="QK2938" s="37"/>
      <c r="QL2938" s="37"/>
      <c r="QM2938" s="37"/>
      <c r="QN2938" s="37"/>
      <c r="QO2938" s="37"/>
      <c r="QP2938" s="37"/>
      <c r="QQ2938" s="37"/>
      <c r="QR2938" s="37"/>
      <c r="QS2938" s="37"/>
      <c r="QT2938" s="37"/>
      <c r="QU2938" s="37"/>
      <c r="QV2938" s="37"/>
      <c r="QW2938" s="37"/>
      <c r="QX2938" s="37"/>
      <c r="QY2938" s="37"/>
      <c r="QZ2938" s="37"/>
      <c r="RA2938" s="37"/>
      <c r="RB2938" s="37"/>
      <c r="RC2938" s="37"/>
      <c r="RD2938" s="37"/>
      <c r="RE2938" s="37"/>
      <c r="RF2938" s="37"/>
      <c r="RG2938" s="37"/>
      <c r="RH2938" s="37"/>
      <c r="RI2938" s="37"/>
      <c r="RJ2938" s="37"/>
      <c r="RK2938" s="37"/>
      <c r="RL2938" s="37"/>
      <c r="RM2938" s="37"/>
      <c r="RN2938" s="37"/>
      <c r="RO2938" s="37"/>
      <c r="RP2938" s="37"/>
      <c r="RQ2938" s="37"/>
      <c r="RR2938" s="37"/>
      <c r="RS2938" s="37"/>
      <c r="RT2938" s="37"/>
      <c r="RU2938" s="37"/>
      <c r="RV2938" s="37"/>
      <c r="RW2938" s="37"/>
      <c r="RX2938" s="37"/>
      <c r="RY2938" s="37"/>
      <c r="RZ2938" s="37"/>
      <c r="SA2938" s="37"/>
      <c r="SB2938" s="37"/>
      <c r="SC2938" s="37"/>
      <c r="SD2938" s="37"/>
      <c r="SE2938" s="37"/>
      <c r="SF2938" s="37"/>
    </row>
    <row r="2939" spans="1:500">
      <c r="A2939" s="37"/>
      <c r="B2939" s="37"/>
      <c r="C2939" s="37"/>
      <c r="D2939" s="37"/>
      <c r="E2939" s="37"/>
      <c r="F2939" s="37"/>
      <c r="G2939" s="37"/>
      <c r="H2939" s="37"/>
      <c r="I2939" s="37"/>
      <c r="J2939" s="37"/>
      <c r="K2939" s="37"/>
      <c r="L2939" s="37"/>
      <c r="M2939" s="37"/>
      <c r="N2939" s="37"/>
      <c r="O2939" s="37"/>
      <c r="P2939" s="37"/>
      <c r="Q2939" s="37"/>
      <c r="R2939" s="37"/>
      <c r="S2939" s="37"/>
      <c r="T2939" s="37"/>
      <c r="U2939" s="37"/>
      <c r="V2939" s="37"/>
      <c r="W2939" s="37"/>
      <c r="X2939" s="37"/>
      <c r="Y2939" s="37"/>
      <c r="Z2939" s="37"/>
      <c r="AA2939" s="37"/>
      <c r="AB2939" s="37"/>
      <c r="AC2939" s="37"/>
      <c r="AD2939" s="37"/>
      <c r="AE2939" s="37"/>
      <c r="AF2939" s="37"/>
      <c r="AG2939" s="37"/>
      <c r="AH2939" s="37"/>
      <c r="AI2939" s="37"/>
      <c r="AJ2939" s="37"/>
      <c r="AK2939" s="37"/>
      <c r="AL2939" s="37"/>
      <c r="AM2939" s="37"/>
      <c r="AN2939" s="37"/>
      <c r="AO2939" s="37"/>
      <c r="AP2939" s="37"/>
      <c r="AQ2939" s="37"/>
      <c r="AR2939" s="37"/>
      <c r="AS2939" s="37"/>
      <c r="AT2939" s="37"/>
      <c r="AU2939" s="37"/>
      <c r="AV2939" s="37"/>
      <c r="AW2939" s="37"/>
      <c r="AX2939" s="37"/>
      <c r="AY2939" s="37"/>
      <c r="AZ2939" s="37"/>
      <c r="BA2939" s="37"/>
      <c r="BB2939" s="37"/>
      <c r="BC2939" s="37"/>
      <c r="BD2939" s="37"/>
      <c r="BE2939" s="37"/>
      <c r="BF2939" s="37"/>
      <c r="BG2939" s="37"/>
      <c r="BH2939" s="37"/>
      <c r="BI2939" s="37"/>
      <c r="BJ2939" s="37"/>
      <c r="BK2939" s="37"/>
      <c r="BL2939" s="37"/>
      <c r="BM2939" s="37"/>
      <c r="BN2939" s="37"/>
      <c r="BO2939" s="37"/>
      <c r="BP2939" s="37"/>
      <c r="BQ2939" s="37"/>
      <c r="BR2939" s="37"/>
      <c r="BS2939" s="37"/>
      <c r="BT2939" s="37"/>
      <c r="BU2939" s="37"/>
      <c r="BV2939" s="37"/>
      <c r="BW2939" s="37"/>
      <c r="BX2939" s="37"/>
      <c r="BY2939" s="37"/>
      <c r="BZ2939" s="37"/>
      <c r="CA2939" s="37"/>
      <c r="CB2939" s="37"/>
      <c r="CC2939" s="37"/>
      <c r="CD2939" s="37"/>
      <c r="CE2939" s="37"/>
      <c r="CF2939" s="37"/>
      <c r="CG2939" s="37"/>
      <c r="CH2939" s="37"/>
      <c r="CI2939" s="37"/>
      <c r="CJ2939" s="37"/>
      <c r="CK2939" s="37"/>
      <c r="CL2939" s="37"/>
      <c r="CM2939" s="37"/>
      <c r="CN2939" s="37"/>
      <c r="CO2939" s="37"/>
      <c r="CP2939" s="37"/>
      <c r="CQ2939" s="37"/>
      <c r="CR2939" s="37"/>
      <c r="CS2939" s="37"/>
      <c r="CT2939" s="37"/>
      <c r="CU2939" s="37"/>
      <c r="CV2939" s="37"/>
      <c r="CW2939" s="37"/>
      <c r="CX2939" s="37"/>
      <c r="CY2939" s="37"/>
      <c r="CZ2939" s="37"/>
      <c r="DA2939" s="37"/>
      <c r="DB2939" s="37"/>
      <c r="DC2939" s="37"/>
      <c r="DD2939" s="37"/>
      <c r="DE2939" s="37"/>
      <c r="DF2939" s="37"/>
      <c r="DG2939" s="37"/>
      <c r="DH2939" s="37"/>
      <c r="DI2939" s="37"/>
      <c r="DJ2939" s="37"/>
      <c r="DK2939" s="37"/>
      <c r="DL2939" s="37"/>
      <c r="DM2939" s="37"/>
      <c r="DN2939" s="37"/>
      <c r="DO2939" s="37"/>
      <c r="DP2939" s="37"/>
      <c r="DQ2939" s="37"/>
      <c r="DR2939" s="37"/>
      <c r="DS2939" s="37"/>
      <c r="DT2939" s="37"/>
      <c r="DU2939" s="37"/>
      <c r="DV2939" s="37"/>
      <c r="DW2939" s="37"/>
      <c r="DX2939" s="37"/>
      <c r="DY2939" s="37"/>
      <c r="DZ2939" s="37"/>
      <c r="EA2939" s="37"/>
      <c r="EB2939" s="37"/>
      <c r="EC2939" s="37"/>
      <c r="ED2939" s="37"/>
      <c r="EE2939" s="37"/>
      <c r="EF2939" s="37"/>
      <c r="EG2939" s="37"/>
      <c r="EH2939" s="37"/>
      <c r="EI2939" s="37"/>
      <c r="EJ2939" s="37"/>
      <c r="EK2939" s="37"/>
      <c r="EL2939" s="37"/>
      <c r="EM2939" s="37"/>
      <c r="EN2939" s="37"/>
      <c r="EO2939" s="37"/>
      <c r="EP2939" s="37"/>
      <c r="EQ2939" s="37"/>
      <c r="ER2939" s="37"/>
      <c r="ES2939" s="37"/>
      <c r="ET2939" s="37"/>
      <c r="EU2939" s="37"/>
      <c r="EV2939" s="37"/>
      <c r="EW2939" s="37"/>
      <c r="EX2939" s="37"/>
      <c r="EY2939" s="37"/>
      <c r="EZ2939" s="37"/>
      <c r="FA2939" s="37"/>
      <c r="FB2939" s="37"/>
      <c r="FC2939" s="37"/>
      <c r="FD2939" s="37"/>
      <c r="FE2939" s="37"/>
      <c r="FF2939" s="37"/>
      <c r="FG2939" s="37"/>
      <c r="FH2939" s="37"/>
      <c r="FI2939" s="37"/>
      <c r="FJ2939" s="37"/>
      <c r="FK2939" s="37"/>
      <c r="FL2939" s="37"/>
      <c r="FM2939" s="37"/>
      <c r="FN2939" s="37"/>
      <c r="FO2939" s="37"/>
      <c r="FP2939" s="37"/>
      <c r="FQ2939" s="37"/>
      <c r="FR2939" s="37"/>
      <c r="FS2939" s="37"/>
      <c r="FT2939" s="37"/>
      <c r="FU2939" s="37"/>
      <c r="FV2939" s="37"/>
      <c r="FW2939" s="37"/>
      <c r="FX2939" s="37"/>
      <c r="FY2939" s="37"/>
      <c r="FZ2939" s="37"/>
      <c r="GA2939" s="37"/>
      <c r="GB2939" s="37"/>
      <c r="GC2939" s="37"/>
      <c r="GD2939" s="37"/>
      <c r="GE2939" s="37"/>
      <c r="GF2939" s="37"/>
      <c r="GG2939" s="37"/>
      <c r="GH2939" s="37"/>
      <c r="GI2939" s="37"/>
      <c r="GJ2939" s="37"/>
      <c r="GK2939" s="37"/>
      <c r="GL2939" s="37"/>
      <c r="GM2939" s="37"/>
      <c r="GN2939" s="37"/>
      <c r="GO2939" s="37"/>
      <c r="GP2939" s="37"/>
      <c r="GQ2939" s="37"/>
      <c r="GR2939" s="37"/>
      <c r="GS2939" s="37"/>
      <c r="GT2939" s="37"/>
      <c r="GU2939" s="37"/>
      <c r="GV2939" s="37"/>
      <c r="GW2939" s="37"/>
      <c r="GX2939" s="37"/>
      <c r="GY2939" s="37"/>
      <c r="GZ2939" s="37"/>
      <c r="HA2939" s="37"/>
      <c r="HB2939" s="37"/>
      <c r="HC2939" s="37"/>
      <c r="HD2939" s="37"/>
      <c r="HE2939" s="37"/>
      <c r="HF2939" s="37"/>
      <c r="HG2939" s="37"/>
      <c r="HH2939" s="37"/>
      <c r="HI2939" s="37"/>
      <c r="HJ2939" s="37"/>
      <c r="HK2939" s="37"/>
      <c r="HL2939" s="37"/>
      <c r="HM2939" s="37"/>
      <c r="HN2939" s="37"/>
      <c r="HO2939" s="37"/>
      <c r="HP2939" s="37"/>
      <c r="HQ2939" s="37"/>
      <c r="HR2939" s="37"/>
      <c r="HS2939" s="37"/>
      <c r="HT2939" s="37"/>
      <c r="HU2939" s="37"/>
      <c r="HV2939" s="37"/>
      <c r="HW2939" s="37"/>
      <c r="HX2939" s="37"/>
      <c r="HY2939" s="37"/>
      <c r="HZ2939" s="37"/>
      <c r="IA2939" s="37"/>
      <c r="IB2939" s="37"/>
      <c r="IC2939" s="37"/>
      <c r="ID2939" s="37"/>
      <c r="IE2939" s="37"/>
      <c r="IF2939" s="37"/>
      <c r="IG2939" s="37"/>
      <c r="IH2939" s="37"/>
      <c r="II2939" s="37"/>
      <c r="IJ2939" s="37"/>
      <c r="IK2939" s="37"/>
      <c r="IL2939" s="37"/>
      <c r="IM2939" s="37"/>
      <c r="IN2939" s="37"/>
      <c r="IO2939" s="37"/>
      <c r="IP2939" s="37"/>
      <c r="IQ2939" s="37"/>
      <c r="IR2939" s="37"/>
      <c r="IS2939" s="37"/>
      <c r="IT2939" s="37"/>
      <c r="IU2939" s="37"/>
      <c r="IV2939" s="37"/>
      <c r="IW2939" s="37"/>
      <c r="IX2939" s="37"/>
      <c r="IY2939" s="37"/>
      <c r="IZ2939" s="37"/>
      <c r="JA2939" s="37"/>
      <c r="JB2939" s="37"/>
      <c r="JC2939" s="37"/>
      <c r="JD2939" s="37"/>
      <c r="JE2939" s="37"/>
      <c r="JF2939" s="37"/>
      <c r="JG2939" s="37"/>
      <c r="JH2939" s="37"/>
      <c r="JI2939" s="37"/>
      <c r="JJ2939" s="37"/>
      <c r="JK2939" s="37"/>
      <c r="JL2939" s="37"/>
      <c r="JM2939" s="37"/>
      <c r="JN2939" s="37"/>
      <c r="JO2939" s="37"/>
      <c r="JP2939" s="37"/>
      <c r="JQ2939" s="37"/>
      <c r="JR2939" s="37"/>
      <c r="JS2939" s="37"/>
      <c r="JT2939" s="37"/>
      <c r="JU2939" s="37"/>
      <c r="JV2939" s="37"/>
      <c r="JW2939" s="37"/>
      <c r="JX2939" s="37"/>
      <c r="JY2939" s="37"/>
      <c r="JZ2939" s="37"/>
      <c r="KA2939" s="37"/>
      <c r="KB2939" s="37"/>
      <c r="KC2939" s="37"/>
      <c r="KD2939" s="37"/>
      <c r="KE2939" s="37"/>
      <c r="KF2939" s="37"/>
      <c r="KG2939" s="37"/>
      <c r="KH2939" s="37"/>
      <c r="KI2939" s="37"/>
      <c r="KJ2939" s="37"/>
      <c r="KK2939" s="37"/>
      <c r="KL2939" s="37"/>
      <c r="KM2939" s="37"/>
      <c r="KN2939" s="37"/>
      <c r="KO2939" s="37"/>
      <c r="KP2939" s="37"/>
      <c r="KQ2939" s="37"/>
      <c r="KR2939" s="37"/>
      <c r="KS2939" s="37"/>
      <c r="KT2939" s="37"/>
      <c r="KU2939" s="37"/>
      <c r="KV2939" s="37"/>
      <c r="KW2939" s="37"/>
      <c r="KX2939" s="37"/>
      <c r="KY2939" s="37"/>
      <c r="KZ2939" s="37"/>
      <c r="LA2939" s="37"/>
      <c r="LB2939" s="37"/>
      <c r="LC2939" s="37"/>
      <c r="LD2939" s="37"/>
      <c r="LE2939" s="37"/>
      <c r="LF2939" s="37"/>
      <c r="LG2939" s="37"/>
      <c r="LH2939" s="37"/>
      <c r="LI2939" s="37"/>
      <c r="LJ2939" s="37"/>
      <c r="LK2939" s="37"/>
      <c r="LL2939" s="37"/>
      <c r="LM2939" s="37"/>
      <c r="LN2939" s="37"/>
      <c r="LO2939" s="37"/>
      <c r="LP2939" s="37"/>
      <c r="LQ2939" s="37"/>
      <c r="LR2939" s="37"/>
      <c r="LS2939" s="37"/>
      <c r="LT2939" s="37"/>
      <c r="LU2939" s="37"/>
      <c r="LV2939" s="37"/>
      <c r="LW2939" s="37"/>
      <c r="LX2939" s="37"/>
      <c r="LY2939" s="37"/>
      <c r="LZ2939" s="37"/>
      <c r="MA2939" s="37"/>
      <c r="MB2939" s="37"/>
      <c r="MC2939" s="37"/>
      <c r="MD2939" s="37"/>
      <c r="ME2939" s="37"/>
      <c r="MF2939" s="37"/>
      <c r="MG2939" s="37"/>
      <c r="MH2939" s="37"/>
      <c r="MI2939" s="37"/>
      <c r="MJ2939" s="37"/>
      <c r="MK2939" s="37"/>
      <c r="ML2939" s="37"/>
      <c r="MM2939" s="37"/>
      <c r="MN2939" s="37"/>
      <c r="MO2939" s="37"/>
      <c r="MP2939" s="37"/>
      <c r="MQ2939" s="37"/>
      <c r="MR2939" s="37"/>
      <c r="MS2939" s="37"/>
      <c r="MT2939" s="37"/>
      <c r="MU2939" s="37"/>
      <c r="MV2939" s="37"/>
      <c r="MW2939" s="37"/>
      <c r="MX2939" s="37"/>
      <c r="MY2939" s="37"/>
      <c r="MZ2939" s="37"/>
      <c r="NA2939" s="37"/>
      <c r="NB2939" s="37"/>
      <c r="NC2939" s="37"/>
      <c r="ND2939" s="37"/>
      <c r="NE2939" s="37"/>
      <c r="NF2939" s="37"/>
      <c r="NG2939" s="37"/>
      <c r="NH2939" s="37"/>
      <c r="NI2939" s="37"/>
      <c r="NJ2939" s="37"/>
      <c r="NK2939" s="37"/>
      <c r="NL2939" s="37"/>
      <c r="NM2939" s="37"/>
      <c r="NN2939" s="37"/>
      <c r="NO2939" s="37"/>
      <c r="NP2939" s="37"/>
      <c r="NQ2939" s="37"/>
      <c r="NR2939" s="37"/>
      <c r="NS2939" s="37"/>
      <c r="NT2939" s="37"/>
      <c r="NU2939" s="37"/>
      <c r="NV2939" s="37"/>
      <c r="NW2939" s="37"/>
      <c r="NX2939" s="37"/>
      <c r="NY2939" s="37"/>
      <c r="NZ2939" s="37"/>
      <c r="OA2939" s="37"/>
      <c r="OB2939" s="37"/>
      <c r="OC2939" s="37"/>
      <c r="OD2939" s="37"/>
      <c r="OE2939" s="37"/>
      <c r="OF2939" s="37"/>
      <c r="OG2939" s="37"/>
      <c r="OH2939" s="37"/>
      <c r="OI2939" s="37"/>
      <c r="OJ2939" s="37"/>
      <c r="OK2939" s="37"/>
      <c r="OL2939" s="37"/>
      <c r="OM2939" s="37"/>
      <c r="ON2939" s="37"/>
      <c r="OO2939" s="37"/>
      <c r="OP2939" s="37"/>
      <c r="OQ2939" s="37"/>
      <c r="OR2939" s="37"/>
      <c r="OS2939" s="37"/>
      <c r="OT2939" s="37"/>
      <c r="OU2939" s="37"/>
      <c r="OV2939" s="37"/>
      <c r="OW2939" s="37"/>
      <c r="OX2939" s="37"/>
      <c r="OY2939" s="37"/>
      <c r="OZ2939" s="37"/>
      <c r="PA2939" s="37"/>
      <c r="PB2939" s="37"/>
      <c r="PC2939" s="37"/>
      <c r="PD2939" s="37"/>
      <c r="PE2939" s="37"/>
      <c r="PF2939" s="37"/>
      <c r="PG2939" s="37"/>
      <c r="PH2939" s="37"/>
      <c r="PI2939" s="37"/>
      <c r="PJ2939" s="37"/>
      <c r="PK2939" s="37"/>
      <c r="PL2939" s="37"/>
      <c r="PM2939" s="37"/>
      <c r="PN2939" s="37"/>
      <c r="PO2939" s="37"/>
      <c r="PP2939" s="37"/>
      <c r="PQ2939" s="37"/>
      <c r="PR2939" s="37"/>
      <c r="PS2939" s="37"/>
      <c r="PT2939" s="37"/>
      <c r="PU2939" s="37"/>
      <c r="PV2939" s="37"/>
      <c r="PW2939" s="37"/>
      <c r="PX2939" s="37"/>
      <c r="PY2939" s="37"/>
      <c r="PZ2939" s="37"/>
      <c r="QA2939" s="37"/>
      <c r="QB2939" s="37"/>
      <c r="QC2939" s="37"/>
      <c r="QD2939" s="37"/>
      <c r="QE2939" s="37"/>
      <c r="QF2939" s="37"/>
      <c r="QG2939" s="37"/>
      <c r="QH2939" s="37"/>
      <c r="QI2939" s="37"/>
      <c r="QJ2939" s="37"/>
      <c r="QK2939" s="37"/>
      <c r="QL2939" s="37"/>
      <c r="QM2939" s="37"/>
      <c r="QN2939" s="37"/>
      <c r="QO2939" s="37"/>
      <c r="QP2939" s="37"/>
      <c r="QQ2939" s="37"/>
      <c r="QR2939" s="37"/>
      <c r="QS2939" s="37"/>
      <c r="QT2939" s="37"/>
      <c r="QU2939" s="37"/>
      <c r="QV2939" s="37"/>
      <c r="QW2939" s="37"/>
      <c r="QX2939" s="37"/>
      <c r="QY2939" s="37"/>
      <c r="QZ2939" s="37"/>
      <c r="RA2939" s="37"/>
      <c r="RB2939" s="37"/>
      <c r="RC2939" s="37"/>
      <c r="RD2939" s="37"/>
      <c r="RE2939" s="37"/>
      <c r="RF2939" s="37"/>
      <c r="RG2939" s="37"/>
      <c r="RH2939" s="37"/>
      <c r="RI2939" s="37"/>
      <c r="RJ2939" s="37"/>
      <c r="RK2939" s="37"/>
      <c r="RL2939" s="37"/>
      <c r="RM2939" s="37"/>
      <c r="RN2939" s="37"/>
      <c r="RO2939" s="37"/>
      <c r="RP2939" s="37"/>
      <c r="RQ2939" s="37"/>
      <c r="RR2939" s="37"/>
      <c r="RS2939" s="37"/>
      <c r="RT2939" s="37"/>
      <c r="RU2939" s="37"/>
      <c r="RV2939" s="37"/>
      <c r="RW2939" s="37"/>
      <c r="RX2939" s="37"/>
      <c r="RY2939" s="37"/>
      <c r="RZ2939" s="37"/>
      <c r="SA2939" s="37"/>
      <c r="SB2939" s="37"/>
      <c r="SC2939" s="37"/>
      <c r="SD2939" s="37"/>
      <c r="SE2939" s="37"/>
      <c r="SF2939" s="37"/>
    </row>
    <row r="2940" spans="1:500">
      <c r="A2940" s="37"/>
      <c r="B2940" s="37"/>
      <c r="C2940" s="37"/>
      <c r="D2940" s="37"/>
      <c r="E2940" s="37"/>
      <c r="F2940" s="37"/>
      <c r="G2940" s="37"/>
      <c r="H2940" s="37"/>
      <c r="I2940" s="37"/>
      <c r="J2940" s="37"/>
      <c r="K2940" s="37"/>
      <c r="L2940" s="37"/>
      <c r="M2940" s="37"/>
      <c r="N2940" s="37"/>
      <c r="O2940" s="37"/>
      <c r="P2940" s="37"/>
      <c r="Q2940" s="37"/>
      <c r="R2940" s="37"/>
      <c r="S2940" s="37"/>
      <c r="T2940" s="37"/>
      <c r="U2940" s="37"/>
      <c r="V2940" s="37"/>
      <c r="W2940" s="37"/>
      <c r="X2940" s="37"/>
      <c r="Y2940" s="37"/>
      <c r="Z2940" s="37"/>
      <c r="AA2940" s="37"/>
      <c r="AB2940" s="37"/>
      <c r="AC2940" s="37"/>
      <c r="AD2940" s="37"/>
      <c r="AE2940" s="37"/>
      <c r="AF2940" s="37"/>
      <c r="AG2940" s="37"/>
      <c r="AH2940" s="37"/>
      <c r="AI2940" s="37"/>
      <c r="AJ2940" s="37"/>
      <c r="AK2940" s="37"/>
      <c r="AL2940" s="37"/>
      <c r="AM2940" s="37"/>
      <c r="AN2940" s="37"/>
      <c r="AO2940" s="37"/>
      <c r="AP2940" s="37"/>
      <c r="AQ2940" s="37"/>
      <c r="AR2940" s="37"/>
      <c r="AS2940" s="37"/>
      <c r="AT2940" s="37"/>
      <c r="AU2940" s="37"/>
      <c r="AV2940" s="37"/>
      <c r="AW2940" s="37"/>
      <c r="AX2940" s="37"/>
      <c r="AY2940" s="37"/>
      <c r="AZ2940" s="37"/>
      <c r="BA2940" s="37"/>
      <c r="BB2940" s="37"/>
      <c r="BC2940" s="37"/>
      <c r="BD2940" s="37"/>
      <c r="BE2940" s="37"/>
      <c r="BF2940" s="37"/>
      <c r="BG2940" s="37"/>
      <c r="BH2940" s="37"/>
      <c r="BI2940" s="37"/>
      <c r="BJ2940" s="37"/>
      <c r="BK2940" s="37"/>
      <c r="BL2940" s="37"/>
      <c r="BM2940" s="37"/>
      <c r="BN2940" s="37"/>
      <c r="BO2940" s="37"/>
      <c r="BP2940" s="37"/>
      <c r="BQ2940" s="37"/>
      <c r="BR2940" s="37"/>
      <c r="BS2940" s="37"/>
      <c r="BT2940" s="37"/>
      <c r="BU2940" s="37"/>
      <c r="BV2940" s="37"/>
      <c r="BW2940" s="37"/>
      <c r="BX2940" s="37"/>
      <c r="BY2940" s="37"/>
      <c r="BZ2940" s="37"/>
      <c r="CA2940" s="37"/>
      <c r="CB2940" s="37"/>
      <c r="CC2940" s="37"/>
      <c r="CD2940" s="37"/>
      <c r="CE2940" s="37"/>
      <c r="CF2940" s="37"/>
      <c r="CG2940" s="37"/>
      <c r="CH2940" s="37"/>
      <c r="CI2940" s="37"/>
      <c r="CJ2940" s="37"/>
      <c r="CK2940" s="37"/>
      <c r="CL2940" s="37"/>
      <c r="CM2940" s="37"/>
      <c r="CN2940" s="37"/>
      <c r="CO2940" s="37"/>
      <c r="CP2940" s="37"/>
      <c r="CQ2940" s="37"/>
      <c r="CR2940" s="37"/>
      <c r="CS2940" s="37"/>
      <c r="CT2940" s="37"/>
      <c r="CU2940" s="37"/>
      <c r="CV2940" s="37"/>
      <c r="CW2940" s="37"/>
      <c r="CX2940" s="37"/>
      <c r="CY2940" s="37"/>
      <c r="CZ2940" s="37"/>
      <c r="DA2940" s="37"/>
      <c r="DB2940" s="37"/>
      <c r="DC2940" s="37"/>
      <c r="DD2940" s="37"/>
      <c r="DE2940" s="37"/>
      <c r="DF2940" s="37"/>
      <c r="DG2940" s="37"/>
      <c r="DH2940" s="37"/>
      <c r="DI2940" s="37"/>
      <c r="DJ2940" s="37"/>
      <c r="DK2940" s="37"/>
      <c r="DL2940" s="37"/>
      <c r="DM2940" s="37"/>
      <c r="DN2940" s="37"/>
      <c r="DO2940" s="37"/>
      <c r="DP2940" s="37"/>
      <c r="DQ2940" s="37"/>
      <c r="DR2940" s="37"/>
      <c r="DS2940" s="37"/>
      <c r="DT2940" s="37"/>
      <c r="DU2940" s="37"/>
      <c r="DV2940" s="37"/>
      <c r="DW2940" s="37"/>
      <c r="DX2940" s="37"/>
      <c r="DY2940" s="37"/>
      <c r="DZ2940" s="37"/>
      <c r="EA2940" s="37"/>
      <c r="EB2940" s="37"/>
      <c r="EC2940" s="37"/>
      <c r="ED2940" s="37"/>
      <c r="EE2940" s="37"/>
      <c r="EF2940" s="37"/>
      <c r="EG2940" s="37"/>
      <c r="EH2940" s="37"/>
      <c r="EI2940" s="37"/>
      <c r="EJ2940" s="37"/>
      <c r="EK2940" s="37"/>
      <c r="EL2940" s="37"/>
      <c r="EM2940" s="37"/>
      <c r="EN2940" s="37"/>
      <c r="EO2940" s="37"/>
      <c r="EP2940" s="37"/>
      <c r="EQ2940" s="37"/>
      <c r="ER2940" s="37"/>
      <c r="ES2940" s="37"/>
      <c r="ET2940" s="37"/>
      <c r="EU2940" s="37"/>
      <c r="EV2940" s="37"/>
      <c r="EW2940" s="37"/>
      <c r="EX2940" s="37"/>
      <c r="EY2940" s="37"/>
      <c r="EZ2940" s="37"/>
      <c r="FA2940" s="37"/>
      <c r="FB2940" s="37"/>
      <c r="FC2940" s="37"/>
      <c r="FD2940" s="37"/>
      <c r="FE2940" s="37"/>
      <c r="FF2940" s="37"/>
      <c r="FG2940" s="37"/>
      <c r="FH2940" s="37"/>
      <c r="FI2940" s="37"/>
      <c r="FJ2940" s="37"/>
      <c r="FK2940" s="37"/>
      <c r="FL2940" s="37"/>
      <c r="FM2940" s="37"/>
      <c r="FN2940" s="37"/>
      <c r="FO2940" s="37"/>
      <c r="FP2940" s="37"/>
      <c r="FQ2940" s="37"/>
      <c r="FR2940" s="37"/>
      <c r="FS2940" s="37"/>
      <c r="FT2940" s="37"/>
      <c r="FU2940" s="37"/>
      <c r="FV2940" s="37"/>
      <c r="FW2940" s="37"/>
      <c r="FX2940" s="37"/>
      <c r="FY2940" s="37"/>
      <c r="FZ2940" s="37"/>
      <c r="GA2940" s="37"/>
      <c r="GB2940" s="37"/>
      <c r="GC2940" s="37"/>
      <c r="GD2940" s="37"/>
      <c r="GE2940" s="37"/>
      <c r="GF2940" s="37"/>
      <c r="GG2940" s="37"/>
      <c r="GH2940" s="37"/>
      <c r="GI2940" s="37"/>
      <c r="GJ2940" s="37"/>
      <c r="GK2940" s="37"/>
      <c r="GL2940" s="37"/>
      <c r="GM2940" s="37"/>
      <c r="GN2940" s="37"/>
      <c r="GO2940" s="37"/>
      <c r="GP2940" s="37"/>
      <c r="GQ2940" s="37"/>
      <c r="GR2940" s="37"/>
      <c r="GS2940" s="37"/>
      <c r="GT2940" s="37"/>
      <c r="GU2940" s="37"/>
      <c r="GV2940" s="37"/>
      <c r="GW2940" s="37"/>
      <c r="GX2940" s="37"/>
      <c r="GY2940" s="37"/>
      <c r="GZ2940" s="37"/>
      <c r="HA2940" s="37"/>
      <c r="HB2940" s="37"/>
      <c r="HC2940" s="37"/>
      <c r="HD2940" s="37"/>
      <c r="HE2940" s="37"/>
      <c r="HF2940" s="37"/>
      <c r="HG2940" s="37"/>
      <c r="HH2940" s="37"/>
      <c r="HI2940" s="37"/>
      <c r="HJ2940" s="37"/>
      <c r="HK2940" s="37"/>
      <c r="HL2940" s="37"/>
      <c r="HM2940" s="37"/>
      <c r="HN2940" s="37"/>
      <c r="HO2940" s="37"/>
      <c r="HP2940" s="37"/>
      <c r="HQ2940" s="37"/>
      <c r="HR2940" s="37"/>
      <c r="HS2940" s="37"/>
      <c r="HT2940" s="37"/>
      <c r="HU2940" s="37"/>
      <c r="HV2940" s="37"/>
      <c r="HW2940" s="37"/>
      <c r="HX2940" s="37"/>
      <c r="HY2940" s="37"/>
      <c r="HZ2940" s="37"/>
      <c r="IA2940" s="37"/>
      <c r="IB2940" s="37"/>
      <c r="IC2940" s="37"/>
      <c r="ID2940" s="37"/>
      <c r="IE2940" s="37"/>
      <c r="IF2940" s="37"/>
      <c r="IG2940" s="37"/>
      <c r="IH2940" s="37"/>
      <c r="II2940" s="37"/>
      <c r="IJ2940" s="37"/>
      <c r="IK2940" s="37"/>
      <c r="IL2940" s="37"/>
      <c r="IM2940" s="37"/>
      <c r="IN2940" s="37"/>
      <c r="IO2940" s="37"/>
      <c r="IP2940" s="37"/>
      <c r="IQ2940" s="37"/>
      <c r="IR2940" s="37"/>
      <c r="IS2940" s="37"/>
      <c r="IT2940" s="37"/>
      <c r="IU2940" s="37"/>
      <c r="IV2940" s="37"/>
      <c r="IW2940" s="37"/>
      <c r="IX2940" s="37"/>
      <c r="IY2940" s="37"/>
      <c r="IZ2940" s="37"/>
      <c r="JA2940" s="37"/>
      <c r="JB2940" s="37"/>
      <c r="JC2940" s="37"/>
      <c r="JD2940" s="37"/>
      <c r="JE2940" s="37"/>
      <c r="JF2940" s="37"/>
      <c r="JG2940" s="37"/>
      <c r="JH2940" s="37"/>
      <c r="JI2940" s="37"/>
      <c r="JJ2940" s="37"/>
      <c r="JK2940" s="37"/>
      <c r="JL2940" s="37"/>
      <c r="JM2940" s="37"/>
      <c r="JN2940" s="37"/>
      <c r="JO2940" s="37"/>
      <c r="JP2940" s="37"/>
      <c r="JQ2940" s="37"/>
      <c r="JR2940" s="37"/>
      <c r="JS2940" s="37"/>
      <c r="JT2940" s="37"/>
      <c r="JU2940" s="37"/>
      <c r="JV2940" s="37"/>
      <c r="JW2940" s="37"/>
      <c r="JX2940" s="37"/>
      <c r="JY2940" s="37"/>
      <c r="JZ2940" s="37"/>
      <c r="KA2940" s="37"/>
      <c r="KB2940" s="37"/>
      <c r="KC2940" s="37"/>
      <c r="KD2940" s="37"/>
      <c r="KE2940" s="37"/>
      <c r="KF2940" s="37"/>
      <c r="KG2940" s="37"/>
      <c r="KH2940" s="37"/>
      <c r="KI2940" s="37"/>
      <c r="KJ2940" s="37"/>
      <c r="KK2940" s="37"/>
      <c r="KL2940" s="37"/>
      <c r="KM2940" s="37"/>
      <c r="KN2940" s="37"/>
      <c r="KO2940" s="37"/>
      <c r="KP2940" s="37"/>
      <c r="KQ2940" s="37"/>
      <c r="KR2940" s="37"/>
      <c r="KS2940" s="37"/>
      <c r="KT2940" s="37"/>
      <c r="KU2940" s="37"/>
      <c r="KV2940" s="37"/>
      <c r="KW2940" s="37"/>
      <c r="KX2940" s="37"/>
      <c r="KY2940" s="37"/>
      <c r="KZ2940" s="37"/>
      <c r="LA2940" s="37"/>
      <c r="LB2940" s="37"/>
      <c r="LC2940" s="37"/>
      <c r="LD2940" s="37"/>
      <c r="LE2940" s="37"/>
      <c r="LF2940" s="37"/>
      <c r="LG2940" s="37"/>
      <c r="LH2940" s="37"/>
      <c r="LI2940" s="37"/>
      <c r="LJ2940" s="37"/>
      <c r="LK2940" s="37"/>
      <c r="LL2940" s="37"/>
      <c r="LM2940" s="37"/>
      <c r="LN2940" s="37"/>
      <c r="LO2940" s="37"/>
      <c r="LP2940" s="37"/>
      <c r="LQ2940" s="37"/>
      <c r="LR2940" s="37"/>
      <c r="LS2940" s="37"/>
      <c r="LT2940" s="37"/>
      <c r="LU2940" s="37"/>
      <c r="LV2940" s="37"/>
      <c r="LW2940" s="37"/>
      <c r="LX2940" s="37"/>
      <c r="LY2940" s="37"/>
      <c r="LZ2940" s="37"/>
      <c r="MA2940" s="37"/>
      <c r="MB2940" s="37"/>
      <c r="MC2940" s="37"/>
      <c r="MD2940" s="37"/>
      <c r="ME2940" s="37"/>
      <c r="MF2940" s="37"/>
      <c r="MG2940" s="37"/>
      <c r="MH2940" s="37"/>
      <c r="MI2940" s="37"/>
      <c r="MJ2940" s="37"/>
      <c r="MK2940" s="37"/>
      <c r="ML2940" s="37"/>
      <c r="MM2940" s="37"/>
      <c r="MN2940" s="37"/>
      <c r="MO2940" s="37"/>
      <c r="MP2940" s="37"/>
      <c r="MQ2940" s="37"/>
      <c r="MR2940" s="37"/>
      <c r="MS2940" s="37"/>
      <c r="MT2940" s="37"/>
      <c r="MU2940" s="37"/>
      <c r="MV2940" s="37"/>
      <c r="MW2940" s="37"/>
      <c r="MX2940" s="37"/>
      <c r="MY2940" s="37"/>
      <c r="MZ2940" s="37"/>
      <c r="NA2940" s="37"/>
      <c r="NB2940" s="37"/>
      <c r="NC2940" s="37"/>
      <c r="ND2940" s="37"/>
      <c r="NE2940" s="37"/>
      <c r="NF2940" s="37"/>
      <c r="NG2940" s="37"/>
      <c r="NH2940" s="37"/>
      <c r="NI2940" s="37"/>
      <c r="NJ2940" s="37"/>
      <c r="NK2940" s="37"/>
      <c r="NL2940" s="37"/>
      <c r="NM2940" s="37"/>
      <c r="NN2940" s="37"/>
      <c r="NO2940" s="37"/>
      <c r="NP2940" s="37"/>
      <c r="NQ2940" s="37"/>
      <c r="NR2940" s="37"/>
      <c r="NS2940" s="37"/>
      <c r="NT2940" s="37"/>
      <c r="NU2940" s="37"/>
      <c r="NV2940" s="37"/>
      <c r="NW2940" s="37"/>
      <c r="NX2940" s="37"/>
      <c r="NY2940" s="37"/>
      <c r="NZ2940" s="37"/>
      <c r="OA2940" s="37"/>
      <c r="OB2940" s="37"/>
      <c r="OC2940" s="37"/>
      <c r="OD2940" s="37"/>
      <c r="OE2940" s="37"/>
      <c r="OF2940" s="37"/>
      <c r="OG2940" s="37"/>
      <c r="OH2940" s="37"/>
      <c r="OI2940" s="37"/>
      <c r="OJ2940" s="37"/>
      <c r="OK2940" s="37"/>
      <c r="OL2940" s="37"/>
      <c r="OM2940" s="37"/>
      <c r="ON2940" s="37"/>
      <c r="OO2940" s="37"/>
      <c r="OP2940" s="37"/>
      <c r="OQ2940" s="37"/>
      <c r="OR2940" s="37"/>
      <c r="OS2940" s="37"/>
      <c r="OT2940" s="37"/>
      <c r="OU2940" s="37"/>
      <c r="OV2940" s="37"/>
      <c r="OW2940" s="37"/>
      <c r="OX2940" s="37"/>
      <c r="OY2940" s="37"/>
      <c r="OZ2940" s="37"/>
      <c r="PA2940" s="37"/>
      <c r="PB2940" s="37"/>
      <c r="PC2940" s="37"/>
      <c r="PD2940" s="37"/>
      <c r="PE2940" s="37"/>
      <c r="PF2940" s="37"/>
      <c r="PG2940" s="37"/>
      <c r="PH2940" s="37"/>
      <c r="PI2940" s="37"/>
      <c r="PJ2940" s="37"/>
      <c r="PK2940" s="37"/>
      <c r="PL2940" s="37"/>
      <c r="PM2940" s="37"/>
      <c r="PN2940" s="37"/>
      <c r="PO2940" s="37"/>
      <c r="PP2940" s="37"/>
      <c r="PQ2940" s="37"/>
      <c r="PR2940" s="37"/>
      <c r="PS2940" s="37"/>
      <c r="PT2940" s="37"/>
      <c r="PU2940" s="37"/>
      <c r="PV2940" s="37"/>
      <c r="PW2940" s="37"/>
      <c r="PX2940" s="37"/>
      <c r="PY2940" s="37"/>
      <c r="PZ2940" s="37"/>
      <c r="QA2940" s="37"/>
      <c r="QB2940" s="37"/>
      <c r="QC2940" s="37"/>
      <c r="QD2940" s="37"/>
      <c r="QE2940" s="37"/>
      <c r="QF2940" s="37"/>
      <c r="QG2940" s="37"/>
      <c r="QH2940" s="37"/>
      <c r="QI2940" s="37"/>
      <c r="QJ2940" s="37"/>
      <c r="QK2940" s="37"/>
      <c r="QL2940" s="37"/>
      <c r="QM2940" s="37"/>
      <c r="QN2940" s="37"/>
      <c r="QO2940" s="37"/>
      <c r="QP2940" s="37"/>
      <c r="QQ2940" s="37"/>
      <c r="QR2940" s="37"/>
      <c r="QS2940" s="37"/>
      <c r="QT2940" s="37"/>
      <c r="QU2940" s="37"/>
      <c r="QV2940" s="37"/>
      <c r="QW2940" s="37"/>
      <c r="QX2940" s="37"/>
      <c r="QY2940" s="37"/>
      <c r="QZ2940" s="37"/>
      <c r="RA2940" s="37"/>
      <c r="RB2940" s="37"/>
      <c r="RC2940" s="37"/>
      <c r="RD2940" s="37"/>
      <c r="RE2940" s="37"/>
      <c r="RF2940" s="37"/>
      <c r="RG2940" s="37"/>
      <c r="RH2940" s="37"/>
      <c r="RI2940" s="37"/>
      <c r="RJ2940" s="37"/>
      <c r="RK2940" s="37"/>
      <c r="RL2940" s="37"/>
      <c r="RM2940" s="37"/>
      <c r="RN2940" s="37"/>
      <c r="RO2940" s="37"/>
      <c r="RP2940" s="37"/>
      <c r="RQ2940" s="37"/>
      <c r="RR2940" s="37"/>
      <c r="RS2940" s="37"/>
      <c r="RT2940" s="37"/>
      <c r="RU2940" s="37"/>
      <c r="RV2940" s="37"/>
      <c r="RW2940" s="37"/>
      <c r="RX2940" s="37"/>
      <c r="RY2940" s="37"/>
      <c r="RZ2940" s="37"/>
      <c r="SA2940" s="37"/>
      <c r="SB2940" s="37"/>
      <c r="SC2940" s="37"/>
      <c r="SD2940" s="37"/>
      <c r="SE2940" s="37"/>
      <c r="SF2940" s="37"/>
    </row>
    <row r="2941" spans="1:500">
      <c r="A2941" s="37"/>
      <c r="B2941" s="37"/>
      <c r="C2941" s="37"/>
      <c r="D2941" s="37"/>
      <c r="E2941" s="37"/>
      <c r="F2941" s="37"/>
      <c r="G2941" s="37"/>
      <c r="H2941" s="37"/>
      <c r="I2941" s="37"/>
      <c r="J2941" s="37"/>
      <c r="K2941" s="37"/>
      <c r="L2941" s="37"/>
      <c r="M2941" s="37"/>
      <c r="N2941" s="37"/>
      <c r="O2941" s="37"/>
      <c r="P2941" s="37"/>
      <c r="Q2941" s="37"/>
      <c r="R2941" s="37"/>
      <c r="S2941" s="37"/>
      <c r="T2941" s="37"/>
      <c r="U2941" s="37"/>
      <c r="V2941" s="37"/>
      <c r="W2941" s="37"/>
      <c r="X2941" s="37"/>
      <c r="Y2941" s="37"/>
      <c r="Z2941" s="37"/>
      <c r="AA2941" s="37"/>
      <c r="AB2941" s="37"/>
      <c r="AC2941" s="37"/>
      <c r="AD2941" s="37"/>
      <c r="AE2941" s="37"/>
      <c r="AF2941" s="37"/>
      <c r="AG2941" s="37"/>
      <c r="AH2941" s="37"/>
      <c r="AI2941" s="37"/>
      <c r="AJ2941" s="37"/>
      <c r="AK2941" s="37"/>
      <c r="AL2941" s="37"/>
      <c r="AM2941" s="37"/>
      <c r="AN2941" s="37"/>
      <c r="AO2941" s="37"/>
      <c r="AP2941" s="37"/>
      <c r="AQ2941" s="37"/>
      <c r="AR2941" s="37"/>
      <c r="AS2941" s="37"/>
      <c r="AT2941" s="37"/>
      <c r="AU2941" s="37"/>
      <c r="AV2941" s="37"/>
      <c r="AW2941" s="37"/>
      <c r="AX2941" s="37"/>
      <c r="AY2941" s="37"/>
      <c r="AZ2941" s="37"/>
      <c r="BA2941" s="37"/>
      <c r="BB2941" s="37"/>
      <c r="BC2941" s="37"/>
      <c r="BD2941" s="37"/>
      <c r="BE2941" s="37"/>
      <c r="BF2941" s="37"/>
      <c r="BG2941" s="37"/>
      <c r="BH2941" s="37"/>
      <c r="BI2941" s="37"/>
      <c r="BJ2941" s="37"/>
      <c r="BK2941" s="37"/>
      <c r="BL2941" s="37"/>
      <c r="BM2941" s="37"/>
      <c r="BN2941" s="37"/>
      <c r="BO2941" s="37"/>
      <c r="BP2941" s="37"/>
      <c r="BQ2941" s="37"/>
      <c r="BR2941" s="37"/>
      <c r="BS2941" s="37"/>
      <c r="BT2941" s="37"/>
      <c r="BU2941" s="37"/>
      <c r="BV2941" s="37"/>
      <c r="BW2941" s="37"/>
      <c r="BX2941" s="37"/>
      <c r="BY2941" s="37"/>
      <c r="BZ2941" s="37"/>
      <c r="CA2941" s="37"/>
      <c r="CB2941" s="37"/>
      <c r="CC2941" s="37"/>
      <c r="CD2941" s="37"/>
      <c r="CE2941" s="37"/>
      <c r="CF2941" s="37"/>
      <c r="CG2941" s="37"/>
      <c r="CH2941" s="37"/>
      <c r="CI2941" s="37"/>
      <c r="CJ2941" s="37"/>
      <c r="CK2941" s="37"/>
      <c r="CL2941" s="37"/>
      <c r="CM2941" s="37"/>
      <c r="CN2941" s="37"/>
      <c r="CO2941" s="37"/>
      <c r="CP2941" s="37"/>
      <c r="CQ2941" s="37"/>
      <c r="CR2941" s="37"/>
      <c r="CS2941" s="37"/>
      <c r="CT2941" s="37"/>
      <c r="CU2941" s="37"/>
      <c r="CV2941" s="37"/>
      <c r="CW2941" s="37"/>
      <c r="CX2941" s="37"/>
      <c r="CY2941" s="37"/>
      <c r="CZ2941" s="37"/>
      <c r="DA2941" s="37"/>
      <c r="DB2941" s="37"/>
      <c r="DC2941" s="37"/>
      <c r="DD2941" s="37"/>
      <c r="DE2941" s="37"/>
      <c r="DF2941" s="37"/>
      <c r="DG2941" s="37"/>
      <c r="DH2941" s="37"/>
      <c r="DI2941" s="37"/>
      <c r="DJ2941" s="37"/>
      <c r="DK2941" s="37"/>
      <c r="DL2941" s="37"/>
      <c r="DM2941" s="37"/>
      <c r="DN2941" s="37"/>
      <c r="DO2941" s="37"/>
      <c r="DP2941" s="37"/>
      <c r="DQ2941" s="37"/>
      <c r="DR2941" s="37"/>
      <c r="DS2941" s="37"/>
      <c r="DT2941" s="37"/>
      <c r="DU2941" s="37"/>
      <c r="DV2941" s="37"/>
      <c r="DW2941" s="37"/>
      <c r="DX2941" s="37"/>
      <c r="DY2941" s="37"/>
      <c r="DZ2941" s="37"/>
      <c r="EA2941" s="37"/>
      <c r="EB2941" s="37"/>
      <c r="EC2941" s="37"/>
      <c r="ED2941" s="37"/>
      <c r="EE2941" s="37"/>
      <c r="EF2941" s="37"/>
      <c r="EG2941" s="37"/>
      <c r="EH2941" s="37"/>
      <c r="EI2941" s="37"/>
      <c r="EJ2941" s="37"/>
      <c r="EK2941" s="37"/>
      <c r="EL2941" s="37"/>
      <c r="EM2941" s="37"/>
      <c r="EN2941" s="37"/>
      <c r="EO2941" s="37"/>
      <c r="EP2941" s="37"/>
      <c r="EQ2941" s="37"/>
      <c r="ER2941" s="37"/>
      <c r="ES2941" s="37"/>
      <c r="ET2941" s="37"/>
      <c r="EU2941" s="37"/>
      <c r="EV2941" s="37"/>
      <c r="EW2941" s="37"/>
      <c r="EX2941" s="37"/>
      <c r="EY2941" s="37"/>
      <c r="EZ2941" s="37"/>
      <c r="FA2941" s="37"/>
      <c r="FB2941" s="37"/>
      <c r="FC2941" s="37"/>
      <c r="FD2941" s="37"/>
      <c r="FE2941" s="37"/>
      <c r="FF2941" s="37"/>
      <c r="FG2941" s="37"/>
      <c r="FH2941" s="37"/>
      <c r="FI2941" s="37"/>
      <c r="FJ2941" s="37"/>
      <c r="FK2941" s="37"/>
      <c r="FL2941" s="37"/>
      <c r="FM2941" s="37"/>
      <c r="FN2941" s="37"/>
      <c r="FO2941" s="37"/>
      <c r="FP2941" s="37"/>
      <c r="FQ2941" s="37"/>
      <c r="FR2941" s="37"/>
      <c r="FS2941" s="37"/>
      <c r="FT2941" s="37"/>
      <c r="FU2941" s="37"/>
      <c r="FV2941" s="37"/>
      <c r="FW2941" s="37"/>
      <c r="FX2941" s="37"/>
      <c r="FY2941" s="37"/>
      <c r="FZ2941" s="37"/>
      <c r="GA2941" s="37"/>
      <c r="GB2941" s="37"/>
      <c r="GC2941" s="37"/>
      <c r="GD2941" s="37"/>
      <c r="GE2941" s="37"/>
      <c r="GF2941" s="37"/>
      <c r="GG2941" s="37"/>
      <c r="GH2941" s="37"/>
      <c r="GI2941" s="37"/>
      <c r="GJ2941" s="37"/>
      <c r="GK2941" s="37"/>
      <c r="GL2941" s="37"/>
      <c r="GM2941" s="37"/>
      <c r="GN2941" s="37"/>
      <c r="GO2941" s="37"/>
      <c r="GP2941" s="37"/>
      <c r="GQ2941" s="37"/>
      <c r="GR2941" s="37"/>
      <c r="GS2941" s="37"/>
      <c r="GT2941" s="37"/>
      <c r="GU2941" s="37"/>
      <c r="GV2941" s="37"/>
      <c r="GW2941" s="37"/>
      <c r="GX2941" s="37"/>
      <c r="GY2941" s="37"/>
      <c r="GZ2941" s="37"/>
      <c r="HA2941" s="37"/>
      <c r="HB2941" s="37"/>
      <c r="HC2941" s="37"/>
      <c r="HD2941" s="37"/>
      <c r="HE2941" s="37"/>
      <c r="HF2941" s="37"/>
      <c r="HG2941" s="37"/>
      <c r="HH2941" s="37"/>
      <c r="HI2941" s="37"/>
      <c r="HJ2941" s="37"/>
      <c r="HK2941" s="37"/>
      <c r="HL2941" s="37"/>
      <c r="HM2941" s="37"/>
      <c r="HN2941" s="37"/>
      <c r="HO2941" s="37"/>
      <c r="HP2941" s="37"/>
      <c r="HQ2941" s="37"/>
      <c r="HR2941" s="37"/>
      <c r="HS2941" s="37"/>
      <c r="HT2941" s="37"/>
      <c r="HU2941" s="37"/>
      <c r="HV2941" s="37"/>
      <c r="HW2941" s="37"/>
      <c r="HX2941" s="37"/>
      <c r="HY2941" s="37"/>
      <c r="HZ2941" s="37"/>
      <c r="IA2941" s="37"/>
      <c r="IB2941" s="37"/>
      <c r="IC2941" s="37"/>
      <c r="ID2941" s="37"/>
      <c r="IE2941" s="37"/>
      <c r="IF2941" s="37"/>
      <c r="IG2941" s="37"/>
      <c r="IH2941" s="37"/>
      <c r="II2941" s="37"/>
      <c r="IJ2941" s="37"/>
      <c r="IK2941" s="37"/>
      <c r="IL2941" s="37"/>
      <c r="IM2941" s="37"/>
      <c r="IN2941" s="37"/>
      <c r="IO2941" s="37"/>
      <c r="IP2941" s="37"/>
      <c r="IQ2941" s="37"/>
      <c r="IR2941" s="37"/>
      <c r="IS2941" s="37"/>
      <c r="IT2941" s="37"/>
      <c r="IU2941" s="37"/>
      <c r="IV2941" s="37"/>
      <c r="IW2941" s="37"/>
      <c r="IX2941" s="37"/>
      <c r="IY2941" s="37"/>
      <c r="IZ2941" s="37"/>
      <c r="JA2941" s="37"/>
      <c r="JB2941" s="37"/>
      <c r="JC2941" s="37"/>
      <c r="JD2941" s="37"/>
      <c r="JE2941" s="37"/>
      <c r="JF2941" s="37"/>
      <c r="JG2941" s="37"/>
      <c r="JH2941" s="37"/>
      <c r="JI2941" s="37"/>
      <c r="JJ2941" s="37"/>
      <c r="JK2941" s="37"/>
      <c r="JL2941" s="37"/>
      <c r="JM2941" s="37"/>
      <c r="JN2941" s="37"/>
      <c r="JO2941" s="37"/>
      <c r="JP2941" s="37"/>
      <c r="JQ2941" s="37"/>
      <c r="JR2941" s="37"/>
      <c r="JS2941" s="37"/>
      <c r="JT2941" s="37"/>
      <c r="JU2941" s="37"/>
      <c r="JV2941" s="37"/>
      <c r="JW2941" s="37"/>
      <c r="JX2941" s="37"/>
      <c r="JY2941" s="37"/>
      <c r="JZ2941" s="37"/>
      <c r="KA2941" s="37"/>
      <c r="KB2941" s="37"/>
      <c r="KC2941" s="37"/>
      <c r="KD2941" s="37"/>
      <c r="KE2941" s="37"/>
      <c r="KF2941" s="37"/>
      <c r="KG2941" s="37"/>
      <c r="KH2941" s="37"/>
      <c r="KI2941" s="37"/>
      <c r="KJ2941" s="37"/>
      <c r="KK2941" s="37"/>
      <c r="KL2941" s="37"/>
      <c r="KM2941" s="37"/>
      <c r="KN2941" s="37"/>
      <c r="KO2941" s="37"/>
      <c r="KP2941" s="37"/>
      <c r="KQ2941" s="37"/>
      <c r="KR2941" s="37"/>
      <c r="KS2941" s="37"/>
      <c r="KT2941" s="37"/>
      <c r="KU2941" s="37"/>
      <c r="KV2941" s="37"/>
      <c r="KW2941" s="37"/>
      <c r="KX2941" s="37"/>
      <c r="KY2941" s="37"/>
      <c r="KZ2941" s="37"/>
      <c r="LA2941" s="37"/>
      <c r="LB2941" s="37"/>
      <c r="LC2941" s="37"/>
      <c r="LD2941" s="37"/>
      <c r="LE2941" s="37"/>
      <c r="LF2941" s="37"/>
      <c r="LG2941" s="37"/>
      <c r="LH2941" s="37"/>
      <c r="LI2941" s="37"/>
      <c r="LJ2941" s="37"/>
      <c r="LK2941" s="37"/>
      <c r="LL2941" s="37"/>
      <c r="LM2941" s="37"/>
      <c r="LN2941" s="37"/>
      <c r="LO2941" s="37"/>
      <c r="LP2941" s="37"/>
      <c r="LQ2941" s="37"/>
      <c r="LR2941" s="37"/>
      <c r="LS2941" s="37"/>
      <c r="LT2941" s="37"/>
      <c r="LU2941" s="37"/>
      <c r="LV2941" s="37"/>
      <c r="LW2941" s="37"/>
      <c r="LX2941" s="37"/>
      <c r="LY2941" s="37"/>
      <c r="LZ2941" s="37"/>
      <c r="MA2941" s="37"/>
      <c r="MB2941" s="37"/>
      <c r="MC2941" s="37"/>
      <c r="MD2941" s="37"/>
      <c r="ME2941" s="37"/>
      <c r="MF2941" s="37"/>
      <c r="MG2941" s="37"/>
      <c r="MH2941" s="37"/>
      <c r="MI2941" s="37"/>
      <c r="MJ2941" s="37"/>
      <c r="MK2941" s="37"/>
      <c r="ML2941" s="37"/>
      <c r="MM2941" s="37"/>
      <c r="MN2941" s="37"/>
      <c r="MO2941" s="37"/>
      <c r="MP2941" s="37"/>
      <c r="MQ2941" s="37"/>
      <c r="MR2941" s="37"/>
      <c r="MS2941" s="37"/>
      <c r="MT2941" s="37"/>
      <c r="MU2941" s="37"/>
      <c r="MV2941" s="37"/>
      <c r="MW2941" s="37"/>
      <c r="MX2941" s="37"/>
      <c r="MY2941" s="37"/>
      <c r="MZ2941" s="37"/>
      <c r="NA2941" s="37"/>
      <c r="NB2941" s="37"/>
      <c r="NC2941" s="37"/>
      <c r="ND2941" s="37"/>
      <c r="NE2941" s="37"/>
      <c r="NF2941" s="37"/>
      <c r="NG2941" s="37"/>
      <c r="NH2941" s="37"/>
      <c r="NI2941" s="37"/>
      <c r="NJ2941" s="37"/>
      <c r="NK2941" s="37"/>
      <c r="NL2941" s="37"/>
      <c r="NM2941" s="37"/>
      <c r="NN2941" s="37"/>
      <c r="NO2941" s="37"/>
      <c r="NP2941" s="37"/>
      <c r="NQ2941" s="37"/>
      <c r="NR2941" s="37"/>
      <c r="NS2941" s="37"/>
      <c r="NT2941" s="37"/>
      <c r="NU2941" s="37"/>
      <c r="NV2941" s="37"/>
      <c r="NW2941" s="37"/>
      <c r="NX2941" s="37"/>
      <c r="NY2941" s="37"/>
      <c r="NZ2941" s="37"/>
      <c r="OA2941" s="37"/>
      <c r="OB2941" s="37"/>
      <c r="OC2941" s="37"/>
      <c r="OD2941" s="37"/>
      <c r="OE2941" s="37"/>
      <c r="OF2941" s="37"/>
      <c r="OG2941" s="37"/>
      <c r="OH2941" s="37"/>
      <c r="OI2941" s="37"/>
      <c r="OJ2941" s="37"/>
      <c r="OK2941" s="37"/>
      <c r="OL2941" s="37"/>
      <c r="OM2941" s="37"/>
      <c r="ON2941" s="37"/>
      <c r="OO2941" s="37"/>
      <c r="OP2941" s="37"/>
      <c r="OQ2941" s="37"/>
      <c r="OR2941" s="37"/>
      <c r="OS2941" s="37"/>
      <c r="OT2941" s="37"/>
      <c r="OU2941" s="37"/>
      <c r="OV2941" s="37"/>
      <c r="OW2941" s="37"/>
      <c r="OX2941" s="37"/>
      <c r="OY2941" s="37"/>
      <c r="OZ2941" s="37"/>
      <c r="PA2941" s="37"/>
      <c r="PB2941" s="37"/>
      <c r="PC2941" s="37"/>
      <c r="PD2941" s="37"/>
      <c r="PE2941" s="37"/>
      <c r="PF2941" s="37"/>
      <c r="PG2941" s="37"/>
      <c r="PH2941" s="37"/>
      <c r="PI2941" s="37"/>
      <c r="PJ2941" s="37"/>
      <c r="PK2941" s="37"/>
      <c r="PL2941" s="37"/>
      <c r="PM2941" s="37"/>
      <c r="PN2941" s="37"/>
      <c r="PO2941" s="37"/>
      <c r="PP2941" s="37"/>
      <c r="PQ2941" s="37"/>
      <c r="PR2941" s="37"/>
      <c r="PS2941" s="37"/>
      <c r="PT2941" s="37"/>
      <c r="PU2941" s="37"/>
      <c r="PV2941" s="37"/>
      <c r="PW2941" s="37"/>
      <c r="PX2941" s="37"/>
      <c r="PY2941" s="37"/>
      <c r="PZ2941" s="37"/>
      <c r="QA2941" s="37"/>
      <c r="QB2941" s="37"/>
      <c r="QC2941" s="37"/>
      <c r="QD2941" s="37"/>
      <c r="QE2941" s="37"/>
      <c r="QF2941" s="37"/>
      <c r="QG2941" s="37"/>
      <c r="QH2941" s="37"/>
      <c r="QI2941" s="37"/>
      <c r="QJ2941" s="37"/>
      <c r="QK2941" s="37"/>
      <c r="QL2941" s="37"/>
      <c r="QM2941" s="37"/>
      <c r="QN2941" s="37"/>
      <c r="QO2941" s="37"/>
      <c r="QP2941" s="37"/>
      <c r="QQ2941" s="37"/>
      <c r="QR2941" s="37"/>
      <c r="QS2941" s="37"/>
      <c r="QT2941" s="37"/>
      <c r="QU2941" s="37"/>
      <c r="QV2941" s="37"/>
      <c r="QW2941" s="37"/>
      <c r="QX2941" s="37"/>
      <c r="QY2941" s="37"/>
      <c r="QZ2941" s="37"/>
      <c r="RA2941" s="37"/>
      <c r="RB2941" s="37"/>
      <c r="RC2941" s="37"/>
      <c r="RD2941" s="37"/>
      <c r="RE2941" s="37"/>
      <c r="RF2941" s="37"/>
      <c r="RG2941" s="37"/>
      <c r="RH2941" s="37"/>
      <c r="RI2941" s="37"/>
      <c r="RJ2941" s="37"/>
      <c r="RK2941" s="37"/>
      <c r="RL2941" s="37"/>
      <c r="RM2941" s="37"/>
      <c r="RN2941" s="37"/>
      <c r="RO2941" s="37"/>
      <c r="RP2941" s="37"/>
      <c r="RQ2941" s="37"/>
      <c r="RR2941" s="37"/>
      <c r="RS2941" s="37"/>
      <c r="RT2941" s="37"/>
      <c r="RU2941" s="37"/>
      <c r="RV2941" s="37"/>
      <c r="RW2941" s="37"/>
      <c r="RX2941" s="37"/>
      <c r="RY2941" s="37"/>
      <c r="RZ2941" s="37"/>
      <c r="SA2941" s="37"/>
      <c r="SB2941" s="37"/>
      <c r="SC2941" s="37"/>
      <c r="SD2941" s="37"/>
      <c r="SE2941" s="37"/>
      <c r="SF2941" s="37"/>
    </row>
    <row r="2942" spans="1:500">
      <c r="A2942" s="37"/>
      <c r="B2942" s="37"/>
      <c r="C2942" s="37"/>
      <c r="D2942" s="37"/>
      <c r="E2942" s="37"/>
      <c r="F2942" s="37"/>
      <c r="G2942" s="37"/>
      <c r="H2942" s="37"/>
      <c r="I2942" s="37"/>
      <c r="J2942" s="37"/>
      <c r="K2942" s="37"/>
      <c r="L2942" s="37"/>
      <c r="M2942" s="37"/>
      <c r="N2942" s="37"/>
      <c r="O2942" s="37"/>
      <c r="P2942" s="37"/>
      <c r="Q2942" s="37"/>
      <c r="R2942" s="37"/>
      <c r="S2942" s="37"/>
      <c r="T2942" s="37"/>
      <c r="U2942" s="37"/>
      <c r="V2942" s="37"/>
      <c r="W2942" s="37"/>
      <c r="X2942" s="37"/>
      <c r="Y2942" s="37"/>
      <c r="Z2942" s="37"/>
      <c r="AA2942" s="37"/>
      <c r="AB2942" s="37"/>
      <c r="AC2942" s="37"/>
      <c r="AD2942" s="37"/>
      <c r="AE2942" s="37"/>
      <c r="AF2942" s="37"/>
      <c r="AG2942" s="37"/>
      <c r="AH2942" s="37"/>
      <c r="AI2942" s="37"/>
      <c r="AJ2942" s="37"/>
      <c r="AK2942" s="37"/>
      <c r="AL2942" s="37"/>
      <c r="AM2942" s="37"/>
      <c r="AN2942" s="37"/>
      <c r="AO2942" s="37"/>
      <c r="AP2942" s="37"/>
      <c r="AQ2942" s="37"/>
      <c r="AR2942" s="37"/>
      <c r="AS2942" s="37"/>
      <c r="AT2942" s="37"/>
      <c r="AU2942" s="37"/>
      <c r="AV2942" s="37"/>
      <c r="AW2942" s="37"/>
      <c r="AX2942" s="37"/>
      <c r="AY2942" s="37"/>
      <c r="AZ2942" s="37"/>
      <c r="BA2942" s="37"/>
      <c r="BB2942" s="37"/>
      <c r="BC2942" s="37"/>
      <c r="BD2942" s="37"/>
      <c r="BE2942" s="37"/>
      <c r="BF2942" s="37"/>
      <c r="BG2942" s="37"/>
      <c r="BH2942" s="37"/>
      <c r="BI2942" s="37"/>
      <c r="BJ2942" s="37"/>
      <c r="BK2942" s="37"/>
      <c r="BL2942" s="37"/>
      <c r="BM2942" s="37"/>
      <c r="BN2942" s="37"/>
      <c r="BO2942" s="37"/>
      <c r="BP2942" s="37"/>
      <c r="BQ2942" s="37"/>
      <c r="BR2942" s="37"/>
      <c r="BS2942" s="37"/>
      <c r="BT2942" s="37"/>
      <c r="BU2942" s="37"/>
      <c r="BV2942" s="37"/>
      <c r="BW2942" s="37"/>
      <c r="BX2942" s="37"/>
      <c r="BY2942" s="37"/>
      <c r="BZ2942" s="37"/>
      <c r="CA2942" s="37"/>
      <c r="CB2942" s="37"/>
      <c r="CC2942" s="37"/>
      <c r="CD2942" s="37"/>
      <c r="CE2942" s="37"/>
      <c r="CF2942" s="37"/>
      <c r="CG2942" s="37"/>
      <c r="CH2942" s="37"/>
      <c r="CI2942" s="37"/>
      <c r="CJ2942" s="37"/>
      <c r="CK2942" s="37"/>
      <c r="CL2942" s="37"/>
      <c r="CM2942" s="37"/>
      <c r="CN2942" s="37"/>
      <c r="CO2942" s="37"/>
      <c r="CP2942" s="37"/>
      <c r="CQ2942" s="37"/>
      <c r="CR2942" s="37"/>
      <c r="CS2942" s="37"/>
      <c r="CT2942" s="37"/>
      <c r="CU2942" s="37"/>
      <c r="CV2942" s="37"/>
      <c r="CW2942" s="37"/>
      <c r="CX2942" s="37"/>
      <c r="CY2942" s="37"/>
      <c r="CZ2942" s="37"/>
      <c r="DA2942" s="37"/>
      <c r="DB2942" s="37"/>
      <c r="DC2942" s="37"/>
      <c r="DD2942" s="37"/>
      <c r="DE2942" s="37"/>
      <c r="DF2942" s="37"/>
      <c r="DG2942" s="37"/>
      <c r="DH2942" s="37"/>
      <c r="DI2942" s="37"/>
      <c r="DJ2942" s="37"/>
      <c r="DK2942" s="37"/>
      <c r="DL2942" s="37"/>
      <c r="DM2942" s="37"/>
      <c r="DN2942" s="37"/>
      <c r="DO2942" s="37"/>
      <c r="DP2942" s="37"/>
      <c r="DQ2942" s="37"/>
      <c r="DR2942" s="37"/>
      <c r="DS2942" s="37"/>
      <c r="DT2942" s="37"/>
      <c r="DU2942" s="37"/>
      <c r="DV2942" s="37"/>
      <c r="DW2942" s="37"/>
      <c r="DX2942" s="37"/>
      <c r="DY2942" s="37"/>
      <c r="DZ2942" s="37"/>
      <c r="EA2942" s="37"/>
      <c r="EB2942" s="37"/>
      <c r="EC2942" s="37"/>
      <c r="ED2942" s="37"/>
      <c r="EE2942" s="37"/>
      <c r="EF2942" s="37"/>
      <c r="EG2942" s="37"/>
      <c r="EH2942" s="37"/>
      <c r="EI2942" s="37"/>
      <c r="EJ2942" s="37"/>
      <c r="EK2942" s="37"/>
      <c r="EL2942" s="37"/>
      <c r="EM2942" s="37"/>
      <c r="EN2942" s="37"/>
      <c r="EO2942" s="37"/>
      <c r="EP2942" s="37"/>
      <c r="EQ2942" s="37"/>
      <c r="ER2942" s="37"/>
      <c r="ES2942" s="37"/>
      <c r="ET2942" s="37"/>
      <c r="EU2942" s="37"/>
      <c r="EV2942" s="37"/>
      <c r="EW2942" s="37"/>
      <c r="EX2942" s="37"/>
      <c r="EY2942" s="37"/>
      <c r="EZ2942" s="37"/>
      <c r="FA2942" s="37"/>
      <c r="FB2942" s="37"/>
      <c r="FC2942" s="37"/>
      <c r="FD2942" s="37"/>
      <c r="FE2942" s="37"/>
      <c r="FF2942" s="37"/>
      <c r="FG2942" s="37"/>
      <c r="FH2942" s="37"/>
      <c r="FI2942" s="37"/>
      <c r="FJ2942" s="37"/>
      <c r="FK2942" s="37"/>
      <c r="FL2942" s="37"/>
      <c r="FM2942" s="37"/>
      <c r="FN2942" s="37"/>
      <c r="FO2942" s="37"/>
      <c r="FP2942" s="37"/>
      <c r="FQ2942" s="37"/>
      <c r="FR2942" s="37"/>
      <c r="FS2942" s="37"/>
      <c r="FT2942" s="37"/>
      <c r="FU2942" s="37"/>
      <c r="FV2942" s="37"/>
      <c r="FW2942" s="37"/>
      <c r="FX2942" s="37"/>
      <c r="FY2942" s="37"/>
      <c r="FZ2942" s="37"/>
      <c r="GA2942" s="37"/>
      <c r="GB2942" s="37"/>
      <c r="GC2942" s="37"/>
      <c r="GD2942" s="37"/>
      <c r="GE2942" s="37"/>
      <c r="GF2942" s="37"/>
      <c r="GG2942" s="37"/>
      <c r="GH2942" s="37"/>
      <c r="GI2942" s="37"/>
      <c r="GJ2942" s="37"/>
      <c r="GK2942" s="37"/>
      <c r="GL2942" s="37"/>
      <c r="GM2942" s="37"/>
      <c r="GN2942" s="37"/>
      <c r="GO2942" s="37"/>
      <c r="GP2942" s="37"/>
      <c r="GQ2942" s="37"/>
      <c r="GR2942" s="37"/>
      <c r="GS2942" s="37"/>
      <c r="GT2942" s="37"/>
      <c r="GU2942" s="37"/>
      <c r="GV2942" s="37"/>
      <c r="GW2942" s="37"/>
      <c r="GX2942" s="37"/>
      <c r="GY2942" s="37"/>
      <c r="GZ2942" s="37"/>
      <c r="HA2942" s="37"/>
      <c r="HB2942" s="37"/>
      <c r="HC2942" s="37"/>
      <c r="HD2942" s="37"/>
      <c r="HE2942" s="37"/>
      <c r="HF2942" s="37"/>
      <c r="HG2942" s="37"/>
      <c r="HH2942" s="37"/>
      <c r="HI2942" s="37"/>
      <c r="HJ2942" s="37"/>
      <c r="HK2942" s="37"/>
      <c r="HL2942" s="37"/>
      <c r="HM2942" s="37"/>
      <c r="HN2942" s="37"/>
      <c r="HO2942" s="37"/>
      <c r="HP2942" s="37"/>
      <c r="HQ2942" s="37"/>
      <c r="HR2942" s="37"/>
      <c r="HS2942" s="37"/>
      <c r="HT2942" s="37"/>
      <c r="HU2942" s="37"/>
      <c r="HV2942" s="37"/>
      <c r="HW2942" s="37"/>
      <c r="HX2942" s="37"/>
      <c r="HY2942" s="37"/>
      <c r="HZ2942" s="37"/>
      <c r="IA2942" s="37"/>
      <c r="IB2942" s="37"/>
      <c r="IC2942" s="37"/>
      <c r="ID2942" s="37"/>
      <c r="IE2942" s="37"/>
      <c r="IF2942" s="37"/>
      <c r="IG2942" s="37"/>
      <c r="IH2942" s="37"/>
      <c r="II2942" s="37"/>
      <c r="IJ2942" s="37"/>
      <c r="IK2942" s="37"/>
      <c r="IL2942" s="37"/>
      <c r="IM2942" s="37"/>
      <c r="IN2942" s="37"/>
      <c r="IO2942" s="37"/>
      <c r="IP2942" s="37"/>
      <c r="IQ2942" s="37"/>
      <c r="IR2942" s="37"/>
      <c r="IS2942" s="37"/>
      <c r="IT2942" s="37"/>
      <c r="IU2942" s="37"/>
      <c r="IV2942" s="37"/>
      <c r="IW2942" s="37"/>
      <c r="IX2942" s="37"/>
      <c r="IY2942" s="37"/>
      <c r="IZ2942" s="37"/>
      <c r="JA2942" s="37"/>
      <c r="JB2942" s="37"/>
      <c r="JC2942" s="37"/>
      <c r="JD2942" s="37"/>
      <c r="JE2942" s="37"/>
      <c r="JF2942" s="37"/>
      <c r="JG2942" s="37"/>
      <c r="JH2942" s="37"/>
      <c r="JI2942" s="37"/>
      <c r="JJ2942" s="37"/>
      <c r="JK2942" s="37"/>
      <c r="JL2942" s="37"/>
      <c r="JM2942" s="37"/>
      <c r="JN2942" s="37"/>
      <c r="JO2942" s="37"/>
      <c r="JP2942" s="37"/>
      <c r="JQ2942" s="37"/>
      <c r="JR2942" s="37"/>
      <c r="JS2942" s="37"/>
      <c r="JT2942" s="37"/>
      <c r="JU2942" s="37"/>
      <c r="JV2942" s="37"/>
      <c r="JW2942" s="37"/>
      <c r="JX2942" s="37"/>
      <c r="JY2942" s="37"/>
      <c r="JZ2942" s="37"/>
      <c r="KA2942" s="37"/>
      <c r="KB2942" s="37"/>
      <c r="KC2942" s="37"/>
      <c r="KD2942" s="37"/>
      <c r="KE2942" s="37"/>
      <c r="KF2942" s="37"/>
      <c r="KG2942" s="37"/>
      <c r="KH2942" s="37"/>
      <c r="KI2942" s="37"/>
      <c r="KJ2942" s="37"/>
      <c r="KK2942" s="37"/>
      <c r="KL2942" s="37"/>
      <c r="KM2942" s="37"/>
      <c r="KN2942" s="37"/>
      <c r="KO2942" s="37"/>
      <c r="KP2942" s="37"/>
      <c r="KQ2942" s="37"/>
      <c r="KR2942" s="37"/>
      <c r="KS2942" s="37"/>
      <c r="KT2942" s="37"/>
      <c r="KU2942" s="37"/>
      <c r="KV2942" s="37"/>
      <c r="KW2942" s="37"/>
      <c r="KX2942" s="37"/>
      <c r="KY2942" s="37"/>
      <c r="KZ2942" s="37"/>
      <c r="LA2942" s="37"/>
      <c r="LB2942" s="37"/>
      <c r="LC2942" s="37"/>
      <c r="LD2942" s="37"/>
      <c r="LE2942" s="37"/>
      <c r="LF2942" s="37"/>
      <c r="LG2942" s="37"/>
      <c r="LH2942" s="37"/>
      <c r="LI2942" s="37"/>
      <c r="LJ2942" s="37"/>
      <c r="LK2942" s="37"/>
      <c r="LL2942" s="37"/>
      <c r="LM2942" s="37"/>
      <c r="LN2942" s="37"/>
      <c r="LO2942" s="37"/>
      <c r="LP2942" s="37"/>
      <c r="LQ2942" s="37"/>
      <c r="LR2942" s="37"/>
      <c r="LS2942" s="37"/>
      <c r="LT2942" s="37"/>
      <c r="LU2942" s="37"/>
      <c r="LV2942" s="37"/>
      <c r="LW2942" s="37"/>
      <c r="LX2942" s="37"/>
      <c r="LY2942" s="37"/>
      <c r="LZ2942" s="37"/>
      <c r="MA2942" s="37"/>
      <c r="MB2942" s="37"/>
      <c r="MC2942" s="37"/>
      <c r="MD2942" s="37"/>
      <c r="ME2942" s="37"/>
      <c r="MF2942" s="37"/>
      <c r="MG2942" s="37"/>
      <c r="MH2942" s="37"/>
      <c r="MI2942" s="37"/>
      <c r="MJ2942" s="37"/>
      <c r="MK2942" s="37"/>
      <c r="ML2942" s="37"/>
      <c r="MM2942" s="37"/>
      <c r="MN2942" s="37"/>
      <c r="MO2942" s="37"/>
      <c r="MP2942" s="37"/>
      <c r="MQ2942" s="37"/>
      <c r="MR2942" s="37"/>
      <c r="MS2942" s="37"/>
      <c r="MT2942" s="37"/>
      <c r="MU2942" s="37"/>
      <c r="MV2942" s="37"/>
      <c r="MW2942" s="37"/>
      <c r="MX2942" s="37"/>
      <c r="MY2942" s="37"/>
      <c r="MZ2942" s="37"/>
      <c r="NA2942" s="37"/>
      <c r="NB2942" s="37"/>
      <c r="NC2942" s="37"/>
      <c r="ND2942" s="37"/>
      <c r="NE2942" s="37"/>
      <c r="NF2942" s="37"/>
      <c r="NG2942" s="37"/>
      <c r="NH2942" s="37"/>
      <c r="NI2942" s="37"/>
      <c r="NJ2942" s="37"/>
      <c r="NK2942" s="37"/>
      <c r="NL2942" s="37"/>
      <c r="NM2942" s="37"/>
      <c r="NN2942" s="37"/>
      <c r="NO2942" s="37"/>
      <c r="NP2942" s="37"/>
      <c r="NQ2942" s="37"/>
      <c r="NR2942" s="37"/>
      <c r="NS2942" s="37"/>
      <c r="NT2942" s="37"/>
      <c r="NU2942" s="37"/>
      <c r="NV2942" s="37"/>
      <c r="NW2942" s="37"/>
      <c r="NX2942" s="37"/>
      <c r="NY2942" s="37"/>
      <c r="NZ2942" s="37"/>
      <c r="OA2942" s="37"/>
      <c r="OB2942" s="37"/>
      <c r="OC2942" s="37"/>
      <c r="OD2942" s="37"/>
      <c r="OE2942" s="37"/>
      <c r="OF2942" s="37"/>
      <c r="OG2942" s="37"/>
      <c r="OH2942" s="37"/>
      <c r="OI2942" s="37"/>
      <c r="OJ2942" s="37"/>
      <c r="OK2942" s="37"/>
      <c r="OL2942" s="37"/>
      <c r="OM2942" s="37"/>
      <c r="ON2942" s="37"/>
      <c r="OO2942" s="37"/>
      <c r="OP2942" s="37"/>
      <c r="OQ2942" s="37"/>
      <c r="OR2942" s="37"/>
      <c r="OS2942" s="37"/>
      <c r="OT2942" s="37"/>
      <c r="OU2942" s="37"/>
      <c r="OV2942" s="37"/>
      <c r="OW2942" s="37"/>
      <c r="OX2942" s="37"/>
      <c r="OY2942" s="37"/>
      <c r="OZ2942" s="37"/>
      <c r="PA2942" s="37"/>
      <c r="PB2942" s="37"/>
      <c r="PC2942" s="37"/>
      <c r="PD2942" s="37"/>
      <c r="PE2942" s="37"/>
      <c r="PF2942" s="37"/>
      <c r="PG2942" s="37"/>
      <c r="PH2942" s="37"/>
      <c r="PI2942" s="37"/>
      <c r="PJ2942" s="37"/>
      <c r="PK2942" s="37"/>
      <c r="PL2942" s="37"/>
      <c r="PM2942" s="37"/>
      <c r="PN2942" s="37"/>
      <c r="PO2942" s="37"/>
      <c r="PP2942" s="37"/>
      <c r="PQ2942" s="37"/>
      <c r="PR2942" s="37"/>
      <c r="PS2942" s="37"/>
      <c r="PT2942" s="37"/>
      <c r="PU2942" s="37"/>
      <c r="PV2942" s="37"/>
      <c r="PW2942" s="37"/>
      <c r="PX2942" s="37"/>
      <c r="PY2942" s="37"/>
      <c r="PZ2942" s="37"/>
      <c r="QA2942" s="37"/>
      <c r="QB2942" s="37"/>
      <c r="QC2942" s="37"/>
      <c r="QD2942" s="37"/>
      <c r="QE2942" s="37"/>
      <c r="QF2942" s="37"/>
      <c r="QG2942" s="37"/>
      <c r="QH2942" s="37"/>
      <c r="QI2942" s="37"/>
      <c r="QJ2942" s="37"/>
      <c r="QK2942" s="37"/>
      <c r="QL2942" s="37"/>
      <c r="QM2942" s="37"/>
      <c r="QN2942" s="37"/>
      <c r="QO2942" s="37"/>
      <c r="QP2942" s="37"/>
      <c r="QQ2942" s="37"/>
      <c r="QR2942" s="37"/>
      <c r="QS2942" s="37"/>
      <c r="QT2942" s="37"/>
      <c r="QU2942" s="37"/>
      <c r="QV2942" s="37"/>
      <c r="QW2942" s="37"/>
      <c r="QX2942" s="37"/>
      <c r="QY2942" s="37"/>
      <c r="QZ2942" s="37"/>
      <c r="RA2942" s="37"/>
      <c r="RB2942" s="37"/>
      <c r="RC2942" s="37"/>
      <c r="RD2942" s="37"/>
      <c r="RE2942" s="37"/>
      <c r="RF2942" s="37"/>
      <c r="RG2942" s="37"/>
      <c r="RH2942" s="37"/>
      <c r="RI2942" s="37"/>
      <c r="RJ2942" s="37"/>
      <c r="RK2942" s="37"/>
      <c r="RL2942" s="37"/>
      <c r="RM2942" s="37"/>
      <c r="RN2942" s="37"/>
      <c r="RO2942" s="37"/>
      <c r="RP2942" s="37"/>
      <c r="RQ2942" s="37"/>
      <c r="RR2942" s="37"/>
      <c r="RS2942" s="37"/>
      <c r="RT2942" s="37"/>
      <c r="RU2942" s="37"/>
      <c r="RV2942" s="37"/>
      <c r="RW2942" s="37"/>
      <c r="RX2942" s="37"/>
      <c r="RY2942" s="37"/>
      <c r="RZ2942" s="37"/>
      <c r="SA2942" s="37"/>
      <c r="SB2942" s="37"/>
      <c r="SC2942" s="37"/>
      <c r="SD2942" s="37"/>
      <c r="SE2942" s="37"/>
      <c r="SF2942" s="37"/>
    </row>
    <row r="2943" spans="1:500">
      <c r="A2943" s="37"/>
      <c r="B2943" s="37"/>
      <c r="C2943" s="37"/>
      <c r="D2943" s="37"/>
      <c r="E2943" s="37"/>
      <c r="F2943" s="37"/>
      <c r="G2943" s="37"/>
      <c r="H2943" s="37"/>
      <c r="I2943" s="37"/>
      <c r="J2943" s="37"/>
      <c r="K2943" s="37"/>
      <c r="L2943" s="37"/>
      <c r="M2943" s="37"/>
      <c r="N2943" s="37"/>
      <c r="O2943" s="37"/>
      <c r="P2943" s="37"/>
      <c r="Q2943" s="37"/>
      <c r="R2943" s="37"/>
      <c r="S2943" s="37"/>
      <c r="T2943" s="37"/>
      <c r="U2943" s="37"/>
      <c r="V2943" s="37"/>
      <c r="W2943" s="37"/>
      <c r="X2943" s="37"/>
      <c r="Y2943" s="37"/>
      <c r="Z2943" s="37"/>
      <c r="AA2943" s="37"/>
      <c r="AB2943" s="37"/>
      <c r="AC2943" s="37"/>
      <c r="AD2943" s="37"/>
      <c r="AE2943" s="37"/>
      <c r="AF2943" s="37"/>
      <c r="AG2943" s="37"/>
      <c r="AH2943" s="37"/>
      <c r="AI2943" s="37"/>
      <c r="AJ2943" s="37"/>
      <c r="AK2943" s="37"/>
      <c r="AL2943" s="37"/>
      <c r="AM2943" s="37"/>
      <c r="AN2943" s="37"/>
      <c r="AO2943" s="37"/>
      <c r="AP2943" s="37"/>
      <c r="AQ2943" s="37"/>
      <c r="AR2943" s="37"/>
      <c r="AS2943" s="37"/>
      <c r="AT2943" s="37"/>
      <c r="AU2943" s="37"/>
      <c r="AV2943" s="37"/>
      <c r="AW2943" s="37"/>
      <c r="AX2943" s="37"/>
      <c r="AY2943" s="37"/>
      <c r="AZ2943" s="37"/>
      <c r="BA2943" s="37"/>
      <c r="BB2943" s="37"/>
      <c r="BC2943" s="37"/>
      <c r="BD2943" s="37"/>
      <c r="BE2943" s="37"/>
      <c r="BF2943" s="37"/>
      <c r="BG2943" s="37"/>
      <c r="BH2943" s="37"/>
      <c r="BI2943" s="37"/>
      <c r="BJ2943" s="37"/>
      <c r="BK2943" s="37"/>
      <c r="BL2943" s="37"/>
      <c r="BM2943" s="37"/>
      <c r="BN2943" s="37"/>
      <c r="BO2943" s="37"/>
      <c r="BP2943" s="37"/>
      <c r="BQ2943" s="37"/>
      <c r="BR2943" s="37"/>
      <c r="BS2943" s="37"/>
      <c r="BT2943" s="37"/>
      <c r="BU2943" s="37"/>
      <c r="BV2943" s="37"/>
      <c r="BW2943" s="37"/>
      <c r="BX2943" s="37"/>
      <c r="BY2943" s="37"/>
      <c r="BZ2943" s="37"/>
      <c r="CA2943" s="37"/>
      <c r="CB2943" s="37"/>
      <c r="CC2943" s="37"/>
      <c r="CD2943" s="37"/>
      <c r="CE2943" s="37"/>
      <c r="CF2943" s="37"/>
      <c r="CG2943" s="37"/>
      <c r="CH2943" s="37"/>
      <c r="CI2943" s="37"/>
      <c r="CJ2943" s="37"/>
      <c r="CK2943" s="37"/>
      <c r="CL2943" s="37"/>
      <c r="CM2943" s="37"/>
      <c r="CN2943" s="37"/>
      <c r="CO2943" s="37"/>
      <c r="CP2943" s="37"/>
      <c r="CQ2943" s="37"/>
      <c r="CR2943" s="37"/>
      <c r="CS2943" s="37"/>
      <c r="CT2943" s="37"/>
      <c r="CU2943" s="37"/>
      <c r="CV2943" s="37"/>
      <c r="CW2943" s="37"/>
      <c r="CX2943" s="37"/>
      <c r="CY2943" s="37"/>
      <c r="CZ2943" s="37"/>
      <c r="DA2943" s="37"/>
      <c r="DB2943" s="37"/>
      <c r="DC2943" s="37"/>
      <c r="DD2943" s="37"/>
      <c r="DE2943" s="37"/>
      <c r="DF2943" s="37"/>
      <c r="DG2943" s="37"/>
      <c r="DH2943" s="37"/>
      <c r="DI2943" s="37"/>
      <c r="DJ2943" s="37"/>
      <c r="DK2943" s="37"/>
      <c r="DL2943" s="37"/>
      <c r="DM2943" s="37"/>
      <c r="DN2943" s="37"/>
      <c r="DO2943" s="37"/>
      <c r="DP2943" s="37"/>
      <c r="DQ2943" s="37"/>
      <c r="DR2943" s="37"/>
      <c r="DS2943" s="37"/>
      <c r="DT2943" s="37"/>
      <c r="DU2943" s="37"/>
      <c r="DV2943" s="37"/>
      <c r="DW2943" s="37"/>
      <c r="DX2943" s="37"/>
      <c r="DY2943" s="37"/>
      <c r="DZ2943" s="37"/>
      <c r="EA2943" s="37"/>
      <c r="EB2943" s="37"/>
      <c r="EC2943" s="37"/>
      <c r="ED2943" s="37"/>
      <c r="EE2943" s="37"/>
      <c r="EF2943" s="37"/>
      <c r="EG2943" s="37"/>
      <c r="EH2943" s="37"/>
      <c r="EI2943" s="37"/>
      <c r="EJ2943" s="37"/>
      <c r="EK2943" s="37"/>
      <c r="EL2943" s="37"/>
      <c r="EM2943" s="37"/>
      <c r="EN2943" s="37"/>
      <c r="EO2943" s="37"/>
      <c r="EP2943" s="37"/>
      <c r="EQ2943" s="37"/>
      <c r="ER2943" s="37"/>
      <c r="ES2943" s="37"/>
      <c r="ET2943" s="37"/>
      <c r="EU2943" s="37"/>
      <c r="EV2943" s="37"/>
      <c r="EW2943" s="37"/>
      <c r="EX2943" s="37"/>
      <c r="EY2943" s="37"/>
      <c r="EZ2943" s="37"/>
      <c r="FA2943" s="37"/>
      <c r="FB2943" s="37"/>
      <c r="FC2943" s="37"/>
      <c r="FD2943" s="37"/>
      <c r="FE2943" s="37"/>
      <c r="FF2943" s="37"/>
      <c r="FG2943" s="37"/>
      <c r="FH2943" s="37"/>
      <c r="FI2943" s="37"/>
      <c r="FJ2943" s="37"/>
      <c r="FK2943" s="37"/>
      <c r="FL2943" s="37"/>
      <c r="FM2943" s="37"/>
      <c r="FN2943" s="37"/>
      <c r="FO2943" s="37"/>
      <c r="FP2943" s="37"/>
      <c r="FQ2943" s="37"/>
      <c r="FR2943" s="37"/>
      <c r="FS2943" s="37"/>
      <c r="FT2943" s="37"/>
      <c r="FU2943" s="37"/>
      <c r="FV2943" s="37"/>
      <c r="FW2943" s="37"/>
      <c r="FX2943" s="37"/>
      <c r="FY2943" s="37"/>
      <c r="FZ2943" s="37"/>
      <c r="GA2943" s="37"/>
      <c r="GB2943" s="37"/>
      <c r="GC2943" s="37"/>
      <c r="GD2943" s="37"/>
      <c r="GE2943" s="37"/>
      <c r="GF2943" s="37"/>
      <c r="GG2943" s="37"/>
      <c r="GH2943" s="37"/>
      <c r="GI2943" s="37"/>
      <c r="GJ2943" s="37"/>
      <c r="GK2943" s="37"/>
      <c r="GL2943" s="37"/>
      <c r="GM2943" s="37"/>
      <c r="GN2943" s="37"/>
      <c r="GO2943" s="37"/>
      <c r="GP2943" s="37"/>
      <c r="GQ2943" s="37"/>
      <c r="GR2943" s="37"/>
      <c r="GS2943" s="37"/>
      <c r="GT2943" s="37"/>
      <c r="GU2943" s="37"/>
      <c r="GV2943" s="37"/>
      <c r="GW2943" s="37"/>
      <c r="GX2943" s="37"/>
      <c r="GY2943" s="37"/>
      <c r="GZ2943" s="37"/>
      <c r="HA2943" s="37"/>
      <c r="HB2943" s="37"/>
      <c r="HC2943" s="37"/>
      <c r="HD2943" s="37"/>
      <c r="HE2943" s="37"/>
      <c r="HF2943" s="37"/>
      <c r="HG2943" s="37"/>
      <c r="HH2943" s="37"/>
      <c r="HI2943" s="37"/>
      <c r="HJ2943" s="37"/>
      <c r="HK2943" s="37"/>
      <c r="HL2943" s="37"/>
      <c r="HM2943" s="37"/>
      <c r="HN2943" s="37"/>
      <c r="HO2943" s="37"/>
      <c r="HP2943" s="37"/>
      <c r="HQ2943" s="37"/>
      <c r="HR2943" s="37"/>
      <c r="HS2943" s="37"/>
      <c r="HT2943" s="37"/>
      <c r="HU2943" s="37"/>
      <c r="HV2943" s="37"/>
      <c r="HW2943" s="37"/>
      <c r="HX2943" s="37"/>
      <c r="HY2943" s="37"/>
      <c r="HZ2943" s="37"/>
      <c r="IA2943" s="37"/>
      <c r="IB2943" s="37"/>
      <c r="IC2943" s="37"/>
      <c r="ID2943" s="37"/>
      <c r="IE2943" s="37"/>
      <c r="IF2943" s="37"/>
      <c r="IG2943" s="37"/>
      <c r="IH2943" s="37"/>
      <c r="II2943" s="37"/>
      <c r="IJ2943" s="37"/>
      <c r="IK2943" s="37"/>
      <c r="IL2943" s="37"/>
      <c r="IM2943" s="37"/>
      <c r="IN2943" s="37"/>
      <c r="IO2943" s="37"/>
      <c r="IP2943" s="37"/>
      <c r="IQ2943" s="37"/>
      <c r="IR2943" s="37"/>
      <c r="IS2943" s="37"/>
      <c r="IT2943" s="37"/>
      <c r="IU2943" s="37"/>
      <c r="IV2943" s="37"/>
      <c r="IW2943" s="37"/>
      <c r="IX2943" s="37"/>
      <c r="IY2943" s="37"/>
      <c r="IZ2943" s="37"/>
      <c r="JA2943" s="37"/>
      <c r="JB2943" s="37"/>
      <c r="JC2943" s="37"/>
      <c r="JD2943" s="37"/>
      <c r="JE2943" s="37"/>
      <c r="JF2943" s="37"/>
      <c r="JG2943" s="37"/>
      <c r="JH2943" s="37"/>
      <c r="JI2943" s="37"/>
      <c r="JJ2943" s="37"/>
      <c r="JK2943" s="37"/>
      <c r="JL2943" s="37"/>
      <c r="JM2943" s="37"/>
      <c r="JN2943" s="37"/>
      <c r="JO2943" s="37"/>
      <c r="JP2943" s="37"/>
      <c r="JQ2943" s="37"/>
      <c r="JR2943" s="37"/>
      <c r="JS2943" s="37"/>
      <c r="JT2943" s="37"/>
      <c r="JU2943" s="37"/>
      <c r="JV2943" s="37"/>
      <c r="JW2943" s="37"/>
      <c r="JX2943" s="37"/>
      <c r="JY2943" s="37"/>
      <c r="JZ2943" s="37"/>
      <c r="KA2943" s="37"/>
      <c r="KB2943" s="37"/>
      <c r="KC2943" s="37"/>
      <c r="KD2943" s="37"/>
      <c r="KE2943" s="37"/>
      <c r="KF2943" s="37"/>
      <c r="KG2943" s="37"/>
      <c r="KH2943" s="37"/>
      <c r="KI2943" s="37"/>
      <c r="KJ2943" s="37"/>
      <c r="KK2943" s="37"/>
      <c r="KL2943" s="37"/>
      <c r="KM2943" s="37"/>
      <c r="KN2943" s="37"/>
      <c r="KO2943" s="37"/>
      <c r="KP2943" s="37"/>
      <c r="KQ2943" s="37"/>
      <c r="KR2943" s="37"/>
      <c r="KS2943" s="37"/>
      <c r="KT2943" s="37"/>
      <c r="KU2943" s="37"/>
      <c r="KV2943" s="37"/>
      <c r="KW2943" s="37"/>
      <c r="KX2943" s="37"/>
      <c r="KY2943" s="37"/>
      <c r="KZ2943" s="37"/>
      <c r="LA2943" s="37"/>
      <c r="LB2943" s="37"/>
      <c r="LC2943" s="37"/>
      <c r="LD2943" s="37"/>
      <c r="LE2943" s="37"/>
      <c r="LF2943" s="37"/>
      <c r="LG2943" s="37"/>
      <c r="LH2943" s="37"/>
      <c r="LI2943" s="37"/>
      <c r="LJ2943" s="37"/>
      <c r="LK2943" s="37"/>
      <c r="LL2943" s="37"/>
      <c r="LM2943" s="37"/>
      <c r="LN2943" s="37"/>
      <c r="LO2943" s="37"/>
      <c r="LP2943" s="37"/>
      <c r="LQ2943" s="37"/>
      <c r="LR2943" s="37"/>
      <c r="LS2943" s="37"/>
      <c r="LT2943" s="37"/>
      <c r="LU2943" s="37"/>
      <c r="LV2943" s="37"/>
      <c r="LW2943" s="37"/>
      <c r="LX2943" s="37"/>
      <c r="LY2943" s="37"/>
      <c r="LZ2943" s="37"/>
      <c r="MA2943" s="37"/>
      <c r="MB2943" s="37"/>
      <c r="MC2943" s="37"/>
      <c r="MD2943" s="37"/>
      <c r="ME2943" s="37"/>
      <c r="MF2943" s="37"/>
      <c r="MG2943" s="37"/>
      <c r="MH2943" s="37"/>
      <c r="MI2943" s="37"/>
      <c r="MJ2943" s="37"/>
      <c r="MK2943" s="37"/>
      <c r="ML2943" s="37"/>
      <c r="MM2943" s="37"/>
      <c r="MN2943" s="37"/>
      <c r="MO2943" s="37"/>
      <c r="MP2943" s="37"/>
      <c r="MQ2943" s="37"/>
      <c r="MR2943" s="37"/>
      <c r="MS2943" s="37"/>
      <c r="MT2943" s="37"/>
      <c r="MU2943" s="37"/>
      <c r="MV2943" s="37"/>
      <c r="MW2943" s="37"/>
      <c r="MX2943" s="37"/>
      <c r="MY2943" s="37"/>
      <c r="MZ2943" s="37"/>
      <c r="NA2943" s="37"/>
      <c r="NB2943" s="37"/>
      <c r="NC2943" s="37"/>
      <c r="ND2943" s="37"/>
      <c r="NE2943" s="37"/>
      <c r="NF2943" s="37"/>
      <c r="NG2943" s="37"/>
      <c r="NH2943" s="37"/>
      <c r="NI2943" s="37"/>
      <c r="NJ2943" s="37"/>
      <c r="NK2943" s="37"/>
      <c r="NL2943" s="37"/>
      <c r="NM2943" s="37"/>
      <c r="NN2943" s="37"/>
      <c r="NO2943" s="37"/>
      <c r="NP2943" s="37"/>
      <c r="NQ2943" s="37"/>
      <c r="NR2943" s="37"/>
      <c r="NS2943" s="37"/>
      <c r="NT2943" s="37"/>
      <c r="NU2943" s="37"/>
      <c r="NV2943" s="37"/>
      <c r="NW2943" s="37"/>
      <c r="NX2943" s="37"/>
      <c r="NY2943" s="37"/>
      <c r="NZ2943" s="37"/>
      <c r="OA2943" s="37"/>
      <c r="OB2943" s="37"/>
      <c r="OC2943" s="37"/>
      <c r="OD2943" s="37"/>
      <c r="OE2943" s="37"/>
      <c r="OF2943" s="37"/>
      <c r="OG2943" s="37"/>
      <c r="OH2943" s="37"/>
      <c r="OI2943" s="37"/>
      <c r="OJ2943" s="37"/>
      <c r="OK2943" s="37"/>
      <c r="OL2943" s="37"/>
      <c r="OM2943" s="37"/>
      <c r="ON2943" s="37"/>
      <c r="OO2943" s="37"/>
      <c r="OP2943" s="37"/>
      <c r="OQ2943" s="37"/>
      <c r="OR2943" s="37"/>
      <c r="OS2943" s="37"/>
      <c r="OT2943" s="37"/>
      <c r="OU2943" s="37"/>
      <c r="OV2943" s="37"/>
      <c r="OW2943" s="37"/>
      <c r="OX2943" s="37"/>
      <c r="OY2943" s="37"/>
      <c r="OZ2943" s="37"/>
      <c r="PA2943" s="37"/>
      <c r="PB2943" s="37"/>
      <c r="PC2943" s="37"/>
      <c r="PD2943" s="37"/>
      <c r="PE2943" s="37"/>
      <c r="PF2943" s="37"/>
      <c r="PG2943" s="37"/>
      <c r="PH2943" s="37"/>
      <c r="PI2943" s="37"/>
      <c r="PJ2943" s="37"/>
      <c r="PK2943" s="37"/>
      <c r="PL2943" s="37"/>
      <c r="PM2943" s="37"/>
      <c r="PN2943" s="37"/>
      <c r="PO2943" s="37"/>
      <c r="PP2943" s="37"/>
      <c r="PQ2943" s="37"/>
      <c r="PR2943" s="37"/>
      <c r="PS2943" s="37"/>
      <c r="PT2943" s="37"/>
      <c r="PU2943" s="37"/>
      <c r="PV2943" s="37"/>
      <c r="PW2943" s="37"/>
      <c r="PX2943" s="37"/>
      <c r="PY2943" s="37"/>
      <c r="PZ2943" s="37"/>
      <c r="QA2943" s="37"/>
      <c r="QB2943" s="37"/>
      <c r="QC2943" s="37"/>
      <c r="QD2943" s="37"/>
      <c r="QE2943" s="37"/>
      <c r="QF2943" s="37"/>
      <c r="QG2943" s="37"/>
      <c r="QH2943" s="37"/>
      <c r="QI2943" s="37"/>
      <c r="QJ2943" s="37"/>
      <c r="QK2943" s="37"/>
      <c r="QL2943" s="37"/>
      <c r="QM2943" s="37"/>
      <c r="QN2943" s="37"/>
      <c r="QO2943" s="37"/>
      <c r="QP2943" s="37"/>
      <c r="QQ2943" s="37"/>
      <c r="QR2943" s="37"/>
      <c r="QS2943" s="37"/>
      <c r="QT2943" s="37"/>
      <c r="QU2943" s="37"/>
      <c r="QV2943" s="37"/>
      <c r="QW2943" s="37"/>
      <c r="QX2943" s="37"/>
      <c r="QY2943" s="37"/>
      <c r="QZ2943" s="37"/>
      <c r="RA2943" s="37"/>
      <c r="RB2943" s="37"/>
      <c r="RC2943" s="37"/>
      <c r="RD2943" s="37"/>
      <c r="RE2943" s="37"/>
      <c r="RF2943" s="37"/>
      <c r="RG2943" s="37"/>
      <c r="RH2943" s="37"/>
      <c r="RI2943" s="37"/>
      <c r="RJ2943" s="37"/>
      <c r="RK2943" s="37"/>
      <c r="RL2943" s="37"/>
      <c r="RM2943" s="37"/>
      <c r="RN2943" s="37"/>
      <c r="RO2943" s="37"/>
      <c r="RP2943" s="37"/>
      <c r="RQ2943" s="37"/>
      <c r="RR2943" s="37"/>
      <c r="RS2943" s="37"/>
      <c r="RT2943" s="37"/>
      <c r="RU2943" s="37"/>
      <c r="RV2943" s="37"/>
      <c r="RW2943" s="37"/>
      <c r="RX2943" s="37"/>
      <c r="RY2943" s="37"/>
      <c r="RZ2943" s="37"/>
      <c r="SA2943" s="37"/>
      <c r="SB2943" s="37"/>
      <c r="SC2943" s="37"/>
      <c r="SD2943" s="37"/>
      <c r="SE2943" s="37"/>
      <c r="SF2943" s="37"/>
    </row>
    <row r="2944" spans="1:500">
      <c r="A2944" s="37"/>
      <c r="B2944" s="37"/>
      <c r="C2944" s="37"/>
      <c r="D2944" s="37"/>
      <c r="E2944" s="37"/>
      <c r="F2944" s="37"/>
      <c r="G2944" s="37"/>
      <c r="H2944" s="37"/>
      <c r="I2944" s="37"/>
      <c r="J2944" s="37"/>
      <c r="K2944" s="37"/>
      <c r="L2944" s="37"/>
      <c r="M2944" s="37"/>
      <c r="N2944" s="37"/>
      <c r="O2944" s="37"/>
      <c r="P2944" s="37"/>
      <c r="Q2944" s="37"/>
      <c r="R2944" s="37"/>
      <c r="S2944" s="37"/>
      <c r="T2944" s="37"/>
      <c r="U2944" s="37"/>
      <c r="V2944" s="37"/>
      <c r="W2944" s="37"/>
      <c r="X2944" s="37"/>
      <c r="Y2944" s="37"/>
      <c r="Z2944" s="37"/>
      <c r="AA2944" s="37"/>
      <c r="AB2944" s="37"/>
      <c r="AC2944" s="37"/>
      <c r="AD2944" s="37"/>
      <c r="AE2944" s="37"/>
      <c r="AF2944" s="37"/>
      <c r="AG2944" s="37"/>
      <c r="AH2944" s="37"/>
      <c r="AI2944" s="37"/>
      <c r="AJ2944" s="37"/>
      <c r="AK2944" s="37"/>
      <c r="AL2944" s="37"/>
      <c r="AM2944" s="37"/>
      <c r="AN2944" s="37"/>
      <c r="AO2944" s="37"/>
      <c r="AP2944" s="37"/>
      <c r="AQ2944" s="37"/>
      <c r="AR2944" s="37"/>
      <c r="AS2944" s="37"/>
      <c r="AT2944" s="37"/>
      <c r="AU2944" s="37"/>
      <c r="AV2944" s="37"/>
      <c r="AW2944" s="37"/>
      <c r="AX2944" s="37"/>
      <c r="AY2944" s="37"/>
      <c r="AZ2944" s="37"/>
      <c r="BA2944" s="37"/>
      <c r="BB2944" s="37"/>
      <c r="BC2944" s="37"/>
      <c r="BD2944" s="37"/>
      <c r="BE2944" s="37"/>
      <c r="BF2944" s="37"/>
      <c r="BG2944" s="37"/>
      <c r="BH2944" s="37"/>
      <c r="BI2944" s="37"/>
      <c r="BJ2944" s="37"/>
      <c r="BK2944" s="37"/>
      <c r="BL2944" s="37"/>
      <c r="BM2944" s="37"/>
      <c r="BN2944" s="37"/>
      <c r="BO2944" s="37"/>
      <c r="BP2944" s="37"/>
      <c r="BQ2944" s="37"/>
      <c r="BR2944" s="37"/>
      <c r="BS2944" s="37"/>
      <c r="BT2944" s="37"/>
      <c r="BU2944" s="37"/>
      <c r="BV2944" s="37"/>
      <c r="BW2944" s="37"/>
      <c r="BX2944" s="37"/>
      <c r="BY2944" s="37"/>
      <c r="BZ2944" s="37"/>
      <c r="CA2944" s="37"/>
      <c r="CB2944" s="37"/>
      <c r="CC2944" s="37"/>
      <c r="CD2944" s="37"/>
      <c r="CE2944" s="37"/>
      <c r="CF2944" s="37"/>
      <c r="CG2944" s="37"/>
      <c r="CH2944" s="37"/>
      <c r="CI2944" s="37"/>
      <c r="CJ2944" s="37"/>
      <c r="CK2944" s="37"/>
      <c r="CL2944" s="37"/>
      <c r="CM2944" s="37"/>
      <c r="CN2944" s="37"/>
      <c r="CO2944" s="37"/>
      <c r="CP2944" s="37"/>
      <c r="CQ2944" s="37"/>
      <c r="CR2944" s="37"/>
      <c r="CS2944" s="37"/>
      <c r="CT2944" s="37"/>
      <c r="CU2944" s="37"/>
      <c r="CV2944" s="37"/>
      <c r="CW2944" s="37"/>
      <c r="CX2944" s="37"/>
      <c r="CY2944" s="37"/>
      <c r="CZ2944" s="37"/>
      <c r="DA2944" s="37"/>
      <c r="DB2944" s="37"/>
      <c r="DC2944" s="37"/>
      <c r="DD2944" s="37"/>
      <c r="DE2944" s="37"/>
      <c r="DF2944" s="37"/>
      <c r="DG2944" s="37"/>
      <c r="DH2944" s="37"/>
      <c r="DI2944" s="37"/>
      <c r="DJ2944" s="37"/>
      <c r="DK2944" s="37"/>
      <c r="DL2944" s="37"/>
      <c r="DM2944" s="37"/>
      <c r="DN2944" s="37"/>
      <c r="DO2944" s="37"/>
      <c r="DP2944" s="37"/>
      <c r="DQ2944" s="37"/>
      <c r="DR2944" s="37"/>
      <c r="DS2944" s="37"/>
      <c r="DT2944" s="37"/>
      <c r="DU2944" s="37"/>
      <c r="DV2944" s="37"/>
      <c r="DW2944" s="37"/>
      <c r="DX2944" s="37"/>
      <c r="DY2944" s="37"/>
      <c r="DZ2944" s="37"/>
      <c r="EA2944" s="37"/>
      <c r="EB2944" s="37"/>
      <c r="EC2944" s="37"/>
      <c r="ED2944" s="37"/>
      <c r="EE2944" s="37"/>
      <c r="EF2944" s="37"/>
      <c r="EG2944" s="37"/>
      <c r="EH2944" s="37"/>
      <c r="EI2944" s="37"/>
      <c r="EJ2944" s="37"/>
      <c r="EK2944" s="37"/>
      <c r="EL2944" s="37"/>
      <c r="EM2944" s="37"/>
      <c r="EN2944" s="37"/>
      <c r="EO2944" s="37"/>
      <c r="EP2944" s="37"/>
      <c r="EQ2944" s="37"/>
      <c r="ER2944" s="37"/>
      <c r="ES2944" s="37"/>
      <c r="ET2944" s="37"/>
      <c r="EU2944" s="37"/>
      <c r="EV2944" s="37"/>
      <c r="EW2944" s="37"/>
      <c r="EX2944" s="37"/>
      <c r="EY2944" s="37"/>
      <c r="EZ2944" s="37"/>
      <c r="FA2944" s="37"/>
      <c r="FB2944" s="37"/>
      <c r="FC2944" s="37"/>
      <c r="FD2944" s="37"/>
      <c r="FE2944" s="37"/>
      <c r="FF2944" s="37"/>
      <c r="FG2944" s="37"/>
      <c r="FH2944" s="37"/>
      <c r="FI2944" s="37"/>
      <c r="FJ2944" s="37"/>
      <c r="FK2944" s="37"/>
      <c r="FL2944" s="37"/>
      <c r="FM2944" s="37"/>
      <c r="FN2944" s="37"/>
      <c r="FO2944" s="37"/>
      <c r="FP2944" s="37"/>
      <c r="FQ2944" s="37"/>
      <c r="FR2944" s="37"/>
      <c r="FS2944" s="37"/>
      <c r="FT2944" s="37"/>
      <c r="FU2944" s="37"/>
      <c r="FV2944" s="37"/>
      <c r="FW2944" s="37"/>
      <c r="FX2944" s="37"/>
      <c r="FY2944" s="37"/>
      <c r="FZ2944" s="37"/>
      <c r="GA2944" s="37"/>
      <c r="GB2944" s="37"/>
      <c r="GC2944" s="37"/>
      <c r="GD2944" s="37"/>
      <c r="GE2944" s="37"/>
      <c r="GF2944" s="37"/>
      <c r="GG2944" s="37"/>
      <c r="GH2944" s="37"/>
      <c r="GI2944" s="37"/>
      <c r="GJ2944" s="37"/>
      <c r="GK2944" s="37"/>
      <c r="GL2944" s="37"/>
      <c r="GM2944" s="37"/>
      <c r="GN2944" s="37"/>
      <c r="GO2944" s="37"/>
      <c r="GP2944" s="37"/>
      <c r="GQ2944" s="37"/>
      <c r="GR2944" s="37"/>
      <c r="GS2944" s="37"/>
      <c r="GT2944" s="37"/>
      <c r="GU2944" s="37"/>
      <c r="GV2944" s="37"/>
      <c r="GW2944" s="37"/>
      <c r="GX2944" s="37"/>
      <c r="GY2944" s="37"/>
      <c r="GZ2944" s="37"/>
      <c r="HA2944" s="37"/>
      <c r="HB2944" s="37"/>
      <c r="HC2944" s="37"/>
      <c r="HD2944" s="37"/>
      <c r="HE2944" s="37"/>
      <c r="HF2944" s="37"/>
      <c r="HG2944" s="37"/>
      <c r="HH2944" s="37"/>
      <c r="HI2944" s="37"/>
      <c r="HJ2944" s="37"/>
      <c r="HK2944" s="37"/>
      <c r="HL2944" s="37"/>
      <c r="HM2944" s="37"/>
      <c r="HN2944" s="37"/>
      <c r="HO2944" s="37"/>
      <c r="HP2944" s="37"/>
      <c r="HQ2944" s="37"/>
      <c r="HR2944" s="37"/>
      <c r="HS2944" s="37"/>
      <c r="HT2944" s="37"/>
      <c r="HU2944" s="37"/>
      <c r="HV2944" s="37"/>
      <c r="HW2944" s="37"/>
      <c r="HX2944" s="37"/>
      <c r="HY2944" s="37"/>
      <c r="HZ2944" s="37"/>
      <c r="IA2944" s="37"/>
      <c r="IB2944" s="37"/>
      <c r="IC2944" s="37"/>
      <c r="ID2944" s="37"/>
      <c r="IE2944" s="37"/>
      <c r="IF2944" s="37"/>
      <c r="IG2944" s="37"/>
      <c r="IH2944" s="37"/>
      <c r="II2944" s="37"/>
      <c r="IJ2944" s="37"/>
      <c r="IK2944" s="37"/>
      <c r="IL2944" s="37"/>
      <c r="IM2944" s="37"/>
      <c r="IN2944" s="37"/>
      <c r="IO2944" s="37"/>
      <c r="IP2944" s="37"/>
      <c r="IQ2944" s="37"/>
      <c r="IR2944" s="37"/>
      <c r="IS2944" s="37"/>
      <c r="IT2944" s="37"/>
      <c r="IU2944" s="37"/>
      <c r="IV2944" s="37"/>
      <c r="IW2944" s="37"/>
      <c r="IX2944" s="37"/>
      <c r="IY2944" s="37"/>
      <c r="IZ2944" s="37"/>
      <c r="JA2944" s="37"/>
      <c r="JB2944" s="37"/>
      <c r="JC2944" s="37"/>
      <c r="JD2944" s="37"/>
      <c r="JE2944" s="37"/>
      <c r="JF2944" s="37"/>
      <c r="JG2944" s="37"/>
      <c r="JH2944" s="37"/>
      <c r="JI2944" s="37"/>
      <c r="JJ2944" s="37"/>
      <c r="JK2944" s="37"/>
      <c r="JL2944" s="37"/>
      <c r="JM2944" s="37"/>
      <c r="JN2944" s="37"/>
      <c r="JO2944" s="37"/>
      <c r="JP2944" s="37"/>
      <c r="JQ2944" s="37"/>
      <c r="JR2944" s="37"/>
      <c r="JS2944" s="37"/>
      <c r="JT2944" s="37"/>
      <c r="JU2944" s="37"/>
      <c r="JV2944" s="37"/>
      <c r="JW2944" s="37"/>
      <c r="JX2944" s="37"/>
      <c r="JY2944" s="37"/>
      <c r="JZ2944" s="37"/>
      <c r="KA2944" s="37"/>
      <c r="KB2944" s="37"/>
      <c r="KC2944" s="37"/>
      <c r="KD2944" s="37"/>
      <c r="KE2944" s="37"/>
      <c r="KF2944" s="37"/>
      <c r="KG2944" s="37"/>
      <c r="KH2944" s="37"/>
      <c r="KI2944" s="37"/>
      <c r="KJ2944" s="37"/>
      <c r="KK2944" s="37"/>
      <c r="KL2944" s="37"/>
      <c r="KM2944" s="37"/>
      <c r="KN2944" s="37"/>
      <c r="KO2944" s="37"/>
      <c r="KP2944" s="37"/>
      <c r="KQ2944" s="37"/>
      <c r="KR2944" s="37"/>
      <c r="KS2944" s="37"/>
      <c r="KT2944" s="37"/>
      <c r="KU2944" s="37"/>
      <c r="KV2944" s="37"/>
      <c r="KW2944" s="37"/>
      <c r="KX2944" s="37"/>
      <c r="KY2944" s="37"/>
      <c r="KZ2944" s="37"/>
      <c r="LA2944" s="37"/>
      <c r="LB2944" s="37"/>
      <c r="LC2944" s="37"/>
      <c r="LD2944" s="37"/>
      <c r="LE2944" s="37"/>
      <c r="LF2944" s="37"/>
      <c r="LG2944" s="37"/>
      <c r="LH2944" s="37"/>
      <c r="LI2944" s="37"/>
      <c r="LJ2944" s="37"/>
      <c r="LK2944" s="37"/>
      <c r="LL2944" s="37"/>
      <c r="LM2944" s="37"/>
      <c r="LN2944" s="37"/>
      <c r="LO2944" s="37"/>
      <c r="LP2944" s="37"/>
      <c r="LQ2944" s="37"/>
      <c r="LR2944" s="37"/>
      <c r="LS2944" s="37"/>
      <c r="LT2944" s="37"/>
      <c r="LU2944" s="37"/>
      <c r="LV2944" s="37"/>
      <c r="LW2944" s="37"/>
      <c r="LX2944" s="37"/>
      <c r="LY2944" s="37"/>
      <c r="LZ2944" s="37"/>
      <c r="MA2944" s="37"/>
      <c r="MB2944" s="37"/>
      <c r="MC2944" s="37"/>
      <c r="MD2944" s="37"/>
      <c r="ME2944" s="37"/>
      <c r="MF2944" s="37"/>
      <c r="MG2944" s="37"/>
      <c r="MH2944" s="37"/>
      <c r="MI2944" s="37"/>
      <c r="MJ2944" s="37"/>
      <c r="MK2944" s="37"/>
      <c r="ML2944" s="37"/>
      <c r="MM2944" s="37"/>
      <c r="MN2944" s="37"/>
      <c r="MO2944" s="37"/>
      <c r="MP2944" s="37"/>
      <c r="MQ2944" s="37"/>
      <c r="MR2944" s="37"/>
      <c r="MS2944" s="37"/>
      <c r="MT2944" s="37"/>
      <c r="MU2944" s="37"/>
      <c r="MV2944" s="37"/>
      <c r="MW2944" s="37"/>
      <c r="MX2944" s="37"/>
      <c r="MY2944" s="37"/>
      <c r="MZ2944" s="37"/>
      <c r="NA2944" s="37"/>
      <c r="NB2944" s="37"/>
      <c r="NC2944" s="37"/>
      <c r="ND2944" s="37"/>
      <c r="NE2944" s="37"/>
      <c r="NF2944" s="37"/>
      <c r="NG2944" s="37"/>
      <c r="NH2944" s="37"/>
      <c r="NI2944" s="37"/>
      <c r="NJ2944" s="37"/>
      <c r="NK2944" s="37"/>
      <c r="NL2944" s="37"/>
      <c r="NM2944" s="37"/>
      <c r="NN2944" s="37"/>
      <c r="NO2944" s="37"/>
      <c r="NP2944" s="37"/>
      <c r="NQ2944" s="37"/>
      <c r="NR2944" s="37"/>
      <c r="NS2944" s="37"/>
      <c r="NT2944" s="37"/>
      <c r="NU2944" s="37"/>
      <c r="NV2944" s="37"/>
      <c r="NW2944" s="37"/>
      <c r="NX2944" s="37"/>
      <c r="NY2944" s="37"/>
      <c r="NZ2944" s="37"/>
      <c r="OA2944" s="37"/>
      <c r="OB2944" s="37"/>
      <c r="OC2944" s="37"/>
      <c r="OD2944" s="37"/>
      <c r="OE2944" s="37"/>
      <c r="OF2944" s="37"/>
      <c r="OG2944" s="37"/>
      <c r="OH2944" s="37"/>
      <c r="OI2944" s="37"/>
      <c r="OJ2944" s="37"/>
      <c r="OK2944" s="37"/>
      <c r="OL2944" s="37"/>
      <c r="OM2944" s="37"/>
      <c r="ON2944" s="37"/>
      <c r="OO2944" s="37"/>
      <c r="OP2944" s="37"/>
      <c r="OQ2944" s="37"/>
      <c r="OR2944" s="37"/>
      <c r="OS2944" s="37"/>
      <c r="OT2944" s="37"/>
      <c r="OU2944" s="37"/>
      <c r="OV2944" s="37"/>
      <c r="OW2944" s="37"/>
      <c r="OX2944" s="37"/>
      <c r="OY2944" s="37"/>
      <c r="OZ2944" s="37"/>
      <c r="PA2944" s="37"/>
      <c r="PB2944" s="37"/>
      <c r="PC2944" s="37"/>
      <c r="PD2944" s="37"/>
      <c r="PE2944" s="37"/>
      <c r="PF2944" s="37"/>
      <c r="PG2944" s="37"/>
      <c r="PH2944" s="37"/>
      <c r="PI2944" s="37"/>
      <c r="PJ2944" s="37"/>
      <c r="PK2944" s="37"/>
      <c r="PL2944" s="37"/>
      <c r="PM2944" s="37"/>
      <c r="PN2944" s="37"/>
      <c r="PO2944" s="37"/>
      <c r="PP2944" s="37"/>
      <c r="PQ2944" s="37"/>
      <c r="PR2944" s="37"/>
      <c r="PS2944" s="37"/>
      <c r="PT2944" s="37"/>
      <c r="PU2944" s="37"/>
      <c r="PV2944" s="37"/>
      <c r="PW2944" s="37"/>
      <c r="PX2944" s="37"/>
      <c r="PY2944" s="37"/>
      <c r="PZ2944" s="37"/>
      <c r="QA2944" s="37"/>
      <c r="QB2944" s="37"/>
      <c r="QC2944" s="37"/>
      <c r="QD2944" s="37"/>
      <c r="QE2944" s="37"/>
      <c r="QF2944" s="37"/>
      <c r="QG2944" s="37"/>
      <c r="QH2944" s="37"/>
      <c r="QI2944" s="37"/>
      <c r="QJ2944" s="37"/>
      <c r="QK2944" s="37"/>
      <c r="QL2944" s="37"/>
      <c r="QM2944" s="37"/>
      <c r="QN2944" s="37"/>
      <c r="QO2944" s="37"/>
      <c r="QP2944" s="37"/>
      <c r="QQ2944" s="37"/>
      <c r="QR2944" s="37"/>
      <c r="QS2944" s="37"/>
      <c r="QT2944" s="37"/>
      <c r="QU2944" s="37"/>
      <c r="QV2944" s="37"/>
      <c r="QW2944" s="37"/>
      <c r="QX2944" s="37"/>
      <c r="QY2944" s="37"/>
      <c r="QZ2944" s="37"/>
      <c r="RA2944" s="37"/>
      <c r="RB2944" s="37"/>
      <c r="RC2944" s="37"/>
      <c r="RD2944" s="37"/>
      <c r="RE2944" s="37"/>
      <c r="RF2944" s="37"/>
      <c r="RG2944" s="37"/>
      <c r="RH2944" s="37"/>
      <c r="RI2944" s="37"/>
      <c r="RJ2944" s="37"/>
      <c r="RK2944" s="37"/>
      <c r="RL2944" s="37"/>
      <c r="RM2944" s="37"/>
      <c r="RN2944" s="37"/>
      <c r="RO2944" s="37"/>
      <c r="RP2944" s="37"/>
      <c r="RQ2944" s="37"/>
      <c r="RR2944" s="37"/>
      <c r="RS2944" s="37"/>
      <c r="RT2944" s="37"/>
      <c r="RU2944" s="37"/>
      <c r="RV2944" s="37"/>
      <c r="RW2944" s="37"/>
      <c r="RX2944" s="37"/>
      <c r="RY2944" s="37"/>
      <c r="RZ2944" s="37"/>
      <c r="SA2944" s="37"/>
      <c r="SB2944" s="37"/>
      <c r="SC2944" s="37"/>
      <c r="SD2944" s="37"/>
      <c r="SE2944" s="37"/>
      <c r="SF2944" s="37"/>
    </row>
    <row r="2945" spans="1:500">
      <c r="A2945" s="37"/>
      <c r="B2945" s="37"/>
      <c r="C2945" s="37"/>
      <c r="D2945" s="37"/>
      <c r="E2945" s="37"/>
      <c r="F2945" s="37"/>
      <c r="G2945" s="37"/>
      <c r="H2945" s="37"/>
      <c r="I2945" s="37"/>
      <c r="J2945" s="37"/>
      <c r="K2945" s="37"/>
      <c r="L2945" s="37"/>
      <c r="M2945" s="37"/>
      <c r="N2945" s="37"/>
      <c r="O2945" s="37"/>
      <c r="P2945" s="37"/>
      <c r="Q2945" s="37"/>
      <c r="R2945" s="37"/>
      <c r="S2945" s="37"/>
      <c r="T2945" s="37"/>
      <c r="U2945" s="37"/>
      <c r="V2945" s="37"/>
      <c r="W2945" s="37"/>
      <c r="X2945" s="37"/>
      <c r="Y2945" s="37"/>
      <c r="Z2945" s="37"/>
      <c r="AA2945" s="37"/>
      <c r="AB2945" s="37"/>
      <c r="AC2945" s="37"/>
      <c r="AD2945" s="37"/>
      <c r="AE2945" s="37"/>
      <c r="AF2945" s="37"/>
      <c r="AG2945" s="37"/>
      <c r="AH2945" s="37"/>
      <c r="AI2945" s="37"/>
      <c r="AJ2945" s="37"/>
      <c r="AK2945" s="37"/>
      <c r="AL2945" s="37"/>
      <c r="AM2945" s="37"/>
      <c r="AN2945" s="37"/>
      <c r="AO2945" s="37"/>
      <c r="AP2945" s="37"/>
      <c r="AQ2945" s="37"/>
      <c r="AR2945" s="37"/>
      <c r="AS2945" s="37"/>
      <c r="AT2945" s="37"/>
      <c r="AU2945" s="37"/>
      <c r="AV2945" s="37"/>
      <c r="AW2945" s="37"/>
      <c r="AX2945" s="37"/>
      <c r="AY2945" s="37"/>
      <c r="AZ2945" s="37"/>
      <c r="BA2945" s="37"/>
      <c r="BB2945" s="37"/>
      <c r="BC2945" s="37"/>
      <c r="BD2945" s="37"/>
      <c r="BE2945" s="37"/>
      <c r="BF2945" s="37"/>
      <c r="BG2945" s="37"/>
      <c r="BH2945" s="37"/>
      <c r="BI2945" s="37"/>
      <c r="BJ2945" s="37"/>
      <c r="BK2945" s="37"/>
      <c r="BL2945" s="37"/>
      <c r="BM2945" s="37"/>
      <c r="BN2945" s="37"/>
      <c r="BO2945" s="37"/>
      <c r="BP2945" s="37"/>
      <c r="BQ2945" s="37"/>
      <c r="BR2945" s="37"/>
      <c r="BS2945" s="37"/>
      <c r="BT2945" s="37"/>
      <c r="BU2945" s="37"/>
      <c r="BV2945" s="37"/>
      <c r="BW2945" s="37"/>
      <c r="BX2945" s="37"/>
      <c r="BY2945" s="37"/>
      <c r="BZ2945" s="37"/>
      <c r="CA2945" s="37"/>
      <c r="CB2945" s="37"/>
      <c r="CC2945" s="37"/>
      <c r="CD2945" s="37"/>
      <c r="CE2945" s="37"/>
      <c r="CF2945" s="37"/>
      <c r="CG2945" s="37"/>
      <c r="CH2945" s="37"/>
      <c r="CI2945" s="37"/>
      <c r="CJ2945" s="37"/>
      <c r="CK2945" s="37"/>
      <c r="CL2945" s="37"/>
      <c r="CM2945" s="37"/>
      <c r="CN2945" s="37"/>
      <c r="CO2945" s="37"/>
      <c r="CP2945" s="37"/>
      <c r="CQ2945" s="37"/>
      <c r="CR2945" s="37"/>
      <c r="CS2945" s="37"/>
      <c r="CT2945" s="37"/>
      <c r="CU2945" s="37"/>
      <c r="CV2945" s="37"/>
      <c r="CW2945" s="37"/>
      <c r="CX2945" s="37"/>
      <c r="CY2945" s="37"/>
      <c r="CZ2945" s="37"/>
      <c r="DA2945" s="37"/>
      <c r="DB2945" s="37"/>
      <c r="DC2945" s="37"/>
      <c r="DD2945" s="37"/>
      <c r="DE2945" s="37"/>
      <c r="DF2945" s="37"/>
      <c r="DG2945" s="37"/>
      <c r="DH2945" s="37"/>
      <c r="DI2945" s="37"/>
      <c r="DJ2945" s="37"/>
      <c r="DK2945" s="37"/>
      <c r="DL2945" s="37"/>
      <c r="DM2945" s="37"/>
      <c r="DN2945" s="37"/>
      <c r="DO2945" s="37"/>
      <c r="DP2945" s="37"/>
      <c r="DQ2945" s="37"/>
      <c r="DR2945" s="37"/>
      <c r="DS2945" s="37"/>
      <c r="DT2945" s="37"/>
      <c r="DU2945" s="37"/>
      <c r="DV2945" s="37"/>
      <c r="DW2945" s="37"/>
      <c r="DX2945" s="37"/>
      <c r="DY2945" s="37"/>
      <c r="DZ2945" s="37"/>
      <c r="EA2945" s="37"/>
      <c r="EB2945" s="37"/>
      <c r="EC2945" s="37"/>
      <c r="ED2945" s="37"/>
      <c r="EE2945" s="37"/>
      <c r="EF2945" s="37"/>
      <c r="EG2945" s="37"/>
      <c r="EH2945" s="37"/>
      <c r="EI2945" s="37"/>
      <c r="EJ2945" s="37"/>
      <c r="EK2945" s="37"/>
      <c r="EL2945" s="37"/>
      <c r="EM2945" s="37"/>
      <c r="EN2945" s="37"/>
      <c r="EO2945" s="37"/>
      <c r="EP2945" s="37"/>
      <c r="EQ2945" s="37"/>
      <c r="ER2945" s="37"/>
      <c r="ES2945" s="37"/>
      <c r="ET2945" s="37"/>
      <c r="EU2945" s="37"/>
      <c r="EV2945" s="37"/>
      <c r="EW2945" s="37"/>
      <c r="EX2945" s="37"/>
      <c r="EY2945" s="37"/>
      <c r="EZ2945" s="37"/>
      <c r="FA2945" s="37"/>
      <c r="FB2945" s="37"/>
      <c r="FC2945" s="37"/>
      <c r="FD2945" s="37"/>
      <c r="FE2945" s="37"/>
      <c r="FF2945" s="37"/>
      <c r="FG2945" s="37"/>
      <c r="FH2945" s="37"/>
      <c r="FI2945" s="37"/>
      <c r="FJ2945" s="37"/>
      <c r="FK2945" s="37"/>
      <c r="FL2945" s="37"/>
      <c r="FM2945" s="37"/>
      <c r="FN2945" s="37"/>
      <c r="FO2945" s="37"/>
      <c r="FP2945" s="37"/>
      <c r="FQ2945" s="37"/>
      <c r="FR2945" s="37"/>
      <c r="FS2945" s="37"/>
      <c r="FT2945" s="37"/>
      <c r="FU2945" s="37"/>
      <c r="FV2945" s="37"/>
      <c r="FW2945" s="37"/>
      <c r="FX2945" s="37"/>
      <c r="FY2945" s="37"/>
      <c r="FZ2945" s="37"/>
      <c r="GA2945" s="37"/>
      <c r="GB2945" s="37"/>
      <c r="GC2945" s="37"/>
      <c r="GD2945" s="37"/>
      <c r="GE2945" s="37"/>
      <c r="GF2945" s="37"/>
      <c r="GG2945" s="37"/>
      <c r="GH2945" s="37"/>
      <c r="GI2945" s="37"/>
      <c r="GJ2945" s="37"/>
      <c r="GK2945" s="37"/>
      <c r="GL2945" s="37"/>
      <c r="GM2945" s="37"/>
      <c r="GN2945" s="37"/>
      <c r="GO2945" s="37"/>
      <c r="GP2945" s="37"/>
      <c r="GQ2945" s="37"/>
      <c r="GR2945" s="37"/>
      <c r="GS2945" s="37"/>
      <c r="GT2945" s="37"/>
      <c r="GU2945" s="37"/>
      <c r="GV2945" s="37"/>
      <c r="GW2945" s="37"/>
      <c r="GX2945" s="37"/>
      <c r="GY2945" s="37"/>
      <c r="GZ2945" s="37"/>
      <c r="HA2945" s="37"/>
      <c r="HB2945" s="37"/>
      <c r="HC2945" s="37"/>
      <c r="HD2945" s="37"/>
      <c r="HE2945" s="37"/>
      <c r="HF2945" s="37"/>
      <c r="HG2945" s="37"/>
      <c r="HH2945" s="37"/>
      <c r="HI2945" s="37"/>
      <c r="HJ2945" s="37"/>
      <c r="HK2945" s="37"/>
      <c r="HL2945" s="37"/>
      <c r="HM2945" s="37"/>
      <c r="HN2945" s="37"/>
      <c r="HO2945" s="37"/>
      <c r="HP2945" s="37"/>
      <c r="HQ2945" s="37"/>
      <c r="HR2945" s="37"/>
      <c r="HS2945" s="37"/>
      <c r="HT2945" s="37"/>
      <c r="HU2945" s="37"/>
      <c r="HV2945" s="37"/>
      <c r="HW2945" s="37"/>
      <c r="HX2945" s="37"/>
      <c r="HY2945" s="37"/>
      <c r="HZ2945" s="37"/>
      <c r="IA2945" s="37"/>
      <c r="IB2945" s="37"/>
      <c r="IC2945" s="37"/>
      <c r="ID2945" s="37"/>
      <c r="IE2945" s="37"/>
      <c r="IF2945" s="37"/>
      <c r="IG2945" s="37"/>
      <c r="IH2945" s="37"/>
      <c r="II2945" s="37"/>
      <c r="IJ2945" s="37"/>
      <c r="IK2945" s="37"/>
      <c r="IL2945" s="37"/>
      <c r="IM2945" s="37"/>
      <c r="IN2945" s="37"/>
      <c r="IO2945" s="37"/>
      <c r="IP2945" s="37"/>
      <c r="IQ2945" s="37"/>
      <c r="IR2945" s="37"/>
      <c r="IS2945" s="37"/>
      <c r="IT2945" s="37"/>
      <c r="IU2945" s="37"/>
      <c r="IV2945" s="37"/>
      <c r="IW2945" s="37"/>
      <c r="IX2945" s="37"/>
      <c r="IY2945" s="37"/>
      <c r="IZ2945" s="37"/>
      <c r="JA2945" s="37"/>
      <c r="JB2945" s="37"/>
      <c r="JC2945" s="37"/>
      <c r="JD2945" s="37"/>
      <c r="JE2945" s="37"/>
      <c r="JF2945" s="37"/>
      <c r="JG2945" s="37"/>
      <c r="JH2945" s="37"/>
      <c r="JI2945" s="37"/>
      <c r="JJ2945" s="37"/>
      <c r="JK2945" s="37"/>
      <c r="JL2945" s="37"/>
      <c r="JM2945" s="37"/>
      <c r="JN2945" s="37"/>
      <c r="JO2945" s="37"/>
      <c r="JP2945" s="37"/>
      <c r="JQ2945" s="37"/>
      <c r="JR2945" s="37"/>
      <c r="JS2945" s="37"/>
      <c r="JT2945" s="37"/>
      <c r="JU2945" s="37"/>
      <c r="JV2945" s="37"/>
      <c r="JW2945" s="37"/>
      <c r="JX2945" s="37"/>
      <c r="JY2945" s="37"/>
      <c r="JZ2945" s="37"/>
      <c r="KA2945" s="37"/>
      <c r="KB2945" s="37"/>
      <c r="KC2945" s="37"/>
      <c r="KD2945" s="37"/>
      <c r="KE2945" s="37"/>
      <c r="KF2945" s="37"/>
      <c r="KG2945" s="37"/>
      <c r="KH2945" s="37"/>
      <c r="KI2945" s="37"/>
      <c r="KJ2945" s="37"/>
      <c r="KK2945" s="37"/>
      <c r="KL2945" s="37"/>
      <c r="KM2945" s="37"/>
      <c r="KN2945" s="37"/>
      <c r="KO2945" s="37"/>
      <c r="KP2945" s="37"/>
      <c r="KQ2945" s="37"/>
      <c r="KR2945" s="37"/>
      <c r="KS2945" s="37"/>
      <c r="KT2945" s="37"/>
      <c r="KU2945" s="37"/>
      <c r="KV2945" s="37"/>
      <c r="KW2945" s="37"/>
      <c r="KX2945" s="37"/>
      <c r="KY2945" s="37"/>
      <c r="KZ2945" s="37"/>
      <c r="LA2945" s="37"/>
      <c r="LB2945" s="37"/>
      <c r="LC2945" s="37"/>
      <c r="LD2945" s="37"/>
      <c r="LE2945" s="37"/>
      <c r="LF2945" s="37"/>
      <c r="LG2945" s="37"/>
      <c r="LH2945" s="37"/>
      <c r="LI2945" s="37"/>
      <c r="LJ2945" s="37"/>
      <c r="LK2945" s="37"/>
      <c r="LL2945" s="37"/>
      <c r="LM2945" s="37"/>
      <c r="LN2945" s="37"/>
      <c r="LO2945" s="37"/>
      <c r="LP2945" s="37"/>
      <c r="LQ2945" s="37"/>
      <c r="LR2945" s="37"/>
      <c r="LS2945" s="37"/>
      <c r="LT2945" s="37"/>
      <c r="LU2945" s="37"/>
      <c r="LV2945" s="37"/>
      <c r="LW2945" s="37"/>
      <c r="LX2945" s="37"/>
      <c r="LY2945" s="37"/>
      <c r="LZ2945" s="37"/>
      <c r="MA2945" s="37"/>
      <c r="MB2945" s="37"/>
      <c r="MC2945" s="37"/>
      <c r="MD2945" s="37"/>
      <c r="ME2945" s="37"/>
      <c r="MF2945" s="37"/>
      <c r="MG2945" s="37"/>
      <c r="MH2945" s="37"/>
      <c r="MI2945" s="37"/>
      <c r="MJ2945" s="37"/>
      <c r="MK2945" s="37"/>
      <c r="ML2945" s="37"/>
      <c r="MM2945" s="37"/>
      <c r="MN2945" s="37"/>
      <c r="MO2945" s="37"/>
      <c r="MP2945" s="37"/>
      <c r="MQ2945" s="37"/>
      <c r="MR2945" s="37"/>
      <c r="MS2945" s="37"/>
      <c r="MT2945" s="37"/>
      <c r="MU2945" s="37"/>
      <c r="MV2945" s="37"/>
      <c r="MW2945" s="37"/>
      <c r="MX2945" s="37"/>
      <c r="MY2945" s="37"/>
      <c r="MZ2945" s="37"/>
      <c r="NA2945" s="37"/>
      <c r="NB2945" s="37"/>
      <c r="NC2945" s="37"/>
      <c r="ND2945" s="37"/>
      <c r="NE2945" s="37"/>
      <c r="NF2945" s="37"/>
      <c r="NG2945" s="37"/>
      <c r="NH2945" s="37"/>
      <c r="NI2945" s="37"/>
      <c r="NJ2945" s="37"/>
      <c r="NK2945" s="37"/>
      <c r="NL2945" s="37"/>
      <c r="NM2945" s="37"/>
      <c r="NN2945" s="37"/>
      <c r="NO2945" s="37"/>
      <c r="NP2945" s="37"/>
      <c r="NQ2945" s="37"/>
      <c r="NR2945" s="37"/>
      <c r="NS2945" s="37"/>
      <c r="NT2945" s="37"/>
      <c r="NU2945" s="37"/>
      <c r="NV2945" s="37"/>
      <c r="NW2945" s="37"/>
      <c r="NX2945" s="37"/>
      <c r="NY2945" s="37"/>
      <c r="NZ2945" s="37"/>
      <c r="OA2945" s="37"/>
      <c r="OB2945" s="37"/>
      <c r="OC2945" s="37"/>
      <c r="OD2945" s="37"/>
      <c r="OE2945" s="37"/>
      <c r="OF2945" s="37"/>
      <c r="OG2945" s="37"/>
      <c r="OH2945" s="37"/>
      <c r="OI2945" s="37"/>
      <c r="OJ2945" s="37"/>
      <c r="OK2945" s="37"/>
      <c r="OL2945" s="37"/>
      <c r="OM2945" s="37"/>
      <c r="ON2945" s="37"/>
      <c r="OO2945" s="37"/>
      <c r="OP2945" s="37"/>
      <c r="OQ2945" s="37"/>
      <c r="OR2945" s="37"/>
      <c r="OS2945" s="37"/>
      <c r="OT2945" s="37"/>
      <c r="OU2945" s="37"/>
      <c r="OV2945" s="37"/>
      <c r="OW2945" s="37"/>
      <c r="OX2945" s="37"/>
      <c r="OY2945" s="37"/>
      <c r="OZ2945" s="37"/>
      <c r="PA2945" s="37"/>
      <c r="PB2945" s="37"/>
      <c r="PC2945" s="37"/>
      <c r="PD2945" s="37"/>
      <c r="PE2945" s="37"/>
      <c r="PF2945" s="37"/>
      <c r="PG2945" s="37"/>
      <c r="PH2945" s="37"/>
      <c r="PI2945" s="37"/>
      <c r="PJ2945" s="37"/>
      <c r="PK2945" s="37"/>
      <c r="PL2945" s="37"/>
      <c r="PM2945" s="37"/>
      <c r="PN2945" s="37"/>
      <c r="PO2945" s="37"/>
      <c r="PP2945" s="37"/>
      <c r="PQ2945" s="37"/>
      <c r="PR2945" s="37"/>
      <c r="PS2945" s="37"/>
      <c r="PT2945" s="37"/>
      <c r="PU2945" s="37"/>
      <c r="PV2945" s="37"/>
      <c r="PW2945" s="37"/>
      <c r="PX2945" s="37"/>
      <c r="PY2945" s="37"/>
      <c r="PZ2945" s="37"/>
      <c r="QA2945" s="37"/>
      <c r="QB2945" s="37"/>
      <c r="QC2945" s="37"/>
      <c r="QD2945" s="37"/>
      <c r="QE2945" s="37"/>
      <c r="QF2945" s="37"/>
      <c r="QG2945" s="37"/>
      <c r="QH2945" s="37"/>
      <c r="QI2945" s="37"/>
      <c r="QJ2945" s="37"/>
      <c r="QK2945" s="37"/>
      <c r="QL2945" s="37"/>
      <c r="QM2945" s="37"/>
      <c r="QN2945" s="37"/>
      <c r="QO2945" s="37"/>
      <c r="QP2945" s="37"/>
      <c r="QQ2945" s="37"/>
      <c r="QR2945" s="37"/>
      <c r="QS2945" s="37"/>
      <c r="QT2945" s="37"/>
      <c r="QU2945" s="37"/>
      <c r="QV2945" s="37"/>
      <c r="QW2945" s="37"/>
      <c r="QX2945" s="37"/>
      <c r="QY2945" s="37"/>
      <c r="QZ2945" s="37"/>
      <c r="RA2945" s="37"/>
      <c r="RB2945" s="37"/>
      <c r="RC2945" s="37"/>
      <c r="RD2945" s="37"/>
      <c r="RE2945" s="37"/>
      <c r="RF2945" s="37"/>
      <c r="RG2945" s="37"/>
      <c r="RH2945" s="37"/>
      <c r="RI2945" s="37"/>
      <c r="RJ2945" s="37"/>
      <c r="RK2945" s="37"/>
      <c r="RL2945" s="37"/>
      <c r="RM2945" s="37"/>
      <c r="RN2945" s="37"/>
      <c r="RO2945" s="37"/>
      <c r="RP2945" s="37"/>
      <c r="RQ2945" s="37"/>
      <c r="RR2945" s="37"/>
      <c r="RS2945" s="37"/>
      <c r="RT2945" s="37"/>
      <c r="RU2945" s="37"/>
      <c r="RV2945" s="37"/>
      <c r="RW2945" s="37"/>
      <c r="RX2945" s="37"/>
      <c r="RY2945" s="37"/>
      <c r="RZ2945" s="37"/>
      <c r="SA2945" s="37"/>
      <c r="SB2945" s="37"/>
      <c r="SC2945" s="37"/>
      <c r="SD2945" s="37"/>
      <c r="SE2945" s="37"/>
      <c r="SF2945" s="37"/>
    </row>
    <row r="2946" spans="1:500">
      <c r="A2946" s="37"/>
      <c r="B2946" s="37"/>
      <c r="C2946" s="37"/>
      <c r="D2946" s="37"/>
      <c r="E2946" s="37"/>
      <c r="F2946" s="37"/>
      <c r="G2946" s="37"/>
      <c r="H2946" s="37"/>
      <c r="I2946" s="37"/>
      <c r="J2946" s="37"/>
      <c r="K2946" s="37"/>
      <c r="L2946" s="37"/>
      <c r="M2946" s="37"/>
      <c r="N2946" s="37"/>
      <c r="O2946" s="37"/>
      <c r="P2946" s="37"/>
      <c r="Q2946" s="37"/>
      <c r="R2946" s="37"/>
      <c r="S2946" s="37"/>
      <c r="T2946" s="37"/>
      <c r="U2946" s="37"/>
      <c r="V2946" s="37"/>
      <c r="W2946" s="37"/>
      <c r="X2946" s="37"/>
      <c r="Y2946" s="37"/>
      <c r="Z2946" s="37"/>
      <c r="AA2946" s="37"/>
      <c r="AB2946" s="37"/>
      <c r="AC2946" s="37"/>
      <c r="AD2946" s="37"/>
      <c r="AE2946" s="37"/>
      <c r="AF2946" s="37"/>
      <c r="AG2946" s="37"/>
      <c r="AH2946" s="37"/>
      <c r="AI2946" s="37"/>
      <c r="AJ2946" s="37"/>
      <c r="AK2946" s="37"/>
      <c r="AL2946" s="37"/>
      <c r="AM2946" s="37"/>
      <c r="AN2946" s="37"/>
      <c r="AO2946" s="37"/>
      <c r="AP2946" s="37"/>
      <c r="AQ2946" s="37"/>
      <c r="AR2946" s="37"/>
      <c r="AS2946" s="37"/>
      <c r="AT2946" s="37"/>
      <c r="AU2946" s="37"/>
      <c r="AV2946" s="37"/>
      <c r="AW2946" s="37"/>
      <c r="AX2946" s="37"/>
      <c r="AY2946" s="37"/>
      <c r="AZ2946" s="37"/>
      <c r="BA2946" s="37"/>
      <c r="BB2946" s="37"/>
      <c r="BC2946" s="37"/>
      <c r="BD2946" s="37"/>
      <c r="BE2946" s="37"/>
      <c r="BF2946" s="37"/>
      <c r="BG2946" s="37"/>
      <c r="BH2946" s="37"/>
      <c r="BI2946" s="37"/>
      <c r="BJ2946" s="37"/>
      <c r="BK2946" s="37"/>
      <c r="BL2946" s="37"/>
      <c r="BM2946" s="37"/>
      <c r="BN2946" s="37"/>
      <c r="BO2946" s="37"/>
      <c r="BP2946" s="37"/>
      <c r="BQ2946" s="37"/>
      <c r="BR2946" s="37"/>
      <c r="BS2946" s="37"/>
      <c r="BT2946" s="37"/>
      <c r="BU2946" s="37"/>
      <c r="BV2946" s="37"/>
      <c r="BW2946" s="37"/>
      <c r="BX2946" s="37"/>
      <c r="BY2946" s="37"/>
      <c r="BZ2946" s="37"/>
      <c r="CA2946" s="37"/>
      <c r="CB2946" s="37"/>
      <c r="CC2946" s="37"/>
      <c r="CD2946" s="37"/>
      <c r="CE2946" s="37"/>
      <c r="CF2946" s="37"/>
      <c r="CG2946" s="37"/>
      <c r="CH2946" s="37"/>
      <c r="CI2946" s="37"/>
      <c r="CJ2946" s="37"/>
      <c r="CK2946" s="37"/>
      <c r="CL2946" s="37"/>
      <c r="CM2946" s="37"/>
      <c r="CN2946" s="37"/>
      <c r="CO2946" s="37"/>
      <c r="CP2946" s="37"/>
      <c r="CQ2946" s="37"/>
      <c r="CR2946" s="37"/>
      <c r="CS2946" s="37"/>
      <c r="CT2946" s="37"/>
      <c r="CU2946" s="37"/>
      <c r="CV2946" s="37"/>
      <c r="CW2946" s="37"/>
      <c r="CX2946" s="37"/>
      <c r="CY2946" s="37"/>
      <c r="CZ2946" s="37"/>
      <c r="DA2946" s="37"/>
      <c r="DB2946" s="37"/>
      <c r="DC2946" s="37"/>
      <c r="DD2946" s="37"/>
      <c r="DE2946" s="37"/>
      <c r="DF2946" s="37"/>
      <c r="DG2946" s="37"/>
      <c r="DH2946" s="37"/>
      <c r="DI2946" s="37"/>
      <c r="DJ2946" s="37"/>
      <c r="DK2946" s="37"/>
      <c r="DL2946" s="37"/>
      <c r="DM2946" s="37"/>
      <c r="DN2946" s="37"/>
      <c r="DO2946" s="37"/>
      <c r="DP2946" s="37"/>
      <c r="DQ2946" s="37"/>
      <c r="DR2946" s="37"/>
      <c r="DS2946" s="37"/>
      <c r="DT2946" s="37"/>
      <c r="DU2946" s="37"/>
      <c r="DV2946" s="37"/>
      <c r="DW2946" s="37"/>
      <c r="DX2946" s="37"/>
      <c r="DY2946" s="37"/>
      <c r="DZ2946" s="37"/>
      <c r="EA2946" s="37"/>
      <c r="EB2946" s="37"/>
      <c r="EC2946" s="37"/>
      <c r="ED2946" s="37"/>
      <c r="EE2946" s="37"/>
      <c r="EF2946" s="37"/>
      <c r="EG2946" s="37"/>
      <c r="EH2946" s="37"/>
      <c r="EI2946" s="37"/>
      <c r="EJ2946" s="37"/>
      <c r="EK2946" s="37"/>
      <c r="EL2946" s="37"/>
      <c r="EM2946" s="37"/>
      <c r="EN2946" s="37"/>
      <c r="EO2946" s="37"/>
      <c r="EP2946" s="37"/>
      <c r="EQ2946" s="37"/>
      <c r="ER2946" s="37"/>
      <c r="ES2946" s="37"/>
      <c r="ET2946" s="37"/>
      <c r="EU2946" s="37"/>
      <c r="EV2946" s="37"/>
      <c r="EW2946" s="37"/>
      <c r="EX2946" s="37"/>
      <c r="EY2946" s="37"/>
      <c r="EZ2946" s="37"/>
      <c r="FA2946" s="37"/>
      <c r="FB2946" s="37"/>
      <c r="FC2946" s="37"/>
      <c r="FD2946" s="37"/>
      <c r="FE2946" s="37"/>
      <c r="FF2946" s="37"/>
      <c r="FG2946" s="37"/>
      <c r="FH2946" s="37"/>
      <c r="FI2946" s="37"/>
      <c r="FJ2946" s="37"/>
      <c r="FK2946" s="37"/>
      <c r="FL2946" s="37"/>
      <c r="FM2946" s="37"/>
      <c r="FN2946" s="37"/>
      <c r="FO2946" s="37"/>
      <c r="FP2946" s="37"/>
      <c r="FQ2946" s="37"/>
      <c r="FR2946" s="37"/>
      <c r="FS2946" s="37"/>
      <c r="FT2946" s="37"/>
      <c r="FU2946" s="37"/>
      <c r="FV2946" s="37"/>
      <c r="FW2946" s="37"/>
      <c r="FX2946" s="37"/>
      <c r="FY2946" s="37"/>
      <c r="FZ2946" s="37"/>
      <c r="GA2946" s="37"/>
      <c r="GB2946" s="37"/>
      <c r="GC2946" s="37"/>
      <c r="GD2946" s="37"/>
      <c r="GE2946" s="37"/>
      <c r="GF2946" s="37"/>
      <c r="GG2946" s="37"/>
      <c r="GH2946" s="37"/>
      <c r="GI2946" s="37"/>
      <c r="GJ2946" s="37"/>
      <c r="GK2946" s="37"/>
      <c r="GL2946" s="37"/>
      <c r="GM2946" s="37"/>
      <c r="GN2946" s="37"/>
      <c r="GO2946" s="37"/>
      <c r="GP2946" s="37"/>
      <c r="GQ2946" s="37"/>
      <c r="GR2946" s="37"/>
      <c r="GS2946" s="37"/>
      <c r="GT2946" s="37"/>
      <c r="GU2946" s="37"/>
      <c r="GV2946" s="37"/>
      <c r="GW2946" s="37"/>
      <c r="GX2946" s="37"/>
      <c r="GY2946" s="37"/>
      <c r="GZ2946" s="37"/>
      <c r="HA2946" s="37"/>
      <c r="HB2946" s="37"/>
      <c r="HC2946" s="37"/>
      <c r="HD2946" s="37"/>
      <c r="HE2946" s="37"/>
      <c r="HF2946" s="37"/>
      <c r="HG2946" s="37"/>
      <c r="HH2946" s="37"/>
      <c r="HI2946" s="37"/>
      <c r="HJ2946" s="37"/>
      <c r="HK2946" s="37"/>
      <c r="HL2946" s="37"/>
      <c r="HM2946" s="37"/>
      <c r="HN2946" s="37"/>
      <c r="HO2946" s="37"/>
      <c r="HP2946" s="37"/>
      <c r="HQ2946" s="37"/>
      <c r="HR2946" s="37"/>
      <c r="HS2946" s="37"/>
      <c r="HT2946" s="37"/>
      <c r="HU2946" s="37"/>
      <c r="HV2946" s="37"/>
      <c r="HW2946" s="37"/>
      <c r="HX2946" s="37"/>
      <c r="HY2946" s="37"/>
      <c r="HZ2946" s="37"/>
      <c r="IA2946" s="37"/>
      <c r="IB2946" s="37"/>
      <c r="IC2946" s="37"/>
      <c r="ID2946" s="37"/>
      <c r="IE2946" s="37"/>
      <c r="IF2946" s="37"/>
      <c r="IG2946" s="37"/>
      <c r="IH2946" s="37"/>
      <c r="II2946" s="37"/>
      <c r="IJ2946" s="37"/>
      <c r="IK2946" s="37"/>
      <c r="IL2946" s="37"/>
      <c r="IM2946" s="37"/>
      <c r="IN2946" s="37"/>
      <c r="IO2946" s="37"/>
      <c r="IP2946" s="37"/>
      <c r="IQ2946" s="37"/>
      <c r="IR2946" s="37"/>
      <c r="IS2946" s="37"/>
      <c r="IT2946" s="37"/>
      <c r="IU2946" s="37"/>
      <c r="IV2946" s="37"/>
      <c r="IW2946" s="37"/>
      <c r="IX2946" s="37"/>
      <c r="IY2946" s="37"/>
      <c r="IZ2946" s="37"/>
      <c r="JA2946" s="37"/>
      <c r="JB2946" s="37"/>
      <c r="JC2946" s="37"/>
      <c r="JD2946" s="37"/>
      <c r="JE2946" s="37"/>
      <c r="JF2946" s="37"/>
      <c r="JG2946" s="37"/>
      <c r="JH2946" s="37"/>
      <c r="JI2946" s="37"/>
      <c r="JJ2946" s="37"/>
      <c r="JK2946" s="37"/>
      <c r="JL2946" s="37"/>
      <c r="JM2946" s="37"/>
      <c r="JN2946" s="37"/>
      <c r="JO2946" s="37"/>
      <c r="JP2946" s="37"/>
      <c r="JQ2946" s="37"/>
      <c r="JR2946" s="37"/>
      <c r="JS2946" s="37"/>
      <c r="JT2946" s="37"/>
      <c r="JU2946" s="37"/>
      <c r="JV2946" s="37"/>
      <c r="JW2946" s="37"/>
      <c r="JX2946" s="37"/>
      <c r="JY2946" s="37"/>
      <c r="JZ2946" s="37"/>
      <c r="KA2946" s="37"/>
      <c r="KB2946" s="37"/>
      <c r="KC2946" s="37"/>
      <c r="KD2946" s="37"/>
      <c r="KE2946" s="37"/>
      <c r="KF2946" s="37"/>
      <c r="KG2946" s="37"/>
      <c r="KH2946" s="37"/>
      <c r="KI2946" s="37"/>
      <c r="KJ2946" s="37"/>
      <c r="KK2946" s="37"/>
      <c r="KL2946" s="37"/>
      <c r="KM2946" s="37"/>
      <c r="KN2946" s="37"/>
      <c r="KO2946" s="37"/>
      <c r="KP2946" s="37"/>
      <c r="KQ2946" s="37"/>
      <c r="KR2946" s="37"/>
      <c r="KS2946" s="37"/>
      <c r="KT2946" s="37"/>
      <c r="KU2946" s="37"/>
      <c r="KV2946" s="37"/>
      <c r="KW2946" s="37"/>
      <c r="KX2946" s="37"/>
      <c r="KY2946" s="37"/>
      <c r="KZ2946" s="37"/>
      <c r="LA2946" s="37"/>
      <c r="LB2946" s="37"/>
      <c r="LC2946" s="37"/>
      <c r="LD2946" s="37"/>
      <c r="LE2946" s="37"/>
      <c r="LF2946" s="37"/>
      <c r="LG2946" s="37"/>
      <c r="LH2946" s="37"/>
      <c r="LI2946" s="37"/>
      <c r="LJ2946" s="37"/>
      <c r="LK2946" s="37"/>
      <c r="LL2946" s="37"/>
      <c r="LM2946" s="37"/>
      <c r="LN2946" s="37"/>
      <c r="LO2946" s="37"/>
      <c r="LP2946" s="37"/>
      <c r="LQ2946" s="37"/>
      <c r="LR2946" s="37"/>
      <c r="LS2946" s="37"/>
      <c r="LT2946" s="37"/>
      <c r="LU2946" s="37"/>
      <c r="LV2946" s="37"/>
      <c r="LW2946" s="37"/>
      <c r="LX2946" s="37"/>
      <c r="LY2946" s="37"/>
      <c r="LZ2946" s="37"/>
      <c r="MA2946" s="37"/>
      <c r="MB2946" s="37"/>
      <c r="MC2946" s="37"/>
      <c r="MD2946" s="37"/>
      <c r="ME2946" s="37"/>
      <c r="MF2946" s="37"/>
      <c r="MG2946" s="37"/>
      <c r="MH2946" s="37"/>
      <c r="MI2946" s="37"/>
      <c r="MJ2946" s="37"/>
      <c r="MK2946" s="37"/>
      <c r="ML2946" s="37"/>
      <c r="MM2946" s="37"/>
      <c r="MN2946" s="37"/>
      <c r="MO2946" s="37"/>
      <c r="MP2946" s="37"/>
      <c r="MQ2946" s="37"/>
      <c r="MR2946" s="37"/>
      <c r="MS2946" s="37"/>
      <c r="MT2946" s="37"/>
      <c r="MU2946" s="37"/>
      <c r="MV2946" s="37"/>
      <c r="MW2946" s="37"/>
      <c r="MX2946" s="37"/>
      <c r="MY2946" s="37"/>
      <c r="MZ2946" s="37"/>
      <c r="NA2946" s="37"/>
      <c r="NB2946" s="37"/>
      <c r="NC2946" s="37"/>
      <c r="ND2946" s="37"/>
      <c r="NE2946" s="37"/>
      <c r="NF2946" s="37"/>
      <c r="NG2946" s="37"/>
      <c r="NH2946" s="37"/>
      <c r="NI2946" s="37"/>
      <c r="NJ2946" s="37"/>
      <c r="NK2946" s="37"/>
      <c r="NL2946" s="37"/>
      <c r="NM2946" s="37"/>
      <c r="NN2946" s="37"/>
      <c r="NO2946" s="37"/>
      <c r="NP2946" s="37"/>
      <c r="NQ2946" s="37"/>
      <c r="NR2946" s="37"/>
      <c r="NS2946" s="37"/>
      <c r="NT2946" s="37"/>
      <c r="NU2946" s="37"/>
      <c r="NV2946" s="37"/>
      <c r="NW2946" s="37"/>
      <c r="NX2946" s="37"/>
      <c r="NY2946" s="37"/>
      <c r="NZ2946" s="37"/>
      <c r="OA2946" s="37"/>
      <c r="OB2946" s="37"/>
      <c r="OC2946" s="37"/>
      <c r="OD2946" s="37"/>
      <c r="OE2946" s="37"/>
      <c r="OF2946" s="37"/>
      <c r="OG2946" s="37"/>
      <c r="OH2946" s="37"/>
      <c r="OI2946" s="37"/>
      <c r="OJ2946" s="37"/>
      <c r="OK2946" s="37"/>
      <c r="OL2946" s="37"/>
      <c r="OM2946" s="37"/>
      <c r="ON2946" s="37"/>
      <c r="OO2946" s="37"/>
      <c r="OP2946" s="37"/>
      <c r="OQ2946" s="37"/>
      <c r="OR2946" s="37"/>
      <c r="OS2946" s="37"/>
      <c r="OT2946" s="37"/>
      <c r="OU2946" s="37"/>
      <c r="OV2946" s="37"/>
      <c r="OW2946" s="37"/>
      <c r="OX2946" s="37"/>
      <c r="OY2946" s="37"/>
      <c r="OZ2946" s="37"/>
      <c r="PA2946" s="37"/>
      <c r="PB2946" s="37"/>
      <c r="PC2946" s="37"/>
      <c r="PD2946" s="37"/>
      <c r="PE2946" s="37"/>
      <c r="PF2946" s="37"/>
      <c r="PG2946" s="37"/>
      <c r="PH2946" s="37"/>
      <c r="PI2946" s="37"/>
      <c r="PJ2946" s="37"/>
      <c r="PK2946" s="37"/>
      <c r="PL2946" s="37"/>
      <c r="PM2946" s="37"/>
      <c r="PN2946" s="37"/>
      <c r="PO2946" s="37"/>
      <c r="PP2946" s="37"/>
      <c r="PQ2946" s="37"/>
      <c r="PR2946" s="37"/>
      <c r="PS2946" s="37"/>
      <c r="PT2946" s="37"/>
      <c r="PU2946" s="37"/>
      <c r="PV2946" s="37"/>
      <c r="PW2946" s="37"/>
      <c r="PX2946" s="37"/>
      <c r="PY2946" s="37"/>
      <c r="PZ2946" s="37"/>
      <c r="QA2946" s="37"/>
      <c r="QB2946" s="37"/>
      <c r="QC2946" s="37"/>
      <c r="QD2946" s="37"/>
      <c r="QE2946" s="37"/>
      <c r="QF2946" s="37"/>
      <c r="QG2946" s="37"/>
      <c r="QH2946" s="37"/>
      <c r="QI2946" s="37"/>
      <c r="QJ2946" s="37"/>
      <c r="QK2946" s="37"/>
      <c r="QL2946" s="37"/>
      <c r="QM2946" s="37"/>
      <c r="QN2946" s="37"/>
      <c r="QO2946" s="37"/>
      <c r="QP2946" s="37"/>
      <c r="QQ2946" s="37"/>
      <c r="QR2946" s="37"/>
      <c r="QS2946" s="37"/>
      <c r="QT2946" s="37"/>
      <c r="QU2946" s="37"/>
      <c r="QV2946" s="37"/>
      <c r="QW2946" s="37"/>
      <c r="QX2946" s="37"/>
      <c r="QY2946" s="37"/>
      <c r="QZ2946" s="37"/>
      <c r="RA2946" s="37"/>
      <c r="RB2946" s="37"/>
      <c r="RC2946" s="37"/>
      <c r="RD2946" s="37"/>
      <c r="RE2946" s="37"/>
      <c r="RF2946" s="37"/>
      <c r="RG2946" s="37"/>
      <c r="RH2946" s="37"/>
      <c r="RI2946" s="37"/>
      <c r="RJ2946" s="37"/>
      <c r="RK2946" s="37"/>
      <c r="RL2946" s="37"/>
      <c r="RM2946" s="37"/>
      <c r="RN2946" s="37"/>
      <c r="RO2946" s="37"/>
      <c r="RP2946" s="37"/>
      <c r="RQ2946" s="37"/>
      <c r="RR2946" s="37"/>
      <c r="RS2946" s="37"/>
      <c r="RT2946" s="37"/>
      <c r="RU2946" s="37"/>
      <c r="RV2946" s="37"/>
      <c r="RW2946" s="37"/>
      <c r="RX2946" s="37"/>
      <c r="RY2946" s="37"/>
      <c r="RZ2946" s="37"/>
      <c r="SA2946" s="37"/>
      <c r="SB2946" s="37"/>
      <c r="SC2946" s="37"/>
      <c r="SD2946" s="37"/>
      <c r="SE2946" s="37"/>
      <c r="SF2946" s="37"/>
    </row>
    <row r="2947" spans="1:500">
      <c r="A2947" s="37"/>
      <c r="B2947" s="37"/>
      <c r="C2947" s="37"/>
      <c r="D2947" s="37"/>
      <c r="E2947" s="37"/>
      <c r="F2947" s="37"/>
      <c r="G2947" s="37"/>
      <c r="H2947" s="37"/>
      <c r="I2947" s="37"/>
      <c r="J2947" s="37"/>
      <c r="K2947" s="37"/>
      <c r="L2947" s="37"/>
      <c r="M2947" s="37"/>
      <c r="N2947" s="37"/>
      <c r="O2947" s="37"/>
      <c r="P2947" s="37"/>
      <c r="Q2947" s="37"/>
      <c r="R2947" s="37"/>
      <c r="S2947" s="37"/>
      <c r="T2947" s="37"/>
      <c r="U2947" s="37"/>
      <c r="V2947" s="37"/>
      <c r="W2947" s="37"/>
      <c r="X2947" s="37"/>
      <c r="Y2947" s="37"/>
      <c r="Z2947" s="37"/>
      <c r="AA2947" s="37"/>
      <c r="AB2947" s="37"/>
      <c r="AC2947" s="37"/>
      <c r="AD2947" s="37"/>
      <c r="AE2947" s="37"/>
      <c r="AF2947" s="37"/>
      <c r="AG2947" s="37"/>
      <c r="AH2947" s="37"/>
      <c r="AI2947" s="37"/>
      <c r="AJ2947" s="37"/>
      <c r="AK2947" s="37"/>
      <c r="AL2947" s="37"/>
      <c r="AM2947" s="37"/>
      <c r="AN2947" s="37"/>
      <c r="AO2947" s="37"/>
      <c r="AP2947" s="37"/>
      <c r="AQ2947" s="37"/>
      <c r="AR2947" s="37"/>
      <c r="AS2947" s="37"/>
      <c r="AT2947" s="37"/>
      <c r="AU2947" s="37"/>
      <c r="AV2947" s="37"/>
      <c r="AW2947" s="37"/>
      <c r="AX2947" s="37"/>
      <c r="AY2947" s="37"/>
      <c r="AZ2947" s="37"/>
      <c r="BA2947" s="37"/>
      <c r="BB2947" s="37"/>
      <c r="BC2947" s="37"/>
      <c r="BD2947" s="37"/>
      <c r="BE2947" s="37"/>
      <c r="BF2947" s="37"/>
      <c r="BG2947" s="37"/>
      <c r="BH2947" s="37"/>
      <c r="BI2947" s="37"/>
      <c r="BJ2947" s="37"/>
      <c r="BK2947" s="37"/>
      <c r="BL2947" s="37"/>
      <c r="BM2947" s="37"/>
      <c r="BN2947" s="37"/>
      <c r="BO2947" s="37"/>
      <c r="BP2947" s="37"/>
      <c r="BQ2947" s="37"/>
      <c r="BR2947" s="37"/>
      <c r="BS2947" s="37"/>
      <c r="BT2947" s="37"/>
      <c r="BU2947" s="37"/>
      <c r="BV2947" s="37"/>
      <c r="BW2947" s="37"/>
      <c r="BX2947" s="37"/>
      <c r="BY2947" s="37"/>
      <c r="BZ2947" s="37"/>
      <c r="CA2947" s="37"/>
      <c r="CB2947" s="37"/>
      <c r="CC2947" s="37"/>
      <c r="CD2947" s="37"/>
      <c r="CE2947" s="37"/>
      <c r="CF2947" s="37"/>
      <c r="CG2947" s="37"/>
      <c r="CH2947" s="37"/>
      <c r="CI2947" s="37"/>
      <c r="CJ2947" s="37"/>
      <c r="CK2947" s="37"/>
      <c r="CL2947" s="37"/>
      <c r="CM2947" s="37"/>
      <c r="CN2947" s="37"/>
      <c r="CO2947" s="37"/>
      <c r="CP2947" s="37"/>
      <c r="CQ2947" s="37"/>
      <c r="CR2947" s="37"/>
      <c r="CS2947" s="37"/>
      <c r="CT2947" s="37"/>
      <c r="CU2947" s="37"/>
      <c r="CV2947" s="37"/>
      <c r="CW2947" s="37"/>
      <c r="CX2947" s="37"/>
      <c r="CY2947" s="37"/>
      <c r="CZ2947" s="37"/>
      <c r="DA2947" s="37"/>
      <c r="DB2947" s="37"/>
      <c r="DC2947" s="37"/>
      <c r="DD2947" s="37"/>
      <c r="DE2947" s="37"/>
      <c r="DF2947" s="37"/>
      <c r="DG2947" s="37"/>
      <c r="DH2947" s="37"/>
      <c r="DI2947" s="37"/>
      <c r="DJ2947" s="37"/>
      <c r="DK2947" s="37"/>
      <c r="DL2947" s="37"/>
      <c r="DM2947" s="37"/>
      <c r="DN2947" s="37"/>
      <c r="DO2947" s="37"/>
      <c r="DP2947" s="37"/>
      <c r="DQ2947" s="37"/>
      <c r="DR2947" s="37"/>
      <c r="DS2947" s="37"/>
      <c r="DT2947" s="37"/>
      <c r="DU2947" s="37"/>
      <c r="DV2947" s="37"/>
      <c r="DW2947" s="37"/>
      <c r="DX2947" s="37"/>
      <c r="DY2947" s="37"/>
      <c r="DZ2947" s="37"/>
      <c r="EA2947" s="37"/>
      <c r="EB2947" s="37"/>
      <c r="EC2947" s="37"/>
      <c r="ED2947" s="37"/>
      <c r="EE2947" s="37"/>
      <c r="EF2947" s="37"/>
      <c r="EG2947" s="37"/>
      <c r="EH2947" s="37"/>
      <c r="EI2947" s="37"/>
      <c r="EJ2947" s="37"/>
      <c r="EK2947" s="37"/>
      <c r="EL2947" s="37"/>
      <c r="EM2947" s="37"/>
      <c r="EN2947" s="37"/>
      <c r="EO2947" s="37"/>
      <c r="EP2947" s="37"/>
      <c r="EQ2947" s="37"/>
      <c r="ER2947" s="37"/>
      <c r="ES2947" s="37"/>
      <c r="ET2947" s="37"/>
      <c r="EU2947" s="37"/>
      <c r="EV2947" s="37"/>
      <c r="EW2947" s="37"/>
      <c r="EX2947" s="37"/>
      <c r="EY2947" s="37"/>
      <c r="EZ2947" s="37"/>
      <c r="FA2947" s="37"/>
      <c r="FB2947" s="37"/>
      <c r="FC2947" s="37"/>
      <c r="FD2947" s="37"/>
      <c r="FE2947" s="37"/>
      <c r="FF2947" s="37"/>
      <c r="FG2947" s="37"/>
      <c r="FH2947" s="37"/>
      <c r="FI2947" s="37"/>
      <c r="FJ2947" s="37"/>
      <c r="FK2947" s="37"/>
      <c r="FL2947" s="37"/>
      <c r="FM2947" s="37"/>
      <c r="FN2947" s="37"/>
      <c r="FO2947" s="37"/>
      <c r="FP2947" s="37"/>
      <c r="FQ2947" s="37"/>
      <c r="FR2947" s="37"/>
      <c r="FS2947" s="37"/>
      <c r="FT2947" s="37"/>
      <c r="FU2947" s="37"/>
      <c r="FV2947" s="37"/>
      <c r="FW2947" s="37"/>
      <c r="FX2947" s="37"/>
      <c r="FY2947" s="37"/>
      <c r="FZ2947" s="37"/>
      <c r="GA2947" s="37"/>
      <c r="GB2947" s="37"/>
      <c r="GC2947" s="37"/>
      <c r="GD2947" s="37"/>
      <c r="GE2947" s="37"/>
      <c r="GF2947" s="37"/>
      <c r="GG2947" s="37"/>
      <c r="GH2947" s="37"/>
      <c r="GI2947" s="37"/>
      <c r="GJ2947" s="37"/>
      <c r="GK2947" s="37"/>
      <c r="GL2947" s="37"/>
      <c r="GM2947" s="37"/>
      <c r="GN2947" s="37"/>
      <c r="GO2947" s="37"/>
      <c r="GP2947" s="37"/>
      <c r="GQ2947" s="37"/>
      <c r="GR2947" s="37"/>
      <c r="GS2947" s="37"/>
      <c r="GT2947" s="37"/>
      <c r="GU2947" s="37"/>
      <c r="GV2947" s="37"/>
      <c r="GW2947" s="37"/>
      <c r="GX2947" s="37"/>
      <c r="GY2947" s="37"/>
      <c r="GZ2947" s="37"/>
      <c r="HA2947" s="37"/>
      <c r="HB2947" s="37"/>
      <c r="HC2947" s="37"/>
      <c r="HD2947" s="37"/>
      <c r="HE2947" s="37"/>
      <c r="HF2947" s="37"/>
      <c r="HG2947" s="37"/>
      <c r="HH2947" s="37"/>
      <c r="HI2947" s="37"/>
      <c r="HJ2947" s="37"/>
      <c r="HK2947" s="37"/>
      <c r="HL2947" s="37"/>
      <c r="HM2947" s="37"/>
      <c r="HN2947" s="37"/>
      <c r="HO2947" s="37"/>
      <c r="HP2947" s="37"/>
      <c r="HQ2947" s="37"/>
      <c r="HR2947" s="37"/>
      <c r="HS2947" s="37"/>
      <c r="HT2947" s="37"/>
      <c r="HU2947" s="37"/>
      <c r="HV2947" s="37"/>
      <c r="HW2947" s="37"/>
      <c r="HX2947" s="37"/>
      <c r="HY2947" s="37"/>
      <c r="HZ2947" s="37"/>
      <c r="IA2947" s="37"/>
      <c r="IB2947" s="37"/>
      <c r="IC2947" s="37"/>
      <c r="ID2947" s="37"/>
      <c r="IE2947" s="37"/>
      <c r="IF2947" s="37"/>
      <c r="IG2947" s="37"/>
      <c r="IH2947" s="37"/>
      <c r="II2947" s="37"/>
      <c r="IJ2947" s="37"/>
      <c r="IK2947" s="37"/>
      <c r="IL2947" s="37"/>
      <c r="IM2947" s="37"/>
      <c r="IN2947" s="37"/>
      <c r="IO2947" s="37"/>
      <c r="IP2947" s="37"/>
      <c r="IQ2947" s="37"/>
      <c r="IR2947" s="37"/>
      <c r="IS2947" s="37"/>
      <c r="IT2947" s="37"/>
      <c r="IU2947" s="37"/>
      <c r="IV2947" s="37"/>
      <c r="IW2947" s="37"/>
      <c r="IX2947" s="37"/>
      <c r="IY2947" s="37"/>
      <c r="IZ2947" s="37"/>
      <c r="JA2947" s="37"/>
      <c r="JB2947" s="37"/>
      <c r="JC2947" s="37"/>
      <c r="JD2947" s="37"/>
      <c r="JE2947" s="37"/>
      <c r="JF2947" s="37"/>
      <c r="JG2947" s="37"/>
      <c r="JH2947" s="37"/>
      <c r="JI2947" s="37"/>
      <c r="JJ2947" s="37"/>
      <c r="JK2947" s="37"/>
      <c r="JL2947" s="37"/>
      <c r="JM2947" s="37"/>
      <c r="JN2947" s="37"/>
      <c r="JO2947" s="37"/>
      <c r="JP2947" s="37"/>
      <c r="JQ2947" s="37"/>
      <c r="JR2947" s="37"/>
      <c r="JS2947" s="37"/>
      <c r="JT2947" s="37"/>
      <c r="JU2947" s="37"/>
      <c r="JV2947" s="37"/>
      <c r="JW2947" s="37"/>
      <c r="JX2947" s="37"/>
      <c r="JY2947" s="37"/>
      <c r="JZ2947" s="37"/>
      <c r="KA2947" s="37"/>
      <c r="KB2947" s="37"/>
      <c r="KC2947" s="37"/>
      <c r="KD2947" s="37"/>
      <c r="KE2947" s="37"/>
      <c r="KF2947" s="37"/>
      <c r="KG2947" s="37"/>
      <c r="KH2947" s="37"/>
      <c r="KI2947" s="37"/>
      <c r="KJ2947" s="37"/>
      <c r="KK2947" s="37"/>
      <c r="KL2947" s="37"/>
      <c r="KM2947" s="37"/>
      <c r="KN2947" s="37"/>
      <c r="KO2947" s="37"/>
      <c r="KP2947" s="37"/>
      <c r="KQ2947" s="37"/>
      <c r="KR2947" s="37"/>
      <c r="KS2947" s="37"/>
      <c r="KT2947" s="37"/>
      <c r="KU2947" s="37"/>
      <c r="KV2947" s="37"/>
      <c r="KW2947" s="37"/>
      <c r="KX2947" s="37"/>
      <c r="KY2947" s="37"/>
      <c r="KZ2947" s="37"/>
      <c r="LA2947" s="37"/>
      <c r="LB2947" s="37"/>
      <c r="LC2947" s="37"/>
      <c r="LD2947" s="37"/>
      <c r="LE2947" s="37"/>
      <c r="LF2947" s="37"/>
      <c r="LG2947" s="37"/>
      <c r="LH2947" s="37"/>
      <c r="LI2947" s="37"/>
      <c r="LJ2947" s="37"/>
      <c r="LK2947" s="37"/>
      <c r="LL2947" s="37"/>
      <c r="LM2947" s="37"/>
      <c r="LN2947" s="37"/>
      <c r="LO2947" s="37"/>
      <c r="LP2947" s="37"/>
      <c r="LQ2947" s="37"/>
      <c r="LR2947" s="37"/>
      <c r="LS2947" s="37"/>
      <c r="LT2947" s="37"/>
      <c r="LU2947" s="37"/>
      <c r="LV2947" s="37"/>
      <c r="LW2947" s="37"/>
      <c r="LX2947" s="37"/>
      <c r="LY2947" s="37"/>
      <c r="LZ2947" s="37"/>
      <c r="MA2947" s="37"/>
      <c r="MB2947" s="37"/>
      <c r="MC2947" s="37"/>
      <c r="MD2947" s="37"/>
      <c r="ME2947" s="37"/>
      <c r="MF2947" s="37"/>
      <c r="MG2947" s="37"/>
      <c r="MH2947" s="37"/>
      <c r="MI2947" s="37"/>
      <c r="MJ2947" s="37"/>
      <c r="MK2947" s="37"/>
      <c r="ML2947" s="37"/>
      <c r="MM2947" s="37"/>
      <c r="MN2947" s="37"/>
      <c r="MO2947" s="37"/>
      <c r="MP2947" s="37"/>
      <c r="MQ2947" s="37"/>
      <c r="MR2947" s="37"/>
      <c r="MS2947" s="37"/>
      <c r="MT2947" s="37"/>
      <c r="MU2947" s="37"/>
      <c r="MV2947" s="37"/>
      <c r="MW2947" s="37"/>
      <c r="MX2947" s="37"/>
      <c r="MY2947" s="37"/>
      <c r="MZ2947" s="37"/>
      <c r="NA2947" s="37"/>
      <c r="NB2947" s="37"/>
      <c r="NC2947" s="37"/>
      <c r="ND2947" s="37"/>
      <c r="NE2947" s="37"/>
      <c r="NF2947" s="37"/>
      <c r="NG2947" s="37"/>
      <c r="NH2947" s="37"/>
      <c r="NI2947" s="37"/>
      <c r="NJ2947" s="37"/>
      <c r="NK2947" s="37"/>
      <c r="NL2947" s="37"/>
      <c r="NM2947" s="37"/>
      <c r="NN2947" s="37"/>
      <c r="NO2947" s="37"/>
      <c r="NP2947" s="37"/>
      <c r="NQ2947" s="37"/>
      <c r="NR2947" s="37"/>
      <c r="NS2947" s="37"/>
      <c r="NT2947" s="37"/>
      <c r="NU2947" s="37"/>
      <c r="NV2947" s="37"/>
      <c r="NW2947" s="37"/>
      <c r="NX2947" s="37"/>
      <c r="NY2947" s="37"/>
      <c r="NZ2947" s="37"/>
      <c r="OA2947" s="37"/>
      <c r="OB2947" s="37"/>
      <c r="OC2947" s="37"/>
      <c r="OD2947" s="37"/>
      <c r="OE2947" s="37"/>
      <c r="OF2947" s="37"/>
      <c r="OG2947" s="37"/>
      <c r="OH2947" s="37"/>
      <c r="OI2947" s="37"/>
      <c r="OJ2947" s="37"/>
      <c r="OK2947" s="37"/>
      <c r="OL2947" s="37"/>
      <c r="OM2947" s="37"/>
      <c r="ON2947" s="37"/>
      <c r="OO2947" s="37"/>
      <c r="OP2947" s="37"/>
      <c r="OQ2947" s="37"/>
      <c r="OR2947" s="37"/>
      <c r="OS2947" s="37"/>
      <c r="OT2947" s="37"/>
      <c r="OU2947" s="37"/>
      <c r="OV2947" s="37"/>
      <c r="OW2947" s="37"/>
      <c r="OX2947" s="37"/>
      <c r="OY2947" s="37"/>
      <c r="OZ2947" s="37"/>
      <c r="PA2947" s="37"/>
      <c r="PB2947" s="37"/>
      <c r="PC2947" s="37"/>
      <c r="PD2947" s="37"/>
      <c r="PE2947" s="37"/>
      <c r="PF2947" s="37"/>
      <c r="PG2947" s="37"/>
      <c r="PH2947" s="37"/>
      <c r="PI2947" s="37"/>
      <c r="PJ2947" s="37"/>
      <c r="PK2947" s="37"/>
      <c r="PL2947" s="37"/>
      <c r="PM2947" s="37"/>
      <c r="PN2947" s="37"/>
      <c r="PO2947" s="37"/>
      <c r="PP2947" s="37"/>
      <c r="PQ2947" s="37"/>
      <c r="PR2947" s="37"/>
      <c r="PS2947" s="37"/>
      <c r="PT2947" s="37"/>
      <c r="PU2947" s="37"/>
      <c r="PV2947" s="37"/>
      <c r="PW2947" s="37"/>
      <c r="PX2947" s="37"/>
      <c r="PY2947" s="37"/>
      <c r="PZ2947" s="37"/>
      <c r="QA2947" s="37"/>
      <c r="QB2947" s="37"/>
      <c r="QC2947" s="37"/>
      <c r="QD2947" s="37"/>
      <c r="QE2947" s="37"/>
      <c r="QF2947" s="37"/>
      <c r="QG2947" s="37"/>
      <c r="QH2947" s="37"/>
      <c r="QI2947" s="37"/>
      <c r="QJ2947" s="37"/>
      <c r="QK2947" s="37"/>
      <c r="QL2947" s="37"/>
      <c r="QM2947" s="37"/>
      <c r="QN2947" s="37"/>
      <c r="QO2947" s="37"/>
      <c r="QP2947" s="37"/>
      <c r="QQ2947" s="37"/>
      <c r="QR2947" s="37"/>
      <c r="QS2947" s="37"/>
      <c r="QT2947" s="37"/>
      <c r="QU2947" s="37"/>
      <c r="QV2947" s="37"/>
      <c r="QW2947" s="37"/>
      <c r="QX2947" s="37"/>
      <c r="QY2947" s="37"/>
      <c r="QZ2947" s="37"/>
      <c r="RA2947" s="37"/>
      <c r="RB2947" s="37"/>
      <c r="RC2947" s="37"/>
      <c r="RD2947" s="37"/>
      <c r="RE2947" s="37"/>
      <c r="RF2947" s="37"/>
      <c r="RG2947" s="37"/>
      <c r="RH2947" s="37"/>
      <c r="RI2947" s="37"/>
      <c r="RJ2947" s="37"/>
      <c r="RK2947" s="37"/>
      <c r="RL2947" s="37"/>
      <c r="RM2947" s="37"/>
      <c r="RN2947" s="37"/>
      <c r="RO2947" s="37"/>
      <c r="RP2947" s="37"/>
      <c r="RQ2947" s="37"/>
      <c r="RR2947" s="37"/>
      <c r="RS2947" s="37"/>
      <c r="RT2947" s="37"/>
      <c r="RU2947" s="37"/>
      <c r="RV2947" s="37"/>
      <c r="RW2947" s="37"/>
      <c r="RX2947" s="37"/>
      <c r="RY2947" s="37"/>
      <c r="RZ2947" s="37"/>
      <c r="SA2947" s="37"/>
      <c r="SB2947" s="37"/>
      <c r="SC2947" s="37"/>
      <c r="SD2947" s="37"/>
      <c r="SE2947" s="37"/>
      <c r="SF2947" s="37"/>
    </row>
    <row r="2948" spans="1:500">
      <c r="A2948" s="37"/>
      <c r="B2948" s="37"/>
      <c r="C2948" s="37"/>
      <c r="D2948" s="37"/>
      <c r="E2948" s="37"/>
      <c r="F2948" s="37"/>
      <c r="G2948" s="37"/>
      <c r="H2948" s="37"/>
      <c r="I2948" s="37"/>
      <c r="J2948" s="37"/>
      <c r="K2948" s="37"/>
      <c r="L2948" s="37"/>
      <c r="M2948" s="37"/>
      <c r="N2948" s="37"/>
      <c r="O2948" s="37"/>
      <c r="P2948" s="37"/>
      <c r="Q2948" s="37"/>
      <c r="R2948" s="37"/>
      <c r="S2948" s="37"/>
      <c r="T2948" s="37"/>
      <c r="U2948" s="37"/>
      <c r="V2948" s="37"/>
      <c r="W2948" s="37"/>
      <c r="X2948" s="37"/>
      <c r="Y2948" s="37"/>
      <c r="Z2948" s="37"/>
      <c r="AA2948" s="37"/>
      <c r="AB2948" s="37"/>
      <c r="AC2948" s="37"/>
      <c r="AD2948" s="37"/>
      <c r="AE2948" s="37"/>
      <c r="AF2948" s="37"/>
      <c r="AG2948" s="37"/>
      <c r="AH2948" s="37"/>
      <c r="AI2948" s="37"/>
      <c r="AJ2948" s="37"/>
      <c r="AK2948" s="37"/>
      <c r="AL2948" s="37"/>
      <c r="AM2948" s="37"/>
      <c r="AN2948" s="37"/>
      <c r="AO2948" s="37"/>
      <c r="AP2948" s="37"/>
      <c r="AQ2948" s="37"/>
      <c r="AR2948" s="37"/>
      <c r="AS2948" s="37"/>
      <c r="AT2948" s="37"/>
      <c r="AU2948" s="37"/>
      <c r="AV2948" s="37"/>
      <c r="AW2948" s="37"/>
      <c r="AX2948" s="37"/>
      <c r="AY2948" s="37"/>
      <c r="AZ2948" s="37"/>
      <c r="BA2948" s="37"/>
      <c r="BB2948" s="37"/>
      <c r="BC2948" s="37"/>
      <c r="BD2948" s="37"/>
      <c r="BE2948" s="37"/>
      <c r="BF2948" s="37"/>
      <c r="BG2948" s="37"/>
      <c r="BH2948" s="37"/>
      <c r="BI2948" s="37"/>
      <c r="BJ2948" s="37"/>
      <c r="BK2948" s="37"/>
      <c r="BL2948" s="37"/>
      <c r="BM2948" s="37"/>
      <c r="BN2948" s="37"/>
      <c r="BO2948" s="37"/>
      <c r="BP2948" s="37"/>
      <c r="BQ2948" s="37"/>
      <c r="BR2948" s="37"/>
      <c r="BS2948" s="37"/>
      <c r="BT2948" s="37"/>
      <c r="BU2948" s="37"/>
      <c r="BV2948" s="37"/>
      <c r="BW2948" s="37"/>
      <c r="BX2948" s="37"/>
      <c r="BY2948" s="37"/>
      <c r="BZ2948" s="37"/>
      <c r="CA2948" s="37"/>
      <c r="CB2948" s="37"/>
      <c r="CC2948" s="37"/>
      <c r="CD2948" s="37"/>
      <c r="CE2948" s="37"/>
      <c r="CF2948" s="37"/>
      <c r="CG2948" s="37"/>
      <c r="CH2948" s="37"/>
      <c r="CI2948" s="37"/>
      <c r="CJ2948" s="37"/>
      <c r="CK2948" s="37"/>
      <c r="CL2948" s="37"/>
      <c r="CM2948" s="37"/>
      <c r="CN2948" s="37"/>
      <c r="CO2948" s="37"/>
      <c r="CP2948" s="37"/>
      <c r="CQ2948" s="37"/>
      <c r="CR2948" s="37"/>
      <c r="CS2948" s="37"/>
      <c r="CT2948" s="37"/>
      <c r="CU2948" s="37"/>
      <c r="CV2948" s="37"/>
      <c r="CW2948" s="37"/>
      <c r="CX2948" s="37"/>
      <c r="CY2948" s="37"/>
      <c r="CZ2948" s="37"/>
      <c r="DA2948" s="37"/>
      <c r="DB2948" s="37"/>
      <c r="DC2948" s="37"/>
      <c r="DD2948" s="37"/>
      <c r="DE2948" s="37"/>
      <c r="DF2948" s="37"/>
      <c r="DG2948" s="37"/>
      <c r="DH2948" s="37"/>
      <c r="DI2948" s="37"/>
      <c r="DJ2948" s="37"/>
      <c r="DK2948" s="37"/>
      <c r="DL2948" s="37"/>
      <c r="DM2948" s="37"/>
      <c r="DN2948" s="37"/>
      <c r="DO2948" s="37"/>
      <c r="DP2948" s="37"/>
      <c r="DQ2948" s="37"/>
      <c r="DR2948" s="37"/>
      <c r="DS2948" s="37"/>
      <c r="DT2948" s="37"/>
      <c r="DU2948" s="37"/>
      <c r="DV2948" s="37"/>
      <c r="DW2948" s="37"/>
      <c r="DX2948" s="37"/>
      <c r="DY2948" s="37"/>
      <c r="DZ2948" s="37"/>
      <c r="EA2948" s="37"/>
      <c r="EB2948" s="37"/>
      <c r="EC2948" s="37"/>
      <c r="ED2948" s="37"/>
      <c r="EE2948" s="37"/>
      <c r="EF2948" s="37"/>
      <c r="EG2948" s="37"/>
      <c r="EH2948" s="37"/>
      <c r="EI2948" s="37"/>
      <c r="EJ2948" s="37"/>
      <c r="EK2948" s="37"/>
      <c r="EL2948" s="37"/>
      <c r="EM2948" s="37"/>
      <c r="EN2948" s="37"/>
      <c r="EO2948" s="37"/>
      <c r="EP2948" s="37"/>
      <c r="EQ2948" s="37"/>
      <c r="ER2948" s="37"/>
      <c r="ES2948" s="37"/>
      <c r="ET2948" s="37"/>
      <c r="EU2948" s="37"/>
      <c r="EV2948" s="37"/>
      <c r="EW2948" s="37"/>
      <c r="EX2948" s="37"/>
      <c r="EY2948" s="37"/>
      <c r="EZ2948" s="37"/>
      <c r="FA2948" s="37"/>
      <c r="FB2948" s="37"/>
      <c r="FC2948" s="37"/>
      <c r="FD2948" s="37"/>
      <c r="FE2948" s="37"/>
      <c r="FF2948" s="37"/>
      <c r="FG2948" s="37"/>
      <c r="FH2948" s="37"/>
      <c r="FI2948" s="37"/>
      <c r="FJ2948" s="37"/>
      <c r="FK2948" s="37"/>
      <c r="FL2948" s="37"/>
      <c r="FM2948" s="37"/>
      <c r="FN2948" s="37"/>
      <c r="FO2948" s="37"/>
      <c r="FP2948" s="37"/>
      <c r="FQ2948" s="37"/>
      <c r="FR2948" s="37"/>
      <c r="FS2948" s="37"/>
      <c r="FT2948" s="37"/>
      <c r="FU2948" s="37"/>
      <c r="FV2948" s="37"/>
      <c r="FW2948" s="37"/>
      <c r="FX2948" s="37"/>
      <c r="FY2948" s="37"/>
      <c r="FZ2948" s="37"/>
      <c r="GA2948" s="37"/>
      <c r="GB2948" s="37"/>
      <c r="GC2948" s="37"/>
      <c r="GD2948" s="37"/>
      <c r="GE2948" s="37"/>
      <c r="GF2948" s="37"/>
      <c r="GG2948" s="37"/>
      <c r="GH2948" s="37"/>
      <c r="GI2948" s="37"/>
      <c r="GJ2948" s="37"/>
      <c r="GK2948" s="37"/>
      <c r="GL2948" s="37"/>
      <c r="GM2948" s="37"/>
      <c r="GN2948" s="37"/>
      <c r="GO2948" s="37"/>
      <c r="GP2948" s="37"/>
      <c r="GQ2948" s="37"/>
      <c r="GR2948" s="37"/>
      <c r="GS2948" s="37"/>
      <c r="GT2948" s="37"/>
      <c r="GU2948" s="37"/>
      <c r="GV2948" s="37"/>
      <c r="GW2948" s="37"/>
      <c r="GX2948" s="37"/>
      <c r="GY2948" s="37"/>
      <c r="GZ2948" s="37"/>
      <c r="HA2948" s="37"/>
      <c r="HB2948" s="37"/>
      <c r="HC2948" s="37"/>
      <c r="HD2948" s="37"/>
      <c r="HE2948" s="37"/>
      <c r="HF2948" s="37"/>
      <c r="HG2948" s="37"/>
      <c r="HH2948" s="37"/>
      <c r="HI2948" s="37"/>
      <c r="HJ2948" s="37"/>
      <c r="HK2948" s="37"/>
      <c r="HL2948" s="37"/>
      <c r="HM2948" s="37"/>
      <c r="HN2948" s="37"/>
      <c r="HO2948" s="37"/>
      <c r="HP2948" s="37"/>
      <c r="HQ2948" s="37"/>
      <c r="HR2948" s="37"/>
      <c r="HS2948" s="37"/>
      <c r="HT2948" s="37"/>
      <c r="HU2948" s="37"/>
      <c r="HV2948" s="37"/>
      <c r="HW2948" s="37"/>
      <c r="HX2948" s="37"/>
      <c r="HY2948" s="37"/>
      <c r="HZ2948" s="37"/>
      <c r="IA2948" s="37"/>
      <c r="IB2948" s="37"/>
      <c r="IC2948" s="37"/>
      <c r="ID2948" s="37"/>
      <c r="IE2948" s="37"/>
      <c r="IF2948" s="37"/>
      <c r="IG2948" s="37"/>
      <c r="IH2948" s="37"/>
      <c r="II2948" s="37"/>
      <c r="IJ2948" s="37"/>
      <c r="IK2948" s="37"/>
      <c r="IL2948" s="37"/>
      <c r="IM2948" s="37"/>
      <c r="IN2948" s="37"/>
      <c r="IO2948" s="37"/>
      <c r="IP2948" s="37"/>
      <c r="IQ2948" s="37"/>
      <c r="IR2948" s="37"/>
      <c r="IS2948" s="37"/>
      <c r="IT2948" s="37"/>
      <c r="IU2948" s="37"/>
      <c r="IV2948" s="37"/>
      <c r="IW2948" s="37"/>
      <c r="IX2948" s="37"/>
      <c r="IY2948" s="37"/>
      <c r="IZ2948" s="37"/>
      <c r="JA2948" s="37"/>
      <c r="JB2948" s="37"/>
      <c r="JC2948" s="37"/>
      <c r="JD2948" s="37"/>
      <c r="JE2948" s="37"/>
      <c r="JF2948" s="37"/>
      <c r="JG2948" s="37"/>
      <c r="JH2948" s="37"/>
      <c r="JI2948" s="37"/>
      <c r="JJ2948" s="37"/>
      <c r="JK2948" s="37"/>
      <c r="JL2948" s="37"/>
      <c r="JM2948" s="37"/>
      <c r="JN2948" s="37"/>
      <c r="JO2948" s="37"/>
      <c r="JP2948" s="37"/>
      <c r="JQ2948" s="37"/>
      <c r="JR2948" s="37"/>
      <c r="JS2948" s="37"/>
      <c r="JT2948" s="37"/>
      <c r="JU2948" s="37"/>
      <c r="JV2948" s="37"/>
      <c r="JW2948" s="37"/>
      <c r="JX2948" s="37"/>
      <c r="JY2948" s="37"/>
      <c r="JZ2948" s="37"/>
      <c r="KA2948" s="37"/>
      <c r="KB2948" s="37"/>
      <c r="KC2948" s="37"/>
      <c r="KD2948" s="37"/>
      <c r="KE2948" s="37"/>
      <c r="KF2948" s="37"/>
      <c r="KG2948" s="37"/>
      <c r="KH2948" s="37"/>
      <c r="KI2948" s="37"/>
      <c r="KJ2948" s="37"/>
      <c r="KK2948" s="37"/>
      <c r="KL2948" s="37"/>
      <c r="KM2948" s="37"/>
      <c r="KN2948" s="37"/>
      <c r="KO2948" s="37"/>
      <c r="KP2948" s="37"/>
      <c r="KQ2948" s="37"/>
      <c r="KR2948" s="37"/>
      <c r="KS2948" s="37"/>
      <c r="KT2948" s="37"/>
      <c r="KU2948" s="37"/>
      <c r="KV2948" s="37"/>
      <c r="KW2948" s="37"/>
      <c r="KX2948" s="37"/>
      <c r="KY2948" s="37"/>
      <c r="KZ2948" s="37"/>
      <c r="LA2948" s="37"/>
      <c r="LB2948" s="37"/>
      <c r="LC2948" s="37"/>
      <c r="LD2948" s="37"/>
      <c r="LE2948" s="37"/>
      <c r="LF2948" s="37"/>
      <c r="LG2948" s="37"/>
      <c r="LH2948" s="37"/>
      <c r="LI2948" s="37"/>
      <c r="LJ2948" s="37"/>
      <c r="LK2948" s="37"/>
      <c r="LL2948" s="37"/>
      <c r="LM2948" s="37"/>
      <c r="LN2948" s="37"/>
      <c r="LO2948" s="37"/>
      <c r="LP2948" s="37"/>
      <c r="LQ2948" s="37"/>
      <c r="LR2948" s="37"/>
      <c r="LS2948" s="37"/>
      <c r="LT2948" s="37"/>
      <c r="LU2948" s="37"/>
      <c r="LV2948" s="37"/>
      <c r="LW2948" s="37"/>
      <c r="LX2948" s="37"/>
      <c r="LY2948" s="37"/>
      <c r="LZ2948" s="37"/>
      <c r="MA2948" s="37"/>
      <c r="MB2948" s="37"/>
      <c r="MC2948" s="37"/>
      <c r="MD2948" s="37"/>
      <c r="ME2948" s="37"/>
      <c r="MF2948" s="37"/>
      <c r="MG2948" s="37"/>
      <c r="MH2948" s="37"/>
      <c r="MI2948" s="37"/>
      <c r="MJ2948" s="37"/>
      <c r="MK2948" s="37"/>
      <c r="ML2948" s="37"/>
      <c r="MM2948" s="37"/>
      <c r="MN2948" s="37"/>
      <c r="MO2948" s="37"/>
      <c r="MP2948" s="37"/>
      <c r="MQ2948" s="37"/>
      <c r="MR2948" s="37"/>
      <c r="MS2948" s="37"/>
      <c r="MT2948" s="37"/>
      <c r="MU2948" s="37"/>
      <c r="MV2948" s="37"/>
      <c r="MW2948" s="37"/>
      <c r="MX2948" s="37"/>
      <c r="MY2948" s="37"/>
      <c r="MZ2948" s="37"/>
      <c r="NA2948" s="37"/>
      <c r="NB2948" s="37"/>
      <c r="NC2948" s="37"/>
      <c r="ND2948" s="37"/>
      <c r="NE2948" s="37"/>
      <c r="NF2948" s="37"/>
      <c r="NG2948" s="37"/>
      <c r="NH2948" s="37"/>
      <c r="NI2948" s="37"/>
      <c r="NJ2948" s="37"/>
      <c r="NK2948" s="37"/>
      <c r="NL2948" s="37"/>
      <c r="NM2948" s="37"/>
      <c r="NN2948" s="37"/>
      <c r="NO2948" s="37"/>
      <c r="NP2948" s="37"/>
      <c r="NQ2948" s="37"/>
      <c r="NR2948" s="37"/>
      <c r="NS2948" s="37"/>
      <c r="NT2948" s="37"/>
      <c r="NU2948" s="37"/>
      <c r="NV2948" s="37"/>
      <c r="NW2948" s="37"/>
      <c r="NX2948" s="37"/>
      <c r="NY2948" s="37"/>
      <c r="NZ2948" s="37"/>
      <c r="OA2948" s="37"/>
      <c r="OB2948" s="37"/>
      <c r="OC2948" s="37"/>
      <c r="OD2948" s="37"/>
      <c r="OE2948" s="37"/>
      <c r="OF2948" s="37"/>
      <c r="OG2948" s="37"/>
      <c r="OH2948" s="37"/>
      <c r="OI2948" s="37"/>
      <c r="OJ2948" s="37"/>
      <c r="OK2948" s="37"/>
      <c r="OL2948" s="37"/>
      <c r="OM2948" s="37"/>
      <c r="ON2948" s="37"/>
      <c r="OO2948" s="37"/>
      <c r="OP2948" s="37"/>
      <c r="OQ2948" s="37"/>
      <c r="OR2948" s="37"/>
      <c r="OS2948" s="37"/>
      <c r="OT2948" s="37"/>
      <c r="OU2948" s="37"/>
      <c r="OV2948" s="37"/>
      <c r="OW2948" s="37"/>
      <c r="OX2948" s="37"/>
      <c r="OY2948" s="37"/>
      <c r="OZ2948" s="37"/>
      <c r="PA2948" s="37"/>
      <c r="PB2948" s="37"/>
      <c r="PC2948" s="37"/>
      <c r="PD2948" s="37"/>
      <c r="PE2948" s="37"/>
      <c r="PF2948" s="37"/>
      <c r="PG2948" s="37"/>
      <c r="PH2948" s="37"/>
      <c r="PI2948" s="37"/>
      <c r="PJ2948" s="37"/>
      <c r="PK2948" s="37"/>
      <c r="PL2948" s="37"/>
      <c r="PM2948" s="37"/>
      <c r="PN2948" s="37"/>
      <c r="PO2948" s="37"/>
      <c r="PP2948" s="37"/>
      <c r="PQ2948" s="37"/>
      <c r="PR2948" s="37"/>
      <c r="PS2948" s="37"/>
      <c r="PT2948" s="37"/>
      <c r="PU2948" s="37"/>
      <c r="PV2948" s="37"/>
      <c r="PW2948" s="37"/>
      <c r="PX2948" s="37"/>
      <c r="PY2948" s="37"/>
      <c r="PZ2948" s="37"/>
      <c r="QA2948" s="37"/>
      <c r="QB2948" s="37"/>
      <c r="QC2948" s="37"/>
      <c r="QD2948" s="37"/>
      <c r="QE2948" s="37"/>
      <c r="QF2948" s="37"/>
      <c r="QG2948" s="37"/>
      <c r="QH2948" s="37"/>
      <c r="QI2948" s="37"/>
      <c r="QJ2948" s="37"/>
      <c r="QK2948" s="37"/>
      <c r="QL2948" s="37"/>
      <c r="QM2948" s="37"/>
      <c r="QN2948" s="37"/>
      <c r="QO2948" s="37"/>
      <c r="QP2948" s="37"/>
      <c r="QQ2948" s="37"/>
      <c r="QR2948" s="37"/>
      <c r="QS2948" s="37"/>
      <c r="QT2948" s="37"/>
      <c r="QU2948" s="37"/>
      <c r="QV2948" s="37"/>
      <c r="QW2948" s="37"/>
      <c r="QX2948" s="37"/>
      <c r="QY2948" s="37"/>
      <c r="QZ2948" s="37"/>
      <c r="RA2948" s="37"/>
      <c r="RB2948" s="37"/>
      <c r="RC2948" s="37"/>
      <c r="RD2948" s="37"/>
      <c r="RE2948" s="37"/>
      <c r="RF2948" s="37"/>
      <c r="RG2948" s="37"/>
      <c r="RH2948" s="37"/>
      <c r="RI2948" s="37"/>
      <c r="RJ2948" s="37"/>
      <c r="RK2948" s="37"/>
      <c r="RL2948" s="37"/>
      <c r="RM2948" s="37"/>
      <c r="RN2948" s="37"/>
      <c r="RO2948" s="37"/>
      <c r="RP2948" s="37"/>
      <c r="RQ2948" s="37"/>
      <c r="RR2948" s="37"/>
      <c r="RS2948" s="37"/>
      <c r="RT2948" s="37"/>
      <c r="RU2948" s="37"/>
      <c r="RV2948" s="37"/>
      <c r="RW2948" s="37"/>
      <c r="RX2948" s="37"/>
      <c r="RY2948" s="37"/>
      <c r="RZ2948" s="37"/>
      <c r="SA2948" s="37"/>
      <c r="SB2948" s="37"/>
      <c r="SC2948" s="37"/>
      <c r="SD2948" s="37"/>
      <c r="SE2948" s="37"/>
      <c r="SF2948" s="37"/>
    </row>
    <row r="2949" spans="1:500">
      <c r="A2949" s="37"/>
      <c r="B2949" s="37"/>
      <c r="C2949" s="37"/>
      <c r="D2949" s="37"/>
      <c r="E2949" s="37"/>
      <c r="F2949" s="37"/>
      <c r="G2949" s="37"/>
      <c r="H2949" s="37"/>
      <c r="I2949" s="37"/>
      <c r="J2949" s="37"/>
      <c r="K2949" s="37"/>
      <c r="L2949" s="37"/>
      <c r="M2949" s="37"/>
      <c r="N2949" s="37"/>
      <c r="O2949" s="37"/>
      <c r="P2949" s="37"/>
      <c r="Q2949" s="37"/>
      <c r="R2949" s="37"/>
      <c r="S2949" s="37"/>
      <c r="T2949" s="37"/>
      <c r="U2949" s="37"/>
      <c r="V2949" s="37"/>
      <c r="W2949" s="37"/>
      <c r="X2949" s="37"/>
      <c r="Y2949" s="37"/>
      <c r="Z2949" s="37"/>
      <c r="AA2949" s="37"/>
      <c r="AB2949" s="37"/>
      <c r="AC2949" s="37"/>
      <c r="AD2949" s="37"/>
      <c r="AE2949" s="37"/>
      <c r="AF2949" s="37"/>
      <c r="AG2949" s="37"/>
      <c r="AH2949" s="37"/>
      <c r="AI2949" s="37"/>
      <c r="AJ2949" s="37"/>
      <c r="AK2949" s="37"/>
      <c r="AL2949" s="37"/>
      <c r="AM2949" s="37"/>
      <c r="AN2949" s="37"/>
      <c r="AO2949" s="37"/>
      <c r="AP2949" s="37"/>
      <c r="AQ2949" s="37"/>
      <c r="AR2949" s="37"/>
      <c r="AS2949" s="37"/>
      <c r="AT2949" s="37"/>
      <c r="AU2949" s="37"/>
      <c r="AV2949" s="37"/>
      <c r="AW2949" s="37"/>
      <c r="AX2949" s="37"/>
      <c r="AY2949" s="37"/>
      <c r="AZ2949" s="37"/>
      <c r="BA2949" s="37"/>
      <c r="BB2949" s="37"/>
      <c r="BC2949" s="37"/>
      <c r="BD2949" s="37"/>
      <c r="BE2949" s="37"/>
      <c r="BF2949" s="37"/>
      <c r="BG2949" s="37"/>
      <c r="BH2949" s="37"/>
      <c r="BI2949" s="37"/>
      <c r="BJ2949" s="37"/>
      <c r="BK2949" s="37"/>
      <c r="BL2949" s="37"/>
      <c r="BM2949" s="37"/>
      <c r="BN2949" s="37"/>
      <c r="BO2949" s="37"/>
      <c r="BP2949" s="37"/>
      <c r="BQ2949" s="37"/>
      <c r="BR2949" s="37"/>
      <c r="BS2949" s="37"/>
      <c r="BT2949" s="37"/>
      <c r="BU2949" s="37"/>
      <c r="BV2949" s="37"/>
      <c r="BW2949" s="37"/>
      <c r="BX2949" s="37"/>
      <c r="BY2949" s="37"/>
      <c r="BZ2949" s="37"/>
      <c r="CA2949" s="37"/>
      <c r="CB2949" s="37"/>
      <c r="CC2949" s="37"/>
      <c r="CD2949" s="37"/>
      <c r="CE2949" s="37"/>
      <c r="CF2949" s="37"/>
      <c r="CG2949" s="37"/>
      <c r="CH2949" s="37"/>
      <c r="CI2949" s="37"/>
      <c r="CJ2949" s="37"/>
      <c r="CK2949" s="37"/>
      <c r="CL2949" s="37"/>
      <c r="CM2949" s="37"/>
      <c r="CN2949" s="37"/>
      <c r="CO2949" s="37"/>
      <c r="CP2949" s="37"/>
      <c r="CQ2949" s="37"/>
      <c r="CR2949" s="37"/>
      <c r="CS2949" s="37"/>
      <c r="CT2949" s="37"/>
      <c r="CU2949" s="37"/>
      <c r="CV2949" s="37"/>
      <c r="CW2949" s="37"/>
      <c r="CX2949" s="37"/>
      <c r="CY2949" s="37"/>
      <c r="CZ2949" s="37"/>
      <c r="DA2949" s="37"/>
      <c r="DB2949" s="37"/>
      <c r="DC2949" s="37"/>
      <c r="DD2949" s="37"/>
      <c r="DE2949" s="37"/>
      <c r="DF2949" s="37"/>
      <c r="DG2949" s="37"/>
      <c r="DH2949" s="37"/>
      <c r="DI2949" s="37"/>
      <c r="DJ2949" s="37"/>
      <c r="DK2949" s="37"/>
      <c r="DL2949" s="37"/>
      <c r="DM2949" s="37"/>
      <c r="DN2949" s="37"/>
      <c r="DO2949" s="37"/>
      <c r="DP2949" s="37"/>
      <c r="DQ2949" s="37"/>
      <c r="DR2949" s="37"/>
      <c r="DS2949" s="37"/>
      <c r="DT2949" s="37"/>
      <c r="DU2949" s="37"/>
      <c r="DV2949" s="37"/>
      <c r="DW2949" s="37"/>
      <c r="DX2949" s="37"/>
      <c r="DY2949" s="37"/>
      <c r="DZ2949" s="37"/>
      <c r="EA2949" s="37"/>
      <c r="EB2949" s="37"/>
      <c r="EC2949" s="37"/>
      <c r="ED2949" s="37"/>
      <c r="EE2949" s="37"/>
      <c r="EF2949" s="37"/>
      <c r="EG2949" s="37"/>
      <c r="EH2949" s="37"/>
      <c r="EI2949" s="37"/>
      <c r="EJ2949" s="37"/>
      <c r="EK2949" s="37"/>
      <c r="EL2949" s="37"/>
      <c r="EM2949" s="37"/>
      <c r="EN2949" s="37"/>
      <c r="EO2949" s="37"/>
      <c r="EP2949" s="37"/>
      <c r="EQ2949" s="37"/>
      <c r="ER2949" s="37"/>
      <c r="ES2949" s="37"/>
      <c r="ET2949" s="37"/>
      <c r="EU2949" s="37"/>
      <c r="EV2949" s="37"/>
      <c r="EW2949" s="37"/>
      <c r="EX2949" s="37"/>
      <c r="EY2949" s="37"/>
      <c r="EZ2949" s="37"/>
      <c r="FA2949" s="37"/>
      <c r="FB2949" s="37"/>
      <c r="FC2949" s="37"/>
      <c r="FD2949" s="37"/>
      <c r="FE2949" s="37"/>
      <c r="FF2949" s="37"/>
      <c r="FG2949" s="37"/>
      <c r="FH2949" s="37"/>
      <c r="FI2949" s="37"/>
      <c r="FJ2949" s="37"/>
      <c r="FK2949" s="37"/>
      <c r="FL2949" s="37"/>
      <c r="FM2949" s="37"/>
      <c r="FN2949" s="37"/>
      <c r="FO2949" s="37"/>
      <c r="FP2949" s="37"/>
      <c r="FQ2949" s="37"/>
      <c r="FR2949" s="37"/>
      <c r="FS2949" s="37"/>
      <c r="FT2949" s="37"/>
      <c r="FU2949" s="37"/>
      <c r="FV2949" s="37"/>
      <c r="FW2949" s="37"/>
      <c r="FX2949" s="37"/>
      <c r="FY2949" s="37"/>
      <c r="FZ2949" s="37"/>
      <c r="GA2949" s="37"/>
      <c r="GB2949" s="37"/>
      <c r="GC2949" s="37"/>
      <c r="GD2949" s="37"/>
      <c r="GE2949" s="37"/>
      <c r="GF2949" s="37"/>
      <c r="GG2949" s="37"/>
      <c r="GH2949" s="37"/>
      <c r="GI2949" s="37"/>
      <c r="GJ2949" s="37"/>
      <c r="GK2949" s="37"/>
      <c r="GL2949" s="37"/>
      <c r="GM2949" s="37"/>
      <c r="GN2949" s="37"/>
      <c r="GO2949" s="37"/>
      <c r="GP2949" s="37"/>
      <c r="GQ2949" s="37"/>
      <c r="GR2949" s="37"/>
      <c r="GS2949" s="37"/>
      <c r="GT2949" s="37"/>
      <c r="GU2949" s="37"/>
      <c r="GV2949" s="37"/>
      <c r="GW2949" s="37"/>
      <c r="GX2949" s="37"/>
      <c r="GY2949" s="37"/>
      <c r="GZ2949" s="37"/>
      <c r="HA2949" s="37"/>
      <c r="HB2949" s="37"/>
      <c r="HC2949" s="37"/>
      <c r="HD2949" s="37"/>
      <c r="HE2949" s="37"/>
      <c r="HF2949" s="37"/>
      <c r="HG2949" s="37"/>
      <c r="HH2949" s="37"/>
      <c r="HI2949" s="37"/>
      <c r="HJ2949" s="37"/>
      <c r="HK2949" s="37"/>
      <c r="HL2949" s="37"/>
      <c r="HM2949" s="37"/>
      <c r="HN2949" s="37"/>
      <c r="HO2949" s="37"/>
      <c r="HP2949" s="37"/>
      <c r="HQ2949" s="37"/>
      <c r="HR2949" s="37"/>
      <c r="HS2949" s="37"/>
      <c r="HT2949" s="37"/>
      <c r="HU2949" s="37"/>
      <c r="HV2949" s="37"/>
      <c r="HW2949" s="37"/>
      <c r="HX2949" s="37"/>
      <c r="HY2949" s="37"/>
      <c r="HZ2949" s="37"/>
      <c r="IA2949" s="37"/>
      <c r="IB2949" s="37"/>
      <c r="IC2949" s="37"/>
      <c r="ID2949" s="37"/>
      <c r="IE2949" s="37"/>
      <c r="IF2949" s="37"/>
      <c r="IG2949" s="37"/>
      <c r="IH2949" s="37"/>
      <c r="II2949" s="37"/>
      <c r="IJ2949" s="37"/>
      <c r="IK2949" s="37"/>
      <c r="IL2949" s="37"/>
      <c r="IM2949" s="37"/>
      <c r="IN2949" s="37"/>
      <c r="IO2949" s="37"/>
      <c r="IP2949" s="37"/>
      <c r="IQ2949" s="37"/>
      <c r="IR2949" s="37"/>
      <c r="IS2949" s="37"/>
      <c r="IT2949" s="37"/>
      <c r="IU2949" s="37"/>
      <c r="IV2949" s="37"/>
      <c r="IW2949" s="37"/>
      <c r="IX2949" s="37"/>
      <c r="IY2949" s="37"/>
      <c r="IZ2949" s="37"/>
      <c r="JA2949" s="37"/>
      <c r="JB2949" s="37"/>
      <c r="JC2949" s="37"/>
      <c r="JD2949" s="37"/>
      <c r="JE2949" s="37"/>
      <c r="JF2949" s="37"/>
      <c r="JG2949" s="37"/>
      <c r="JH2949" s="37"/>
      <c r="JI2949" s="37"/>
      <c r="JJ2949" s="37"/>
      <c r="JK2949" s="37"/>
      <c r="JL2949" s="37"/>
      <c r="JM2949" s="37"/>
      <c r="JN2949" s="37"/>
      <c r="JO2949" s="37"/>
      <c r="JP2949" s="37"/>
      <c r="JQ2949" s="37"/>
      <c r="JR2949" s="37"/>
      <c r="JS2949" s="37"/>
      <c r="JT2949" s="37"/>
      <c r="JU2949" s="37"/>
      <c r="JV2949" s="37"/>
      <c r="JW2949" s="37"/>
      <c r="JX2949" s="37"/>
      <c r="JY2949" s="37"/>
      <c r="JZ2949" s="37"/>
      <c r="KA2949" s="37"/>
      <c r="KB2949" s="37"/>
      <c r="KC2949" s="37"/>
      <c r="KD2949" s="37"/>
      <c r="KE2949" s="37"/>
      <c r="KF2949" s="37"/>
      <c r="KG2949" s="37"/>
      <c r="KH2949" s="37"/>
      <c r="KI2949" s="37"/>
      <c r="KJ2949" s="37"/>
      <c r="KK2949" s="37"/>
      <c r="KL2949" s="37"/>
      <c r="KM2949" s="37"/>
      <c r="KN2949" s="37"/>
      <c r="KO2949" s="37"/>
      <c r="KP2949" s="37"/>
      <c r="KQ2949" s="37"/>
      <c r="KR2949" s="37"/>
      <c r="KS2949" s="37"/>
      <c r="KT2949" s="37"/>
      <c r="KU2949" s="37"/>
      <c r="KV2949" s="37"/>
      <c r="KW2949" s="37"/>
      <c r="KX2949" s="37"/>
      <c r="KY2949" s="37"/>
      <c r="KZ2949" s="37"/>
      <c r="LA2949" s="37"/>
      <c r="LB2949" s="37"/>
      <c r="LC2949" s="37"/>
      <c r="LD2949" s="37"/>
      <c r="LE2949" s="37"/>
      <c r="LF2949" s="37"/>
      <c r="LG2949" s="37"/>
      <c r="LH2949" s="37"/>
      <c r="LI2949" s="37"/>
      <c r="LJ2949" s="37"/>
      <c r="LK2949" s="37"/>
      <c r="LL2949" s="37"/>
      <c r="LM2949" s="37"/>
      <c r="LN2949" s="37"/>
      <c r="LO2949" s="37"/>
      <c r="LP2949" s="37"/>
      <c r="LQ2949" s="37"/>
      <c r="LR2949" s="37"/>
      <c r="LS2949" s="37"/>
      <c r="LT2949" s="37"/>
      <c r="LU2949" s="37"/>
      <c r="LV2949" s="37"/>
      <c r="LW2949" s="37"/>
      <c r="LX2949" s="37"/>
      <c r="LY2949" s="37"/>
      <c r="LZ2949" s="37"/>
      <c r="MA2949" s="37"/>
      <c r="MB2949" s="37"/>
      <c r="MC2949" s="37"/>
      <c r="MD2949" s="37"/>
      <c r="ME2949" s="37"/>
      <c r="MF2949" s="37"/>
      <c r="MG2949" s="37"/>
      <c r="MH2949" s="37"/>
      <c r="MI2949" s="37"/>
      <c r="MJ2949" s="37"/>
      <c r="MK2949" s="37"/>
      <c r="ML2949" s="37"/>
      <c r="MM2949" s="37"/>
      <c r="MN2949" s="37"/>
      <c r="MO2949" s="37"/>
      <c r="MP2949" s="37"/>
      <c r="MQ2949" s="37"/>
      <c r="MR2949" s="37"/>
      <c r="MS2949" s="37"/>
      <c r="MT2949" s="37"/>
      <c r="MU2949" s="37"/>
      <c r="MV2949" s="37"/>
      <c r="MW2949" s="37"/>
      <c r="MX2949" s="37"/>
      <c r="MY2949" s="37"/>
      <c r="MZ2949" s="37"/>
      <c r="NA2949" s="37"/>
      <c r="NB2949" s="37"/>
      <c r="NC2949" s="37"/>
      <c r="ND2949" s="37"/>
      <c r="NE2949" s="37"/>
      <c r="NF2949" s="37"/>
      <c r="NG2949" s="37"/>
      <c r="NH2949" s="37"/>
      <c r="NI2949" s="37"/>
      <c r="NJ2949" s="37"/>
      <c r="NK2949" s="37"/>
      <c r="NL2949" s="37"/>
      <c r="NM2949" s="37"/>
      <c r="NN2949" s="37"/>
      <c r="NO2949" s="37"/>
      <c r="NP2949" s="37"/>
      <c r="NQ2949" s="37"/>
      <c r="NR2949" s="37"/>
      <c r="NS2949" s="37"/>
      <c r="NT2949" s="37"/>
      <c r="NU2949" s="37"/>
      <c r="NV2949" s="37"/>
      <c r="NW2949" s="37"/>
      <c r="NX2949" s="37"/>
      <c r="NY2949" s="37"/>
      <c r="NZ2949" s="37"/>
      <c r="OA2949" s="37"/>
      <c r="OB2949" s="37"/>
      <c r="OC2949" s="37"/>
      <c r="OD2949" s="37"/>
      <c r="OE2949" s="37"/>
      <c r="OF2949" s="37"/>
      <c r="OG2949" s="37"/>
      <c r="OH2949" s="37"/>
      <c r="OI2949" s="37"/>
      <c r="OJ2949" s="37"/>
      <c r="OK2949" s="37"/>
      <c r="OL2949" s="37"/>
      <c r="OM2949" s="37"/>
      <c r="ON2949" s="37"/>
      <c r="OO2949" s="37"/>
      <c r="OP2949" s="37"/>
      <c r="OQ2949" s="37"/>
      <c r="OR2949" s="37"/>
      <c r="OS2949" s="37"/>
      <c r="OT2949" s="37"/>
      <c r="OU2949" s="37"/>
      <c r="OV2949" s="37"/>
      <c r="OW2949" s="37"/>
      <c r="OX2949" s="37"/>
      <c r="OY2949" s="37"/>
      <c r="OZ2949" s="37"/>
      <c r="PA2949" s="37"/>
      <c r="PB2949" s="37"/>
      <c r="PC2949" s="37"/>
      <c r="PD2949" s="37"/>
      <c r="PE2949" s="37"/>
      <c r="PF2949" s="37"/>
      <c r="PG2949" s="37"/>
      <c r="PH2949" s="37"/>
      <c r="PI2949" s="37"/>
      <c r="PJ2949" s="37"/>
      <c r="PK2949" s="37"/>
      <c r="PL2949" s="37"/>
      <c r="PM2949" s="37"/>
      <c r="PN2949" s="37"/>
      <c r="PO2949" s="37"/>
      <c r="PP2949" s="37"/>
      <c r="PQ2949" s="37"/>
      <c r="PR2949" s="37"/>
      <c r="PS2949" s="37"/>
      <c r="PT2949" s="37"/>
      <c r="PU2949" s="37"/>
      <c r="PV2949" s="37"/>
      <c r="PW2949" s="37"/>
      <c r="PX2949" s="37"/>
      <c r="PY2949" s="37"/>
      <c r="PZ2949" s="37"/>
      <c r="QA2949" s="37"/>
      <c r="QB2949" s="37"/>
      <c r="QC2949" s="37"/>
      <c r="QD2949" s="37"/>
      <c r="QE2949" s="37"/>
      <c r="QF2949" s="37"/>
      <c r="QG2949" s="37"/>
      <c r="QH2949" s="37"/>
      <c r="QI2949" s="37"/>
      <c r="QJ2949" s="37"/>
      <c r="QK2949" s="37"/>
      <c r="QL2949" s="37"/>
      <c r="QM2949" s="37"/>
      <c r="QN2949" s="37"/>
      <c r="QO2949" s="37"/>
      <c r="QP2949" s="37"/>
      <c r="QQ2949" s="37"/>
      <c r="QR2949" s="37"/>
      <c r="QS2949" s="37"/>
      <c r="QT2949" s="37"/>
      <c r="QU2949" s="37"/>
      <c r="QV2949" s="37"/>
      <c r="QW2949" s="37"/>
      <c r="QX2949" s="37"/>
      <c r="QY2949" s="37"/>
      <c r="QZ2949" s="37"/>
      <c r="RA2949" s="37"/>
      <c r="RB2949" s="37"/>
      <c r="RC2949" s="37"/>
      <c r="RD2949" s="37"/>
      <c r="RE2949" s="37"/>
      <c r="RF2949" s="37"/>
      <c r="RG2949" s="37"/>
      <c r="RH2949" s="37"/>
      <c r="RI2949" s="37"/>
      <c r="RJ2949" s="37"/>
      <c r="RK2949" s="37"/>
      <c r="RL2949" s="37"/>
      <c r="RM2949" s="37"/>
      <c r="RN2949" s="37"/>
      <c r="RO2949" s="37"/>
      <c r="RP2949" s="37"/>
      <c r="RQ2949" s="37"/>
      <c r="RR2949" s="37"/>
      <c r="RS2949" s="37"/>
      <c r="RT2949" s="37"/>
      <c r="RU2949" s="37"/>
      <c r="RV2949" s="37"/>
      <c r="RW2949" s="37"/>
      <c r="RX2949" s="37"/>
      <c r="RY2949" s="37"/>
      <c r="RZ2949" s="37"/>
      <c r="SA2949" s="37"/>
      <c r="SB2949" s="37"/>
      <c r="SC2949" s="37"/>
      <c r="SD2949" s="37"/>
      <c r="SE2949" s="37"/>
      <c r="SF2949" s="37"/>
    </row>
    <row r="2950" spans="1:500">
      <c r="A2950" s="37"/>
      <c r="B2950" s="37"/>
      <c r="C2950" s="37"/>
      <c r="D2950" s="37"/>
      <c r="E2950" s="37"/>
      <c r="F2950" s="37"/>
      <c r="G2950" s="37"/>
      <c r="H2950" s="37"/>
      <c r="I2950" s="37"/>
      <c r="J2950" s="37"/>
      <c r="K2950" s="37"/>
      <c r="L2950" s="37"/>
      <c r="M2950" s="37"/>
      <c r="N2950" s="37"/>
      <c r="O2950" s="37"/>
      <c r="P2950" s="37"/>
      <c r="Q2950" s="37"/>
      <c r="R2950" s="37"/>
      <c r="S2950" s="37"/>
      <c r="T2950" s="37"/>
      <c r="U2950" s="37"/>
      <c r="V2950" s="37"/>
      <c r="W2950" s="37"/>
      <c r="X2950" s="37"/>
      <c r="Y2950" s="37"/>
      <c r="Z2950" s="37"/>
      <c r="AA2950" s="37"/>
      <c r="AB2950" s="37"/>
      <c r="AC2950" s="37"/>
      <c r="AD2950" s="37"/>
      <c r="AE2950" s="37"/>
      <c r="AF2950" s="37"/>
      <c r="AG2950" s="37"/>
      <c r="AH2950" s="37"/>
      <c r="AI2950" s="37"/>
      <c r="AJ2950" s="37"/>
      <c r="AK2950" s="37"/>
      <c r="AL2950" s="37"/>
      <c r="AM2950" s="37"/>
      <c r="AN2950" s="37"/>
      <c r="AO2950" s="37"/>
      <c r="AP2950" s="37"/>
      <c r="AQ2950" s="37"/>
      <c r="AR2950" s="37"/>
      <c r="AS2950" s="37"/>
      <c r="AT2950" s="37"/>
      <c r="AU2950" s="37"/>
      <c r="AV2950" s="37"/>
      <c r="AW2950" s="37"/>
      <c r="AX2950" s="37"/>
      <c r="AY2950" s="37"/>
      <c r="AZ2950" s="37"/>
      <c r="BA2950" s="37"/>
      <c r="BB2950" s="37"/>
      <c r="BC2950" s="37"/>
      <c r="BD2950" s="37"/>
      <c r="BE2950" s="37"/>
      <c r="BF2950" s="37"/>
      <c r="BG2950" s="37"/>
      <c r="BH2950" s="37"/>
      <c r="BI2950" s="37"/>
      <c r="BJ2950" s="37"/>
      <c r="BK2950" s="37"/>
      <c r="BL2950" s="37"/>
      <c r="BM2950" s="37"/>
      <c r="BN2950" s="37"/>
      <c r="BO2950" s="37"/>
      <c r="BP2950" s="37"/>
      <c r="BQ2950" s="37"/>
      <c r="BR2950" s="37"/>
      <c r="BS2950" s="37"/>
      <c r="BT2950" s="37"/>
      <c r="BU2950" s="37"/>
      <c r="BV2950" s="37"/>
      <c r="BW2950" s="37"/>
      <c r="BX2950" s="37"/>
      <c r="BY2950" s="37"/>
      <c r="BZ2950" s="37"/>
      <c r="CA2950" s="37"/>
      <c r="CB2950" s="37"/>
      <c r="CC2950" s="37"/>
      <c r="CD2950" s="37"/>
      <c r="CE2950" s="37"/>
      <c r="CF2950" s="37"/>
      <c r="CG2950" s="37"/>
      <c r="CH2950" s="37"/>
      <c r="CI2950" s="37"/>
      <c r="CJ2950" s="37"/>
      <c r="CK2950" s="37"/>
      <c r="CL2950" s="37"/>
      <c r="CM2950" s="37"/>
      <c r="CN2950" s="37"/>
      <c r="CO2950" s="37"/>
      <c r="CP2950" s="37"/>
      <c r="CQ2950" s="37"/>
      <c r="CR2950" s="37"/>
      <c r="CS2950" s="37"/>
      <c r="CT2950" s="37"/>
      <c r="CU2950" s="37"/>
      <c r="CV2950" s="37"/>
      <c r="CW2950" s="37"/>
      <c r="CX2950" s="37"/>
      <c r="CY2950" s="37"/>
      <c r="CZ2950" s="37"/>
      <c r="DA2950" s="37"/>
      <c r="DB2950" s="37"/>
      <c r="DC2950" s="37"/>
      <c r="DD2950" s="37"/>
      <c r="DE2950" s="37"/>
      <c r="DF2950" s="37"/>
      <c r="DG2950" s="37"/>
      <c r="DH2950" s="37"/>
      <c r="DI2950" s="37"/>
      <c r="DJ2950" s="37"/>
      <c r="DK2950" s="37"/>
      <c r="DL2950" s="37"/>
      <c r="DM2950" s="37"/>
      <c r="DN2950" s="37"/>
      <c r="DO2950" s="37"/>
      <c r="DP2950" s="37"/>
      <c r="DQ2950" s="37"/>
      <c r="DR2950" s="37"/>
      <c r="DS2950" s="37"/>
      <c r="DT2950" s="37"/>
      <c r="DU2950" s="37"/>
      <c r="DV2950" s="37"/>
      <c r="DW2950" s="37"/>
      <c r="DX2950" s="37"/>
      <c r="DY2950" s="37"/>
      <c r="DZ2950" s="37"/>
      <c r="EA2950" s="37"/>
      <c r="EB2950" s="37"/>
      <c r="EC2950" s="37"/>
      <c r="ED2950" s="37"/>
      <c r="EE2950" s="37"/>
      <c r="EF2950" s="37"/>
      <c r="EG2950" s="37"/>
      <c r="EH2950" s="37"/>
      <c r="EI2950" s="37"/>
      <c r="EJ2950" s="37"/>
      <c r="EK2950" s="37"/>
      <c r="EL2950" s="37"/>
      <c r="EM2950" s="37"/>
      <c r="EN2950" s="37"/>
      <c r="EO2950" s="37"/>
      <c r="EP2950" s="37"/>
      <c r="EQ2950" s="37"/>
      <c r="ER2950" s="37"/>
      <c r="ES2950" s="37"/>
      <c r="ET2950" s="37"/>
      <c r="EU2950" s="37"/>
      <c r="EV2950" s="37"/>
      <c r="EW2950" s="37"/>
      <c r="EX2950" s="37"/>
      <c r="EY2950" s="37"/>
      <c r="EZ2950" s="37"/>
      <c r="FA2950" s="37"/>
      <c r="FB2950" s="37"/>
      <c r="FC2950" s="37"/>
      <c r="FD2950" s="37"/>
      <c r="FE2950" s="37"/>
      <c r="FF2950" s="37"/>
      <c r="FG2950" s="37"/>
      <c r="FH2950" s="37"/>
      <c r="FI2950" s="37"/>
      <c r="FJ2950" s="37"/>
      <c r="FK2950" s="37"/>
      <c r="FL2950" s="37"/>
      <c r="FM2950" s="37"/>
      <c r="FN2950" s="37"/>
      <c r="FO2950" s="37"/>
      <c r="FP2950" s="37"/>
      <c r="FQ2950" s="37"/>
      <c r="FR2950" s="37"/>
      <c r="FS2950" s="37"/>
      <c r="FT2950" s="37"/>
      <c r="FU2950" s="37"/>
      <c r="FV2950" s="37"/>
      <c r="FW2950" s="37"/>
      <c r="FX2950" s="37"/>
      <c r="FY2950" s="37"/>
      <c r="FZ2950" s="37"/>
      <c r="GA2950" s="37"/>
      <c r="GB2950" s="37"/>
      <c r="GC2950" s="37"/>
      <c r="GD2950" s="37"/>
      <c r="GE2950" s="37"/>
      <c r="GF2950" s="37"/>
      <c r="GG2950" s="37"/>
      <c r="GH2950" s="37"/>
      <c r="GI2950" s="37"/>
      <c r="GJ2950" s="37"/>
      <c r="GK2950" s="37"/>
      <c r="GL2950" s="37"/>
      <c r="GM2950" s="37"/>
      <c r="GN2950" s="37"/>
      <c r="GO2950" s="37"/>
      <c r="GP2950" s="37"/>
      <c r="GQ2950" s="37"/>
      <c r="GR2950" s="37"/>
      <c r="GS2950" s="37"/>
      <c r="GT2950" s="37"/>
      <c r="GU2950" s="37"/>
      <c r="GV2950" s="37"/>
      <c r="GW2950" s="37"/>
      <c r="GX2950" s="37"/>
      <c r="GY2950" s="37"/>
      <c r="GZ2950" s="37"/>
      <c r="HA2950" s="37"/>
      <c r="HB2950" s="37"/>
      <c r="HC2950" s="37"/>
      <c r="HD2950" s="37"/>
      <c r="HE2950" s="37"/>
      <c r="HF2950" s="37"/>
      <c r="HG2950" s="37"/>
      <c r="HH2950" s="37"/>
      <c r="HI2950" s="37"/>
      <c r="HJ2950" s="37"/>
      <c r="HK2950" s="37"/>
      <c r="HL2950" s="37"/>
      <c r="HM2950" s="37"/>
      <c r="HN2950" s="37"/>
      <c r="HO2950" s="37"/>
      <c r="HP2950" s="37"/>
      <c r="HQ2950" s="37"/>
      <c r="HR2950" s="37"/>
      <c r="HS2950" s="37"/>
      <c r="HT2950" s="37"/>
      <c r="HU2950" s="37"/>
      <c r="HV2950" s="37"/>
      <c r="HW2950" s="37"/>
      <c r="HX2950" s="37"/>
      <c r="HY2950" s="37"/>
      <c r="HZ2950" s="37"/>
      <c r="IA2950" s="37"/>
      <c r="IB2950" s="37"/>
      <c r="IC2950" s="37"/>
      <c r="ID2950" s="37"/>
      <c r="IE2950" s="37"/>
      <c r="IF2950" s="37"/>
      <c r="IG2950" s="37"/>
      <c r="IH2950" s="37"/>
      <c r="II2950" s="37"/>
      <c r="IJ2950" s="37"/>
      <c r="IK2950" s="37"/>
      <c r="IL2950" s="37"/>
      <c r="IM2950" s="37"/>
      <c r="IN2950" s="37"/>
      <c r="IO2950" s="37"/>
      <c r="IP2950" s="37"/>
      <c r="IQ2950" s="37"/>
      <c r="IR2950" s="37"/>
      <c r="IS2950" s="37"/>
      <c r="IT2950" s="37"/>
      <c r="IU2950" s="37"/>
      <c r="IV2950" s="37"/>
      <c r="IW2950" s="37"/>
      <c r="IX2950" s="37"/>
      <c r="IY2950" s="37"/>
      <c r="IZ2950" s="37"/>
      <c r="JA2950" s="37"/>
      <c r="JB2950" s="37"/>
      <c r="JC2950" s="37"/>
      <c r="JD2950" s="37"/>
      <c r="JE2950" s="37"/>
      <c r="JF2950" s="37"/>
      <c r="JG2950" s="37"/>
      <c r="JH2950" s="37"/>
      <c r="JI2950" s="37"/>
      <c r="JJ2950" s="37"/>
      <c r="JK2950" s="37"/>
      <c r="JL2950" s="37"/>
      <c r="JM2950" s="37"/>
      <c r="JN2950" s="37"/>
      <c r="JO2950" s="37"/>
      <c r="JP2950" s="37"/>
      <c r="JQ2950" s="37"/>
      <c r="JR2950" s="37"/>
      <c r="JS2950" s="37"/>
      <c r="JT2950" s="37"/>
      <c r="JU2950" s="37"/>
      <c r="JV2950" s="37"/>
      <c r="JW2950" s="37"/>
      <c r="JX2950" s="37"/>
      <c r="JY2950" s="37"/>
      <c r="JZ2950" s="37"/>
      <c r="KA2950" s="37"/>
      <c r="KB2950" s="37"/>
      <c r="KC2950" s="37"/>
      <c r="KD2950" s="37"/>
      <c r="KE2950" s="37"/>
      <c r="KF2950" s="37"/>
      <c r="KG2950" s="37"/>
      <c r="KH2950" s="37"/>
      <c r="KI2950" s="37"/>
      <c r="KJ2950" s="37"/>
      <c r="KK2950" s="37"/>
      <c r="KL2950" s="37"/>
      <c r="KM2950" s="37"/>
      <c r="KN2950" s="37"/>
      <c r="KO2950" s="37"/>
      <c r="KP2950" s="37"/>
      <c r="KQ2950" s="37"/>
      <c r="KR2950" s="37"/>
      <c r="KS2950" s="37"/>
      <c r="KT2950" s="37"/>
      <c r="KU2950" s="37"/>
      <c r="KV2950" s="37"/>
      <c r="KW2950" s="37"/>
      <c r="KX2950" s="37"/>
      <c r="KY2950" s="37"/>
      <c r="KZ2950" s="37"/>
      <c r="LA2950" s="37"/>
      <c r="LB2950" s="37"/>
      <c r="LC2950" s="37"/>
      <c r="LD2950" s="37"/>
      <c r="LE2950" s="37"/>
      <c r="LF2950" s="37"/>
      <c r="LG2950" s="37"/>
      <c r="LH2950" s="37"/>
      <c r="LI2950" s="37"/>
      <c r="LJ2950" s="37"/>
      <c r="LK2950" s="37"/>
      <c r="LL2950" s="37"/>
      <c r="LM2950" s="37"/>
      <c r="LN2950" s="37"/>
      <c r="LO2950" s="37"/>
      <c r="LP2950" s="37"/>
      <c r="LQ2950" s="37"/>
      <c r="LR2950" s="37"/>
      <c r="LS2950" s="37"/>
      <c r="LT2950" s="37"/>
      <c r="LU2950" s="37"/>
      <c r="LV2950" s="37"/>
      <c r="LW2950" s="37"/>
      <c r="LX2950" s="37"/>
      <c r="LY2950" s="37"/>
      <c r="LZ2950" s="37"/>
      <c r="MA2950" s="37"/>
      <c r="MB2950" s="37"/>
      <c r="MC2950" s="37"/>
      <c r="MD2950" s="37"/>
      <c r="ME2950" s="37"/>
      <c r="MF2950" s="37"/>
      <c r="MG2950" s="37"/>
      <c r="MH2950" s="37"/>
      <c r="MI2950" s="37"/>
      <c r="MJ2950" s="37"/>
      <c r="MK2950" s="37"/>
      <c r="ML2950" s="37"/>
      <c r="MM2950" s="37"/>
      <c r="MN2950" s="37"/>
      <c r="MO2950" s="37"/>
      <c r="MP2950" s="37"/>
      <c r="MQ2950" s="37"/>
      <c r="MR2950" s="37"/>
      <c r="MS2950" s="37"/>
      <c r="MT2950" s="37"/>
      <c r="MU2950" s="37"/>
      <c r="MV2950" s="37"/>
      <c r="MW2950" s="37"/>
      <c r="MX2950" s="37"/>
      <c r="MY2950" s="37"/>
      <c r="MZ2950" s="37"/>
      <c r="NA2950" s="37"/>
      <c r="NB2950" s="37"/>
      <c r="NC2950" s="37"/>
      <c r="ND2950" s="37"/>
      <c r="NE2950" s="37"/>
      <c r="NF2950" s="37"/>
      <c r="NG2950" s="37"/>
      <c r="NH2950" s="37"/>
      <c r="NI2950" s="37"/>
      <c r="NJ2950" s="37"/>
      <c r="NK2950" s="37"/>
      <c r="NL2950" s="37"/>
      <c r="NM2950" s="37"/>
      <c r="NN2950" s="37"/>
      <c r="NO2950" s="37"/>
      <c r="NP2950" s="37"/>
      <c r="NQ2950" s="37"/>
      <c r="NR2950" s="37"/>
      <c r="NS2950" s="37"/>
      <c r="NT2950" s="37"/>
      <c r="NU2950" s="37"/>
      <c r="NV2950" s="37"/>
      <c r="NW2950" s="37"/>
      <c r="NX2950" s="37"/>
      <c r="NY2950" s="37"/>
      <c r="NZ2950" s="37"/>
      <c r="OA2950" s="37"/>
      <c r="OB2950" s="37"/>
      <c r="OC2950" s="37"/>
      <c r="OD2950" s="37"/>
      <c r="OE2950" s="37"/>
      <c r="OF2950" s="37"/>
      <c r="OG2950" s="37"/>
      <c r="OH2950" s="37"/>
      <c r="OI2950" s="37"/>
      <c r="OJ2950" s="37"/>
      <c r="OK2950" s="37"/>
      <c r="OL2950" s="37"/>
      <c r="OM2950" s="37"/>
      <c r="ON2950" s="37"/>
      <c r="OO2950" s="37"/>
      <c r="OP2950" s="37"/>
      <c r="OQ2950" s="37"/>
      <c r="OR2950" s="37"/>
      <c r="OS2950" s="37"/>
      <c r="OT2950" s="37"/>
      <c r="OU2950" s="37"/>
      <c r="OV2950" s="37"/>
      <c r="OW2950" s="37"/>
      <c r="OX2950" s="37"/>
      <c r="OY2950" s="37"/>
      <c r="OZ2950" s="37"/>
      <c r="PA2950" s="37"/>
      <c r="PB2950" s="37"/>
      <c r="PC2950" s="37"/>
      <c r="PD2950" s="37"/>
      <c r="PE2950" s="37"/>
      <c r="PF2950" s="37"/>
      <c r="PG2950" s="37"/>
      <c r="PH2950" s="37"/>
      <c r="PI2950" s="37"/>
      <c r="PJ2950" s="37"/>
      <c r="PK2950" s="37"/>
      <c r="PL2950" s="37"/>
      <c r="PM2950" s="37"/>
      <c r="PN2950" s="37"/>
      <c r="PO2950" s="37"/>
      <c r="PP2950" s="37"/>
      <c r="PQ2950" s="37"/>
      <c r="PR2950" s="37"/>
      <c r="PS2950" s="37"/>
      <c r="PT2950" s="37"/>
      <c r="PU2950" s="37"/>
      <c r="PV2950" s="37"/>
      <c r="PW2950" s="37"/>
      <c r="PX2950" s="37"/>
      <c r="PY2950" s="37"/>
      <c r="PZ2950" s="37"/>
      <c r="QA2950" s="37"/>
      <c r="QB2950" s="37"/>
      <c r="QC2950" s="37"/>
      <c r="QD2950" s="37"/>
      <c r="QE2950" s="37"/>
      <c r="QF2950" s="37"/>
      <c r="QG2950" s="37"/>
      <c r="QH2950" s="37"/>
      <c r="QI2950" s="37"/>
      <c r="QJ2950" s="37"/>
      <c r="QK2950" s="37"/>
      <c r="QL2950" s="37"/>
      <c r="QM2950" s="37"/>
      <c r="QN2950" s="37"/>
      <c r="QO2950" s="37"/>
      <c r="QP2950" s="37"/>
      <c r="QQ2950" s="37"/>
      <c r="QR2950" s="37"/>
      <c r="QS2950" s="37"/>
      <c r="QT2950" s="37"/>
      <c r="QU2950" s="37"/>
      <c r="QV2950" s="37"/>
      <c r="QW2950" s="37"/>
      <c r="QX2950" s="37"/>
      <c r="QY2950" s="37"/>
      <c r="QZ2950" s="37"/>
      <c r="RA2950" s="37"/>
      <c r="RB2950" s="37"/>
      <c r="RC2950" s="37"/>
      <c r="RD2950" s="37"/>
      <c r="RE2950" s="37"/>
      <c r="RF2950" s="37"/>
      <c r="RG2950" s="37"/>
      <c r="RH2950" s="37"/>
      <c r="RI2950" s="37"/>
      <c r="RJ2950" s="37"/>
      <c r="RK2950" s="37"/>
      <c r="RL2950" s="37"/>
      <c r="RM2950" s="37"/>
      <c r="RN2950" s="37"/>
      <c r="RO2950" s="37"/>
      <c r="RP2950" s="37"/>
      <c r="RQ2950" s="37"/>
      <c r="RR2950" s="37"/>
      <c r="RS2950" s="37"/>
      <c r="RT2950" s="37"/>
      <c r="RU2950" s="37"/>
      <c r="RV2950" s="37"/>
      <c r="RW2950" s="37"/>
      <c r="RX2950" s="37"/>
      <c r="RY2950" s="37"/>
      <c r="RZ2950" s="37"/>
      <c r="SA2950" s="37"/>
      <c r="SB2950" s="37"/>
      <c r="SC2950" s="37"/>
      <c r="SD2950" s="37"/>
      <c r="SE2950" s="37"/>
      <c r="SF2950" s="37"/>
    </row>
    <row r="2951" spans="1:500">
      <c r="A2951" s="37"/>
      <c r="B2951" s="37"/>
      <c r="C2951" s="37"/>
      <c r="D2951" s="37"/>
      <c r="E2951" s="37"/>
      <c r="F2951" s="37"/>
      <c r="G2951" s="37"/>
      <c r="H2951" s="37"/>
      <c r="I2951" s="37"/>
      <c r="J2951" s="37"/>
      <c r="K2951" s="37"/>
      <c r="L2951" s="37"/>
      <c r="M2951" s="37"/>
      <c r="N2951" s="37"/>
      <c r="O2951" s="37"/>
      <c r="P2951" s="37"/>
      <c r="Q2951" s="37"/>
      <c r="R2951" s="37"/>
      <c r="S2951" s="37"/>
      <c r="T2951" s="37"/>
      <c r="U2951" s="37"/>
      <c r="V2951" s="37"/>
      <c r="W2951" s="37"/>
      <c r="X2951" s="37"/>
      <c r="Y2951" s="37"/>
      <c r="Z2951" s="37"/>
      <c r="AA2951" s="37"/>
      <c r="AB2951" s="37"/>
      <c r="AC2951" s="37"/>
      <c r="AD2951" s="37"/>
      <c r="AE2951" s="37"/>
      <c r="AF2951" s="37"/>
      <c r="AG2951" s="37"/>
      <c r="AH2951" s="37"/>
      <c r="AI2951" s="37"/>
      <c r="AJ2951" s="37"/>
      <c r="AK2951" s="37"/>
      <c r="AL2951" s="37"/>
      <c r="AM2951" s="37"/>
      <c r="AN2951" s="37"/>
      <c r="AO2951" s="37"/>
      <c r="AP2951" s="37"/>
      <c r="AQ2951" s="37"/>
      <c r="AR2951" s="37"/>
      <c r="AS2951" s="37"/>
      <c r="AT2951" s="37"/>
      <c r="AU2951" s="37"/>
      <c r="AV2951" s="37"/>
      <c r="AW2951" s="37"/>
      <c r="AX2951" s="37"/>
      <c r="AY2951" s="37"/>
      <c r="AZ2951" s="37"/>
      <c r="BA2951" s="37"/>
      <c r="BB2951" s="37"/>
      <c r="BC2951" s="37"/>
      <c r="BD2951" s="37"/>
      <c r="BE2951" s="37"/>
      <c r="BF2951" s="37"/>
      <c r="BG2951" s="37"/>
      <c r="BH2951" s="37"/>
      <c r="BI2951" s="37"/>
      <c r="BJ2951" s="37"/>
      <c r="BK2951" s="37"/>
      <c r="BL2951" s="37"/>
      <c r="BM2951" s="37"/>
      <c r="BN2951" s="37"/>
      <c r="BO2951" s="37"/>
      <c r="BP2951" s="37"/>
      <c r="BQ2951" s="37"/>
      <c r="BR2951" s="37"/>
      <c r="BS2951" s="37"/>
      <c r="BT2951" s="37"/>
      <c r="BU2951" s="37"/>
      <c r="BV2951" s="37"/>
      <c r="BW2951" s="37"/>
      <c r="BX2951" s="37"/>
      <c r="BY2951" s="37"/>
      <c r="BZ2951" s="37"/>
      <c r="CA2951" s="37"/>
      <c r="CB2951" s="37"/>
      <c r="CC2951" s="37"/>
      <c r="CD2951" s="37"/>
      <c r="CE2951" s="37"/>
      <c r="CF2951" s="37"/>
      <c r="CG2951" s="37"/>
      <c r="CH2951" s="37"/>
      <c r="CI2951" s="37"/>
      <c r="CJ2951" s="37"/>
      <c r="CK2951" s="37"/>
      <c r="CL2951" s="37"/>
      <c r="CM2951" s="37"/>
      <c r="CN2951" s="37"/>
      <c r="CO2951" s="37"/>
      <c r="CP2951" s="37"/>
      <c r="CQ2951" s="37"/>
      <c r="CR2951" s="37"/>
      <c r="CS2951" s="37"/>
      <c r="CT2951" s="37"/>
      <c r="CU2951" s="37"/>
      <c r="CV2951" s="37"/>
      <c r="CW2951" s="37"/>
      <c r="CX2951" s="37"/>
      <c r="CY2951" s="37"/>
      <c r="CZ2951" s="37"/>
      <c r="DA2951" s="37"/>
      <c r="DB2951" s="37"/>
      <c r="DC2951" s="37"/>
      <c r="DD2951" s="37"/>
      <c r="DE2951" s="37"/>
      <c r="DF2951" s="37"/>
      <c r="DG2951" s="37"/>
      <c r="DH2951" s="37"/>
      <c r="DI2951" s="37"/>
      <c r="DJ2951" s="37"/>
      <c r="DK2951" s="37"/>
      <c r="DL2951" s="37"/>
      <c r="DM2951" s="37"/>
      <c r="DN2951" s="37"/>
      <c r="DO2951" s="37"/>
      <c r="DP2951" s="37"/>
      <c r="DQ2951" s="37"/>
      <c r="DR2951" s="37"/>
      <c r="DS2951" s="37"/>
      <c r="DT2951" s="37"/>
      <c r="DU2951" s="37"/>
      <c r="DV2951" s="37"/>
      <c r="DW2951" s="37"/>
      <c r="DX2951" s="37"/>
      <c r="DY2951" s="37"/>
      <c r="DZ2951" s="37"/>
      <c r="EA2951" s="37"/>
      <c r="EB2951" s="37"/>
      <c r="EC2951" s="37"/>
      <c r="ED2951" s="37"/>
      <c r="EE2951" s="37"/>
      <c r="EF2951" s="37"/>
      <c r="EG2951" s="37"/>
      <c r="EH2951" s="37"/>
      <c r="EI2951" s="37"/>
      <c r="EJ2951" s="37"/>
      <c r="EK2951" s="37"/>
      <c r="EL2951" s="37"/>
      <c r="EM2951" s="37"/>
      <c r="EN2951" s="37"/>
      <c r="EO2951" s="37"/>
      <c r="EP2951" s="37"/>
      <c r="EQ2951" s="37"/>
      <c r="ER2951" s="37"/>
      <c r="ES2951" s="37"/>
      <c r="ET2951" s="37"/>
      <c r="EU2951" s="37"/>
      <c r="EV2951" s="37"/>
      <c r="EW2951" s="37"/>
      <c r="EX2951" s="37"/>
      <c r="EY2951" s="37"/>
      <c r="EZ2951" s="37"/>
      <c r="FA2951" s="37"/>
      <c r="FB2951" s="37"/>
      <c r="FC2951" s="37"/>
      <c r="FD2951" s="37"/>
      <c r="FE2951" s="37"/>
      <c r="FF2951" s="37"/>
      <c r="FG2951" s="37"/>
      <c r="FH2951" s="37"/>
      <c r="FI2951" s="37"/>
      <c r="FJ2951" s="37"/>
      <c r="FK2951" s="37"/>
      <c r="FL2951" s="37"/>
      <c r="FM2951" s="37"/>
      <c r="FN2951" s="37"/>
      <c r="FO2951" s="37"/>
      <c r="FP2951" s="37"/>
      <c r="FQ2951" s="37"/>
      <c r="FR2951" s="37"/>
      <c r="FS2951" s="37"/>
      <c r="FT2951" s="37"/>
      <c r="FU2951" s="37"/>
      <c r="FV2951" s="37"/>
      <c r="FW2951" s="37"/>
      <c r="FX2951" s="37"/>
      <c r="FY2951" s="37"/>
      <c r="FZ2951" s="37"/>
      <c r="GA2951" s="37"/>
      <c r="GB2951" s="37"/>
      <c r="GC2951" s="37"/>
      <c r="GD2951" s="37"/>
      <c r="GE2951" s="37"/>
      <c r="GF2951" s="37"/>
      <c r="GG2951" s="37"/>
      <c r="GH2951" s="37"/>
      <c r="GI2951" s="37"/>
      <c r="GJ2951" s="37"/>
      <c r="GK2951" s="37"/>
      <c r="GL2951" s="37"/>
      <c r="GM2951" s="37"/>
      <c r="GN2951" s="37"/>
      <c r="GO2951" s="37"/>
      <c r="GP2951" s="37"/>
      <c r="GQ2951" s="37"/>
      <c r="GR2951" s="37"/>
      <c r="GS2951" s="37"/>
      <c r="GT2951" s="37"/>
      <c r="GU2951" s="37"/>
      <c r="GV2951" s="37"/>
      <c r="GW2951" s="37"/>
      <c r="GX2951" s="37"/>
      <c r="GY2951" s="37"/>
      <c r="GZ2951" s="37"/>
      <c r="HA2951" s="37"/>
      <c r="HB2951" s="37"/>
      <c r="HC2951" s="37"/>
      <c r="HD2951" s="37"/>
      <c r="HE2951" s="37"/>
      <c r="HF2951" s="37"/>
      <c r="HG2951" s="37"/>
      <c r="HH2951" s="37"/>
      <c r="HI2951" s="37"/>
      <c r="HJ2951" s="37"/>
      <c r="HK2951" s="37"/>
      <c r="HL2951" s="37"/>
      <c r="HM2951" s="37"/>
      <c r="HN2951" s="37"/>
      <c r="HO2951" s="37"/>
      <c r="HP2951" s="37"/>
      <c r="HQ2951" s="37"/>
      <c r="HR2951" s="37"/>
      <c r="HS2951" s="37"/>
      <c r="HT2951" s="37"/>
      <c r="HU2951" s="37"/>
      <c r="HV2951" s="37"/>
      <c r="HW2951" s="37"/>
      <c r="HX2951" s="37"/>
      <c r="HY2951" s="37"/>
      <c r="HZ2951" s="37"/>
      <c r="IA2951" s="37"/>
      <c r="IB2951" s="37"/>
      <c r="IC2951" s="37"/>
      <c r="ID2951" s="37"/>
      <c r="IE2951" s="37"/>
      <c r="IF2951" s="37"/>
      <c r="IG2951" s="37"/>
      <c r="IH2951" s="37"/>
      <c r="II2951" s="37"/>
      <c r="IJ2951" s="37"/>
      <c r="IK2951" s="37"/>
      <c r="IL2951" s="37"/>
      <c r="IM2951" s="37"/>
      <c r="IN2951" s="37"/>
      <c r="IO2951" s="37"/>
      <c r="IP2951" s="37"/>
      <c r="IQ2951" s="37"/>
      <c r="IR2951" s="37"/>
      <c r="IS2951" s="37"/>
      <c r="IT2951" s="37"/>
      <c r="IU2951" s="37"/>
      <c r="IV2951" s="37"/>
      <c r="IW2951" s="37"/>
      <c r="IX2951" s="37"/>
      <c r="IY2951" s="37"/>
      <c r="IZ2951" s="37"/>
      <c r="JA2951" s="37"/>
      <c r="JB2951" s="37"/>
      <c r="JC2951" s="37"/>
      <c r="JD2951" s="37"/>
      <c r="JE2951" s="37"/>
      <c r="JF2951" s="37"/>
      <c r="JG2951" s="37"/>
      <c r="JH2951" s="37"/>
      <c r="JI2951" s="37"/>
      <c r="JJ2951" s="37"/>
      <c r="JK2951" s="37"/>
      <c r="JL2951" s="37"/>
      <c r="JM2951" s="37"/>
      <c r="JN2951" s="37"/>
      <c r="JO2951" s="37"/>
      <c r="JP2951" s="37"/>
      <c r="JQ2951" s="37"/>
      <c r="JR2951" s="37"/>
      <c r="JS2951" s="37"/>
      <c r="JT2951" s="37"/>
      <c r="JU2951" s="37"/>
      <c r="JV2951" s="37"/>
      <c r="JW2951" s="37"/>
      <c r="JX2951" s="37"/>
      <c r="JY2951" s="37"/>
      <c r="JZ2951" s="37"/>
      <c r="KA2951" s="37"/>
      <c r="KB2951" s="37"/>
      <c r="KC2951" s="37"/>
      <c r="KD2951" s="37"/>
      <c r="KE2951" s="37"/>
      <c r="KF2951" s="37"/>
      <c r="KG2951" s="37"/>
      <c r="KH2951" s="37"/>
      <c r="KI2951" s="37"/>
      <c r="KJ2951" s="37"/>
      <c r="KK2951" s="37"/>
      <c r="KL2951" s="37"/>
      <c r="KM2951" s="37"/>
      <c r="KN2951" s="37"/>
      <c r="KO2951" s="37"/>
      <c r="KP2951" s="37"/>
      <c r="KQ2951" s="37"/>
      <c r="KR2951" s="37"/>
      <c r="KS2951" s="37"/>
      <c r="KT2951" s="37"/>
      <c r="KU2951" s="37"/>
      <c r="KV2951" s="37"/>
      <c r="KW2951" s="37"/>
      <c r="KX2951" s="37"/>
      <c r="KY2951" s="37"/>
      <c r="KZ2951" s="37"/>
      <c r="LA2951" s="37"/>
      <c r="LB2951" s="37"/>
      <c r="LC2951" s="37"/>
      <c r="LD2951" s="37"/>
      <c r="LE2951" s="37"/>
      <c r="LF2951" s="37"/>
      <c r="LG2951" s="37"/>
      <c r="LH2951" s="37"/>
      <c r="LI2951" s="37"/>
      <c r="LJ2951" s="37"/>
      <c r="LK2951" s="37"/>
      <c r="LL2951" s="37"/>
      <c r="LM2951" s="37"/>
      <c r="LN2951" s="37"/>
      <c r="LO2951" s="37"/>
      <c r="LP2951" s="37"/>
      <c r="LQ2951" s="37"/>
      <c r="LR2951" s="37"/>
      <c r="LS2951" s="37"/>
      <c r="LT2951" s="37"/>
      <c r="LU2951" s="37"/>
      <c r="LV2951" s="37"/>
      <c r="LW2951" s="37"/>
      <c r="LX2951" s="37"/>
      <c r="LY2951" s="37"/>
      <c r="LZ2951" s="37"/>
      <c r="MA2951" s="37"/>
      <c r="MB2951" s="37"/>
      <c r="MC2951" s="37"/>
      <c r="MD2951" s="37"/>
      <c r="ME2951" s="37"/>
      <c r="MF2951" s="37"/>
      <c r="MG2951" s="37"/>
      <c r="MH2951" s="37"/>
      <c r="MI2951" s="37"/>
      <c r="MJ2951" s="37"/>
      <c r="MK2951" s="37"/>
      <c r="ML2951" s="37"/>
      <c r="MM2951" s="37"/>
      <c r="MN2951" s="37"/>
      <c r="MO2951" s="37"/>
      <c r="MP2951" s="37"/>
      <c r="MQ2951" s="37"/>
      <c r="MR2951" s="37"/>
      <c r="MS2951" s="37"/>
      <c r="MT2951" s="37"/>
      <c r="MU2951" s="37"/>
      <c r="MV2951" s="37"/>
      <c r="MW2951" s="37"/>
      <c r="MX2951" s="37"/>
      <c r="MY2951" s="37"/>
      <c r="MZ2951" s="37"/>
      <c r="NA2951" s="37"/>
      <c r="NB2951" s="37"/>
      <c r="NC2951" s="37"/>
      <c r="ND2951" s="37"/>
      <c r="NE2951" s="37"/>
      <c r="NF2951" s="37"/>
      <c r="NG2951" s="37"/>
      <c r="NH2951" s="37"/>
      <c r="NI2951" s="37"/>
      <c r="NJ2951" s="37"/>
      <c r="NK2951" s="37"/>
      <c r="NL2951" s="37"/>
      <c r="NM2951" s="37"/>
      <c r="NN2951" s="37"/>
      <c r="NO2951" s="37"/>
      <c r="NP2951" s="37"/>
      <c r="NQ2951" s="37"/>
      <c r="NR2951" s="37"/>
      <c r="NS2951" s="37"/>
      <c r="NT2951" s="37"/>
      <c r="NU2951" s="37"/>
      <c r="NV2951" s="37"/>
      <c r="NW2951" s="37"/>
      <c r="NX2951" s="37"/>
      <c r="NY2951" s="37"/>
      <c r="NZ2951" s="37"/>
      <c r="OA2951" s="37"/>
      <c r="OB2951" s="37"/>
      <c r="OC2951" s="37"/>
      <c r="OD2951" s="37"/>
      <c r="OE2951" s="37"/>
      <c r="OF2951" s="37"/>
      <c r="OG2951" s="37"/>
      <c r="OH2951" s="37"/>
      <c r="OI2951" s="37"/>
      <c r="OJ2951" s="37"/>
      <c r="OK2951" s="37"/>
      <c r="OL2951" s="37"/>
      <c r="OM2951" s="37"/>
      <c r="ON2951" s="37"/>
      <c r="OO2951" s="37"/>
      <c r="OP2951" s="37"/>
      <c r="OQ2951" s="37"/>
      <c r="OR2951" s="37"/>
      <c r="OS2951" s="37"/>
      <c r="OT2951" s="37"/>
      <c r="OU2951" s="37"/>
      <c r="OV2951" s="37"/>
      <c r="OW2951" s="37"/>
      <c r="OX2951" s="37"/>
      <c r="OY2951" s="37"/>
      <c r="OZ2951" s="37"/>
      <c r="PA2951" s="37"/>
      <c r="PB2951" s="37"/>
      <c r="PC2951" s="37"/>
      <c r="PD2951" s="37"/>
      <c r="PE2951" s="37"/>
      <c r="PF2951" s="37"/>
      <c r="PG2951" s="37"/>
      <c r="PH2951" s="37"/>
      <c r="PI2951" s="37"/>
      <c r="PJ2951" s="37"/>
      <c r="PK2951" s="37"/>
      <c r="PL2951" s="37"/>
      <c r="PM2951" s="37"/>
      <c r="PN2951" s="37"/>
      <c r="PO2951" s="37"/>
      <c r="PP2951" s="37"/>
      <c r="PQ2951" s="37"/>
      <c r="PR2951" s="37"/>
      <c r="PS2951" s="37"/>
      <c r="PT2951" s="37"/>
      <c r="PU2951" s="37"/>
      <c r="PV2951" s="37"/>
      <c r="PW2951" s="37"/>
      <c r="PX2951" s="37"/>
      <c r="PY2951" s="37"/>
      <c r="PZ2951" s="37"/>
      <c r="QA2951" s="37"/>
      <c r="QB2951" s="37"/>
      <c r="QC2951" s="37"/>
      <c r="QD2951" s="37"/>
      <c r="QE2951" s="37"/>
      <c r="QF2951" s="37"/>
      <c r="QG2951" s="37"/>
      <c r="QH2951" s="37"/>
      <c r="QI2951" s="37"/>
      <c r="QJ2951" s="37"/>
      <c r="QK2951" s="37"/>
      <c r="QL2951" s="37"/>
      <c r="QM2951" s="37"/>
      <c r="QN2951" s="37"/>
      <c r="QO2951" s="37"/>
      <c r="QP2951" s="37"/>
      <c r="QQ2951" s="37"/>
      <c r="QR2951" s="37"/>
      <c r="QS2951" s="37"/>
      <c r="QT2951" s="37"/>
      <c r="QU2951" s="37"/>
      <c r="QV2951" s="37"/>
      <c r="QW2951" s="37"/>
      <c r="QX2951" s="37"/>
      <c r="QY2951" s="37"/>
      <c r="QZ2951" s="37"/>
      <c r="RA2951" s="37"/>
      <c r="RB2951" s="37"/>
      <c r="RC2951" s="37"/>
      <c r="RD2951" s="37"/>
      <c r="RE2951" s="37"/>
      <c r="RF2951" s="37"/>
      <c r="RG2951" s="37"/>
      <c r="RH2951" s="37"/>
      <c r="RI2951" s="37"/>
      <c r="RJ2951" s="37"/>
      <c r="RK2951" s="37"/>
      <c r="RL2951" s="37"/>
      <c r="RM2951" s="37"/>
      <c r="RN2951" s="37"/>
      <c r="RO2951" s="37"/>
      <c r="RP2951" s="37"/>
      <c r="RQ2951" s="37"/>
      <c r="RR2951" s="37"/>
      <c r="RS2951" s="37"/>
      <c r="RT2951" s="37"/>
      <c r="RU2951" s="37"/>
      <c r="RV2951" s="37"/>
      <c r="RW2951" s="37"/>
      <c r="RX2951" s="37"/>
      <c r="RY2951" s="37"/>
      <c r="RZ2951" s="37"/>
      <c r="SA2951" s="37"/>
      <c r="SB2951" s="37"/>
      <c r="SC2951" s="37"/>
      <c r="SD2951" s="37"/>
      <c r="SE2951" s="37"/>
      <c r="SF2951" s="37"/>
    </row>
    <row r="2952" spans="1:500">
      <c r="A2952" s="37"/>
      <c r="B2952" s="37"/>
      <c r="C2952" s="37"/>
      <c r="D2952" s="37"/>
      <c r="E2952" s="37"/>
      <c r="F2952" s="37"/>
      <c r="G2952" s="37"/>
      <c r="H2952" s="37"/>
      <c r="I2952" s="37"/>
      <c r="J2952" s="37"/>
      <c r="K2952" s="37"/>
      <c r="L2952" s="37"/>
      <c r="M2952" s="37"/>
      <c r="N2952" s="37"/>
      <c r="O2952" s="37"/>
      <c r="P2952" s="37"/>
      <c r="Q2952" s="37"/>
      <c r="R2952" s="37"/>
      <c r="S2952" s="37"/>
      <c r="T2952" s="37"/>
      <c r="U2952" s="37"/>
      <c r="V2952" s="37"/>
      <c r="W2952" s="37"/>
      <c r="X2952" s="37"/>
      <c r="Y2952" s="37"/>
      <c r="Z2952" s="37"/>
      <c r="AA2952" s="37"/>
      <c r="AB2952" s="37"/>
      <c r="AC2952" s="37"/>
      <c r="AD2952" s="37"/>
      <c r="AE2952" s="37"/>
      <c r="AF2952" s="37"/>
      <c r="AG2952" s="37"/>
      <c r="AH2952" s="37"/>
      <c r="AI2952" s="37"/>
      <c r="AJ2952" s="37"/>
      <c r="AK2952" s="37"/>
      <c r="AL2952" s="37"/>
      <c r="AM2952" s="37"/>
      <c r="AN2952" s="37"/>
      <c r="AO2952" s="37"/>
      <c r="AP2952" s="37"/>
      <c r="AQ2952" s="37"/>
      <c r="AR2952" s="37"/>
      <c r="AS2952" s="37"/>
      <c r="AT2952" s="37"/>
      <c r="AU2952" s="37"/>
      <c r="AV2952" s="37"/>
      <c r="AW2952" s="37"/>
      <c r="AX2952" s="37"/>
      <c r="AY2952" s="37"/>
      <c r="AZ2952" s="37"/>
      <c r="BA2952" s="37"/>
      <c r="BB2952" s="37"/>
      <c r="BC2952" s="37"/>
      <c r="BD2952" s="37"/>
      <c r="BE2952" s="37"/>
      <c r="BF2952" s="37"/>
      <c r="BG2952" s="37"/>
      <c r="BH2952" s="37"/>
      <c r="BI2952" s="37"/>
      <c r="BJ2952" s="37"/>
      <c r="BK2952" s="37"/>
      <c r="BL2952" s="37"/>
      <c r="BM2952" s="37"/>
      <c r="BN2952" s="37"/>
      <c r="BO2952" s="37"/>
      <c r="BP2952" s="37"/>
      <c r="BQ2952" s="37"/>
      <c r="BR2952" s="37"/>
      <c r="BS2952" s="37"/>
      <c r="BT2952" s="37"/>
      <c r="BU2952" s="37"/>
      <c r="BV2952" s="37"/>
      <c r="BW2952" s="37"/>
      <c r="BX2952" s="37"/>
      <c r="BY2952" s="37"/>
      <c r="BZ2952" s="37"/>
      <c r="CA2952" s="37"/>
      <c r="CB2952" s="37"/>
      <c r="CC2952" s="37"/>
      <c r="CD2952" s="37"/>
      <c r="CE2952" s="37"/>
      <c r="CF2952" s="37"/>
      <c r="CG2952" s="37"/>
      <c r="CH2952" s="37"/>
      <c r="CI2952" s="37"/>
      <c r="CJ2952" s="37"/>
      <c r="CK2952" s="37"/>
      <c r="CL2952" s="37"/>
      <c r="CM2952" s="37"/>
      <c r="CN2952" s="37"/>
      <c r="CO2952" s="37"/>
      <c r="CP2952" s="37"/>
      <c r="CQ2952" s="37"/>
      <c r="CR2952" s="37"/>
      <c r="CS2952" s="37"/>
      <c r="CT2952" s="37"/>
      <c r="CU2952" s="37"/>
      <c r="CV2952" s="37"/>
      <c r="CW2952" s="37"/>
      <c r="CX2952" s="37"/>
      <c r="CY2952" s="37"/>
      <c r="CZ2952" s="37"/>
      <c r="DA2952" s="37"/>
      <c r="DB2952" s="37"/>
      <c r="DC2952" s="37"/>
      <c r="DD2952" s="37"/>
      <c r="DE2952" s="37"/>
      <c r="DF2952" s="37"/>
      <c r="DG2952" s="37"/>
      <c r="DH2952" s="37"/>
      <c r="DI2952" s="37"/>
      <c r="DJ2952" s="37"/>
      <c r="DK2952" s="37"/>
      <c r="DL2952" s="37"/>
      <c r="DM2952" s="37"/>
      <c r="DN2952" s="37"/>
      <c r="DO2952" s="37"/>
      <c r="DP2952" s="37"/>
      <c r="DQ2952" s="37"/>
      <c r="DR2952" s="37"/>
      <c r="DS2952" s="37"/>
      <c r="DT2952" s="37"/>
      <c r="DU2952" s="37"/>
      <c r="DV2952" s="37"/>
      <c r="DW2952" s="37"/>
      <c r="DX2952" s="37"/>
      <c r="DY2952" s="37"/>
      <c r="DZ2952" s="37"/>
      <c r="EA2952" s="37"/>
      <c r="EB2952" s="37"/>
      <c r="EC2952" s="37"/>
      <c r="ED2952" s="37"/>
      <c r="EE2952" s="37"/>
      <c r="EF2952" s="37"/>
      <c r="EG2952" s="37"/>
      <c r="EH2952" s="37"/>
      <c r="EI2952" s="37"/>
      <c r="EJ2952" s="37"/>
      <c r="EK2952" s="37"/>
      <c r="EL2952" s="37"/>
      <c r="EM2952" s="37"/>
      <c r="EN2952" s="37"/>
      <c r="EO2952" s="37"/>
      <c r="EP2952" s="37"/>
      <c r="EQ2952" s="37"/>
      <c r="ER2952" s="37"/>
      <c r="ES2952" s="37"/>
      <c r="ET2952" s="37"/>
      <c r="EU2952" s="37"/>
      <c r="EV2952" s="37"/>
      <c r="EW2952" s="37"/>
      <c r="EX2952" s="37"/>
      <c r="EY2952" s="37"/>
      <c r="EZ2952" s="37"/>
      <c r="FA2952" s="37"/>
      <c r="FB2952" s="37"/>
      <c r="FC2952" s="37"/>
      <c r="FD2952" s="37"/>
      <c r="FE2952" s="37"/>
      <c r="FF2952" s="37"/>
      <c r="FG2952" s="37"/>
      <c r="FH2952" s="37"/>
      <c r="FI2952" s="37"/>
      <c r="FJ2952" s="37"/>
      <c r="FK2952" s="37"/>
      <c r="FL2952" s="37"/>
      <c r="FM2952" s="37"/>
      <c r="FN2952" s="37"/>
      <c r="FO2952" s="37"/>
      <c r="FP2952" s="37"/>
      <c r="FQ2952" s="37"/>
      <c r="FR2952" s="37"/>
      <c r="FS2952" s="37"/>
      <c r="FT2952" s="37"/>
      <c r="FU2952" s="37"/>
      <c r="FV2952" s="37"/>
      <c r="FW2952" s="37"/>
      <c r="FX2952" s="37"/>
      <c r="FY2952" s="37"/>
      <c r="FZ2952" s="37"/>
      <c r="GA2952" s="37"/>
      <c r="GB2952" s="37"/>
      <c r="GC2952" s="37"/>
      <c r="GD2952" s="37"/>
      <c r="GE2952" s="37"/>
      <c r="GF2952" s="37"/>
      <c r="GG2952" s="37"/>
      <c r="GH2952" s="37"/>
      <c r="GI2952" s="37"/>
      <c r="GJ2952" s="37"/>
      <c r="GK2952" s="37"/>
      <c r="GL2952" s="37"/>
      <c r="GM2952" s="37"/>
      <c r="GN2952" s="37"/>
      <c r="GO2952" s="37"/>
      <c r="GP2952" s="37"/>
      <c r="GQ2952" s="37"/>
      <c r="GR2952" s="37"/>
      <c r="GS2952" s="37"/>
      <c r="GT2952" s="37"/>
      <c r="GU2952" s="37"/>
      <c r="GV2952" s="37"/>
      <c r="GW2952" s="37"/>
      <c r="GX2952" s="37"/>
      <c r="GY2952" s="37"/>
      <c r="GZ2952" s="37"/>
      <c r="HA2952" s="37"/>
      <c r="HB2952" s="37"/>
      <c r="HC2952" s="37"/>
      <c r="HD2952" s="37"/>
      <c r="HE2952" s="37"/>
      <c r="HF2952" s="37"/>
      <c r="HG2952" s="37"/>
      <c r="HH2952" s="37"/>
      <c r="HI2952" s="37"/>
      <c r="HJ2952" s="37"/>
      <c r="HK2952" s="37"/>
      <c r="HL2952" s="37"/>
      <c r="HM2952" s="37"/>
      <c r="HN2952" s="37"/>
      <c r="HO2952" s="37"/>
      <c r="HP2952" s="37"/>
      <c r="HQ2952" s="37"/>
      <c r="HR2952" s="37"/>
      <c r="HS2952" s="37"/>
      <c r="HT2952" s="37"/>
      <c r="HU2952" s="37"/>
      <c r="HV2952" s="37"/>
      <c r="HW2952" s="37"/>
      <c r="HX2952" s="37"/>
      <c r="HY2952" s="37"/>
      <c r="HZ2952" s="37"/>
      <c r="IA2952" s="37"/>
      <c r="IB2952" s="37"/>
      <c r="IC2952" s="37"/>
      <c r="ID2952" s="37"/>
      <c r="IE2952" s="37"/>
      <c r="IF2952" s="37"/>
      <c r="IG2952" s="37"/>
      <c r="IH2952" s="37"/>
      <c r="II2952" s="37"/>
      <c r="IJ2952" s="37"/>
      <c r="IK2952" s="37"/>
      <c r="IL2952" s="37"/>
      <c r="IM2952" s="37"/>
      <c r="IN2952" s="37"/>
      <c r="IO2952" s="37"/>
      <c r="IP2952" s="37"/>
      <c r="IQ2952" s="37"/>
      <c r="IR2952" s="37"/>
      <c r="IS2952" s="37"/>
      <c r="IT2952" s="37"/>
      <c r="IU2952" s="37"/>
      <c r="IV2952" s="37"/>
      <c r="IW2952" s="37"/>
      <c r="IX2952" s="37"/>
      <c r="IY2952" s="37"/>
      <c r="IZ2952" s="37"/>
      <c r="JA2952" s="37"/>
      <c r="JB2952" s="37"/>
      <c r="JC2952" s="37"/>
      <c r="JD2952" s="37"/>
      <c r="JE2952" s="37"/>
      <c r="JF2952" s="37"/>
      <c r="JG2952" s="37"/>
      <c r="JH2952" s="37"/>
      <c r="JI2952" s="37"/>
      <c r="JJ2952" s="37"/>
      <c r="JK2952" s="37"/>
      <c r="JL2952" s="37"/>
      <c r="JM2952" s="37"/>
      <c r="JN2952" s="37"/>
      <c r="JO2952" s="37"/>
      <c r="JP2952" s="37"/>
      <c r="JQ2952" s="37"/>
      <c r="JR2952" s="37"/>
      <c r="JS2952" s="37"/>
      <c r="JT2952" s="37"/>
      <c r="JU2952" s="37"/>
      <c r="JV2952" s="37"/>
      <c r="JW2952" s="37"/>
      <c r="JX2952" s="37"/>
      <c r="JY2952" s="37"/>
      <c r="JZ2952" s="37"/>
      <c r="KA2952" s="37"/>
      <c r="KB2952" s="37"/>
      <c r="KC2952" s="37"/>
      <c r="KD2952" s="37"/>
      <c r="KE2952" s="37"/>
      <c r="KF2952" s="37"/>
      <c r="KG2952" s="37"/>
      <c r="KH2952" s="37"/>
      <c r="KI2952" s="37"/>
      <c r="KJ2952" s="37"/>
      <c r="KK2952" s="37"/>
      <c r="KL2952" s="37"/>
      <c r="KM2952" s="37"/>
      <c r="KN2952" s="37"/>
      <c r="KO2952" s="37"/>
      <c r="KP2952" s="37"/>
      <c r="KQ2952" s="37"/>
      <c r="KR2952" s="37"/>
      <c r="KS2952" s="37"/>
      <c r="KT2952" s="37"/>
      <c r="KU2952" s="37"/>
      <c r="KV2952" s="37"/>
      <c r="KW2952" s="37"/>
      <c r="KX2952" s="37"/>
      <c r="KY2952" s="37"/>
      <c r="KZ2952" s="37"/>
      <c r="LA2952" s="37"/>
      <c r="LB2952" s="37"/>
      <c r="LC2952" s="37"/>
      <c r="LD2952" s="37"/>
      <c r="LE2952" s="37"/>
      <c r="LF2952" s="37"/>
      <c r="LG2952" s="37"/>
      <c r="LH2952" s="37"/>
      <c r="LI2952" s="37"/>
      <c r="LJ2952" s="37"/>
      <c r="LK2952" s="37"/>
      <c r="LL2952" s="37"/>
      <c r="LM2952" s="37"/>
      <c r="LN2952" s="37"/>
      <c r="LO2952" s="37"/>
      <c r="LP2952" s="37"/>
      <c r="LQ2952" s="37"/>
      <c r="LR2952" s="37"/>
      <c r="LS2952" s="37"/>
      <c r="LT2952" s="37"/>
      <c r="LU2952" s="37"/>
      <c r="LV2952" s="37"/>
      <c r="LW2952" s="37"/>
      <c r="LX2952" s="37"/>
      <c r="LY2952" s="37"/>
      <c r="LZ2952" s="37"/>
      <c r="MA2952" s="37"/>
      <c r="MB2952" s="37"/>
      <c r="MC2952" s="37"/>
      <c r="MD2952" s="37"/>
      <c r="ME2952" s="37"/>
      <c r="MF2952" s="37"/>
      <c r="MG2952" s="37"/>
      <c r="MH2952" s="37"/>
      <c r="MI2952" s="37"/>
      <c r="MJ2952" s="37"/>
      <c r="MK2952" s="37"/>
      <c r="ML2952" s="37"/>
      <c r="MM2952" s="37"/>
      <c r="MN2952" s="37"/>
      <c r="MO2952" s="37"/>
      <c r="MP2952" s="37"/>
      <c r="MQ2952" s="37"/>
      <c r="MR2952" s="37"/>
      <c r="MS2952" s="37"/>
      <c r="MT2952" s="37"/>
      <c r="MU2952" s="37"/>
      <c r="MV2952" s="37"/>
      <c r="MW2952" s="37"/>
      <c r="MX2952" s="37"/>
      <c r="MY2952" s="37"/>
      <c r="MZ2952" s="37"/>
      <c r="NA2952" s="37"/>
      <c r="NB2952" s="37"/>
      <c r="NC2952" s="37"/>
      <c r="ND2952" s="37"/>
      <c r="NE2952" s="37"/>
      <c r="NF2952" s="37"/>
      <c r="NG2952" s="37"/>
      <c r="NH2952" s="37"/>
      <c r="NI2952" s="37"/>
      <c r="NJ2952" s="37"/>
      <c r="NK2952" s="37"/>
      <c r="NL2952" s="37"/>
      <c r="NM2952" s="37"/>
      <c r="NN2952" s="37"/>
      <c r="NO2952" s="37"/>
      <c r="NP2952" s="37"/>
      <c r="NQ2952" s="37"/>
      <c r="NR2952" s="37"/>
      <c r="NS2952" s="37"/>
      <c r="NT2952" s="37"/>
      <c r="NU2952" s="37"/>
      <c r="NV2952" s="37"/>
      <c r="NW2952" s="37"/>
      <c r="NX2952" s="37"/>
      <c r="NY2952" s="37"/>
      <c r="NZ2952" s="37"/>
      <c r="OA2952" s="37"/>
      <c r="OB2952" s="37"/>
      <c r="OC2952" s="37"/>
      <c r="OD2952" s="37"/>
      <c r="OE2952" s="37"/>
      <c r="OF2952" s="37"/>
      <c r="OG2952" s="37"/>
      <c r="OH2952" s="37"/>
      <c r="OI2952" s="37"/>
      <c r="OJ2952" s="37"/>
      <c r="OK2952" s="37"/>
      <c r="OL2952" s="37"/>
      <c r="OM2952" s="37"/>
      <c r="ON2952" s="37"/>
      <c r="OO2952" s="37"/>
      <c r="OP2952" s="37"/>
      <c r="OQ2952" s="37"/>
      <c r="OR2952" s="37"/>
      <c r="OS2952" s="37"/>
      <c r="OT2952" s="37"/>
      <c r="OU2952" s="37"/>
      <c r="OV2952" s="37"/>
      <c r="OW2952" s="37"/>
      <c r="OX2952" s="37"/>
      <c r="OY2952" s="37"/>
      <c r="OZ2952" s="37"/>
      <c r="PA2952" s="37"/>
      <c r="PB2952" s="37"/>
      <c r="PC2952" s="37"/>
      <c r="PD2952" s="37"/>
      <c r="PE2952" s="37"/>
      <c r="PF2952" s="37"/>
      <c r="PG2952" s="37"/>
      <c r="PH2952" s="37"/>
      <c r="PI2952" s="37"/>
      <c r="PJ2952" s="37"/>
      <c r="PK2952" s="37"/>
      <c r="PL2952" s="37"/>
      <c r="PM2952" s="37"/>
      <c r="PN2952" s="37"/>
      <c r="PO2952" s="37"/>
      <c r="PP2952" s="37"/>
      <c r="PQ2952" s="37"/>
      <c r="PR2952" s="37"/>
      <c r="PS2952" s="37"/>
      <c r="PT2952" s="37"/>
      <c r="PU2952" s="37"/>
      <c r="PV2952" s="37"/>
      <c r="PW2952" s="37"/>
      <c r="PX2952" s="37"/>
      <c r="PY2952" s="37"/>
      <c r="PZ2952" s="37"/>
      <c r="QA2952" s="37"/>
      <c r="QB2952" s="37"/>
      <c r="QC2952" s="37"/>
      <c r="QD2952" s="37"/>
      <c r="QE2952" s="37"/>
      <c r="QF2952" s="37"/>
      <c r="QG2952" s="37"/>
      <c r="QH2952" s="37"/>
      <c r="QI2952" s="37"/>
      <c r="QJ2952" s="37"/>
      <c r="QK2952" s="37"/>
      <c r="QL2952" s="37"/>
      <c r="QM2952" s="37"/>
      <c r="QN2952" s="37"/>
      <c r="QO2952" s="37"/>
      <c r="QP2952" s="37"/>
      <c r="QQ2952" s="37"/>
      <c r="QR2952" s="37"/>
      <c r="QS2952" s="37"/>
      <c r="QT2952" s="37"/>
      <c r="QU2952" s="37"/>
      <c r="QV2952" s="37"/>
      <c r="QW2952" s="37"/>
      <c r="QX2952" s="37"/>
      <c r="QY2952" s="37"/>
      <c r="QZ2952" s="37"/>
      <c r="RA2952" s="37"/>
      <c r="RB2952" s="37"/>
      <c r="RC2952" s="37"/>
      <c r="RD2952" s="37"/>
      <c r="RE2952" s="37"/>
      <c r="RF2952" s="37"/>
      <c r="RG2952" s="37"/>
      <c r="RH2952" s="37"/>
      <c r="RI2952" s="37"/>
      <c r="RJ2952" s="37"/>
      <c r="RK2952" s="37"/>
      <c r="RL2952" s="37"/>
      <c r="RM2952" s="37"/>
      <c r="RN2952" s="37"/>
      <c r="RO2952" s="37"/>
      <c r="RP2952" s="37"/>
      <c r="RQ2952" s="37"/>
      <c r="RR2952" s="37"/>
      <c r="RS2952" s="37"/>
      <c r="RT2952" s="37"/>
      <c r="RU2952" s="37"/>
      <c r="RV2952" s="37"/>
      <c r="RW2952" s="37"/>
      <c r="RX2952" s="37"/>
      <c r="RY2952" s="37"/>
      <c r="RZ2952" s="37"/>
      <c r="SA2952" s="37"/>
      <c r="SB2952" s="37"/>
      <c r="SC2952" s="37"/>
      <c r="SD2952" s="37"/>
      <c r="SE2952" s="37"/>
      <c r="SF2952" s="37"/>
    </row>
    <row r="2953" spans="1:500">
      <c r="A2953" s="37"/>
      <c r="B2953" s="37"/>
      <c r="C2953" s="37"/>
      <c r="D2953" s="37"/>
      <c r="E2953" s="37"/>
      <c r="F2953" s="37"/>
      <c r="G2953" s="37"/>
      <c r="H2953" s="37"/>
      <c r="I2953" s="37"/>
      <c r="J2953" s="37"/>
      <c r="K2953" s="37"/>
      <c r="L2953" s="37"/>
      <c r="M2953" s="37"/>
      <c r="N2953" s="37"/>
      <c r="O2953" s="37"/>
      <c r="P2953" s="37"/>
      <c r="Q2953" s="37"/>
      <c r="R2953" s="37"/>
      <c r="S2953" s="37"/>
      <c r="T2953" s="37"/>
      <c r="U2953" s="37"/>
      <c r="V2953" s="37"/>
      <c r="W2953" s="37"/>
      <c r="X2953" s="37"/>
      <c r="Y2953" s="37"/>
      <c r="Z2953" s="37"/>
      <c r="AA2953" s="37"/>
      <c r="AB2953" s="37"/>
      <c r="AC2953" s="37"/>
      <c r="AD2953" s="37"/>
      <c r="AE2953" s="37"/>
      <c r="AF2953" s="37"/>
      <c r="AG2953" s="37"/>
      <c r="AH2953" s="37"/>
      <c r="AI2953" s="37"/>
      <c r="AJ2953" s="37"/>
      <c r="AK2953" s="37"/>
      <c r="AL2953" s="37"/>
      <c r="AM2953" s="37"/>
      <c r="AN2953" s="37"/>
      <c r="AO2953" s="37"/>
      <c r="AP2953" s="37"/>
      <c r="AQ2953" s="37"/>
      <c r="AR2953" s="37"/>
      <c r="AS2953" s="37"/>
      <c r="AT2953" s="37"/>
      <c r="AU2953" s="37"/>
      <c r="AV2953" s="37"/>
      <c r="AW2953" s="37"/>
      <c r="AX2953" s="37"/>
      <c r="AY2953" s="37"/>
      <c r="AZ2953" s="37"/>
      <c r="BA2953" s="37"/>
      <c r="BB2953" s="37"/>
      <c r="BC2953" s="37"/>
      <c r="BD2953" s="37"/>
      <c r="BE2953" s="37"/>
      <c r="BF2953" s="37"/>
      <c r="BG2953" s="37"/>
      <c r="BH2953" s="37"/>
      <c r="BI2953" s="37"/>
      <c r="BJ2953" s="37"/>
      <c r="BK2953" s="37"/>
      <c r="BL2953" s="37"/>
      <c r="BM2953" s="37"/>
      <c r="BN2953" s="37"/>
      <c r="BO2953" s="37"/>
      <c r="BP2953" s="37"/>
      <c r="BQ2953" s="37"/>
      <c r="BR2953" s="37"/>
      <c r="BS2953" s="37"/>
      <c r="BT2953" s="37"/>
      <c r="BU2953" s="37"/>
      <c r="BV2953" s="37"/>
      <c r="BW2953" s="37"/>
      <c r="BX2953" s="37"/>
      <c r="BY2953" s="37"/>
      <c r="BZ2953" s="37"/>
      <c r="CA2953" s="37"/>
      <c r="CB2953" s="37"/>
      <c r="CC2953" s="37"/>
      <c r="CD2953" s="37"/>
      <c r="CE2953" s="37"/>
      <c r="CF2953" s="37"/>
      <c r="CG2953" s="37"/>
      <c r="CH2953" s="37"/>
      <c r="CI2953" s="37"/>
      <c r="CJ2953" s="37"/>
      <c r="CK2953" s="37"/>
      <c r="CL2953" s="37"/>
      <c r="CM2953" s="37"/>
      <c r="CN2953" s="37"/>
      <c r="CO2953" s="37"/>
      <c r="CP2953" s="37"/>
      <c r="CQ2953" s="37"/>
      <c r="CR2953" s="37"/>
      <c r="CS2953" s="37"/>
      <c r="CT2953" s="37"/>
      <c r="CU2953" s="37"/>
      <c r="CV2953" s="37"/>
      <c r="CW2953" s="37"/>
      <c r="CX2953" s="37"/>
      <c r="CY2953" s="37"/>
      <c r="CZ2953" s="37"/>
      <c r="DA2953" s="37"/>
      <c r="DB2953" s="37"/>
      <c r="DC2953" s="37"/>
      <c r="DD2953" s="37"/>
      <c r="DE2953" s="37"/>
      <c r="DF2953" s="37"/>
      <c r="DG2953" s="37"/>
      <c r="DH2953" s="37"/>
      <c r="DI2953" s="37"/>
      <c r="DJ2953" s="37"/>
      <c r="DK2953" s="37"/>
      <c r="DL2953" s="37"/>
      <c r="DM2953" s="37"/>
      <c r="DN2953" s="37"/>
      <c r="DO2953" s="37"/>
      <c r="DP2953" s="37"/>
      <c r="DQ2953" s="37"/>
      <c r="DR2953" s="37"/>
      <c r="DS2953" s="37"/>
      <c r="DT2953" s="37"/>
      <c r="DU2953" s="37"/>
      <c r="DV2953" s="37"/>
      <c r="DW2953" s="37"/>
      <c r="DX2953" s="37"/>
      <c r="DY2953" s="37"/>
      <c r="DZ2953" s="37"/>
      <c r="EA2953" s="37"/>
      <c r="EB2953" s="37"/>
      <c r="EC2953" s="37"/>
      <c r="ED2953" s="37"/>
      <c r="EE2953" s="37"/>
      <c r="EF2953" s="37"/>
      <c r="EG2953" s="37"/>
      <c r="EH2953" s="37"/>
      <c r="EI2953" s="37"/>
      <c r="EJ2953" s="37"/>
      <c r="EK2953" s="37"/>
      <c r="EL2953" s="37"/>
      <c r="EM2953" s="37"/>
      <c r="EN2953" s="37"/>
      <c r="EO2953" s="37"/>
      <c r="EP2953" s="37"/>
      <c r="EQ2953" s="37"/>
      <c r="ER2953" s="37"/>
      <c r="ES2953" s="37"/>
      <c r="ET2953" s="37"/>
      <c r="EU2953" s="37"/>
      <c r="EV2953" s="37"/>
      <c r="EW2953" s="37"/>
      <c r="EX2953" s="37"/>
      <c r="EY2953" s="37"/>
      <c r="EZ2953" s="37"/>
      <c r="FA2953" s="37"/>
      <c r="FB2953" s="37"/>
      <c r="FC2953" s="37"/>
      <c r="FD2953" s="37"/>
      <c r="FE2953" s="37"/>
      <c r="FF2953" s="37"/>
      <c r="FG2953" s="37"/>
      <c r="FH2953" s="37"/>
      <c r="FI2953" s="37"/>
      <c r="FJ2953" s="37"/>
      <c r="FK2953" s="37"/>
      <c r="FL2953" s="37"/>
      <c r="FM2953" s="37"/>
      <c r="FN2953" s="37"/>
      <c r="FO2953" s="37"/>
      <c r="FP2953" s="37"/>
      <c r="FQ2953" s="37"/>
      <c r="FR2953" s="37"/>
      <c r="FS2953" s="37"/>
      <c r="FT2953" s="37"/>
      <c r="FU2953" s="37"/>
      <c r="FV2953" s="37"/>
      <c r="FW2953" s="37"/>
      <c r="FX2953" s="37"/>
      <c r="FY2953" s="37"/>
      <c r="FZ2953" s="37"/>
      <c r="GA2953" s="37"/>
      <c r="GB2953" s="37"/>
      <c r="GC2953" s="37"/>
      <c r="GD2953" s="37"/>
      <c r="GE2953" s="37"/>
      <c r="GF2953" s="37"/>
      <c r="GG2953" s="37"/>
      <c r="GH2953" s="37"/>
      <c r="GI2953" s="37"/>
      <c r="GJ2953" s="37"/>
      <c r="GK2953" s="37"/>
      <c r="GL2953" s="37"/>
      <c r="GM2953" s="37"/>
      <c r="GN2953" s="37"/>
      <c r="GO2953" s="37"/>
      <c r="GP2953" s="37"/>
      <c r="GQ2953" s="37"/>
      <c r="GR2953" s="37"/>
      <c r="GS2953" s="37"/>
      <c r="GT2953" s="37"/>
      <c r="GU2953" s="37"/>
      <c r="GV2953" s="37"/>
      <c r="GW2953" s="37"/>
      <c r="GX2953" s="37"/>
      <c r="GY2953" s="37"/>
      <c r="GZ2953" s="37"/>
      <c r="HA2953" s="37"/>
      <c r="HB2953" s="37"/>
      <c r="HC2953" s="37"/>
      <c r="HD2953" s="37"/>
      <c r="HE2953" s="37"/>
      <c r="HF2953" s="37"/>
      <c r="HG2953" s="37"/>
      <c r="HH2953" s="37"/>
      <c r="HI2953" s="37"/>
      <c r="HJ2953" s="37"/>
      <c r="HK2953" s="37"/>
      <c r="HL2953" s="37"/>
      <c r="HM2953" s="37"/>
      <c r="HN2953" s="37"/>
      <c r="HO2953" s="37"/>
      <c r="HP2953" s="37"/>
      <c r="HQ2953" s="37"/>
      <c r="HR2953" s="37"/>
      <c r="HS2953" s="37"/>
      <c r="HT2953" s="37"/>
      <c r="HU2953" s="37"/>
      <c r="HV2953" s="37"/>
      <c r="HW2953" s="37"/>
      <c r="HX2953" s="37"/>
      <c r="HY2953" s="37"/>
      <c r="HZ2953" s="37"/>
      <c r="IA2953" s="37"/>
      <c r="IB2953" s="37"/>
      <c r="IC2953" s="37"/>
      <c r="ID2953" s="37"/>
      <c r="IE2953" s="37"/>
      <c r="IF2953" s="37"/>
      <c r="IG2953" s="37"/>
      <c r="IH2953" s="37"/>
      <c r="II2953" s="37"/>
      <c r="IJ2953" s="37"/>
      <c r="IK2953" s="37"/>
      <c r="IL2953" s="37"/>
      <c r="IM2953" s="37"/>
      <c r="IN2953" s="37"/>
      <c r="IO2953" s="37"/>
      <c r="IP2953" s="37"/>
      <c r="IQ2953" s="37"/>
      <c r="IR2953" s="37"/>
      <c r="IS2953" s="37"/>
      <c r="IT2953" s="37"/>
      <c r="IU2953" s="37"/>
      <c r="IV2953" s="37"/>
      <c r="IW2953" s="37"/>
      <c r="IX2953" s="37"/>
      <c r="IY2953" s="37"/>
      <c r="IZ2953" s="37"/>
      <c r="JA2953" s="37"/>
      <c r="JB2953" s="37"/>
      <c r="JC2953" s="37"/>
      <c r="JD2953" s="37"/>
      <c r="JE2953" s="37"/>
      <c r="JF2953" s="37"/>
      <c r="JG2953" s="37"/>
      <c r="JH2953" s="37"/>
      <c r="JI2953" s="37"/>
      <c r="JJ2953" s="37"/>
      <c r="JK2953" s="37"/>
      <c r="JL2953" s="37"/>
      <c r="JM2953" s="37"/>
      <c r="JN2953" s="37"/>
      <c r="JO2953" s="37"/>
      <c r="JP2953" s="37"/>
      <c r="JQ2953" s="37"/>
      <c r="JR2953" s="37"/>
      <c r="JS2953" s="37"/>
      <c r="JT2953" s="37"/>
      <c r="JU2953" s="37"/>
      <c r="JV2953" s="37"/>
      <c r="JW2953" s="37"/>
      <c r="JX2953" s="37"/>
      <c r="JY2953" s="37"/>
      <c r="JZ2953" s="37"/>
      <c r="KA2953" s="37"/>
      <c r="KB2953" s="37"/>
      <c r="KC2953" s="37"/>
      <c r="KD2953" s="37"/>
      <c r="KE2953" s="37"/>
      <c r="KF2953" s="37"/>
      <c r="KG2953" s="37"/>
      <c r="KH2953" s="37"/>
      <c r="KI2953" s="37"/>
      <c r="KJ2953" s="37"/>
      <c r="KK2953" s="37"/>
      <c r="KL2953" s="37"/>
      <c r="KM2953" s="37"/>
      <c r="KN2953" s="37"/>
      <c r="KO2953" s="37"/>
      <c r="KP2953" s="37"/>
      <c r="KQ2953" s="37"/>
      <c r="KR2953" s="37"/>
      <c r="KS2953" s="37"/>
      <c r="KT2953" s="37"/>
      <c r="KU2953" s="37"/>
      <c r="KV2953" s="37"/>
      <c r="KW2953" s="37"/>
      <c r="KX2953" s="37"/>
      <c r="KY2953" s="37"/>
      <c r="KZ2953" s="37"/>
      <c r="LA2953" s="37"/>
      <c r="LB2953" s="37"/>
      <c r="LC2953" s="37"/>
      <c r="LD2953" s="37"/>
      <c r="LE2953" s="37"/>
      <c r="LF2953" s="37"/>
      <c r="LG2953" s="37"/>
      <c r="LH2953" s="37"/>
      <c r="LI2953" s="37"/>
      <c r="LJ2953" s="37"/>
      <c r="LK2953" s="37"/>
      <c r="LL2953" s="37"/>
      <c r="LM2953" s="37"/>
      <c r="LN2953" s="37"/>
      <c r="LO2953" s="37"/>
      <c r="LP2953" s="37"/>
      <c r="LQ2953" s="37"/>
      <c r="LR2953" s="37"/>
      <c r="LS2953" s="37"/>
      <c r="LT2953" s="37"/>
      <c r="LU2953" s="37"/>
      <c r="LV2953" s="37"/>
      <c r="LW2953" s="37"/>
      <c r="LX2953" s="37"/>
      <c r="LY2953" s="37"/>
      <c r="LZ2953" s="37"/>
      <c r="MA2953" s="37"/>
      <c r="MB2953" s="37"/>
      <c r="MC2953" s="37"/>
      <c r="MD2953" s="37"/>
      <c r="ME2953" s="37"/>
      <c r="MF2953" s="37"/>
      <c r="MG2953" s="37"/>
      <c r="MH2953" s="37"/>
      <c r="MI2953" s="37"/>
      <c r="MJ2953" s="37"/>
      <c r="MK2953" s="37"/>
      <c r="ML2953" s="37"/>
      <c r="MM2953" s="37"/>
      <c r="MN2953" s="37"/>
      <c r="MO2953" s="37"/>
      <c r="MP2953" s="37"/>
      <c r="MQ2953" s="37"/>
      <c r="MR2953" s="37"/>
      <c r="MS2953" s="37"/>
      <c r="MT2953" s="37"/>
      <c r="MU2953" s="37"/>
      <c r="MV2953" s="37"/>
      <c r="MW2953" s="37"/>
      <c r="MX2953" s="37"/>
      <c r="MY2953" s="37"/>
      <c r="MZ2953" s="37"/>
      <c r="NA2953" s="37"/>
      <c r="NB2953" s="37"/>
      <c r="NC2953" s="37"/>
      <c r="ND2953" s="37"/>
      <c r="NE2953" s="37"/>
      <c r="NF2953" s="37"/>
      <c r="NG2953" s="37"/>
      <c r="NH2953" s="37"/>
      <c r="NI2953" s="37"/>
      <c r="NJ2953" s="37"/>
      <c r="NK2953" s="37"/>
      <c r="NL2953" s="37"/>
      <c r="NM2953" s="37"/>
      <c r="NN2953" s="37"/>
      <c r="NO2953" s="37"/>
      <c r="NP2953" s="37"/>
      <c r="NQ2953" s="37"/>
      <c r="NR2953" s="37"/>
      <c r="NS2953" s="37"/>
      <c r="NT2953" s="37"/>
      <c r="NU2953" s="37"/>
      <c r="NV2953" s="37"/>
      <c r="NW2953" s="37"/>
      <c r="NX2953" s="37"/>
      <c r="NY2953" s="37"/>
      <c r="NZ2953" s="37"/>
      <c r="OA2953" s="37"/>
      <c r="OB2953" s="37"/>
      <c r="OC2953" s="37"/>
      <c r="OD2953" s="37"/>
      <c r="OE2953" s="37"/>
      <c r="OF2953" s="37"/>
      <c r="OG2953" s="37"/>
      <c r="OH2953" s="37"/>
      <c r="OI2953" s="37"/>
      <c r="OJ2953" s="37"/>
      <c r="OK2953" s="37"/>
      <c r="OL2953" s="37"/>
      <c r="OM2953" s="37"/>
      <c r="ON2953" s="37"/>
      <c r="OO2953" s="37"/>
      <c r="OP2953" s="37"/>
      <c r="OQ2953" s="37"/>
      <c r="OR2953" s="37"/>
      <c r="OS2953" s="37"/>
      <c r="OT2953" s="37"/>
      <c r="OU2953" s="37"/>
      <c r="OV2953" s="37"/>
      <c r="OW2953" s="37"/>
      <c r="OX2953" s="37"/>
      <c r="OY2953" s="37"/>
      <c r="OZ2953" s="37"/>
      <c r="PA2953" s="37"/>
      <c r="PB2953" s="37"/>
      <c r="PC2953" s="37"/>
      <c r="PD2953" s="37"/>
      <c r="PE2953" s="37"/>
      <c r="PF2953" s="37"/>
      <c r="PG2953" s="37"/>
      <c r="PH2953" s="37"/>
      <c r="PI2953" s="37"/>
      <c r="PJ2953" s="37"/>
      <c r="PK2953" s="37"/>
      <c r="PL2953" s="37"/>
      <c r="PM2953" s="37"/>
      <c r="PN2953" s="37"/>
      <c r="PO2953" s="37"/>
      <c r="PP2953" s="37"/>
      <c r="PQ2953" s="37"/>
      <c r="PR2953" s="37"/>
      <c r="PS2953" s="37"/>
      <c r="PT2953" s="37"/>
      <c r="PU2953" s="37"/>
      <c r="PV2953" s="37"/>
      <c r="PW2953" s="37"/>
      <c r="PX2953" s="37"/>
      <c r="PY2953" s="37"/>
      <c r="PZ2953" s="37"/>
      <c r="QA2953" s="37"/>
      <c r="QB2953" s="37"/>
      <c r="QC2953" s="37"/>
      <c r="QD2953" s="37"/>
      <c r="QE2953" s="37"/>
      <c r="QF2953" s="37"/>
      <c r="QG2953" s="37"/>
      <c r="QH2953" s="37"/>
      <c r="QI2953" s="37"/>
      <c r="QJ2953" s="37"/>
      <c r="QK2953" s="37"/>
      <c r="QL2953" s="37"/>
      <c r="QM2953" s="37"/>
      <c r="QN2953" s="37"/>
      <c r="QO2953" s="37"/>
      <c r="QP2953" s="37"/>
      <c r="QQ2953" s="37"/>
      <c r="QR2953" s="37"/>
      <c r="QS2953" s="37"/>
      <c r="QT2953" s="37"/>
      <c r="QU2953" s="37"/>
      <c r="QV2953" s="37"/>
      <c r="QW2953" s="37"/>
      <c r="QX2953" s="37"/>
      <c r="QY2953" s="37"/>
      <c r="QZ2953" s="37"/>
      <c r="RA2953" s="37"/>
      <c r="RB2953" s="37"/>
      <c r="RC2953" s="37"/>
      <c r="RD2953" s="37"/>
      <c r="RE2953" s="37"/>
      <c r="RF2953" s="37"/>
      <c r="RG2953" s="37"/>
      <c r="RH2953" s="37"/>
      <c r="RI2953" s="37"/>
      <c r="RJ2953" s="37"/>
      <c r="RK2953" s="37"/>
      <c r="RL2953" s="37"/>
      <c r="RM2953" s="37"/>
      <c r="RN2953" s="37"/>
      <c r="RO2953" s="37"/>
      <c r="RP2953" s="37"/>
      <c r="RQ2953" s="37"/>
      <c r="RR2953" s="37"/>
      <c r="RS2953" s="37"/>
      <c r="RT2953" s="37"/>
      <c r="RU2953" s="37"/>
      <c r="RV2953" s="37"/>
      <c r="RW2953" s="37"/>
      <c r="RX2953" s="37"/>
      <c r="RY2953" s="37"/>
      <c r="RZ2953" s="37"/>
      <c r="SA2953" s="37"/>
      <c r="SB2953" s="37"/>
      <c r="SC2953" s="37"/>
      <c r="SD2953" s="37"/>
      <c r="SE2953" s="37"/>
      <c r="SF2953" s="37"/>
    </row>
    <row r="2954" spans="1:500">
      <c r="A2954" s="37"/>
      <c r="B2954" s="37"/>
      <c r="C2954" s="37"/>
      <c r="D2954" s="37"/>
      <c r="E2954" s="37"/>
      <c r="F2954" s="37"/>
      <c r="G2954" s="37"/>
      <c r="H2954" s="37"/>
      <c r="I2954" s="37"/>
      <c r="J2954" s="37"/>
      <c r="K2954" s="37"/>
      <c r="L2954" s="37"/>
      <c r="M2954" s="37"/>
      <c r="N2954" s="37"/>
      <c r="O2954" s="37"/>
      <c r="P2954" s="37"/>
      <c r="Q2954" s="37"/>
      <c r="R2954" s="37"/>
      <c r="S2954" s="37"/>
      <c r="T2954" s="37"/>
      <c r="U2954" s="37"/>
      <c r="V2954" s="37"/>
      <c r="W2954" s="37"/>
      <c r="X2954" s="37"/>
      <c r="Y2954" s="37"/>
      <c r="Z2954" s="37"/>
      <c r="AA2954" s="37"/>
      <c r="AB2954" s="37"/>
      <c r="AC2954" s="37"/>
      <c r="AD2954" s="37"/>
      <c r="AE2954" s="37"/>
      <c r="AF2954" s="37"/>
      <c r="AG2954" s="37"/>
      <c r="AH2954" s="37"/>
      <c r="AI2954" s="37"/>
      <c r="AJ2954" s="37"/>
      <c r="AK2954" s="37"/>
      <c r="AL2954" s="37"/>
      <c r="AM2954" s="37"/>
      <c r="AN2954" s="37"/>
      <c r="AO2954" s="37"/>
      <c r="AP2954" s="37"/>
      <c r="AQ2954" s="37"/>
      <c r="AR2954" s="37"/>
      <c r="AS2954" s="37"/>
      <c r="AT2954" s="37"/>
      <c r="AU2954" s="37"/>
      <c r="AV2954" s="37"/>
      <c r="AW2954" s="37"/>
      <c r="AX2954" s="37"/>
      <c r="AY2954" s="37"/>
      <c r="AZ2954" s="37"/>
      <c r="BA2954" s="37"/>
      <c r="BB2954" s="37"/>
      <c r="BC2954" s="37"/>
      <c r="BD2954" s="37"/>
      <c r="BE2954" s="37"/>
      <c r="BF2954" s="37"/>
      <c r="BG2954" s="37"/>
      <c r="BH2954" s="37"/>
      <c r="BI2954" s="37"/>
      <c r="BJ2954" s="37"/>
      <c r="BK2954" s="37"/>
      <c r="BL2954" s="37"/>
      <c r="BM2954" s="37"/>
      <c r="BN2954" s="37"/>
      <c r="BO2954" s="37"/>
      <c r="BP2954" s="37"/>
      <c r="BQ2954" s="37"/>
      <c r="BR2954" s="37"/>
      <c r="BS2954" s="37"/>
      <c r="BT2954" s="37"/>
      <c r="BU2954" s="37"/>
      <c r="BV2954" s="37"/>
      <c r="BW2954" s="37"/>
      <c r="BX2954" s="37"/>
      <c r="BY2954" s="37"/>
      <c r="BZ2954" s="37"/>
      <c r="CA2954" s="37"/>
      <c r="CB2954" s="37"/>
      <c r="CC2954" s="37"/>
      <c r="CD2954" s="37"/>
      <c r="CE2954" s="37"/>
      <c r="CF2954" s="37"/>
      <c r="CG2954" s="37"/>
      <c r="CH2954" s="37"/>
      <c r="CI2954" s="37"/>
      <c r="CJ2954" s="37"/>
      <c r="CK2954" s="37"/>
      <c r="CL2954" s="37"/>
      <c r="CM2954" s="37"/>
      <c r="CN2954" s="37"/>
      <c r="CO2954" s="37"/>
      <c r="CP2954" s="37"/>
      <c r="CQ2954" s="37"/>
      <c r="CR2954" s="37"/>
      <c r="CS2954" s="37"/>
      <c r="CT2954" s="37"/>
      <c r="CU2954" s="37"/>
      <c r="CV2954" s="37"/>
      <c r="CW2954" s="37"/>
      <c r="CX2954" s="37"/>
      <c r="CY2954" s="37"/>
      <c r="CZ2954" s="37"/>
      <c r="DA2954" s="37"/>
      <c r="DB2954" s="37"/>
      <c r="DC2954" s="37"/>
      <c r="DD2954" s="37"/>
      <c r="DE2954" s="37"/>
      <c r="DF2954" s="37"/>
      <c r="DG2954" s="37"/>
      <c r="DH2954" s="37"/>
      <c r="DI2954" s="37"/>
      <c r="DJ2954" s="37"/>
      <c r="DK2954" s="37"/>
      <c r="DL2954" s="37"/>
      <c r="DM2954" s="37"/>
      <c r="DN2954" s="37"/>
      <c r="DO2954" s="37"/>
      <c r="DP2954" s="37"/>
      <c r="DQ2954" s="37"/>
      <c r="DR2954" s="37"/>
      <c r="DS2954" s="37"/>
      <c r="DT2954" s="37"/>
      <c r="DU2954" s="37"/>
      <c r="DV2954" s="37"/>
      <c r="DW2954" s="37"/>
      <c r="DX2954" s="37"/>
      <c r="DY2954" s="37"/>
      <c r="DZ2954" s="37"/>
      <c r="EA2954" s="37"/>
      <c r="EB2954" s="37"/>
      <c r="EC2954" s="37"/>
      <c r="ED2954" s="37"/>
      <c r="EE2954" s="37"/>
      <c r="EF2954" s="37"/>
      <c r="EG2954" s="37"/>
      <c r="EH2954" s="37"/>
      <c r="EI2954" s="37"/>
      <c r="EJ2954" s="37"/>
      <c r="EK2954" s="37"/>
      <c r="EL2954" s="37"/>
      <c r="EM2954" s="37"/>
      <c r="EN2954" s="37"/>
      <c r="EO2954" s="37"/>
      <c r="EP2954" s="37"/>
      <c r="EQ2954" s="37"/>
      <c r="ER2954" s="37"/>
      <c r="ES2954" s="37"/>
      <c r="ET2954" s="37"/>
      <c r="EU2954" s="37"/>
      <c r="EV2954" s="37"/>
      <c r="EW2954" s="37"/>
      <c r="EX2954" s="37"/>
      <c r="EY2954" s="37"/>
      <c r="EZ2954" s="37"/>
      <c r="FA2954" s="37"/>
      <c r="FB2954" s="37"/>
      <c r="FC2954" s="37"/>
      <c r="FD2954" s="37"/>
      <c r="FE2954" s="37"/>
      <c r="FF2954" s="37"/>
      <c r="FG2954" s="37"/>
      <c r="FH2954" s="37"/>
      <c r="FI2954" s="37"/>
      <c r="FJ2954" s="37"/>
      <c r="FK2954" s="37"/>
      <c r="FL2954" s="37"/>
      <c r="FM2954" s="37"/>
      <c r="FN2954" s="37"/>
      <c r="FO2954" s="37"/>
      <c r="FP2954" s="37"/>
      <c r="FQ2954" s="37"/>
      <c r="FR2954" s="37"/>
      <c r="FS2954" s="37"/>
      <c r="FT2954" s="37"/>
      <c r="FU2954" s="37"/>
      <c r="FV2954" s="37"/>
      <c r="FW2954" s="37"/>
      <c r="FX2954" s="37"/>
      <c r="FY2954" s="37"/>
      <c r="FZ2954" s="37"/>
      <c r="GA2954" s="37"/>
      <c r="GB2954" s="37"/>
      <c r="GC2954" s="37"/>
      <c r="GD2954" s="37"/>
      <c r="GE2954" s="37"/>
      <c r="GF2954" s="37"/>
      <c r="GG2954" s="37"/>
      <c r="GH2954" s="37"/>
      <c r="GI2954" s="37"/>
      <c r="GJ2954" s="37"/>
      <c r="GK2954" s="37"/>
      <c r="GL2954" s="37"/>
      <c r="GM2954" s="37"/>
      <c r="GN2954" s="37"/>
      <c r="GO2954" s="37"/>
      <c r="GP2954" s="37"/>
      <c r="GQ2954" s="37"/>
      <c r="GR2954" s="37"/>
      <c r="GS2954" s="37"/>
      <c r="GT2954" s="37"/>
      <c r="GU2954" s="37"/>
      <c r="GV2954" s="37"/>
      <c r="GW2954" s="37"/>
      <c r="GX2954" s="37"/>
      <c r="GY2954" s="37"/>
      <c r="GZ2954" s="37"/>
      <c r="HA2954" s="37"/>
      <c r="HB2954" s="37"/>
      <c r="HC2954" s="37"/>
      <c r="HD2954" s="37"/>
      <c r="HE2954" s="37"/>
      <c r="HF2954" s="37"/>
      <c r="HG2954" s="37"/>
      <c r="HH2954" s="37"/>
      <c r="HI2954" s="37"/>
      <c r="HJ2954" s="37"/>
      <c r="HK2954" s="37"/>
      <c r="HL2954" s="37"/>
      <c r="HM2954" s="37"/>
      <c r="HN2954" s="37"/>
      <c r="HO2954" s="37"/>
      <c r="HP2954" s="37"/>
      <c r="HQ2954" s="37"/>
      <c r="HR2954" s="37"/>
      <c r="HS2954" s="37"/>
      <c r="HT2954" s="37"/>
      <c r="HU2954" s="37"/>
      <c r="HV2954" s="37"/>
      <c r="HW2954" s="37"/>
      <c r="HX2954" s="37"/>
      <c r="HY2954" s="37"/>
      <c r="HZ2954" s="37"/>
      <c r="IA2954" s="37"/>
      <c r="IB2954" s="37"/>
      <c r="IC2954" s="37"/>
      <c r="ID2954" s="37"/>
      <c r="IE2954" s="37"/>
      <c r="IF2954" s="37"/>
      <c r="IG2954" s="37"/>
      <c r="IH2954" s="37"/>
      <c r="II2954" s="37"/>
      <c r="IJ2954" s="37"/>
      <c r="IK2954" s="37"/>
      <c r="IL2954" s="37"/>
      <c r="IM2954" s="37"/>
      <c r="IN2954" s="37"/>
      <c r="IO2954" s="37"/>
      <c r="IP2954" s="37"/>
      <c r="IQ2954" s="37"/>
      <c r="IR2954" s="37"/>
      <c r="IS2954" s="37"/>
      <c r="IT2954" s="37"/>
      <c r="IU2954" s="37"/>
      <c r="IV2954" s="37"/>
      <c r="IW2954" s="37"/>
      <c r="IX2954" s="37"/>
      <c r="IY2954" s="37"/>
      <c r="IZ2954" s="37"/>
      <c r="JA2954" s="37"/>
      <c r="JB2954" s="37"/>
      <c r="JC2954" s="37"/>
      <c r="JD2954" s="37"/>
      <c r="JE2954" s="37"/>
      <c r="JF2954" s="37"/>
      <c r="JG2954" s="37"/>
      <c r="JH2954" s="37"/>
      <c r="JI2954" s="37"/>
      <c r="JJ2954" s="37"/>
      <c r="JK2954" s="37"/>
      <c r="JL2954" s="37"/>
      <c r="JM2954" s="37"/>
      <c r="JN2954" s="37"/>
      <c r="JO2954" s="37"/>
      <c r="JP2954" s="37"/>
      <c r="JQ2954" s="37"/>
      <c r="JR2954" s="37"/>
      <c r="JS2954" s="37"/>
      <c r="JT2954" s="37"/>
      <c r="JU2954" s="37"/>
      <c r="JV2954" s="37"/>
      <c r="JW2954" s="37"/>
      <c r="JX2954" s="37"/>
      <c r="JY2954" s="37"/>
      <c r="JZ2954" s="37"/>
      <c r="KA2954" s="37"/>
      <c r="KB2954" s="37"/>
      <c r="KC2954" s="37"/>
      <c r="KD2954" s="37"/>
      <c r="KE2954" s="37"/>
      <c r="KF2954" s="37"/>
      <c r="KG2954" s="37"/>
      <c r="KH2954" s="37"/>
      <c r="KI2954" s="37"/>
      <c r="KJ2954" s="37"/>
      <c r="KK2954" s="37"/>
      <c r="KL2954" s="37"/>
      <c r="KM2954" s="37"/>
      <c r="KN2954" s="37"/>
      <c r="KO2954" s="37"/>
      <c r="KP2954" s="37"/>
      <c r="KQ2954" s="37"/>
      <c r="KR2954" s="37"/>
      <c r="KS2954" s="37"/>
      <c r="KT2954" s="37"/>
      <c r="KU2954" s="37"/>
      <c r="KV2954" s="37"/>
      <c r="KW2954" s="37"/>
      <c r="KX2954" s="37"/>
      <c r="KY2954" s="37"/>
      <c r="KZ2954" s="37"/>
      <c r="LA2954" s="37"/>
      <c r="LB2954" s="37"/>
      <c r="LC2954" s="37"/>
      <c r="LD2954" s="37"/>
      <c r="LE2954" s="37"/>
      <c r="LF2954" s="37"/>
      <c r="LG2954" s="37"/>
      <c r="LH2954" s="37"/>
      <c r="LI2954" s="37"/>
      <c r="LJ2954" s="37"/>
      <c r="LK2954" s="37"/>
      <c r="LL2954" s="37"/>
      <c r="LM2954" s="37"/>
      <c r="LN2954" s="37"/>
      <c r="LO2954" s="37"/>
      <c r="LP2954" s="37"/>
      <c r="LQ2954" s="37"/>
      <c r="LR2954" s="37"/>
      <c r="LS2954" s="37"/>
      <c r="LT2954" s="37"/>
      <c r="LU2954" s="37"/>
      <c r="LV2954" s="37"/>
      <c r="LW2954" s="37"/>
      <c r="LX2954" s="37"/>
      <c r="LY2954" s="37"/>
      <c r="LZ2954" s="37"/>
      <c r="MA2954" s="37"/>
      <c r="MB2954" s="37"/>
      <c r="MC2954" s="37"/>
      <c r="MD2954" s="37"/>
      <c r="ME2954" s="37"/>
      <c r="MF2954" s="37"/>
      <c r="MG2954" s="37"/>
      <c r="MH2954" s="37"/>
      <c r="MI2954" s="37"/>
      <c r="MJ2954" s="37"/>
      <c r="MK2954" s="37"/>
      <c r="ML2954" s="37"/>
      <c r="MM2954" s="37"/>
      <c r="MN2954" s="37"/>
      <c r="MO2954" s="37"/>
      <c r="MP2954" s="37"/>
      <c r="MQ2954" s="37"/>
      <c r="MR2954" s="37"/>
      <c r="MS2954" s="37"/>
      <c r="MT2954" s="37"/>
      <c r="MU2954" s="37"/>
      <c r="MV2954" s="37"/>
      <c r="MW2954" s="37"/>
      <c r="MX2954" s="37"/>
      <c r="MY2954" s="37"/>
      <c r="MZ2954" s="37"/>
      <c r="NA2954" s="37"/>
      <c r="NB2954" s="37"/>
      <c r="NC2954" s="37"/>
      <c r="ND2954" s="37"/>
      <c r="NE2954" s="37"/>
      <c r="NF2954" s="37"/>
      <c r="NG2954" s="37"/>
      <c r="NH2954" s="37"/>
      <c r="NI2954" s="37"/>
      <c r="NJ2954" s="37"/>
      <c r="NK2954" s="37"/>
      <c r="NL2954" s="37"/>
      <c r="NM2954" s="37"/>
      <c r="NN2954" s="37"/>
      <c r="NO2954" s="37"/>
      <c r="NP2954" s="37"/>
      <c r="NQ2954" s="37"/>
      <c r="NR2954" s="37"/>
      <c r="NS2954" s="37"/>
      <c r="NT2954" s="37"/>
      <c r="NU2954" s="37"/>
      <c r="NV2954" s="37"/>
      <c r="NW2954" s="37"/>
      <c r="NX2954" s="37"/>
      <c r="NY2954" s="37"/>
      <c r="NZ2954" s="37"/>
      <c r="OA2954" s="37"/>
      <c r="OB2954" s="37"/>
      <c r="OC2954" s="37"/>
      <c r="OD2954" s="37"/>
      <c r="OE2954" s="37"/>
      <c r="OF2954" s="37"/>
      <c r="OG2954" s="37"/>
      <c r="OH2954" s="37"/>
      <c r="OI2954" s="37"/>
      <c r="OJ2954" s="37"/>
      <c r="OK2954" s="37"/>
      <c r="OL2954" s="37"/>
      <c r="OM2954" s="37"/>
      <c r="ON2954" s="37"/>
      <c r="OO2954" s="37"/>
      <c r="OP2954" s="37"/>
      <c r="OQ2954" s="37"/>
      <c r="OR2954" s="37"/>
      <c r="OS2954" s="37"/>
      <c r="OT2954" s="37"/>
      <c r="OU2954" s="37"/>
      <c r="OV2954" s="37"/>
      <c r="OW2954" s="37"/>
      <c r="OX2954" s="37"/>
      <c r="OY2954" s="37"/>
      <c r="OZ2954" s="37"/>
      <c r="PA2954" s="37"/>
      <c r="PB2954" s="37"/>
      <c r="PC2954" s="37"/>
      <c r="PD2954" s="37"/>
      <c r="PE2954" s="37"/>
      <c r="PF2954" s="37"/>
      <c r="PG2954" s="37"/>
      <c r="PH2954" s="37"/>
      <c r="PI2954" s="37"/>
      <c r="PJ2954" s="37"/>
      <c r="PK2954" s="37"/>
      <c r="PL2954" s="37"/>
      <c r="PM2954" s="37"/>
      <c r="PN2954" s="37"/>
      <c r="PO2954" s="37"/>
      <c r="PP2954" s="37"/>
      <c r="PQ2954" s="37"/>
      <c r="PR2954" s="37"/>
      <c r="PS2954" s="37"/>
      <c r="PT2954" s="37"/>
      <c r="PU2954" s="37"/>
      <c r="PV2954" s="37"/>
      <c r="PW2954" s="37"/>
      <c r="PX2954" s="37"/>
      <c r="PY2954" s="37"/>
      <c r="PZ2954" s="37"/>
      <c r="QA2954" s="37"/>
      <c r="QB2954" s="37"/>
      <c r="QC2954" s="37"/>
      <c r="QD2954" s="37"/>
      <c r="QE2954" s="37"/>
      <c r="QF2954" s="37"/>
      <c r="QG2954" s="37"/>
      <c r="QH2954" s="37"/>
      <c r="QI2954" s="37"/>
      <c r="QJ2954" s="37"/>
      <c r="QK2954" s="37"/>
      <c r="QL2954" s="37"/>
      <c r="QM2954" s="37"/>
      <c r="QN2954" s="37"/>
      <c r="QO2954" s="37"/>
      <c r="QP2954" s="37"/>
      <c r="QQ2954" s="37"/>
      <c r="QR2954" s="37"/>
      <c r="QS2954" s="37"/>
      <c r="QT2954" s="37"/>
      <c r="QU2954" s="37"/>
      <c r="QV2954" s="37"/>
      <c r="QW2954" s="37"/>
      <c r="QX2954" s="37"/>
      <c r="QY2954" s="37"/>
      <c r="QZ2954" s="37"/>
      <c r="RA2954" s="37"/>
      <c r="RB2954" s="37"/>
      <c r="RC2954" s="37"/>
      <c r="RD2954" s="37"/>
      <c r="RE2954" s="37"/>
      <c r="RF2954" s="37"/>
      <c r="RG2954" s="37"/>
      <c r="RH2954" s="37"/>
      <c r="RI2954" s="37"/>
      <c r="RJ2954" s="37"/>
      <c r="RK2954" s="37"/>
      <c r="RL2954" s="37"/>
      <c r="RM2954" s="37"/>
      <c r="RN2954" s="37"/>
      <c r="RO2954" s="37"/>
      <c r="RP2954" s="37"/>
      <c r="RQ2954" s="37"/>
      <c r="RR2954" s="37"/>
      <c r="RS2954" s="37"/>
      <c r="RT2954" s="37"/>
      <c r="RU2954" s="37"/>
      <c r="RV2954" s="37"/>
      <c r="RW2954" s="37"/>
      <c r="RX2954" s="37"/>
      <c r="RY2954" s="37"/>
      <c r="RZ2954" s="37"/>
      <c r="SA2954" s="37"/>
      <c r="SB2954" s="37"/>
      <c r="SC2954" s="37"/>
      <c r="SD2954" s="37"/>
      <c r="SE2954" s="37"/>
      <c r="SF2954" s="37"/>
    </row>
    <row r="2955" spans="1:500">
      <c r="A2955" s="37"/>
      <c r="B2955" s="37"/>
      <c r="C2955" s="37"/>
      <c r="D2955" s="37"/>
      <c r="E2955" s="37"/>
      <c r="F2955" s="37"/>
      <c r="G2955" s="37"/>
      <c r="H2955" s="37"/>
      <c r="I2955" s="37"/>
      <c r="J2955" s="37"/>
      <c r="K2955" s="37"/>
      <c r="L2955" s="37"/>
      <c r="M2955" s="37"/>
      <c r="N2955" s="37"/>
      <c r="O2955" s="37"/>
      <c r="P2955" s="37"/>
      <c r="Q2955" s="37"/>
      <c r="R2955" s="37"/>
      <c r="S2955" s="37"/>
      <c r="T2955" s="37"/>
      <c r="U2955" s="37"/>
      <c r="V2955" s="37"/>
      <c r="W2955" s="37"/>
      <c r="X2955" s="37"/>
      <c r="Y2955" s="37"/>
      <c r="Z2955" s="37"/>
      <c r="AA2955" s="37"/>
      <c r="AB2955" s="37"/>
      <c r="AC2955" s="37"/>
      <c r="AD2955" s="37"/>
      <c r="AE2955" s="37"/>
      <c r="AF2955" s="37"/>
      <c r="AG2955" s="37"/>
      <c r="AH2955" s="37"/>
      <c r="AI2955" s="37"/>
      <c r="AJ2955" s="37"/>
      <c r="AK2955" s="37"/>
      <c r="AL2955" s="37"/>
      <c r="AM2955" s="37"/>
      <c r="AN2955" s="37"/>
      <c r="AO2955" s="37"/>
      <c r="AP2955" s="37"/>
      <c r="AQ2955" s="37"/>
      <c r="AR2955" s="37"/>
      <c r="AS2955" s="37"/>
      <c r="AT2955" s="37"/>
      <c r="AU2955" s="37"/>
      <c r="AV2955" s="37"/>
      <c r="AW2955" s="37"/>
      <c r="AX2955" s="37"/>
      <c r="AY2955" s="37"/>
      <c r="AZ2955" s="37"/>
      <c r="BA2955" s="37"/>
      <c r="BB2955" s="37"/>
      <c r="BC2955" s="37"/>
      <c r="BD2955" s="37"/>
      <c r="BE2955" s="37"/>
      <c r="BF2955" s="37"/>
      <c r="BG2955" s="37"/>
      <c r="BH2955" s="37"/>
      <c r="BI2955" s="37"/>
      <c r="BJ2955" s="37"/>
      <c r="BK2955" s="37"/>
      <c r="BL2955" s="37"/>
      <c r="BM2955" s="37"/>
      <c r="BN2955" s="37"/>
      <c r="BO2955" s="37"/>
      <c r="BP2955" s="37"/>
      <c r="BQ2955" s="37"/>
      <c r="BR2955" s="37"/>
      <c r="BS2955" s="37"/>
      <c r="BT2955" s="37"/>
      <c r="BU2955" s="37"/>
      <c r="BV2955" s="37"/>
      <c r="BW2955" s="37"/>
      <c r="BX2955" s="37"/>
      <c r="BY2955" s="37"/>
      <c r="BZ2955" s="37"/>
      <c r="CA2955" s="37"/>
      <c r="CB2955" s="37"/>
      <c r="CC2955" s="37"/>
      <c r="CD2955" s="37"/>
      <c r="CE2955" s="37"/>
      <c r="CF2955" s="37"/>
      <c r="CG2955" s="37"/>
      <c r="CH2955" s="37"/>
      <c r="CI2955" s="37"/>
      <c r="CJ2955" s="37"/>
      <c r="CK2955" s="37"/>
      <c r="CL2955" s="37"/>
      <c r="CM2955" s="37"/>
      <c r="CN2955" s="37"/>
      <c r="CO2955" s="37"/>
      <c r="CP2955" s="37"/>
      <c r="CQ2955" s="37"/>
      <c r="CR2955" s="37"/>
      <c r="CS2955" s="37"/>
      <c r="CT2955" s="37"/>
      <c r="CU2955" s="37"/>
      <c r="CV2955" s="37"/>
      <c r="CW2955" s="37"/>
      <c r="CX2955" s="37"/>
      <c r="CY2955" s="37"/>
      <c r="CZ2955" s="37"/>
      <c r="DA2955" s="37"/>
      <c r="DB2955" s="37"/>
      <c r="DC2955" s="37"/>
      <c r="DD2955" s="37"/>
      <c r="DE2955" s="37"/>
      <c r="DF2955" s="37"/>
      <c r="DG2955" s="37"/>
      <c r="DH2955" s="37"/>
      <c r="DI2955" s="37"/>
      <c r="DJ2955" s="37"/>
      <c r="DK2955" s="37"/>
      <c r="DL2955" s="37"/>
      <c r="DM2955" s="37"/>
      <c r="DN2955" s="37"/>
      <c r="DO2955" s="37"/>
      <c r="DP2955" s="37"/>
      <c r="DQ2955" s="37"/>
      <c r="DR2955" s="37"/>
      <c r="DS2955" s="37"/>
      <c r="DT2955" s="37"/>
      <c r="DU2955" s="37"/>
      <c r="DV2955" s="37"/>
      <c r="DW2955" s="37"/>
      <c r="DX2955" s="37"/>
      <c r="DY2955" s="37"/>
      <c r="DZ2955" s="37"/>
      <c r="EA2955" s="37"/>
      <c r="EB2955" s="37"/>
      <c r="EC2955" s="37"/>
      <c r="ED2955" s="37"/>
      <c r="EE2955" s="37"/>
      <c r="EF2955" s="37"/>
      <c r="EG2955" s="37"/>
      <c r="EH2955" s="37"/>
      <c r="EI2955" s="37"/>
      <c r="EJ2955" s="37"/>
      <c r="EK2955" s="37"/>
      <c r="EL2955" s="37"/>
      <c r="EM2955" s="37"/>
      <c r="EN2955" s="37"/>
      <c r="EO2955" s="37"/>
      <c r="EP2955" s="37"/>
      <c r="EQ2955" s="37"/>
      <c r="ER2955" s="37"/>
      <c r="ES2955" s="37"/>
      <c r="ET2955" s="37"/>
      <c r="EU2955" s="37"/>
      <c r="EV2955" s="37"/>
      <c r="EW2955" s="37"/>
      <c r="EX2955" s="37"/>
      <c r="EY2955" s="37"/>
      <c r="EZ2955" s="37"/>
      <c r="FA2955" s="37"/>
      <c r="FB2955" s="37"/>
      <c r="FC2955" s="37"/>
      <c r="FD2955" s="37"/>
      <c r="FE2955" s="37"/>
      <c r="FF2955" s="37"/>
      <c r="FG2955" s="37"/>
      <c r="FH2955" s="37"/>
      <c r="FI2955" s="37"/>
      <c r="FJ2955" s="37"/>
      <c r="FK2955" s="37"/>
      <c r="FL2955" s="37"/>
      <c r="FM2955" s="37"/>
      <c r="FN2955" s="37"/>
      <c r="FO2955" s="37"/>
      <c r="FP2955" s="37"/>
      <c r="FQ2955" s="37"/>
      <c r="FR2955" s="37"/>
      <c r="FS2955" s="37"/>
      <c r="FT2955" s="37"/>
      <c r="FU2955" s="37"/>
      <c r="FV2955" s="37"/>
      <c r="FW2955" s="37"/>
      <c r="FX2955" s="37"/>
      <c r="FY2955" s="37"/>
      <c r="FZ2955" s="37"/>
      <c r="GA2955" s="37"/>
      <c r="GB2955" s="37"/>
      <c r="GC2955" s="37"/>
      <c r="GD2955" s="37"/>
      <c r="GE2955" s="37"/>
      <c r="GF2955" s="37"/>
      <c r="GG2955" s="37"/>
      <c r="GH2955" s="37"/>
      <c r="GI2955" s="37"/>
      <c r="GJ2955" s="37"/>
      <c r="GK2955" s="37"/>
      <c r="GL2955" s="37"/>
      <c r="GM2955" s="37"/>
      <c r="GN2955" s="37"/>
      <c r="GO2955" s="37"/>
      <c r="GP2955" s="37"/>
      <c r="GQ2955" s="37"/>
      <c r="GR2955" s="37"/>
      <c r="GS2955" s="37"/>
      <c r="GT2955" s="37"/>
      <c r="GU2955" s="37"/>
      <c r="GV2955" s="37"/>
      <c r="GW2955" s="37"/>
      <c r="GX2955" s="37"/>
      <c r="GY2955" s="37"/>
      <c r="GZ2955" s="37"/>
      <c r="HA2955" s="37"/>
      <c r="HB2955" s="37"/>
      <c r="HC2955" s="37"/>
      <c r="HD2955" s="37"/>
      <c r="HE2955" s="37"/>
      <c r="HF2955" s="37"/>
      <c r="HG2955" s="37"/>
      <c r="HH2955" s="37"/>
      <c r="HI2955" s="37"/>
      <c r="HJ2955" s="37"/>
      <c r="HK2955" s="37"/>
      <c r="HL2955" s="37"/>
      <c r="HM2955" s="37"/>
      <c r="HN2955" s="37"/>
      <c r="HO2955" s="37"/>
      <c r="HP2955" s="37"/>
      <c r="HQ2955" s="37"/>
      <c r="HR2955" s="37"/>
      <c r="HS2955" s="37"/>
      <c r="HT2955" s="37"/>
      <c r="HU2955" s="37"/>
      <c r="HV2955" s="37"/>
      <c r="HW2955" s="37"/>
      <c r="HX2955" s="37"/>
      <c r="HY2955" s="37"/>
      <c r="HZ2955" s="37"/>
      <c r="IA2955" s="37"/>
      <c r="IB2955" s="37"/>
      <c r="IC2955" s="37"/>
      <c r="ID2955" s="37"/>
      <c r="IE2955" s="37"/>
      <c r="IF2955" s="37"/>
      <c r="IG2955" s="37"/>
      <c r="IH2955" s="37"/>
      <c r="II2955" s="37"/>
      <c r="IJ2955" s="37"/>
      <c r="IK2955" s="37"/>
      <c r="IL2955" s="37"/>
      <c r="IM2955" s="37"/>
      <c r="IN2955" s="37"/>
      <c r="IO2955" s="37"/>
      <c r="IP2955" s="37"/>
      <c r="IQ2955" s="37"/>
      <c r="IR2955" s="37"/>
      <c r="IS2955" s="37"/>
      <c r="IT2955" s="37"/>
      <c r="IU2955" s="37"/>
      <c r="IV2955" s="37"/>
      <c r="IW2955" s="37"/>
      <c r="IX2955" s="37"/>
      <c r="IY2955" s="37"/>
      <c r="IZ2955" s="37"/>
      <c r="JA2955" s="37"/>
      <c r="JB2955" s="37"/>
      <c r="JC2955" s="37"/>
      <c r="JD2955" s="37"/>
      <c r="JE2955" s="37"/>
      <c r="JF2955" s="37"/>
      <c r="JG2955" s="37"/>
      <c r="JH2955" s="37"/>
      <c r="JI2955" s="37"/>
      <c r="JJ2955" s="37"/>
      <c r="JK2955" s="37"/>
      <c r="JL2955" s="37"/>
      <c r="JM2955" s="37"/>
      <c r="JN2955" s="37"/>
      <c r="JO2955" s="37"/>
      <c r="JP2955" s="37"/>
      <c r="JQ2955" s="37"/>
      <c r="JR2955" s="37"/>
      <c r="JS2955" s="37"/>
      <c r="JT2955" s="37"/>
      <c r="JU2955" s="37"/>
      <c r="JV2955" s="37"/>
      <c r="JW2955" s="37"/>
      <c r="JX2955" s="37"/>
      <c r="JY2955" s="37"/>
      <c r="JZ2955" s="37"/>
      <c r="KA2955" s="37"/>
      <c r="KB2955" s="37"/>
      <c r="KC2955" s="37"/>
      <c r="KD2955" s="37"/>
      <c r="KE2955" s="37"/>
      <c r="KF2955" s="37"/>
      <c r="KG2955" s="37"/>
      <c r="KH2955" s="37"/>
      <c r="KI2955" s="37"/>
      <c r="KJ2955" s="37"/>
      <c r="KK2955" s="37"/>
      <c r="KL2955" s="37"/>
      <c r="KM2955" s="37"/>
      <c r="KN2955" s="37"/>
      <c r="KO2955" s="37"/>
      <c r="KP2955" s="37"/>
      <c r="KQ2955" s="37"/>
      <c r="KR2955" s="37"/>
      <c r="KS2955" s="37"/>
      <c r="KT2955" s="37"/>
      <c r="KU2955" s="37"/>
      <c r="KV2955" s="37"/>
      <c r="KW2955" s="37"/>
      <c r="KX2955" s="37"/>
      <c r="KY2955" s="37"/>
      <c r="KZ2955" s="37"/>
      <c r="LA2955" s="37"/>
      <c r="LB2955" s="37"/>
      <c r="LC2955" s="37"/>
      <c r="LD2955" s="37"/>
      <c r="LE2955" s="37"/>
      <c r="LF2955" s="37"/>
      <c r="LG2955" s="37"/>
      <c r="LH2955" s="37"/>
      <c r="LI2955" s="37"/>
      <c r="LJ2955" s="37"/>
      <c r="LK2955" s="37"/>
      <c r="LL2955" s="37"/>
      <c r="LM2955" s="37"/>
      <c r="LN2955" s="37"/>
      <c r="LO2955" s="37"/>
      <c r="LP2955" s="37"/>
      <c r="LQ2955" s="37"/>
      <c r="LR2955" s="37"/>
      <c r="LS2955" s="37"/>
      <c r="LT2955" s="37"/>
      <c r="LU2955" s="37"/>
      <c r="LV2955" s="37"/>
      <c r="LW2955" s="37"/>
      <c r="LX2955" s="37"/>
      <c r="LY2955" s="37"/>
      <c r="LZ2955" s="37"/>
      <c r="MA2955" s="37"/>
      <c r="MB2955" s="37"/>
      <c r="MC2955" s="37"/>
      <c r="MD2955" s="37"/>
      <c r="ME2955" s="37"/>
      <c r="MF2955" s="37"/>
      <c r="MG2955" s="37"/>
      <c r="MH2955" s="37"/>
      <c r="MI2955" s="37"/>
      <c r="MJ2955" s="37"/>
      <c r="MK2955" s="37"/>
      <c r="ML2955" s="37"/>
      <c r="MM2955" s="37"/>
      <c r="MN2955" s="37"/>
      <c r="MO2955" s="37"/>
      <c r="MP2955" s="37"/>
      <c r="MQ2955" s="37"/>
      <c r="MR2955" s="37"/>
      <c r="MS2955" s="37"/>
      <c r="MT2955" s="37"/>
      <c r="MU2955" s="37"/>
      <c r="MV2955" s="37"/>
      <c r="MW2955" s="37"/>
      <c r="MX2955" s="37"/>
      <c r="MY2955" s="37"/>
      <c r="MZ2955" s="37"/>
      <c r="NA2955" s="37"/>
      <c r="NB2955" s="37"/>
      <c r="NC2955" s="37"/>
      <c r="ND2955" s="37"/>
      <c r="NE2955" s="37"/>
      <c r="NF2955" s="37"/>
      <c r="NG2955" s="37"/>
      <c r="NH2955" s="37"/>
      <c r="NI2955" s="37"/>
      <c r="NJ2955" s="37"/>
      <c r="NK2955" s="37"/>
      <c r="NL2955" s="37"/>
      <c r="NM2955" s="37"/>
      <c r="NN2955" s="37"/>
      <c r="NO2955" s="37"/>
      <c r="NP2955" s="37"/>
      <c r="NQ2955" s="37"/>
      <c r="NR2955" s="37"/>
      <c r="NS2955" s="37"/>
      <c r="NT2955" s="37"/>
      <c r="NU2955" s="37"/>
      <c r="NV2955" s="37"/>
      <c r="NW2955" s="37"/>
      <c r="NX2955" s="37"/>
      <c r="NY2955" s="37"/>
      <c r="NZ2955" s="37"/>
      <c r="OA2955" s="37"/>
      <c r="OB2955" s="37"/>
      <c r="OC2955" s="37"/>
      <c r="OD2955" s="37"/>
      <c r="OE2955" s="37"/>
      <c r="OF2955" s="37"/>
      <c r="OG2955" s="37"/>
      <c r="OH2955" s="37"/>
      <c r="OI2955" s="37"/>
      <c r="OJ2955" s="37"/>
      <c r="OK2955" s="37"/>
      <c r="OL2955" s="37"/>
      <c r="OM2955" s="37"/>
      <c r="ON2955" s="37"/>
      <c r="OO2955" s="37"/>
      <c r="OP2955" s="37"/>
      <c r="OQ2955" s="37"/>
      <c r="OR2955" s="37"/>
      <c r="OS2955" s="37"/>
      <c r="OT2955" s="37"/>
      <c r="OU2955" s="37"/>
      <c r="OV2955" s="37"/>
      <c r="OW2955" s="37"/>
      <c r="OX2955" s="37"/>
      <c r="OY2955" s="37"/>
      <c r="OZ2955" s="37"/>
      <c r="PA2955" s="37"/>
      <c r="PB2955" s="37"/>
      <c r="PC2955" s="37"/>
      <c r="PD2955" s="37"/>
      <c r="PE2955" s="37"/>
      <c r="PF2955" s="37"/>
      <c r="PG2955" s="37"/>
      <c r="PH2955" s="37"/>
      <c r="PI2955" s="37"/>
      <c r="PJ2955" s="37"/>
      <c r="PK2955" s="37"/>
      <c r="PL2955" s="37"/>
      <c r="PM2955" s="37"/>
      <c r="PN2955" s="37"/>
      <c r="PO2955" s="37"/>
      <c r="PP2955" s="37"/>
      <c r="PQ2955" s="37"/>
      <c r="PR2955" s="37"/>
      <c r="PS2955" s="37"/>
      <c r="PT2955" s="37"/>
      <c r="PU2955" s="37"/>
      <c r="PV2955" s="37"/>
      <c r="PW2955" s="37"/>
      <c r="PX2955" s="37"/>
      <c r="PY2955" s="37"/>
      <c r="PZ2955" s="37"/>
      <c r="QA2955" s="37"/>
      <c r="QB2955" s="37"/>
      <c r="QC2955" s="37"/>
      <c r="QD2955" s="37"/>
      <c r="QE2955" s="37"/>
      <c r="QF2955" s="37"/>
      <c r="QG2955" s="37"/>
      <c r="QH2955" s="37"/>
      <c r="QI2955" s="37"/>
      <c r="QJ2955" s="37"/>
      <c r="QK2955" s="37"/>
      <c r="QL2955" s="37"/>
      <c r="QM2955" s="37"/>
      <c r="QN2955" s="37"/>
      <c r="QO2955" s="37"/>
      <c r="QP2955" s="37"/>
      <c r="QQ2955" s="37"/>
      <c r="QR2955" s="37"/>
      <c r="QS2955" s="37"/>
      <c r="QT2955" s="37"/>
      <c r="QU2955" s="37"/>
      <c r="QV2955" s="37"/>
      <c r="QW2955" s="37"/>
      <c r="QX2955" s="37"/>
      <c r="QY2955" s="37"/>
      <c r="QZ2955" s="37"/>
      <c r="RA2955" s="37"/>
      <c r="RB2955" s="37"/>
      <c r="RC2955" s="37"/>
      <c r="RD2955" s="37"/>
      <c r="RE2955" s="37"/>
      <c r="RF2955" s="37"/>
      <c r="RG2955" s="37"/>
      <c r="RH2955" s="37"/>
      <c r="RI2955" s="37"/>
      <c r="RJ2955" s="37"/>
      <c r="RK2955" s="37"/>
      <c r="RL2955" s="37"/>
      <c r="RM2955" s="37"/>
      <c r="RN2955" s="37"/>
      <c r="RO2955" s="37"/>
      <c r="RP2955" s="37"/>
      <c r="RQ2955" s="37"/>
      <c r="RR2955" s="37"/>
      <c r="RS2955" s="37"/>
      <c r="RT2955" s="37"/>
      <c r="RU2955" s="37"/>
      <c r="RV2955" s="37"/>
      <c r="RW2955" s="37"/>
      <c r="RX2955" s="37"/>
      <c r="RY2955" s="37"/>
      <c r="RZ2955" s="37"/>
      <c r="SA2955" s="37"/>
      <c r="SB2955" s="37"/>
      <c r="SC2955" s="37"/>
      <c r="SD2955" s="37"/>
      <c r="SE2955" s="37"/>
      <c r="SF2955" s="37"/>
    </row>
    <row r="2956" spans="1:500">
      <c r="A2956" s="37"/>
      <c r="B2956" s="37"/>
      <c r="C2956" s="37"/>
      <c r="D2956" s="37"/>
      <c r="E2956" s="37"/>
      <c r="F2956" s="37"/>
      <c r="G2956" s="37"/>
      <c r="H2956" s="37"/>
      <c r="I2956" s="37"/>
      <c r="J2956" s="37"/>
      <c r="K2956" s="37"/>
      <c r="L2956" s="37"/>
      <c r="M2956" s="37"/>
      <c r="N2956" s="37"/>
      <c r="O2956" s="37"/>
      <c r="P2956" s="37"/>
      <c r="Q2956" s="37"/>
      <c r="R2956" s="37"/>
      <c r="S2956" s="37"/>
      <c r="T2956" s="37"/>
      <c r="U2956" s="37"/>
      <c r="V2956" s="37"/>
      <c r="W2956" s="37"/>
      <c r="X2956" s="37"/>
      <c r="Y2956" s="37"/>
      <c r="Z2956" s="37"/>
      <c r="AA2956" s="37"/>
      <c r="AB2956" s="37"/>
      <c r="AC2956" s="37"/>
      <c r="AD2956" s="37"/>
      <c r="AE2956" s="37"/>
      <c r="AF2956" s="37"/>
      <c r="AG2956" s="37"/>
      <c r="AH2956" s="37"/>
      <c r="AI2956" s="37"/>
      <c r="AJ2956" s="37"/>
      <c r="AK2956" s="37"/>
      <c r="AL2956" s="37"/>
      <c r="AM2956" s="37"/>
      <c r="AN2956" s="37"/>
      <c r="AO2956" s="37"/>
      <c r="AP2956" s="37"/>
      <c r="AQ2956" s="37"/>
      <c r="AR2956" s="37"/>
      <c r="AS2956" s="37"/>
      <c r="AT2956" s="37"/>
      <c r="AU2956" s="37"/>
      <c r="AV2956" s="37"/>
      <c r="AW2956" s="37"/>
      <c r="AX2956" s="37"/>
      <c r="AY2956" s="37"/>
      <c r="AZ2956" s="37"/>
      <c r="BA2956" s="37"/>
      <c r="BB2956" s="37"/>
      <c r="BC2956" s="37"/>
      <c r="BD2956" s="37"/>
      <c r="BE2956" s="37"/>
      <c r="BF2956" s="37"/>
      <c r="BG2956" s="37"/>
      <c r="BH2956" s="37"/>
      <c r="BI2956" s="37"/>
      <c r="BJ2956" s="37"/>
      <c r="BK2956" s="37"/>
      <c r="BL2956" s="37"/>
      <c r="BM2956" s="37"/>
      <c r="BN2956" s="37"/>
      <c r="BO2956" s="37"/>
      <c r="BP2956" s="37"/>
      <c r="BQ2956" s="37"/>
      <c r="BR2956" s="37"/>
      <c r="BS2956" s="37"/>
      <c r="BT2956" s="37"/>
      <c r="BU2956" s="37"/>
      <c r="BV2956" s="37"/>
      <c r="BW2956" s="37"/>
      <c r="BX2956" s="37"/>
      <c r="BY2956" s="37"/>
      <c r="BZ2956" s="37"/>
      <c r="CA2956" s="37"/>
      <c r="CB2956" s="37"/>
      <c r="CC2956" s="37"/>
      <c r="CD2956" s="37"/>
      <c r="CE2956" s="37"/>
      <c r="CF2956" s="37"/>
      <c r="CG2956" s="37"/>
      <c r="CH2956" s="37"/>
      <c r="CI2956" s="37"/>
      <c r="CJ2956" s="37"/>
      <c r="CK2956" s="37"/>
      <c r="CL2956" s="37"/>
      <c r="CM2956" s="37"/>
      <c r="CN2956" s="37"/>
      <c r="CO2956" s="37"/>
      <c r="CP2956" s="37"/>
      <c r="CQ2956" s="37"/>
      <c r="CR2956" s="37"/>
      <c r="CS2956" s="37"/>
      <c r="CT2956" s="37"/>
      <c r="CU2956" s="37"/>
      <c r="CV2956" s="37"/>
      <c r="CW2956" s="37"/>
      <c r="CX2956" s="37"/>
      <c r="CY2956" s="37"/>
      <c r="CZ2956" s="37"/>
      <c r="DA2956" s="37"/>
      <c r="DB2956" s="37"/>
      <c r="DC2956" s="37"/>
      <c r="DD2956" s="37"/>
      <c r="DE2956" s="37"/>
      <c r="DF2956" s="37"/>
      <c r="DG2956" s="37"/>
      <c r="DH2956" s="37"/>
      <c r="DI2956" s="37"/>
      <c r="DJ2956" s="37"/>
      <c r="DK2956" s="37"/>
      <c r="DL2956" s="37"/>
      <c r="DM2956" s="37"/>
      <c r="DN2956" s="37"/>
      <c r="DO2956" s="37"/>
      <c r="DP2956" s="37"/>
      <c r="DQ2956" s="37"/>
      <c r="DR2956" s="37"/>
      <c r="DS2956" s="37"/>
      <c r="DT2956" s="37"/>
      <c r="DU2956" s="37"/>
      <c r="DV2956" s="37"/>
      <c r="DW2956" s="37"/>
      <c r="DX2956" s="37"/>
      <c r="DY2956" s="37"/>
      <c r="DZ2956" s="37"/>
      <c r="EA2956" s="37"/>
      <c r="EB2956" s="37"/>
      <c r="EC2956" s="37"/>
      <c r="ED2956" s="37"/>
      <c r="EE2956" s="37"/>
      <c r="EF2956" s="37"/>
      <c r="EG2956" s="37"/>
      <c r="EH2956" s="37"/>
      <c r="EI2956" s="37"/>
      <c r="EJ2956" s="37"/>
      <c r="EK2956" s="37"/>
      <c r="EL2956" s="37"/>
      <c r="EM2956" s="37"/>
      <c r="EN2956" s="37"/>
      <c r="EO2956" s="37"/>
      <c r="EP2956" s="37"/>
      <c r="EQ2956" s="37"/>
      <c r="ER2956" s="37"/>
      <c r="ES2956" s="37"/>
      <c r="ET2956" s="37"/>
      <c r="EU2956" s="37"/>
      <c r="EV2956" s="37"/>
      <c r="EW2956" s="37"/>
      <c r="EX2956" s="37"/>
      <c r="EY2956" s="37"/>
      <c r="EZ2956" s="37"/>
      <c r="FA2956" s="37"/>
      <c r="FB2956" s="37"/>
      <c r="FC2956" s="37"/>
      <c r="FD2956" s="37"/>
      <c r="FE2956" s="37"/>
      <c r="FF2956" s="37"/>
      <c r="FG2956" s="37"/>
      <c r="FH2956" s="37"/>
      <c r="FI2956" s="37"/>
      <c r="FJ2956" s="37"/>
      <c r="FK2956" s="37"/>
      <c r="FL2956" s="37"/>
      <c r="FM2956" s="37"/>
      <c r="FN2956" s="37"/>
      <c r="FO2956" s="37"/>
      <c r="FP2956" s="37"/>
      <c r="FQ2956" s="37"/>
      <c r="FR2956" s="37"/>
      <c r="FS2956" s="37"/>
      <c r="FT2956" s="37"/>
      <c r="FU2956" s="37"/>
      <c r="FV2956" s="37"/>
      <c r="FW2956" s="37"/>
      <c r="FX2956" s="37"/>
      <c r="FY2956" s="37"/>
      <c r="FZ2956" s="37"/>
      <c r="GA2956" s="37"/>
      <c r="GB2956" s="37"/>
      <c r="GC2956" s="37"/>
      <c r="GD2956" s="37"/>
      <c r="GE2956" s="37"/>
      <c r="GF2956" s="37"/>
      <c r="GG2956" s="37"/>
      <c r="GH2956" s="37"/>
      <c r="GI2956" s="37"/>
      <c r="GJ2956" s="37"/>
      <c r="GK2956" s="37"/>
      <c r="GL2956" s="37"/>
      <c r="GM2956" s="37"/>
      <c r="GN2956" s="37"/>
      <c r="GO2956" s="37"/>
      <c r="GP2956" s="37"/>
      <c r="GQ2956" s="37"/>
      <c r="GR2956" s="37"/>
      <c r="GS2956" s="37"/>
      <c r="GT2956" s="37"/>
      <c r="GU2956" s="37"/>
      <c r="GV2956" s="37"/>
      <c r="GW2956" s="37"/>
      <c r="GX2956" s="37"/>
      <c r="GY2956" s="37"/>
      <c r="GZ2956" s="37"/>
      <c r="HA2956" s="37"/>
      <c r="HB2956" s="37"/>
      <c r="HC2956" s="37"/>
      <c r="HD2956" s="37"/>
      <c r="HE2956" s="37"/>
      <c r="HF2956" s="37"/>
      <c r="HG2956" s="37"/>
      <c r="HH2956" s="37"/>
      <c r="HI2956" s="37"/>
      <c r="HJ2956" s="37"/>
      <c r="HK2956" s="37"/>
      <c r="HL2956" s="37"/>
      <c r="HM2956" s="37"/>
      <c r="HN2956" s="37"/>
      <c r="HO2956" s="37"/>
      <c r="HP2956" s="37"/>
      <c r="HQ2956" s="37"/>
      <c r="HR2956" s="37"/>
      <c r="HS2956" s="37"/>
      <c r="HT2956" s="37"/>
      <c r="HU2956" s="37"/>
      <c r="HV2956" s="37"/>
      <c r="HW2956" s="37"/>
      <c r="HX2956" s="37"/>
      <c r="HY2956" s="37"/>
      <c r="HZ2956" s="37"/>
      <c r="IA2956" s="37"/>
      <c r="IB2956" s="37"/>
      <c r="IC2956" s="37"/>
      <c r="ID2956" s="37"/>
      <c r="IE2956" s="37"/>
      <c r="IF2956" s="37"/>
      <c r="IG2956" s="37"/>
      <c r="IH2956" s="37"/>
      <c r="II2956" s="37"/>
      <c r="IJ2956" s="37"/>
      <c r="IK2956" s="37"/>
      <c r="IL2956" s="37"/>
      <c r="IM2956" s="37"/>
      <c r="IN2956" s="37"/>
      <c r="IO2956" s="37"/>
      <c r="IP2956" s="37"/>
      <c r="IQ2956" s="37"/>
      <c r="IR2956" s="37"/>
      <c r="IS2956" s="37"/>
      <c r="IT2956" s="37"/>
      <c r="IU2956" s="37"/>
      <c r="IV2956" s="37"/>
      <c r="IW2956" s="37"/>
      <c r="IX2956" s="37"/>
      <c r="IY2956" s="37"/>
      <c r="IZ2956" s="37"/>
      <c r="JA2956" s="37"/>
      <c r="JB2956" s="37"/>
      <c r="JC2956" s="37"/>
      <c r="JD2956" s="37"/>
      <c r="JE2956" s="37"/>
      <c r="JF2956" s="37"/>
      <c r="JG2956" s="37"/>
      <c r="JH2956" s="37"/>
      <c r="JI2956" s="37"/>
      <c r="JJ2956" s="37"/>
      <c r="JK2956" s="37"/>
      <c r="JL2956" s="37"/>
      <c r="JM2956" s="37"/>
      <c r="JN2956" s="37"/>
      <c r="JO2956" s="37"/>
      <c r="JP2956" s="37"/>
      <c r="JQ2956" s="37"/>
      <c r="JR2956" s="37"/>
      <c r="JS2956" s="37"/>
      <c r="JT2956" s="37"/>
      <c r="JU2956" s="37"/>
      <c r="JV2956" s="37"/>
      <c r="JW2956" s="37"/>
      <c r="JX2956" s="37"/>
      <c r="JY2956" s="37"/>
      <c r="JZ2956" s="37"/>
      <c r="KA2956" s="37"/>
      <c r="KB2956" s="37"/>
      <c r="KC2956" s="37"/>
      <c r="KD2956" s="37"/>
      <c r="KE2956" s="37"/>
      <c r="KF2956" s="37"/>
      <c r="KG2956" s="37"/>
      <c r="KH2956" s="37"/>
      <c r="KI2956" s="37"/>
      <c r="KJ2956" s="37"/>
      <c r="KK2956" s="37"/>
      <c r="KL2956" s="37"/>
      <c r="KM2956" s="37"/>
      <c r="KN2956" s="37"/>
      <c r="KO2956" s="37"/>
      <c r="KP2956" s="37"/>
      <c r="KQ2956" s="37"/>
      <c r="KR2956" s="37"/>
      <c r="KS2956" s="37"/>
      <c r="KT2956" s="37"/>
      <c r="KU2956" s="37"/>
      <c r="KV2956" s="37"/>
      <c r="KW2956" s="37"/>
      <c r="KX2956" s="37"/>
      <c r="KY2956" s="37"/>
      <c r="KZ2956" s="37"/>
      <c r="LA2956" s="37"/>
      <c r="LB2956" s="37"/>
      <c r="LC2956" s="37"/>
      <c r="LD2956" s="37"/>
      <c r="LE2956" s="37"/>
      <c r="LF2956" s="37"/>
      <c r="LG2956" s="37"/>
      <c r="LH2956" s="37"/>
      <c r="LI2956" s="37"/>
      <c r="LJ2956" s="37"/>
      <c r="LK2956" s="37"/>
      <c r="LL2956" s="37"/>
      <c r="LM2956" s="37"/>
      <c r="LN2956" s="37"/>
      <c r="LO2956" s="37"/>
      <c r="LP2956" s="37"/>
      <c r="LQ2956" s="37"/>
      <c r="LR2956" s="37"/>
      <c r="LS2956" s="37"/>
      <c r="LT2956" s="37"/>
      <c r="LU2956" s="37"/>
      <c r="LV2956" s="37"/>
      <c r="LW2956" s="37"/>
      <c r="LX2956" s="37"/>
      <c r="LY2956" s="37"/>
      <c r="LZ2956" s="37"/>
      <c r="MA2956" s="37"/>
      <c r="MB2956" s="37"/>
      <c r="MC2956" s="37"/>
      <c r="MD2956" s="37"/>
      <c r="ME2956" s="37"/>
      <c r="MF2956" s="37"/>
      <c r="MG2956" s="37"/>
      <c r="MH2956" s="37"/>
      <c r="MI2956" s="37"/>
      <c r="MJ2956" s="37"/>
      <c r="MK2956" s="37"/>
      <c r="ML2956" s="37"/>
      <c r="MM2956" s="37"/>
      <c r="MN2956" s="37"/>
      <c r="MO2956" s="37"/>
      <c r="MP2956" s="37"/>
      <c r="MQ2956" s="37"/>
      <c r="MR2956" s="37"/>
      <c r="MS2956" s="37"/>
      <c r="MT2956" s="37"/>
      <c r="MU2956" s="37"/>
      <c r="MV2956" s="37"/>
      <c r="MW2956" s="37"/>
      <c r="MX2956" s="37"/>
      <c r="MY2956" s="37"/>
      <c r="MZ2956" s="37"/>
      <c r="NA2956" s="37"/>
      <c r="NB2956" s="37"/>
      <c r="NC2956" s="37"/>
      <c r="ND2956" s="37"/>
      <c r="NE2956" s="37"/>
      <c r="NF2956" s="37"/>
      <c r="NG2956" s="37"/>
      <c r="NH2956" s="37"/>
      <c r="NI2956" s="37"/>
      <c r="NJ2956" s="37"/>
      <c r="NK2956" s="37"/>
      <c r="NL2956" s="37"/>
      <c r="NM2956" s="37"/>
      <c r="NN2956" s="37"/>
      <c r="NO2956" s="37"/>
      <c r="NP2956" s="37"/>
      <c r="NQ2956" s="37"/>
      <c r="NR2956" s="37"/>
      <c r="NS2956" s="37"/>
      <c r="NT2956" s="37"/>
      <c r="NU2956" s="37"/>
      <c r="NV2956" s="37"/>
      <c r="NW2956" s="37"/>
      <c r="NX2956" s="37"/>
      <c r="NY2956" s="37"/>
      <c r="NZ2956" s="37"/>
      <c r="OA2956" s="37"/>
      <c r="OB2956" s="37"/>
      <c r="OC2956" s="37"/>
      <c r="OD2956" s="37"/>
      <c r="OE2956" s="37"/>
      <c r="OF2956" s="37"/>
      <c r="OG2956" s="37"/>
      <c r="OH2956" s="37"/>
      <c r="OI2956" s="37"/>
      <c r="OJ2956" s="37"/>
      <c r="OK2956" s="37"/>
      <c r="OL2956" s="37"/>
      <c r="OM2956" s="37"/>
      <c r="ON2956" s="37"/>
      <c r="OO2956" s="37"/>
      <c r="OP2956" s="37"/>
      <c r="OQ2956" s="37"/>
      <c r="OR2956" s="37"/>
      <c r="OS2956" s="37"/>
      <c r="OT2956" s="37"/>
      <c r="OU2956" s="37"/>
      <c r="OV2956" s="37"/>
      <c r="OW2956" s="37"/>
      <c r="OX2956" s="37"/>
      <c r="OY2956" s="37"/>
      <c r="OZ2956" s="37"/>
      <c r="PA2956" s="37"/>
      <c r="PB2956" s="37"/>
      <c r="PC2956" s="37"/>
      <c r="PD2956" s="37"/>
      <c r="PE2956" s="37"/>
      <c r="PF2956" s="37"/>
      <c r="PG2956" s="37"/>
      <c r="PH2956" s="37"/>
      <c r="PI2956" s="37"/>
      <c r="PJ2956" s="37"/>
      <c r="PK2956" s="37"/>
      <c r="PL2956" s="37"/>
      <c r="PM2956" s="37"/>
      <c r="PN2956" s="37"/>
      <c r="PO2956" s="37"/>
      <c r="PP2956" s="37"/>
      <c r="PQ2956" s="37"/>
      <c r="PR2956" s="37"/>
      <c r="PS2956" s="37"/>
      <c r="PT2956" s="37"/>
      <c r="PU2956" s="37"/>
      <c r="PV2956" s="37"/>
      <c r="PW2956" s="37"/>
      <c r="PX2956" s="37"/>
      <c r="PY2956" s="37"/>
      <c r="PZ2956" s="37"/>
      <c r="QA2956" s="37"/>
      <c r="QB2956" s="37"/>
      <c r="QC2956" s="37"/>
      <c r="QD2956" s="37"/>
      <c r="QE2956" s="37"/>
      <c r="QF2956" s="37"/>
      <c r="QG2956" s="37"/>
      <c r="QH2956" s="37"/>
      <c r="QI2956" s="37"/>
      <c r="QJ2956" s="37"/>
      <c r="QK2956" s="37"/>
      <c r="QL2956" s="37"/>
      <c r="QM2956" s="37"/>
      <c r="QN2956" s="37"/>
      <c r="QO2956" s="37"/>
      <c r="QP2956" s="37"/>
      <c r="QQ2956" s="37"/>
      <c r="QR2956" s="37"/>
      <c r="QS2956" s="37"/>
      <c r="QT2956" s="37"/>
      <c r="QU2956" s="37"/>
      <c r="QV2956" s="37"/>
      <c r="QW2956" s="37"/>
      <c r="QX2956" s="37"/>
      <c r="QY2956" s="37"/>
      <c r="QZ2956" s="37"/>
      <c r="RA2956" s="37"/>
      <c r="RB2956" s="37"/>
      <c r="RC2956" s="37"/>
      <c r="RD2956" s="37"/>
      <c r="RE2956" s="37"/>
      <c r="RF2956" s="37"/>
      <c r="RG2956" s="37"/>
      <c r="RH2956" s="37"/>
      <c r="RI2956" s="37"/>
      <c r="RJ2956" s="37"/>
      <c r="RK2956" s="37"/>
      <c r="RL2956" s="37"/>
      <c r="RM2956" s="37"/>
      <c r="RN2956" s="37"/>
      <c r="RO2956" s="37"/>
      <c r="RP2956" s="37"/>
      <c r="RQ2956" s="37"/>
      <c r="RR2956" s="37"/>
      <c r="RS2956" s="37"/>
      <c r="RT2956" s="37"/>
      <c r="RU2956" s="37"/>
      <c r="RV2956" s="37"/>
      <c r="RW2956" s="37"/>
      <c r="RX2956" s="37"/>
      <c r="RY2956" s="37"/>
      <c r="RZ2956" s="37"/>
      <c r="SA2956" s="37"/>
      <c r="SB2956" s="37"/>
      <c r="SC2956" s="37"/>
      <c r="SD2956" s="37"/>
      <c r="SE2956" s="37"/>
      <c r="SF2956" s="37"/>
    </row>
    <row r="2957" spans="1:500">
      <c r="A2957" s="37"/>
      <c r="B2957" s="37"/>
      <c r="C2957" s="37"/>
      <c r="D2957" s="37"/>
      <c r="E2957" s="37"/>
      <c r="F2957" s="37"/>
      <c r="G2957" s="37"/>
      <c r="H2957" s="37"/>
      <c r="I2957" s="37"/>
      <c r="J2957" s="37"/>
      <c r="K2957" s="37"/>
      <c r="L2957" s="37"/>
      <c r="M2957" s="37"/>
      <c r="N2957" s="37"/>
      <c r="O2957" s="37"/>
      <c r="P2957" s="37"/>
      <c r="Q2957" s="37"/>
      <c r="R2957" s="37"/>
      <c r="S2957" s="37"/>
      <c r="T2957" s="37"/>
      <c r="U2957" s="37"/>
      <c r="V2957" s="37"/>
      <c r="W2957" s="37"/>
      <c r="X2957" s="37"/>
      <c r="Y2957" s="37"/>
      <c r="Z2957" s="37"/>
      <c r="AA2957" s="37"/>
      <c r="AB2957" s="37"/>
      <c r="AC2957" s="37"/>
      <c r="AD2957" s="37"/>
      <c r="AE2957" s="37"/>
      <c r="AF2957" s="37"/>
      <c r="AG2957" s="37"/>
      <c r="AH2957" s="37"/>
      <c r="AI2957" s="37"/>
      <c r="AJ2957" s="37"/>
      <c r="AK2957" s="37"/>
      <c r="AL2957" s="37"/>
      <c r="AM2957" s="37"/>
      <c r="AN2957" s="37"/>
      <c r="AO2957" s="37"/>
      <c r="AP2957" s="37"/>
      <c r="AQ2957" s="37"/>
      <c r="AR2957" s="37"/>
      <c r="AS2957" s="37"/>
      <c r="AT2957" s="37"/>
      <c r="AU2957" s="37"/>
      <c r="AV2957" s="37"/>
      <c r="AW2957" s="37"/>
      <c r="AX2957" s="37"/>
      <c r="AY2957" s="37"/>
      <c r="AZ2957" s="37"/>
      <c r="BA2957" s="37"/>
      <c r="BB2957" s="37"/>
      <c r="BC2957" s="37"/>
      <c r="BD2957" s="37"/>
      <c r="BE2957" s="37"/>
      <c r="BF2957" s="37"/>
      <c r="BG2957" s="37"/>
      <c r="BH2957" s="37"/>
      <c r="BI2957" s="37"/>
      <c r="BJ2957" s="37"/>
      <c r="BK2957" s="37"/>
      <c r="BL2957" s="37"/>
      <c r="BM2957" s="37"/>
      <c r="BN2957" s="37"/>
      <c r="BO2957" s="37"/>
      <c r="BP2957" s="37"/>
      <c r="BQ2957" s="37"/>
      <c r="BR2957" s="37"/>
      <c r="BS2957" s="37"/>
      <c r="BT2957" s="37"/>
      <c r="BU2957" s="37"/>
      <c r="BV2957" s="37"/>
      <c r="BW2957" s="37"/>
      <c r="BX2957" s="37"/>
      <c r="BY2957" s="37"/>
      <c r="BZ2957" s="37"/>
      <c r="CA2957" s="37"/>
      <c r="CB2957" s="37"/>
      <c r="CC2957" s="37"/>
      <c r="CD2957" s="37"/>
      <c r="CE2957" s="37"/>
      <c r="CF2957" s="37"/>
      <c r="CG2957" s="37"/>
      <c r="CH2957" s="37"/>
      <c r="CI2957" s="37"/>
      <c r="CJ2957" s="37"/>
      <c r="CK2957" s="37"/>
      <c r="CL2957" s="37"/>
      <c r="CM2957" s="37"/>
      <c r="CN2957" s="37"/>
      <c r="CO2957" s="37"/>
      <c r="CP2957" s="37"/>
      <c r="CQ2957" s="37"/>
      <c r="CR2957" s="37"/>
      <c r="CS2957" s="37"/>
      <c r="CT2957" s="37"/>
      <c r="CU2957" s="37"/>
      <c r="CV2957" s="37"/>
      <c r="CW2957" s="37"/>
      <c r="CX2957" s="37"/>
      <c r="CY2957" s="37"/>
      <c r="CZ2957" s="37"/>
      <c r="DA2957" s="37"/>
      <c r="DB2957" s="37"/>
      <c r="DC2957" s="37"/>
      <c r="DD2957" s="37"/>
      <c r="DE2957" s="37"/>
      <c r="DF2957" s="37"/>
      <c r="DG2957" s="37"/>
      <c r="DH2957" s="37"/>
      <c r="DI2957" s="37"/>
      <c r="DJ2957" s="37"/>
      <c r="DK2957" s="37"/>
      <c r="DL2957" s="37"/>
      <c r="DM2957" s="37"/>
      <c r="DN2957" s="37"/>
      <c r="DO2957" s="37"/>
      <c r="DP2957" s="37"/>
      <c r="DQ2957" s="37"/>
      <c r="DR2957" s="37"/>
      <c r="DS2957" s="37"/>
      <c r="DT2957" s="37"/>
      <c r="DU2957" s="37"/>
      <c r="DV2957" s="37"/>
      <c r="DW2957" s="37"/>
      <c r="DX2957" s="37"/>
      <c r="DY2957" s="37"/>
      <c r="DZ2957" s="37"/>
      <c r="EA2957" s="37"/>
      <c r="EB2957" s="37"/>
      <c r="EC2957" s="37"/>
      <c r="ED2957" s="37"/>
      <c r="EE2957" s="37"/>
      <c r="EF2957" s="37"/>
      <c r="EG2957" s="37"/>
      <c r="EH2957" s="37"/>
      <c r="EI2957" s="37"/>
      <c r="EJ2957" s="37"/>
      <c r="EK2957" s="37"/>
      <c r="EL2957" s="37"/>
      <c r="EM2957" s="37"/>
      <c r="EN2957" s="37"/>
      <c r="EO2957" s="37"/>
      <c r="EP2957" s="37"/>
      <c r="EQ2957" s="37"/>
      <c r="ER2957" s="37"/>
      <c r="ES2957" s="37"/>
      <c r="ET2957" s="37"/>
      <c r="EU2957" s="37"/>
      <c r="EV2957" s="37"/>
      <c r="EW2957" s="37"/>
      <c r="EX2957" s="37"/>
      <c r="EY2957" s="37"/>
      <c r="EZ2957" s="37"/>
      <c r="FA2957" s="37"/>
      <c r="FB2957" s="37"/>
      <c r="FC2957" s="37"/>
      <c r="FD2957" s="37"/>
      <c r="FE2957" s="37"/>
      <c r="FF2957" s="37"/>
      <c r="FG2957" s="37"/>
      <c r="FH2957" s="37"/>
      <c r="FI2957" s="37"/>
      <c r="FJ2957" s="37"/>
      <c r="FK2957" s="37"/>
      <c r="FL2957" s="37"/>
      <c r="FM2957" s="37"/>
      <c r="FN2957" s="37"/>
      <c r="FO2957" s="37"/>
      <c r="FP2957" s="37"/>
      <c r="FQ2957" s="37"/>
      <c r="FR2957" s="37"/>
      <c r="FS2957" s="37"/>
      <c r="FT2957" s="37"/>
      <c r="FU2957" s="37"/>
      <c r="FV2957" s="37"/>
      <c r="FW2957" s="37"/>
      <c r="FX2957" s="37"/>
      <c r="FY2957" s="37"/>
      <c r="FZ2957" s="37"/>
      <c r="GA2957" s="37"/>
      <c r="GB2957" s="37"/>
      <c r="GC2957" s="37"/>
      <c r="GD2957" s="37"/>
      <c r="GE2957" s="37"/>
      <c r="GF2957" s="37"/>
      <c r="GG2957" s="37"/>
      <c r="GH2957" s="37"/>
      <c r="GI2957" s="37"/>
      <c r="GJ2957" s="37"/>
      <c r="GK2957" s="37"/>
      <c r="GL2957" s="37"/>
      <c r="GM2957" s="37"/>
      <c r="GN2957" s="37"/>
      <c r="GO2957" s="37"/>
      <c r="GP2957" s="37"/>
      <c r="GQ2957" s="37"/>
      <c r="GR2957" s="37"/>
      <c r="GS2957" s="37"/>
      <c r="GT2957" s="37"/>
      <c r="GU2957" s="37"/>
      <c r="GV2957" s="37"/>
      <c r="GW2957" s="37"/>
      <c r="GX2957" s="37"/>
      <c r="GY2957" s="37"/>
      <c r="GZ2957" s="37"/>
      <c r="HA2957" s="37"/>
      <c r="HB2957" s="37"/>
      <c r="HC2957" s="37"/>
      <c r="HD2957" s="37"/>
      <c r="HE2957" s="37"/>
      <c r="HF2957" s="37"/>
      <c r="HG2957" s="37"/>
      <c r="HH2957" s="37"/>
      <c r="HI2957" s="37"/>
      <c r="HJ2957" s="37"/>
      <c r="HK2957" s="37"/>
      <c r="HL2957" s="37"/>
      <c r="HM2957" s="37"/>
      <c r="HN2957" s="37"/>
      <c r="HO2957" s="37"/>
      <c r="HP2957" s="37"/>
      <c r="HQ2957" s="37"/>
      <c r="HR2957" s="37"/>
      <c r="HS2957" s="37"/>
      <c r="HT2957" s="37"/>
      <c r="HU2957" s="37"/>
      <c r="HV2957" s="37"/>
      <c r="HW2957" s="37"/>
      <c r="HX2957" s="37"/>
      <c r="HY2957" s="37"/>
      <c r="HZ2957" s="37"/>
      <c r="IA2957" s="37"/>
      <c r="IB2957" s="37"/>
      <c r="IC2957" s="37"/>
      <c r="ID2957" s="37"/>
      <c r="IE2957" s="37"/>
      <c r="IF2957" s="37"/>
      <c r="IG2957" s="37"/>
      <c r="IH2957" s="37"/>
      <c r="II2957" s="37"/>
      <c r="IJ2957" s="37"/>
      <c r="IK2957" s="37"/>
      <c r="IL2957" s="37"/>
      <c r="IM2957" s="37"/>
      <c r="IN2957" s="37"/>
      <c r="IO2957" s="37"/>
      <c r="IP2957" s="37"/>
      <c r="IQ2957" s="37"/>
      <c r="IR2957" s="37"/>
      <c r="IS2957" s="37"/>
      <c r="IT2957" s="37"/>
      <c r="IU2957" s="37"/>
      <c r="IV2957" s="37"/>
      <c r="IW2957" s="37"/>
      <c r="IX2957" s="37"/>
      <c r="IY2957" s="37"/>
      <c r="IZ2957" s="37"/>
      <c r="JA2957" s="37"/>
      <c r="JB2957" s="37"/>
      <c r="JC2957" s="37"/>
      <c r="JD2957" s="37"/>
      <c r="JE2957" s="37"/>
      <c r="JF2957" s="37"/>
      <c r="JG2957" s="37"/>
      <c r="JH2957" s="37"/>
      <c r="JI2957" s="37"/>
      <c r="JJ2957" s="37"/>
      <c r="JK2957" s="37"/>
      <c r="JL2957" s="37"/>
      <c r="JM2957" s="37"/>
      <c r="JN2957" s="37"/>
      <c r="JO2957" s="37"/>
      <c r="JP2957" s="37"/>
      <c r="JQ2957" s="37"/>
      <c r="JR2957" s="37"/>
      <c r="JS2957" s="37"/>
      <c r="JT2957" s="37"/>
      <c r="JU2957" s="37"/>
      <c r="JV2957" s="37"/>
      <c r="JW2957" s="37"/>
      <c r="JX2957" s="37"/>
      <c r="JY2957" s="37"/>
      <c r="JZ2957" s="37"/>
      <c r="KA2957" s="37"/>
      <c r="KB2957" s="37"/>
      <c r="KC2957" s="37"/>
      <c r="KD2957" s="37"/>
      <c r="KE2957" s="37"/>
      <c r="KF2957" s="37"/>
      <c r="KG2957" s="37"/>
      <c r="KH2957" s="37"/>
      <c r="KI2957" s="37"/>
      <c r="KJ2957" s="37"/>
      <c r="KK2957" s="37"/>
      <c r="KL2957" s="37"/>
      <c r="KM2957" s="37"/>
      <c r="KN2957" s="37"/>
      <c r="KO2957" s="37"/>
      <c r="KP2957" s="37"/>
      <c r="KQ2957" s="37"/>
      <c r="KR2957" s="37"/>
      <c r="KS2957" s="37"/>
      <c r="KT2957" s="37"/>
      <c r="KU2957" s="37"/>
      <c r="KV2957" s="37"/>
      <c r="KW2957" s="37"/>
      <c r="KX2957" s="37"/>
      <c r="KY2957" s="37"/>
      <c r="KZ2957" s="37"/>
      <c r="LA2957" s="37"/>
      <c r="LB2957" s="37"/>
      <c r="LC2957" s="37"/>
      <c r="LD2957" s="37"/>
      <c r="LE2957" s="37"/>
      <c r="LF2957" s="37"/>
      <c r="LG2957" s="37"/>
      <c r="LH2957" s="37"/>
      <c r="LI2957" s="37"/>
      <c r="LJ2957" s="37"/>
      <c r="LK2957" s="37"/>
      <c r="LL2957" s="37"/>
      <c r="LM2957" s="37"/>
      <c r="LN2957" s="37"/>
      <c r="LO2957" s="37"/>
      <c r="LP2957" s="37"/>
      <c r="LQ2957" s="37"/>
      <c r="LR2957" s="37"/>
      <c r="LS2957" s="37"/>
      <c r="LT2957" s="37"/>
      <c r="LU2957" s="37"/>
      <c r="LV2957" s="37"/>
      <c r="LW2957" s="37"/>
      <c r="LX2957" s="37"/>
      <c r="LY2957" s="37"/>
      <c r="LZ2957" s="37"/>
      <c r="MA2957" s="37"/>
      <c r="MB2957" s="37"/>
      <c r="MC2957" s="37"/>
      <c r="MD2957" s="37"/>
      <c r="ME2957" s="37"/>
      <c r="MF2957" s="37"/>
      <c r="MG2957" s="37"/>
      <c r="MH2957" s="37"/>
      <c r="MI2957" s="37"/>
      <c r="MJ2957" s="37"/>
      <c r="MK2957" s="37"/>
      <c r="ML2957" s="37"/>
      <c r="MM2957" s="37"/>
      <c r="MN2957" s="37"/>
      <c r="MO2957" s="37"/>
      <c r="MP2957" s="37"/>
      <c r="MQ2957" s="37"/>
      <c r="MR2957" s="37"/>
      <c r="MS2957" s="37"/>
      <c r="MT2957" s="37"/>
      <c r="MU2957" s="37"/>
      <c r="MV2957" s="37"/>
      <c r="MW2957" s="37"/>
      <c r="MX2957" s="37"/>
      <c r="MY2957" s="37"/>
      <c r="MZ2957" s="37"/>
      <c r="NA2957" s="37"/>
      <c r="NB2957" s="37"/>
      <c r="NC2957" s="37"/>
      <c r="ND2957" s="37"/>
      <c r="NE2957" s="37"/>
      <c r="NF2957" s="37"/>
      <c r="NG2957" s="37"/>
      <c r="NH2957" s="37"/>
      <c r="NI2957" s="37"/>
      <c r="NJ2957" s="37"/>
      <c r="NK2957" s="37"/>
      <c r="NL2957" s="37"/>
      <c r="NM2957" s="37"/>
      <c r="NN2957" s="37"/>
      <c r="NO2957" s="37"/>
      <c r="NP2957" s="37"/>
      <c r="NQ2957" s="37"/>
      <c r="NR2957" s="37"/>
      <c r="NS2957" s="37"/>
      <c r="NT2957" s="37"/>
      <c r="NU2957" s="37"/>
      <c r="NV2957" s="37"/>
      <c r="NW2957" s="37"/>
      <c r="NX2957" s="37"/>
      <c r="NY2957" s="37"/>
      <c r="NZ2957" s="37"/>
      <c r="OA2957" s="37"/>
      <c r="OB2957" s="37"/>
      <c r="OC2957" s="37"/>
      <c r="OD2957" s="37"/>
      <c r="OE2957" s="37"/>
      <c r="OF2957" s="37"/>
      <c r="OG2957" s="37"/>
      <c r="OH2957" s="37"/>
      <c r="OI2957" s="37"/>
      <c r="OJ2957" s="37"/>
      <c r="OK2957" s="37"/>
      <c r="OL2957" s="37"/>
      <c r="OM2957" s="37"/>
      <c r="ON2957" s="37"/>
      <c r="OO2957" s="37"/>
      <c r="OP2957" s="37"/>
      <c r="OQ2957" s="37"/>
      <c r="OR2957" s="37"/>
      <c r="OS2957" s="37"/>
      <c r="OT2957" s="37"/>
      <c r="OU2957" s="37"/>
      <c r="OV2957" s="37"/>
      <c r="OW2957" s="37"/>
      <c r="OX2957" s="37"/>
      <c r="OY2957" s="37"/>
      <c r="OZ2957" s="37"/>
      <c r="PA2957" s="37"/>
      <c r="PB2957" s="37"/>
      <c r="PC2957" s="37"/>
      <c r="PD2957" s="37"/>
      <c r="PE2957" s="37"/>
      <c r="PF2957" s="37"/>
      <c r="PG2957" s="37"/>
      <c r="PH2957" s="37"/>
      <c r="PI2957" s="37"/>
      <c r="PJ2957" s="37"/>
      <c r="PK2957" s="37"/>
      <c r="PL2957" s="37"/>
      <c r="PM2957" s="37"/>
      <c r="PN2957" s="37"/>
      <c r="PO2957" s="37"/>
      <c r="PP2957" s="37"/>
      <c r="PQ2957" s="37"/>
      <c r="PR2957" s="37"/>
      <c r="PS2957" s="37"/>
      <c r="PT2957" s="37"/>
      <c r="PU2957" s="37"/>
      <c r="PV2957" s="37"/>
      <c r="PW2957" s="37"/>
      <c r="PX2957" s="37"/>
      <c r="PY2957" s="37"/>
      <c r="PZ2957" s="37"/>
      <c r="QA2957" s="37"/>
      <c r="QB2957" s="37"/>
      <c r="QC2957" s="37"/>
      <c r="QD2957" s="37"/>
      <c r="QE2957" s="37"/>
      <c r="QF2957" s="37"/>
      <c r="QG2957" s="37"/>
      <c r="QH2957" s="37"/>
      <c r="QI2957" s="37"/>
      <c r="QJ2957" s="37"/>
      <c r="QK2957" s="37"/>
      <c r="QL2957" s="37"/>
      <c r="QM2957" s="37"/>
      <c r="QN2957" s="37"/>
      <c r="QO2957" s="37"/>
      <c r="QP2957" s="37"/>
      <c r="QQ2957" s="37"/>
      <c r="QR2957" s="37"/>
      <c r="QS2957" s="37"/>
      <c r="QT2957" s="37"/>
      <c r="QU2957" s="37"/>
      <c r="QV2957" s="37"/>
      <c r="QW2957" s="37"/>
      <c r="QX2957" s="37"/>
      <c r="QY2957" s="37"/>
      <c r="QZ2957" s="37"/>
      <c r="RA2957" s="37"/>
      <c r="RB2957" s="37"/>
      <c r="RC2957" s="37"/>
      <c r="RD2957" s="37"/>
      <c r="RE2957" s="37"/>
      <c r="RF2957" s="37"/>
      <c r="RG2957" s="37"/>
      <c r="RH2957" s="37"/>
      <c r="RI2957" s="37"/>
      <c r="RJ2957" s="37"/>
      <c r="RK2957" s="37"/>
      <c r="RL2957" s="37"/>
      <c r="RM2957" s="37"/>
      <c r="RN2957" s="37"/>
      <c r="RO2957" s="37"/>
      <c r="RP2957" s="37"/>
      <c r="RQ2957" s="37"/>
      <c r="RR2957" s="37"/>
      <c r="RS2957" s="37"/>
      <c r="RT2957" s="37"/>
      <c r="RU2957" s="37"/>
      <c r="RV2957" s="37"/>
      <c r="RW2957" s="37"/>
      <c r="RX2957" s="37"/>
      <c r="RY2957" s="37"/>
      <c r="RZ2957" s="37"/>
      <c r="SA2957" s="37"/>
      <c r="SB2957" s="37"/>
      <c r="SC2957" s="37"/>
      <c r="SD2957" s="37"/>
      <c r="SE2957" s="37"/>
      <c r="SF2957" s="37"/>
    </row>
    <row r="2958" spans="1:500">
      <c r="A2958" s="37"/>
      <c r="B2958" s="37"/>
      <c r="C2958" s="37"/>
      <c r="D2958" s="37"/>
      <c r="E2958" s="37"/>
      <c r="F2958" s="37"/>
      <c r="G2958" s="37"/>
      <c r="H2958" s="37"/>
      <c r="I2958" s="37"/>
      <c r="J2958" s="37"/>
      <c r="K2958" s="37"/>
      <c r="L2958" s="37"/>
      <c r="M2958" s="37"/>
      <c r="N2958" s="37"/>
      <c r="O2958" s="37"/>
      <c r="P2958" s="37"/>
      <c r="Q2958" s="37"/>
      <c r="R2958" s="37"/>
      <c r="S2958" s="37"/>
      <c r="T2958" s="37"/>
      <c r="U2958" s="37"/>
      <c r="V2958" s="37"/>
      <c r="W2958" s="37"/>
      <c r="X2958" s="37"/>
      <c r="Y2958" s="37"/>
      <c r="Z2958" s="37"/>
      <c r="AA2958" s="37"/>
      <c r="AB2958" s="37"/>
      <c r="AC2958" s="37"/>
      <c r="AD2958" s="37"/>
      <c r="AE2958" s="37"/>
      <c r="AF2958" s="37"/>
      <c r="AG2958" s="37"/>
      <c r="AH2958" s="37"/>
      <c r="AI2958" s="37"/>
      <c r="AJ2958" s="37"/>
      <c r="AK2958" s="37"/>
      <c r="AL2958" s="37"/>
      <c r="AM2958" s="37"/>
      <c r="AN2958" s="37"/>
      <c r="AO2958" s="37"/>
      <c r="AP2958" s="37"/>
      <c r="AQ2958" s="37"/>
      <c r="AR2958" s="37"/>
      <c r="AS2958" s="37"/>
      <c r="AT2958" s="37"/>
      <c r="AU2958" s="37"/>
      <c r="AV2958" s="37"/>
      <c r="AW2958" s="37"/>
      <c r="AX2958" s="37"/>
      <c r="AY2958" s="37"/>
      <c r="AZ2958" s="37"/>
      <c r="BA2958" s="37"/>
      <c r="BB2958" s="37"/>
      <c r="BC2958" s="37"/>
      <c r="BD2958" s="37"/>
      <c r="BE2958" s="37"/>
      <c r="BF2958" s="37"/>
      <c r="BG2958" s="37"/>
      <c r="BH2958" s="37"/>
      <c r="BI2958" s="37"/>
      <c r="BJ2958" s="37"/>
      <c r="BK2958" s="37"/>
      <c r="BL2958" s="37"/>
      <c r="BM2958" s="37"/>
      <c r="BN2958" s="37"/>
      <c r="BO2958" s="37"/>
      <c r="BP2958" s="37"/>
      <c r="BQ2958" s="37"/>
      <c r="BR2958" s="37"/>
      <c r="BS2958" s="37"/>
      <c r="BT2958" s="37"/>
      <c r="BU2958" s="37"/>
      <c r="BV2958" s="37"/>
      <c r="BW2958" s="37"/>
      <c r="BX2958" s="37"/>
      <c r="BY2958" s="37"/>
      <c r="BZ2958" s="37"/>
      <c r="CA2958" s="37"/>
      <c r="CB2958" s="37"/>
      <c r="CC2958" s="37"/>
      <c r="CD2958" s="37"/>
      <c r="CE2958" s="37"/>
      <c r="CF2958" s="37"/>
      <c r="CG2958" s="37"/>
      <c r="CH2958" s="37"/>
      <c r="CI2958" s="37"/>
      <c r="CJ2958" s="37"/>
      <c r="CK2958" s="37"/>
      <c r="CL2958" s="37"/>
      <c r="CM2958" s="37"/>
      <c r="CN2958" s="37"/>
      <c r="CO2958" s="37"/>
      <c r="CP2958" s="37"/>
      <c r="CQ2958" s="37"/>
      <c r="CR2958" s="37"/>
      <c r="CS2958" s="37"/>
      <c r="CT2958" s="37"/>
      <c r="CU2958" s="37"/>
      <c r="CV2958" s="37"/>
      <c r="CW2958" s="37"/>
      <c r="CX2958" s="37"/>
      <c r="CY2958" s="37"/>
      <c r="CZ2958" s="37"/>
      <c r="DA2958" s="37"/>
      <c r="DB2958" s="37"/>
      <c r="DC2958" s="37"/>
      <c r="DD2958" s="37"/>
      <c r="DE2958" s="37"/>
      <c r="DF2958" s="37"/>
      <c r="DG2958" s="37"/>
      <c r="DH2958" s="37"/>
      <c r="DI2958" s="37"/>
      <c r="DJ2958" s="37"/>
      <c r="DK2958" s="37"/>
      <c r="DL2958" s="37"/>
      <c r="DM2958" s="37"/>
      <c r="DN2958" s="37"/>
      <c r="DO2958" s="37"/>
      <c r="DP2958" s="37"/>
      <c r="DQ2958" s="37"/>
      <c r="DR2958" s="37"/>
      <c r="DS2958" s="37"/>
      <c r="DT2958" s="37"/>
      <c r="DU2958" s="37"/>
      <c r="DV2958" s="37"/>
      <c r="DW2958" s="37"/>
      <c r="DX2958" s="37"/>
      <c r="DY2958" s="37"/>
      <c r="DZ2958" s="37"/>
      <c r="EA2958" s="37"/>
      <c r="EB2958" s="37"/>
      <c r="EC2958" s="37"/>
      <c r="ED2958" s="37"/>
      <c r="EE2958" s="37"/>
      <c r="EF2958" s="37"/>
      <c r="EG2958" s="37"/>
      <c r="EH2958" s="37"/>
      <c r="EI2958" s="37"/>
      <c r="EJ2958" s="37"/>
      <c r="EK2958" s="37"/>
      <c r="EL2958" s="37"/>
      <c r="EM2958" s="37"/>
      <c r="EN2958" s="37"/>
      <c r="EO2958" s="37"/>
      <c r="EP2958" s="37"/>
      <c r="EQ2958" s="37"/>
      <c r="ER2958" s="37"/>
      <c r="ES2958" s="37"/>
      <c r="ET2958" s="37"/>
      <c r="EU2958" s="37"/>
      <c r="EV2958" s="37"/>
      <c r="EW2958" s="37"/>
      <c r="EX2958" s="37"/>
      <c r="EY2958" s="37"/>
      <c r="EZ2958" s="37"/>
      <c r="FA2958" s="37"/>
      <c r="FB2958" s="37"/>
      <c r="FC2958" s="37"/>
      <c r="FD2958" s="37"/>
      <c r="FE2958" s="37"/>
      <c r="FF2958" s="37"/>
      <c r="FG2958" s="37"/>
      <c r="FH2958" s="37"/>
      <c r="FI2958" s="37"/>
      <c r="FJ2958" s="37"/>
      <c r="FK2958" s="37"/>
      <c r="FL2958" s="37"/>
      <c r="FM2958" s="37"/>
      <c r="FN2958" s="37"/>
      <c r="FO2958" s="37"/>
      <c r="FP2958" s="37"/>
      <c r="FQ2958" s="37"/>
      <c r="FR2958" s="37"/>
      <c r="FS2958" s="37"/>
      <c r="FT2958" s="37"/>
      <c r="FU2958" s="37"/>
      <c r="FV2958" s="37"/>
      <c r="FW2958" s="37"/>
      <c r="FX2958" s="37"/>
      <c r="FY2958" s="37"/>
      <c r="FZ2958" s="37"/>
      <c r="GA2958" s="37"/>
      <c r="GB2958" s="37"/>
      <c r="GC2958" s="37"/>
      <c r="GD2958" s="37"/>
      <c r="GE2958" s="37"/>
      <c r="GF2958" s="37"/>
      <c r="GG2958" s="37"/>
      <c r="GH2958" s="37"/>
      <c r="GI2958" s="37"/>
      <c r="GJ2958" s="37"/>
      <c r="GK2958" s="37"/>
      <c r="GL2958" s="37"/>
      <c r="GM2958" s="37"/>
      <c r="GN2958" s="37"/>
      <c r="GO2958" s="37"/>
      <c r="GP2958" s="37"/>
      <c r="GQ2958" s="37"/>
      <c r="GR2958" s="37"/>
      <c r="GS2958" s="37"/>
      <c r="GT2958" s="37"/>
      <c r="GU2958" s="37"/>
      <c r="GV2958" s="37"/>
      <c r="GW2958" s="37"/>
      <c r="GX2958" s="37"/>
      <c r="GY2958" s="37"/>
      <c r="GZ2958" s="37"/>
      <c r="HA2958" s="37"/>
      <c r="HB2958" s="37"/>
      <c r="HC2958" s="37"/>
      <c r="HD2958" s="37"/>
      <c r="HE2958" s="37"/>
      <c r="HF2958" s="37"/>
      <c r="HG2958" s="37"/>
      <c r="HH2958" s="37"/>
      <c r="HI2958" s="37"/>
      <c r="HJ2958" s="37"/>
      <c r="HK2958" s="37"/>
      <c r="HL2958" s="37"/>
      <c r="HM2958" s="37"/>
      <c r="HN2958" s="37"/>
      <c r="HO2958" s="37"/>
      <c r="HP2958" s="37"/>
      <c r="HQ2958" s="37"/>
      <c r="HR2958" s="37"/>
      <c r="HS2958" s="37"/>
      <c r="HT2958" s="37"/>
      <c r="HU2958" s="37"/>
      <c r="HV2958" s="37"/>
      <c r="HW2958" s="37"/>
      <c r="HX2958" s="37"/>
      <c r="HY2958" s="37"/>
      <c r="HZ2958" s="37"/>
      <c r="IA2958" s="37"/>
      <c r="IB2958" s="37"/>
      <c r="IC2958" s="37"/>
      <c r="ID2958" s="37"/>
      <c r="IE2958" s="37"/>
      <c r="IF2958" s="37"/>
      <c r="IG2958" s="37"/>
      <c r="IH2958" s="37"/>
      <c r="II2958" s="37"/>
      <c r="IJ2958" s="37"/>
      <c r="IK2958" s="37"/>
      <c r="IL2958" s="37"/>
      <c r="IM2958" s="37"/>
      <c r="IN2958" s="37"/>
      <c r="IO2958" s="37"/>
      <c r="IP2958" s="37"/>
      <c r="IQ2958" s="37"/>
      <c r="IR2958" s="37"/>
      <c r="IS2958" s="37"/>
      <c r="IT2958" s="37"/>
      <c r="IU2958" s="37"/>
      <c r="IV2958" s="37"/>
      <c r="IW2958" s="37"/>
      <c r="IX2958" s="37"/>
      <c r="IY2958" s="37"/>
      <c r="IZ2958" s="37"/>
      <c r="JA2958" s="37"/>
      <c r="JB2958" s="37"/>
      <c r="JC2958" s="37"/>
      <c r="JD2958" s="37"/>
      <c r="JE2958" s="37"/>
      <c r="JF2958" s="37"/>
      <c r="JG2958" s="37"/>
      <c r="JH2958" s="37"/>
      <c r="JI2958" s="37"/>
      <c r="JJ2958" s="37"/>
      <c r="JK2958" s="37"/>
      <c r="JL2958" s="37"/>
      <c r="JM2958" s="37"/>
      <c r="JN2958" s="37"/>
      <c r="JO2958" s="37"/>
      <c r="JP2958" s="37"/>
      <c r="JQ2958" s="37"/>
      <c r="JR2958" s="37"/>
      <c r="JS2958" s="37"/>
      <c r="JT2958" s="37"/>
      <c r="JU2958" s="37"/>
      <c r="JV2958" s="37"/>
      <c r="JW2958" s="37"/>
      <c r="JX2958" s="37"/>
      <c r="JY2958" s="37"/>
      <c r="JZ2958" s="37"/>
      <c r="KA2958" s="37"/>
      <c r="KB2958" s="37"/>
      <c r="KC2958" s="37"/>
      <c r="KD2958" s="37"/>
      <c r="KE2958" s="37"/>
      <c r="KF2958" s="37"/>
      <c r="KG2958" s="37"/>
      <c r="KH2958" s="37"/>
      <c r="KI2958" s="37"/>
      <c r="KJ2958" s="37"/>
      <c r="KK2958" s="37"/>
      <c r="KL2958" s="37"/>
      <c r="KM2958" s="37"/>
      <c r="KN2958" s="37"/>
      <c r="KO2958" s="37"/>
      <c r="KP2958" s="37"/>
      <c r="KQ2958" s="37"/>
      <c r="KR2958" s="37"/>
      <c r="KS2958" s="37"/>
      <c r="KT2958" s="37"/>
      <c r="KU2958" s="37"/>
      <c r="KV2958" s="37"/>
      <c r="KW2958" s="37"/>
      <c r="KX2958" s="37"/>
      <c r="KY2958" s="37"/>
      <c r="KZ2958" s="37"/>
      <c r="LA2958" s="37"/>
      <c r="LB2958" s="37"/>
      <c r="LC2958" s="37"/>
      <c r="LD2958" s="37"/>
      <c r="LE2958" s="37"/>
      <c r="LF2958" s="37"/>
      <c r="LG2958" s="37"/>
      <c r="LH2958" s="37"/>
      <c r="LI2958" s="37"/>
      <c r="LJ2958" s="37"/>
      <c r="LK2958" s="37"/>
      <c r="LL2958" s="37"/>
      <c r="LM2958" s="37"/>
      <c r="LN2958" s="37"/>
      <c r="LO2958" s="37"/>
      <c r="LP2958" s="37"/>
      <c r="LQ2958" s="37"/>
      <c r="LR2958" s="37"/>
      <c r="LS2958" s="37"/>
      <c r="LT2958" s="37"/>
      <c r="LU2958" s="37"/>
      <c r="LV2958" s="37"/>
      <c r="LW2958" s="37"/>
      <c r="LX2958" s="37"/>
      <c r="LY2958" s="37"/>
      <c r="LZ2958" s="37"/>
      <c r="MA2958" s="37"/>
      <c r="MB2958" s="37"/>
      <c r="MC2958" s="37"/>
      <c r="MD2958" s="37"/>
      <c r="ME2958" s="37"/>
      <c r="MF2958" s="37"/>
      <c r="MG2958" s="37"/>
      <c r="MH2958" s="37"/>
      <c r="MI2958" s="37"/>
      <c r="MJ2958" s="37"/>
      <c r="MK2958" s="37"/>
      <c r="ML2958" s="37"/>
      <c r="MM2958" s="37"/>
      <c r="MN2958" s="37"/>
      <c r="MO2958" s="37"/>
      <c r="MP2958" s="37"/>
      <c r="MQ2958" s="37"/>
      <c r="MR2958" s="37"/>
      <c r="MS2958" s="37"/>
      <c r="MT2958" s="37"/>
      <c r="MU2958" s="37"/>
      <c r="MV2958" s="37"/>
      <c r="MW2958" s="37"/>
      <c r="MX2958" s="37"/>
      <c r="MY2958" s="37"/>
      <c r="MZ2958" s="37"/>
      <c r="NA2958" s="37"/>
      <c r="NB2958" s="37"/>
      <c r="NC2958" s="37"/>
      <c r="ND2958" s="37"/>
      <c r="NE2958" s="37"/>
      <c r="NF2958" s="37"/>
      <c r="NG2958" s="37"/>
      <c r="NH2958" s="37"/>
      <c r="NI2958" s="37"/>
      <c r="NJ2958" s="37"/>
      <c r="NK2958" s="37"/>
      <c r="NL2958" s="37"/>
      <c r="NM2958" s="37"/>
      <c r="NN2958" s="37"/>
      <c r="NO2958" s="37"/>
      <c r="NP2958" s="37"/>
      <c r="NQ2958" s="37"/>
      <c r="NR2958" s="37"/>
      <c r="NS2958" s="37"/>
      <c r="NT2958" s="37"/>
      <c r="NU2958" s="37"/>
      <c r="NV2958" s="37"/>
      <c r="NW2958" s="37"/>
      <c r="NX2958" s="37"/>
      <c r="NY2958" s="37"/>
      <c r="NZ2958" s="37"/>
      <c r="OA2958" s="37"/>
      <c r="OB2958" s="37"/>
      <c r="OC2958" s="37"/>
      <c r="OD2958" s="37"/>
      <c r="OE2958" s="37"/>
      <c r="OF2958" s="37"/>
      <c r="OG2958" s="37"/>
      <c r="OH2958" s="37"/>
      <c r="OI2958" s="37"/>
      <c r="OJ2958" s="37"/>
      <c r="OK2958" s="37"/>
      <c r="OL2958" s="37"/>
      <c r="OM2958" s="37"/>
      <c r="ON2958" s="37"/>
      <c r="OO2958" s="37"/>
      <c r="OP2958" s="37"/>
      <c r="OQ2958" s="37"/>
      <c r="OR2958" s="37"/>
      <c r="OS2958" s="37"/>
      <c r="OT2958" s="37"/>
      <c r="OU2958" s="37"/>
      <c r="OV2958" s="37"/>
      <c r="OW2958" s="37"/>
      <c r="OX2958" s="37"/>
      <c r="OY2958" s="37"/>
      <c r="OZ2958" s="37"/>
      <c r="PA2958" s="37"/>
      <c r="PB2958" s="37"/>
      <c r="PC2958" s="37"/>
      <c r="PD2958" s="37"/>
      <c r="PE2958" s="37"/>
      <c r="PF2958" s="37"/>
      <c r="PG2958" s="37"/>
      <c r="PH2958" s="37"/>
      <c r="PI2958" s="37"/>
      <c r="PJ2958" s="37"/>
      <c r="PK2958" s="37"/>
      <c r="PL2958" s="37"/>
      <c r="PM2958" s="37"/>
      <c r="PN2958" s="37"/>
      <c r="PO2958" s="37"/>
      <c r="PP2958" s="37"/>
      <c r="PQ2958" s="37"/>
      <c r="PR2958" s="37"/>
      <c r="PS2958" s="37"/>
      <c r="PT2958" s="37"/>
      <c r="PU2958" s="37"/>
      <c r="PV2958" s="37"/>
      <c r="PW2958" s="37"/>
      <c r="PX2958" s="37"/>
      <c r="PY2958" s="37"/>
      <c r="PZ2958" s="37"/>
      <c r="QA2958" s="37"/>
      <c r="QB2958" s="37"/>
      <c r="QC2958" s="37"/>
      <c r="QD2958" s="37"/>
      <c r="QE2958" s="37"/>
      <c r="QF2958" s="37"/>
      <c r="QG2958" s="37"/>
      <c r="QH2958" s="37"/>
      <c r="QI2958" s="37"/>
      <c r="QJ2958" s="37"/>
      <c r="QK2958" s="37"/>
      <c r="QL2958" s="37"/>
      <c r="QM2958" s="37"/>
      <c r="QN2958" s="37"/>
      <c r="QO2958" s="37"/>
      <c r="QP2958" s="37"/>
      <c r="QQ2958" s="37"/>
      <c r="QR2958" s="37"/>
      <c r="QS2958" s="37"/>
      <c r="QT2958" s="37"/>
      <c r="QU2958" s="37"/>
      <c r="QV2958" s="37"/>
      <c r="QW2958" s="37"/>
      <c r="QX2958" s="37"/>
      <c r="QY2958" s="37"/>
      <c r="QZ2958" s="37"/>
      <c r="RA2958" s="37"/>
      <c r="RB2958" s="37"/>
      <c r="RC2958" s="37"/>
      <c r="RD2958" s="37"/>
      <c r="RE2958" s="37"/>
      <c r="RF2958" s="37"/>
      <c r="RG2958" s="37"/>
      <c r="RH2958" s="37"/>
      <c r="RI2958" s="37"/>
      <c r="RJ2958" s="37"/>
      <c r="RK2958" s="37"/>
      <c r="RL2958" s="37"/>
      <c r="RM2958" s="37"/>
      <c r="RN2958" s="37"/>
      <c r="RO2958" s="37"/>
      <c r="RP2958" s="37"/>
      <c r="RQ2958" s="37"/>
      <c r="RR2958" s="37"/>
      <c r="RS2958" s="37"/>
      <c r="RT2958" s="37"/>
      <c r="RU2958" s="37"/>
      <c r="RV2958" s="37"/>
      <c r="RW2958" s="37"/>
      <c r="RX2958" s="37"/>
      <c r="RY2958" s="37"/>
      <c r="RZ2958" s="37"/>
      <c r="SA2958" s="37"/>
      <c r="SB2958" s="37"/>
      <c r="SC2958" s="37"/>
      <c r="SD2958" s="37"/>
      <c r="SE2958" s="37"/>
      <c r="SF2958" s="37"/>
    </row>
    <row r="2959" spans="1:500">
      <c r="A2959" s="37"/>
      <c r="B2959" s="37"/>
      <c r="C2959" s="37"/>
      <c r="D2959" s="37"/>
      <c r="E2959" s="37"/>
      <c r="F2959" s="37"/>
      <c r="G2959" s="37"/>
      <c r="H2959" s="37"/>
      <c r="I2959" s="37"/>
      <c r="J2959" s="37"/>
      <c r="K2959" s="37"/>
      <c r="L2959" s="37"/>
      <c r="M2959" s="37"/>
      <c r="N2959" s="37"/>
      <c r="O2959" s="37"/>
      <c r="P2959" s="37"/>
      <c r="Q2959" s="37"/>
      <c r="R2959" s="37"/>
      <c r="S2959" s="37"/>
      <c r="T2959" s="37"/>
      <c r="U2959" s="37"/>
      <c r="V2959" s="37"/>
      <c r="W2959" s="37"/>
      <c r="X2959" s="37"/>
      <c r="Y2959" s="37"/>
      <c r="Z2959" s="37"/>
      <c r="AA2959" s="37"/>
      <c r="AB2959" s="37"/>
      <c r="AC2959" s="37"/>
      <c r="AD2959" s="37"/>
      <c r="AE2959" s="37"/>
      <c r="AF2959" s="37"/>
      <c r="AG2959" s="37"/>
      <c r="AH2959" s="37"/>
      <c r="AI2959" s="37"/>
      <c r="AJ2959" s="37"/>
      <c r="AK2959" s="37"/>
      <c r="AL2959" s="37"/>
      <c r="AM2959" s="37"/>
      <c r="AN2959" s="37"/>
      <c r="AO2959" s="37"/>
      <c r="AP2959" s="37"/>
      <c r="AQ2959" s="37"/>
      <c r="AR2959" s="37"/>
      <c r="AS2959" s="37"/>
      <c r="AT2959" s="37"/>
      <c r="AU2959" s="37"/>
      <c r="AV2959" s="37"/>
      <c r="AW2959" s="37"/>
      <c r="AX2959" s="37"/>
      <c r="AY2959" s="37"/>
      <c r="AZ2959" s="37"/>
      <c r="BA2959" s="37"/>
      <c r="BB2959" s="37"/>
      <c r="BC2959" s="37"/>
      <c r="BD2959" s="37"/>
      <c r="BE2959" s="37"/>
      <c r="BF2959" s="37"/>
      <c r="BG2959" s="37"/>
      <c r="BH2959" s="37"/>
      <c r="BI2959" s="37"/>
      <c r="BJ2959" s="37"/>
      <c r="BK2959" s="37"/>
      <c r="BL2959" s="37"/>
      <c r="BM2959" s="37"/>
      <c r="BN2959" s="37"/>
      <c r="BO2959" s="37"/>
      <c r="BP2959" s="37"/>
      <c r="BQ2959" s="37"/>
      <c r="BR2959" s="37"/>
      <c r="BS2959" s="37"/>
      <c r="BT2959" s="37"/>
      <c r="BU2959" s="37"/>
      <c r="BV2959" s="37"/>
      <c r="BW2959" s="37"/>
      <c r="BX2959" s="37"/>
      <c r="BY2959" s="37"/>
      <c r="BZ2959" s="37"/>
      <c r="CA2959" s="37"/>
      <c r="CB2959" s="37"/>
      <c r="CC2959" s="37"/>
      <c r="CD2959" s="37"/>
      <c r="CE2959" s="37"/>
      <c r="CF2959" s="37"/>
      <c r="CG2959" s="37"/>
      <c r="CH2959" s="37"/>
      <c r="CI2959" s="37"/>
      <c r="CJ2959" s="37"/>
      <c r="CK2959" s="37"/>
      <c r="CL2959" s="37"/>
      <c r="CM2959" s="37"/>
      <c r="CN2959" s="37"/>
      <c r="CO2959" s="37"/>
      <c r="CP2959" s="37"/>
      <c r="CQ2959" s="37"/>
      <c r="CR2959" s="37"/>
      <c r="CS2959" s="37"/>
      <c r="CT2959" s="37"/>
      <c r="CU2959" s="37"/>
      <c r="CV2959" s="37"/>
      <c r="CW2959" s="37"/>
      <c r="CX2959" s="37"/>
      <c r="CY2959" s="37"/>
      <c r="CZ2959" s="37"/>
      <c r="DA2959" s="37"/>
      <c r="DB2959" s="37"/>
      <c r="DC2959" s="37"/>
      <c r="DD2959" s="37"/>
      <c r="DE2959" s="37"/>
      <c r="DF2959" s="37"/>
      <c r="DG2959" s="37"/>
      <c r="DH2959" s="37"/>
      <c r="DI2959" s="37"/>
      <c r="DJ2959" s="37"/>
      <c r="DK2959" s="37"/>
      <c r="DL2959" s="37"/>
      <c r="DM2959" s="37"/>
      <c r="DN2959" s="37"/>
      <c r="DO2959" s="37"/>
      <c r="DP2959" s="37"/>
      <c r="DQ2959" s="37"/>
      <c r="DR2959" s="37"/>
      <c r="DS2959" s="37"/>
      <c r="DT2959" s="37"/>
      <c r="DU2959" s="37"/>
      <c r="DV2959" s="37"/>
      <c r="DW2959" s="37"/>
      <c r="DX2959" s="37"/>
      <c r="DY2959" s="37"/>
      <c r="DZ2959" s="37"/>
      <c r="EA2959" s="37"/>
      <c r="EB2959" s="37"/>
      <c r="EC2959" s="37"/>
      <c r="ED2959" s="37"/>
      <c r="EE2959" s="37"/>
      <c r="EF2959" s="37"/>
      <c r="EG2959" s="37"/>
      <c r="EH2959" s="37"/>
      <c r="EI2959" s="37"/>
      <c r="EJ2959" s="37"/>
      <c r="EK2959" s="37"/>
      <c r="EL2959" s="37"/>
      <c r="EM2959" s="37"/>
      <c r="EN2959" s="37"/>
      <c r="EO2959" s="37"/>
      <c r="EP2959" s="37"/>
      <c r="EQ2959" s="37"/>
      <c r="ER2959" s="37"/>
      <c r="ES2959" s="37"/>
      <c r="ET2959" s="37"/>
      <c r="EU2959" s="37"/>
      <c r="EV2959" s="37"/>
      <c r="EW2959" s="37"/>
      <c r="EX2959" s="37"/>
      <c r="EY2959" s="37"/>
      <c r="EZ2959" s="37"/>
      <c r="FA2959" s="37"/>
      <c r="FB2959" s="37"/>
      <c r="FC2959" s="37"/>
      <c r="FD2959" s="37"/>
      <c r="FE2959" s="37"/>
      <c r="FF2959" s="37"/>
      <c r="FG2959" s="37"/>
      <c r="FH2959" s="37"/>
      <c r="FI2959" s="37"/>
      <c r="FJ2959" s="37"/>
      <c r="FK2959" s="37"/>
      <c r="FL2959" s="37"/>
      <c r="FM2959" s="37"/>
      <c r="FN2959" s="37"/>
      <c r="FO2959" s="37"/>
      <c r="FP2959" s="37"/>
      <c r="FQ2959" s="37"/>
      <c r="FR2959" s="37"/>
      <c r="FS2959" s="37"/>
      <c r="FT2959" s="37"/>
      <c r="FU2959" s="37"/>
      <c r="FV2959" s="37"/>
      <c r="FW2959" s="37"/>
      <c r="FX2959" s="37"/>
      <c r="FY2959" s="37"/>
      <c r="FZ2959" s="37"/>
      <c r="GA2959" s="37"/>
      <c r="GB2959" s="37"/>
      <c r="GC2959" s="37"/>
      <c r="GD2959" s="37"/>
      <c r="GE2959" s="37"/>
      <c r="GF2959" s="37"/>
      <c r="GG2959" s="37"/>
      <c r="GH2959" s="37"/>
      <c r="GI2959" s="37"/>
      <c r="GJ2959" s="37"/>
      <c r="GK2959" s="37"/>
      <c r="GL2959" s="37"/>
      <c r="GM2959" s="37"/>
      <c r="GN2959" s="37"/>
      <c r="GO2959" s="37"/>
      <c r="GP2959" s="37"/>
      <c r="GQ2959" s="37"/>
      <c r="GR2959" s="37"/>
      <c r="GS2959" s="37"/>
      <c r="GT2959" s="37"/>
      <c r="GU2959" s="37"/>
      <c r="GV2959" s="37"/>
      <c r="GW2959" s="37"/>
      <c r="GX2959" s="37"/>
      <c r="GY2959" s="37"/>
      <c r="GZ2959" s="37"/>
      <c r="HA2959" s="37"/>
      <c r="HB2959" s="37"/>
      <c r="HC2959" s="37"/>
      <c r="HD2959" s="37"/>
      <c r="HE2959" s="37"/>
      <c r="HF2959" s="37"/>
      <c r="HG2959" s="37"/>
      <c r="HH2959" s="37"/>
      <c r="HI2959" s="37"/>
      <c r="HJ2959" s="37"/>
      <c r="HK2959" s="37"/>
      <c r="HL2959" s="37"/>
      <c r="HM2959" s="37"/>
      <c r="HN2959" s="37"/>
      <c r="HO2959" s="37"/>
      <c r="HP2959" s="37"/>
      <c r="HQ2959" s="37"/>
      <c r="HR2959" s="37"/>
      <c r="HS2959" s="37"/>
      <c r="HT2959" s="37"/>
      <c r="HU2959" s="37"/>
      <c r="HV2959" s="37"/>
      <c r="HW2959" s="37"/>
      <c r="HX2959" s="37"/>
      <c r="HY2959" s="37"/>
      <c r="HZ2959" s="37"/>
      <c r="IA2959" s="37"/>
      <c r="IB2959" s="37"/>
      <c r="IC2959" s="37"/>
      <c r="ID2959" s="37"/>
      <c r="IE2959" s="37"/>
      <c r="IF2959" s="37"/>
      <c r="IG2959" s="37"/>
      <c r="IH2959" s="37"/>
      <c r="II2959" s="37"/>
      <c r="IJ2959" s="37"/>
      <c r="IK2959" s="37"/>
      <c r="IL2959" s="37"/>
      <c r="IM2959" s="37"/>
      <c r="IN2959" s="37"/>
      <c r="IO2959" s="37"/>
      <c r="IP2959" s="37"/>
      <c r="IQ2959" s="37"/>
      <c r="IR2959" s="37"/>
      <c r="IS2959" s="37"/>
      <c r="IT2959" s="37"/>
      <c r="IU2959" s="37"/>
      <c r="IV2959" s="37"/>
      <c r="IW2959" s="37"/>
      <c r="IX2959" s="37"/>
      <c r="IY2959" s="37"/>
      <c r="IZ2959" s="37"/>
      <c r="JA2959" s="37"/>
      <c r="JB2959" s="37"/>
      <c r="JC2959" s="37"/>
      <c r="JD2959" s="37"/>
      <c r="JE2959" s="37"/>
      <c r="JF2959" s="37"/>
      <c r="JG2959" s="37"/>
      <c r="JH2959" s="37"/>
      <c r="JI2959" s="37"/>
      <c r="JJ2959" s="37"/>
      <c r="JK2959" s="37"/>
      <c r="JL2959" s="37"/>
      <c r="JM2959" s="37"/>
      <c r="JN2959" s="37"/>
      <c r="JO2959" s="37"/>
      <c r="JP2959" s="37"/>
      <c r="JQ2959" s="37"/>
      <c r="JR2959" s="37"/>
      <c r="JS2959" s="37"/>
      <c r="JT2959" s="37"/>
      <c r="JU2959" s="37"/>
      <c r="JV2959" s="37"/>
      <c r="JW2959" s="37"/>
      <c r="JX2959" s="37"/>
      <c r="JY2959" s="37"/>
      <c r="JZ2959" s="37"/>
      <c r="KA2959" s="37"/>
      <c r="KB2959" s="37"/>
      <c r="KC2959" s="37"/>
      <c r="KD2959" s="37"/>
      <c r="KE2959" s="37"/>
      <c r="KF2959" s="37"/>
      <c r="KG2959" s="37"/>
      <c r="KH2959" s="37"/>
      <c r="KI2959" s="37"/>
      <c r="KJ2959" s="37"/>
      <c r="KK2959" s="37"/>
      <c r="KL2959" s="37"/>
      <c r="KM2959" s="37"/>
      <c r="KN2959" s="37"/>
      <c r="KO2959" s="37"/>
      <c r="KP2959" s="37"/>
      <c r="KQ2959" s="37"/>
      <c r="KR2959" s="37"/>
      <c r="KS2959" s="37"/>
      <c r="KT2959" s="37"/>
      <c r="KU2959" s="37"/>
      <c r="KV2959" s="37"/>
      <c r="KW2959" s="37"/>
      <c r="KX2959" s="37"/>
      <c r="KY2959" s="37"/>
      <c r="KZ2959" s="37"/>
      <c r="LA2959" s="37"/>
      <c r="LB2959" s="37"/>
      <c r="LC2959" s="37"/>
      <c r="LD2959" s="37"/>
      <c r="LE2959" s="37"/>
      <c r="LF2959" s="37"/>
      <c r="LG2959" s="37"/>
      <c r="LH2959" s="37"/>
      <c r="LI2959" s="37"/>
      <c r="LJ2959" s="37"/>
      <c r="LK2959" s="37"/>
      <c r="LL2959" s="37"/>
      <c r="LM2959" s="37"/>
      <c r="LN2959" s="37"/>
      <c r="LO2959" s="37"/>
      <c r="LP2959" s="37"/>
      <c r="LQ2959" s="37"/>
      <c r="LR2959" s="37"/>
      <c r="LS2959" s="37"/>
      <c r="LT2959" s="37"/>
      <c r="LU2959" s="37"/>
      <c r="LV2959" s="37"/>
      <c r="LW2959" s="37"/>
      <c r="LX2959" s="37"/>
      <c r="LY2959" s="37"/>
      <c r="LZ2959" s="37"/>
      <c r="MA2959" s="37"/>
      <c r="MB2959" s="37"/>
      <c r="MC2959" s="37"/>
      <c r="MD2959" s="37"/>
      <c r="ME2959" s="37"/>
      <c r="MF2959" s="37"/>
      <c r="MG2959" s="37"/>
      <c r="MH2959" s="37"/>
      <c r="MI2959" s="37"/>
      <c r="MJ2959" s="37"/>
      <c r="MK2959" s="37"/>
      <c r="ML2959" s="37"/>
      <c r="MM2959" s="37"/>
      <c r="MN2959" s="37"/>
      <c r="MO2959" s="37"/>
      <c r="MP2959" s="37"/>
      <c r="MQ2959" s="37"/>
      <c r="MR2959" s="37"/>
      <c r="MS2959" s="37"/>
      <c r="MT2959" s="37"/>
      <c r="MU2959" s="37"/>
      <c r="MV2959" s="37"/>
      <c r="MW2959" s="37"/>
      <c r="MX2959" s="37"/>
      <c r="MY2959" s="37"/>
      <c r="MZ2959" s="37"/>
      <c r="NA2959" s="37"/>
      <c r="NB2959" s="37"/>
      <c r="NC2959" s="37"/>
      <c r="ND2959" s="37"/>
      <c r="NE2959" s="37"/>
      <c r="NF2959" s="37"/>
      <c r="NG2959" s="37"/>
      <c r="NH2959" s="37"/>
      <c r="NI2959" s="37"/>
      <c r="NJ2959" s="37"/>
      <c r="NK2959" s="37"/>
      <c r="NL2959" s="37"/>
      <c r="NM2959" s="37"/>
      <c r="NN2959" s="37"/>
      <c r="NO2959" s="37"/>
      <c r="NP2959" s="37"/>
      <c r="NQ2959" s="37"/>
      <c r="NR2959" s="37"/>
      <c r="NS2959" s="37"/>
      <c r="NT2959" s="37"/>
      <c r="NU2959" s="37"/>
      <c r="NV2959" s="37"/>
      <c r="NW2959" s="37"/>
      <c r="NX2959" s="37"/>
      <c r="NY2959" s="37"/>
      <c r="NZ2959" s="37"/>
      <c r="OA2959" s="37"/>
      <c r="OB2959" s="37"/>
      <c r="OC2959" s="37"/>
      <c r="OD2959" s="37"/>
      <c r="OE2959" s="37"/>
      <c r="OF2959" s="37"/>
      <c r="OG2959" s="37"/>
      <c r="OH2959" s="37"/>
      <c r="OI2959" s="37"/>
      <c r="OJ2959" s="37"/>
      <c r="OK2959" s="37"/>
      <c r="OL2959" s="37"/>
      <c r="OM2959" s="37"/>
      <c r="ON2959" s="37"/>
      <c r="OO2959" s="37"/>
      <c r="OP2959" s="37"/>
      <c r="OQ2959" s="37"/>
      <c r="OR2959" s="37"/>
      <c r="OS2959" s="37"/>
      <c r="OT2959" s="37"/>
      <c r="OU2959" s="37"/>
      <c r="OV2959" s="37"/>
      <c r="OW2959" s="37"/>
      <c r="OX2959" s="37"/>
      <c r="OY2959" s="37"/>
      <c r="OZ2959" s="37"/>
      <c r="PA2959" s="37"/>
      <c r="PB2959" s="37"/>
      <c r="PC2959" s="37"/>
      <c r="PD2959" s="37"/>
      <c r="PE2959" s="37"/>
      <c r="PF2959" s="37"/>
      <c r="PG2959" s="37"/>
      <c r="PH2959" s="37"/>
      <c r="PI2959" s="37"/>
      <c r="PJ2959" s="37"/>
      <c r="PK2959" s="37"/>
      <c r="PL2959" s="37"/>
      <c r="PM2959" s="37"/>
      <c r="PN2959" s="37"/>
      <c r="PO2959" s="37"/>
      <c r="PP2959" s="37"/>
      <c r="PQ2959" s="37"/>
      <c r="PR2959" s="37"/>
      <c r="PS2959" s="37"/>
      <c r="PT2959" s="37"/>
      <c r="PU2959" s="37"/>
      <c r="PV2959" s="37"/>
      <c r="PW2959" s="37"/>
      <c r="PX2959" s="37"/>
      <c r="PY2959" s="37"/>
      <c r="PZ2959" s="37"/>
      <c r="QA2959" s="37"/>
      <c r="QB2959" s="37"/>
      <c r="QC2959" s="37"/>
      <c r="QD2959" s="37"/>
      <c r="QE2959" s="37"/>
      <c r="QF2959" s="37"/>
      <c r="QG2959" s="37"/>
      <c r="QH2959" s="37"/>
      <c r="QI2959" s="37"/>
      <c r="QJ2959" s="37"/>
      <c r="QK2959" s="37"/>
      <c r="QL2959" s="37"/>
      <c r="QM2959" s="37"/>
      <c r="QN2959" s="37"/>
      <c r="QO2959" s="37"/>
      <c r="QP2959" s="37"/>
      <c r="QQ2959" s="37"/>
      <c r="QR2959" s="37"/>
      <c r="QS2959" s="37"/>
      <c r="QT2959" s="37"/>
      <c r="QU2959" s="37"/>
      <c r="QV2959" s="37"/>
      <c r="QW2959" s="37"/>
      <c r="QX2959" s="37"/>
      <c r="QY2959" s="37"/>
      <c r="QZ2959" s="37"/>
      <c r="RA2959" s="37"/>
      <c r="RB2959" s="37"/>
      <c r="RC2959" s="37"/>
      <c r="RD2959" s="37"/>
      <c r="RE2959" s="37"/>
      <c r="RF2959" s="37"/>
      <c r="RG2959" s="37"/>
      <c r="RH2959" s="37"/>
      <c r="RI2959" s="37"/>
      <c r="RJ2959" s="37"/>
      <c r="RK2959" s="37"/>
      <c r="RL2959" s="37"/>
      <c r="RM2959" s="37"/>
      <c r="RN2959" s="37"/>
      <c r="RO2959" s="37"/>
      <c r="RP2959" s="37"/>
      <c r="RQ2959" s="37"/>
      <c r="RR2959" s="37"/>
      <c r="RS2959" s="37"/>
      <c r="RT2959" s="37"/>
      <c r="RU2959" s="37"/>
      <c r="RV2959" s="37"/>
      <c r="RW2959" s="37"/>
      <c r="RX2959" s="37"/>
      <c r="RY2959" s="37"/>
      <c r="RZ2959" s="37"/>
      <c r="SA2959" s="37"/>
      <c r="SB2959" s="37"/>
      <c r="SC2959" s="37"/>
      <c r="SD2959" s="37"/>
      <c r="SE2959" s="37"/>
      <c r="SF2959" s="37"/>
    </row>
    <row r="2960" spans="1:500">
      <c r="A2960" s="37"/>
      <c r="B2960" s="37"/>
      <c r="C2960" s="37"/>
      <c r="D2960" s="37"/>
      <c r="E2960" s="37"/>
      <c r="F2960" s="37"/>
      <c r="G2960" s="37"/>
      <c r="H2960" s="37"/>
      <c r="I2960" s="37"/>
      <c r="J2960" s="37"/>
      <c r="K2960" s="37"/>
      <c r="L2960" s="37"/>
      <c r="M2960" s="37"/>
      <c r="N2960" s="37"/>
      <c r="O2960" s="37"/>
      <c r="P2960" s="37"/>
      <c r="Q2960" s="37"/>
      <c r="R2960" s="37"/>
      <c r="S2960" s="37"/>
      <c r="T2960" s="37"/>
      <c r="U2960" s="37"/>
      <c r="V2960" s="37"/>
      <c r="W2960" s="37"/>
      <c r="X2960" s="37"/>
      <c r="Y2960" s="37"/>
      <c r="Z2960" s="37"/>
      <c r="AA2960" s="37"/>
      <c r="AB2960" s="37"/>
      <c r="AC2960" s="37"/>
      <c r="AD2960" s="37"/>
      <c r="AE2960" s="37"/>
      <c r="AF2960" s="37"/>
      <c r="AG2960" s="37"/>
      <c r="AH2960" s="37"/>
      <c r="AI2960" s="37"/>
      <c r="AJ2960" s="37"/>
      <c r="AK2960" s="37"/>
      <c r="AL2960" s="37"/>
      <c r="AM2960" s="37"/>
      <c r="AN2960" s="37"/>
      <c r="AO2960" s="37"/>
      <c r="AP2960" s="37"/>
      <c r="AQ2960" s="37"/>
      <c r="AR2960" s="37"/>
      <c r="AS2960" s="37"/>
      <c r="AT2960" s="37"/>
      <c r="AU2960" s="37"/>
      <c r="AV2960" s="37"/>
      <c r="AW2960" s="37"/>
      <c r="AX2960" s="37"/>
      <c r="AY2960" s="37"/>
      <c r="AZ2960" s="37"/>
      <c r="BA2960" s="37"/>
      <c r="BB2960" s="37"/>
      <c r="BC2960" s="37"/>
      <c r="BD2960" s="37"/>
      <c r="BE2960" s="37"/>
      <c r="BF2960" s="37"/>
      <c r="BG2960" s="37"/>
      <c r="BH2960" s="37"/>
      <c r="BI2960" s="37"/>
      <c r="BJ2960" s="37"/>
      <c r="BK2960" s="37"/>
      <c r="BL2960" s="37"/>
      <c r="BM2960" s="37"/>
      <c r="BN2960" s="37"/>
      <c r="BO2960" s="37"/>
      <c r="BP2960" s="37"/>
      <c r="BQ2960" s="37"/>
      <c r="BR2960" s="37"/>
      <c r="BS2960" s="37"/>
      <c r="BT2960" s="37"/>
      <c r="BU2960" s="37"/>
      <c r="BV2960" s="37"/>
      <c r="BW2960" s="37"/>
      <c r="BX2960" s="37"/>
      <c r="BY2960" s="37"/>
      <c r="BZ2960" s="37"/>
      <c r="CA2960" s="37"/>
      <c r="CB2960" s="37"/>
      <c r="CC2960" s="37"/>
      <c r="CD2960" s="37"/>
      <c r="CE2960" s="37"/>
      <c r="CF2960" s="37"/>
      <c r="CG2960" s="37"/>
      <c r="CH2960" s="37"/>
      <c r="CI2960" s="37"/>
      <c r="CJ2960" s="37"/>
      <c r="CK2960" s="37"/>
      <c r="CL2960" s="37"/>
      <c r="CM2960" s="37"/>
      <c r="CN2960" s="37"/>
      <c r="CO2960" s="37"/>
      <c r="CP2960" s="37"/>
      <c r="CQ2960" s="37"/>
      <c r="CR2960" s="37"/>
      <c r="CS2960" s="37"/>
      <c r="CT2960" s="37"/>
      <c r="CU2960" s="37"/>
      <c r="CV2960" s="37"/>
      <c r="CW2960" s="37"/>
      <c r="CX2960" s="37"/>
      <c r="CY2960" s="37"/>
      <c r="CZ2960" s="37"/>
      <c r="DA2960" s="37"/>
      <c r="DB2960" s="37"/>
      <c r="DC2960" s="37"/>
      <c r="DD2960" s="37"/>
      <c r="DE2960" s="37"/>
      <c r="DF2960" s="37"/>
      <c r="DG2960" s="37"/>
      <c r="DH2960" s="37"/>
      <c r="DI2960" s="37"/>
      <c r="DJ2960" s="37"/>
      <c r="DK2960" s="37"/>
      <c r="DL2960" s="37"/>
      <c r="DM2960" s="37"/>
      <c r="DN2960" s="37"/>
      <c r="DO2960" s="37"/>
      <c r="DP2960" s="37"/>
      <c r="DQ2960" s="37"/>
      <c r="DR2960" s="37"/>
      <c r="DS2960" s="37"/>
      <c r="DT2960" s="37"/>
      <c r="DU2960" s="37"/>
      <c r="DV2960" s="37"/>
      <c r="DW2960" s="37"/>
      <c r="DX2960" s="37"/>
      <c r="DY2960" s="37"/>
      <c r="DZ2960" s="37"/>
      <c r="EA2960" s="37"/>
      <c r="EB2960" s="37"/>
      <c r="EC2960" s="37"/>
      <c r="ED2960" s="37"/>
      <c r="EE2960" s="37"/>
      <c r="EF2960" s="37"/>
      <c r="EG2960" s="37"/>
      <c r="EH2960" s="37"/>
      <c r="EI2960" s="37"/>
      <c r="EJ2960" s="37"/>
      <c r="EK2960" s="37"/>
      <c r="EL2960" s="37"/>
      <c r="EM2960" s="37"/>
      <c r="EN2960" s="37"/>
      <c r="EO2960" s="37"/>
      <c r="EP2960" s="37"/>
      <c r="EQ2960" s="37"/>
      <c r="ER2960" s="37"/>
      <c r="ES2960" s="37"/>
      <c r="ET2960" s="37"/>
      <c r="EU2960" s="37"/>
      <c r="EV2960" s="37"/>
      <c r="EW2960" s="37"/>
      <c r="EX2960" s="37"/>
      <c r="EY2960" s="37"/>
      <c r="EZ2960" s="37"/>
      <c r="FA2960" s="37"/>
      <c r="FB2960" s="37"/>
      <c r="FC2960" s="37"/>
      <c r="FD2960" s="37"/>
      <c r="FE2960" s="37"/>
      <c r="FF2960" s="37"/>
      <c r="FG2960" s="37"/>
      <c r="FH2960" s="37"/>
      <c r="FI2960" s="37"/>
      <c r="FJ2960" s="37"/>
      <c r="FK2960" s="37"/>
      <c r="FL2960" s="37"/>
      <c r="FM2960" s="37"/>
      <c r="FN2960" s="37"/>
      <c r="FO2960" s="37"/>
      <c r="FP2960" s="37"/>
      <c r="FQ2960" s="37"/>
      <c r="FR2960" s="37"/>
      <c r="FS2960" s="37"/>
      <c r="FT2960" s="37"/>
      <c r="FU2960" s="37"/>
      <c r="FV2960" s="37"/>
      <c r="FW2960" s="37"/>
      <c r="FX2960" s="37"/>
      <c r="FY2960" s="37"/>
      <c r="FZ2960" s="37"/>
      <c r="GA2960" s="37"/>
      <c r="GB2960" s="37"/>
      <c r="GC2960" s="37"/>
      <c r="GD2960" s="37"/>
      <c r="GE2960" s="37"/>
      <c r="GF2960" s="37"/>
      <c r="GG2960" s="37"/>
      <c r="GH2960" s="37"/>
      <c r="GI2960" s="37"/>
      <c r="GJ2960" s="37"/>
      <c r="GK2960" s="37"/>
      <c r="GL2960" s="37"/>
      <c r="GM2960" s="37"/>
      <c r="GN2960" s="37"/>
      <c r="GO2960" s="37"/>
      <c r="GP2960" s="37"/>
      <c r="GQ2960" s="37"/>
      <c r="GR2960" s="37"/>
      <c r="GS2960" s="37"/>
      <c r="GT2960" s="37"/>
      <c r="GU2960" s="37"/>
      <c r="GV2960" s="37"/>
      <c r="GW2960" s="37"/>
      <c r="GX2960" s="37"/>
      <c r="GY2960" s="37"/>
      <c r="GZ2960" s="37"/>
      <c r="HA2960" s="37"/>
      <c r="HB2960" s="37"/>
      <c r="HC2960" s="37"/>
      <c r="HD2960" s="37"/>
      <c r="HE2960" s="37"/>
      <c r="HF2960" s="37"/>
      <c r="HG2960" s="37"/>
      <c r="HH2960" s="37"/>
      <c r="HI2960" s="37"/>
      <c r="HJ2960" s="37"/>
      <c r="HK2960" s="37"/>
      <c r="HL2960" s="37"/>
      <c r="HM2960" s="37"/>
      <c r="HN2960" s="37"/>
      <c r="HO2960" s="37"/>
      <c r="HP2960" s="37"/>
      <c r="HQ2960" s="37"/>
      <c r="HR2960" s="37"/>
      <c r="HS2960" s="37"/>
      <c r="HT2960" s="37"/>
      <c r="HU2960" s="37"/>
      <c r="HV2960" s="37"/>
      <c r="HW2960" s="37"/>
      <c r="HX2960" s="37"/>
      <c r="HY2960" s="37"/>
      <c r="HZ2960" s="37"/>
      <c r="IA2960" s="37"/>
      <c r="IB2960" s="37"/>
      <c r="IC2960" s="37"/>
      <c r="ID2960" s="37"/>
      <c r="IE2960" s="37"/>
      <c r="IF2960" s="37"/>
      <c r="IG2960" s="37"/>
      <c r="IH2960" s="37"/>
      <c r="II2960" s="37"/>
      <c r="IJ2960" s="37"/>
      <c r="IK2960" s="37"/>
      <c r="IL2960" s="37"/>
      <c r="IM2960" s="37"/>
      <c r="IN2960" s="37"/>
      <c r="IO2960" s="37"/>
      <c r="IP2960" s="37"/>
      <c r="IQ2960" s="37"/>
      <c r="IR2960" s="37"/>
      <c r="IS2960" s="37"/>
      <c r="IT2960" s="37"/>
      <c r="IU2960" s="37"/>
      <c r="IV2960" s="37"/>
      <c r="IW2960" s="37"/>
      <c r="IX2960" s="37"/>
      <c r="IY2960" s="37"/>
      <c r="IZ2960" s="37"/>
      <c r="JA2960" s="37"/>
      <c r="JB2960" s="37"/>
      <c r="JC2960" s="37"/>
      <c r="JD2960" s="37"/>
      <c r="JE2960" s="37"/>
      <c r="JF2960" s="37"/>
      <c r="JG2960" s="37"/>
      <c r="JH2960" s="37"/>
      <c r="JI2960" s="37"/>
      <c r="JJ2960" s="37"/>
      <c r="JK2960" s="37"/>
      <c r="JL2960" s="37"/>
      <c r="JM2960" s="37"/>
      <c r="JN2960" s="37"/>
      <c r="JO2960" s="37"/>
      <c r="JP2960" s="37"/>
      <c r="JQ2960" s="37"/>
      <c r="JR2960" s="37"/>
      <c r="JS2960" s="37"/>
      <c r="JT2960" s="37"/>
      <c r="JU2960" s="37"/>
      <c r="JV2960" s="37"/>
      <c r="JW2960" s="37"/>
      <c r="JX2960" s="37"/>
      <c r="JY2960" s="37"/>
      <c r="JZ2960" s="37"/>
      <c r="KA2960" s="37"/>
      <c r="KB2960" s="37"/>
      <c r="KC2960" s="37"/>
      <c r="KD2960" s="37"/>
      <c r="KE2960" s="37"/>
      <c r="KF2960" s="37"/>
      <c r="KG2960" s="37"/>
      <c r="KH2960" s="37"/>
      <c r="KI2960" s="37"/>
      <c r="KJ2960" s="37"/>
      <c r="KK2960" s="37"/>
      <c r="KL2960" s="37"/>
      <c r="KM2960" s="37"/>
      <c r="KN2960" s="37"/>
      <c r="KO2960" s="37"/>
      <c r="KP2960" s="37"/>
      <c r="KQ2960" s="37"/>
      <c r="KR2960" s="37"/>
      <c r="KS2960" s="37"/>
      <c r="KT2960" s="37"/>
      <c r="KU2960" s="37"/>
      <c r="KV2960" s="37"/>
      <c r="KW2960" s="37"/>
      <c r="KX2960" s="37"/>
      <c r="KY2960" s="37"/>
      <c r="KZ2960" s="37"/>
      <c r="LA2960" s="37"/>
      <c r="LB2960" s="37"/>
      <c r="LC2960" s="37"/>
      <c r="LD2960" s="37"/>
      <c r="LE2960" s="37"/>
      <c r="LF2960" s="37"/>
      <c r="LG2960" s="37"/>
      <c r="LH2960" s="37"/>
      <c r="LI2960" s="37"/>
      <c r="LJ2960" s="37"/>
      <c r="LK2960" s="37"/>
      <c r="LL2960" s="37"/>
      <c r="LM2960" s="37"/>
      <c r="LN2960" s="37"/>
      <c r="LO2960" s="37"/>
      <c r="LP2960" s="37"/>
      <c r="LQ2960" s="37"/>
      <c r="LR2960" s="37"/>
      <c r="LS2960" s="37"/>
      <c r="LT2960" s="37"/>
      <c r="LU2960" s="37"/>
      <c r="LV2960" s="37"/>
      <c r="LW2960" s="37"/>
      <c r="LX2960" s="37"/>
      <c r="LY2960" s="37"/>
      <c r="LZ2960" s="37"/>
      <c r="MA2960" s="37"/>
      <c r="MB2960" s="37"/>
      <c r="MC2960" s="37"/>
      <c r="MD2960" s="37"/>
      <c r="ME2960" s="37"/>
      <c r="MF2960" s="37"/>
      <c r="MG2960" s="37"/>
      <c r="MH2960" s="37"/>
      <c r="MI2960" s="37"/>
      <c r="MJ2960" s="37"/>
      <c r="MK2960" s="37"/>
      <c r="ML2960" s="37"/>
      <c r="MM2960" s="37"/>
      <c r="MN2960" s="37"/>
      <c r="MO2960" s="37"/>
      <c r="MP2960" s="37"/>
      <c r="MQ2960" s="37"/>
      <c r="MR2960" s="37"/>
      <c r="MS2960" s="37"/>
      <c r="MT2960" s="37"/>
      <c r="MU2960" s="37"/>
      <c r="MV2960" s="37"/>
      <c r="MW2960" s="37"/>
      <c r="MX2960" s="37"/>
      <c r="MY2960" s="37"/>
      <c r="MZ2960" s="37"/>
      <c r="NA2960" s="37"/>
      <c r="NB2960" s="37"/>
      <c r="NC2960" s="37"/>
      <c r="ND2960" s="37"/>
      <c r="NE2960" s="37"/>
      <c r="NF2960" s="37"/>
      <c r="NG2960" s="37"/>
      <c r="NH2960" s="37"/>
      <c r="NI2960" s="37"/>
      <c r="NJ2960" s="37"/>
      <c r="NK2960" s="37"/>
      <c r="NL2960" s="37"/>
      <c r="NM2960" s="37"/>
      <c r="NN2960" s="37"/>
      <c r="NO2960" s="37"/>
      <c r="NP2960" s="37"/>
      <c r="NQ2960" s="37"/>
      <c r="NR2960" s="37"/>
      <c r="NS2960" s="37"/>
      <c r="NT2960" s="37"/>
      <c r="NU2960" s="37"/>
      <c r="NV2960" s="37"/>
      <c r="NW2960" s="37"/>
      <c r="NX2960" s="37"/>
      <c r="NY2960" s="37"/>
      <c r="NZ2960" s="37"/>
      <c r="OA2960" s="37"/>
      <c r="OB2960" s="37"/>
      <c r="OC2960" s="37"/>
      <c r="OD2960" s="37"/>
      <c r="OE2960" s="37"/>
      <c r="OF2960" s="37"/>
      <c r="OG2960" s="37"/>
      <c r="OH2960" s="37"/>
      <c r="OI2960" s="37"/>
      <c r="OJ2960" s="37"/>
      <c r="OK2960" s="37"/>
      <c r="OL2960" s="37"/>
      <c r="OM2960" s="37"/>
      <c r="ON2960" s="37"/>
      <c r="OO2960" s="37"/>
      <c r="OP2960" s="37"/>
      <c r="OQ2960" s="37"/>
      <c r="OR2960" s="37"/>
      <c r="OS2960" s="37"/>
      <c r="OT2960" s="37"/>
      <c r="OU2960" s="37"/>
      <c r="OV2960" s="37"/>
      <c r="OW2960" s="37"/>
      <c r="OX2960" s="37"/>
      <c r="OY2960" s="37"/>
      <c r="OZ2960" s="37"/>
      <c r="PA2960" s="37"/>
      <c r="PB2960" s="37"/>
      <c r="PC2960" s="37"/>
      <c r="PD2960" s="37"/>
      <c r="PE2960" s="37"/>
      <c r="PF2960" s="37"/>
      <c r="PG2960" s="37"/>
      <c r="PH2960" s="37"/>
      <c r="PI2960" s="37"/>
      <c r="PJ2960" s="37"/>
      <c r="PK2960" s="37"/>
      <c r="PL2960" s="37"/>
      <c r="PM2960" s="37"/>
      <c r="PN2960" s="37"/>
      <c r="PO2960" s="37"/>
      <c r="PP2960" s="37"/>
      <c r="PQ2960" s="37"/>
      <c r="PR2960" s="37"/>
      <c r="PS2960" s="37"/>
      <c r="PT2960" s="37"/>
      <c r="PU2960" s="37"/>
      <c r="PV2960" s="37"/>
      <c r="PW2960" s="37"/>
      <c r="PX2960" s="37"/>
      <c r="PY2960" s="37"/>
      <c r="PZ2960" s="37"/>
      <c r="QA2960" s="37"/>
      <c r="QB2960" s="37"/>
      <c r="QC2960" s="37"/>
      <c r="QD2960" s="37"/>
      <c r="QE2960" s="37"/>
      <c r="QF2960" s="37"/>
      <c r="QG2960" s="37"/>
      <c r="QH2960" s="37"/>
      <c r="QI2960" s="37"/>
      <c r="QJ2960" s="37"/>
      <c r="QK2960" s="37"/>
      <c r="QL2960" s="37"/>
      <c r="QM2960" s="37"/>
      <c r="QN2960" s="37"/>
      <c r="QO2960" s="37"/>
      <c r="QP2960" s="37"/>
      <c r="QQ2960" s="37"/>
      <c r="QR2960" s="37"/>
      <c r="QS2960" s="37"/>
      <c r="QT2960" s="37"/>
      <c r="QU2960" s="37"/>
      <c r="QV2960" s="37"/>
      <c r="QW2960" s="37"/>
      <c r="QX2960" s="37"/>
      <c r="QY2960" s="37"/>
      <c r="QZ2960" s="37"/>
      <c r="RA2960" s="37"/>
      <c r="RB2960" s="37"/>
      <c r="RC2960" s="37"/>
      <c r="RD2960" s="37"/>
      <c r="RE2960" s="37"/>
      <c r="RF2960" s="37"/>
      <c r="RG2960" s="37"/>
      <c r="RH2960" s="37"/>
      <c r="RI2960" s="37"/>
      <c r="RJ2960" s="37"/>
      <c r="RK2960" s="37"/>
      <c r="RL2960" s="37"/>
      <c r="RM2960" s="37"/>
      <c r="RN2960" s="37"/>
      <c r="RO2960" s="37"/>
      <c r="RP2960" s="37"/>
      <c r="RQ2960" s="37"/>
      <c r="RR2960" s="37"/>
      <c r="RS2960" s="37"/>
      <c r="RT2960" s="37"/>
      <c r="RU2960" s="37"/>
      <c r="RV2960" s="37"/>
      <c r="RW2960" s="37"/>
      <c r="RX2960" s="37"/>
      <c r="RY2960" s="37"/>
      <c r="RZ2960" s="37"/>
      <c r="SA2960" s="37"/>
      <c r="SB2960" s="37"/>
      <c r="SC2960" s="37"/>
      <c r="SD2960" s="37"/>
      <c r="SE2960" s="37"/>
      <c r="SF2960" s="37"/>
    </row>
    <row r="2961" spans="1:500">
      <c r="A2961" s="37"/>
      <c r="B2961" s="37"/>
      <c r="C2961" s="37"/>
      <c r="D2961" s="37"/>
      <c r="E2961" s="37"/>
      <c r="F2961" s="37"/>
      <c r="G2961" s="37"/>
      <c r="H2961" s="37"/>
      <c r="I2961" s="37"/>
      <c r="J2961" s="37"/>
      <c r="K2961" s="37"/>
      <c r="L2961" s="37"/>
      <c r="M2961" s="37"/>
      <c r="N2961" s="37"/>
      <c r="O2961" s="37"/>
      <c r="P2961" s="37"/>
      <c r="Q2961" s="37"/>
      <c r="R2961" s="37"/>
      <c r="S2961" s="37"/>
      <c r="T2961" s="37"/>
      <c r="U2961" s="37"/>
      <c r="V2961" s="37"/>
      <c r="W2961" s="37"/>
      <c r="X2961" s="37"/>
      <c r="Y2961" s="37"/>
      <c r="Z2961" s="37"/>
      <c r="AA2961" s="37"/>
      <c r="AB2961" s="37"/>
      <c r="AC2961" s="37"/>
      <c r="AD2961" s="37"/>
      <c r="AE2961" s="37"/>
      <c r="AF2961" s="37"/>
      <c r="AG2961" s="37"/>
      <c r="AH2961" s="37"/>
      <c r="AI2961" s="37"/>
      <c r="AJ2961" s="37"/>
      <c r="AK2961" s="37"/>
      <c r="AL2961" s="37"/>
      <c r="AM2961" s="37"/>
      <c r="AN2961" s="37"/>
      <c r="AO2961" s="37"/>
      <c r="AP2961" s="37"/>
      <c r="AQ2961" s="37"/>
      <c r="AR2961" s="37"/>
      <c r="AS2961" s="37"/>
      <c r="AT2961" s="37"/>
      <c r="AU2961" s="37"/>
      <c r="AV2961" s="37"/>
      <c r="AW2961" s="37"/>
      <c r="AX2961" s="37"/>
      <c r="AY2961" s="37"/>
      <c r="AZ2961" s="37"/>
      <c r="BA2961" s="37"/>
      <c r="BB2961" s="37"/>
      <c r="BC2961" s="37"/>
      <c r="BD2961" s="37"/>
      <c r="BE2961" s="37"/>
      <c r="BF2961" s="37"/>
      <c r="BG2961" s="37"/>
      <c r="BH2961" s="37"/>
      <c r="BI2961" s="37"/>
      <c r="BJ2961" s="37"/>
      <c r="BK2961" s="37"/>
      <c r="BL2961" s="37"/>
      <c r="BM2961" s="37"/>
      <c r="BN2961" s="37"/>
      <c r="BO2961" s="37"/>
      <c r="BP2961" s="37"/>
      <c r="BQ2961" s="37"/>
      <c r="BR2961" s="37"/>
      <c r="BS2961" s="37"/>
      <c r="BT2961" s="37"/>
      <c r="BU2961" s="37"/>
      <c r="BV2961" s="37"/>
      <c r="BW2961" s="37"/>
      <c r="BX2961" s="37"/>
      <c r="BY2961" s="37"/>
      <c r="BZ2961" s="37"/>
      <c r="CA2961" s="37"/>
      <c r="CB2961" s="37"/>
      <c r="CC2961" s="37"/>
      <c r="CD2961" s="37"/>
      <c r="CE2961" s="37"/>
      <c r="CF2961" s="37"/>
      <c r="CG2961" s="37"/>
      <c r="CH2961" s="37"/>
      <c r="CI2961" s="37"/>
      <c r="CJ2961" s="37"/>
      <c r="CK2961" s="37"/>
      <c r="CL2961" s="37"/>
      <c r="CM2961" s="37"/>
      <c r="CN2961" s="37"/>
      <c r="CO2961" s="37"/>
      <c r="CP2961" s="37"/>
      <c r="CQ2961" s="37"/>
      <c r="CR2961" s="37"/>
      <c r="CS2961" s="37"/>
      <c r="CT2961" s="37"/>
      <c r="CU2961" s="37"/>
      <c r="CV2961" s="37"/>
      <c r="CW2961" s="37"/>
      <c r="CX2961" s="37"/>
      <c r="CY2961" s="37"/>
      <c r="CZ2961" s="37"/>
      <c r="DA2961" s="37"/>
      <c r="DB2961" s="37"/>
      <c r="DC2961" s="37"/>
      <c r="DD2961" s="37"/>
      <c r="DE2961" s="37"/>
      <c r="DF2961" s="37"/>
      <c r="DG2961" s="37"/>
      <c r="DH2961" s="37"/>
      <c r="DI2961" s="37"/>
      <c r="DJ2961" s="37"/>
      <c r="DK2961" s="37"/>
      <c r="DL2961" s="37"/>
      <c r="DM2961" s="37"/>
      <c r="DN2961" s="37"/>
      <c r="DO2961" s="37"/>
      <c r="DP2961" s="37"/>
      <c r="DQ2961" s="37"/>
      <c r="DR2961" s="37"/>
      <c r="DS2961" s="37"/>
      <c r="DT2961" s="37"/>
      <c r="DU2961" s="37"/>
      <c r="DV2961" s="37"/>
      <c r="DW2961" s="37"/>
      <c r="DX2961" s="37"/>
      <c r="DY2961" s="37"/>
      <c r="DZ2961" s="37"/>
      <c r="EA2961" s="37"/>
      <c r="EB2961" s="37"/>
      <c r="EC2961" s="37"/>
      <c r="ED2961" s="37"/>
      <c r="EE2961" s="37"/>
      <c r="EF2961" s="37"/>
      <c r="EG2961" s="37"/>
      <c r="EH2961" s="37"/>
      <c r="EI2961" s="37"/>
      <c r="EJ2961" s="37"/>
      <c r="EK2961" s="37"/>
      <c r="EL2961" s="37"/>
      <c r="EM2961" s="37"/>
      <c r="EN2961" s="37"/>
      <c r="EO2961" s="37"/>
      <c r="EP2961" s="37"/>
      <c r="EQ2961" s="37"/>
      <c r="ER2961" s="37"/>
      <c r="ES2961" s="37"/>
      <c r="ET2961" s="37"/>
      <c r="EU2961" s="37"/>
      <c r="EV2961" s="37"/>
      <c r="EW2961" s="37"/>
      <c r="EX2961" s="37"/>
      <c r="EY2961" s="37"/>
      <c r="EZ2961" s="37"/>
      <c r="FA2961" s="37"/>
      <c r="FB2961" s="37"/>
      <c r="FC2961" s="37"/>
      <c r="FD2961" s="37"/>
      <c r="FE2961" s="37"/>
      <c r="FF2961" s="37"/>
      <c r="FG2961" s="37"/>
      <c r="FH2961" s="37"/>
      <c r="FI2961" s="37"/>
      <c r="FJ2961" s="37"/>
      <c r="FK2961" s="37"/>
      <c r="FL2961" s="37"/>
      <c r="FM2961" s="37"/>
      <c r="FN2961" s="37"/>
      <c r="FO2961" s="37"/>
      <c r="FP2961" s="37"/>
      <c r="FQ2961" s="37"/>
      <c r="FR2961" s="37"/>
      <c r="FS2961" s="37"/>
      <c r="FT2961" s="37"/>
      <c r="FU2961" s="37"/>
      <c r="FV2961" s="37"/>
      <c r="FW2961" s="37"/>
      <c r="FX2961" s="37"/>
      <c r="FY2961" s="37"/>
      <c r="FZ2961" s="37"/>
      <c r="GA2961" s="37"/>
      <c r="GB2961" s="37"/>
      <c r="GC2961" s="37"/>
      <c r="GD2961" s="37"/>
      <c r="GE2961" s="37"/>
      <c r="GF2961" s="37"/>
      <c r="GG2961" s="37"/>
      <c r="GH2961" s="37"/>
      <c r="GI2961" s="37"/>
      <c r="GJ2961" s="37"/>
      <c r="GK2961" s="37"/>
      <c r="GL2961" s="37"/>
      <c r="GM2961" s="37"/>
      <c r="GN2961" s="37"/>
      <c r="GO2961" s="37"/>
      <c r="GP2961" s="37"/>
      <c r="GQ2961" s="37"/>
      <c r="GR2961" s="37"/>
      <c r="GS2961" s="37"/>
      <c r="GT2961" s="37"/>
      <c r="GU2961" s="37"/>
      <c r="GV2961" s="37"/>
      <c r="GW2961" s="37"/>
      <c r="GX2961" s="37"/>
      <c r="GY2961" s="37"/>
      <c r="GZ2961" s="37"/>
      <c r="HA2961" s="37"/>
      <c r="HB2961" s="37"/>
      <c r="HC2961" s="37"/>
      <c r="HD2961" s="37"/>
      <c r="HE2961" s="37"/>
      <c r="HF2961" s="37"/>
      <c r="HG2961" s="37"/>
      <c r="HH2961" s="37"/>
      <c r="HI2961" s="37"/>
      <c r="HJ2961" s="37"/>
      <c r="HK2961" s="37"/>
      <c r="HL2961" s="37"/>
      <c r="HM2961" s="37"/>
      <c r="HN2961" s="37"/>
      <c r="HO2961" s="37"/>
      <c r="HP2961" s="37"/>
      <c r="HQ2961" s="37"/>
      <c r="HR2961" s="37"/>
      <c r="HS2961" s="37"/>
      <c r="HT2961" s="37"/>
      <c r="HU2961" s="37"/>
      <c r="HV2961" s="37"/>
      <c r="HW2961" s="37"/>
      <c r="HX2961" s="37"/>
      <c r="HY2961" s="37"/>
      <c r="HZ2961" s="37"/>
      <c r="IA2961" s="37"/>
      <c r="IB2961" s="37"/>
      <c r="IC2961" s="37"/>
      <c r="ID2961" s="37"/>
      <c r="IE2961" s="37"/>
      <c r="IF2961" s="37"/>
      <c r="IG2961" s="37"/>
      <c r="IH2961" s="37"/>
      <c r="II2961" s="37"/>
      <c r="IJ2961" s="37"/>
      <c r="IK2961" s="37"/>
      <c r="IL2961" s="37"/>
      <c r="IM2961" s="37"/>
      <c r="IN2961" s="37"/>
      <c r="IO2961" s="37"/>
      <c r="IP2961" s="37"/>
      <c r="IQ2961" s="37"/>
      <c r="IR2961" s="37"/>
      <c r="IS2961" s="37"/>
      <c r="IT2961" s="37"/>
      <c r="IU2961" s="37"/>
      <c r="IV2961" s="37"/>
      <c r="IW2961" s="37"/>
      <c r="IX2961" s="37"/>
      <c r="IY2961" s="37"/>
      <c r="IZ2961" s="37"/>
      <c r="JA2961" s="37"/>
      <c r="JB2961" s="37"/>
      <c r="JC2961" s="37"/>
      <c r="JD2961" s="37"/>
      <c r="JE2961" s="37"/>
      <c r="JF2961" s="37"/>
      <c r="JG2961" s="37"/>
      <c r="JH2961" s="37"/>
      <c r="JI2961" s="37"/>
      <c r="JJ2961" s="37"/>
      <c r="JK2961" s="37"/>
      <c r="JL2961" s="37"/>
      <c r="JM2961" s="37"/>
      <c r="JN2961" s="37"/>
      <c r="JO2961" s="37"/>
      <c r="JP2961" s="37"/>
      <c r="JQ2961" s="37"/>
      <c r="JR2961" s="37"/>
      <c r="JS2961" s="37"/>
      <c r="JT2961" s="37"/>
      <c r="JU2961" s="37"/>
      <c r="JV2961" s="37"/>
      <c r="JW2961" s="37"/>
      <c r="JX2961" s="37"/>
      <c r="JY2961" s="37"/>
      <c r="JZ2961" s="37"/>
      <c r="KA2961" s="37"/>
      <c r="KB2961" s="37"/>
      <c r="KC2961" s="37"/>
      <c r="KD2961" s="37"/>
      <c r="KE2961" s="37"/>
      <c r="KF2961" s="37"/>
      <c r="KG2961" s="37"/>
      <c r="KH2961" s="37"/>
      <c r="KI2961" s="37"/>
      <c r="KJ2961" s="37"/>
      <c r="KK2961" s="37"/>
      <c r="KL2961" s="37"/>
      <c r="KM2961" s="37"/>
      <c r="KN2961" s="37"/>
      <c r="KO2961" s="37"/>
      <c r="KP2961" s="37"/>
      <c r="KQ2961" s="37"/>
      <c r="KR2961" s="37"/>
      <c r="KS2961" s="37"/>
      <c r="KT2961" s="37"/>
      <c r="KU2961" s="37"/>
      <c r="KV2961" s="37"/>
      <c r="KW2961" s="37"/>
      <c r="KX2961" s="37"/>
      <c r="KY2961" s="37"/>
      <c r="KZ2961" s="37"/>
      <c r="LA2961" s="37"/>
      <c r="LB2961" s="37"/>
      <c r="LC2961" s="37"/>
      <c r="LD2961" s="37"/>
      <c r="LE2961" s="37"/>
      <c r="LF2961" s="37"/>
      <c r="LG2961" s="37"/>
      <c r="LH2961" s="37"/>
      <c r="LI2961" s="37"/>
      <c r="LJ2961" s="37"/>
      <c r="LK2961" s="37"/>
      <c r="LL2961" s="37"/>
      <c r="LM2961" s="37"/>
      <c r="LN2961" s="37"/>
      <c r="LO2961" s="37"/>
      <c r="LP2961" s="37"/>
      <c r="LQ2961" s="37"/>
      <c r="LR2961" s="37"/>
      <c r="LS2961" s="37"/>
      <c r="LT2961" s="37"/>
      <c r="LU2961" s="37"/>
      <c r="LV2961" s="37"/>
      <c r="LW2961" s="37"/>
      <c r="LX2961" s="37"/>
      <c r="LY2961" s="37"/>
      <c r="LZ2961" s="37"/>
      <c r="MA2961" s="37"/>
      <c r="MB2961" s="37"/>
      <c r="MC2961" s="37"/>
      <c r="MD2961" s="37"/>
      <c r="ME2961" s="37"/>
      <c r="MF2961" s="37"/>
      <c r="MG2961" s="37"/>
      <c r="MH2961" s="37"/>
      <c r="MI2961" s="37"/>
      <c r="MJ2961" s="37"/>
      <c r="MK2961" s="37"/>
      <c r="ML2961" s="37"/>
      <c r="MM2961" s="37"/>
      <c r="MN2961" s="37"/>
      <c r="MO2961" s="37"/>
      <c r="MP2961" s="37"/>
      <c r="MQ2961" s="37"/>
      <c r="MR2961" s="37"/>
      <c r="MS2961" s="37"/>
      <c r="MT2961" s="37"/>
      <c r="MU2961" s="37"/>
      <c r="MV2961" s="37"/>
      <c r="MW2961" s="37"/>
      <c r="MX2961" s="37"/>
      <c r="MY2961" s="37"/>
      <c r="MZ2961" s="37"/>
      <c r="NA2961" s="37"/>
      <c r="NB2961" s="37"/>
      <c r="NC2961" s="37"/>
      <c r="ND2961" s="37"/>
      <c r="NE2961" s="37"/>
      <c r="NF2961" s="37"/>
      <c r="NG2961" s="37"/>
      <c r="NH2961" s="37"/>
      <c r="NI2961" s="37"/>
      <c r="NJ2961" s="37"/>
      <c r="NK2961" s="37"/>
      <c r="NL2961" s="37"/>
      <c r="NM2961" s="37"/>
      <c r="NN2961" s="37"/>
      <c r="NO2961" s="37"/>
      <c r="NP2961" s="37"/>
      <c r="NQ2961" s="37"/>
      <c r="NR2961" s="37"/>
      <c r="NS2961" s="37"/>
      <c r="NT2961" s="37"/>
      <c r="NU2961" s="37"/>
      <c r="NV2961" s="37"/>
      <c r="NW2961" s="37"/>
      <c r="NX2961" s="37"/>
      <c r="NY2961" s="37"/>
      <c r="NZ2961" s="37"/>
      <c r="OA2961" s="37"/>
      <c r="OB2961" s="37"/>
      <c r="OC2961" s="37"/>
      <c r="OD2961" s="37"/>
      <c r="OE2961" s="37"/>
      <c r="OF2961" s="37"/>
      <c r="OG2961" s="37"/>
      <c r="OH2961" s="37"/>
      <c r="OI2961" s="37"/>
      <c r="OJ2961" s="37"/>
      <c r="OK2961" s="37"/>
      <c r="OL2961" s="37"/>
      <c r="OM2961" s="37"/>
      <c r="ON2961" s="37"/>
      <c r="OO2961" s="37"/>
      <c r="OP2961" s="37"/>
      <c r="OQ2961" s="37"/>
      <c r="OR2961" s="37"/>
      <c r="OS2961" s="37"/>
      <c r="OT2961" s="37"/>
      <c r="OU2961" s="37"/>
      <c r="OV2961" s="37"/>
      <c r="OW2961" s="37"/>
      <c r="OX2961" s="37"/>
      <c r="OY2961" s="37"/>
      <c r="OZ2961" s="37"/>
      <c r="PA2961" s="37"/>
      <c r="PB2961" s="37"/>
      <c r="PC2961" s="37"/>
      <c r="PD2961" s="37"/>
      <c r="PE2961" s="37"/>
      <c r="PF2961" s="37"/>
      <c r="PG2961" s="37"/>
      <c r="PH2961" s="37"/>
      <c r="PI2961" s="37"/>
      <c r="PJ2961" s="37"/>
      <c r="PK2961" s="37"/>
      <c r="PL2961" s="37"/>
      <c r="PM2961" s="37"/>
      <c r="PN2961" s="37"/>
      <c r="PO2961" s="37"/>
      <c r="PP2961" s="37"/>
      <c r="PQ2961" s="37"/>
      <c r="PR2961" s="37"/>
      <c r="PS2961" s="37"/>
      <c r="PT2961" s="37"/>
      <c r="PU2961" s="37"/>
      <c r="PV2961" s="37"/>
      <c r="PW2961" s="37"/>
      <c r="PX2961" s="37"/>
      <c r="PY2961" s="37"/>
      <c r="PZ2961" s="37"/>
      <c r="QA2961" s="37"/>
      <c r="QB2961" s="37"/>
      <c r="QC2961" s="37"/>
      <c r="QD2961" s="37"/>
      <c r="QE2961" s="37"/>
      <c r="QF2961" s="37"/>
      <c r="QG2961" s="37"/>
      <c r="QH2961" s="37"/>
      <c r="QI2961" s="37"/>
      <c r="QJ2961" s="37"/>
      <c r="QK2961" s="37"/>
      <c r="QL2961" s="37"/>
      <c r="QM2961" s="37"/>
      <c r="QN2961" s="37"/>
      <c r="QO2961" s="37"/>
      <c r="QP2961" s="37"/>
      <c r="QQ2961" s="37"/>
      <c r="QR2961" s="37"/>
      <c r="QS2961" s="37"/>
      <c r="QT2961" s="37"/>
      <c r="QU2961" s="37"/>
      <c r="QV2961" s="37"/>
      <c r="QW2961" s="37"/>
      <c r="QX2961" s="37"/>
      <c r="QY2961" s="37"/>
      <c r="QZ2961" s="37"/>
      <c r="RA2961" s="37"/>
      <c r="RB2961" s="37"/>
      <c r="RC2961" s="37"/>
      <c r="RD2961" s="37"/>
      <c r="RE2961" s="37"/>
      <c r="RF2961" s="37"/>
      <c r="RG2961" s="37"/>
      <c r="RH2961" s="37"/>
      <c r="RI2961" s="37"/>
      <c r="RJ2961" s="37"/>
      <c r="RK2961" s="37"/>
      <c r="RL2961" s="37"/>
      <c r="RM2961" s="37"/>
      <c r="RN2961" s="37"/>
      <c r="RO2961" s="37"/>
      <c r="RP2961" s="37"/>
      <c r="RQ2961" s="37"/>
      <c r="RR2961" s="37"/>
      <c r="RS2961" s="37"/>
      <c r="RT2961" s="37"/>
      <c r="RU2961" s="37"/>
      <c r="RV2961" s="37"/>
      <c r="RW2961" s="37"/>
      <c r="RX2961" s="37"/>
      <c r="RY2961" s="37"/>
      <c r="RZ2961" s="37"/>
      <c r="SA2961" s="37"/>
      <c r="SB2961" s="37"/>
      <c r="SC2961" s="37"/>
      <c r="SD2961" s="37"/>
      <c r="SE2961" s="37"/>
      <c r="SF2961" s="37"/>
    </row>
    <row r="2962" spans="1:500">
      <c r="A2962" s="37"/>
      <c r="B2962" s="37"/>
      <c r="C2962" s="37"/>
      <c r="D2962" s="37"/>
      <c r="E2962" s="37"/>
      <c r="F2962" s="37"/>
      <c r="G2962" s="37"/>
      <c r="H2962" s="37"/>
      <c r="I2962" s="37"/>
      <c r="J2962" s="37"/>
      <c r="K2962" s="37"/>
      <c r="L2962" s="37"/>
      <c r="M2962" s="37"/>
      <c r="N2962" s="37"/>
      <c r="O2962" s="37"/>
      <c r="P2962" s="37"/>
      <c r="Q2962" s="37"/>
      <c r="R2962" s="37"/>
      <c r="S2962" s="37"/>
      <c r="T2962" s="37"/>
      <c r="U2962" s="37"/>
      <c r="V2962" s="37"/>
      <c r="W2962" s="37"/>
      <c r="X2962" s="37"/>
      <c r="Y2962" s="37"/>
      <c r="Z2962" s="37"/>
      <c r="AA2962" s="37"/>
      <c r="AB2962" s="37"/>
      <c r="AC2962" s="37"/>
      <c r="AD2962" s="37"/>
      <c r="AE2962" s="37"/>
      <c r="AF2962" s="37"/>
      <c r="AG2962" s="37"/>
      <c r="AH2962" s="37"/>
      <c r="AI2962" s="37"/>
      <c r="AJ2962" s="37"/>
      <c r="AK2962" s="37"/>
      <c r="AL2962" s="37"/>
      <c r="AM2962" s="37"/>
      <c r="AN2962" s="37"/>
      <c r="AO2962" s="37"/>
      <c r="AP2962" s="37"/>
      <c r="AQ2962" s="37"/>
      <c r="AR2962" s="37"/>
      <c r="AS2962" s="37"/>
      <c r="AT2962" s="37"/>
      <c r="AU2962" s="37"/>
      <c r="AV2962" s="37"/>
      <c r="AW2962" s="37"/>
      <c r="AX2962" s="37"/>
      <c r="AY2962" s="37"/>
      <c r="AZ2962" s="37"/>
      <c r="BA2962" s="37"/>
      <c r="BB2962" s="37"/>
      <c r="BC2962" s="37"/>
      <c r="BD2962" s="37"/>
      <c r="BE2962" s="37"/>
      <c r="BF2962" s="37"/>
      <c r="BG2962" s="37"/>
      <c r="BH2962" s="37"/>
      <c r="BI2962" s="37"/>
      <c r="BJ2962" s="37"/>
      <c r="BK2962" s="37"/>
      <c r="BL2962" s="37"/>
      <c r="BM2962" s="37"/>
      <c r="BN2962" s="37"/>
      <c r="BO2962" s="37"/>
      <c r="BP2962" s="37"/>
      <c r="BQ2962" s="37"/>
      <c r="BR2962" s="37"/>
      <c r="BS2962" s="37"/>
      <c r="BT2962" s="37"/>
      <c r="BU2962" s="37"/>
      <c r="BV2962" s="37"/>
      <c r="BW2962" s="37"/>
      <c r="BX2962" s="37"/>
      <c r="BY2962" s="37"/>
      <c r="BZ2962" s="37"/>
      <c r="CA2962" s="37"/>
      <c r="CB2962" s="37"/>
      <c r="CC2962" s="37"/>
      <c r="CD2962" s="37"/>
      <c r="CE2962" s="37"/>
      <c r="CF2962" s="37"/>
      <c r="CG2962" s="37"/>
      <c r="CH2962" s="37"/>
      <c r="CI2962" s="37"/>
      <c r="CJ2962" s="37"/>
      <c r="CK2962" s="37"/>
      <c r="CL2962" s="37"/>
      <c r="CM2962" s="37"/>
      <c r="CN2962" s="37"/>
      <c r="CO2962" s="37"/>
      <c r="CP2962" s="37"/>
      <c r="CQ2962" s="37"/>
      <c r="CR2962" s="37"/>
      <c r="CS2962" s="37"/>
      <c r="CT2962" s="37"/>
      <c r="CU2962" s="37"/>
      <c r="CV2962" s="37"/>
      <c r="CW2962" s="37"/>
      <c r="CX2962" s="37"/>
      <c r="CY2962" s="37"/>
      <c r="CZ2962" s="37"/>
      <c r="DA2962" s="37"/>
      <c r="DB2962" s="37"/>
      <c r="DC2962" s="37"/>
      <c r="DD2962" s="37"/>
      <c r="DE2962" s="37"/>
      <c r="DF2962" s="37"/>
      <c r="DG2962" s="37"/>
      <c r="DH2962" s="37"/>
      <c r="DI2962" s="37"/>
      <c r="DJ2962" s="37"/>
      <c r="DK2962" s="37"/>
      <c r="DL2962" s="37"/>
      <c r="DM2962" s="37"/>
      <c r="DN2962" s="37"/>
      <c r="DO2962" s="37"/>
      <c r="DP2962" s="37"/>
      <c r="DQ2962" s="37"/>
      <c r="DR2962" s="37"/>
      <c r="DS2962" s="37"/>
      <c r="DT2962" s="37"/>
      <c r="DU2962" s="37"/>
      <c r="DV2962" s="37"/>
      <c r="DW2962" s="37"/>
      <c r="DX2962" s="37"/>
      <c r="DY2962" s="37"/>
      <c r="DZ2962" s="37"/>
      <c r="EA2962" s="37"/>
      <c r="EB2962" s="37"/>
      <c r="EC2962" s="37"/>
      <c r="ED2962" s="37"/>
      <c r="EE2962" s="37"/>
      <c r="EF2962" s="37"/>
      <c r="EG2962" s="37"/>
      <c r="EH2962" s="37"/>
      <c r="EI2962" s="37"/>
      <c r="EJ2962" s="37"/>
      <c r="EK2962" s="37"/>
      <c r="EL2962" s="37"/>
      <c r="EM2962" s="37"/>
      <c r="EN2962" s="37"/>
      <c r="EO2962" s="37"/>
      <c r="EP2962" s="37"/>
      <c r="EQ2962" s="37"/>
      <c r="ER2962" s="37"/>
      <c r="ES2962" s="37"/>
      <c r="ET2962" s="37"/>
      <c r="EU2962" s="37"/>
      <c r="EV2962" s="37"/>
      <c r="EW2962" s="37"/>
      <c r="EX2962" s="37"/>
      <c r="EY2962" s="37"/>
      <c r="EZ2962" s="37"/>
      <c r="FA2962" s="37"/>
      <c r="FB2962" s="37"/>
      <c r="FC2962" s="37"/>
      <c r="FD2962" s="37"/>
      <c r="FE2962" s="37"/>
      <c r="FF2962" s="37"/>
      <c r="FG2962" s="37"/>
      <c r="FH2962" s="37"/>
      <c r="FI2962" s="37"/>
      <c r="FJ2962" s="37"/>
      <c r="FK2962" s="37"/>
      <c r="FL2962" s="37"/>
      <c r="FM2962" s="37"/>
      <c r="FN2962" s="37"/>
      <c r="FO2962" s="37"/>
      <c r="FP2962" s="37"/>
      <c r="FQ2962" s="37"/>
      <c r="FR2962" s="37"/>
      <c r="FS2962" s="37"/>
      <c r="FT2962" s="37"/>
      <c r="FU2962" s="37"/>
      <c r="FV2962" s="37"/>
      <c r="FW2962" s="37"/>
      <c r="FX2962" s="37"/>
      <c r="FY2962" s="37"/>
      <c r="FZ2962" s="37"/>
      <c r="GA2962" s="37"/>
      <c r="GB2962" s="37"/>
      <c r="GC2962" s="37"/>
      <c r="GD2962" s="37"/>
      <c r="GE2962" s="37"/>
      <c r="GF2962" s="37"/>
      <c r="GG2962" s="37"/>
      <c r="GH2962" s="37"/>
      <c r="GI2962" s="37"/>
      <c r="GJ2962" s="37"/>
      <c r="GK2962" s="37"/>
      <c r="GL2962" s="37"/>
      <c r="GM2962" s="37"/>
      <c r="GN2962" s="37"/>
      <c r="GO2962" s="37"/>
      <c r="GP2962" s="37"/>
      <c r="GQ2962" s="37"/>
      <c r="GR2962" s="37"/>
      <c r="GS2962" s="37"/>
      <c r="GT2962" s="37"/>
      <c r="GU2962" s="37"/>
      <c r="GV2962" s="37"/>
      <c r="GW2962" s="37"/>
      <c r="GX2962" s="37"/>
      <c r="GY2962" s="37"/>
      <c r="GZ2962" s="37"/>
      <c r="HA2962" s="37"/>
      <c r="HB2962" s="37"/>
      <c r="HC2962" s="37"/>
      <c r="HD2962" s="37"/>
      <c r="HE2962" s="37"/>
      <c r="HF2962" s="37"/>
      <c r="HG2962" s="37"/>
      <c r="HH2962" s="37"/>
      <c r="HI2962" s="37"/>
      <c r="HJ2962" s="37"/>
      <c r="HK2962" s="37"/>
      <c r="HL2962" s="37"/>
      <c r="HM2962" s="37"/>
      <c r="HN2962" s="37"/>
      <c r="HO2962" s="37"/>
      <c r="HP2962" s="37"/>
      <c r="HQ2962" s="37"/>
      <c r="HR2962" s="37"/>
      <c r="HS2962" s="37"/>
      <c r="HT2962" s="37"/>
      <c r="HU2962" s="37"/>
      <c r="HV2962" s="37"/>
      <c r="HW2962" s="37"/>
      <c r="HX2962" s="37"/>
      <c r="HY2962" s="37"/>
      <c r="HZ2962" s="37"/>
      <c r="IA2962" s="37"/>
      <c r="IB2962" s="37"/>
      <c r="IC2962" s="37"/>
      <c r="ID2962" s="37"/>
      <c r="IE2962" s="37"/>
      <c r="IF2962" s="37"/>
      <c r="IG2962" s="37"/>
      <c r="IH2962" s="37"/>
      <c r="II2962" s="37"/>
      <c r="IJ2962" s="37"/>
      <c r="IK2962" s="37"/>
      <c r="IL2962" s="37"/>
      <c r="IM2962" s="37"/>
      <c r="IN2962" s="37"/>
      <c r="IO2962" s="37"/>
      <c r="IP2962" s="37"/>
      <c r="IQ2962" s="37"/>
      <c r="IR2962" s="37"/>
      <c r="IS2962" s="37"/>
      <c r="IT2962" s="37"/>
      <c r="IU2962" s="37"/>
      <c r="IV2962" s="37"/>
      <c r="IW2962" s="37"/>
      <c r="IX2962" s="37"/>
      <c r="IY2962" s="37"/>
      <c r="IZ2962" s="37"/>
      <c r="JA2962" s="37"/>
      <c r="JB2962" s="37"/>
      <c r="JC2962" s="37"/>
      <c r="JD2962" s="37"/>
      <c r="JE2962" s="37"/>
      <c r="JF2962" s="37"/>
      <c r="JG2962" s="37"/>
      <c r="JH2962" s="37"/>
      <c r="JI2962" s="37"/>
      <c r="JJ2962" s="37"/>
      <c r="JK2962" s="37"/>
      <c r="JL2962" s="37"/>
      <c r="JM2962" s="37"/>
      <c r="JN2962" s="37"/>
      <c r="JO2962" s="37"/>
      <c r="JP2962" s="37"/>
      <c r="JQ2962" s="37"/>
      <c r="JR2962" s="37"/>
      <c r="JS2962" s="37"/>
      <c r="JT2962" s="37"/>
      <c r="JU2962" s="37"/>
      <c r="JV2962" s="37"/>
      <c r="JW2962" s="37"/>
      <c r="JX2962" s="37"/>
      <c r="JY2962" s="37"/>
      <c r="JZ2962" s="37"/>
      <c r="KA2962" s="37"/>
      <c r="KB2962" s="37"/>
      <c r="KC2962" s="37"/>
      <c r="KD2962" s="37"/>
      <c r="KE2962" s="37"/>
      <c r="KF2962" s="37"/>
      <c r="KG2962" s="37"/>
      <c r="KH2962" s="37"/>
      <c r="KI2962" s="37"/>
      <c r="KJ2962" s="37"/>
      <c r="KK2962" s="37"/>
      <c r="KL2962" s="37"/>
      <c r="KM2962" s="37"/>
      <c r="KN2962" s="37"/>
      <c r="KO2962" s="37"/>
      <c r="KP2962" s="37"/>
      <c r="KQ2962" s="37"/>
      <c r="KR2962" s="37"/>
      <c r="KS2962" s="37"/>
      <c r="KT2962" s="37"/>
      <c r="KU2962" s="37"/>
      <c r="KV2962" s="37"/>
      <c r="KW2962" s="37"/>
      <c r="KX2962" s="37"/>
      <c r="KY2962" s="37"/>
      <c r="KZ2962" s="37"/>
      <c r="LA2962" s="37"/>
      <c r="LB2962" s="37"/>
      <c r="LC2962" s="37"/>
      <c r="LD2962" s="37"/>
      <c r="LE2962" s="37"/>
      <c r="LF2962" s="37"/>
      <c r="LG2962" s="37"/>
      <c r="LH2962" s="37"/>
      <c r="LI2962" s="37"/>
      <c r="LJ2962" s="37"/>
      <c r="LK2962" s="37"/>
      <c r="LL2962" s="37"/>
      <c r="LM2962" s="37"/>
      <c r="LN2962" s="37"/>
      <c r="LO2962" s="37"/>
      <c r="LP2962" s="37"/>
      <c r="LQ2962" s="37"/>
      <c r="LR2962" s="37"/>
      <c r="LS2962" s="37"/>
      <c r="LT2962" s="37"/>
      <c r="LU2962" s="37"/>
      <c r="LV2962" s="37"/>
      <c r="LW2962" s="37"/>
      <c r="LX2962" s="37"/>
      <c r="LY2962" s="37"/>
      <c r="LZ2962" s="37"/>
      <c r="MA2962" s="37"/>
      <c r="MB2962" s="37"/>
      <c r="MC2962" s="37"/>
      <c r="MD2962" s="37"/>
      <c r="ME2962" s="37"/>
      <c r="MF2962" s="37"/>
      <c r="MG2962" s="37"/>
      <c r="MH2962" s="37"/>
      <c r="MI2962" s="37"/>
      <c r="MJ2962" s="37"/>
      <c r="MK2962" s="37"/>
      <c r="ML2962" s="37"/>
      <c r="MM2962" s="37"/>
      <c r="MN2962" s="37"/>
      <c r="MO2962" s="37"/>
      <c r="MP2962" s="37"/>
      <c r="MQ2962" s="37"/>
      <c r="MR2962" s="37"/>
      <c r="MS2962" s="37"/>
      <c r="MT2962" s="37"/>
      <c r="MU2962" s="37"/>
      <c r="MV2962" s="37"/>
      <c r="MW2962" s="37"/>
      <c r="MX2962" s="37"/>
      <c r="MY2962" s="37"/>
      <c r="MZ2962" s="37"/>
      <c r="NA2962" s="37"/>
      <c r="NB2962" s="37"/>
      <c r="NC2962" s="37"/>
      <c r="ND2962" s="37"/>
      <c r="NE2962" s="37"/>
      <c r="NF2962" s="37"/>
      <c r="NG2962" s="37"/>
      <c r="NH2962" s="37"/>
      <c r="NI2962" s="37"/>
      <c r="NJ2962" s="37"/>
      <c r="NK2962" s="37"/>
      <c r="NL2962" s="37"/>
      <c r="NM2962" s="37"/>
      <c r="NN2962" s="37"/>
      <c r="NO2962" s="37"/>
      <c r="NP2962" s="37"/>
      <c r="NQ2962" s="37"/>
      <c r="NR2962" s="37"/>
      <c r="NS2962" s="37"/>
      <c r="NT2962" s="37"/>
      <c r="NU2962" s="37"/>
      <c r="NV2962" s="37"/>
      <c r="NW2962" s="37"/>
      <c r="NX2962" s="37"/>
      <c r="NY2962" s="37"/>
      <c r="NZ2962" s="37"/>
      <c r="OA2962" s="37"/>
      <c r="OB2962" s="37"/>
      <c r="OC2962" s="37"/>
      <c r="OD2962" s="37"/>
      <c r="OE2962" s="37"/>
      <c r="OF2962" s="37"/>
      <c r="OG2962" s="37"/>
      <c r="OH2962" s="37"/>
      <c r="OI2962" s="37"/>
      <c r="OJ2962" s="37"/>
      <c r="OK2962" s="37"/>
      <c r="OL2962" s="37"/>
      <c r="OM2962" s="37"/>
      <c r="ON2962" s="37"/>
      <c r="OO2962" s="37"/>
      <c r="OP2962" s="37"/>
      <c r="OQ2962" s="37"/>
      <c r="OR2962" s="37"/>
      <c r="OS2962" s="37"/>
      <c r="OT2962" s="37"/>
      <c r="OU2962" s="37"/>
      <c r="OV2962" s="37"/>
      <c r="OW2962" s="37"/>
      <c r="OX2962" s="37"/>
      <c r="OY2962" s="37"/>
      <c r="OZ2962" s="37"/>
      <c r="PA2962" s="37"/>
      <c r="PB2962" s="37"/>
      <c r="PC2962" s="37"/>
      <c r="PD2962" s="37"/>
      <c r="PE2962" s="37"/>
      <c r="PF2962" s="37"/>
      <c r="PG2962" s="37"/>
      <c r="PH2962" s="37"/>
      <c r="PI2962" s="37"/>
      <c r="PJ2962" s="37"/>
      <c r="PK2962" s="37"/>
      <c r="PL2962" s="37"/>
      <c r="PM2962" s="37"/>
      <c r="PN2962" s="37"/>
      <c r="PO2962" s="37"/>
      <c r="PP2962" s="37"/>
      <c r="PQ2962" s="37"/>
      <c r="PR2962" s="37"/>
      <c r="PS2962" s="37"/>
      <c r="PT2962" s="37"/>
      <c r="PU2962" s="37"/>
      <c r="PV2962" s="37"/>
      <c r="PW2962" s="37"/>
      <c r="PX2962" s="37"/>
      <c r="PY2962" s="37"/>
      <c r="PZ2962" s="37"/>
      <c r="QA2962" s="37"/>
      <c r="QB2962" s="37"/>
      <c r="QC2962" s="37"/>
      <c r="QD2962" s="37"/>
      <c r="QE2962" s="37"/>
      <c r="QF2962" s="37"/>
      <c r="QG2962" s="37"/>
      <c r="QH2962" s="37"/>
      <c r="QI2962" s="37"/>
      <c r="QJ2962" s="37"/>
      <c r="QK2962" s="37"/>
      <c r="QL2962" s="37"/>
      <c r="QM2962" s="37"/>
      <c r="QN2962" s="37"/>
      <c r="QO2962" s="37"/>
      <c r="QP2962" s="37"/>
      <c r="QQ2962" s="37"/>
      <c r="QR2962" s="37"/>
      <c r="QS2962" s="37"/>
      <c r="QT2962" s="37"/>
      <c r="QU2962" s="37"/>
      <c r="QV2962" s="37"/>
      <c r="QW2962" s="37"/>
      <c r="QX2962" s="37"/>
      <c r="QY2962" s="37"/>
      <c r="QZ2962" s="37"/>
      <c r="RA2962" s="37"/>
      <c r="RB2962" s="37"/>
      <c r="RC2962" s="37"/>
      <c r="RD2962" s="37"/>
      <c r="RE2962" s="37"/>
      <c r="RF2962" s="37"/>
      <c r="RG2962" s="37"/>
      <c r="RH2962" s="37"/>
      <c r="RI2962" s="37"/>
      <c r="RJ2962" s="37"/>
      <c r="RK2962" s="37"/>
      <c r="RL2962" s="37"/>
      <c r="RM2962" s="37"/>
      <c r="RN2962" s="37"/>
      <c r="RO2962" s="37"/>
      <c r="RP2962" s="37"/>
      <c r="RQ2962" s="37"/>
      <c r="RR2962" s="37"/>
      <c r="RS2962" s="37"/>
      <c r="RT2962" s="37"/>
      <c r="RU2962" s="37"/>
      <c r="RV2962" s="37"/>
      <c r="RW2962" s="37"/>
      <c r="RX2962" s="37"/>
      <c r="RY2962" s="37"/>
      <c r="RZ2962" s="37"/>
      <c r="SA2962" s="37"/>
      <c r="SB2962" s="37"/>
      <c r="SC2962" s="37"/>
      <c r="SD2962" s="37"/>
      <c r="SE2962" s="37"/>
      <c r="SF2962" s="37"/>
    </row>
    <row r="2963" spans="1:500">
      <c r="A2963" s="37"/>
      <c r="B2963" s="37"/>
      <c r="C2963" s="37"/>
      <c r="D2963" s="37"/>
      <c r="E2963" s="37"/>
      <c r="F2963" s="37"/>
      <c r="G2963" s="37"/>
      <c r="H2963" s="37"/>
      <c r="I2963" s="37"/>
      <c r="J2963" s="37"/>
      <c r="K2963" s="37"/>
      <c r="L2963" s="37"/>
      <c r="M2963" s="37"/>
      <c r="N2963" s="37"/>
      <c r="O2963" s="37"/>
      <c r="P2963" s="37"/>
      <c r="Q2963" s="37"/>
      <c r="R2963" s="37"/>
      <c r="S2963" s="37"/>
      <c r="T2963" s="37"/>
      <c r="U2963" s="37"/>
      <c r="V2963" s="37"/>
      <c r="W2963" s="37"/>
      <c r="X2963" s="37"/>
      <c r="Y2963" s="37"/>
      <c r="Z2963" s="37"/>
      <c r="AA2963" s="37"/>
      <c r="AB2963" s="37"/>
      <c r="AC2963" s="37"/>
      <c r="AD2963" s="37"/>
      <c r="AE2963" s="37"/>
      <c r="AF2963" s="37"/>
      <c r="AG2963" s="37"/>
      <c r="AH2963" s="37"/>
      <c r="AI2963" s="37"/>
      <c r="AJ2963" s="37"/>
      <c r="AK2963" s="37"/>
      <c r="AL2963" s="37"/>
      <c r="AM2963" s="37"/>
      <c r="AN2963" s="37"/>
      <c r="AO2963" s="37"/>
      <c r="AP2963" s="37"/>
      <c r="AQ2963" s="37"/>
      <c r="AR2963" s="37"/>
      <c r="AS2963" s="37"/>
      <c r="AT2963" s="37"/>
      <c r="AU2963" s="37"/>
      <c r="AV2963" s="37"/>
      <c r="AW2963" s="37"/>
      <c r="AX2963" s="37"/>
      <c r="AY2963" s="37"/>
      <c r="AZ2963" s="37"/>
      <c r="BA2963" s="37"/>
      <c r="BB2963" s="37"/>
      <c r="BC2963" s="37"/>
      <c r="BD2963" s="37"/>
      <c r="BE2963" s="37"/>
      <c r="BF2963" s="37"/>
      <c r="BG2963" s="37"/>
      <c r="BH2963" s="37"/>
      <c r="BI2963" s="37"/>
      <c r="BJ2963" s="37"/>
      <c r="BK2963" s="37"/>
      <c r="BL2963" s="37"/>
      <c r="BM2963" s="37"/>
      <c r="BN2963" s="37"/>
      <c r="BO2963" s="37"/>
      <c r="BP2963" s="37"/>
      <c r="BQ2963" s="37"/>
      <c r="BR2963" s="37"/>
      <c r="BS2963" s="37"/>
      <c r="BT2963" s="37"/>
      <c r="BU2963" s="37"/>
      <c r="BV2963" s="37"/>
      <c r="BW2963" s="37"/>
      <c r="BX2963" s="37"/>
      <c r="BY2963" s="37"/>
      <c r="BZ2963" s="37"/>
      <c r="CA2963" s="37"/>
      <c r="CB2963" s="37"/>
      <c r="CC2963" s="37"/>
      <c r="CD2963" s="37"/>
      <c r="CE2963" s="37"/>
      <c r="CF2963" s="37"/>
      <c r="CG2963" s="37"/>
      <c r="CH2963" s="37"/>
      <c r="CI2963" s="37"/>
      <c r="CJ2963" s="37"/>
      <c r="CK2963" s="37"/>
      <c r="CL2963" s="37"/>
      <c r="CM2963" s="37"/>
      <c r="CN2963" s="37"/>
      <c r="CO2963" s="37"/>
      <c r="CP2963" s="37"/>
      <c r="CQ2963" s="37"/>
      <c r="CR2963" s="37"/>
      <c r="CS2963" s="37"/>
      <c r="CT2963" s="37"/>
      <c r="CU2963" s="37"/>
      <c r="CV2963" s="37"/>
      <c r="CW2963" s="37"/>
      <c r="CX2963" s="37"/>
      <c r="CY2963" s="37"/>
      <c r="CZ2963" s="37"/>
      <c r="DA2963" s="37"/>
      <c r="DB2963" s="37"/>
      <c r="DC2963" s="37"/>
      <c r="DD2963" s="37"/>
      <c r="DE2963" s="37"/>
      <c r="DF2963" s="37"/>
      <c r="DG2963" s="37"/>
      <c r="DH2963" s="37"/>
      <c r="DI2963" s="37"/>
      <c r="DJ2963" s="37"/>
      <c r="DK2963" s="37"/>
      <c r="DL2963" s="37"/>
      <c r="DM2963" s="37"/>
      <c r="DN2963" s="37"/>
      <c r="DO2963" s="37"/>
      <c r="DP2963" s="37"/>
      <c r="DQ2963" s="37"/>
      <c r="DR2963" s="37"/>
      <c r="DS2963" s="37"/>
      <c r="DT2963" s="37"/>
      <c r="DU2963" s="37"/>
      <c r="DV2963" s="37"/>
      <c r="DW2963" s="37"/>
      <c r="DX2963" s="37"/>
      <c r="DY2963" s="37"/>
      <c r="DZ2963" s="37"/>
      <c r="EA2963" s="37"/>
      <c r="EB2963" s="37"/>
      <c r="EC2963" s="37"/>
      <c r="ED2963" s="37"/>
      <c r="EE2963" s="37"/>
      <c r="EF2963" s="37"/>
      <c r="EG2963" s="37"/>
      <c r="EH2963" s="37"/>
      <c r="EI2963" s="37"/>
      <c r="EJ2963" s="37"/>
      <c r="EK2963" s="37"/>
      <c r="EL2963" s="37"/>
      <c r="EM2963" s="37"/>
      <c r="EN2963" s="37"/>
      <c r="EO2963" s="37"/>
      <c r="EP2963" s="37"/>
      <c r="EQ2963" s="37"/>
      <c r="ER2963" s="37"/>
      <c r="ES2963" s="37"/>
      <c r="ET2963" s="37"/>
      <c r="EU2963" s="37"/>
      <c r="EV2963" s="37"/>
      <c r="EW2963" s="37"/>
      <c r="EX2963" s="37"/>
      <c r="EY2963" s="37"/>
      <c r="EZ2963" s="37"/>
      <c r="FA2963" s="37"/>
      <c r="FB2963" s="37"/>
      <c r="FC2963" s="37"/>
      <c r="FD2963" s="37"/>
      <c r="FE2963" s="37"/>
      <c r="FF2963" s="37"/>
      <c r="FG2963" s="37"/>
      <c r="FH2963" s="37"/>
      <c r="FI2963" s="37"/>
      <c r="FJ2963" s="37"/>
      <c r="FK2963" s="37"/>
      <c r="FL2963" s="37"/>
      <c r="FM2963" s="37"/>
      <c r="FN2963" s="37"/>
      <c r="FO2963" s="37"/>
      <c r="FP2963" s="37"/>
      <c r="FQ2963" s="37"/>
      <c r="FR2963" s="37"/>
      <c r="FS2963" s="37"/>
      <c r="FT2963" s="37"/>
      <c r="FU2963" s="37"/>
      <c r="FV2963" s="37"/>
      <c r="FW2963" s="37"/>
      <c r="FX2963" s="37"/>
      <c r="FY2963" s="37"/>
      <c r="FZ2963" s="37"/>
      <c r="GA2963" s="37"/>
      <c r="GB2963" s="37"/>
      <c r="GC2963" s="37"/>
      <c r="GD2963" s="37"/>
      <c r="GE2963" s="37"/>
      <c r="GF2963" s="37"/>
      <c r="GG2963" s="37"/>
      <c r="GH2963" s="37"/>
      <c r="GI2963" s="37"/>
      <c r="GJ2963" s="37"/>
      <c r="GK2963" s="37"/>
      <c r="GL2963" s="37"/>
      <c r="GM2963" s="37"/>
      <c r="GN2963" s="37"/>
      <c r="GO2963" s="37"/>
      <c r="GP2963" s="37"/>
      <c r="GQ2963" s="37"/>
      <c r="GR2963" s="37"/>
      <c r="GS2963" s="37"/>
      <c r="GT2963" s="37"/>
      <c r="GU2963" s="37"/>
      <c r="GV2963" s="37"/>
      <c r="GW2963" s="37"/>
      <c r="GX2963" s="37"/>
      <c r="GY2963" s="37"/>
      <c r="GZ2963" s="37"/>
      <c r="HA2963" s="37"/>
      <c r="HB2963" s="37"/>
      <c r="HC2963" s="37"/>
      <c r="HD2963" s="37"/>
      <c r="HE2963" s="37"/>
      <c r="HF2963" s="37"/>
      <c r="HG2963" s="37"/>
      <c r="HH2963" s="37"/>
      <c r="HI2963" s="37"/>
      <c r="HJ2963" s="37"/>
      <c r="HK2963" s="37"/>
      <c r="HL2963" s="37"/>
      <c r="HM2963" s="37"/>
      <c r="HN2963" s="37"/>
      <c r="HO2963" s="37"/>
      <c r="HP2963" s="37"/>
      <c r="HQ2963" s="37"/>
      <c r="HR2963" s="37"/>
      <c r="HS2963" s="37"/>
      <c r="HT2963" s="37"/>
      <c r="HU2963" s="37"/>
      <c r="HV2963" s="37"/>
      <c r="HW2963" s="37"/>
      <c r="HX2963" s="37"/>
      <c r="HY2963" s="37"/>
      <c r="HZ2963" s="37"/>
      <c r="IA2963" s="37"/>
      <c r="IB2963" s="37"/>
      <c r="IC2963" s="37"/>
      <c r="ID2963" s="37"/>
      <c r="IE2963" s="37"/>
      <c r="IF2963" s="37"/>
      <c r="IG2963" s="37"/>
      <c r="IH2963" s="37"/>
      <c r="II2963" s="37"/>
      <c r="IJ2963" s="37"/>
      <c r="IK2963" s="37"/>
      <c r="IL2963" s="37"/>
      <c r="IM2963" s="37"/>
      <c r="IN2963" s="37"/>
      <c r="IO2963" s="37"/>
      <c r="IP2963" s="37"/>
      <c r="IQ2963" s="37"/>
      <c r="IR2963" s="37"/>
      <c r="IS2963" s="37"/>
      <c r="IT2963" s="37"/>
      <c r="IU2963" s="37"/>
      <c r="IV2963" s="37"/>
      <c r="IW2963" s="37"/>
      <c r="IX2963" s="37"/>
      <c r="IY2963" s="37"/>
      <c r="IZ2963" s="37"/>
      <c r="JA2963" s="37"/>
      <c r="JB2963" s="37"/>
      <c r="JC2963" s="37"/>
      <c r="JD2963" s="37"/>
      <c r="JE2963" s="37"/>
      <c r="JF2963" s="37"/>
      <c r="JG2963" s="37"/>
      <c r="JH2963" s="37"/>
      <c r="JI2963" s="37"/>
      <c r="JJ2963" s="37"/>
      <c r="JK2963" s="37"/>
      <c r="JL2963" s="37"/>
      <c r="JM2963" s="37"/>
      <c r="JN2963" s="37"/>
      <c r="JO2963" s="37"/>
      <c r="JP2963" s="37"/>
      <c r="JQ2963" s="37"/>
      <c r="JR2963" s="37"/>
      <c r="JS2963" s="37"/>
      <c r="JT2963" s="37"/>
      <c r="JU2963" s="37"/>
      <c r="JV2963" s="37"/>
      <c r="JW2963" s="37"/>
      <c r="JX2963" s="37"/>
      <c r="JY2963" s="37"/>
      <c r="JZ2963" s="37"/>
      <c r="KA2963" s="37"/>
      <c r="KB2963" s="37"/>
      <c r="KC2963" s="37"/>
      <c r="KD2963" s="37"/>
      <c r="KE2963" s="37"/>
      <c r="KF2963" s="37"/>
      <c r="KG2963" s="37"/>
      <c r="KH2963" s="37"/>
      <c r="KI2963" s="37"/>
      <c r="KJ2963" s="37"/>
      <c r="KK2963" s="37"/>
      <c r="KL2963" s="37"/>
      <c r="KM2963" s="37"/>
      <c r="KN2963" s="37"/>
      <c r="KO2963" s="37"/>
      <c r="KP2963" s="37"/>
      <c r="KQ2963" s="37"/>
      <c r="KR2963" s="37"/>
      <c r="KS2963" s="37"/>
      <c r="KT2963" s="37"/>
      <c r="KU2963" s="37"/>
      <c r="KV2963" s="37"/>
      <c r="KW2963" s="37"/>
      <c r="KX2963" s="37"/>
      <c r="KY2963" s="37"/>
      <c r="KZ2963" s="37"/>
      <c r="LA2963" s="37"/>
      <c r="LB2963" s="37"/>
      <c r="LC2963" s="37"/>
      <c r="LD2963" s="37"/>
      <c r="LE2963" s="37"/>
      <c r="LF2963" s="37"/>
      <c r="LG2963" s="37"/>
      <c r="LH2963" s="37"/>
      <c r="LI2963" s="37"/>
      <c r="LJ2963" s="37"/>
      <c r="LK2963" s="37"/>
      <c r="LL2963" s="37"/>
      <c r="LM2963" s="37"/>
      <c r="LN2963" s="37"/>
      <c r="LO2963" s="37"/>
      <c r="LP2963" s="37"/>
      <c r="LQ2963" s="37"/>
      <c r="LR2963" s="37"/>
      <c r="LS2963" s="37"/>
      <c r="LT2963" s="37"/>
      <c r="LU2963" s="37"/>
      <c r="LV2963" s="37"/>
      <c r="LW2963" s="37"/>
      <c r="LX2963" s="37"/>
      <c r="LY2963" s="37"/>
      <c r="LZ2963" s="37"/>
      <c r="MA2963" s="37"/>
      <c r="MB2963" s="37"/>
      <c r="MC2963" s="37"/>
      <c r="MD2963" s="37"/>
      <c r="ME2963" s="37"/>
      <c r="MF2963" s="37"/>
      <c r="MG2963" s="37"/>
      <c r="MH2963" s="37"/>
      <c r="MI2963" s="37"/>
      <c r="MJ2963" s="37"/>
      <c r="MK2963" s="37"/>
      <c r="ML2963" s="37"/>
      <c r="MM2963" s="37"/>
      <c r="MN2963" s="37"/>
      <c r="MO2963" s="37"/>
      <c r="MP2963" s="37"/>
      <c r="MQ2963" s="37"/>
      <c r="MR2963" s="37"/>
      <c r="MS2963" s="37"/>
      <c r="MT2963" s="37"/>
      <c r="MU2963" s="37"/>
      <c r="MV2963" s="37"/>
      <c r="MW2963" s="37"/>
      <c r="MX2963" s="37"/>
      <c r="MY2963" s="37"/>
      <c r="MZ2963" s="37"/>
      <c r="NA2963" s="37"/>
      <c r="NB2963" s="37"/>
      <c r="NC2963" s="37"/>
      <c r="ND2963" s="37"/>
      <c r="NE2963" s="37"/>
      <c r="NF2963" s="37"/>
      <c r="NG2963" s="37"/>
      <c r="NH2963" s="37"/>
      <c r="NI2963" s="37"/>
      <c r="NJ2963" s="37"/>
      <c r="NK2963" s="37"/>
      <c r="NL2963" s="37"/>
      <c r="NM2963" s="37"/>
      <c r="NN2963" s="37"/>
      <c r="NO2963" s="37"/>
      <c r="NP2963" s="37"/>
      <c r="NQ2963" s="37"/>
      <c r="NR2963" s="37"/>
      <c r="NS2963" s="37"/>
      <c r="NT2963" s="37"/>
      <c r="NU2963" s="37"/>
      <c r="NV2963" s="37"/>
      <c r="NW2963" s="37"/>
      <c r="NX2963" s="37"/>
      <c r="NY2963" s="37"/>
      <c r="NZ2963" s="37"/>
      <c r="OA2963" s="37"/>
      <c r="OB2963" s="37"/>
      <c r="OC2963" s="37"/>
      <c r="OD2963" s="37"/>
      <c r="OE2963" s="37"/>
      <c r="OF2963" s="37"/>
      <c r="OG2963" s="37"/>
      <c r="OH2963" s="37"/>
      <c r="OI2963" s="37"/>
      <c r="OJ2963" s="37"/>
      <c r="OK2963" s="37"/>
      <c r="OL2963" s="37"/>
      <c r="OM2963" s="37"/>
      <c r="ON2963" s="37"/>
      <c r="OO2963" s="37"/>
      <c r="OP2963" s="37"/>
      <c r="OQ2963" s="37"/>
      <c r="OR2963" s="37"/>
      <c r="OS2963" s="37"/>
      <c r="OT2963" s="37"/>
      <c r="OU2963" s="37"/>
      <c r="OV2963" s="37"/>
      <c r="OW2963" s="37"/>
      <c r="OX2963" s="37"/>
      <c r="OY2963" s="37"/>
      <c r="OZ2963" s="37"/>
      <c r="PA2963" s="37"/>
      <c r="PB2963" s="37"/>
      <c r="PC2963" s="37"/>
      <c r="PD2963" s="37"/>
      <c r="PE2963" s="37"/>
      <c r="PF2963" s="37"/>
      <c r="PG2963" s="37"/>
      <c r="PH2963" s="37"/>
      <c r="PI2963" s="37"/>
      <c r="PJ2963" s="37"/>
      <c r="PK2963" s="37"/>
      <c r="PL2963" s="37"/>
      <c r="PM2963" s="37"/>
      <c r="PN2963" s="37"/>
      <c r="PO2963" s="37"/>
      <c r="PP2963" s="37"/>
      <c r="PQ2963" s="37"/>
      <c r="PR2963" s="37"/>
      <c r="PS2963" s="37"/>
      <c r="PT2963" s="37"/>
      <c r="PU2963" s="37"/>
      <c r="PV2963" s="37"/>
      <c r="PW2963" s="37"/>
      <c r="PX2963" s="37"/>
      <c r="PY2963" s="37"/>
      <c r="PZ2963" s="37"/>
      <c r="QA2963" s="37"/>
      <c r="QB2963" s="37"/>
      <c r="QC2963" s="37"/>
      <c r="QD2963" s="37"/>
      <c r="QE2963" s="37"/>
      <c r="QF2963" s="37"/>
      <c r="QG2963" s="37"/>
      <c r="QH2963" s="37"/>
      <c r="QI2963" s="37"/>
      <c r="QJ2963" s="37"/>
      <c r="QK2963" s="37"/>
      <c r="QL2963" s="37"/>
      <c r="QM2963" s="37"/>
      <c r="QN2963" s="37"/>
      <c r="QO2963" s="37"/>
      <c r="QP2963" s="37"/>
      <c r="QQ2963" s="37"/>
      <c r="QR2963" s="37"/>
      <c r="QS2963" s="37"/>
      <c r="QT2963" s="37"/>
      <c r="QU2963" s="37"/>
      <c r="QV2963" s="37"/>
      <c r="QW2963" s="37"/>
      <c r="QX2963" s="37"/>
      <c r="QY2963" s="37"/>
      <c r="QZ2963" s="37"/>
      <c r="RA2963" s="37"/>
      <c r="RB2963" s="37"/>
      <c r="RC2963" s="37"/>
      <c r="RD2963" s="37"/>
      <c r="RE2963" s="37"/>
      <c r="RF2963" s="37"/>
      <c r="RG2963" s="37"/>
      <c r="RH2963" s="37"/>
      <c r="RI2963" s="37"/>
      <c r="RJ2963" s="37"/>
      <c r="RK2963" s="37"/>
      <c r="RL2963" s="37"/>
      <c r="RM2963" s="37"/>
      <c r="RN2963" s="37"/>
      <c r="RO2963" s="37"/>
      <c r="RP2963" s="37"/>
      <c r="RQ2963" s="37"/>
      <c r="RR2963" s="37"/>
      <c r="RS2963" s="37"/>
      <c r="RT2963" s="37"/>
      <c r="RU2963" s="37"/>
      <c r="RV2963" s="37"/>
      <c r="RW2963" s="37"/>
      <c r="RX2963" s="37"/>
      <c r="RY2963" s="37"/>
      <c r="RZ2963" s="37"/>
      <c r="SA2963" s="37"/>
      <c r="SB2963" s="37"/>
      <c r="SC2963" s="37"/>
      <c r="SD2963" s="37"/>
      <c r="SE2963" s="37"/>
      <c r="SF2963" s="37"/>
    </row>
    <row r="2964" spans="1:500">
      <c r="A2964" s="37"/>
      <c r="B2964" s="37"/>
      <c r="C2964" s="37"/>
      <c r="D2964" s="37"/>
      <c r="E2964" s="37"/>
      <c r="F2964" s="37"/>
      <c r="G2964" s="37"/>
      <c r="H2964" s="37"/>
      <c r="I2964" s="37"/>
      <c r="J2964" s="37"/>
      <c r="K2964" s="37"/>
      <c r="L2964" s="37"/>
      <c r="M2964" s="37"/>
      <c r="N2964" s="37"/>
      <c r="O2964" s="37"/>
      <c r="P2964" s="37"/>
      <c r="Q2964" s="37"/>
      <c r="R2964" s="37"/>
      <c r="S2964" s="37"/>
      <c r="T2964" s="37"/>
      <c r="U2964" s="37"/>
      <c r="V2964" s="37"/>
      <c r="W2964" s="37"/>
      <c r="X2964" s="37"/>
      <c r="Y2964" s="37"/>
      <c r="Z2964" s="37"/>
      <c r="AA2964" s="37"/>
      <c r="AB2964" s="37"/>
      <c r="AC2964" s="37"/>
      <c r="AD2964" s="37"/>
      <c r="AE2964" s="37"/>
      <c r="AF2964" s="37"/>
      <c r="AG2964" s="37"/>
      <c r="AH2964" s="37"/>
      <c r="AI2964" s="37"/>
      <c r="AJ2964" s="37"/>
      <c r="AK2964" s="37"/>
      <c r="AL2964" s="37"/>
      <c r="AM2964" s="37"/>
      <c r="AN2964" s="37"/>
      <c r="AO2964" s="37"/>
      <c r="AP2964" s="37"/>
      <c r="AQ2964" s="37"/>
      <c r="AR2964" s="37"/>
      <c r="AS2964" s="37"/>
      <c r="AT2964" s="37"/>
      <c r="AU2964" s="37"/>
      <c r="AV2964" s="37"/>
      <c r="AW2964" s="37"/>
      <c r="AX2964" s="37"/>
      <c r="AY2964" s="37"/>
      <c r="AZ2964" s="37"/>
      <c r="BA2964" s="37"/>
      <c r="BB2964" s="37"/>
      <c r="BC2964" s="37"/>
      <c r="BD2964" s="37"/>
      <c r="BE2964" s="37"/>
      <c r="BF2964" s="37"/>
      <c r="BG2964" s="37"/>
      <c r="BH2964" s="37"/>
      <c r="BI2964" s="37"/>
      <c r="BJ2964" s="37"/>
      <c r="BK2964" s="37"/>
      <c r="BL2964" s="37"/>
      <c r="BM2964" s="37"/>
      <c r="BN2964" s="37"/>
      <c r="BO2964" s="37"/>
      <c r="BP2964" s="37"/>
      <c r="BQ2964" s="37"/>
      <c r="BR2964" s="37"/>
      <c r="BS2964" s="37"/>
      <c r="BT2964" s="37"/>
      <c r="BU2964" s="37"/>
      <c r="BV2964" s="37"/>
      <c r="BW2964" s="37"/>
      <c r="BX2964" s="37"/>
      <c r="BY2964" s="37"/>
      <c r="BZ2964" s="37"/>
      <c r="CA2964" s="37"/>
      <c r="CB2964" s="37"/>
      <c r="CC2964" s="37"/>
      <c r="CD2964" s="37"/>
      <c r="CE2964" s="37"/>
      <c r="CF2964" s="37"/>
      <c r="CG2964" s="37"/>
      <c r="CH2964" s="37"/>
      <c r="CI2964" s="37"/>
      <c r="CJ2964" s="37"/>
      <c r="CK2964" s="37"/>
      <c r="CL2964" s="37"/>
      <c r="CM2964" s="37"/>
      <c r="CN2964" s="37"/>
      <c r="CO2964" s="37"/>
      <c r="CP2964" s="37"/>
      <c r="CQ2964" s="37"/>
      <c r="CR2964" s="37"/>
      <c r="CS2964" s="37"/>
      <c r="CT2964" s="37"/>
      <c r="CU2964" s="37"/>
      <c r="CV2964" s="37"/>
      <c r="CW2964" s="37"/>
      <c r="CX2964" s="37"/>
      <c r="CY2964" s="37"/>
      <c r="CZ2964" s="37"/>
      <c r="DA2964" s="37"/>
      <c r="DB2964" s="37"/>
      <c r="DC2964" s="37"/>
      <c r="DD2964" s="37"/>
      <c r="DE2964" s="37"/>
      <c r="DF2964" s="37"/>
      <c r="DG2964" s="37"/>
      <c r="DH2964" s="37"/>
      <c r="DI2964" s="37"/>
      <c r="DJ2964" s="37"/>
      <c r="DK2964" s="37"/>
      <c r="DL2964" s="37"/>
      <c r="DM2964" s="37"/>
      <c r="DN2964" s="37"/>
      <c r="DO2964" s="37"/>
      <c r="DP2964" s="37"/>
      <c r="DQ2964" s="37"/>
      <c r="DR2964" s="37"/>
      <c r="DS2964" s="37"/>
      <c r="DT2964" s="37"/>
      <c r="DU2964" s="37"/>
      <c r="DV2964" s="37"/>
      <c r="DW2964" s="37"/>
      <c r="DX2964" s="37"/>
      <c r="DY2964" s="37"/>
      <c r="DZ2964" s="37"/>
      <c r="EA2964" s="37"/>
      <c r="EB2964" s="37"/>
      <c r="EC2964" s="37"/>
      <c r="ED2964" s="37"/>
      <c r="EE2964" s="37"/>
      <c r="EF2964" s="37"/>
      <c r="EG2964" s="37"/>
      <c r="EH2964" s="37"/>
      <c r="EI2964" s="37"/>
      <c r="EJ2964" s="37"/>
      <c r="EK2964" s="37"/>
      <c r="EL2964" s="37"/>
      <c r="EM2964" s="37"/>
      <c r="EN2964" s="37"/>
      <c r="EO2964" s="37"/>
      <c r="EP2964" s="37"/>
      <c r="EQ2964" s="37"/>
      <c r="ER2964" s="37"/>
      <c r="ES2964" s="37"/>
      <c r="ET2964" s="37"/>
      <c r="EU2964" s="37"/>
      <c r="EV2964" s="37"/>
      <c r="EW2964" s="37"/>
      <c r="EX2964" s="37"/>
      <c r="EY2964" s="37"/>
      <c r="EZ2964" s="37"/>
      <c r="FA2964" s="37"/>
      <c r="FB2964" s="37"/>
      <c r="FC2964" s="37"/>
      <c r="FD2964" s="37"/>
      <c r="FE2964" s="37"/>
      <c r="FF2964" s="37"/>
      <c r="FG2964" s="37"/>
      <c r="FH2964" s="37"/>
      <c r="FI2964" s="37"/>
      <c r="FJ2964" s="37"/>
      <c r="FK2964" s="37"/>
      <c r="FL2964" s="37"/>
      <c r="FM2964" s="37"/>
      <c r="FN2964" s="37"/>
      <c r="FO2964" s="37"/>
      <c r="FP2964" s="37"/>
      <c r="FQ2964" s="37"/>
      <c r="FR2964" s="37"/>
      <c r="FS2964" s="37"/>
      <c r="FT2964" s="37"/>
      <c r="FU2964" s="37"/>
      <c r="FV2964" s="37"/>
      <c r="FW2964" s="37"/>
      <c r="FX2964" s="37"/>
      <c r="FY2964" s="37"/>
      <c r="FZ2964" s="37"/>
      <c r="GA2964" s="37"/>
      <c r="GB2964" s="37"/>
      <c r="GC2964" s="37"/>
      <c r="GD2964" s="37"/>
      <c r="GE2964" s="37"/>
      <c r="GF2964" s="37"/>
      <c r="GG2964" s="37"/>
      <c r="GH2964" s="37"/>
      <c r="GI2964" s="37"/>
      <c r="GJ2964" s="37"/>
      <c r="GK2964" s="37"/>
      <c r="GL2964" s="37"/>
      <c r="GM2964" s="37"/>
      <c r="GN2964" s="37"/>
      <c r="GO2964" s="37"/>
      <c r="GP2964" s="37"/>
      <c r="GQ2964" s="37"/>
      <c r="GR2964" s="37"/>
      <c r="GS2964" s="37"/>
      <c r="GT2964" s="37"/>
      <c r="GU2964" s="37"/>
      <c r="GV2964" s="37"/>
      <c r="GW2964" s="37"/>
      <c r="GX2964" s="37"/>
      <c r="GY2964" s="37"/>
      <c r="GZ2964" s="37"/>
      <c r="HA2964" s="37"/>
      <c r="HB2964" s="37"/>
      <c r="HC2964" s="37"/>
      <c r="HD2964" s="37"/>
      <c r="HE2964" s="37"/>
      <c r="HF2964" s="37"/>
      <c r="HG2964" s="37"/>
      <c r="HH2964" s="37"/>
      <c r="HI2964" s="37"/>
      <c r="HJ2964" s="37"/>
      <c r="HK2964" s="37"/>
      <c r="HL2964" s="37"/>
      <c r="HM2964" s="37"/>
      <c r="HN2964" s="37"/>
      <c r="HO2964" s="37"/>
      <c r="HP2964" s="37"/>
      <c r="HQ2964" s="37"/>
      <c r="HR2964" s="37"/>
      <c r="HS2964" s="37"/>
      <c r="HT2964" s="37"/>
      <c r="HU2964" s="37"/>
      <c r="HV2964" s="37"/>
      <c r="HW2964" s="37"/>
      <c r="HX2964" s="37"/>
      <c r="HY2964" s="37"/>
      <c r="HZ2964" s="37"/>
      <c r="IA2964" s="37"/>
      <c r="IB2964" s="37"/>
      <c r="IC2964" s="37"/>
      <c r="ID2964" s="37"/>
      <c r="IE2964" s="37"/>
      <c r="IF2964" s="37"/>
      <c r="IG2964" s="37"/>
      <c r="IH2964" s="37"/>
      <c r="II2964" s="37"/>
      <c r="IJ2964" s="37"/>
      <c r="IK2964" s="37"/>
      <c r="IL2964" s="37"/>
      <c r="IM2964" s="37"/>
      <c r="IN2964" s="37"/>
      <c r="IO2964" s="37"/>
      <c r="IP2964" s="37"/>
      <c r="IQ2964" s="37"/>
      <c r="IR2964" s="37"/>
      <c r="IS2964" s="37"/>
      <c r="IT2964" s="37"/>
      <c r="IU2964" s="37"/>
      <c r="IV2964" s="37"/>
      <c r="IW2964" s="37"/>
      <c r="IX2964" s="37"/>
      <c r="IY2964" s="37"/>
      <c r="IZ2964" s="37"/>
      <c r="JA2964" s="37"/>
      <c r="JB2964" s="37"/>
      <c r="JC2964" s="37"/>
      <c r="JD2964" s="37"/>
      <c r="JE2964" s="37"/>
      <c r="JF2964" s="37"/>
      <c r="JG2964" s="37"/>
      <c r="JH2964" s="37"/>
      <c r="JI2964" s="37"/>
      <c r="JJ2964" s="37"/>
      <c r="JK2964" s="37"/>
      <c r="JL2964" s="37"/>
      <c r="JM2964" s="37"/>
      <c r="JN2964" s="37"/>
      <c r="JO2964" s="37"/>
      <c r="JP2964" s="37"/>
      <c r="JQ2964" s="37"/>
      <c r="JR2964" s="37"/>
      <c r="JS2964" s="37"/>
      <c r="JT2964" s="37"/>
      <c r="JU2964" s="37"/>
      <c r="JV2964" s="37"/>
      <c r="JW2964" s="37"/>
      <c r="JX2964" s="37"/>
      <c r="JY2964" s="37"/>
      <c r="JZ2964" s="37"/>
      <c r="KA2964" s="37"/>
      <c r="KB2964" s="37"/>
      <c r="KC2964" s="37"/>
      <c r="KD2964" s="37"/>
      <c r="KE2964" s="37"/>
      <c r="KF2964" s="37"/>
      <c r="KG2964" s="37"/>
      <c r="KH2964" s="37"/>
      <c r="KI2964" s="37"/>
      <c r="KJ2964" s="37"/>
      <c r="KK2964" s="37"/>
      <c r="KL2964" s="37"/>
      <c r="KM2964" s="37"/>
      <c r="KN2964" s="37"/>
      <c r="KO2964" s="37"/>
      <c r="KP2964" s="37"/>
      <c r="KQ2964" s="37"/>
      <c r="KR2964" s="37"/>
      <c r="KS2964" s="37"/>
      <c r="KT2964" s="37"/>
      <c r="KU2964" s="37"/>
      <c r="KV2964" s="37"/>
      <c r="KW2964" s="37"/>
      <c r="KX2964" s="37"/>
      <c r="KY2964" s="37"/>
      <c r="KZ2964" s="37"/>
      <c r="LA2964" s="37"/>
      <c r="LB2964" s="37"/>
      <c r="LC2964" s="37"/>
      <c r="LD2964" s="37"/>
      <c r="LE2964" s="37"/>
      <c r="LF2964" s="37"/>
      <c r="LG2964" s="37"/>
      <c r="LH2964" s="37"/>
      <c r="LI2964" s="37"/>
      <c r="LJ2964" s="37"/>
      <c r="LK2964" s="37"/>
      <c r="LL2964" s="37"/>
      <c r="LM2964" s="37"/>
      <c r="LN2964" s="37"/>
      <c r="LO2964" s="37"/>
      <c r="LP2964" s="37"/>
      <c r="LQ2964" s="37"/>
      <c r="LR2964" s="37"/>
      <c r="LS2964" s="37"/>
      <c r="LT2964" s="37"/>
      <c r="LU2964" s="37"/>
      <c r="LV2964" s="37"/>
      <c r="LW2964" s="37"/>
      <c r="LX2964" s="37"/>
      <c r="LY2964" s="37"/>
      <c r="LZ2964" s="37"/>
      <c r="MA2964" s="37"/>
      <c r="MB2964" s="37"/>
      <c r="MC2964" s="37"/>
      <c r="MD2964" s="37"/>
      <c r="ME2964" s="37"/>
      <c r="MF2964" s="37"/>
      <c r="MG2964" s="37"/>
      <c r="MH2964" s="37"/>
      <c r="MI2964" s="37"/>
      <c r="MJ2964" s="37"/>
      <c r="MK2964" s="37"/>
      <c r="ML2964" s="37"/>
      <c r="MM2964" s="37"/>
      <c r="MN2964" s="37"/>
      <c r="MO2964" s="37"/>
      <c r="MP2964" s="37"/>
      <c r="MQ2964" s="37"/>
      <c r="MR2964" s="37"/>
      <c r="MS2964" s="37"/>
      <c r="MT2964" s="37"/>
      <c r="MU2964" s="37"/>
      <c r="MV2964" s="37"/>
      <c r="MW2964" s="37"/>
      <c r="MX2964" s="37"/>
      <c r="MY2964" s="37"/>
      <c r="MZ2964" s="37"/>
      <c r="NA2964" s="37"/>
      <c r="NB2964" s="37"/>
      <c r="NC2964" s="37"/>
      <c r="ND2964" s="37"/>
      <c r="NE2964" s="37"/>
      <c r="NF2964" s="37"/>
      <c r="NG2964" s="37"/>
      <c r="NH2964" s="37"/>
      <c r="NI2964" s="37"/>
      <c r="NJ2964" s="37"/>
      <c r="NK2964" s="37"/>
      <c r="NL2964" s="37"/>
      <c r="NM2964" s="37"/>
      <c r="NN2964" s="37"/>
      <c r="NO2964" s="37"/>
      <c r="NP2964" s="37"/>
      <c r="NQ2964" s="37"/>
      <c r="NR2964" s="37"/>
      <c r="NS2964" s="37"/>
      <c r="NT2964" s="37"/>
      <c r="NU2964" s="37"/>
      <c r="NV2964" s="37"/>
      <c r="NW2964" s="37"/>
      <c r="NX2964" s="37"/>
      <c r="NY2964" s="37"/>
      <c r="NZ2964" s="37"/>
      <c r="OA2964" s="37"/>
      <c r="OB2964" s="37"/>
      <c r="OC2964" s="37"/>
      <c r="OD2964" s="37"/>
      <c r="OE2964" s="37"/>
      <c r="OF2964" s="37"/>
      <c r="OG2964" s="37"/>
      <c r="OH2964" s="37"/>
      <c r="OI2964" s="37"/>
      <c r="OJ2964" s="37"/>
      <c r="OK2964" s="37"/>
      <c r="OL2964" s="37"/>
      <c r="OM2964" s="37"/>
      <c r="ON2964" s="37"/>
      <c r="OO2964" s="37"/>
      <c r="OP2964" s="37"/>
      <c r="OQ2964" s="37"/>
      <c r="OR2964" s="37"/>
      <c r="OS2964" s="37"/>
      <c r="OT2964" s="37"/>
      <c r="OU2964" s="37"/>
      <c r="OV2964" s="37"/>
      <c r="OW2964" s="37"/>
      <c r="OX2964" s="37"/>
      <c r="OY2964" s="37"/>
      <c r="OZ2964" s="37"/>
      <c r="PA2964" s="37"/>
      <c r="PB2964" s="37"/>
      <c r="PC2964" s="37"/>
      <c r="PD2964" s="37"/>
      <c r="PE2964" s="37"/>
      <c r="PF2964" s="37"/>
      <c r="PG2964" s="37"/>
      <c r="PH2964" s="37"/>
      <c r="PI2964" s="37"/>
      <c r="PJ2964" s="37"/>
      <c r="PK2964" s="37"/>
      <c r="PL2964" s="37"/>
      <c r="PM2964" s="37"/>
      <c r="PN2964" s="37"/>
      <c r="PO2964" s="37"/>
      <c r="PP2964" s="37"/>
      <c r="PQ2964" s="37"/>
      <c r="PR2964" s="37"/>
      <c r="PS2964" s="37"/>
      <c r="PT2964" s="37"/>
      <c r="PU2964" s="37"/>
      <c r="PV2964" s="37"/>
      <c r="PW2964" s="37"/>
      <c r="PX2964" s="37"/>
      <c r="PY2964" s="37"/>
      <c r="PZ2964" s="37"/>
      <c r="QA2964" s="37"/>
      <c r="QB2964" s="37"/>
      <c r="QC2964" s="37"/>
      <c r="QD2964" s="37"/>
      <c r="QE2964" s="37"/>
      <c r="QF2964" s="37"/>
      <c r="QG2964" s="37"/>
      <c r="QH2964" s="37"/>
      <c r="QI2964" s="37"/>
      <c r="QJ2964" s="37"/>
      <c r="QK2964" s="37"/>
      <c r="QL2964" s="37"/>
      <c r="QM2964" s="37"/>
      <c r="QN2964" s="37"/>
      <c r="QO2964" s="37"/>
      <c r="QP2964" s="37"/>
      <c r="QQ2964" s="37"/>
      <c r="QR2964" s="37"/>
      <c r="QS2964" s="37"/>
      <c r="QT2964" s="37"/>
      <c r="QU2964" s="37"/>
      <c r="QV2964" s="37"/>
      <c r="QW2964" s="37"/>
      <c r="QX2964" s="37"/>
      <c r="QY2964" s="37"/>
      <c r="QZ2964" s="37"/>
      <c r="RA2964" s="37"/>
      <c r="RB2964" s="37"/>
      <c r="RC2964" s="37"/>
      <c r="RD2964" s="37"/>
      <c r="RE2964" s="37"/>
      <c r="RF2964" s="37"/>
      <c r="RG2964" s="37"/>
      <c r="RH2964" s="37"/>
      <c r="RI2964" s="37"/>
      <c r="RJ2964" s="37"/>
      <c r="RK2964" s="37"/>
      <c r="RL2964" s="37"/>
      <c r="RM2964" s="37"/>
      <c r="RN2964" s="37"/>
      <c r="RO2964" s="37"/>
      <c r="RP2964" s="37"/>
      <c r="RQ2964" s="37"/>
      <c r="RR2964" s="37"/>
      <c r="RS2964" s="37"/>
      <c r="RT2964" s="37"/>
      <c r="RU2964" s="37"/>
      <c r="RV2964" s="37"/>
      <c r="RW2964" s="37"/>
      <c r="RX2964" s="37"/>
      <c r="RY2964" s="37"/>
      <c r="RZ2964" s="37"/>
      <c r="SA2964" s="37"/>
      <c r="SB2964" s="37"/>
      <c r="SC2964" s="37"/>
      <c r="SD2964" s="37"/>
      <c r="SE2964" s="37"/>
      <c r="SF2964" s="37"/>
    </row>
    <row r="2965" spans="1:500">
      <c r="A2965" s="37"/>
      <c r="B2965" s="37"/>
      <c r="C2965" s="37"/>
      <c r="D2965" s="37"/>
      <c r="E2965" s="37"/>
      <c r="F2965" s="37"/>
      <c r="G2965" s="37"/>
      <c r="H2965" s="37"/>
      <c r="I2965" s="37"/>
      <c r="J2965" s="37"/>
      <c r="K2965" s="37"/>
      <c r="L2965" s="37"/>
      <c r="M2965" s="37"/>
      <c r="N2965" s="37"/>
      <c r="O2965" s="37"/>
      <c r="P2965" s="37"/>
      <c r="Q2965" s="37"/>
      <c r="R2965" s="37"/>
      <c r="S2965" s="37"/>
      <c r="T2965" s="37"/>
      <c r="U2965" s="37"/>
      <c r="V2965" s="37"/>
      <c r="W2965" s="37"/>
      <c r="X2965" s="37"/>
      <c r="Y2965" s="37"/>
      <c r="Z2965" s="37"/>
      <c r="AA2965" s="37"/>
      <c r="AB2965" s="37"/>
      <c r="AC2965" s="37"/>
      <c r="AD2965" s="37"/>
      <c r="AE2965" s="37"/>
      <c r="AF2965" s="37"/>
      <c r="AG2965" s="37"/>
      <c r="AH2965" s="37"/>
      <c r="AI2965" s="37"/>
      <c r="AJ2965" s="37"/>
      <c r="AK2965" s="37"/>
      <c r="AL2965" s="37"/>
      <c r="AM2965" s="37"/>
      <c r="AN2965" s="37"/>
      <c r="AO2965" s="37"/>
      <c r="AP2965" s="37"/>
      <c r="AQ2965" s="37"/>
      <c r="AR2965" s="37"/>
      <c r="AS2965" s="37"/>
      <c r="AT2965" s="37"/>
      <c r="AU2965" s="37"/>
      <c r="AV2965" s="37"/>
      <c r="AW2965" s="37"/>
      <c r="AX2965" s="37"/>
      <c r="AY2965" s="37"/>
      <c r="AZ2965" s="37"/>
      <c r="BA2965" s="37"/>
      <c r="BB2965" s="37"/>
      <c r="BC2965" s="37"/>
      <c r="BD2965" s="37"/>
      <c r="BE2965" s="37"/>
      <c r="BF2965" s="37"/>
      <c r="BG2965" s="37"/>
      <c r="BH2965" s="37"/>
      <c r="BI2965" s="37"/>
      <c r="BJ2965" s="37"/>
      <c r="BK2965" s="37"/>
      <c r="BL2965" s="37"/>
      <c r="BM2965" s="37"/>
      <c r="BN2965" s="37"/>
      <c r="BO2965" s="37"/>
      <c r="BP2965" s="37"/>
      <c r="BQ2965" s="37"/>
      <c r="BR2965" s="37"/>
      <c r="BS2965" s="37"/>
      <c r="BT2965" s="37"/>
      <c r="BU2965" s="37"/>
      <c r="BV2965" s="37"/>
      <c r="BW2965" s="37"/>
      <c r="BX2965" s="37"/>
      <c r="BY2965" s="37"/>
      <c r="BZ2965" s="37"/>
      <c r="CA2965" s="37"/>
      <c r="CB2965" s="37"/>
      <c r="CC2965" s="37"/>
      <c r="CD2965" s="37"/>
      <c r="CE2965" s="37"/>
      <c r="CF2965" s="37"/>
      <c r="CG2965" s="37"/>
      <c r="CH2965" s="37"/>
      <c r="CI2965" s="37"/>
      <c r="CJ2965" s="37"/>
      <c r="CK2965" s="37"/>
      <c r="CL2965" s="37"/>
      <c r="CM2965" s="37"/>
      <c r="CN2965" s="37"/>
      <c r="CO2965" s="37"/>
      <c r="CP2965" s="37"/>
      <c r="CQ2965" s="37"/>
      <c r="CR2965" s="37"/>
      <c r="CS2965" s="37"/>
      <c r="CT2965" s="37"/>
      <c r="CU2965" s="37"/>
      <c r="CV2965" s="37"/>
      <c r="CW2965" s="37"/>
      <c r="CX2965" s="37"/>
      <c r="CY2965" s="37"/>
      <c r="CZ2965" s="37"/>
      <c r="DA2965" s="37"/>
      <c r="DB2965" s="37"/>
      <c r="DC2965" s="37"/>
      <c r="DD2965" s="37"/>
      <c r="DE2965" s="37"/>
      <c r="DF2965" s="37"/>
      <c r="DG2965" s="37"/>
      <c r="DH2965" s="37"/>
      <c r="DI2965" s="37"/>
      <c r="DJ2965" s="37"/>
      <c r="DK2965" s="37"/>
      <c r="DL2965" s="37"/>
      <c r="DM2965" s="37"/>
      <c r="DN2965" s="37"/>
      <c r="DO2965" s="37"/>
      <c r="DP2965" s="37"/>
      <c r="DQ2965" s="37"/>
      <c r="DR2965" s="37"/>
      <c r="DS2965" s="37"/>
      <c r="DT2965" s="37"/>
      <c r="DU2965" s="37"/>
      <c r="DV2965" s="37"/>
      <c r="DW2965" s="37"/>
      <c r="DX2965" s="37"/>
      <c r="DY2965" s="37"/>
      <c r="DZ2965" s="37"/>
      <c r="EA2965" s="37"/>
      <c r="EB2965" s="37"/>
      <c r="EC2965" s="37"/>
      <c r="ED2965" s="37"/>
      <c r="EE2965" s="37"/>
      <c r="EF2965" s="37"/>
      <c r="EG2965" s="37"/>
      <c r="EH2965" s="37"/>
      <c r="EI2965" s="37"/>
      <c r="EJ2965" s="37"/>
      <c r="EK2965" s="37"/>
      <c r="EL2965" s="37"/>
      <c r="EM2965" s="37"/>
      <c r="EN2965" s="37"/>
      <c r="EO2965" s="37"/>
      <c r="EP2965" s="37"/>
      <c r="EQ2965" s="37"/>
      <c r="ER2965" s="37"/>
      <c r="ES2965" s="37"/>
      <c r="ET2965" s="37"/>
      <c r="EU2965" s="37"/>
      <c r="EV2965" s="37"/>
      <c r="EW2965" s="37"/>
      <c r="EX2965" s="37"/>
      <c r="EY2965" s="37"/>
      <c r="EZ2965" s="37"/>
      <c r="FA2965" s="37"/>
      <c r="FB2965" s="37"/>
      <c r="FC2965" s="37"/>
      <c r="FD2965" s="37"/>
      <c r="FE2965" s="37"/>
      <c r="FF2965" s="37"/>
      <c r="FG2965" s="37"/>
      <c r="FH2965" s="37"/>
      <c r="FI2965" s="37"/>
      <c r="FJ2965" s="37"/>
      <c r="FK2965" s="37"/>
      <c r="FL2965" s="37"/>
      <c r="FM2965" s="37"/>
      <c r="FN2965" s="37"/>
      <c r="FO2965" s="37"/>
      <c r="FP2965" s="37"/>
      <c r="FQ2965" s="37"/>
      <c r="FR2965" s="37"/>
      <c r="FS2965" s="37"/>
      <c r="FT2965" s="37"/>
      <c r="FU2965" s="37"/>
      <c r="FV2965" s="37"/>
      <c r="FW2965" s="37"/>
      <c r="FX2965" s="37"/>
      <c r="FY2965" s="37"/>
      <c r="FZ2965" s="37"/>
      <c r="GA2965" s="37"/>
      <c r="GB2965" s="37"/>
      <c r="GC2965" s="37"/>
      <c r="GD2965" s="37"/>
      <c r="GE2965" s="37"/>
      <c r="GF2965" s="37"/>
      <c r="GG2965" s="37"/>
      <c r="GH2965" s="37"/>
      <c r="GI2965" s="37"/>
      <c r="GJ2965" s="37"/>
      <c r="GK2965" s="37"/>
      <c r="GL2965" s="37"/>
      <c r="GM2965" s="37"/>
      <c r="GN2965" s="37"/>
      <c r="GO2965" s="37"/>
      <c r="GP2965" s="37"/>
      <c r="GQ2965" s="37"/>
      <c r="GR2965" s="37"/>
      <c r="GS2965" s="37"/>
      <c r="GT2965" s="37"/>
      <c r="GU2965" s="37"/>
      <c r="GV2965" s="37"/>
      <c r="GW2965" s="37"/>
      <c r="GX2965" s="37"/>
      <c r="GY2965" s="37"/>
      <c r="GZ2965" s="37"/>
      <c r="HA2965" s="37"/>
      <c r="HB2965" s="37"/>
      <c r="HC2965" s="37"/>
      <c r="HD2965" s="37"/>
      <c r="HE2965" s="37"/>
      <c r="HF2965" s="37"/>
      <c r="HG2965" s="37"/>
      <c r="HH2965" s="37"/>
      <c r="HI2965" s="37"/>
      <c r="HJ2965" s="37"/>
      <c r="HK2965" s="37"/>
      <c r="HL2965" s="37"/>
      <c r="HM2965" s="37"/>
      <c r="HN2965" s="37"/>
      <c r="HO2965" s="37"/>
      <c r="HP2965" s="37"/>
      <c r="HQ2965" s="37"/>
      <c r="HR2965" s="37"/>
      <c r="HS2965" s="37"/>
      <c r="HT2965" s="37"/>
      <c r="HU2965" s="37"/>
      <c r="HV2965" s="37"/>
      <c r="HW2965" s="37"/>
      <c r="HX2965" s="37"/>
      <c r="HY2965" s="37"/>
      <c r="HZ2965" s="37"/>
      <c r="IA2965" s="37"/>
      <c r="IB2965" s="37"/>
      <c r="IC2965" s="37"/>
      <c r="ID2965" s="37"/>
      <c r="IE2965" s="37"/>
      <c r="IF2965" s="37"/>
      <c r="IG2965" s="37"/>
      <c r="IH2965" s="37"/>
      <c r="II2965" s="37"/>
      <c r="IJ2965" s="37"/>
      <c r="IK2965" s="37"/>
      <c r="IL2965" s="37"/>
      <c r="IM2965" s="37"/>
      <c r="IN2965" s="37"/>
      <c r="IO2965" s="37"/>
      <c r="IP2965" s="37"/>
      <c r="IQ2965" s="37"/>
      <c r="IR2965" s="37"/>
      <c r="IS2965" s="37"/>
      <c r="IT2965" s="37"/>
      <c r="IU2965" s="37"/>
      <c r="IV2965" s="37"/>
      <c r="IW2965" s="37"/>
      <c r="IX2965" s="37"/>
      <c r="IY2965" s="37"/>
      <c r="IZ2965" s="37"/>
      <c r="JA2965" s="37"/>
      <c r="JB2965" s="37"/>
      <c r="JC2965" s="37"/>
      <c r="JD2965" s="37"/>
      <c r="JE2965" s="37"/>
      <c r="JF2965" s="37"/>
      <c r="JG2965" s="37"/>
      <c r="JH2965" s="37"/>
      <c r="JI2965" s="37"/>
      <c r="JJ2965" s="37"/>
      <c r="JK2965" s="37"/>
      <c r="JL2965" s="37"/>
      <c r="JM2965" s="37"/>
      <c r="JN2965" s="37"/>
      <c r="JO2965" s="37"/>
      <c r="JP2965" s="37"/>
      <c r="JQ2965" s="37"/>
      <c r="JR2965" s="37"/>
      <c r="JS2965" s="37"/>
      <c r="JT2965" s="37"/>
      <c r="JU2965" s="37"/>
      <c r="JV2965" s="37"/>
      <c r="JW2965" s="37"/>
      <c r="JX2965" s="37"/>
      <c r="JY2965" s="37"/>
      <c r="JZ2965" s="37"/>
      <c r="KA2965" s="37"/>
      <c r="KB2965" s="37"/>
      <c r="KC2965" s="37"/>
      <c r="KD2965" s="37"/>
      <c r="KE2965" s="37"/>
      <c r="KF2965" s="37"/>
      <c r="KG2965" s="37"/>
      <c r="KH2965" s="37"/>
      <c r="KI2965" s="37"/>
      <c r="KJ2965" s="37"/>
      <c r="KK2965" s="37"/>
      <c r="KL2965" s="37"/>
      <c r="KM2965" s="37"/>
      <c r="KN2965" s="37"/>
      <c r="KO2965" s="37"/>
      <c r="KP2965" s="37"/>
      <c r="KQ2965" s="37"/>
      <c r="KR2965" s="37"/>
      <c r="KS2965" s="37"/>
      <c r="KT2965" s="37"/>
      <c r="KU2965" s="37"/>
      <c r="KV2965" s="37"/>
      <c r="KW2965" s="37"/>
      <c r="KX2965" s="37"/>
      <c r="KY2965" s="37"/>
      <c r="KZ2965" s="37"/>
      <c r="LA2965" s="37"/>
      <c r="LB2965" s="37"/>
      <c r="LC2965" s="37"/>
      <c r="LD2965" s="37"/>
      <c r="LE2965" s="37"/>
      <c r="LF2965" s="37"/>
      <c r="LG2965" s="37"/>
      <c r="LH2965" s="37"/>
      <c r="LI2965" s="37"/>
      <c r="LJ2965" s="37"/>
      <c r="LK2965" s="37"/>
      <c r="LL2965" s="37"/>
      <c r="LM2965" s="37"/>
      <c r="LN2965" s="37"/>
      <c r="LO2965" s="37"/>
      <c r="LP2965" s="37"/>
      <c r="LQ2965" s="37"/>
      <c r="LR2965" s="37"/>
      <c r="LS2965" s="37"/>
      <c r="LT2965" s="37"/>
      <c r="LU2965" s="37"/>
      <c r="LV2965" s="37"/>
      <c r="LW2965" s="37"/>
      <c r="LX2965" s="37"/>
      <c r="LY2965" s="37"/>
      <c r="LZ2965" s="37"/>
      <c r="MA2965" s="37"/>
      <c r="MB2965" s="37"/>
      <c r="MC2965" s="37"/>
      <c r="MD2965" s="37"/>
      <c r="ME2965" s="37"/>
      <c r="MF2965" s="37"/>
      <c r="MG2965" s="37"/>
      <c r="MH2965" s="37"/>
      <c r="MI2965" s="37"/>
      <c r="MJ2965" s="37"/>
      <c r="MK2965" s="37"/>
      <c r="ML2965" s="37"/>
      <c r="MM2965" s="37"/>
      <c r="MN2965" s="37"/>
      <c r="MO2965" s="37"/>
      <c r="MP2965" s="37"/>
      <c r="MQ2965" s="37"/>
      <c r="MR2965" s="37"/>
      <c r="MS2965" s="37"/>
      <c r="MT2965" s="37"/>
      <c r="MU2965" s="37"/>
      <c r="MV2965" s="37"/>
      <c r="MW2965" s="37"/>
      <c r="MX2965" s="37"/>
      <c r="MY2965" s="37"/>
      <c r="MZ2965" s="37"/>
      <c r="NA2965" s="37"/>
      <c r="NB2965" s="37"/>
      <c r="NC2965" s="37"/>
      <c r="ND2965" s="37"/>
      <c r="NE2965" s="37"/>
      <c r="NF2965" s="37"/>
      <c r="NG2965" s="37"/>
      <c r="NH2965" s="37"/>
      <c r="NI2965" s="37"/>
      <c r="NJ2965" s="37"/>
      <c r="NK2965" s="37"/>
      <c r="NL2965" s="37"/>
      <c r="NM2965" s="37"/>
      <c r="NN2965" s="37"/>
      <c r="NO2965" s="37"/>
      <c r="NP2965" s="37"/>
      <c r="NQ2965" s="37"/>
      <c r="NR2965" s="37"/>
      <c r="NS2965" s="37"/>
      <c r="NT2965" s="37"/>
      <c r="NU2965" s="37"/>
      <c r="NV2965" s="37"/>
      <c r="NW2965" s="37"/>
      <c r="NX2965" s="37"/>
      <c r="NY2965" s="37"/>
      <c r="NZ2965" s="37"/>
      <c r="OA2965" s="37"/>
      <c r="OB2965" s="37"/>
      <c r="OC2965" s="37"/>
      <c r="OD2965" s="37"/>
      <c r="OE2965" s="37"/>
      <c r="OF2965" s="37"/>
      <c r="OG2965" s="37"/>
      <c r="OH2965" s="37"/>
      <c r="OI2965" s="37"/>
      <c r="OJ2965" s="37"/>
      <c r="OK2965" s="37"/>
      <c r="OL2965" s="37"/>
      <c r="OM2965" s="37"/>
      <c r="ON2965" s="37"/>
      <c r="OO2965" s="37"/>
      <c r="OP2965" s="37"/>
      <c r="OQ2965" s="37"/>
      <c r="OR2965" s="37"/>
      <c r="OS2965" s="37"/>
      <c r="OT2965" s="37"/>
      <c r="OU2965" s="37"/>
      <c r="OV2965" s="37"/>
      <c r="OW2965" s="37"/>
      <c r="OX2965" s="37"/>
      <c r="OY2965" s="37"/>
      <c r="OZ2965" s="37"/>
      <c r="PA2965" s="37"/>
      <c r="PB2965" s="37"/>
      <c r="PC2965" s="37"/>
      <c r="PD2965" s="37"/>
      <c r="PE2965" s="37"/>
      <c r="PF2965" s="37"/>
      <c r="PG2965" s="37"/>
      <c r="PH2965" s="37"/>
      <c r="PI2965" s="37"/>
      <c r="PJ2965" s="37"/>
      <c r="PK2965" s="37"/>
      <c r="PL2965" s="37"/>
      <c r="PM2965" s="37"/>
      <c r="PN2965" s="37"/>
      <c r="PO2965" s="37"/>
      <c r="PP2965" s="37"/>
      <c r="PQ2965" s="37"/>
      <c r="PR2965" s="37"/>
      <c r="PS2965" s="37"/>
      <c r="PT2965" s="37"/>
      <c r="PU2965" s="37"/>
      <c r="PV2965" s="37"/>
      <c r="PW2965" s="37"/>
      <c r="PX2965" s="37"/>
      <c r="PY2965" s="37"/>
      <c r="PZ2965" s="37"/>
      <c r="QA2965" s="37"/>
      <c r="QB2965" s="37"/>
      <c r="QC2965" s="37"/>
      <c r="QD2965" s="37"/>
      <c r="QE2965" s="37"/>
      <c r="QF2965" s="37"/>
      <c r="QG2965" s="37"/>
      <c r="QH2965" s="37"/>
      <c r="QI2965" s="37"/>
      <c r="QJ2965" s="37"/>
      <c r="QK2965" s="37"/>
      <c r="QL2965" s="37"/>
      <c r="QM2965" s="37"/>
      <c r="QN2965" s="37"/>
      <c r="QO2965" s="37"/>
      <c r="QP2965" s="37"/>
      <c r="QQ2965" s="37"/>
      <c r="QR2965" s="37"/>
      <c r="QS2965" s="37"/>
      <c r="QT2965" s="37"/>
      <c r="QU2965" s="37"/>
      <c r="QV2965" s="37"/>
      <c r="QW2965" s="37"/>
      <c r="QX2965" s="37"/>
      <c r="QY2965" s="37"/>
      <c r="QZ2965" s="37"/>
      <c r="RA2965" s="37"/>
      <c r="RB2965" s="37"/>
      <c r="RC2965" s="37"/>
      <c r="RD2965" s="37"/>
      <c r="RE2965" s="37"/>
      <c r="RF2965" s="37"/>
      <c r="RG2965" s="37"/>
      <c r="RH2965" s="37"/>
      <c r="RI2965" s="37"/>
      <c r="RJ2965" s="37"/>
      <c r="RK2965" s="37"/>
      <c r="RL2965" s="37"/>
      <c r="RM2965" s="37"/>
      <c r="RN2965" s="37"/>
      <c r="RO2965" s="37"/>
      <c r="RP2965" s="37"/>
      <c r="RQ2965" s="37"/>
      <c r="RR2965" s="37"/>
      <c r="RS2965" s="37"/>
      <c r="RT2965" s="37"/>
      <c r="RU2965" s="37"/>
      <c r="RV2965" s="37"/>
      <c r="RW2965" s="37"/>
      <c r="RX2965" s="37"/>
      <c r="RY2965" s="37"/>
      <c r="RZ2965" s="37"/>
      <c r="SA2965" s="37"/>
      <c r="SB2965" s="37"/>
      <c r="SC2965" s="37"/>
      <c r="SD2965" s="37"/>
      <c r="SE2965" s="37"/>
      <c r="SF2965" s="37"/>
    </row>
    <row r="2966" spans="1:500">
      <c r="A2966" s="37"/>
      <c r="B2966" s="37"/>
      <c r="C2966" s="37"/>
      <c r="D2966" s="37"/>
      <c r="E2966" s="37"/>
      <c r="F2966" s="37"/>
      <c r="G2966" s="37"/>
      <c r="H2966" s="37"/>
      <c r="I2966" s="37"/>
      <c r="J2966" s="37"/>
      <c r="K2966" s="37"/>
      <c r="L2966" s="37"/>
      <c r="M2966" s="37"/>
      <c r="N2966" s="37"/>
      <c r="O2966" s="37"/>
      <c r="P2966" s="37"/>
      <c r="Q2966" s="37"/>
      <c r="R2966" s="37"/>
      <c r="S2966" s="37"/>
      <c r="T2966" s="37"/>
      <c r="U2966" s="37"/>
      <c r="V2966" s="37"/>
      <c r="W2966" s="37"/>
      <c r="X2966" s="37"/>
      <c r="Y2966" s="37"/>
      <c r="Z2966" s="37"/>
      <c r="AA2966" s="37"/>
      <c r="AB2966" s="37"/>
      <c r="AC2966" s="37"/>
      <c r="AD2966" s="37"/>
      <c r="AE2966" s="37"/>
      <c r="AF2966" s="37"/>
      <c r="AG2966" s="37"/>
      <c r="AH2966" s="37"/>
      <c r="AI2966" s="37"/>
      <c r="AJ2966" s="37"/>
      <c r="AK2966" s="37"/>
      <c r="AL2966" s="37"/>
      <c r="AM2966" s="37"/>
      <c r="AN2966" s="37"/>
      <c r="AO2966" s="37"/>
      <c r="AP2966" s="37"/>
      <c r="AQ2966" s="37"/>
      <c r="AR2966" s="37"/>
      <c r="AS2966" s="37"/>
      <c r="AT2966" s="37"/>
      <c r="AU2966" s="37"/>
      <c r="AV2966" s="37"/>
      <c r="AW2966" s="37"/>
      <c r="AX2966" s="37"/>
      <c r="AY2966" s="37"/>
      <c r="AZ2966" s="37"/>
      <c r="BA2966" s="37"/>
      <c r="BB2966" s="37"/>
      <c r="BC2966" s="37"/>
      <c r="BD2966" s="37"/>
      <c r="BE2966" s="37"/>
      <c r="BF2966" s="37"/>
      <c r="BG2966" s="37"/>
      <c r="BH2966" s="37"/>
      <c r="BI2966" s="37"/>
      <c r="BJ2966" s="37"/>
      <c r="BK2966" s="37"/>
      <c r="BL2966" s="37"/>
      <c r="BM2966" s="37"/>
      <c r="BN2966" s="37"/>
      <c r="BO2966" s="37"/>
      <c r="BP2966" s="37"/>
      <c r="BQ2966" s="37"/>
      <c r="BR2966" s="37"/>
      <c r="BS2966" s="37"/>
      <c r="BT2966" s="37"/>
      <c r="BU2966" s="37"/>
      <c r="BV2966" s="37"/>
      <c r="BW2966" s="37"/>
      <c r="BX2966" s="37"/>
      <c r="BY2966" s="37"/>
      <c r="BZ2966" s="37"/>
      <c r="CA2966" s="37"/>
      <c r="CB2966" s="37"/>
      <c r="CC2966" s="37"/>
      <c r="CD2966" s="37"/>
      <c r="CE2966" s="37"/>
      <c r="CF2966" s="37"/>
      <c r="CG2966" s="37"/>
      <c r="CH2966" s="37"/>
      <c r="CI2966" s="37"/>
      <c r="CJ2966" s="37"/>
      <c r="CK2966" s="37"/>
      <c r="CL2966" s="37"/>
      <c r="CM2966" s="37"/>
      <c r="CN2966" s="37"/>
      <c r="CO2966" s="37"/>
      <c r="CP2966" s="37"/>
      <c r="CQ2966" s="37"/>
      <c r="CR2966" s="37"/>
      <c r="CS2966" s="37"/>
      <c r="CT2966" s="37"/>
      <c r="CU2966" s="37"/>
      <c r="CV2966" s="37"/>
      <c r="CW2966" s="37"/>
      <c r="CX2966" s="37"/>
      <c r="CY2966" s="37"/>
      <c r="CZ2966" s="37"/>
      <c r="DA2966" s="37"/>
      <c r="DB2966" s="37"/>
      <c r="DC2966" s="37"/>
      <c r="DD2966" s="37"/>
      <c r="DE2966" s="37"/>
      <c r="DF2966" s="37"/>
      <c r="DG2966" s="37"/>
      <c r="DH2966" s="37"/>
      <c r="DI2966" s="37"/>
      <c r="DJ2966" s="37"/>
      <c r="DK2966" s="37"/>
      <c r="DL2966" s="37"/>
      <c r="DM2966" s="37"/>
      <c r="DN2966" s="37"/>
      <c r="DO2966" s="37"/>
      <c r="DP2966" s="37"/>
      <c r="DQ2966" s="37"/>
      <c r="DR2966" s="37"/>
      <c r="DS2966" s="37"/>
      <c r="DT2966" s="37"/>
      <c r="DU2966" s="37"/>
      <c r="DV2966" s="37"/>
      <c r="DW2966" s="37"/>
      <c r="DX2966" s="37"/>
      <c r="DY2966" s="37"/>
      <c r="DZ2966" s="37"/>
      <c r="EA2966" s="37"/>
      <c r="EB2966" s="37"/>
      <c r="EC2966" s="37"/>
      <c r="ED2966" s="37"/>
      <c r="EE2966" s="37"/>
      <c r="EF2966" s="37"/>
      <c r="EG2966" s="37"/>
      <c r="EH2966" s="37"/>
      <c r="EI2966" s="37"/>
      <c r="EJ2966" s="37"/>
      <c r="EK2966" s="37"/>
      <c r="EL2966" s="37"/>
      <c r="EM2966" s="37"/>
      <c r="EN2966" s="37"/>
      <c r="EO2966" s="37"/>
      <c r="EP2966" s="37"/>
      <c r="EQ2966" s="37"/>
      <c r="ER2966" s="37"/>
      <c r="ES2966" s="37"/>
      <c r="ET2966" s="37"/>
      <c r="EU2966" s="37"/>
      <c r="EV2966" s="37"/>
      <c r="EW2966" s="37"/>
      <c r="EX2966" s="37"/>
      <c r="EY2966" s="37"/>
      <c r="EZ2966" s="37"/>
      <c r="FA2966" s="37"/>
      <c r="FB2966" s="37"/>
      <c r="FC2966" s="37"/>
      <c r="FD2966" s="37"/>
      <c r="FE2966" s="37"/>
      <c r="FF2966" s="37"/>
      <c r="FG2966" s="37"/>
      <c r="FH2966" s="37"/>
      <c r="FI2966" s="37"/>
      <c r="FJ2966" s="37"/>
      <c r="FK2966" s="37"/>
      <c r="FL2966" s="37"/>
      <c r="FM2966" s="37"/>
      <c r="FN2966" s="37"/>
      <c r="FO2966" s="37"/>
      <c r="FP2966" s="37"/>
      <c r="FQ2966" s="37"/>
      <c r="FR2966" s="37"/>
      <c r="FS2966" s="37"/>
      <c r="FT2966" s="37"/>
      <c r="FU2966" s="37"/>
      <c r="FV2966" s="37"/>
      <c r="FW2966" s="37"/>
      <c r="FX2966" s="37"/>
      <c r="FY2966" s="37"/>
      <c r="FZ2966" s="37"/>
      <c r="GA2966" s="37"/>
      <c r="GB2966" s="37"/>
      <c r="GC2966" s="37"/>
      <c r="GD2966" s="37"/>
      <c r="GE2966" s="37"/>
      <c r="GF2966" s="37"/>
      <c r="GG2966" s="37"/>
      <c r="GH2966" s="37"/>
      <c r="GI2966" s="37"/>
      <c r="GJ2966" s="37"/>
      <c r="GK2966" s="37"/>
      <c r="GL2966" s="37"/>
      <c r="GM2966" s="37"/>
      <c r="GN2966" s="37"/>
      <c r="GO2966" s="37"/>
      <c r="GP2966" s="37"/>
      <c r="GQ2966" s="37"/>
      <c r="GR2966" s="37"/>
      <c r="GS2966" s="37"/>
      <c r="GT2966" s="37"/>
      <c r="GU2966" s="37"/>
      <c r="GV2966" s="37"/>
      <c r="GW2966" s="37"/>
      <c r="GX2966" s="37"/>
      <c r="GY2966" s="37"/>
      <c r="GZ2966" s="37"/>
      <c r="HA2966" s="37"/>
      <c r="HB2966" s="37"/>
      <c r="HC2966" s="37"/>
      <c r="HD2966" s="37"/>
      <c r="HE2966" s="37"/>
      <c r="HF2966" s="37"/>
      <c r="HG2966" s="37"/>
      <c r="HH2966" s="37"/>
      <c r="HI2966" s="37"/>
      <c r="HJ2966" s="37"/>
      <c r="HK2966" s="37"/>
      <c r="HL2966" s="37"/>
      <c r="HM2966" s="37"/>
      <c r="HN2966" s="37"/>
      <c r="HO2966" s="37"/>
      <c r="HP2966" s="37"/>
      <c r="HQ2966" s="37"/>
      <c r="HR2966" s="37"/>
      <c r="HS2966" s="37"/>
      <c r="HT2966" s="37"/>
      <c r="HU2966" s="37"/>
      <c r="HV2966" s="37"/>
      <c r="HW2966" s="37"/>
      <c r="HX2966" s="37"/>
      <c r="HY2966" s="37"/>
      <c r="HZ2966" s="37"/>
      <c r="IA2966" s="37"/>
      <c r="IB2966" s="37"/>
      <c r="IC2966" s="37"/>
      <c r="ID2966" s="37"/>
      <c r="IE2966" s="37"/>
      <c r="IF2966" s="37"/>
      <c r="IG2966" s="37"/>
      <c r="IH2966" s="37"/>
      <c r="II2966" s="37"/>
      <c r="IJ2966" s="37"/>
      <c r="IK2966" s="37"/>
      <c r="IL2966" s="37"/>
      <c r="IM2966" s="37"/>
      <c r="IN2966" s="37"/>
      <c r="IO2966" s="37"/>
      <c r="IP2966" s="37"/>
      <c r="IQ2966" s="37"/>
      <c r="IR2966" s="37"/>
      <c r="IS2966" s="37"/>
      <c r="IT2966" s="37"/>
      <c r="IU2966" s="37"/>
      <c r="IV2966" s="37"/>
      <c r="IW2966" s="37"/>
      <c r="IX2966" s="37"/>
      <c r="IY2966" s="37"/>
      <c r="IZ2966" s="37"/>
      <c r="JA2966" s="37"/>
      <c r="JB2966" s="37"/>
      <c r="JC2966" s="37"/>
      <c r="JD2966" s="37"/>
      <c r="JE2966" s="37"/>
      <c r="JF2966" s="37"/>
      <c r="JG2966" s="37"/>
      <c r="JH2966" s="37"/>
      <c r="JI2966" s="37"/>
      <c r="JJ2966" s="37"/>
      <c r="JK2966" s="37"/>
      <c r="JL2966" s="37"/>
      <c r="JM2966" s="37"/>
      <c r="JN2966" s="37"/>
      <c r="JO2966" s="37"/>
      <c r="JP2966" s="37"/>
      <c r="JQ2966" s="37"/>
      <c r="JR2966" s="37"/>
      <c r="JS2966" s="37"/>
      <c r="JT2966" s="37"/>
      <c r="JU2966" s="37"/>
      <c r="JV2966" s="37"/>
      <c r="JW2966" s="37"/>
      <c r="JX2966" s="37"/>
      <c r="JY2966" s="37"/>
      <c r="JZ2966" s="37"/>
      <c r="KA2966" s="37"/>
      <c r="KB2966" s="37"/>
      <c r="KC2966" s="37"/>
      <c r="KD2966" s="37"/>
      <c r="KE2966" s="37"/>
      <c r="KF2966" s="37"/>
      <c r="KG2966" s="37"/>
      <c r="KH2966" s="37"/>
      <c r="KI2966" s="37"/>
      <c r="KJ2966" s="37"/>
      <c r="KK2966" s="37"/>
      <c r="KL2966" s="37"/>
      <c r="KM2966" s="37"/>
      <c r="KN2966" s="37"/>
      <c r="KO2966" s="37"/>
      <c r="KP2966" s="37"/>
      <c r="KQ2966" s="37"/>
      <c r="KR2966" s="37"/>
      <c r="KS2966" s="37"/>
      <c r="KT2966" s="37"/>
      <c r="KU2966" s="37"/>
      <c r="KV2966" s="37"/>
      <c r="KW2966" s="37"/>
      <c r="KX2966" s="37"/>
      <c r="KY2966" s="37"/>
      <c r="KZ2966" s="37"/>
      <c r="LA2966" s="37"/>
      <c r="LB2966" s="37"/>
      <c r="LC2966" s="37"/>
      <c r="LD2966" s="37"/>
      <c r="LE2966" s="37"/>
      <c r="LF2966" s="37"/>
      <c r="LG2966" s="37"/>
      <c r="LH2966" s="37"/>
      <c r="LI2966" s="37"/>
      <c r="LJ2966" s="37"/>
      <c r="LK2966" s="37"/>
      <c r="LL2966" s="37"/>
      <c r="LM2966" s="37"/>
      <c r="LN2966" s="37"/>
      <c r="LO2966" s="37"/>
      <c r="LP2966" s="37"/>
      <c r="LQ2966" s="37"/>
      <c r="LR2966" s="37"/>
      <c r="LS2966" s="37"/>
      <c r="LT2966" s="37"/>
      <c r="LU2966" s="37"/>
      <c r="LV2966" s="37"/>
      <c r="LW2966" s="37"/>
      <c r="LX2966" s="37"/>
      <c r="LY2966" s="37"/>
      <c r="LZ2966" s="37"/>
      <c r="MA2966" s="37"/>
      <c r="MB2966" s="37"/>
      <c r="MC2966" s="37"/>
      <c r="MD2966" s="37"/>
      <c r="ME2966" s="37"/>
      <c r="MF2966" s="37"/>
      <c r="MG2966" s="37"/>
      <c r="MH2966" s="37"/>
      <c r="MI2966" s="37"/>
      <c r="MJ2966" s="37"/>
      <c r="MK2966" s="37"/>
      <c r="ML2966" s="37"/>
      <c r="MM2966" s="37"/>
      <c r="MN2966" s="37"/>
      <c r="MO2966" s="37"/>
      <c r="MP2966" s="37"/>
      <c r="MQ2966" s="37"/>
      <c r="MR2966" s="37"/>
      <c r="MS2966" s="37"/>
      <c r="MT2966" s="37"/>
      <c r="MU2966" s="37"/>
      <c r="MV2966" s="37"/>
      <c r="MW2966" s="37"/>
      <c r="MX2966" s="37"/>
      <c r="MY2966" s="37"/>
      <c r="MZ2966" s="37"/>
      <c r="NA2966" s="37"/>
      <c r="NB2966" s="37"/>
      <c r="NC2966" s="37"/>
      <c r="ND2966" s="37"/>
      <c r="NE2966" s="37"/>
      <c r="NF2966" s="37"/>
      <c r="NG2966" s="37"/>
      <c r="NH2966" s="37"/>
      <c r="NI2966" s="37"/>
      <c r="NJ2966" s="37"/>
      <c r="NK2966" s="37"/>
      <c r="NL2966" s="37"/>
      <c r="NM2966" s="37"/>
      <c r="NN2966" s="37"/>
      <c r="NO2966" s="37"/>
      <c r="NP2966" s="37"/>
      <c r="NQ2966" s="37"/>
      <c r="NR2966" s="37"/>
      <c r="NS2966" s="37"/>
      <c r="NT2966" s="37"/>
      <c r="NU2966" s="37"/>
      <c r="NV2966" s="37"/>
      <c r="NW2966" s="37"/>
      <c r="NX2966" s="37"/>
      <c r="NY2966" s="37"/>
      <c r="NZ2966" s="37"/>
      <c r="OA2966" s="37"/>
      <c r="OB2966" s="37"/>
      <c r="OC2966" s="37"/>
      <c r="OD2966" s="37"/>
      <c r="OE2966" s="37"/>
      <c r="OF2966" s="37"/>
      <c r="OG2966" s="37"/>
      <c r="OH2966" s="37"/>
      <c r="OI2966" s="37"/>
      <c r="OJ2966" s="37"/>
      <c r="OK2966" s="37"/>
      <c r="OL2966" s="37"/>
      <c r="OM2966" s="37"/>
      <c r="ON2966" s="37"/>
      <c r="OO2966" s="37"/>
      <c r="OP2966" s="37"/>
      <c r="OQ2966" s="37"/>
      <c r="OR2966" s="37"/>
      <c r="OS2966" s="37"/>
      <c r="OT2966" s="37"/>
      <c r="OU2966" s="37"/>
      <c r="OV2966" s="37"/>
      <c r="OW2966" s="37"/>
      <c r="OX2966" s="37"/>
      <c r="OY2966" s="37"/>
      <c r="OZ2966" s="37"/>
      <c r="PA2966" s="37"/>
      <c r="PB2966" s="37"/>
      <c r="PC2966" s="37"/>
      <c r="PD2966" s="37"/>
      <c r="PE2966" s="37"/>
      <c r="PF2966" s="37"/>
      <c r="PG2966" s="37"/>
      <c r="PH2966" s="37"/>
      <c r="PI2966" s="37"/>
      <c r="PJ2966" s="37"/>
      <c r="PK2966" s="37"/>
      <c r="PL2966" s="37"/>
      <c r="PM2966" s="37"/>
      <c r="PN2966" s="37"/>
      <c r="PO2966" s="37"/>
      <c r="PP2966" s="37"/>
      <c r="PQ2966" s="37"/>
      <c r="PR2966" s="37"/>
      <c r="PS2966" s="37"/>
      <c r="PT2966" s="37"/>
      <c r="PU2966" s="37"/>
      <c r="PV2966" s="37"/>
      <c r="PW2966" s="37"/>
      <c r="PX2966" s="37"/>
      <c r="PY2966" s="37"/>
      <c r="PZ2966" s="37"/>
      <c r="QA2966" s="37"/>
      <c r="QB2966" s="37"/>
      <c r="QC2966" s="37"/>
      <c r="QD2966" s="37"/>
      <c r="QE2966" s="37"/>
      <c r="QF2966" s="37"/>
      <c r="QG2966" s="37"/>
      <c r="QH2966" s="37"/>
      <c r="QI2966" s="37"/>
      <c r="QJ2966" s="37"/>
      <c r="QK2966" s="37"/>
      <c r="QL2966" s="37"/>
      <c r="QM2966" s="37"/>
      <c r="QN2966" s="37"/>
      <c r="QO2966" s="37"/>
      <c r="QP2966" s="37"/>
      <c r="QQ2966" s="37"/>
      <c r="QR2966" s="37"/>
      <c r="QS2966" s="37"/>
      <c r="QT2966" s="37"/>
      <c r="QU2966" s="37"/>
      <c r="QV2966" s="37"/>
      <c r="QW2966" s="37"/>
      <c r="QX2966" s="37"/>
      <c r="QY2966" s="37"/>
      <c r="QZ2966" s="37"/>
      <c r="RA2966" s="37"/>
      <c r="RB2966" s="37"/>
      <c r="RC2966" s="37"/>
      <c r="RD2966" s="37"/>
      <c r="RE2966" s="37"/>
      <c r="RF2966" s="37"/>
      <c r="RG2966" s="37"/>
      <c r="RH2966" s="37"/>
      <c r="RI2966" s="37"/>
      <c r="RJ2966" s="37"/>
      <c r="RK2966" s="37"/>
      <c r="RL2966" s="37"/>
      <c r="RM2966" s="37"/>
      <c r="RN2966" s="37"/>
      <c r="RO2966" s="37"/>
      <c r="RP2966" s="37"/>
      <c r="RQ2966" s="37"/>
      <c r="RR2966" s="37"/>
      <c r="RS2966" s="37"/>
      <c r="RT2966" s="37"/>
      <c r="RU2966" s="37"/>
      <c r="RV2966" s="37"/>
      <c r="RW2966" s="37"/>
      <c r="RX2966" s="37"/>
      <c r="RY2966" s="37"/>
      <c r="RZ2966" s="37"/>
      <c r="SA2966" s="37"/>
      <c r="SB2966" s="37"/>
      <c r="SC2966" s="37"/>
      <c r="SD2966" s="37"/>
      <c r="SE2966" s="37"/>
      <c r="SF2966" s="37"/>
    </row>
    <row r="2967" spans="1:500">
      <c r="A2967" s="37"/>
      <c r="B2967" s="37"/>
      <c r="C2967" s="37"/>
      <c r="D2967" s="37"/>
      <c r="E2967" s="37"/>
      <c r="F2967" s="37"/>
      <c r="G2967" s="37"/>
      <c r="H2967" s="37"/>
      <c r="I2967" s="37"/>
      <c r="J2967" s="37"/>
      <c r="K2967" s="37"/>
      <c r="L2967" s="37"/>
      <c r="M2967" s="37"/>
      <c r="N2967" s="37"/>
      <c r="O2967" s="37"/>
      <c r="P2967" s="37"/>
      <c r="Q2967" s="37"/>
      <c r="R2967" s="37"/>
      <c r="S2967" s="37"/>
      <c r="T2967" s="37"/>
      <c r="U2967" s="37"/>
      <c r="V2967" s="37"/>
      <c r="W2967" s="37"/>
      <c r="X2967" s="37"/>
      <c r="Y2967" s="37"/>
      <c r="Z2967" s="37"/>
      <c r="AA2967" s="37"/>
      <c r="AB2967" s="37"/>
      <c r="AC2967" s="37"/>
      <c r="AD2967" s="37"/>
      <c r="AE2967" s="37"/>
      <c r="AF2967" s="37"/>
      <c r="AG2967" s="37"/>
      <c r="AH2967" s="37"/>
      <c r="AI2967" s="37"/>
      <c r="AJ2967" s="37"/>
      <c r="AK2967" s="37"/>
      <c r="AL2967" s="37"/>
      <c r="AM2967" s="37"/>
      <c r="AN2967" s="37"/>
      <c r="AO2967" s="37"/>
      <c r="AP2967" s="37"/>
      <c r="AQ2967" s="37"/>
      <c r="AR2967" s="37"/>
      <c r="AS2967" s="37"/>
      <c r="AT2967" s="37"/>
      <c r="AU2967" s="37"/>
      <c r="AV2967" s="37"/>
      <c r="AW2967" s="37"/>
      <c r="AX2967" s="37"/>
      <c r="AY2967" s="37"/>
      <c r="AZ2967" s="37"/>
      <c r="BA2967" s="37"/>
      <c r="BB2967" s="37"/>
      <c r="BC2967" s="37"/>
      <c r="BD2967" s="37"/>
      <c r="BE2967" s="37"/>
      <c r="BF2967" s="37"/>
      <c r="BG2967" s="37"/>
      <c r="BH2967" s="37"/>
      <c r="BI2967" s="37"/>
      <c r="BJ2967" s="37"/>
      <c r="BK2967" s="37"/>
      <c r="BL2967" s="37"/>
      <c r="BM2967" s="37"/>
      <c r="BN2967" s="37"/>
      <c r="BO2967" s="37"/>
      <c r="BP2967" s="37"/>
      <c r="BQ2967" s="37"/>
      <c r="BR2967" s="37"/>
      <c r="BS2967" s="37"/>
      <c r="BT2967" s="37"/>
      <c r="BU2967" s="37"/>
      <c r="BV2967" s="37"/>
      <c r="BW2967" s="37"/>
      <c r="BX2967" s="37"/>
      <c r="BY2967" s="37"/>
      <c r="BZ2967" s="37"/>
      <c r="CA2967" s="37"/>
      <c r="CB2967" s="37"/>
      <c r="CC2967" s="37"/>
      <c r="CD2967" s="37"/>
      <c r="CE2967" s="37"/>
      <c r="CF2967" s="37"/>
      <c r="CG2967" s="37"/>
      <c r="CH2967" s="37"/>
      <c r="CI2967" s="37"/>
      <c r="CJ2967" s="37"/>
      <c r="CK2967" s="37"/>
      <c r="CL2967" s="37"/>
      <c r="CM2967" s="37"/>
      <c r="CN2967" s="37"/>
      <c r="CO2967" s="37"/>
      <c r="CP2967" s="37"/>
      <c r="CQ2967" s="37"/>
      <c r="CR2967" s="37"/>
      <c r="CS2967" s="37"/>
      <c r="CT2967" s="37"/>
      <c r="CU2967" s="37"/>
      <c r="CV2967" s="37"/>
      <c r="CW2967" s="37"/>
      <c r="CX2967" s="37"/>
      <c r="CY2967" s="37"/>
      <c r="CZ2967" s="37"/>
      <c r="DA2967" s="37"/>
      <c r="DB2967" s="37"/>
      <c r="DC2967" s="37"/>
      <c r="DD2967" s="37"/>
      <c r="DE2967" s="37"/>
      <c r="DF2967" s="37"/>
      <c r="DG2967" s="37"/>
      <c r="DH2967" s="37"/>
      <c r="DI2967" s="37"/>
      <c r="DJ2967" s="37"/>
      <c r="DK2967" s="37"/>
      <c r="DL2967" s="37"/>
      <c r="DM2967" s="37"/>
      <c r="DN2967" s="37"/>
      <c r="DO2967" s="37"/>
      <c r="DP2967" s="37"/>
      <c r="DQ2967" s="37"/>
      <c r="DR2967" s="37"/>
      <c r="DS2967" s="37"/>
      <c r="DT2967" s="37"/>
      <c r="DU2967" s="37"/>
      <c r="DV2967" s="37"/>
      <c r="DW2967" s="37"/>
      <c r="DX2967" s="37"/>
      <c r="DY2967" s="37"/>
      <c r="DZ2967" s="37"/>
      <c r="EA2967" s="37"/>
      <c r="EB2967" s="37"/>
      <c r="EC2967" s="37"/>
      <c r="ED2967" s="37"/>
      <c r="EE2967" s="37"/>
      <c r="EF2967" s="37"/>
      <c r="EG2967" s="37"/>
      <c r="EH2967" s="37"/>
      <c r="EI2967" s="37"/>
      <c r="EJ2967" s="37"/>
      <c r="EK2967" s="37"/>
      <c r="EL2967" s="37"/>
      <c r="EM2967" s="37"/>
      <c r="EN2967" s="37"/>
      <c r="EO2967" s="37"/>
      <c r="EP2967" s="37"/>
      <c r="EQ2967" s="37"/>
      <c r="ER2967" s="37"/>
      <c r="ES2967" s="37"/>
      <c r="ET2967" s="37"/>
      <c r="EU2967" s="37"/>
      <c r="EV2967" s="37"/>
      <c r="EW2967" s="37"/>
      <c r="EX2967" s="37"/>
      <c r="EY2967" s="37"/>
      <c r="EZ2967" s="37"/>
      <c r="FA2967" s="37"/>
      <c r="FB2967" s="37"/>
      <c r="FC2967" s="37"/>
      <c r="FD2967" s="37"/>
      <c r="FE2967" s="37"/>
      <c r="FF2967" s="37"/>
      <c r="FG2967" s="37"/>
      <c r="FH2967" s="37"/>
      <c r="FI2967" s="37"/>
      <c r="FJ2967" s="37"/>
      <c r="FK2967" s="37"/>
      <c r="FL2967" s="37"/>
      <c r="FM2967" s="37"/>
      <c r="FN2967" s="37"/>
      <c r="FO2967" s="37"/>
      <c r="FP2967" s="37"/>
      <c r="FQ2967" s="37"/>
      <c r="FR2967" s="37"/>
      <c r="FS2967" s="37"/>
      <c r="FT2967" s="37"/>
      <c r="FU2967" s="37"/>
      <c r="FV2967" s="37"/>
      <c r="FW2967" s="37"/>
      <c r="FX2967" s="37"/>
      <c r="FY2967" s="37"/>
      <c r="FZ2967" s="37"/>
      <c r="GA2967" s="37"/>
      <c r="GB2967" s="37"/>
      <c r="GC2967" s="37"/>
      <c r="GD2967" s="37"/>
      <c r="GE2967" s="37"/>
      <c r="GF2967" s="37"/>
      <c r="GG2967" s="37"/>
      <c r="GH2967" s="37"/>
      <c r="GI2967" s="37"/>
      <c r="GJ2967" s="37"/>
      <c r="GK2967" s="37"/>
      <c r="GL2967" s="37"/>
      <c r="GM2967" s="37"/>
      <c r="GN2967" s="37"/>
      <c r="GO2967" s="37"/>
      <c r="GP2967" s="37"/>
      <c r="GQ2967" s="37"/>
      <c r="GR2967" s="37"/>
      <c r="GS2967" s="37"/>
      <c r="GT2967" s="37"/>
      <c r="GU2967" s="37"/>
      <c r="GV2967" s="37"/>
      <c r="GW2967" s="37"/>
      <c r="GX2967" s="37"/>
      <c r="GY2967" s="37"/>
      <c r="GZ2967" s="37"/>
      <c r="HA2967" s="37"/>
      <c r="HB2967" s="37"/>
      <c r="HC2967" s="37"/>
      <c r="HD2967" s="37"/>
      <c r="HE2967" s="37"/>
      <c r="HF2967" s="37"/>
      <c r="HG2967" s="37"/>
      <c r="HH2967" s="37"/>
      <c r="HI2967" s="37"/>
      <c r="HJ2967" s="37"/>
      <c r="HK2967" s="37"/>
      <c r="HL2967" s="37"/>
      <c r="HM2967" s="37"/>
      <c r="HN2967" s="37"/>
      <c r="HO2967" s="37"/>
      <c r="HP2967" s="37"/>
      <c r="HQ2967" s="37"/>
      <c r="HR2967" s="37"/>
      <c r="HS2967" s="37"/>
      <c r="HT2967" s="37"/>
      <c r="HU2967" s="37"/>
      <c r="HV2967" s="37"/>
      <c r="HW2967" s="37"/>
      <c r="HX2967" s="37"/>
      <c r="HY2967" s="37"/>
      <c r="HZ2967" s="37"/>
      <c r="IA2967" s="37"/>
      <c r="IB2967" s="37"/>
      <c r="IC2967" s="37"/>
      <c r="ID2967" s="37"/>
      <c r="IE2967" s="37"/>
      <c r="IF2967" s="37"/>
      <c r="IG2967" s="37"/>
      <c r="IH2967" s="37"/>
      <c r="II2967" s="37"/>
      <c r="IJ2967" s="37"/>
      <c r="IK2967" s="37"/>
      <c r="IL2967" s="37"/>
      <c r="IM2967" s="37"/>
      <c r="IN2967" s="37"/>
      <c r="IO2967" s="37"/>
      <c r="IP2967" s="37"/>
      <c r="IQ2967" s="37"/>
      <c r="IR2967" s="37"/>
      <c r="IS2967" s="37"/>
      <c r="IT2967" s="37"/>
      <c r="IU2967" s="37"/>
      <c r="IV2967" s="37"/>
      <c r="IW2967" s="37"/>
      <c r="IX2967" s="37"/>
      <c r="IY2967" s="37"/>
      <c r="IZ2967" s="37"/>
      <c r="JA2967" s="37"/>
      <c r="JB2967" s="37"/>
      <c r="JC2967" s="37"/>
      <c r="JD2967" s="37"/>
      <c r="JE2967" s="37"/>
      <c r="JF2967" s="37"/>
      <c r="JG2967" s="37"/>
      <c r="JH2967" s="37"/>
      <c r="JI2967" s="37"/>
      <c r="JJ2967" s="37"/>
      <c r="JK2967" s="37"/>
      <c r="JL2967" s="37"/>
      <c r="JM2967" s="37"/>
      <c r="JN2967" s="37"/>
      <c r="JO2967" s="37"/>
      <c r="JP2967" s="37"/>
      <c r="JQ2967" s="37"/>
      <c r="JR2967" s="37"/>
      <c r="JS2967" s="37"/>
      <c r="JT2967" s="37"/>
      <c r="JU2967" s="37"/>
      <c r="JV2967" s="37"/>
      <c r="JW2967" s="37"/>
      <c r="JX2967" s="37"/>
      <c r="JY2967" s="37"/>
      <c r="JZ2967" s="37"/>
      <c r="KA2967" s="37"/>
      <c r="KB2967" s="37"/>
      <c r="KC2967" s="37"/>
      <c r="KD2967" s="37"/>
      <c r="KE2967" s="37"/>
      <c r="KF2967" s="37"/>
      <c r="KG2967" s="37"/>
      <c r="KH2967" s="37"/>
      <c r="KI2967" s="37"/>
      <c r="KJ2967" s="37"/>
      <c r="KK2967" s="37"/>
      <c r="KL2967" s="37"/>
      <c r="KM2967" s="37"/>
      <c r="KN2967" s="37"/>
      <c r="KO2967" s="37"/>
      <c r="KP2967" s="37"/>
      <c r="KQ2967" s="37"/>
      <c r="KR2967" s="37"/>
      <c r="KS2967" s="37"/>
      <c r="KT2967" s="37"/>
      <c r="KU2967" s="37"/>
      <c r="KV2967" s="37"/>
      <c r="KW2967" s="37"/>
      <c r="KX2967" s="37"/>
      <c r="KY2967" s="37"/>
      <c r="KZ2967" s="37"/>
      <c r="LA2967" s="37"/>
      <c r="LB2967" s="37"/>
      <c r="LC2967" s="37"/>
      <c r="LD2967" s="37"/>
      <c r="LE2967" s="37"/>
      <c r="LF2967" s="37"/>
      <c r="LG2967" s="37"/>
      <c r="LH2967" s="37"/>
      <c r="LI2967" s="37"/>
      <c r="LJ2967" s="37"/>
      <c r="LK2967" s="37"/>
      <c r="LL2967" s="37"/>
      <c r="LM2967" s="37"/>
      <c r="LN2967" s="37"/>
      <c r="LO2967" s="37"/>
      <c r="LP2967" s="37"/>
      <c r="LQ2967" s="37"/>
      <c r="LR2967" s="37"/>
      <c r="LS2967" s="37"/>
      <c r="LT2967" s="37"/>
      <c r="LU2967" s="37"/>
      <c r="LV2967" s="37"/>
      <c r="LW2967" s="37"/>
      <c r="LX2967" s="37"/>
      <c r="LY2967" s="37"/>
      <c r="LZ2967" s="37"/>
      <c r="MA2967" s="37"/>
      <c r="MB2967" s="37"/>
      <c r="MC2967" s="37"/>
      <c r="MD2967" s="37"/>
      <c r="ME2967" s="37"/>
      <c r="MF2967" s="37"/>
      <c r="MG2967" s="37"/>
      <c r="MH2967" s="37"/>
      <c r="MI2967" s="37"/>
      <c r="MJ2967" s="37"/>
      <c r="MK2967" s="37"/>
      <c r="ML2967" s="37"/>
      <c r="MM2967" s="37"/>
      <c r="MN2967" s="37"/>
      <c r="MO2967" s="37"/>
      <c r="MP2967" s="37"/>
      <c r="MQ2967" s="37"/>
      <c r="MR2967" s="37"/>
      <c r="MS2967" s="37"/>
      <c r="MT2967" s="37"/>
      <c r="MU2967" s="37"/>
      <c r="MV2967" s="37"/>
      <c r="MW2967" s="37"/>
      <c r="MX2967" s="37"/>
      <c r="MY2967" s="37"/>
      <c r="MZ2967" s="37"/>
      <c r="NA2967" s="37"/>
      <c r="NB2967" s="37"/>
      <c r="NC2967" s="37"/>
      <c r="ND2967" s="37"/>
      <c r="NE2967" s="37"/>
      <c r="NF2967" s="37"/>
      <c r="NG2967" s="37"/>
      <c r="NH2967" s="37"/>
      <c r="NI2967" s="37"/>
      <c r="NJ2967" s="37"/>
      <c r="NK2967" s="37"/>
      <c r="NL2967" s="37"/>
      <c r="NM2967" s="37"/>
      <c r="NN2967" s="37"/>
      <c r="NO2967" s="37"/>
      <c r="NP2967" s="37"/>
      <c r="NQ2967" s="37"/>
      <c r="NR2967" s="37"/>
      <c r="NS2967" s="37"/>
      <c r="NT2967" s="37"/>
      <c r="NU2967" s="37"/>
      <c r="NV2967" s="37"/>
      <c r="NW2967" s="37"/>
      <c r="NX2967" s="37"/>
      <c r="NY2967" s="37"/>
      <c r="NZ2967" s="37"/>
      <c r="OA2967" s="37"/>
      <c r="OB2967" s="37"/>
      <c r="OC2967" s="37"/>
      <c r="OD2967" s="37"/>
      <c r="OE2967" s="37"/>
      <c r="OF2967" s="37"/>
      <c r="OG2967" s="37"/>
      <c r="OH2967" s="37"/>
      <c r="OI2967" s="37"/>
      <c r="OJ2967" s="37"/>
      <c r="OK2967" s="37"/>
      <c r="OL2967" s="37"/>
      <c r="OM2967" s="37"/>
      <c r="ON2967" s="37"/>
      <c r="OO2967" s="37"/>
      <c r="OP2967" s="37"/>
      <c r="OQ2967" s="37"/>
      <c r="OR2967" s="37"/>
      <c r="OS2967" s="37"/>
      <c r="OT2967" s="37"/>
      <c r="OU2967" s="37"/>
      <c r="OV2967" s="37"/>
      <c r="OW2967" s="37"/>
      <c r="OX2967" s="37"/>
      <c r="OY2967" s="37"/>
      <c r="OZ2967" s="37"/>
      <c r="PA2967" s="37"/>
      <c r="PB2967" s="37"/>
      <c r="PC2967" s="37"/>
      <c r="PD2967" s="37"/>
      <c r="PE2967" s="37"/>
      <c r="PF2967" s="37"/>
      <c r="PG2967" s="37"/>
      <c r="PH2967" s="37"/>
      <c r="PI2967" s="37"/>
      <c r="PJ2967" s="37"/>
      <c r="PK2967" s="37"/>
      <c r="PL2967" s="37"/>
      <c r="PM2967" s="37"/>
      <c r="PN2967" s="37"/>
      <c r="PO2967" s="37"/>
      <c r="PP2967" s="37"/>
      <c r="PQ2967" s="37"/>
      <c r="PR2967" s="37"/>
      <c r="PS2967" s="37"/>
      <c r="PT2967" s="37"/>
      <c r="PU2967" s="37"/>
      <c r="PV2967" s="37"/>
      <c r="PW2967" s="37"/>
      <c r="PX2967" s="37"/>
      <c r="PY2967" s="37"/>
      <c r="PZ2967" s="37"/>
      <c r="QA2967" s="37"/>
      <c r="QB2967" s="37"/>
      <c r="QC2967" s="37"/>
      <c r="QD2967" s="37"/>
      <c r="QE2967" s="37"/>
      <c r="QF2967" s="37"/>
      <c r="QG2967" s="37"/>
      <c r="QH2967" s="37"/>
      <c r="QI2967" s="37"/>
      <c r="QJ2967" s="37"/>
      <c r="QK2967" s="37"/>
      <c r="QL2967" s="37"/>
      <c r="QM2967" s="37"/>
      <c r="QN2967" s="37"/>
      <c r="QO2967" s="37"/>
      <c r="QP2967" s="37"/>
      <c r="QQ2967" s="37"/>
      <c r="QR2967" s="37"/>
      <c r="QS2967" s="37"/>
      <c r="QT2967" s="37"/>
      <c r="QU2967" s="37"/>
      <c r="QV2967" s="37"/>
      <c r="QW2967" s="37"/>
      <c r="QX2967" s="37"/>
      <c r="QY2967" s="37"/>
      <c r="QZ2967" s="37"/>
      <c r="RA2967" s="37"/>
      <c r="RB2967" s="37"/>
      <c r="RC2967" s="37"/>
      <c r="RD2967" s="37"/>
      <c r="RE2967" s="37"/>
      <c r="RF2967" s="37"/>
      <c r="RG2967" s="37"/>
      <c r="RH2967" s="37"/>
      <c r="RI2967" s="37"/>
      <c r="RJ2967" s="37"/>
      <c r="RK2967" s="37"/>
      <c r="RL2967" s="37"/>
      <c r="RM2967" s="37"/>
      <c r="RN2967" s="37"/>
      <c r="RO2967" s="37"/>
      <c r="RP2967" s="37"/>
      <c r="RQ2967" s="37"/>
      <c r="RR2967" s="37"/>
      <c r="RS2967" s="37"/>
      <c r="RT2967" s="37"/>
      <c r="RU2967" s="37"/>
      <c r="RV2967" s="37"/>
      <c r="RW2967" s="37"/>
      <c r="RX2967" s="37"/>
      <c r="RY2967" s="37"/>
      <c r="RZ2967" s="37"/>
      <c r="SA2967" s="37"/>
      <c r="SB2967" s="37"/>
      <c r="SC2967" s="37"/>
      <c r="SD2967" s="37"/>
      <c r="SE2967" s="37"/>
      <c r="SF2967" s="37"/>
    </row>
    <row r="2968" spans="1:500">
      <c r="A2968" s="37"/>
      <c r="B2968" s="37"/>
      <c r="C2968" s="37"/>
      <c r="D2968" s="37"/>
      <c r="E2968" s="37"/>
      <c r="F2968" s="37"/>
      <c r="G2968" s="37"/>
      <c r="H2968" s="37"/>
      <c r="I2968" s="37"/>
      <c r="J2968" s="37"/>
      <c r="K2968" s="37"/>
      <c r="L2968" s="37"/>
      <c r="M2968" s="37"/>
      <c r="N2968" s="37"/>
      <c r="O2968" s="37"/>
      <c r="P2968" s="37"/>
      <c r="Q2968" s="37"/>
      <c r="R2968" s="37"/>
      <c r="S2968" s="37"/>
      <c r="T2968" s="37"/>
      <c r="U2968" s="37"/>
      <c r="V2968" s="37"/>
      <c r="W2968" s="37"/>
      <c r="X2968" s="37"/>
      <c r="Y2968" s="37"/>
      <c r="Z2968" s="37"/>
      <c r="AA2968" s="37"/>
      <c r="AB2968" s="37"/>
      <c r="AC2968" s="37"/>
      <c r="AD2968" s="37"/>
      <c r="AE2968" s="37"/>
      <c r="AF2968" s="37"/>
      <c r="AG2968" s="37"/>
      <c r="AH2968" s="37"/>
      <c r="AI2968" s="37"/>
      <c r="AJ2968" s="37"/>
      <c r="AK2968" s="37"/>
      <c r="AL2968" s="37"/>
      <c r="AM2968" s="37"/>
      <c r="AN2968" s="37"/>
      <c r="AO2968" s="37"/>
      <c r="AP2968" s="37"/>
      <c r="AQ2968" s="37"/>
      <c r="AR2968" s="37"/>
      <c r="AS2968" s="37"/>
      <c r="AT2968" s="37"/>
      <c r="AU2968" s="37"/>
      <c r="AV2968" s="37"/>
      <c r="AW2968" s="37"/>
      <c r="AX2968" s="37"/>
      <c r="AY2968" s="37"/>
      <c r="AZ2968" s="37"/>
      <c r="BA2968" s="37"/>
      <c r="BB2968" s="37"/>
      <c r="BC2968" s="37"/>
      <c r="BD2968" s="37"/>
      <c r="BE2968" s="37"/>
      <c r="BF2968" s="37"/>
      <c r="BG2968" s="37"/>
      <c r="BH2968" s="37"/>
      <c r="BI2968" s="37"/>
      <c r="BJ2968" s="37"/>
      <c r="BK2968" s="37"/>
      <c r="BL2968" s="37"/>
      <c r="BM2968" s="37"/>
      <c r="BN2968" s="37"/>
      <c r="BO2968" s="37"/>
      <c r="BP2968" s="37"/>
      <c r="BQ2968" s="37"/>
      <c r="BR2968" s="37"/>
      <c r="BS2968" s="37"/>
      <c r="BT2968" s="37"/>
      <c r="BU2968" s="37"/>
      <c r="BV2968" s="37"/>
      <c r="BW2968" s="37"/>
      <c r="BX2968" s="37"/>
      <c r="BY2968" s="37"/>
      <c r="BZ2968" s="37"/>
      <c r="CA2968" s="37"/>
      <c r="CB2968" s="37"/>
      <c r="CC2968" s="37"/>
      <c r="CD2968" s="37"/>
      <c r="CE2968" s="37"/>
      <c r="CF2968" s="37"/>
      <c r="CG2968" s="37"/>
      <c r="CH2968" s="37"/>
      <c r="CI2968" s="37"/>
      <c r="CJ2968" s="37"/>
      <c r="CK2968" s="37"/>
      <c r="CL2968" s="37"/>
      <c r="CM2968" s="37"/>
      <c r="CN2968" s="37"/>
      <c r="CO2968" s="37"/>
      <c r="CP2968" s="37"/>
      <c r="CQ2968" s="37"/>
      <c r="CR2968" s="37"/>
      <c r="CS2968" s="37"/>
      <c r="CT2968" s="37"/>
      <c r="CU2968" s="37"/>
      <c r="CV2968" s="37"/>
      <c r="CW2968" s="37"/>
      <c r="CX2968" s="37"/>
      <c r="CY2968" s="37"/>
      <c r="CZ2968" s="37"/>
      <c r="DA2968" s="37"/>
      <c r="DB2968" s="37"/>
      <c r="DC2968" s="37"/>
      <c r="DD2968" s="37"/>
      <c r="DE2968" s="37"/>
      <c r="DF2968" s="37"/>
      <c r="DG2968" s="37"/>
      <c r="DH2968" s="37"/>
      <c r="DI2968" s="37"/>
      <c r="DJ2968" s="37"/>
      <c r="DK2968" s="37"/>
      <c r="DL2968" s="37"/>
      <c r="DM2968" s="37"/>
      <c r="DN2968" s="37"/>
      <c r="DO2968" s="37"/>
      <c r="DP2968" s="37"/>
      <c r="DQ2968" s="37"/>
      <c r="DR2968" s="37"/>
      <c r="DS2968" s="37"/>
      <c r="DT2968" s="37"/>
      <c r="DU2968" s="37"/>
      <c r="DV2968" s="37"/>
      <c r="DW2968" s="37"/>
      <c r="DX2968" s="37"/>
      <c r="DY2968" s="37"/>
      <c r="DZ2968" s="37"/>
      <c r="EA2968" s="37"/>
      <c r="EB2968" s="37"/>
      <c r="EC2968" s="37"/>
      <c r="ED2968" s="37"/>
      <c r="EE2968" s="37"/>
      <c r="EF2968" s="37"/>
      <c r="EG2968" s="37"/>
      <c r="EH2968" s="37"/>
      <c r="EI2968" s="37"/>
      <c r="EJ2968" s="37"/>
      <c r="EK2968" s="37"/>
      <c r="EL2968" s="37"/>
      <c r="EM2968" s="37"/>
      <c r="EN2968" s="37"/>
      <c r="EO2968" s="37"/>
      <c r="EP2968" s="37"/>
      <c r="EQ2968" s="37"/>
      <c r="ER2968" s="37"/>
      <c r="ES2968" s="37"/>
      <c r="ET2968" s="37"/>
      <c r="EU2968" s="37"/>
      <c r="EV2968" s="37"/>
      <c r="EW2968" s="37"/>
      <c r="EX2968" s="37"/>
      <c r="EY2968" s="37"/>
      <c r="EZ2968" s="37"/>
      <c r="FA2968" s="37"/>
      <c r="FB2968" s="37"/>
      <c r="FC2968" s="37"/>
      <c r="FD2968" s="37"/>
      <c r="FE2968" s="37"/>
      <c r="FF2968" s="37"/>
      <c r="FG2968" s="37"/>
      <c r="FH2968" s="37"/>
      <c r="FI2968" s="37"/>
      <c r="FJ2968" s="37"/>
      <c r="FK2968" s="37"/>
      <c r="FL2968" s="37"/>
      <c r="FM2968" s="37"/>
      <c r="FN2968" s="37"/>
      <c r="FO2968" s="37"/>
      <c r="FP2968" s="37"/>
      <c r="FQ2968" s="37"/>
      <c r="FR2968" s="37"/>
      <c r="FS2968" s="37"/>
      <c r="FT2968" s="37"/>
      <c r="FU2968" s="37"/>
      <c r="FV2968" s="37"/>
      <c r="FW2968" s="37"/>
      <c r="FX2968" s="37"/>
      <c r="FY2968" s="37"/>
      <c r="FZ2968" s="37"/>
      <c r="GA2968" s="37"/>
      <c r="GB2968" s="37"/>
      <c r="GC2968" s="37"/>
      <c r="GD2968" s="37"/>
      <c r="GE2968" s="37"/>
      <c r="GF2968" s="37"/>
      <c r="GG2968" s="37"/>
      <c r="GH2968" s="37"/>
      <c r="GI2968" s="37"/>
      <c r="GJ2968" s="37"/>
      <c r="GK2968" s="37"/>
      <c r="GL2968" s="37"/>
      <c r="GM2968" s="37"/>
      <c r="GN2968" s="37"/>
      <c r="GO2968" s="37"/>
      <c r="GP2968" s="37"/>
      <c r="GQ2968" s="37"/>
      <c r="GR2968" s="37"/>
      <c r="GS2968" s="37"/>
      <c r="GT2968" s="37"/>
      <c r="GU2968" s="37"/>
      <c r="GV2968" s="37"/>
      <c r="GW2968" s="37"/>
      <c r="GX2968" s="37"/>
      <c r="GY2968" s="37"/>
      <c r="GZ2968" s="37"/>
      <c r="HA2968" s="37"/>
      <c r="HB2968" s="37"/>
      <c r="HC2968" s="37"/>
      <c r="HD2968" s="37"/>
      <c r="HE2968" s="37"/>
      <c r="HF2968" s="37"/>
      <c r="HG2968" s="37"/>
      <c r="HH2968" s="37"/>
      <c r="HI2968" s="37"/>
      <c r="HJ2968" s="37"/>
      <c r="HK2968" s="37"/>
      <c r="HL2968" s="37"/>
      <c r="HM2968" s="37"/>
      <c r="HN2968" s="37"/>
      <c r="HO2968" s="37"/>
      <c r="HP2968" s="37"/>
      <c r="HQ2968" s="37"/>
      <c r="HR2968" s="37"/>
      <c r="HS2968" s="37"/>
      <c r="HT2968" s="37"/>
      <c r="HU2968" s="37"/>
      <c r="HV2968" s="37"/>
      <c r="HW2968" s="37"/>
      <c r="HX2968" s="37"/>
      <c r="HY2968" s="37"/>
      <c r="HZ2968" s="37"/>
      <c r="IA2968" s="37"/>
      <c r="IB2968" s="37"/>
      <c r="IC2968" s="37"/>
      <c r="ID2968" s="37"/>
      <c r="IE2968" s="37"/>
      <c r="IF2968" s="37"/>
      <c r="IG2968" s="37"/>
      <c r="IH2968" s="37"/>
      <c r="II2968" s="37"/>
      <c r="IJ2968" s="37"/>
      <c r="IK2968" s="37"/>
      <c r="IL2968" s="37"/>
      <c r="IM2968" s="37"/>
      <c r="IN2968" s="37"/>
      <c r="IO2968" s="37"/>
      <c r="IP2968" s="37"/>
      <c r="IQ2968" s="37"/>
      <c r="IR2968" s="37"/>
      <c r="IS2968" s="37"/>
      <c r="IT2968" s="37"/>
      <c r="IU2968" s="37"/>
      <c r="IV2968" s="37"/>
      <c r="IW2968" s="37"/>
      <c r="IX2968" s="37"/>
      <c r="IY2968" s="37"/>
      <c r="IZ2968" s="37"/>
      <c r="JA2968" s="37"/>
      <c r="JB2968" s="37"/>
      <c r="JC2968" s="37"/>
      <c r="JD2968" s="37"/>
      <c r="JE2968" s="37"/>
      <c r="JF2968" s="37"/>
      <c r="JG2968" s="37"/>
      <c r="JH2968" s="37"/>
      <c r="JI2968" s="37"/>
      <c r="JJ2968" s="37"/>
      <c r="JK2968" s="37"/>
      <c r="JL2968" s="37"/>
      <c r="JM2968" s="37"/>
      <c r="JN2968" s="37"/>
      <c r="JO2968" s="37"/>
      <c r="JP2968" s="37"/>
      <c r="JQ2968" s="37"/>
      <c r="JR2968" s="37"/>
      <c r="JS2968" s="37"/>
      <c r="JT2968" s="37"/>
      <c r="JU2968" s="37"/>
      <c r="JV2968" s="37"/>
      <c r="JW2968" s="37"/>
      <c r="JX2968" s="37"/>
      <c r="JY2968" s="37"/>
      <c r="JZ2968" s="37"/>
      <c r="KA2968" s="37"/>
      <c r="KB2968" s="37"/>
      <c r="KC2968" s="37"/>
      <c r="KD2968" s="37"/>
      <c r="KE2968" s="37"/>
      <c r="KF2968" s="37"/>
      <c r="KG2968" s="37"/>
      <c r="KH2968" s="37"/>
      <c r="KI2968" s="37"/>
      <c r="KJ2968" s="37"/>
      <c r="KK2968" s="37"/>
      <c r="KL2968" s="37"/>
      <c r="KM2968" s="37"/>
      <c r="KN2968" s="37"/>
      <c r="KO2968" s="37"/>
      <c r="KP2968" s="37"/>
      <c r="KQ2968" s="37"/>
      <c r="KR2968" s="37"/>
      <c r="KS2968" s="37"/>
      <c r="KT2968" s="37"/>
      <c r="KU2968" s="37"/>
      <c r="KV2968" s="37"/>
      <c r="KW2968" s="37"/>
      <c r="KX2968" s="37"/>
      <c r="KY2968" s="37"/>
      <c r="KZ2968" s="37"/>
      <c r="LA2968" s="37"/>
      <c r="LB2968" s="37"/>
      <c r="LC2968" s="37"/>
      <c r="LD2968" s="37"/>
      <c r="LE2968" s="37"/>
      <c r="LF2968" s="37"/>
      <c r="LG2968" s="37"/>
      <c r="LH2968" s="37"/>
      <c r="LI2968" s="37"/>
      <c r="LJ2968" s="37"/>
      <c r="LK2968" s="37"/>
      <c r="LL2968" s="37"/>
      <c r="LM2968" s="37"/>
      <c r="LN2968" s="37"/>
      <c r="LO2968" s="37"/>
      <c r="LP2968" s="37"/>
      <c r="LQ2968" s="37"/>
      <c r="LR2968" s="37"/>
      <c r="LS2968" s="37"/>
      <c r="LT2968" s="37"/>
      <c r="LU2968" s="37"/>
      <c r="LV2968" s="37"/>
      <c r="LW2968" s="37"/>
      <c r="LX2968" s="37"/>
      <c r="LY2968" s="37"/>
      <c r="LZ2968" s="37"/>
      <c r="MA2968" s="37"/>
      <c r="MB2968" s="37"/>
      <c r="MC2968" s="37"/>
      <c r="MD2968" s="37"/>
      <c r="ME2968" s="37"/>
      <c r="MF2968" s="37"/>
      <c r="MG2968" s="37"/>
      <c r="MH2968" s="37"/>
      <c r="MI2968" s="37"/>
      <c r="MJ2968" s="37"/>
      <c r="MK2968" s="37"/>
      <c r="ML2968" s="37"/>
      <c r="MM2968" s="37"/>
      <c r="MN2968" s="37"/>
      <c r="MO2968" s="37"/>
      <c r="MP2968" s="37"/>
      <c r="MQ2968" s="37"/>
      <c r="MR2968" s="37"/>
      <c r="MS2968" s="37"/>
      <c r="MT2968" s="37"/>
      <c r="MU2968" s="37"/>
      <c r="MV2968" s="37"/>
      <c r="MW2968" s="37"/>
      <c r="MX2968" s="37"/>
      <c r="MY2968" s="37"/>
      <c r="MZ2968" s="37"/>
      <c r="NA2968" s="37"/>
      <c r="NB2968" s="37"/>
      <c r="NC2968" s="37"/>
      <c r="ND2968" s="37"/>
      <c r="NE2968" s="37"/>
      <c r="NF2968" s="37"/>
      <c r="NG2968" s="37"/>
      <c r="NH2968" s="37"/>
      <c r="NI2968" s="37"/>
      <c r="NJ2968" s="37"/>
      <c r="NK2968" s="37"/>
      <c r="NL2968" s="37"/>
      <c r="NM2968" s="37"/>
      <c r="NN2968" s="37"/>
      <c r="NO2968" s="37"/>
      <c r="NP2968" s="37"/>
      <c r="NQ2968" s="37"/>
      <c r="NR2968" s="37"/>
      <c r="NS2968" s="37"/>
      <c r="NT2968" s="37"/>
      <c r="NU2968" s="37"/>
      <c r="NV2968" s="37"/>
      <c r="NW2968" s="37"/>
      <c r="NX2968" s="37"/>
      <c r="NY2968" s="37"/>
      <c r="NZ2968" s="37"/>
      <c r="OA2968" s="37"/>
      <c r="OB2968" s="37"/>
      <c r="OC2968" s="37"/>
      <c r="OD2968" s="37"/>
      <c r="OE2968" s="37"/>
      <c r="OF2968" s="37"/>
      <c r="OG2968" s="37"/>
      <c r="OH2968" s="37"/>
      <c r="OI2968" s="37"/>
      <c r="OJ2968" s="37"/>
      <c r="OK2968" s="37"/>
      <c r="OL2968" s="37"/>
      <c r="OM2968" s="37"/>
      <c r="ON2968" s="37"/>
      <c r="OO2968" s="37"/>
      <c r="OP2968" s="37"/>
      <c r="OQ2968" s="37"/>
      <c r="OR2968" s="37"/>
      <c r="OS2968" s="37"/>
      <c r="OT2968" s="37"/>
      <c r="OU2968" s="37"/>
      <c r="OV2968" s="37"/>
      <c r="OW2968" s="37"/>
      <c r="OX2968" s="37"/>
      <c r="OY2968" s="37"/>
      <c r="OZ2968" s="37"/>
      <c r="PA2968" s="37"/>
      <c r="PB2968" s="37"/>
      <c r="PC2968" s="37"/>
      <c r="PD2968" s="37"/>
      <c r="PE2968" s="37"/>
      <c r="PF2968" s="37"/>
      <c r="PG2968" s="37"/>
      <c r="PH2968" s="37"/>
      <c r="PI2968" s="37"/>
      <c r="PJ2968" s="37"/>
      <c r="PK2968" s="37"/>
      <c r="PL2968" s="37"/>
      <c r="PM2968" s="37"/>
      <c r="PN2968" s="37"/>
      <c r="PO2968" s="37"/>
      <c r="PP2968" s="37"/>
      <c r="PQ2968" s="37"/>
      <c r="PR2968" s="37"/>
      <c r="PS2968" s="37"/>
      <c r="PT2968" s="37"/>
      <c r="PU2968" s="37"/>
      <c r="PV2968" s="37"/>
      <c r="PW2968" s="37"/>
      <c r="PX2968" s="37"/>
      <c r="PY2968" s="37"/>
      <c r="PZ2968" s="37"/>
      <c r="QA2968" s="37"/>
      <c r="QB2968" s="37"/>
      <c r="QC2968" s="37"/>
      <c r="QD2968" s="37"/>
      <c r="QE2968" s="37"/>
      <c r="QF2968" s="37"/>
      <c r="QG2968" s="37"/>
      <c r="QH2968" s="37"/>
      <c r="QI2968" s="37"/>
      <c r="QJ2968" s="37"/>
      <c r="QK2968" s="37"/>
      <c r="QL2968" s="37"/>
      <c r="QM2968" s="37"/>
      <c r="QN2968" s="37"/>
      <c r="QO2968" s="37"/>
      <c r="QP2968" s="37"/>
      <c r="QQ2968" s="37"/>
      <c r="QR2968" s="37"/>
      <c r="QS2968" s="37"/>
      <c r="QT2968" s="37"/>
      <c r="QU2968" s="37"/>
      <c r="QV2968" s="37"/>
      <c r="QW2968" s="37"/>
      <c r="QX2968" s="37"/>
      <c r="QY2968" s="37"/>
      <c r="QZ2968" s="37"/>
      <c r="RA2968" s="37"/>
      <c r="RB2968" s="37"/>
      <c r="RC2968" s="37"/>
      <c r="RD2968" s="37"/>
      <c r="RE2968" s="37"/>
      <c r="RF2968" s="37"/>
      <c r="RG2968" s="37"/>
      <c r="RH2968" s="37"/>
      <c r="RI2968" s="37"/>
      <c r="RJ2968" s="37"/>
      <c r="RK2968" s="37"/>
      <c r="RL2968" s="37"/>
      <c r="RM2968" s="37"/>
      <c r="RN2968" s="37"/>
      <c r="RO2968" s="37"/>
      <c r="RP2968" s="37"/>
      <c r="RQ2968" s="37"/>
      <c r="RR2968" s="37"/>
      <c r="RS2968" s="37"/>
      <c r="RT2968" s="37"/>
      <c r="RU2968" s="37"/>
      <c r="RV2968" s="37"/>
      <c r="RW2968" s="37"/>
      <c r="RX2968" s="37"/>
      <c r="RY2968" s="37"/>
      <c r="RZ2968" s="37"/>
      <c r="SA2968" s="37"/>
      <c r="SB2968" s="37"/>
      <c r="SC2968" s="37"/>
      <c r="SD2968" s="37"/>
      <c r="SE2968" s="37"/>
      <c r="SF2968" s="37"/>
    </row>
    <row r="2969" spans="1:500">
      <c r="A2969" s="37"/>
      <c r="B2969" s="37"/>
      <c r="C2969" s="37"/>
      <c r="D2969" s="37"/>
      <c r="E2969" s="37"/>
      <c r="F2969" s="37"/>
      <c r="G2969" s="37"/>
      <c r="H2969" s="37"/>
      <c r="I2969" s="37"/>
      <c r="J2969" s="37"/>
      <c r="K2969" s="37"/>
      <c r="L2969" s="37"/>
      <c r="M2969" s="37"/>
      <c r="N2969" s="37"/>
      <c r="O2969" s="37"/>
      <c r="P2969" s="37"/>
      <c r="Q2969" s="37"/>
      <c r="R2969" s="37"/>
      <c r="S2969" s="37"/>
      <c r="T2969" s="37"/>
      <c r="U2969" s="37"/>
      <c r="V2969" s="37"/>
      <c r="W2969" s="37"/>
      <c r="X2969" s="37"/>
      <c r="Y2969" s="37"/>
      <c r="Z2969" s="37"/>
      <c r="AA2969" s="37"/>
      <c r="AB2969" s="37"/>
      <c r="AC2969" s="37"/>
      <c r="AD2969" s="37"/>
      <c r="AE2969" s="37"/>
      <c r="AF2969" s="37"/>
      <c r="AG2969" s="37"/>
      <c r="AH2969" s="37"/>
      <c r="AI2969" s="37"/>
      <c r="AJ2969" s="37"/>
      <c r="AK2969" s="37"/>
      <c r="AL2969" s="37"/>
      <c r="AM2969" s="37"/>
      <c r="AN2969" s="37"/>
      <c r="AO2969" s="37"/>
      <c r="AP2969" s="37"/>
      <c r="AQ2969" s="37"/>
      <c r="AR2969" s="37"/>
      <c r="AS2969" s="37"/>
      <c r="AT2969" s="37"/>
      <c r="AU2969" s="37"/>
      <c r="AV2969" s="37"/>
      <c r="AW2969" s="37"/>
      <c r="AX2969" s="37"/>
      <c r="AY2969" s="37"/>
      <c r="AZ2969" s="37"/>
      <c r="BA2969" s="37"/>
      <c r="BB2969" s="37"/>
      <c r="BC2969" s="37"/>
      <c r="BD2969" s="37"/>
      <c r="BE2969" s="37"/>
      <c r="BF2969" s="37"/>
      <c r="BG2969" s="37"/>
      <c r="BH2969" s="37"/>
      <c r="BI2969" s="37"/>
      <c r="BJ2969" s="37"/>
      <c r="BK2969" s="37"/>
      <c r="BL2969" s="37"/>
      <c r="BM2969" s="37"/>
      <c r="BN2969" s="37"/>
      <c r="BO2969" s="37"/>
      <c r="BP2969" s="37"/>
      <c r="BQ2969" s="37"/>
      <c r="BR2969" s="37"/>
      <c r="BS2969" s="37"/>
      <c r="BT2969" s="37"/>
      <c r="BU2969" s="37"/>
      <c r="BV2969" s="37"/>
      <c r="BW2969" s="37"/>
      <c r="BX2969" s="37"/>
      <c r="BY2969" s="37"/>
      <c r="BZ2969" s="37"/>
      <c r="CA2969" s="37"/>
      <c r="CB2969" s="37"/>
      <c r="CC2969" s="37"/>
      <c r="CD2969" s="37"/>
      <c r="CE2969" s="37"/>
      <c r="CF2969" s="37"/>
      <c r="CG2969" s="37"/>
      <c r="CH2969" s="37"/>
      <c r="CI2969" s="37"/>
      <c r="CJ2969" s="37"/>
      <c r="CK2969" s="37"/>
      <c r="CL2969" s="37"/>
      <c r="CM2969" s="37"/>
      <c r="CN2969" s="37"/>
      <c r="CO2969" s="37"/>
      <c r="CP2969" s="37"/>
      <c r="CQ2969" s="37"/>
      <c r="CR2969" s="37"/>
      <c r="CS2969" s="37"/>
      <c r="CT2969" s="37"/>
      <c r="CU2969" s="37"/>
      <c r="CV2969" s="37"/>
      <c r="CW2969" s="37"/>
      <c r="CX2969" s="37"/>
      <c r="CY2969" s="37"/>
      <c r="CZ2969" s="37"/>
      <c r="DA2969" s="37"/>
      <c r="DB2969" s="37"/>
      <c r="DC2969" s="37"/>
      <c r="DD2969" s="37"/>
      <c r="DE2969" s="37"/>
      <c r="DF2969" s="37"/>
      <c r="DG2969" s="37"/>
      <c r="DH2969" s="37"/>
      <c r="DI2969" s="37"/>
      <c r="DJ2969" s="37"/>
      <c r="DK2969" s="37"/>
      <c r="DL2969" s="37"/>
      <c r="DM2969" s="37"/>
      <c r="DN2969" s="37"/>
      <c r="DO2969" s="37"/>
      <c r="DP2969" s="37"/>
      <c r="DQ2969" s="37"/>
      <c r="DR2969" s="37"/>
      <c r="DS2969" s="37"/>
      <c r="DT2969" s="37"/>
      <c r="DU2969" s="37"/>
      <c r="DV2969" s="37"/>
      <c r="DW2969" s="37"/>
      <c r="DX2969" s="37"/>
      <c r="DY2969" s="37"/>
      <c r="DZ2969" s="37"/>
      <c r="EA2969" s="37"/>
      <c r="EB2969" s="37"/>
      <c r="EC2969" s="37"/>
      <c r="ED2969" s="37"/>
      <c r="EE2969" s="37"/>
      <c r="EF2969" s="37"/>
      <c r="EG2969" s="37"/>
      <c r="EH2969" s="37"/>
      <c r="EI2969" s="37"/>
      <c r="EJ2969" s="37"/>
      <c r="EK2969" s="37"/>
      <c r="EL2969" s="37"/>
      <c r="EM2969" s="37"/>
      <c r="EN2969" s="37"/>
      <c r="EO2969" s="37"/>
      <c r="EP2969" s="37"/>
      <c r="EQ2969" s="37"/>
      <c r="ER2969" s="37"/>
      <c r="ES2969" s="37"/>
      <c r="ET2969" s="37"/>
      <c r="EU2969" s="37"/>
      <c r="EV2969" s="37"/>
      <c r="EW2969" s="37"/>
      <c r="EX2969" s="37"/>
      <c r="EY2969" s="37"/>
      <c r="EZ2969" s="37"/>
      <c r="FA2969" s="37"/>
      <c r="FB2969" s="37"/>
      <c r="FC2969" s="37"/>
      <c r="FD2969" s="37"/>
      <c r="FE2969" s="37"/>
      <c r="FF2969" s="37"/>
      <c r="FG2969" s="37"/>
      <c r="FH2969" s="37"/>
      <c r="FI2969" s="37"/>
      <c r="FJ2969" s="37"/>
      <c r="FK2969" s="37"/>
      <c r="FL2969" s="37"/>
      <c r="FM2969" s="37"/>
      <c r="FN2969" s="37"/>
      <c r="FO2969" s="37"/>
      <c r="FP2969" s="37"/>
      <c r="FQ2969" s="37"/>
      <c r="FR2969" s="37"/>
      <c r="FS2969" s="37"/>
      <c r="FT2969" s="37"/>
      <c r="FU2969" s="37"/>
      <c r="FV2969" s="37"/>
      <c r="FW2969" s="37"/>
      <c r="FX2969" s="37"/>
      <c r="FY2969" s="37"/>
      <c r="FZ2969" s="37"/>
      <c r="GA2969" s="37"/>
      <c r="GB2969" s="37"/>
      <c r="GC2969" s="37"/>
      <c r="GD2969" s="37"/>
      <c r="GE2969" s="37"/>
      <c r="GF2969" s="37"/>
      <c r="GG2969" s="37"/>
      <c r="GH2969" s="37"/>
      <c r="GI2969" s="37"/>
      <c r="GJ2969" s="37"/>
      <c r="GK2969" s="37"/>
      <c r="GL2969" s="37"/>
      <c r="GM2969" s="37"/>
      <c r="GN2969" s="37"/>
      <c r="GO2969" s="37"/>
      <c r="GP2969" s="37"/>
      <c r="GQ2969" s="37"/>
      <c r="GR2969" s="37"/>
      <c r="GS2969" s="37"/>
      <c r="GT2969" s="37"/>
      <c r="GU2969" s="37"/>
      <c r="GV2969" s="37"/>
      <c r="GW2969" s="37"/>
      <c r="GX2969" s="37"/>
      <c r="GY2969" s="37"/>
      <c r="GZ2969" s="37"/>
      <c r="HA2969" s="37"/>
      <c r="HB2969" s="37"/>
      <c r="HC2969" s="37"/>
      <c r="HD2969" s="37"/>
      <c r="HE2969" s="37"/>
      <c r="HF2969" s="37"/>
      <c r="HG2969" s="37"/>
      <c r="HH2969" s="37"/>
      <c r="HI2969" s="37"/>
      <c r="HJ2969" s="37"/>
      <c r="HK2969" s="37"/>
      <c r="HL2969" s="37"/>
      <c r="HM2969" s="37"/>
      <c r="HN2969" s="37"/>
      <c r="HO2969" s="37"/>
      <c r="HP2969" s="37"/>
      <c r="HQ2969" s="37"/>
      <c r="HR2969" s="37"/>
      <c r="HS2969" s="37"/>
      <c r="HT2969" s="37"/>
      <c r="HU2969" s="37"/>
      <c r="HV2969" s="37"/>
      <c r="HW2969" s="37"/>
      <c r="HX2969" s="37"/>
      <c r="HY2969" s="37"/>
      <c r="HZ2969" s="37"/>
      <c r="IA2969" s="37"/>
      <c r="IB2969" s="37"/>
      <c r="IC2969" s="37"/>
      <c r="ID2969" s="37"/>
      <c r="IE2969" s="37"/>
      <c r="IF2969" s="37"/>
      <c r="IG2969" s="37"/>
      <c r="IH2969" s="37"/>
      <c r="II2969" s="37"/>
      <c r="IJ2969" s="37"/>
      <c r="IK2969" s="37"/>
      <c r="IL2969" s="37"/>
      <c r="IM2969" s="37"/>
      <c r="IN2969" s="37"/>
      <c r="IO2969" s="37"/>
      <c r="IP2969" s="37"/>
      <c r="IQ2969" s="37"/>
      <c r="IR2969" s="37"/>
      <c r="IS2969" s="37"/>
      <c r="IT2969" s="37"/>
      <c r="IU2969" s="37"/>
      <c r="IV2969" s="37"/>
      <c r="IW2969" s="37"/>
      <c r="IX2969" s="37"/>
      <c r="IY2969" s="37"/>
      <c r="IZ2969" s="37"/>
      <c r="JA2969" s="37"/>
      <c r="JB2969" s="37"/>
      <c r="JC2969" s="37"/>
      <c r="JD2969" s="37"/>
      <c r="JE2969" s="37"/>
      <c r="JF2969" s="37"/>
      <c r="JG2969" s="37"/>
      <c r="JH2969" s="37"/>
      <c r="JI2969" s="37"/>
      <c r="JJ2969" s="37"/>
      <c r="JK2969" s="37"/>
      <c r="JL2969" s="37"/>
      <c r="JM2969" s="37"/>
      <c r="JN2969" s="37"/>
      <c r="JO2969" s="37"/>
      <c r="JP2969" s="37"/>
      <c r="JQ2969" s="37"/>
      <c r="JR2969" s="37"/>
      <c r="JS2969" s="37"/>
      <c r="JT2969" s="37"/>
      <c r="JU2969" s="37"/>
      <c r="JV2969" s="37"/>
      <c r="JW2969" s="37"/>
      <c r="JX2969" s="37"/>
      <c r="JY2969" s="37"/>
      <c r="JZ2969" s="37"/>
      <c r="KA2969" s="37"/>
      <c r="KB2969" s="37"/>
      <c r="KC2969" s="37"/>
      <c r="KD2969" s="37"/>
      <c r="KE2969" s="37"/>
      <c r="KF2969" s="37"/>
      <c r="KG2969" s="37"/>
      <c r="KH2969" s="37"/>
      <c r="KI2969" s="37"/>
      <c r="KJ2969" s="37"/>
      <c r="KK2969" s="37"/>
      <c r="KL2969" s="37"/>
      <c r="KM2969" s="37"/>
      <c r="KN2969" s="37"/>
      <c r="KO2969" s="37"/>
      <c r="KP2969" s="37"/>
      <c r="KQ2969" s="37"/>
      <c r="KR2969" s="37"/>
      <c r="KS2969" s="37"/>
      <c r="KT2969" s="37"/>
      <c r="KU2969" s="37"/>
      <c r="KV2969" s="37"/>
      <c r="KW2969" s="37"/>
      <c r="KX2969" s="37"/>
      <c r="KY2969" s="37"/>
      <c r="KZ2969" s="37"/>
      <c r="LA2969" s="37"/>
      <c r="LB2969" s="37"/>
      <c r="LC2969" s="37"/>
      <c r="LD2969" s="37"/>
      <c r="LE2969" s="37"/>
      <c r="LF2969" s="37"/>
      <c r="LG2969" s="37"/>
      <c r="LH2969" s="37"/>
      <c r="LI2969" s="37"/>
      <c r="LJ2969" s="37"/>
      <c r="LK2969" s="37"/>
      <c r="LL2969" s="37"/>
      <c r="LM2969" s="37"/>
      <c r="LN2969" s="37"/>
      <c r="LO2969" s="37"/>
      <c r="LP2969" s="37"/>
      <c r="LQ2969" s="37"/>
      <c r="LR2969" s="37"/>
      <c r="LS2969" s="37"/>
      <c r="LT2969" s="37"/>
      <c r="LU2969" s="37"/>
      <c r="LV2969" s="37"/>
      <c r="LW2969" s="37"/>
      <c r="LX2969" s="37"/>
      <c r="LY2969" s="37"/>
      <c r="LZ2969" s="37"/>
      <c r="MA2969" s="37"/>
      <c r="MB2969" s="37"/>
      <c r="MC2969" s="37"/>
      <c r="MD2969" s="37"/>
      <c r="ME2969" s="37"/>
      <c r="MF2969" s="37"/>
      <c r="MG2969" s="37"/>
      <c r="MH2969" s="37"/>
      <c r="MI2969" s="37"/>
      <c r="MJ2969" s="37"/>
      <c r="MK2969" s="37"/>
      <c r="ML2969" s="37"/>
      <c r="MM2969" s="37"/>
      <c r="MN2969" s="37"/>
      <c r="MO2969" s="37"/>
      <c r="MP2969" s="37"/>
      <c r="MQ2969" s="37"/>
      <c r="MR2969" s="37"/>
      <c r="MS2969" s="37"/>
      <c r="MT2969" s="37"/>
      <c r="MU2969" s="37"/>
      <c r="MV2969" s="37"/>
      <c r="MW2969" s="37"/>
      <c r="MX2969" s="37"/>
      <c r="MY2969" s="37"/>
      <c r="MZ2969" s="37"/>
      <c r="NA2969" s="37"/>
      <c r="NB2969" s="37"/>
      <c r="NC2969" s="37"/>
      <c r="ND2969" s="37"/>
      <c r="NE2969" s="37"/>
      <c r="NF2969" s="37"/>
      <c r="NG2969" s="37"/>
      <c r="NH2969" s="37"/>
      <c r="NI2969" s="37"/>
      <c r="NJ2969" s="37"/>
      <c r="NK2969" s="37"/>
      <c r="NL2969" s="37"/>
      <c r="NM2969" s="37"/>
      <c r="NN2969" s="37"/>
      <c r="NO2969" s="37"/>
      <c r="NP2969" s="37"/>
      <c r="NQ2969" s="37"/>
      <c r="NR2969" s="37"/>
      <c r="NS2969" s="37"/>
      <c r="NT2969" s="37"/>
      <c r="NU2969" s="37"/>
      <c r="NV2969" s="37"/>
      <c r="NW2969" s="37"/>
      <c r="NX2969" s="37"/>
      <c r="NY2969" s="37"/>
      <c r="NZ2969" s="37"/>
      <c r="OA2969" s="37"/>
      <c r="OB2969" s="37"/>
      <c r="OC2969" s="37"/>
      <c r="OD2969" s="37"/>
      <c r="OE2969" s="37"/>
      <c r="OF2969" s="37"/>
      <c r="OG2969" s="37"/>
      <c r="OH2969" s="37"/>
      <c r="OI2969" s="37"/>
      <c r="OJ2969" s="37"/>
      <c r="OK2969" s="37"/>
      <c r="OL2969" s="37"/>
      <c r="OM2969" s="37"/>
      <c r="ON2969" s="37"/>
      <c r="OO2969" s="37"/>
      <c r="OP2969" s="37"/>
      <c r="OQ2969" s="37"/>
      <c r="OR2969" s="37"/>
      <c r="OS2969" s="37"/>
      <c r="OT2969" s="37"/>
      <c r="OU2969" s="37"/>
      <c r="OV2969" s="37"/>
      <c r="OW2969" s="37"/>
      <c r="OX2969" s="37"/>
      <c r="OY2969" s="37"/>
      <c r="OZ2969" s="37"/>
      <c r="PA2969" s="37"/>
      <c r="PB2969" s="37"/>
      <c r="PC2969" s="37"/>
      <c r="PD2969" s="37"/>
      <c r="PE2969" s="37"/>
      <c r="PF2969" s="37"/>
      <c r="PG2969" s="37"/>
      <c r="PH2969" s="37"/>
      <c r="PI2969" s="37"/>
      <c r="PJ2969" s="37"/>
      <c r="PK2969" s="37"/>
      <c r="PL2969" s="37"/>
      <c r="PM2969" s="37"/>
      <c r="PN2969" s="37"/>
      <c r="PO2969" s="37"/>
      <c r="PP2969" s="37"/>
      <c r="PQ2969" s="37"/>
      <c r="PR2969" s="37"/>
      <c r="PS2969" s="37"/>
      <c r="PT2969" s="37"/>
      <c r="PU2969" s="37"/>
      <c r="PV2969" s="37"/>
      <c r="PW2969" s="37"/>
      <c r="PX2969" s="37"/>
      <c r="PY2969" s="37"/>
      <c r="PZ2969" s="37"/>
      <c r="QA2969" s="37"/>
      <c r="QB2969" s="37"/>
      <c r="QC2969" s="37"/>
      <c r="QD2969" s="37"/>
      <c r="QE2969" s="37"/>
      <c r="QF2969" s="37"/>
      <c r="QG2969" s="37"/>
      <c r="QH2969" s="37"/>
      <c r="QI2969" s="37"/>
      <c r="QJ2969" s="37"/>
      <c r="QK2969" s="37"/>
      <c r="QL2969" s="37"/>
      <c r="QM2969" s="37"/>
      <c r="QN2969" s="37"/>
      <c r="QO2969" s="37"/>
      <c r="QP2969" s="37"/>
      <c r="QQ2969" s="37"/>
      <c r="QR2969" s="37"/>
      <c r="QS2969" s="37"/>
      <c r="QT2969" s="37"/>
      <c r="QU2969" s="37"/>
      <c r="QV2969" s="37"/>
      <c r="QW2969" s="37"/>
      <c r="QX2969" s="37"/>
      <c r="QY2969" s="37"/>
      <c r="QZ2969" s="37"/>
      <c r="RA2969" s="37"/>
      <c r="RB2969" s="37"/>
      <c r="RC2969" s="37"/>
      <c r="RD2969" s="37"/>
      <c r="RE2969" s="37"/>
      <c r="RF2969" s="37"/>
      <c r="RG2969" s="37"/>
      <c r="RH2969" s="37"/>
      <c r="RI2969" s="37"/>
      <c r="RJ2969" s="37"/>
      <c r="RK2969" s="37"/>
      <c r="RL2969" s="37"/>
      <c r="RM2969" s="37"/>
      <c r="RN2969" s="37"/>
      <c r="RO2969" s="37"/>
      <c r="RP2969" s="37"/>
      <c r="RQ2969" s="37"/>
      <c r="RR2969" s="37"/>
      <c r="RS2969" s="37"/>
      <c r="RT2969" s="37"/>
      <c r="RU2969" s="37"/>
      <c r="RV2969" s="37"/>
      <c r="RW2969" s="37"/>
      <c r="RX2969" s="37"/>
      <c r="RY2969" s="37"/>
      <c r="RZ2969" s="37"/>
      <c r="SA2969" s="37"/>
      <c r="SB2969" s="37"/>
      <c r="SC2969" s="37"/>
      <c r="SD2969" s="37"/>
      <c r="SE2969" s="37"/>
      <c r="SF2969" s="37"/>
    </row>
    <row r="2970" spans="1:500">
      <c r="A2970" s="37"/>
      <c r="B2970" s="37"/>
      <c r="C2970" s="37"/>
      <c r="D2970" s="37"/>
      <c r="E2970" s="37"/>
      <c r="F2970" s="37"/>
      <c r="G2970" s="37"/>
      <c r="H2970" s="37"/>
      <c r="I2970" s="37"/>
      <c r="J2970" s="37"/>
      <c r="K2970" s="37"/>
      <c r="L2970" s="37"/>
      <c r="M2970" s="37"/>
      <c r="N2970" s="37"/>
      <c r="O2970" s="37"/>
      <c r="P2970" s="37"/>
      <c r="Q2970" s="37"/>
      <c r="R2970" s="37"/>
      <c r="S2970" s="37"/>
      <c r="T2970" s="37"/>
      <c r="U2970" s="37"/>
      <c r="V2970" s="37"/>
      <c r="W2970" s="37"/>
      <c r="X2970" s="37"/>
      <c r="Y2970" s="37"/>
      <c r="Z2970" s="37"/>
      <c r="AA2970" s="37"/>
      <c r="AB2970" s="37"/>
      <c r="AC2970" s="37"/>
      <c r="AD2970" s="37"/>
      <c r="AE2970" s="37"/>
      <c r="AF2970" s="37"/>
      <c r="AG2970" s="37"/>
      <c r="AH2970" s="37"/>
      <c r="AI2970" s="37"/>
      <c r="AJ2970" s="37"/>
      <c r="AK2970" s="37"/>
      <c r="AL2970" s="37"/>
      <c r="AM2970" s="37"/>
      <c r="AN2970" s="37"/>
      <c r="AO2970" s="37"/>
      <c r="AP2970" s="37"/>
      <c r="AQ2970" s="37"/>
      <c r="AR2970" s="37"/>
      <c r="AS2970" s="37"/>
      <c r="AT2970" s="37"/>
      <c r="AU2970" s="37"/>
      <c r="AV2970" s="37"/>
      <c r="AW2970" s="37"/>
      <c r="AX2970" s="37"/>
      <c r="AY2970" s="37"/>
      <c r="AZ2970" s="37"/>
      <c r="BA2970" s="37"/>
      <c r="BB2970" s="37"/>
      <c r="BC2970" s="37"/>
      <c r="BD2970" s="37"/>
      <c r="BE2970" s="37"/>
      <c r="BF2970" s="37"/>
      <c r="BG2970" s="37"/>
      <c r="BH2970" s="37"/>
      <c r="BI2970" s="37"/>
      <c r="BJ2970" s="37"/>
      <c r="BK2970" s="37"/>
      <c r="BL2970" s="37"/>
      <c r="BM2970" s="37"/>
      <c r="BN2970" s="37"/>
      <c r="BO2970" s="37"/>
      <c r="BP2970" s="37"/>
      <c r="BQ2970" s="37"/>
      <c r="BR2970" s="37"/>
      <c r="BS2970" s="37"/>
      <c r="BT2970" s="37"/>
      <c r="BU2970" s="37"/>
      <c r="BV2970" s="37"/>
      <c r="BW2970" s="37"/>
      <c r="BX2970" s="37"/>
      <c r="BY2970" s="37"/>
      <c r="BZ2970" s="37"/>
      <c r="CA2970" s="37"/>
      <c r="CB2970" s="37"/>
      <c r="CC2970" s="37"/>
      <c r="CD2970" s="37"/>
      <c r="CE2970" s="37"/>
      <c r="CF2970" s="37"/>
      <c r="CG2970" s="37"/>
      <c r="CH2970" s="37"/>
      <c r="CI2970" s="37"/>
      <c r="CJ2970" s="37"/>
      <c r="CK2970" s="37"/>
      <c r="CL2970" s="37"/>
      <c r="CM2970" s="37"/>
      <c r="CN2970" s="37"/>
      <c r="CO2970" s="37"/>
      <c r="CP2970" s="37"/>
      <c r="CQ2970" s="37"/>
      <c r="CR2970" s="37"/>
      <c r="CS2970" s="37"/>
      <c r="CT2970" s="37"/>
      <c r="CU2970" s="37"/>
      <c r="CV2970" s="37"/>
      <c r="CW2970" s="37"/>
      <c r="CX2970" s="37"/>
      <c r="CY2970" s="37"/>
      <c r="CZ2970" s="37"/>
      <c r="DA2970" s="37"/>
      <c r="DB2970" s="37"/>
      <c r="DC2970" s="37"/>
      <c r="DD2970" s="37"/>
      <c r="DE2970" s="37"/>
      <c r="DF2970" s="37"/>
      <c r="DG2970" s="37"/>
      <c r="DH2970" s="37"/>
      <c r="DI2970" s="37"/>
      <c r="DJ2970" s="37"/>
      <c r="DK2970" s="37"/>
      <c r="DL2970" s="37"/>
      <c r="DM2970" s="37"/>
      <c r="DN2970" s="37"/>
      <c r="DO2970" s="37"/>
      <c r="DP2970" s="37"/>
      <c r="DQ2970" s="37"/>
      <c r="DR2970" s="37"/>
      <c r="DS2970" s="37"/>
      <c r="DT2970" s="37"/>
      <c r="DU2970" s="37"/>
      <c r="DV2970" s="37"/>
      <c r="DW2970" s="37"/>
      <c r="DX2970" s="37"/>
      <c r="DY2970" s="37"/>
      <c r="DZ2970" s="37"/>
      <c r="EA2970" s="37"/>
      <c r="EB2970" s="37"/>
      <c r="EC2970" s="37"/>
      <c r="ED2970" s="37"/>
      <c r="EE2970" s="37"/>
      <c r="EF2970" s="37"/>
      <c r="EG2970" s="37"/>
      <c r="EH2970" s="37"/>
      <c r="EI2970" s="37"/>
      <c r="EJ2970" s="37"/>
      <c r="EK2970" s="37"/>
      <c r="EL2970" s="37"/>
      <c r="EM2970" s="37"/>
      <c r="EN2970" s="37"/>
      <c r="EO2970" s="37"/>
      <c r="EP2970" s="37"/>
      <c r="EQ2970" s="37"/>
      <c r="ER2970" s="37"/>
      <c r="ES2970" s="37"/>
      <c r="ET2970" s="37"/>
      <c r="EU2970" s="37"/>
      <c r="EV2970" s="37"/>
      <c r="EW2970" s="37"/>
      <c r="EX2970" s="37"/>
      <c r="EY2970" s="37"/>
      <c r="EZ2970" s="37"/>
      <c r="FA2970" s="37"/>
      <c r="FB2970" s="37"/>
      <c r="FC2970" s="37"/>
      <c r="FD2970" s="37"/>
      <c r="FE2970" s="37"/>
      <c r="FF2970" s="37"/>
      <c r="FG2970" s="37"/>
      <c r="FH2970" s="37"/>
      <c r="FI2970" s="37"/>
      <c r="FJ2970" s="37"/>
      <c r="FK2970" s="37"/>
      <c r="FL2970" s="37"/>
      <c r="FM2970" s="37"/>
      <c r="FN2970" s="37"/>
      <c r="FO2970" s="37"/>
      <c r="FP2970" s="37"/>
      <c r="FQ2970" s="37"/>
      <c r="FR2970" s="37"/>
      <c r="FS2970" s="37"/>
      <c r="FT2970" s="37"/>
      <c r="FU2970" s="37"/>
      <c r="FV2970" s="37"/>
      <c r="FW2970" s="37"/>
      <c r="FX2970" s="37"/>
      <c r="FY2970" s="37"/>
      <c r="FZ2970" s="37"/>
      <c r="GA2970" s="37"/>
      <c r="GB2970" s="37"/>
      <c r="GC2970" s="37"/>
      <c r="GD2970" s="37"/>
      <c r="GE2970" s="37"/>
      <c r="GF2970" s="37"/>
      <c r="GG2970" s="37"/>
      <c r="GH2970" s="37"/>
      <c r="GI2970" s="37"/>
      <c r="GJ2970" s="37"/>
      <c r="GK2970" s="37"/>
      <c r="GL2970" s="37"/>
      <c r="GM2970" s="37"/>
      <c r="GN2970" s="37"/>
      <c r="GO2970" s="37"/>
      <c r="GP2970" s="37"/>
      <c r="GQ2970" s="37"/>
      <c r="GR2970" s="37"/>
      <c r="GS2970" s="37"/>
      <c r="GT2970" s="37"/>
      <c r="GU2970" s="37"/>
      <c r="GV2970" s="37"/>
      <c r="GW2970" s="37"/>
      <c r="GX2970" s="37"/>
      <c r="GY2970" s="37"/>
      <c r="GZ2970" s="37"/>
      <c r="HA2970" s="37"/>
      <c r="HB2970" s="37"/>
      <c r="HC2970" s="37"/>
      <c r="HD2970" s="37"/>
      <c r="HE2970" s="37"/>
      <c r="HF2970" s="37"/>
      <c r="HG2970" s="37"/>
      <c r="HH2970" s="37"/>
      <c r="HI2970" s="37"/>
      <c r="HJ2970" s="37"/>
      <c r="HK2970" s="37"/>
      <c r="HL2970" s="37"/>
      <c r="HM2970" s="37"/>
      <c r="HN2970" s="37"/>
      <c r="HO2970" s="37"/>
      <c r="HP2970" s="37"/>
      <c r="HQ2970" s="37"/>
      <c r="HR2970" s="37"/>
      <c r="HS2970" s="37"/>
      <c r="HT2970" s="37"/>
      <c r="HU2970" s="37"/>
      <c r="HV2970" s="37"/>
      <c r="HW2970" s="37"/>
      <c r="HX2970" s="37"/>
      <c r="HY2970" s="37"/>
      <c r="HZ2970" s="37"/>
      <c r="IA2970" s="37"/>
      <c r="IB2970" s="37"/>
      <c r="IC2970" s="37"/>
      <c r="ID2970" s="37"/>
      <c r="IE2970" s="37"/>
      <c r="IF2970" s="37"/>
      <c r="IG2970" s="37"/>
      <c r="IH2970" s="37"/>
      <c r="II2970" s="37"/>
      <c r="IJ2970" s="37"/>
      <c r="IK2970" s="37"/>
      <c r="IL2970" s="37"/>
      <c r="IM2970" s="37"/>
      <c r="IN2970" s="37"/>
      <c r="IO2970" s="37"/>
      <c r="IP2970" s="37"/>
      <c r="IQ2970" s="37"/>
      <c r="IR2970" s="37"/>
      <c r="IS2970" s="37"/>
      <c r="IT2970" s="37"/>
      <c r="IU2970" s="37"/>
      <c r="IV2970" s="37"/>
      <c r="IW2970" s="37"/>
      <c r="IX2970" s="37"/>
      <c r="IY2970" s="37"/>
      <c r="IZ2970" s="37"/>
      <c r="JA2970" s="37"/>
      <c r="JB2970" s="37"/>
      <c r="JC2970" s="37"/>
      <c r="JD2970" s="37"/>
      <c r="JE2970" s="37"/>
      <c r="JF2970" s="37"/>
      <c r="JG2970" s="37"/>
      <c r="JH2970" s="37"/>
      <c r="JI2970" s="37"/>
      <c r="JJ2970" s="37"/>
      <c r="JK2970" s="37"/>
      <c r="JL2970" s="37"/>
      <c r="JM2970" s="37"/>
      <c r="JN2970" s="37"/>
      <c r="JO2970" s="37"/>
      <c r="JP2970" s="37"/>
      <c r="JQ2970" s="37"/>
      <c r="JR2970" s="37"/>
      <c r="JS2970" s="37"/>
      <c r="JT2970" s="37"/>
      <c r="JU2970" s="37"/>
      <c r="JV2970" s="37"/>
      <c r="JW2970" s="37"/>
      <c r="JX2970" s="37"/>
      <c r="JY2970" s="37"/>
      <c r="JZ2970" s="37"/>
      <c r="KA2970" s="37"/>
      <c r="KB2970" s="37"/>
      <c r="KC2970" s="37"/>
      <c r="KD2970" s="37"/>
      <c r="KE2970" s="37"/>
      <c r="KF2970" s="37"/>
      <c r="KG2970" s="37"/>
      <c r="KH2970" s="37"/>
      <c r="KI2970" s="37"/>
      <c r="KJ2970" s="37"/>
      <c r="KK2970" s="37"/>
      <c r="KL2970" s="37"/>
      <c r="KM2970" s="37"/>
      <c r="KN2970" s="37"/>
      <c r="KO2970" s="37"/>
      <c r="KP2970" s="37"/>
      <c r="KQ2970" s="37"/>
      <c r="KR2970" s="37"/>
      <c r="KS2970" s="37"/>
      <c r="KT2970" s="37"/>
      <c r="KU2970" s="37"/>
      <c r="KV2970" s="37"/>
      <c r="KW2970" s="37"/>
      <c r="KX2970" s="37"/>
      <c r="KY2970" s="37"/>
      <c r="KZ2970" s="37"/>
      <c r="LA2970" s="37"/>
      <c r="LB2970" s="37"/>
      <c r="LC2970" s="37"/>
      <c r="LD2970" s="37"/>
      <c r="LE2970" s="37"/>
      <c r="LF2970" s="37"/>
      <c r="LG2970" s="37"/>
      <c r="LH2970" s="37"/>
      <c r="LI2970" s="37"/>
      <c r="LJ2970" s="37"/>
      <c r="LK2970" s="37"/>
      <c r="LL2970" s="37"/>
      <c r="LM2970" s="37"/>
      <c r="LN2970" s="37"/>
      <c r="LO2970" s="37"/>
      <c r="LP2970" s="37"/>
      <c r="LQ2970" s="37"/>
      <c r="LR2970" s="37"/>
      <c r="LS2970" s="37"/>
      <c r="LT2970" s="37"/>
      <c r="LU2970" s="37"/>
      <c r="LV2970" s="37"/>
      <c r="LW2970" s="37"/>
      <c r="LX2970" s="37"/>
      <c r="LY2970" s="37"/>
      <c r="LZ2970" s="37"/>
      <c r="MA2970" s="37"/>
      <c r="MB2970" s="37"/>
      <c r="MC2970" s="37"/>
      <c r="MD2970" s="37"/>
      <c r="ME2970" s="37"/>
      <c r="MF2970" s="37"/>
      <c r="MG2970" s="37"/>
      <c r="MH2970" s="37"/>
      <c r="MI2970" s="37"/>
      <c r="MJ2970" s="37"/>
      <c r="MK2970" s="37"/>
      <c r="ML2970" s="37"/>
      <c r="MM2970" s="37"/>
      <c r="MN2970" s="37"/>
      <c r="MO2970" s="37"/>
      <c r="MP2970" s="37"/>
      <c r="MQ2970" s="37"/>
      <c r="MR2970" s="37"/>
      <c r="MS2970" s="37"/>
      <c r="MT2970" s="37"/>
      <c r="MU2970" s="37"/>
      <c r="MV2970" s="37"/>
      <c r="MW2970" s="37"/>
      <c r="MX2970" s="37"/>
      <c r="MY2970" s="37"/>
      <c r="MZ2970" s="37"/>
      <c r="NA2970" s="37"/>
      <c r="NB2970" s="37"/>
      <c r="NC2970" s="37"/>
      <c r="ND2970" s="37"/>
      <c r="NE2970" s="37"/>
      <c r="NF2970" s="37"/>
      <c r="NG2970" s="37"/>
      <c r="NH2970" s="37"/>
      <c r="NI2970" s="37"/>
      <c r="NJ2970" s="37"/>
      <c r="NK2970" s="37"/>
      <c r="NL2970" s="37"/>
      <c r="NM2970" s="37"/>
      <c r="NN2970" s="37"/>
      <c r="NO2970" s="37"/>
      <c r="NP2970" s="37"/>
      <c r="NQ2970" s="37"/>
      <c r="NR2970" s="37"/>
      <c r="NS2970" s="37"/>
      <c r="NT2970" s="37"/>
      <c r="NU2970" s="37"/>
      <c r="NV2970" s="37"/>
      <c r="NW2970" s="37"/>
      <c r="NX2970" s="37"/>
      <c r="NY2970" s="37"/>
      <c r="NZ2970" s="37"/>
      <c r="OA2970" s="37"/>
      <c r="OB2970" s="37"/>
      <c r="OC2970" s="37"/>
      <c r="OD2970" s="37"/>
      <c r="OE2970" s="37"/>
      <c r="OF2970" s="37"/>
      <c r="OG2970" s="37"/>
      <c r="OH2970" s="37"/>
      <c r="OI2970" s="37"/>
      <c r="OJ2970" s="37"/>
      <c r="OK2970" s="37"/>
      <c r="OL2970" s="37"/>
      <c r="OM2970" s="37"/>
      <c r="ON2970" s="37"/>
      <c r="OO2970" s="37"/>
      <c r="OP2970" s="37"/>
      <c r="OQ2970" s="37"/>
      <c r="OR2970" s="37"/>
      <c r="OS2970" s="37"/>
      <c r="OT2970" s="37"/>
      <c r="OU2970" s="37"/>
      <c r="OV2970" s="37"/>
      <c r="OW2970" s="37"/>
      <c r="OX2970" s="37"/>
      <c r="OY2970" s="37"/>
      <c r="OZ2970" s="37"/>
      <c r="PA2970" s="37"/>
      <c r="PB2970" s="37"/>
      <c r="PC2970" s="37"/>
      <c r="PD2970" s="37"/>
      <c r="PE2970" s="37"/>
      <c r="PF2970" s="37"/>
      <c r="PG2970" s="37"/>
      <c r="PH2970" s="37"/>
      <c r="PI2970" s="37"/>
      <c r="PJ2970" s="37"/>
      <c r="PK2970" s="37"/>
      <c r="PL2970" s="37"/>
      <c r="PM2970" s="37"/>
      <c r="PN2970" s="37"/>
      <c r="PO2970" s="37"/>
      <c r="PP2970" s="37"/>
      <c r="PQ2970" s="37"/>
      <c r="PR2970" s="37"/>
      <c r="PS2970" s="37"/>
      <c r="PT2970" s="37"/>
      <c r="PU2970" s="37"/>
      <c r="PV2970" s="37"/>
      <c r="PW2970" s="37"/>
      <c r="PX2970" s="37"/>
      <c r="PY2970" s="37"/>
      <c r="PZ2970" s="37"/>
      <c r="QA2970" s="37"/>
      <c r="QB2970" s="37"/>
      <c r="QC2970" s="37"/>
      <c r="QD2970" s="37"/>
      <c r="QE2970" s="37"/>
      <c r="QF2970" s="37"/>
      <c r="QG2970" s="37"/>
      <c r="QH2970" s="37"/>
      <c r="QI2970" s="37"/>
      <c r="QJ2970" s="37"/>
      <c r="QK2970" s="37"/>
      <c r="QL2970" s="37"/>
      <c r="QM2970" s="37"/>
      <c r="QN2970" s="37"/>
      <c r="QO2970" s="37"/>
      <c r="QP2970" s="37"/>
      <c r="QQ2970" s="37"/>
      <c r="QR2970" s="37"/>
      <c r="QS2970" s="37"/>
      <c r="QT2970" s="37"/>
      <c r="QU2970" s="37"/>
      <c r="QV2970" s="37"/>
      <c r="QW2970" s="37"/>
      <c r="QX2970" s="37"/>
      <c r="QY2970" s="37"/>
      <c r="QZ2970" s="37"/>
      <c r="RA2970" s="37"/>
      <c r="RB2970" s="37"/>
      <c r="RC2970" s="37"/>
      <c r="RD2970" s="37"/>
      <c r="RE2970" s="37"/>
      <c r="RF2970" s="37"/>
      <c r="RG2970" s="37"/>
      <c r="RH2970" s="37"/>
      <c r="RI2970" s="37"/>
      <c r="RJ2970" s="37"/>
      <c r="RK2970" s="37"/>
      <c r="RL2970" s="37"/>
      <c r="RM2970" s="37"/>
      <c r="RN2970" s="37"/>
      <c r="RO2970" s="37"/>
      <c r="RP2970" s="37"/>
      <c r="RQ2970" s="37"/>
      <c r="RR2970" s="37"/>
      <c r="RS2970" s="37"/>
      <c r="RT2970" s="37"/>
      <c r="RU2970" s="37"/>
      <c r="RV2970" s="37"/>
      <c r="RW2970" s="37"/>
      <c r="RX2970" s="37"/>
      <c r="RY2970" s="37"/>
      <c r="RZ2970" s="37"/>
      <c r="SA2970" s="37"/>
      <c r="SB2970" s="37"/>
      <c r="SC2970" s="37"/>
      <c r="SD2970" s="37"/>
      <c r="SE2970" s="37"/>
      <c r="SF2970" s="37"/>
    </row>
    <row r="2971" spans="1:500">
      <c r="A2971" s="37"/>
      <c r="B2971" s="37"/>
      <c r="C2971" s="37"/>
      <c r="D2971" s="37"/>
      <c r="E2971" s="37"/>
      <c r="F2971" s="37"/>
      <c r="G2971" s="37"/>
      <c r="H2971" s="37"/>
      <c r="I2971" s="37"/>
      <c r="J2971" s="37"/>
      <c r="K2971" s="37"/>
      <c r="L2971" s="37"/>
      <c r="M2971" s="37"/>
      <c r="N2971" s="37"/>
      <c r="O2971" s="37"/>
      <c r="P2971" s="37"/>
      <c r="Q2971" s="37"/>
      <c r="R2971" s="37"/>
      <c r="S2971" s="37"/>
      <c r="T2971" s="37"/>
      <c r="U2971" s="37"/>
      <c r="V2971" s="37"/>
      <c r="W2971" s="37"/>
      <c r="X2971" s="37"/>
      <c r="Y2971" s="37"/>
      <c r="Z2971" s="37"/>
      <c r="AA2971" s="37"/>
      <c r="AB2971" s="37"/>
      <c r="AC2971" s="37"/>
      <c r="AD2971" s="37"/>
      <c r="AE2971" s="37"/>
      <c r="AF2971" s="37"/>
      <c r="AG2971" s="37"/>
      <c r="AH2971" s="37"/>
      <c r="AI2971" s="37"/>
      <c r="AJ2971" s="37"/>
      <c r="AK2971" s="37"/>
      <c r="AL2971" s="37"/>
      <c r="AM2971" s="37"/>
      <c r="AN2971" s="37"/>
      <c r="AO2971" s="37"/>
      <c r="AP2971" s="37"/>
      <c r="AQ2971" s="37"/>
      <c r="AR2971" s="37"/>
      <c r="AS2971" s="37"/>
      <c r="AT2971" s="37"/>
      <c r="AU2971" s="37"/>
      <c r="AV2971" s="37"/>
      <c r="AW2971" s="37"/>
      <c r="AX2971" s="37"/>
      <c r="AY2971" s="37"/>
      <c r="AZ2971" s="37"/>
      <c r="BA2971" s="37"/>
      <c r="BB2971" s="37"/>
      <c r="BC2971" s="37"/>
      <c r="BD2971" s="37"/>
      <c r="BE2971" s="37"/>
      <c r="BF2971" s="37"/>
      <c r="BG2971" s="37"/>
      <c r="BH2971" s="37"/>
      <c r="BI2971" s="37"/>
      <c r="BJ2971" s="37"/>
      <c r="BK2971" s="37"/>
      <c r="BL2971" s="37"/>
      <c r="BM2971" s="37"/>
      <c r="BN2971" s="37"/>
      <c r="BO2971" s="37"/>
      <c r="BP2971" s="37"/>
      <c r="BQ2971" s="37"/>
      <c r="BR2971" s="37"/>
      <c r="BS2971" s="37"/>
      <c r="BT2971" s="37"/>
      <c r="BU2971" s="37"/>
      <c r="BV2971" s="37"/>
      <c r="BW2971" s="37"/>
      <c r="BX2971" s="37"/>
      <c r="BY2971" s="37"/>
      <c r="BZ2971" s="37"/>
      <c r="CA2971" s="37"/>
      <c r="CB2971" s="37"/>
      <c r="CC2971" s="37"/>
      <c r="CD2971" s="37"/>
      <c r="CE2971" s="37"/>
      <c r="CF2971" s="37"/>
      <c r="CG2971" s="37"/>
      <c r="CH2971" s="37"/>
      <c r="CI2971" s="37"/>
      <c r="CJ2971" s="37"/>
      <c r="CK2971" s="37"/>
      <c r="CL2971" s="37"/>
      <c r="CM2971" s="37"/>
      <c r="CN2971" s="37"/>
      <c r="CO2971" s="37"/>
      <c r="CP2971" s="37"/>
      <c r="CQ2971" s="37"/>
      <c r="CR2971" s="37"/>
      <c r="CS2971" s="37"/>
      <c r="CT2971" s="37"/>
      <c r="CU2971" s="37"/>
      <c r="CV2971" s="37"/>
      <c r="CW2971" s="37"/>
      <c r="CX2971" s="37"/>
      <c r="CY2971" s="37"/>
      <c r="CZ2971" s="37"/>
      <c r="DA2971" s="37"/>
      <c r="DB2971" s="37"/>
      <c r="DC2971" s="37"/>
      <c r="DD2971" s="37"/>
      <c r="DE2971" s="37"/>
      <c r="DF2971" s="37"/>
      <c r="DG2971" s="37"/>
      <c r="DH2971" s="37"/>
      <c r="DI2971" s="37"/>
      <c r="DJ2971" s="37"/>
      <c r="DK2971" s="37"/>
      <c r="DL2971" s="37"/>
      <c r="DM2971" s="37"/>
      <c r="DN2971" s="37"/>
      <c r="DO2971" s="37"/>
      <c r="DP2971" s="37"/>
      <c r="DQ2971" s="37"/>
      <c r="DR2971" s="37"/>
      <c r="DS2971" s="37"/>
      <c r="DT2971" s="37"/>
      <c r="DU2971" s="37"/>
      <c r="DV2971" s="37"/>
      <c r="DW2971" s="37"/>
      <c r="DX2971" s="37"/>
      <c r="DY2971" s="37"/>
      <c r="DZ2971" s="37"/>
      <c r="EA2971" s="37"/>
      <c r="EB2971" s="37"/>
      <c r="EC2971" s="37"/>
      <c r="ED2971" s="37"/>
      <c r="EE2971" s="37"/>
      <c r="EF2971" s="37"/>
      <c r="EG2971" s="37"/>
      <c r="EH2971" s="37"/>
      <c r="EI2971" s="37"/>
      <c r="EJ2971" s="37"/>
      <c r="EK2971" s="37"/>
      <c r="EL2971" s="37"/>
      <c r="EM2971" s="37"/>
      <c r="EN2971" s="37"/>
      <c r="EO2971" s="37"/>
      <c r="EP2971" s="37"/>
      <c r="EQ2971" s="37"/>
      <c r="ER2971" s="37"/>
      <c r="ES2971" s="37"/>
      <c r="ET2971" s="37"/>
      <c r="EU2971" s="37"/>
      <c r="EV2971" s="37"/>
      <c r="EW2971" s="37"/>
      <c r="EX2971" s="37"/>
      <c r="EY2971" s="37"/>
      <c r="EZ2971" s="37"/>
      <c r="FA2971" s="37"/>
      <c r="FB2971" s="37"/>
      <c r="FC2971" s="37"/>
      <c r="FD2971" s="37"/>
      <c r="FE2971" s="37"/>
      <c r="FF2971" s="37"/>
      <c r="FG2971" s="37"/>
      <c r="FH2971" s="37"/>
      <c r="FI2971" s="37"/>
      <c r="FJ2971" s="37"/>
      <c r="FK2971" s="37"/>
      <c r="FL2971" s="37"/>
      <c r="FM2971" s="37"/>
      <c r="FN2971" s="37"/>
      <c r="FO2971" s="37"/>
      <c r="FP2971" s="37"/>
      <c r="FQ2971" s="37"/>
      <c r="FR2971" s="37"/>
      <c r="FS2971" s="37"/>
      <c r="FT2971" s="37"/>
      <c r="FU2971" s="37"/>
      <c r="FV2971" s="37"/>
      <c r="FW2971" s="37"/>
      <c r="FX2971" s="37"/>
      <c r="FY2971" s="37"/>
      <c r="FZ2971" s="37"/>
      <c r="GA2971" s="37"/>
      <c r="GB2971" s="37"/>
      <c r="GC2971" s="37"/>
      <c r="GD2971" s="37"/>
      <c r="GE2971" s="37"/>
      <c r="GF2971" s="37"/>
      <c r="GG2971" s="37"/>
      <c r="GH2971" s="37"/>
      <c r="GI2971" s="37"/>
      <c r="GJ2971" s="37"/>
      <c r="GK2971" s="37"/>
      <c r="GL2971" s="37"/>
      <c r="GM2971" s="37"/>
      <c r="GN2971" s="37"/>
      <c r="GO2971" s="37"/>
      <c r="GP2971" s="37"/>
      <c r="GQ2971" s="37"/>
      <c r="GR2971" s="37"/>
      <c r="GS2971" s="37"/>
      <c r="GT2971" s="37"/>
      <c r="GU2971" s="37"/>
      <c r="GV2971" s="37"/>
      <c r="GW2971" s="37"/>
      <c r="GX2971" s="37"/>
      <c r="GY2971" s="37"/>
      <c r="GZ2971" s="37"/>
      <c r="HA2971" s="37"/>
      <c r="HB2971" s="37"/>
      <c r="HC2971" s="37"/>
      <c r="HD2971" s="37"/>
      <c r="HE2971" s="37"/>
      <c r="HF2971" s="37"/>
      <c r="HG2971" s="37"/>
      <c r="HH2971" s="37"/>
      <c r="HI2971" s="37"/>
      <c r="HJ2971" s="37"/>
      <c r="HK2971" s="37"/>
      <c r="HL2971" s="37"/>
      <c r="HM2971" s="37"/>
      <c r="HN2971" s="37"/>
      <c r="HO2971" s="37"/>
      <c r="HP2971" s="37"/>
      <c r="HQ2971" s="37"/>
      <c r="HR2971" s="37"/>
      <c r="HS2971" s="37"/>
      <c r="HT2971" s="37"/>
      <c r="HU2971" s="37"/>
      <c r="HV2971" s="37"/>
      <c r="HW2971" s="37"/>
      <c r="HX2971" s="37"/>
      <c r="HY2971" s="37"/>
      <c r="HZ2971" s="37"/>
      <c r="IA2971" s="37"/>
      <c r="IB2971" s="37"/>
      <c r="IC2971" s="37"/>
      <c r="ID2971" s="37"/>
      <c r="IE2971" s="37"/>
      <c r="IF2971" s="37"/>
      <c r="IG2971" s="37"/>
      <c r="IH2971" s="37"/>
      <c r="II2971" s="37"/>
      <c r="IJ2971" s="37"/>
      <c r="IK2971" s="37"/>
      <c r="IL2971" s="37"/>
      <c r="IM2971" s="37"/>
      <c r="IN2971" s="37"/>
      <c r="IO2971" s="37"/>
      <c r="IP2971" s="37"/>
      <c r="IQ2971" s="37"/>
      <c r="IR2971" s="37"/>
      <c r="IS2971" s="37"/>
      <c r="IT2971" s="37"/>
      <c r="IU2971" s="37"/>
      <c r="IV2971" s="37"/>
      <c r="IW2971" s="37"/>
      <c r="IX2971" s="37"/>
      <c r="IY2971" s="37"/>
      <c r="IZ2971" s="37"/>
      <c r="JA2971" s="37"/>
      <c r="JB2971" s="37"/>
      <c r="JC2971" s="37"/>
      <c r="JD2971" s="37"/>
      <c r="JE2971" s="37"/>
      <c r="JF2971" s="37"/>
      <c r="JG2971" s="37"/>
      <c r="JH2971" s="37"/>
      <c r="JI2971" s="37"/>
      <c r="JJ2971" s="37"/>
      <c r="JK2971" s="37"/>
      <c r="JL2971" s="37"/>
      <c r="JM2971" s="37"/>
      <c r="JN2971" s="37"/>
      <c r="JO2971" s="37"/>
      <c r="JP2971" s="37"/>
      <c r="JQ2971" s="37"/>
      <c r="JR2971" s="37"/>
      <c r="JS2971" s="37"/>
      <c r="JT2971" s="37"/>
      <c r="JU2971" s="37"/>
      <c r="JV2971" s="37"/>
      <c r="JW2971" s="37"/>
      <c r="JX2971" s="37"/>
      <c r="JY2971" s="37"/>
      <c r="JZ2971" s="37"/>
      <c r="KA2971" s="37"/>
      <c r="KB2971" s="37"/>
      <c r="KC2971" s="37"/>
      <c r="KD2971" s="37"/>
      <c r="KE2971" s="37"/>
      <c r="KF2971" s="37"/>
      <c r="KG2971" s="37"/>
      <c r="KH2971" s="37"/>
      <c r="KI2971" s="37"/>
      <c r="KJ2971" s="37"/>
      <c r="KK2971" s="37"/>
      <c r="KL2971" s="37"/>
      <c r="KM2971" s="37"/>
      <c r="KN2971" s="37"/>
      <c r="KO2971" s="37"/>
      <c r="KP2971" s="37"/>
      <c r="KQ2971" s="37"/>
      <c r="KR2971" s="37"/>
      <c r="KS2971" s="37"/>
      <c r="KT2971" s="37"/>
      <c r="KU2971" s="37"/>
      <c r="KV2971" s="37"/>
      <c r="KW2971" s="37"/>
      <c r="KX2971" s="37"/>
      <c r="KY2971" s="37"/>
      <c r="KZ2971" s="37"/>
      <c r="LA2971" s="37"/>
      <c r="LB2971" s="37"/>
      <c r="LC2971" s="37"/>
      <c r="LD2971" s="37"/>
      <c r="LE2971" s="37"/>
      <c r="LF2971" s="37"/>
      <c r="LG2971" s="37"/>
      <c r="LH2971" s="37"/>
      <c r="LI2971" s="37"/>
      <c r="LJ2971" s="37"/>
      <c r="LK2971" s="37"/>
      <c r="LL2971" s="37"/>
      <c r="LM2971" s="37"/>
      <c r="LN2971" s="37"/>
      <c r="LO2971" s="37"/>
      <c r="LP2971" s="37"/>
      <c r="LQ2971" s="37"/>
      <c r="LR2971" s="37"/>
      <c r="LS2971" s="37"/>
      <c r="LT2971" s="37"/>
      <c r="LU2971" s="37"/>
      <c r="LV2971" s="37"/>
      <c r="LW2971" s="37"/>
      <c r="LX2971" s="37"/>
      <c r="LY2971" s="37"/>
      <c r="LZ2971" s="37"/>
      <c r="MA2971" s="37"/>
      <c r="MB2971" s="37"/>
      <c r="MC2971" s="37"/>
      <c r="MD2971" s="37"/>
      <c r="ME2971" s="37"/>
      <c r="MF2971" s="37"/>
      <c r="MG2971" s="37"/>
      <c r="MH2971" s="37"/>
      <c r="MI2971" s="37"/>
      <c r="MJ2971" s="37"/>
      <c r="MK2971" s="37"/>
      <c r="ML2971" s="37"/>
      <c r="MM2971" s="37"/>
      <c r="MN2971" s="37"/>
      <c r="MO2971" s="37"/>
      <c r="MP2971" s="37"/>
      <c r="MQ2971" s="37"/>
      <c r="MR2971" s="37"/>
      <c r="MS2971" s="37"/>
      <c r="MT2971" s="37"/>
      <c r="MU2971" s="37"/>
      <c r="MV2971" s="37"/>
      <c r="MW2971" s="37"/>
      <c r="MX2971" s="37"/>
      <c r="MY2971" s="37"/>
      <c r="MZ2971" s="37"/>
      <c r="NA2971" s="37"/>
      <c r="NB2971" s="37"/>
      <c r="NC2971" s="37"/>
      <c r="ND2971" s="37"/>
      <c r="NE2971" s="37"/>
      <c r="NF2971" s="37"/>
      <c r="NG2971" s="37"/>
      <c r="NH2971" s="37"/>
      <c r="NI2971" s="37"/>
      <c r="NJ2971" s="37"/>
      <c r="NK2971" s="37"/>
      <c r="NL2971" s="37"/>
      <c r="NM2971" s="37"/>
      <c r="NN2971" s="37"/>
      <c r="NO2971" s="37"/>
      <c r="NP2971" s="37"/>
      <c r="NQ2971" s="37"/>
      <c r="NR2971" s="37"/>
      <c r="NS2971" s="37"/>
      <c r="NT2971" s="37"/>
      <c r="NU2971" s="37"/>
      <c r="NV2971" s="37"/>
      <c r="NW2971" s="37"/>
      <c r="NX2971" s="37"/>
      <c r="NY2971" s="37"/>
      <c r="NZ2971" s="37"/>
      <c r="OA2971" s="37"/>
      <c r="OB2971" s="37"/>
      <c r="OC2971" s="37"/>
      <c r="OD2971" s="37"/>
      <c r="OE2971" s="37"/>
      <c r="OF2971" s="37"/>
      <c r="OG2971" s="37"/>
      <c r="OH2971" s="37"/>
      <c r="OI2971" s="37"/>
      <c r="OJ2971" s="37"/>
      <c r="OK2971" s="37"/>
      <c r="OL2971" s="37"/>
      <c r="OM2971" s="37"/>
      <c r="ON2971" s="37"/>
      <c r="OO2971" s="37"/>
      <c r="OP2971" s="37"/>
      <c r="OQ2971" s="37"/>
      <c r="OR2971" s="37"/>
      <c r="OS2971" s="37"/>
      <c r="OT2971" s="37"/>
      <c r="OU2971" s="37"/>
      <c r="OV2971" s="37"/>
      <c r="OW2971" s="37"/>
      <c r="OX2971" s="37"/>
      <c r="OY2971" s="37"/>
      <c r="OZ2971" s="37"/>
      <c r="PA2971" s="37"/>
      <c r="PB2971" s="37"/>
      <c r="PC2971" s="37"/>
      <c r="PD2971" s="37"/>
      <c r="PE2971" s="37"/>
      <c r="PF2971" s="37"/>
      <c r="PG2971" s="37"/>
      <c r="PH2971" s="37"/>
      <c r="PI2971" s="37"/>
      <c r="PJ2971" s="37"/>
      <c r="PK2971" s="37"/>
      <c r="PL2971" s="37"/>
      <c r="PM2971" s="37"/>
      <c r="PN2971" s="37"/>
      <c r="PO2971" s="37"/>
      <c r="PP2971" s="37"/>
      <c r="PQ2971" s="37"/>
      <c r="PR2971" s="37"/>
      <c r="PS2971" s="37"/>
      <c r="PT2971" s="37"/>
      <c r="PU2971" s="37"/>
      <c r="PV2971" s="37"/>
      <c r="PW2971" s="37"/>
      <c r="PX2971" s="37"/>
      <c r="PY2971" s="37"/>
      <c r="PZ2971" s="37"/>
      <c r="QA2971" s="37"/>
      <c r="QB2971" s="37"/>
      <c r="QC2971" s="37"/>
      <c r="QD2971" s="37"/>
      <c r="QE2971" s="37"/>
      <c r="QF2971" s="37"/>
      <c r="QG2971" s="37"/>
      <c r="QH2971" s="37"/>
      <c r="QI2971" s="37"/>
      <c r="QJ2971" s="37"/>
      <c r="QK2971" s="37"/>
      <c r="QL2971" s="37"/>
      <c r="QM2971" s="37"/>
      <c r="QN2971" s="37"/>
      <c r="QO2971" s="37"/>
      <c r="QP2971" s="37"/>
      <c r="QQ2971" s="37"/>
      <c r="QR2971" s="37"/>
      <c r="QS2971" s="37"/>
      <c r="QT2971" s="37"/>
      <c r="QU2971" s="37"/>
      <c r="QV2971" s="37"/>
      <c r="QW2971" s="37"/>
      <c r="QX2971" s="37"/>
      <c r="QY2971" s="37"/>
      <c r="QZ2971" s="37"/>
      <c r="RA2971" s="37"/>
      <c r="RB2971" s="37"/>
      <c r="RC2971" s="37"/>
      <c r="RD2971" s="37"/>
      <c r="RE2971" s="37"/>
      <c r="RF2971" s="37"/>
      <c r="RG2971" s="37"/>
      <c r="RH2971" s="37"/>
      <c r="RI2971" s="37"/>
      <c r="RJ2971" s="37"/>
      <c r="RK2971" s="37"/>
      <c r="RL2971" s="37"/>
      <c r="RM2971" s="37"/>
      <c r="RN2971" s="37"/>
      <c r="RO2971" s="37"/>
      <c r="RP2971" s="37"/>
      <c r="RQ2971" s="37"/>
      <c r="RR2971" s="37"/>
      <c r="RS2971" s="37"/>
      <c r="RT2971" s="37"/>
      <c r="RU2971" s="37"/>
      <c r="RV2971" s="37"/>
      <c r="RW2971" s="37"/>
      <c r="RX2971" s="37"/>
      <c r="RY2971" s="37"/>
      <c r="RZ2971" s="37"/>
      <c r="SA2971" s="37"/>
      <c r="SB2971" s="37"/>
      <c r="SC2971" s="37"/>
      <c r="SD2971" s="37"/>
      <c r="SE2971" s="37"/>
      <c r="SF2971" s="37"/>
    </row>
    <row r="2972" spans="1:500">
      <c r="A2972" s="37"/>
      <c r="B2972" s="37"/>
      <c r="C2972" s="37"/>
      <c r="D2972" s="37"/>
      <c r="E2972" s="37"/>
      <c r="F2972" s="37"/>
      <c r="G2972" s="37"/>
      <c r="H2972" s="37"/>
      <c r="I2972" s="37"/>
      <c r="J2972" s="37"/>
      <c r="K2972" s="37"/>
      <c r="L2972" s="37"/>
      <c r="M2972" s="37"/>
      <c r="N2972" s="37"/>
      <c r="O2972" s="37"/>
      <c r="P2972" s="37"/>
      <c r="Q2972" s="37"/>
      <c r="R2972" s="37"/>
      <c r="S2972" s="37"/>
      <c r="T2972" s="37"/>
      <c r="U2972" s="37"/>
      <c r="V2972" s="37"/>
      <c r="W2972" s="37"/>
      <c r="X2972" s="37"/>
      <c r="Y2972" s="37"/>
      <c r="Z2972" s="37"/>
      <c r="AA2972" s="37"/>
      <c r="AB2972" s="37"/>
      <c r="AC2972" s="37"/>
      <c r="AD2972" s="37"/>
      <c r="AE2972" s="37"/>
      <c r="AF2972" s="37"/>
      <c r="AG2972" s="37"/>
      <c r="AH2972" s="37"/>
      <c r="AI2972" s="37"/>
      <c r="AJ2972" s="37"/>
      <c r="AK2972" s="37"/>
      <c r="AL2972" s="37"/>
      <c r="AM2972" s="37"/>
      <c r="AN2972" s="37"/>
      <c r="AO2972" s="37"/>
      <c r="AP2972" s="37"/>
      <c r="AQ2972" s="37"/>
      <c r="AR2972" s="37"/>
      <c r="AS2972" s="37"/>
      <c r="AT2972" s="37"/>
      <c r="AU2972" s="37"/>
      <c r="AV2972" s="37"/>
      <c r="AW2972" s="37"/>
      <c r="AX2972" s="37"/>
      <c r="AY2972" s="37"/>
      <c r="AZ2972" s="37"/>
      <c r="BA2972" s="37"/>
      <c r="BB2972" s="37"/>
      <c r="BC2972" s="37"/>
      <c r="BD2972" s="37"/>
      <c r="BE2972" s="37"/>
      <c r="BF2972" s="37"/>
      <c r="BG2972" s="37"/>
      <c r="BH2972" s="37"/>
      <c r="BI2972" s="37"/>
      <c r="BJ2972" s="37"/>
      <c r="BK2972" s="37"/>
      <c r="BL2972" s="37"/>
      <c r="BM2972" s="37"/>
      <c r="BN2972" s="37"/>
      <c r="BO2972" s="37"/>
      <c r="BP2972" s="37"/>
      <c r="BQ2972" s="37"/>
      <c r="BR2972" s="37"/>
      <c r="BS2972" s="37"/>
      <c r="BT2972" s="37"/>
      <c r="BU2972" s="37"/>
      <c r="BV2972" s="37"/>
      <c r="BW2972" s="37"/>
      <c r="BX2972" s="37"/>
      <c r="BY2972" s="37"/>
      <c r="BZ2972" s="37"/>
      <c r="CA2972" s="37"/>
      <c r="CB2972" s="37"/>
      <c r="CC2972" s="37"/>
      <c r="CD2972" s="37"/>
      <c r="CE2972" s="37"/>
      <c r="CF2972" s="37"/>
      <c r="CG2972" s="37"/>
      <c r="CH2972" s="37"/>
      <c r="CI2972" s="37"/>
      <c r="CJ2972" s="37"/>
      <c r="CK2972" s="37"/>
      <c r="CL2972" s="37"/>
      <c r="CM2972" s="37"/>
      <c r="CN2972" s="37"/>
      <c r="CO2972" s="37"/>
      <c r="CP2972" s="37"/>
      <c r="CQ2972" s="37"/>
      <c r="CR2972" s="37"/>
      <c r="CS2972" s="37"/>
      <c r="CT2972" s="37"/>
      <c r="CU2972" s="37"/>
      <c r="CV2972" s="37"/>
      <c r="CW2972" s="37"/>
      <c r="CX2972" s="37"/>
      <c r="CY2972" s="37"/>
      <c r="CZ2972" s="37"/>
      <c r="DA2972" s="37"/>
      <c r="DB2972" s="37"/>
      <c r="DC2972" s="37"/>
      <c r="DD2972" s="37"/>
      <c r="DE2972" s="37"/>
      <c r="DF2972" s="37"/>
      <c r="DG2972" s="37"/>
      <c r="DH2972" s="37"/>
      <c r="DI2972" s="37"/>
      <c r="DJ2972" s="37"/>
      <c r="DK2972" s="37"/>
      <c r="DL2972" s="37"/>
      <c r="DM2972" s="37"/>
      <c r="DN2972" s="37"/>
      <c r="DO2972" s="37"/>
      <c r="DP2972" s="37"/>
      <c r="DQ2972" s="37"/>
      <c r="DR2972" s="37"/>
      <c r="DS2972" s="37"/>
      <c r="DT2972" s="37"/>
      <c r="DU2972" s="37"/>
      <c r="DV2972" s="37"/>
      <c r="DW2972" s="37"/>
      <c r="DX2972" s="37"/>
      <c r="DY2972" s="37"/>
      <c r="DZ2972" s="37"/>
      <c r="EA2972" s="37"/>
      <c r="EB2972" s="37"/>
      <c r="EC2972" s="37"/>
      <c r="ED2972" s="37"/>
      <c r="EE2972" s="37"/>
      <c r="EF2972" s="37"/>
      <c r="EG2972" s="37"/>
      <c r="EH2972" s="37"/>
      <c r="EI2972" s="37"/>
      <c r="EJ2972" s="37"/>
      <c r="EK2972" s="37"/>
      <c r="EL2972" s="37"/>
      <c r="EM2972" s="37"/>
      <c r="EN2972" s="37"/>
      <c r="EO2972" s="37"/>
      <c r="EP2972" s="37"/>
      <c r="EQ2972" s="37"/>
      <c r="ER2972" s="37"/>
      <c r="ES2972" s="37"/>
      <c r="ET2972" s="37"/>
      <c r="EU2972" s="37"/>
      <c r="EV2972" s="37"/>
      <c r="EW2972" s="37"/>
      <c r="EX2972" s="37"/>
      <c r="EY2972" s="37"/>
      <c r="EZ2972" s="37"/>
      <c r="FA2972" s="37"/>
      <c r="FB2972" s="37"/>
      <c r="FC2972" s="37"/>
      <c r="FD2972" s="37"/>
      <c r="FE2972" s="37"/>
      <c r="FF2972" s="37"/>
      <c r="FG2972" s="37"/>
      <c r="FH2972" s="37"/>
      <c r="FI2972" s="37"/>
      <c r="FJ2972" s="37"/>
      <c r="FK2972" s="37"/>
      <c r="FL2972" s="37"/>
      <c r="FM2972" s="37"/>
      <c r="FN2972" s="37"/>
      <c r="FO2972" s="37"/>
      <c r="FP2972" s="37"/>
      <c r="FQ2972" s="37"/>
      <c r="FR2972" s="37"/>
      <c r="FS2972" s="37"/>
      <c r="FT2972" s="37"/>
      <c r="FU2972" s="37"/>
      <c r="FV2972" s="37"/>
      <c r="FW2972" s="37"/>
      <c r="FX2972" s="37"/>
      <c r="FY2972" s="37"/>
      <c r="FZ2972" s="37"/>
      <c r="GA2972" s="37"/>
      <c r="GB2972" s="37"/>
      <c r="GC2972" s="37"/>
      <c r="GD2972" s="37"/>
      <c r="GE2972" s="37"/>
      <c r="GF2972" s="37"/>
      <c r="GG2972" s="37"/>
      <c r="GH2972" s="37"/>
      <c r="GI2972" s="37"/>
      <c r="GJ2972" s="37"/>
      <c r="GK2972" s="37"/>
      <c r="GL2972" s="37"/>
      <c r="GM2972" s="37"/>
      <c r="GN2972" s="37"/>
      <c r="GO2972" s="37"/>
      <c r="GP2972" s="37"/>
      <c r="GQ2972" s="37"/>
      <c r="GR2972" s="37"/>
      <c r="GS2972" s="37"/>
      <c r="GT2972" s="37"/>
      <c r="GU2972" s="37"/>
      <c r="GV2972" s="37"/>
      <c r="GW2972" s="37"/>
      <c r="GX2972" s="37"/>
      <c r="GY2972" s="37"/>
      <c r="GZ2972" s="37"/>
      <c r="HA2972" s="37"/>
      <c r="HB2972" s="37"/>
      <c r="HC2972" s="37"/>
      <c r="HD2972" s="37"/>
      <c r="HE2972" s="37"/>
      <c r="HF2972" s="37"/>
      <c r="HG2972" s="37"/>
      <c r="HH2972" s="37"/>
      <c r="HI2972" s="37"/>
      <c r="HJ2972" s="37"/>
      <c r="HK2972" s="37"/>
      <c r="HL2972" s="37"/>
      <c r="HM2972" s="37"/>
      <c r="HN2972" s="37"/>
      <c r="HO2972" s="37"/>
      <c r="HP2972" s="37"/>
      <c r="HQ2972" s="37"/>
      <c r="HR2972" s="37"/>
      <c r="HS2972" s="37"/>
      <c r="HT2972" s="37"/>
      <c r="HU2972" s="37"/>
      <c r="HV2972" s="37"/>
      <c r="HW2972" s="37"/>
      <c r="HX2972" s="37"/>
      <c r="HY2972" s="37"/>
      <c r="HZ2972" s="37"/>
      <c r="IA2972" s="37"/>
      <c r="IB2972" s="37"/>
      <c r="IC2972" s="37"/>
      <c r="ID2972" s="37"/>
      <c r="IE2972" s="37"/>
      <c r="IF2972" s="37"/>
      <c r="IG2972" s="37"/>
      <c r="IH2972" s="37"/>
      <c r="II2972" s="37"/>
      <c r="IJ2972" s="37"/>
      <c r="IK2972" s="37"/>
      <c r="IL2972" s="37"/>
      <c r="IM2972" s="37"/>
      <c r="IN2972" s="37"/>
      <c r="IO2972" s="37"/>
      <c r="IP2972" s="37"/>
      <c r="IQ2972" s="37"/>
      <c r="IR2972" s="37"/>
      <c r="IS2972" s="37"/>
      <c r="IT2972" s="37"/>
      <c r="IU2972" s="37"/>
      <c r="IV2972" s="37"/>
      <c r="IW2972" s="37"/>
      <c r="IX2972" s="37"/>
      <c r="IY2972" s="37"/>
      <c r="IZ2972" s="37"/>
      <c r="JA2972" s="37"/>
      <c r="JB2972" s="37"/>
      <c r="JC2972" s="37"/>
      <c r="JD2972" s="37"/>
      <c r="JE2972" s="37"/>
      <c r="JF2972" s="37"/>
      <c r="JG2972" s="37"/>
      <c r="JH2972" s="37"/>
      <c r="JI2972" s="37"/>
      <c r="JJ2972" s="37"/>
      <c r="JK2972" s="37"/>
      <c r="JL2972" s="37"/>
      <c r="JM2972" s="37"/>
      <c r="JN2972" s="37"/>
      <c r="JO2972" s="37"/>
      <c r="JP2972" s="37"/>
      <c r="JQ2972" s="37"/>
      <c r="JR2972" s="37"/>
      <c r="JS2972" s="37"/>
      <c r="JT2972" s="37"/>
      <c r="JU2972" s="37"/>
      <c r="JV2972" s="37"/>
      <c r="JW2972" s="37"/>
      <c r="JX2972" s="37"/>
      <c r="JY2972" s="37"/>
      <c r="JZ2972" s="37"/>
      <c r="KA2972" s="37"/>
      <c r="KB2972" s="37"/>
      <c r="KC2972" s="37"/>
      <c r="KD2972" s="37"/>
      <c r="KE2972" s="37"/>
      <c r="KF2972" s="37"/>
      <c r="KG2972" s="37"/>
      <c r="KH2972" s="37"/>
      <c r="KI2972" s="37"/>
      <c r="KJ2972" s="37"/>
      <c r="KK2972" s="37"/>
      <c r="KL2972" s="37"/>
      <c r="KM2972" s="37"/>
      <c r="KN2972" s="37"/>
      <c r="KO2972" s="37"/>
      <c r="KP2972" s="37"/>
      <c r="KQ2972" s="37"/>
      <c r="KR2972" s="37"/>
      <c r="KS2972" s="37"/>
      <c r="KT2972" s="37"/>
      <c r="KU2972" s="37"/>
      <c r="KV2972" s="37"/>
      <c r="KW2972" s="37"/>
      <c r="KX2972" s="37"/>
      <c r="KY2972" s="37"/>
      <c r="KZ2972" s="37"/>
      <c r="LA2972" s="37"/>
      <c r="LB2972" s="37"/>
      <c r="LC2972" s="37"/>
      <c r="LD2972" s="37"/>
      <c r="LE2972" s="37"/>
      <c r="LF2972" s="37"/>
      <c r="LG2972" s="37"/>
      <c r="LH2972" s="37"/>
      <c r="LI2972" s="37"/>
      <c r="LJ2972" s="37"/>
      <c r="LK2972" s="37"/>
      <c r="LL2972" s="37"/>
      <c r="LM2972" s="37"/>
      <c r="LN2972" s="37"/>
      <c r="LO2972" s="37"/>
      <c r="LP2972" s="37"/>
      <c r="LQ2972" s="37"/>
      <c r="LR2972" s="37"/>
      <c r="LS2972" s="37"/>
      <c r="LT2972" s="37"/>
      <c r="LU2972" s="37"/>
      <c r="LV2972" s="37"/>
      <c r="LW2972" s="37"/>
      <c r="LX2972" s="37"/>
      <c r="LY2972" s="37"/>
      <c r="LZ2972" s="37"/>
      <c r="MA2972" s="37"/>
      <c r="MB2972" s="37"/>
      <c r="MC2972" s="37"/>
      <c r="MD2972" s="37"/>
      <c r="ME2972" s="37"/>
      <c r="MF2972" s="37"/>
      <c r="MG2972" s="37"/>
      <c r="MH2972" s="37"/>
      <c r="MI2972" s="37"/>
      <c r="MJ2972" s="37"/>
      <c r="MK2972" s="37"/>
      <c r="ML2972" s="37"/>
      <c r="MM2972" s="37"/>
      <c r="MN2972" s="37"/>
      <c r="MO2972" s="37"/>
      <c r="MP2972" s="37"/>
      <c r="MQ2972" s="37"/>
      <c r="MR2972" s="37"/>
      <c r="MS2972" s="37"/>
      <c r="MT2972" s="37"/>
      <c r="MU2972" s="37"/>
      <c r="MV2972" s="37"/>
      <c r="MW2972" s="37"/>
      <c r="MX2972" s="37"/>
      <c r="MY2972" s="37"/>
      <c r="MZ2972" s="37"/>
      <c r="NA2972" s="37"/>
      <c r="NB2972" s="37"/>
      <c r="NC2972" s="37"/>
      <c r="ND2972" s="37"/>
      <c r="NE2972" s="37"/>
      <c r="NF2972" s="37"/>
      <c r="NG2972" s="37"/>
      <c r="NH2972" s="37"/>
      <c r="NI2972" s="37"/>
      <c r="NJ2972" s="37"/>
      <c r="NK2972" s="37"/>
      <c r="NL2972" s="37"/>
      <c r="NM2972" s="37"/>
      <c r="NN2972" s="37"/>
      <c r="NO2972" s="37"/>
      <c r="NP2972" s="37"/>
      <c r="NQ2972" s="37"/>
      <c r="NR2972" s="37"/>
      <c r="NS2972" s="37"/>
      <c r="NT2972" s="37"/>
      <c r="NU2972" s="37"/>
      <c r="NV2972" s="37"/>
      <c r="NW2972" s="37"/>
      <c r="NX2972" s="37"/>
      <c r="NY2972" s="37"/>
      <c r="NZ2972" s="37"/>
      <c r="OA2972" s="37"/>
      <c r="OB2972" s="37"/>
      <c r="OC2972" s="37"/>
      <c r="OD2972" s="37"/>
      <c r="OE2972" s="37"/>
      <c r="OF2972" s="37"/>
      <c r="OG2972" s="37"/>
      <c r="OH2972" s="37"/>
      <c r="OI2972" s="37"/>
      <c r="OJ2972" s="37"/>
      <c r="OK2972" s="37"/>
      <c r="OL2972" s="37"/>
      <c r="OM2972" s="37"/>
      <c r="ON2972" s="37"/>
      <c r="OO2972" s="37"/>
      <c r="OP2972" s="37"/>
      <c r="OQ2972" s="37"/>
      <c r="OR2972" s="37"/>
      <c r="OS2972" s="37"/>
      <c r="OT2972" s="37"/>
      <c r="OU2972" s="37"/>
      <c r="OV2972" s="37"/>
      <c r="OW2972" s="37"/>
      <c r="OX2972" s="37"/>
      <c r="OY2972" s="37"/>
      <c r="OZ2972" s="37"/>
      <c r="PA2972" s="37"/>
      <c r="PB2972" s="37"/>
      <c r="PC2972" s="37"/>
      <c r="PD2972" s="37"/>
      <c r="PE2972" s="37"/>
      <c r="PF2972" s="37"/>
      <c r="PG2972" s="37"/>
      <c r="PH2972" s="37"/>
      <c r="PI2972" s="37"/>
      <c r="PJ2972" s="37"/>
      <c r="PK2972" s="37"/>
      <c r="PL2972" s="37"/>
      <c r="PM2972" s="37"/>
      <c r="PN2972" s="37"/>
      <c r="PO2972" s="37"/>
      <c r="PP2972" s="37"/>
      <c r="PQ2972" s="37"/>
      <c r="PR2972" s="37"/>
      <c r="PS2972" s="37"/>
      <c r="PT2972" s="37"/>
      <c r="PU2972" s="37"/>
      <c r="PV2972" s="37"/>
      <c r="PW2972" s="37"/>
      <c r="PX2972" s="37"/>
      <c r="PY2972" s="37"/>
      <c r="PZ2972" s="37"/>
      <c r="QA2972" s="37"/>
      <c r="QB2972" s="37"/>
      <c r="QC2972" s="37"/>
      <c r="QD2972" s="37"/>
      <c r="QE2972" s="37"/>
      <c r="QF2972" s="37"/>
      <c r="QG2972" s="37"/>
      <c r="QH2972" s="37"/>
      <c r="QI2972" s="37"/>
      <c r="QJ2972" s="37"/>
      <c r="QK2972" s="37"/>
      <c r="QL2972" s="37"/>
      <c r="QM2972" s="37"/>
      <c r="QN2972" s="37"/>
      <c r="QO2972" s="37"/>
      <c r="QP2972" s="37"/>
      <c r="QQ2972" s="37"/>
      <c r="QR2972" s="37"/>
      <c r="QS2972" s="37"/>
      <c r="QT2972" s="37"/>
      <c r="QU2972" s="37"/>
      <c r="QV2972" s="37"/>
      <c r="QW2972" s="37"/>
      <c r="QX2972" s="37"/>
      <c r="QY2972" s="37"/>
      <c r="QZ2972" s="37"/>
      <c r="RA2972" s="37"/>
      <c r="RB2972" s="37"/>
      <c r="RC2972" s="37"/>
      <c r="RD2972" s="37"/>
      <c r="RE2972" s="37"/>
      <c r="RF2972" s="37"/>
      <c r="RG2972" s="37"/>
      <c r="RH2972" s="37"/>
      <c r="RI2972" s="37"/>
      <c r="RJ2972" s="37"/>
      <c r="RK2972" s="37"/>
      <c r="RL2972" s="37"/>
      <c r="RM2972" s="37"/>
      <c r="RN2972" s="37"/>
      <c r="RO2972" s="37"/>
      <c r="RP2972" s="37"/>
      <c r="RQ2972" s="37"/>
      <c r="RR2972" s="37"/>
      <c r="RS2972" s="37"/>
      <c r="RT2972" s="37"/>
      <c r="RU2972" s="37"/>
      <c r="RV2972" s="37"/>
      <c r="RW2972" s="37"/>
      <c r="RX2972" s="37"/>
      <c r="RY2972" s="37"/>
      <c r="RZ2972" s="37"/>
      <c r="SA2972" s="37"/>
      <c r="SB2972" s="37"/>
      <c r="SC2972" s="37"/>
      <c r="SD2972" s="37"/>
      <c r="SE2972" s="37"/>
      <c r="SF2972" s="37"/>
    </row>
    <row r="2973" spans="1:500">
      <c r="A2973" s="37"/>
      <c r="B2973" s="37"/>
      <c r="C2973" s="37"/>
      <c r="D2973" s="37"/>
      <c r="E2973" s="37"/>
      <c r="F2973" s="37"/>
      <c r="G2973" s="37"/>
      <c r="H2973" s="37"/>
      <c r="I2973" s="37"/>
      <c r="J2973" s="37"/>
      <c r="K2973" s="37"/>
      <c r="L2973" s="37"/>
      <c r="M2973" s="37"/>
      <c r="N2973" s="37"/>
      <c r="O2973" s="37"/>
      <c r="P2973" s="37"/>
      <c r="Q2973" s="37"/>
      <c r="R2973" s="37"/>
      <c r="S2973" s="37"/>
      <c r="T2973" s="37"/>
      <c r="U2973" s="37"/>
      <c r="V2973" s="37"/>
      <c r="W2973" s="37"/>
      <c r="X2973" s="37"/>
      <c r="Y2973" s="37"/>
      <c r="Z2973" s="37"/>
      <c r="AA2973" s="37"/>
      <c r="AB2973" s="37"/>
      <c r="AC2973" s="37"/>
      <c r="AD2973" s="37"/>
      <c r="AE2973" s="37"/>
      <c r="AF2973" s="37"/>
      <c r="AG2973" s="37"/>
      <c r="AH2973" s="37"/>
      <c r="AI2973" s="37"/>
      <c r="AJ2973" s="37"/>
      <c r="AK2973" s="37"/>
      <c r="AL2973" s="37"/>
      <c r="AM2973" s="37"/>
      <c r="AN2973" s="37"/>
      <c r="AO2973" s="37"/>
      <c r="AP2973" s="37"/>
      <c r="AQ2973" s="37"/>
      <c r="AR2973" s="37"/>
      <c r="AS2973" s="37"/>
      <c r="AT2973" s="37"/>
      <c r="AU2973" s="37"/>
      <c r="AV2973" s="37"/>
      <c r="AW2973" s="37"/>
      <c r="AX2973" s="37"/>
      <c r="AY2973" s="37"/>
      <c r="AZ2973" s="37"/>
      <c r="BA2973" s="37"/>
      <c r="BB2973" s="37"/>
      <c r="BC2973" s="37"/>
      <c r="BD2973" s="37"/>
      <c r="BE2973" s="37"/>
      <c r="BF2973" s="37"/>
      <c r="BG2973" s="37"/>
      <c r="BH2973" s="37"/>
      <c r="BI2973" s="37"/>
      <c r="BJ2973" s="37"/>
      <c r="BK2973" s="37"/>
      <c r="BL2973" s="37"/>
      <c r="BM2973" s="37"/>
      <c r="BN2973" s="37"/>
      <c r="BO2973" s="37"/>
      <c r="BP2973" s="37"/>
      <c r="BQ2973" s="37"/>
      <c r="BR2973" s="37"/>
      <c r="BS2973" s="37"/>
      <c r="BT2973" s="37"/>
      <c r="BU2973" s="37"/>
      <c r="BV2973" s="37"/>
      <c r="BW2973" s="37"/>
      <c r="BX2973" s="37"/>
      <c r="BY2973" s="37"/>
      <c r="BZ2973" s="37"/>
      <c r="CA2973" s="37"/>
      <c r="CB2973" s="37"/>
      <c r="CC2973" s="37"/>
      <c r="CD2973" s="37"/>
      <c r="CE2973" s="37"/>
      <c r="CF2973" s="37"/>
      <c r="CG2973" s="37"/>
      <c r="CH2973" s="37"/>
      <c r="CI2973" s="37"/>
      <c r="CJ2973" s="37"/>
      <c r="CK2973" s="37"/>
      <c r="CL2973" s="37"/>
      <c r="CM2973" s="37"/>
      <c r="CN2973" s="37"/>
      <c r="CO2973" s="37"/>
      <c r="CP2973" s="37"/>
      <c r="CQ2973" s="37"/>
      <c r="CR2973" s="37"/>
      <c r="CS2973" s="37"/>
      <c r="CT2973" s="37"/>
      <c r="CU2973" s="37"/>
      <c r="CV2973" s="37"/>
      <c r="CW2973" s="37"/>
      <c r="CX2973" s="37"/>
      <c r="CY2973" s="37"/>
      <c r="CZ2973" s="37"/>
      <c r="DA2973" s="37"/>
      <c r="DB2973" s="37"/>
      <c r="DC2973" s="37"/>
      <c r="DD2973" s="37"/>
      <c r="DE2973" s="37"/>
      <c r="DF2973" s="37"/>
      <c r="DG2973" s="37"/>
      <c r="DH2973" s="37"/>
      <c r="DI2973" s="37"/>
      <c r="DJ2973" s="37"/>
      <c r="DK2973" s="37"/>
      <c r="DL2973" s="37"/>
      <c r="DM2973" s="37"/>
      <c r="DN2973" s="37"/>
      <c r="DO2973" s="37"/>
      <c r="DP2973" s="37"/>
      <c r="DQ2973" s="37"/>
      <c r="DR2973" s="37"/>
      <c r="DS2973" s="37"/>
      <c r="DT2973" s="37"/>
      <c r="DU2973" s="37"/>
      <c r="DV2973" s="37"/>
      <c r="DW2973" s="37"/>
      <c r="DX2973" s="37"/>
      <c r="DY2973" s="37"/>
      <c r="DZ2973" s="37"/>
      <c r="EA2973" s="37"/>
      <c r="EB2973" s="37"/>
      <c r="EC2973" s="37"/>
      <c r="ED2973" s="37"/>
      <c r="EE2973" s="37"/>
      <c r="EF2973" s="37"/>
      <c r="EG2973" s="37"/>
      <c r="EH2973" s="37"/>
      <c r="EI2973" s="37"/>
      <c r="EJ2973" s="37"/>
      <c r="EK2973" s="37"/>
      <c r="EL2973" s="37"/>
      <c r="EM2973" s="37"/>
      <c r="EN2973" s="37"/>
      <c r="EO2973" s="37"/>
      <c r="EP2973" s="37"/>
      <c r="EQ2973" s="37"/>
      <c r="ER2973" s="37"/>
      <c r="ES2973" s="37"/>
      <c r="ET2973" s="37"/>
      <c r="EU2973" s="37"/>
      <c r="EV2973" s="37"/>
      <c r="EW2973" s="37"/>
      <c r="EX2973" s="37"/>
      <c r="EY2973" s="37"/>
      <c r="EZ2973" s="37"/>
      <c r="FA2973" s="37"/>
      <c r="FB2973" s="37"/>
      <c r="FC2973" s="37"/>
      <c r="FD2973" s="37"/>
      <c r="FE2973" s="37"/>
      <c r="FF2973" s="37"/>
      <c r="FG2973" s="37"/>
      <c r="FH2973" s="37"/>
      <c r="FI2973" s="37"/>
      <c r="FJ2973" s="37"/>
      <c r="FK2973" s="37"/>
      <c r="FL2973" s="37"/>
      <c r="FM2973" s="37"/>
      <c r="FN2973" s="37"/>
      <c r="FO2973" s="37"/>
      <c r="FP2973" s="37"/>
      <c r="FQ2973" s="37"/>
      <c r="FR2973" s="37"/>
      <c r="FS2973" s="37"/>
      <c r="FT2973" s="37"/>
      <c r="FU2973" s="37"/>
      <c r="FV2973" s="37"/>
      <c r="FW2973" s="37"/>
      <c r="FX2973" s="37"/>
      <c r="FY2973" s="37"/>
      <c r="FZ2973" s="37"/>
      <c r="GA2973" s="37"/>
      <c r="GB2973" s="37"/>
      <c r="GC2973" s="37"/>
      <c r="GD2973" s="37"/>
      <c r="GE2973" s="37"/>
      <c r="GF2973" s="37"/>
      <c r="GG2973" s="37"/>
      <c r="GH2973" s="37"/>
      <c r="GI2973" s="37"/>
      <c r="GJ2973" s="37"/>
      <c r="GK2973" s="37"/>
      <c r="GL2973" s="37"/>
      <c r="GM2973" s="37"/>
      <c r="GN2973" s="37"/>
      <c r="GO2973" s="37"/>
      <c r="GP2973" s="37"/>
      <c r="GQ2973" s="37"/>
      <c r="GR2973" s="37"/>
      <c r="GS2973" s="37"/>
      <c r="GT2973" s="37"/>
      <c r="GU2973" s="37"/>
      <c r="GV2973" s="37"/>
      <c r="GW2973" s="37"/>
      <c r="GX2973" s="37"/>
      <c r="GY2973" s="37"/>
      <c r="GZ2973" s="37"/>
      <c r="HA2973" s="37"/>
      <c r="HB2973" s="37"/>
      <c r="HC2973" s="37"/>
      <c r="HD2973" s="37"/>
      <c r="HE2973" s="37"/>
      <c r="HF2973" s="37"/>
      <c r="HG2973" s="37"/>
      <c r="HH2973" s="37"/>
      <c r="HI2973" s="37"/>
      <c r="HJ2973" s="37"/>
      <c r="HK2973" s="37"/>
      <c r="HL2973" s="37"/>
      <c r="HM2973" s="37"/>
      <c r="HN2973" s="37"/>
      <c r="HO2973" s="37"/>
      <c r="HP2973" s="37"/>
      <c r="HQ2973" s="37"/>
      <c r="HR2973" s="37"/>
      <c r="HS2973" s="37"/>
      <c r="HT2973" s="37"/>
      <c r="HU2973" s="37"/>
      <c r="HV2973" s="37"/>
      <c r="HW2973" s="37"/>
      <c r="HX2973" s="37"/>
      <c r="HY2973" s="37"/>
      <c r="HZ2973" s="37"/>
      <c r="IA2973" s="37"/>
      <c r="IB2973" s="37"/>
      <c r="IC2973" s="37"/>
      <c r="ID2973" s="37"/>
      <c r="IE2973" s="37"/>
      <c r="IF2973" s="37"/>
      <c r="IG2973" s="37"/>
      <c r="IH2973" s="37"/>
      <c r="II2973" s="37"/>
      <c r="IJ2973" s="37"/>
      <c r="IK2973" s="37"/>
      <c r="IL2973" s="37"/>
      <c r="IM2973" s="37"/>
      <c r="IN2973" s="37"/>
      <c r="IO2973" s="37"/>
      <c r="IP2973" s="37"/>
      <c r="IQ2973" s="37"/>
      <c r="IR2973" s="37"/>
      <c r="IS2973" s="37"/>
      <c r="IT2973" s="37"/>
      <c r="IU2973" s="37"/>
      <c r="IV2973" s="37"/>
      <c r="IW2973" s="37"/>
      <c r="IX2973" s="37"/>
      <c r="IY2973" s="37"/>
      <c r="IZ2973" s="37"/>
      <c r="JA2973" s="37"/>
      <c r="JB2973" s="37"/>
      <c r="JC2973" s="37"/>
      <c r="JD2973" s="37"/>
      <c r="JE2973" s="37"/>
      <c r="JF2973" s="37"/>
      <c r="JG2973" s="37"/>
      <c r="JH2973" s="37"/>
      <c r="JI2973" s="37"/>
      <c r="JJ2973" s="37"/>
      <c r="JK2973" s="37"/>
      <c r="JL2973" s="37"/>
      <c r="JM2973" s="37"/>
      <c r="JN2973" s="37"/>
      <c r="JO2973" s="37"/>
      <c r="JP2973" s="37"/>
      <c r="JQ2973" s="37"/>
      <c r="JR2973" s="37"/>
      <c r="JS2973" s="37"/>
      <c r="JT2973" s="37"/>
      <c r="JU2973" s="37"/>
      <c r="JV2973" s="37"/>
      <c r="JW2973" s="37"/>
      <c r="JX2973" s="37"/>
      <c r="JY2973" s="37"/>
      <c r="JZ2973" s="37"/>
      <c r="KA2973" s="37"/>
      <c r="KB2973" s="37"/>
      <c r="KC2973" s="37"/>
      <c r="KD2973" s="37"/>
      <c r="KE2973" s="37"/>
      <c r="KF2973" s="37"/>
      <c r="KG2973" s="37"/>
      <c r="KH2973" s="37"/>
      <c r="KI2973" s="37"/>
      <c r="KJ2973" s="37"/>
      <c r="KK2973" s="37"/>
      <c r="KL2973" s="37"/>
      <c r="KM2973" s="37"/>
      <c r="KN2973" s="37"/>
      <c r="KO2973" s="37"/>
      <c r="KP2973" s="37"/>
      <c r="KQ2973" s="37"/>
      <c r="KR2973" s="37"/>
      <c r="KS2973" s="37"/>
      <c r="KT2973" s="37"/>
      <c r="KU2973" s="37"/>
      <c r="KV2973" s="37"/>
      <c r="KW2973" s="37"/>
      <c r="KX2973" s="37"/>
      <c r="KY2973" s="37"/>
      <c r="KZ2973" s="37"/>
      <c r="LA2973" s="37"/>
      <c r="LB2973" s="37"/>
      <c r="LC2973" s="37"/>
      <c r="LD2973" s="37"/>
      <c r="LE2973" s="37"/>
      <c r="LF2973" s="37"/>
      <c r="LG2973" s="37"/>
      <c r="LH2973" s="37"/>
      <c r="LI2973" s="37"/>
      <c r="LJ2973" s="37"/>
      <c r="LK2973" s="37"/>
      <c r="LL2973" s="37"/>
      <c r="LM2973" s="37"/>
      <c r="LN2973" s="37"/>
      <c r="LO2973" s="37"/>
      <c r="LP2973" s="37"/>
      <c r="LQ2973" s="37"/>
      <c r="LR2973" s="37"/>
      <c r="LS2973" s="37"/>
      <c r="LT2973" s="37"/>
      <c r="LU2973" s="37"/>
      <c r="LV2973" s="37"/>
      <c r="LW2973" s="37"/>
      <c r="LX2973" s="37"/>
      <c r="LY2973" s="37"/>
      <c r="LZ2973" s="37"/>
      <c r="MA2973" s="37"/>
      <c r="MB2973" s="37"/>
      <c r="MC2973" s="37"/>
      <c r="MD2973" s="37"/>
      <c r="ME2973" s="37"/>
      <c r="MF2973" s="37"/>
      <c r="MG2973" s="37"/>
      <c r="MH2973" s="37"/>
      <c r="MI2973" s="37"/>
      <c r="MJ2973" s="37"/>
      <c r="MK2973" s="37"/>
      <c r="ML2973" s="37"/>
      <c r="MM2973" s="37"/>
      <c r="MN2973" s="37"/>
      <c r="MO2973" s="37"/>
      <c r="MP2973" s="37"/>
      <c r="MQ2973" s="37"/>
      <c r="MR2973" s="37"/>
      <c r="MS2973" s="37"/>
      <c r="MT2973" s="37"/>
      <c r="MU2973" s="37"/>
      <c r="MV2973" s="37"/>
      <c r="MW2973" s="37"/>
      <c r="MX2973" s="37"/>
      <c r="MY2973" s="37"/>
      <c r="MZ2973" s="37"/>
      <c r="NA2973" s="37"/>
      <c r="NB2973" s="37"/>
      <c r="NC2973" s="37"/>
      <c r="ND2973" s="37"/>
      <c r="NE2973" s="37"/>
      <c r="NF2973" s="37"/>
      <c r="NG2973" s="37"/>
      <c r="NH2973" s="37"/>
      <c r="NI2973" s="37"/>
      <c r="NJ2973" s="37"/>
      <c r="NK2973" s="37"/>
      <c r="NL2973" s="37"/>
      <c r="NM2973" s="37"/>
      <c r="NN2973" s="37"/>
      <c r="NO2973" s="37"/>
      <c r="NP2973" s="37"/>
      <c r="NQ2973" s="37"/>
      <c r="NR2973" s="37"/>
      <c r="NS2973" s="37"/>
      <c r="NT2973" s="37"/>
      <c r="NU2973" s="37"/>
      <c r="NV2973" s="37"/>
      <c r="NW2973" s="37"/>
      <c r="NX2973" s="37"/>
      <c r="NY2973" s="37"/>
      <c r="NZ2973" s="37"/>
      <c r="OA2973" s="37"/>
      <c r="OB2973" s="37"/>
      <c r="OC2973" s="37"/>
      <c r="OD2973" s="37"/>
      <c r="OE2973" s="37"/>
      <c r="OF2973" s="37"/>
      <c r="OG2973" s="37"/>
      <c r="OH2973" s="37"/>
      <c r="OI2973" s="37"/>
      <c r="OJ2973" s="37"/>
      <c r="OK2973" s="37"/>
      <c r="OL2973" s="37"/>
      <c r="OM2973" s="37"/>
      <c r="ON2973" s="37"/>
      <c r="OO2973" s="37"/>
      <c r="OP2973" s="37"/>
      <c r="OQ2973" s="37"/>
      <c r="OR2973" s="37"/>
      <c r="OS2973" s="37"/>
      <c r="OT2973" s="37"/>
      <c r="OU2973" s="37"/>
      <c r="OV2973" s="37"/>
      <c r="OW2973" s="37"/>
      <c r="OX2973" s="37"/>
      <c r="OY2973" s="37"/>
      <c r="OZ2973" s="37"/>
      <c r="PA2973" s="37"/>
      <c r="PB2973" s="37"/>
      <c r="PC2973" s="37"/>
      <c r="PD2973" s="37"/>
      <c r="PE2973" s="37"/>
      <c r="PF2973" s="37"/>
      <c r="PG2973" s="37"/>
      <c r="PH2973" s="37"/>
      <c r="PI2973" s="37"/>
      <c r="PJ2973" s="37"/>
      <c r="PK2973" s="37"/>
      <c r="PL2973" s="37"/>
      <c r="PM2973" s="37"/>
      <c r="PN2973" s="37"/>
      <c r="PO2973" s="37"/>
      <c r="PP2973" s="37"/>
      <c r="PQ2973" s="37"/>
      <c r="PR2973" s="37"/>
      <c r="PS2973" s="37"/>
      <c r="PT2973" s="37"/>
      <c r="PU2973" s="37"/>
      <c r="PV2973" s="37"/>
      <c r="PW2973" s="37"/>
      <c r="PX2973" s="37"/>
      <c r="PY2973" s="37"/>
      <c r="PZ2973" s="37"/>
      <c r="QA2973" s="37"/>
      <c r="QB2973" s="37"/>
      <c r="QC2973" s="37"/>
      <c r="QD2973" s="37"/>
      <c r="QE2973" s="37"/>
      <c r="QF2973" s="37"/>
      <c r="QG2973" s="37"/>
      <c r="QH2973" s="37"/>
      <c r="QI2973" s="37"/>
      <c r="QJ2973" s="37"/>
      <c r="QK2973" s="37"/>
      <c r="QL2973" s="37"/>
      <c r="QM2973" s="37"/>
      <c r="QN2973" s="37"/>
      <c r="QO2973" s="37"/>
      <c r="QP2973" s="37"/>
      <c r="QQ2973" s="37"/>
      <c r="QR2973" s="37"/>
      <c r="QS2973" s="37"/>
      <c r="QT2973" s="37"/>
      <c r="QU2973" s="37"/>
      <c r="QV2973" s="37"/>
      <c r="QW2973" s="37"/>
      <c r="QX2973" s="37"/>
      <c r="QY2973" s="37"/>
      <c r="QZ2973" s="37"/>
      <c r="RA2973" s="37"/>
      <c r="RB2973" s="37"/>
      <c r="RC2973" s="37"/>
      <c r="RD2973" s="37"/>
      <c r="RE2973" s="37"/>
      <c r="RF2973" s="37"/>
      <c r="RG2973" s="37"/>
      <c r="RH2973" s="37"/>
      <c r="RI2973" s="37"/>
      <c r="RJ2973" s="37"/>
      <c r="RK2973" s="37"/>
      <c r="RL2973" s="37"/>
      <c r="RM2973" s="37"/>
      <c r="RN2973" s="37"/>
      <c r="RO2973" s="37"/>
      <c r="RP2973" s="37"/>
      <c r="RQ2973" s="37"/>
      <c r="RR2973" s="37"/>
      <c r="RS2973" s="37"/>
      <c r="RT2973" s="37"/>
      <c r="RU2973" s="37"/>
      <c r="RV2973" s="37"/>
      <c r="RW2973" s="37"/>
      <c r="RX2973" s="37"/>
      <c r="RY2973" s="37"/>
      <c r="RZ2973" s="37"/>
      <c r="SA2973" s="37"/>
      <c r="SB2973" s="37"/>
      <c r="SC2973" s="37"/>
      <c r="SD2973" s="37"/>
      <c r="SE2973" s="37"/>
      <c r="SF2973" s="37"/>
    </row>
    <row r="2974" spans="1:500">
      <c r="A2974" s="37"/>
      <c r="B2974" s="37"/>
      <c r="C2974" s="37"/>
      <c r="D2974" s="37"/>
      <c r="E2974" s="37"/>
      <c r="F2974" s="37"/>
      <c r="G2974" s="37"/>
      <c r="H2974" s="37"/>
      <c r="I2974" s="37"/>
      <c r="J2974" s="37"/>
      <c r="K2974" s="37"/>
      <c r="L2974" s="37"/>
      <c r="M2974" s="37"/>
      <c r="N2974" s="37"/>
      <c r="O2974" s="37"/>
      <c r="P2974" s="37"/>
      <c r="Q2974" s="37"/>
      <c r="R2974" s="37"/>
      <c r="S2974" s="37"/>
      <c r="T2974" s="37"/>
      <c r="U2974" s="37"/>
      <c r="V2974" s="37"/>
      <c r="W2974" s="37"/>
      <c r="X2974" s="37"/>
      <c r="Y2974" s="37"/>
      <c r="Z2974" s="37"/>
      <c r="AA2974" s="37"/>
      <c r="AB2974" s="37"/>
      <c r="AC2974" s="37"/>
      <c r="AD2974" s="37"/>
      <c r="AE2974" s="37"/>
      <c r="AF2974" s="37"/>
      <c r="AG2974" s="37"/>
      <c r="AH2974" s="37"/>
      <c r="AI2974" s="37"/>
      <c r="AJ2974" s="37"/>
      <c r="AK2974" s="37"/>
      <c r="AL2974" s="37"/>
      <c r="AM2974" s="37"/>
      <c r="AN2974" s="37"/>
      <c r="AO2974" s="37"/>
      <c r="AP2974" s="37"/>
      <c r="AQ2974" s="37"/>
      <c r="AR2974" s="37"/>
      <c r="AS2974" s="37"/>
      <c r="AT2974" s="37"/>
      <c r="AU2974" s="37"/>
      <c r="AV2974" s="37"/>
      <c r="AW2974" s="37"/>
      <c r="AX2974" s="37"/>
      <c r="AY2974" s="37"/>
      <c r="AZ2974" s="37"/>
      <c r="BA2974" s="37"/>
      <c r="BB2974" s="37"/>
      <c r="BC2974" s="37"/>
      <c r="BD2974" s="37"/>
      <c r="BE2974" s="37"/>
      <c r="BF2974" s="37"/>
      <c r="BG2974" s="37"/>
      <c r="BH2974" s="37"/>
      <c r="BI2974" s="37"/>
      <c r="BJ2974" s="37"/>
      <c r="BK2974" s="37"/>
      <c r="BL2974" s="37"/>
      <c r="BM2974" s="37"/>
      <c r="BN2974" s="37"/>
      <c r="BO2974" s="37"/>
      <c r="BP2974" s="37"/>
      <c r="BQ2974" s="37"/>
      <c r="BR2974" s="37"/>
      <c r="BS2974" s="37"/>
      <c r="BT2974" s="37"/>
      <c r="BU2974" s="37"/>
      <c r="BV2974" s="37"/>
      <c r="BW2974" s="37"/>
      <c r="BX2974" s="37"/>
      <c r="BY2974" s="37"/>
      <c r="BZ2974" s="37"/>
      <c r="CA2974" s="37"/>
      <c r="CB2974" s="37"/>
      <c r="CC2974" s="37"/>
      <c r="CD2974" s="37"/>
      <c r="CE2974" s="37"/>
      <c r="CF2974" s="37"/>
      <c r="CG2974" s="37"/>
      <c r="CH2974" s="37"/>
      <c r="CI2974" s="37"/>
      <c r="CJ2974" s="37"/>
      <c r="CK2974" s="37"/>
      <c r="CL2974" s="37"/>
      <c r="CM2974" s="37"/>
      <c r="CN2974" s="37"/>
      <c r="CO2974" s="37"/>
      <c r="CP2974" s="37"/>
      <c r="CQ2974" s="37"/>
      <c r="CR2974" s="37"/>
      <c r="CS2974" s="37"/>
      <c r="CT2974" s="37"/>
      <c r="CU2974" s="37"/>
      <c r="CV2974" s="37"/>
      <c r="CW2974" s="37"/>
      <c r="CX2974" s="37"/>
      <c r="CY2974" s="37"/>
      <c r="CZ2974" s="37"/>
      <c r="DA2974" s="37"/>
      <c r="DB2974" s="37"/>
      <c r="DC2974" s="37"/>
      <c r="DD2974" s="37"/>
      <c r="DE2974" s="37"/>
      <c r="DF2974" s="37"/>
      <c r="DG2974" s="37"/>
      <c r="DH2974" s="37"/>
      <c r="DI2974" s="37"/>
      <c r="DJ2974" s="37"/>
      <c r="DK2974" s="37"/>
      <c r="DL2974" s="37"/>
      <c r="DM2974" s="37"/>
      <c r="DN2974" s="37"/>
      <c r="DO2974" s="37"/>
      <c r="DP2974" s="37"/>
      <c r="DQ2974" s="37"/>
      <c r="DR2974" s="37"/>
      <c r="DS2974" s="37"/>
      <c r="DT2974" s="37"/>
      <c r="DU2974" s="37"/>
      <c r="DV2974" s="37"/>
      <c r="DW2974" s="37"/>
      <c r="DX2974" s="37"/>
      <c r="DY2974" s="37"/>
      <c r="DZ2974" s="37"/>
      <c r="EA2974" s="37"/>
      <c r="EB2974" s="37"/>
      <c r="EC2974" s="37"/>
      <c r="ED2974" s="37"/>
      <c r="EE2974" s="37"/>
      <c r="EF2974" s="37"/>
      <c r="EG2974" s="37"/>
      <c r="EH2974" s="37"/>
      <c r="EI2974" s="37"/>
      <c r="EJ2974" s="37"/>
      <c r="EK2974" s="37"/>
      <c r="EL2974" s="37"/>
      <c r="EM2974" s="37"/>
      <c r="EN2974" s="37"/>
      <c r="EO2974" s="37"/>
      <c r="EP2974" s="37"/>
      <c r="EQ2974" s="37"/>
      <c r="ER2974" s="37"/>
      <c r="ES2974" s="37"/>
      <c r="ET2974" s="37"/>
      <c r="EU2974" s="37"/>
      <c r="EV2974" s="37"/>
      <c r="EW2974" s="37"/>
      <c r="EX2974" s="37"/>
      <c r="EY2974" s="37"/>
      <c r="EZ2974" s="37"/>
      <c r="FA2974" s="37"/>
      <c r="FB2974" s="37"/>
      <c r="FC2974" s="37"/>
      <c r="FD2974" s="37"/>
      <c r="FE2974" s="37"/>
      <c r="FF2974" s="37"/>
      <c r="FG2974" s="37"/>
      <c r="FH2974" s="37"/>
      <c r="FI2974" s="37"/>
      <c r="FJ2974" s="37"/>
      <c r="FK2974" s="37"/>
      <c r="FL2974" s="37"/>
      <c r="FM2974" s="37"/>
      <c r="FN2974" s="37"/>
      <c r="FO2974" s="37"/>
      <c r="FP2974" s="37"/>
      <c r="FQ2974" s="37"/>
      <c r="FR2974" s="37"/>
      <c r="FS2974" s="37"/>
      <c r="FT2974" s="37"/>
      <c r="FU2974" s="37"/>
      <c r="FV2974" s="37"/>
      <c r="FW2974" s="37"/>
      <c r="FX2974" s="37"/>
      <c r="FY2974" s="37"/>
      <c r="FZ2974" s="37"/>
      <c r="GA2974" s="37"/>
      <c r="GB2974" s="37"/>
      <c r="GC2974" s="37"/>
      <c r="GD2974" s="37"/>
      <c r="GE2974" s="37"/>
      <c r="GF2974" s="37"/>
      <c r="GG2974" s="37"/>
      <c r="GH2974" s="37"/>
      <c r="GI2974" s="37"/>
      <c r="GJ2974" s="37"/>
      <c r="GK2974" s="37"/>
      <c r="GL2974" s="37"/>
      <c r="GM2974" s="37"/>
      <c r="GN2974" s="37"/>
      <c r="GO2974" s="37"/>
      <c r="GP2974" s="37"/>
      <c r="GQ2974" s="37"/>
      <c r="GR2974" s="37"/>
      <c r="GS2974" s="37"/>
      <c r="GT2974" s="37"/>
      <c r="GU2974" s="37"/>
      <c r="GV2974" s="37"/>
      <c r="GW2974" s="37"/>
      <c r="GX2974" s="37"/>
      <c r="GY2974" s="37"/>
      <c r="GZ2974" s="37"/>
      <c r="HA2974" s="37"/>
      <c r="HB2974" s="37"/>
      <c r="HC2974" s="37"/>
      <c r="HD2974" s="37"/>
      <c r="HE2974" s="37"/>
      <c r="HF2974" s="37"/>
      <c r="HG2974" s="37"/>
      <c r="HH2974" s="37"/>
      <c r="HI2974" s="37"/>
      <c r="HJ2974" s="37"/>
      <c r="HK2974" s="37"/>
      <c r="HL2974" s="37"/>
      <c r="HM2974" s="37"/>
      <c r="HN2974" s="37"/>
      <c r="HO2974" s="37"/>
      <c r="HP2974" s="37"/>
      <c r="HQ2974" s="37"/>
      <c r="HR2974" s="37"/>
      <c r="HS2974" s="37"/>
      <c r="HT2974" s="37"/>
      <c r="HU2974" s="37"/>
      <c r="HV2974" s="37"/>
      <c r="HW2974" s="37"/>
      <c r="HX2974" s="37"/>
      <c r="HY2974" s="37"/>
      <c r="HZ2974" s="37"/>
      <c r="IA2974" s="37"/>
      <c r="IB2974" s="37"/>
      <c r="IC2974" s="37"/>
      <c r="ID2974" s="37"/>
      <c r="IE2974" s="37"/>
      <c r="IF2974" s="37"/>
      <c r="IG2974" s="37"/>
      <c r="IH2974" s="37"/>
      <c r="II2974" s="37"/>
      <c r="IJ2974" s="37"/>
      <c r="IK2974" s="37"/>
      <c r="IL2974" s="37"/>
      <c r="IM2974" s="37"/>
      <c r="IN2974" s="37"/>
      <c r="IO2974" s="37"/>
      <c r="IP2974" s="37"/>
      <c r="IQ2974" s="37"/>
      <c r="IR2974" s="37"/>
      <c r="IS2974" s="37"/>
      <c r="IT2974" s="37"/>
      <c r="IU2974" s="37"/>
      <c r="IV2974" s="37"/>
      <c r="IW2974" s="37"/>
      <c r="IX2974" s="37"/>
      <c r="IY2974" s="37"/>
      <c r="IZ2974" s="37"/>
      <c r="JA2974" s="37"/>
      <c r="JB2974" s="37"/>
      <c r="JC2974" s="37"/>
      <c r="JD2974" s="37"/>
      <c r="JE2974" s="37"/>
      <c r="JF2974" s="37"/>
      <c r="JG2974" s="37"/>
      <c r="JH2974" s="37"/>
      <c r="JI2974" s="37"/>
      <c r="JJ2974" s="37"/>
      <c r="JK2974" s="37"/>
      <c r="JL2974" s="37"/>
      <c r="JM2974" s="37"/>
      <c r="JN2974" s="37"/>
      <c r="JO2974" s="37"/>
      <c r="JP2974" s="37"/>
      <c r="JQ2974" s="37"/>
      <c r="JR2974" s="37"/>
      <c r="JS2974" s="37"/>
      <c r="JT2974" s="37"/>
      <c r="JU2974" s="37"/>
      <c r="JV2974" s="37"/>
      <c r="JW2974" s="37"/>
      <c r="JX2974" s="37"/>
      <c r="JY2974" s="37"/>
      <c r="JZ2974" s="37"/>
      <c r="KA2974" s="37"/>
      <c r="KB2974" s="37"/>
      <c r="KC2974" s="37"/>
      <c r="KD2974" s="37"/>
      <c r="KE2974" s="37"/>
      <c r="KF2974" s="37"/>
      <c r="KG2974" s="37"/>
      <c r="KH2974" s="37"/>
      <c r="KI2974" s="37"/>
      <c r="KJ2974" s="37"/>
      <c r="KK2974" s="37"/>
      <c r="KL2974" s="37"/>
      <c r="KM2974" s="37"/>
      <c r="KN2974" s="37"/>
      <c r="KO2974" s="37"/>
      <c r="KP2974" s="37"/>
      <c r="KQ2974" s="37"/>
      <c r="KR2974" s="37"/>
      <c r="KS2974" s="37"/>
      <c r="KT2974" s="37"/>
      <c r="KU2974" s="37"/>
      <c r="KV2974" s="37"/>
      <c r="KW2974" s="37"/>
      <c r="KX2974" s="37"/>
      <c r="KY2974" s="37"/>
      <c r="KZ2974" s="37"/>
      <c r="LA2974" s="37"/>
      <c r="LB2974" s="37"/>
      <c r="LC2974" s="37"/>
      <c r="LD2974" s="37"/>
      <c r="LE2974" s="37"/>
      <c r="LF2974" s="37"/>
      <c r="LG2974" s="37"/>
      <c r="LH2974" s="37"/>
      <c r="LI2974" s="37"/>
      <c r="LJ2974" s="37"/>
      <c r="LK2974" s="37"/>
      <c r="LL2974" s="37"/>
      <c r="LM2974" s="37"/>
      <c r="LN2974" s="37"/>
      <c r="LO2974" s="37"/>
      <c r="LP2974" s="37"/>
      <c r="LQ2974" s="37"/>
      <c r="LR2974" s="37"/>
      <c r="LS2974" s="37"/>
      <c r="LT2974" s="37"/>
      <c r="LU2974" s="37"/>
      <c r="LV2974" s="37"/>
      <c r="LW2974" s="37"/>
      <c r="LX2974" s="37"/>
      <c r="LY2974" s="37"/>
      <c r="LZ2974" s="37"/>
      <c r="MA2974" s="37"/>
      <c r="MB2974" s="37"/>
      <c r="MC2974" s="37"/>
      <c r="MD2974" s="37"/>
      <c r="ME2974" s="37"/>
      <c r="MF2974" s="37"/>
      <c r="MG2974" s="37"/>
      <c r="MH2974" s="37"/>
      <c r="MI2974" s="37"/>
      <c r="MJ2974" s="37"/>
      <c r="MK2974" s="37"/>
      <c r="ML2974" s="37"/>
      <c r="MM2974" s="37"/>
      <c r="MN2974" s="37"/>
      <c r="MO2974" s="37"/>
      <c r="MP2974" s="37"/>
      <c r="MQ2974" s="37"/>
      <c r="MR2974" s="37"/>
      <c r="MS2974" s="37"/>
      <c r="MT2974" s="37"/>
      <c r="MU2974" s="37"/>
      <c r="MV2974" s="37"/>
      <c r="MW2974" s="37"/>
      <c r="MX2974" s="37"/>
      <c r="MY2974" s="37"/>
      <c r="MZ2974" s="37"/>
      <c r="NA2974" s="37"/>
      <c r="NB2974" s="37"/>
      <c r="NC2974" s="37"/>
      <c r="ND2974" s="37"/>
      <c r="NE2974" s="37"/>
      <c r="NF2974" s="37"/>
      <c r="NG2974" s="37"/>
      <c r="NH2974" s="37"/>
      <c r="NI2974" s="37"/>
      <c r="NJ2974" s="37"/>
      <c r="NK2974" s="37"/>
      <c r="NL2974" s="37"/>
      <c r="NM2974" s="37"/>
      <c r="NN2974" s="37"/>
      <c r="NO2974" s="37"/>
      <c r="NP2974" s="37"/>
      <c r="NQ2974" s="37"/>
      <c r="NR2974" s="37"/>
      <c r="NS2974" s="37"/>
      <c r="NT2974" s="37"/>
      <c r="NU2974" s="37"/>
      <c r="NV2974" s="37"/>
      <c r="NW2974" s="37"/>
      <c r="NX2974" s="37"/>
      <c r="NY2974" s="37"/>
      <c r="NZ2974" s="37"/>
      <c r="OA2974" s="37"/>
      <c r="OB2974" s="37"/>
      <c r="OC2974" s="37"/>
      <c r="OD2974" s="37"/>
      <c r="OE2974" s="37"/>
      <c r="OF2974" s="37"/>
      <c r="OG2974" s="37"/>
      <c r="OH2974" s="37"/>
      <c r="OI2974" s="37"/>
      <c r="OJ2974" s="37"/>
      <c r="OK2974" s="37"/>
      <c r="OL2974" s="37"/>
      <c r="OM2974" s="37"/>
      <c r="ON2974" s="37"/>
      <c r="OO2974" s="37"/>
      <c r="OP2974" s="37"/>
      <c r="OQ2974" s="37"/>
      <c r="OR2974" s="37"/>
      <c r="OS2974" s="37"/>
      <c r="OT2974" s="37"/>
      <c r="OU2974" s="37"/>
      <c r="OV2974" s="37"/>
      <c r="OW2974" s="37"/>
      <c r="OX2974" s="37"/>
      <c r="OY2974" s="37"/>
      <c r="OZ2974" s="37"/>
      <c r="PA2974" s="37"/>
      <c r="PB2974" s="37"/>
      <c r="PC2974" s="37"/>
      <c r="PD2974" s="37"/>
      <c r="PE2974" s="37"/>
      <c r="PF2974" s="37"/>
      <c r="PG2974" s="37"/>
      <c r="PH2974" s="37"/>
      <c r="PI2974" s="37"/>
      <c r="PJ2974" s="37"/>
      <c r="PK2974" s="37"/>
      <c r="PL2974" s="37"/>
      <c r="PM2974" s="37"/>
      <c r="PN2974" s="37"/>
      <c r="PO2974" s="37"/>
      <c r="PP2974" s="37"/>
      <c r="PQ2974" s="37"/>
      <c r="PR2974" s="37"/>
      <c r="PS2974" s="37"/>
      <c r="PT2974" s="37"/>
      <c r="PU2974" s="37"/>
      <c r="PV2974" s="37"/>
      <c r="PW2974" s="37"/>
      <c r="PX2974" s="37"/>
      <c r="PY2974" s="37"/>
      <c r="PZ2974" s="37"/>
      <c r="QA2974" s="37"/>
      <c r="QB2974" s="37"/>
      <c r="QC2974" s="37"/>
      <c r="QD2974" s="37"/>
      <c r="QE2974" s="37"/>
      <c r="QF2974" s="37"/>
      <c r="QG2974" s="37"/>
      <c r="QH2974" s="37"/>
      <c r="QI2974" s="37"/>
      <c r="QJ2974" s="37"/>
      <c r="QK2974" s="37"/>
      <c r="QL2974" s="37"/>
      <c r="QM2974" s="37"/>
      <c r="QN2974" s="37"/>
      <c r="QO2974" s="37"/>
      <c r="QP2974" s="37"/>
      <c r="QQ2974" s="37"/>
      <c r="QR2974" s="37"/>
      <c r="QS2974" s="37"/>
      <c r="QT2974" s="37"/>
      <c r="QU2974" s="37"/>
      <c r="QV2974" s="37"/>
      <c r="QW2974" s="37"/>
      <c r="QX2974" s="37"/>
      <c r="QY2974" s="37"/>
      <c r="QZ2974" s="37"/>
      <c r="RA2974" s="37"/>
      <c r="RB2974" s="37"/>
      <c r="RC2974" s="37"/>
      <c r="RD2974" s="37"/>
      <c r="RE2974" s="37"/>
      <c r="RF2974" s="37"/>
      <c r="RG2974" s="37"/>
      <c r="RH2974" s="37"/>
      <c r="RI2974" s="37"/>
      <c r="RJ2974" s="37"/>
      <c r="RK2974" s="37"/>
      <c r="RL2974" s="37"/>
      <c r="RM2974" s="37"/>
      <c r="RN2974" s="37"/>
      <c r="RO2974" s="37"/>
      <c r="RP2974" s="37"/>
      <c r="RQ2974" s="37"/>
      <c r="RR2974" s="37"/>
      <c r="RS2974" s="37"/>
      <c r="RT2974" s="37"/>
      <c r="RU2974" s="37"/>
      <c r="RV2974" s="37"/>
      <c r="RW2974" s="37"/>
      <c r="RX2974" s="37"/>
      <c r="RY2974" s="37"/>
      <c r="RZ2974" s="37"/>
      <c r="SA2974" s="37"/>
      <c r="SB2974" s="37"/>
      <c r="SC2974" s="37"/>
      <c r="SD2974" s="37"/>
      <c r="SE2974" s="37"/>
      <c r="SF2974" s="37"/>
    </row>
    <row r="2975" spans="1:500">
      <c r="A2975" s="37"/>
      <c r="B2975" s="37"/>
      <c r="C2975" s="37"/>
      <c r="D2975" s="37"/>
      <c r="E2975" s="37"/>
      <c r="F2975" s="37"/>
      <c r="G2975" s="37"/>
      <c r="H2975" s="37"/>
      <c r="I2975" s="37"/>
      <c r="J2975" s="37"/>
      <c r="K2975" s="37"/>
      <c r="L2975" s="37"/>
      <c r="M2975" s="37"/>
      <c r="N2975" s="37"/>
      <c r="O2975" s="37"/>
      <c r="P2975" s="37"/>
      <c r="Q2975" s="37"/>
      <c r="R2975" s="37"/>
      <c r="S2975" s="37"/>
      <c r="T2975" s="37"/>
      <c r="U2975" s="37"/>
      <c r="V2975" s="37"/>
      <c r="W2975" s="37"/>
      <c r="X2975" s="37"/>
      <c r="Y2975" s="37"/>
      <c r="Z2975" s="37"/>
      <c r="AA2975" s="37"/>
      <c r="AB2975" s="37"/>
      <c r="AC2975" s="37"/>
      <c r="AD2975" s="37"/>
      <c r="AE2975" s="37"/>
      <c r="AF2975" s="37"/>
      <c r="AG2975" s="37"/>
      <c r="AH2975" s="37"/>
      <c r="AI2975" s="37"/>
      <c r="AJ2975" s="37"/>
      <c r="AK2975" s="37"/>
      <c r="AL2975" s="37"/>
      <c r="AM2975" s="37"/>
      <c r="AN2975" s="37"/>
      <c r="AO2975" s="37"/>
      <c r="AP2975" s="37"/>
      <c r="AQ2975" s="37"/>
      <c r="AR2975" s="37"/>
      <c r="AS2975" s="37"/>
      <c r="AT2975" s="37"/>
      <c r="AU2975" s="37"/>
      <c r="AV2975" s="37"/>
      <c r="AW2975" s="37"/>
      <c r="AX2975" s="37"/>
      <c r="AY2975" s="37"/>
      <c r="AZ2975" s="37"/>
      <c r="BA2975" s="37"/>
      <c r="BB2975" s="37"/>
      <c r="BC2975" s="37"/>
      <c r="BD2975" s="37"/>
      <c r="BE2975" s="37"/>
      <c r="BF2975" s="37"/>
      <c r="BG2975" s="37"/>
      <c r="BH2975" s="37"/>
      <c r="BI2975" s="37"/>
      <c r="BJ2975" s="37"/>
      <c r="BK2975" s="37"/>
      <c r="BL2975" s="37"/>
      <c r="BM2975" s="37"/>
      <c r="BN2975" s="37"/>
      <c r="BO2975" s="37"/>
      <c r="BP2975" s="37"/>
      <c r="BQ2975" s="37"/>
      <c r="BR2975" s="37"/>
      <c r="BS2975" s="37"/>
      <c r="BT2975" s="37"/>
      <c r="BU2975" s="37"/>
      <c r="BV2975" s="37"/>
      <c r="BW2975" s="37"/>
      <c r="BX2975" s="37"/>
      <c r="BY2975" s="37"/>
      <c r="BZ2975" s="37"/>
      <c r="CA2975" s="37"/>
      <c r="CB2975" s="37"/>
      <c r="CC2975" s="37"/>
      <c r="CD2975" s="37"/>
      <c r="CE2975" s="37"/>
      <c r="CF2975" s="37"/>
      <c r="CG2975" s="37"/>
      <c r="CH2975" s="37"/>
      <c r="CI2975" s="37"/>
      <c r="CJ2975" s="37"/>
      <c r="CK2975" s="37"/>
      <c r="CL2975" s="37"/>
      <c r="CM2975" s="37"/>
      <c r="CN2975" s="37"/>
      <c r="CO2975" s="37"/>
      <c r="CP2975" s="37"/>
      <c r="CQ2975" s="37"/>
      <c r="CR2975" s="37"/>
      <c r="CS2975" s="37"/>
      <c r="CT2975" s="37"/>
      <c r="CU2975" s="37"/>
      <c r="CV2975" s="37"/>
      <c r="CW2975" s="37"/>
      <c r="CX2975" s="37"/>
      <c r="CY2975" s="37"/>
      <c r="CZ2975" s="37"/>
      <c r="DA2975" s="37"/>
      <c r="DB2975" s="37"/>
      <c r="DC2975" s="37"/>
      <c r="DD2975" s="37"/>
      <c r="DE2975" s="37"/>
      <c r="DF2975" s="37"/>
      <c r="DG2975" s="37"/>
      <c r="DH2975" s="37"/>
      <c r="DI2975" s="37"/>
      <c r="DJ2975" s="37"/>
      <c r="DK2975" s="37"/>
      <c r="DL2975" s="37"/>
      <c r="DM2975" s="37"/>
      <c r="DN2975" s="37"/>
      <c r="DO2975" s="37"/>
      <c r="DP2975" s="37"/>
      <c r="DQ2975" s="37"/>
      <c r="DR2975" s="37"/>
      <c r="DS2975" s="37"/>
      <c r="DT2975" s="37"/>
      <c r="DU2975" s="37"/>
      <c r="DV2975" s="37"/>
      <c r="DW2975" s="37"/>
      <c r="DX2975" s="37"/>
      <c r="DY2975" s="37"/>
      <c r="DZ2975" s="37"/>
      <c r="EA2975" s="37"/>
      <c r="EB2975" s="37"/>
      <c r="EC2975" s="37"/>
      <c r="ED2975" s="37"/>
      <c r="EE2975" s="37"/>
      <c r="EF2975" s="37"/>
      <c r="EG2975" s="37"/>
      <c r="EH2975" s="37"/>
      <c r="EI2975" s="37"/>
      <c r="EJ2975" s="37"/>
      <c r="EK2975" s="37"/>
      <c r="EL2975" s="37"/>
      <c r="EM2975" s="37"/>
      <c r="EN2975" s="37"/>
      <c r="EO2975" s="37"/>
      <c r="EP2975" s="37"/>
      <c r="EQ2975" s="37"/>
      <c r="ER2975" s="37"/>
      <c r="ES2975" s="37"/>
      <c r="ET2975" s="37"/>
      <c r="EU2975" s="37"/>
      <c r="EV2975" s="37"/>
      <c r="EW2975" s="37"/>
      <c r="EX2975" s="37"/>
      <c r="EY2975" s="37"/>
      <c r="EZ2975" s="37"/>
      <c r="FA2975" s="37"/>
      <c r="FB2975" s="37"/>
      <c r="FC2975" s="37"/>
      <c r="FD2975" s="37"/>
      <c r="FE2975" s="37"/>
      <c r="FF2975" s="37"/>
      <c r="FG2975" s="37"/>
      <c r="FH2975" s="37"/>
      <c r="FI2975" s="37"/>
      <c r="FJ2975" s="37"/>
      <c r="FK2975" s="37"/>
      <c r="FL2975" s="37"/>
      <c r="FM2975" s="37"/>
      <c r="FN2975" s="37"/>
      <c r="FO2975" s="37"/>
      <c r="FP2975" s="37"/>
      <c r="FQ2975" s="37"/>
      <c r="FR2975" s="37"/>
      <c r="FS2975" s="37"/>
      <c r="FT2975" s="37"/>
      <c r="FU2975" s="37"/>
      <c r="FV2975" s="37"/>
      <c r="FW2975" s="37"/>
      <c r="FX2975" s="37"/>
      <c r="FY2975" s="37"/>
      <c r="FZ2975" s="37"/>
      <c r="GA2975" s="37"/>
      <c r="GB2975" s="37"/>
      <c r="GC2975" s="37"/>
      <c r="GD2975" s="37"/>
      <c r="GE2975" s="37"/>
      <c r="GF2975" s="37"/>
      <c r="GG2975" s="37"/>
      <c r="GH2975" s="37"/>
      <c r="GI2975" s="37"/>
      <c r="GJ2975" s="37"/>
      <c r="GK2975" s="37"/>
      <c r="GL2975" s="37"/>
      <c r="GM2975" s="37"/>
      <c r="GN2975" s="37"/>
      <c r="GO2975" s="37"/>
      <c r="GP2975" s="37"/>
      <c r="GQ2975" s="37"/>
      <c r="GR2975" s="37"/>
      <c r="GS2975" s="37"/>
      <c r="GT2975" s="37"/>
      <c r="GU2975" s="37"/>
      <c r="GV2975" s="37"/>
      <c r="GW2975" s="37"/>
      <c r="GX2975" s="37"/>
      <c r="GY2975" s="37"/>
      <c r="GZ2975" s="37"/>
      <c r="HA2975" s="37"/>
      <c r="HB2975" s="37"/>
      <c r="HC2975" s="37"/>
      <c r="HD2975" s="37"/>
      <c r="HE2975" s="37"/>
      <c r="HF2975" s="37"/>
      <c r="HG2975" s="37"/>
      <c r="HH2975" s="37"/>
      <c r="HI2975" s="37"/>
      <c r="HJ2975" s="37"/>
      <c r="HK2975" s="37"/>
      <c r="HL2975" s="37"/>
      <c r="HM2975" s="37"/>
      <c r="HN2975" s="37"/>
      <c r="HO2975" s="37"/>
      <c r="HP2975" s="37"/>
      <c r="HQ2975" s="37"/>
      <c r="HR2975" s="37"/>
      <c r="HS2975" s="37"/>
      <c r="HT2975" s="37"/>
      <c r="HU2975" s="37"/>
      <c r="HV2975" s="37"/>
      <c r="HW2975" s="37"/>
      <c r="HX2975" s="37"/>
      <c r="HY2975" s="37"/>
      <c r="HZ2975" s="37"/>
      <c r="IA2975" s="37"/>
      <c r="IB2975" s="37"/>
      <c r="IC2975" s="37"/>
      <c r="ID2975" s="37"/>
      <c r="IE2975" s="37"/>
      <c r="IF2975" s="37"/>
      <c r="IG2975" s="37"/>
      <c r="IH2975" s="37"/>
      <c r="II2975" s="37"/>
      <c r="IJ2975" s="37"/>
      <c r="IK2975" s="37"/>
      <c r="IL2975" s="37"/>
      <c r="IM2975" s="37"/>
      <c r="IN2975" s="37"/>
      <c r="IO2975" s="37"/>
      <c r="IP2975" s="37"/>
      <c r="IQ2975" s="37"/>
      <c r="IR2975" s="37"/>
      <c r="IS2975" s="37"/>
      <c r="IT2975" s="37"/>
      <c r="IU2975" s="37"/>
      <c r="IV2975" s="37"/>
      <c r="IW2975" s="37"/>
      <c r="IX2975" s="37"/>
      <c r="IY2975" s="37"/>
      <c r="IZ2975" s="37"/>
      <c r="JA2975" s="37"/>
      <c r="JB2975" s="37"/>
      <c r="JC2975" s="37"/>
      <c r="JD2975" s="37"/>
      <c r="JE2975" s="37"/>
      <c r="JF2975" s="37"/>
      <c r="JG2975" s="37"/>
      <c r="JH2975" s="37"/>
      <c r="JI2975" s="37"/>
      <c r="JJ2975" s="37"/>
      <c r="JK2975" s="37"/>
      <c r="JL2975" s="37"/>
      <c r="JM2975" s="37"/>
      <c r="JN2975" s="37"/>
      <c r="JO2975" s="37"/>
      <c r="JP2975" s="37"/>
      <c r="JQ2975" s="37"/>
      <c r="JR2975" s="37"/>
      <c r="JS2975" s="37"/>
      <c r="JT2975" s="37"/>
      <c r="JU2975" s="37"/>
      <c r="JV2975" s="37"/>
      <c r="JW2975" s="37"/>
      <c r="JX2975" s="37"/>
      <c r="JY2975" s="37"/>
      <c r="JZ2975" s="37"/>
      <c r="KA2975" s="37"/>
      <c r="KB2975" s="37"/>
      <c r="KC2975" s="37"/>
      <c r="KD2975" s="37"/>
      <c r="KE2975" s="37"/>
      <c r="KF2975" s="37"/>
      <c r="KG2975" s="37"/>
      <c r="KH2975" s="37"/>
      <c r="KI2975" s="37"/>
      <c r="KJ2975" s="37"/>
      <c r="KK2975" s="37"/>
      <c r="KL2975" s="37"/>
      <c r="KM2975" s="37"/>
      <c r="KN2975" s="37"/>
      <c r="KO2975" s="37"/>
      <c r="KP2975" s="37"/>
      <c r="KQ2975" s="37"/>
      <c r="KR2975" s="37"/>
      <c r="KS2975" s="37"/>
      <c r="KT2975" s="37"/>
      <c r="KU2975" s="37"/>
      <c r="KV2975" s="37"/>
      <c r="KW2975" s="37"/>
      <c r="KX2975" s="37"/>
      <c r="KY2975" s="37"/>
      <c r="KZ2975" s="37"/>
      <c r="LA2975" s="37"/>
      <c r="LB2975" s="37"/>
      <c r="LC2975" s="37"/>
      <c r="LD2975" s="37"/>
      <c r="LE2975" s="37"/>
      <c r="LF2975" s="37"/>
      <c r="LG2975" s="37"/>
      <c r="LH2975" s="37"/>
      <c r="LI2975" s="37"/>
      <c r="LJ2975" s="37"/>
      <c r="LK2975" s="37"/>
      <c r="LL2975" s="37"/>
      <c r="LM2975" s="37"/>
      <c r="LN2975" s="37"/>
      <c r="LO2975" s="37"/>
      <c r="LP2975" s="37"/>
      <c r="LQ2975" s="37"/>
      <c r="LR2975" s="37"/>
      <c r="LS2975" s="37"/>
      <c r="LT2975" s="37"/>
      <c r="LU2975" s="37"/>
      <c r="LV2975" s="37"/>
      <c r="LW2975" s="37"/>
      <c r="LX2975" s="37"/>
      <c r="LY2975" s="37"/>
      <c r="LZ2975" s="37"/>
      <c r="MA2975" s="37"/>
      <c r="MB2975" s="37"/>
      <c r="MC2975" s="37"/>
      <c r="MD2975" s="37"/>
      <c r="ME2975" s="37"/>
      <c r="MF2975" s="37"/>
      <c r="MG2975" s="37"/>
      <c r="MH2975" s="37"/>
      <c r="MI2975" s="37"/>
      <c r="MJ2975" s="37"/>
      <c r="MK2975" s="37"/>
      <c r="ML2975" s="37"/>
      <c r="MM2975" s="37"/>
      <c r="MN2975" s="37"/>
      <c r="MO2975" s="37"/>
      <c r="MP2975" s="37"/>
      <c r="MQ2975" s="37"/>
      <c r="MR2975" s="37"/>
      <c r="MS2975" s="37"/>
      <c r="MT2975" s="37"/>
      <c r="MU2975" s="37"/>
      <c r="MV2975" s="37"/>
      <c r="MW2975" s="37"/>
      <c r="MX2975" s="37"/>
      <c r="MY2975" s="37"/>
      <c r="MZ2975" s="37"/>
      <c r="NA2975" s="37"/>
      <c r="NB2975" s="37"/>
      <c r="NC2975" s="37"/>
      <c r="ND2975" s="37"/>
      <c r="NE2975" s="37"/>
      <c r="NF2975" s="37"/>
      <c r="NG2975" s="37"/>
      <c r="NH2975" s="37"/>
      <c r="NI2975" s="37"/>
      <c r="NJ2975" s="37"/>
      <c r="NK2975" s="37"/>
      <c r="NL2975" s="37"/>
      <c r="NM2975" s="37"/>
      <c r="NN2975" s="37"/>
      <c r="NO2975" s="37"/>
      <c r="NP2975" s="37"/>
      <c r="NQ2975" s="37"/>
      <c r="NR2975" s="37"/>
      <c r="NS2975" s="37"/>
      <c r="NT2975" s="37"/>
      <c r="NU2975" s="37"/>
      <c r="NV2975" s="37"/>
      <c r="NW2975" s="37"/>
      <c r="NX2975" s="37"/>
      <c r="NY2975" s="37"/>
      <c r="NZ2975" s="37"/>
      <c r="OA2975" s="37"/>
      <c r="OB2975" s="37"/>
      <c r="OC2975" s="37"/>
      <c r="OD2975" s="37"/>
      <c r="OE2975" s="37"/>
      <c r="OF2975" s="37"/>
      <c r="OG2975" s="37"/>
      <c r="OH2975" s="37"/>
      <c r="OI2975" s="37"/>
      <c r="OJ2975" s="37"/>
      <c r="OK2975" s="37"/>
      <c r="OL2975" s="37"/>
      <c r="OM2975" s="37"/>
      <c r="ON2975" s="37"/>
      <c r="OO2975" s="37"/>
      <c r="OP2975" s="37"/>
      <c r="OQ2975" s="37"/>
      <c r="OR2975" s="37"/>
      <c r="OS2975" s="37"/>
      <c r="OT2975" s="37"/>
      <c r="OU2975" s="37"/>
      <c r="OV2975" s="37"/>
      <c r="OW2975" s="37"/>
      <c r="OX2975" s="37"/>
      <c r="OY2975" s="37"/>
      <c r="OZ2975" s="37"/>
      <c r="PA2975" s="37"/>
      <c r="PB2975" s="37"/>
      <c r="PC2975" s="37"/>
      <c r="PD2975" s="37"/>
      <c r="PE2975" s="37"/>
      <c r="PF2975" s="37"/>
      <c r="PG2975" s="37"/>
      <c r="PH2975" s="37"/>
      <c r="PI2975" s="37"/>
      <c r="PJ2975" s="37"/>
      <c r="PK2975" s="37"/>
      <c r="PL2975" s="37"/>
      <c r="PM2975" s="37"/>
      <c r="PN2975" s="37"/>
      <c r="PO2975" s="37"/>
      <c r="PP2975" s="37"/>
      <c r="PQ2975" s="37"/>
      <c r="PR2975" s="37"/>
      <c r="PS2975" s="37"/>
      <c r="PT2975" s="37"/>
      <c r="PU2975" s="37"/>
      <c r="PV2975" s="37"/>
      <c r="PW2975" s="37"/>
      <c r="PX2975" s="37"/>
      <c r="PY2975" s="37"/>
      <c r="PZ2975" s="37"/>
      <c r="QA2975" s="37"/>
      <c r="QB2975" s="37"/>
      <c r="QC2975" s="37"/>
      <c r="QD2975" s="37"/>
      <c r="QE2975" s="37"/>
      <c r="QF2975" s="37"/>
      <c r="QG2975" s="37"/>
      <c r="QH2975" s="37"/>
      <c r="QI2975" s="37"/>
      <c r="QJ2975" s="37"/>
      <c r="QK2975" s="37"/>
      <c r="QL2975" s="37"/>
      <c r="QM2975" s="37"/>
      <c r="QN2975" s="37"/>
      <c r="QO2975" s="37"/>
      <c r="QP2975" s="37"/>
      <c r="QQ2975" s="37"/>
      <c r="QR2975" s="37"/>
      <c r="QS2975" s="37"/>
      <c r="QT2975" s="37"/>
      <c r="QU2975" s="37"/>
      <c r="QV2975" s="37"/>
      <c r="QW2975" s="37"/>
      <c r="QX2975" s="37"/>
      <c r="QY2975" s="37"/>
      <c r="QZ2975" s="37"/>
      <c r="RA2975" s="37"/>
      <c r="RB2975" s="37"/>
      <c r="RC2975" s="37"/>
      <c r="RD2975" s="37"/>
      <c r="RE2975" s="37"/>
      <c r="RF2975" s="37"/>
      <c r="RG2975" s="37"/>
      <c r="RH2975" s="37"/>
      <c r="RI2975" s="37"/>
      <c r="RJ2975" s="37"/>
      <c r="RK2975" s="37"/>
      <c r="RL2975" s="37"/>
      <c r="RM2975" s="37"/>
      <c r="RN2975" s="37"/>
      <c r="RO2975" s="37"/>
      <c r="RP2975" s="37"/>
      <c r="RQ2975" s="37"/>
      <c r="RR2975" s="37"/>
      <c r="RS2975" s="37"/>
      <c r="RT2975" s="37"/>
      <c r="RU2975" s="37"/>
      <c r="RV2975" s="37"/>
      <c r="RW2975" s="37"/>
      <c r="RX2975" s="37"/>
      <c r="RY2975" s="37"/>
      <c r="RZ2975" s="37"/>
      <c r="SA2975" s="37"/>
      <c r="SB2975" s="37"/>
      <c r="SC2975" s="37"/>
      <c r="SD2975" s="37"/>
      <c r="SE2975" s="37"/>
      <c r="SF2975" s="37"/>
    </row>
    <row r="2976" spans="1:500">
      <c r="A2976" s="37"/>
      <c r="B2976" s="37"/>
      <c r="C2976" s="37"/>
      <c r="D2976" s="37"/>
      <c r="E2976" s="37"/>
      <c r="F2976" s="37"/>
      <c r="G2976" s="37"/>
      <c r="H2976" s="37"/>
      <c r="I2976" s="37"/>
      <c r="J2976" s="37"/>
      <c r="K2976" s="37"/>
      <c r="L2976" s="37"/>
      <c r="M2976" s="37"/>
      <c r="N2976" s="37"/>
      <c r="O2976" s="37"/>
      <c r="P2976" s="37"/>
      <c r="Q2976" s="37"/>
      <c r="R2976" s="37"/>
      <c r="S2976" s="37"/>
      <c r="T2976" s="37"/>
      <c r="U2976" s="37"/>
      <c r="V2976" s="37"/>
      <c r="W2976" s="37"/>
      <c r="X2976" s="37"/>
      <c r="Y2976" s="37"/>
      <c r="Z2976" s="37"/>
      <c r="AA2976" s="37"/>
      <c r="AB2976" s="37"/>
      <c r="AC2976" s="37"/>
      <c r="AD2976" s="37"/>
      <c r="AE2976" s="37"/>
      <c r="AF2976" s="37"/>
      <c r="AG2976" s="37"/>
      <c r="AH2976" s="37"/>
      <c r="AI2976" s="37"/>
      <c r="AJ2976" s="37"/>
      <c r="AK2976" s="37"/>
      <c r="AL2976" s="37"/>
      <c r="AM2976" s="37"/>
      <c r="AN2976" s="37"/>
      <c r="AO2976" s="37"/>
      <c r="AP2976" s="37"/>
      <c r="AQ2976" s="37"/>
      <c r="AR2976" s="37"/>
      <c r="AS2976" s="37"/>
      <c r="AT2976" s="37"/>
      <c r="AU2976" s="37"/>
      <c r="AV2976" s="37"/>
      <c r="AW2976" s="37"/>
      <c r="AX2976" s="37"/>
      <c r="AY2976" s="37"/>
      <c r="AZ2976" s="37"/>
      <c r="BA2976" s="37"/>
      <c r="BB2976" s="37"/>
      <c r="BC2976" s="37"/>
      <c r="BD2976" s="37"/>
      <c r="BE2976" s="37"/>
      <c r="BF2976" s="37"/>
      <c r="BG2976" s="37"/>
      <c r="BH2976" s="37"/>
      <c r="BI2976" s="37"/>
      <c r="BJ2976" s="37"/>
      <c r="BK2976" s="37"/>
      <c r="BL2976" s="37"/>
      <c r="BM2976" s="37"/>
      <c r="BN2976" s="37"/>
      <c r="BO2976" s="37"/>
      <c r="BP2976" s="37"/>
      <c r="BQ2976" s="37"/>
      <c r="BR2976" s="37"/>
      <c r="BS2976" s="37"/>
      <c r="BT2976" s="37"/>
      <c r="BU2976" s="37"/>
      <c r="BV2976" s="37"/>
      <c r="BW2976" s="37"/>
      <c r="BX2976" s="37"/>
      <c r="BY2976" s="37"/>
      <c r="BZ2976" s="37"/>
      <c r="CA2976" s="37"/>
      <c r="CB2976" s="37"/>
      <c r="CC2976" s="37"/>
      <c r="CD2976" s="37"/>
      <c r="CE2976" s="37"/>
      <c r="CF2976" s="37"/>
      <c r="CG2976" s="37"/>
      <c r="CH2976" s="37"/>
      <c r="CI2976" s="37"/>
      <c r="CJ2976" s="37"/>
      <c r="CK2976" s="37"/>
      <c r="CL2976" s="37"/>
      <c r="CM2976" s="37"/>
      <c r="CN2976" s="37"/>
      <c r="CO2976" s="37"/>
      <c r="CP2976" s="37"/>
      <c r="CQ2976" s="37"/>
      <c r="CR2976" s="37"/>
      <c r="CS2976" s="37"/>
      <c r="CT2976" s="37"/>
      <c r="CU2976" s="37"/>
      <c r="CV2976" s="37"/>
      <c r="CW2976" s="37"/>
      <c r="CX2976" s="37"/>
      <c r="CY2976" s="37"/>
      <c r="CZ2976" s="37"/>
      <c r="DA2976" s="37"/>
      <c r="DB2976" s="37"/>
      <c r="DC2976" s="37"/>
      <c r="DD2976" s="37"/>
      <c r="DE2976" s="37"/>
      <c r="DF2976" s="37"/>
      <c r="DG2976" s="37"/>
      <c r="DH2976" s="37"/>
      <c r="DI2976" s="37"/>
      <c r="DJ2976" s="37"/>
      <c r="DK2976" s="37"/>
      <c r="DL2976" s="37"/>
      <c r="DM2976" s="37"/>
      <c r="DN2976" s="37"/>
      <c r="DO2976" s="37"/>
      <c r="DP2976" s="37"/>
      <c r="DQ2976" s="37"/>
      <c r="DR2976" s="37"/>
      <c r="DS2976" s="37"/>
      <c r="DT2976" s="37"/>
      <c r="DU2976" s="37"/>
      <c r="DV2976" s="37"/>
      <c r="DW2976" s="37"/>
      <c r="DX2976" s="37"/>
      <c r="DY2976" s="37"/>
      <c r="DZ2976" s="37"/>
      <c r="EA2976" s="37"/>
      <c r="EB2976" s="37"/>
      <c r="EC2976" s="37"/>
      <c r="ED2976" s="37"/>
      <c r="EE2976" s="37"/>
      <c r="EF2976" s="37"/>
      <c r="EG2976" s="37"/>
      <c r="EH2976" s="37"/>
      <c r="EI2976" s="37"/>
      <c r="EJ2976" s="37"/>
      <c r="EK2976" s="37"/>
      <c r="EL2976" s="37"/>
      <c r="EM2976" s="37"/>
      <c r="EN2976" s="37"/>
      <c r="EO2976" s="37"/>
      <c r="EP2976" s="37"/>
      <c r="EQ2976" s="37"/>
      <c r="ER2976" s="37"/>
      <c r="ES2976" s="37"/>
      <c r="ET2976" s="37"/>
      <c r="EU2976" s="37"/>
      <c r="EV2976" s="37"/>
      <c r="EW2976" s="37"/>
      <c r="EX2976" s="37"/>
      <c r="EY2976" s="37"/>
      <c r="EZ2976" s="37"/>
      <c r="FA2976" s="37"/>
      <c r="FB2976" s="37"/>
      <c r="FC2976" s="37"/>
      <c r="FD2976" s="37"/>
      <c r="FE2976" s="37"/>
      <c r="FF2976" s="37"/>
      <c r="FG2976" s="37"/>
      <c r="FH2976" s="37"/>
      <c r="FI2976" s="37"/>
      <c r="FJ2976" s="37"/>
      <c r="FK2976" s="37"/>
      <c r="FL2976" s="37"/>
      <c r="FM2976" s="37"/>
      <c r="FN2976" s="37"/>
      <c r="FO2976" s="37"/>
      <c r="FP2976" s="37"/>
      <c r="FQ2976" s="37"/>
      <c r="FR2976" s="37"/>
      <c r="FS2976" s="37"/>
      <c r="FT2976" s="37"/>
      <c r="FU2976" s="37"/>
      <c r="FV2976" s="37"/>
      <c r="FW2976" s="37"/>
      <c r="FX2976" s="37"/>
      <c r="FY2976" s="37"/>
      <c r="FZ2976" s="37"/>
      <c r="GA2976" s="37"/>
      <c r="GB2976" s="37"/>
      <c r="GC2976" s="37"/>
      <c r="GD2976" s="37"/>
      <c r="GE2976" s="37"/>
      <c r="GF2976" s="37"/>
      <c r="GG2976" s="37"/>
      <c r="GH2976" s="37"/>
      <c r="GI2976" s="37"/>
      <c r="GJ2976" s="37"/>
      <c r="GK2976" s="37"/>
      <c r="GL2976" s="37"/>
      <c r="GM2976" s="37"/>
      <c r="GN2976" s="37"/>
      <c r="GO2976" s="37"/>
      <c r="GP2976" s="37"/>
      <c r="GQ2976" s="37"/>
      <c r="GR2976" s="37"/>
      <c r="GS2976" s="37"/>
      <c r="GT2976" s="37"/>
      <c r="GU2976" s="37"/>
      <c r="GV2976" s="37"/>
      <c r="GW2976" s="37"/>
      <c r="GX2976" s="37"/>
      <c r="GY2976" s="37"/>
      <c r="GZ2976" s="37"/>
      <c r="HA2976" s="37"/>
      <c r="HB2976" s="37"/>
      <c r="HC2976" s="37"/>
      <c r="HD2976" s="37"/>
      <c r="HE2976" s="37"/>
      <c r="HF2976" s="37"/>
      <c r="HG2976" s="37"/>
      <c r="HH2976" s="37"/>
      <c r="HI2976" s="37"/>
      <c r="HJ2976" s="37"/>
      <c r="HK2976" s="37"/>
      <c r="HL2976" s="37"/>
      <c r="HM2976" s="37"/>
      <c r="HN2976" s="37"/>
      <c r="HO2976" s="37"/>
      <c r="HP2976" s="37"/>
      <c r="HQ2976" s="37"/>
      <c r="HR2976" s="37"/>
      <c r="HS2976" s="37"/>
      <c r="HT2976" s="37"/>
      <c r="HU2976" s="37"/>
      <c r="HV2976" s="37"/>
      <c r="HW2976" s="37"/>
      <c r="HX2976" s="37"/>
      <c r="HY2976" s="37"/>
      <c r="HZ2976" s="37"/>
      <c r="IA2976" s="37"/>
      <c r="IB2976" s="37"/>
      <c r="IC2976" s="37"/>
      <c r="ID2976" s="37"/>
      <c r="IE2976" s="37"/>
      <c r="IF2976" s="37"/>
      <c r="IG2976" s="37"/>
      <c r="IH2976" s="37"/>
      <c r="II2976" s="37"/>
      <c r="IJ2976" s="37"/>
      <c r="IK2976" s="37"/>
      <c r="IL2976" s="37"/>
      <c r="IM2976" s="37"/>
      <c r="IN2976" s="37"/>
      <c r="IO2976" s="37"/>
      <c r="IP2976" s="37"/>
      <c r="IQ2976" s="37"/>
      <c r="IR2976" s="37"/>
      <c r="IS2976" s="37"/>
      <c r="IT2976" s="37"/>
      <c r="IU2976" s="37"/>
      <c r="IV2976" s="37"/>
      <c r="IW2976" s="37"/>
      <c r="IX2976" s="37"/>
      <c r="IY2976" s="37"/>
      <c r="IZ2976" s="37"/>
      <c r="JA2976" s="37"/>
      <c r="JB2976" s="37"/>
      <c r="JC2976" s="37"/>
      <c r="JD2976" s="37"/>
      <c r="JE2976" s="37"/>
      <c r="JF2976" s="37"/>
      <c r="JG2976" s="37"/>
      <c r="JH2976" s="37"/>
      <c r="JI2976" s="37"/>
      <c r="JJ2976" s="37"/>
      <c r="JK2976" s="37"/>
      <c r="JL2976" s="37"/>
      <c r="JM2976" s="37"/>
      <c r="JN2976" s="37"/>
      <c r="JO2976" s="37"/>
      <c r="JP2976" s="37"/>
      <c r="JQ2976" s="37"/>
      <c r="JR2976" s="37"/>
      <c r="JS2976" s="37"/>
      <c r="JT2976" s="37"/>
      <c r="JU2976" s="37"/>
      <c r="JV2976" s="37"/>
      <c r="JW2976" s="37"/>
      <c r="JX2976" s="37"/>
      <c r="JY2976" s="37"/>
      <c r="JZ2976" s="37"/>
      <c r="KA2976" s="37"/>
      <c r="KB2976" s="37"/>
      <c r="KC2976" s="37"/>
      <c r="KD2976" s="37"/>
      <c r="KE2976" s="37"/>
      <c r="KF2976" s="37"/>
      <c r="KG2976" s="37"/>
      <c r="KH2976" s="37"/>
      <c r="KI2976" s="37"/>
      <c r="KJ2976" s="37"/>
      <c r="KK2976" s="37"/>
      <c r="KL2976" s="37"/>
      <c r="KM2976" s="37"/>
      <c r="KN2976" s="37"/>
      <c r="KO2976" s="37"/>
      <c r="KP2976" s="37"/>
      <c r="KQ2976" s="37"/>
      <c r="KR2976" s="37"/>
      <c r="KS2976" s="37"/>
      <c r="KT2976" s="37"/>
      <c r="KU2976" s="37"/>
      <c r="KV2976" s="37"/>
      <c r="KW2976" s="37"/>
      <c r="KX2976" s="37"/>
      <c r="KY2976" s="37"/>
      <c r="KZ2976" s="37"/>
      <c r="LA2976" s="37"/>
      <c r="LB2976" s="37"/>
      <c r="LC2976" s="37"/>
      <c r="LD2976" s="37"/>
      <c r="LE2976" s="37"/>
      <c r="LF2976" s="37"/>
      <c r="LG2976" s="37"/>
      <c r="LH2976" s="37"/>
      <c r="LI2976" s="37"/>
      <c r="LJ2976" s="37"/>
      <c r="LK2976" s="37"/>
      <c r="LL2976" s="37"/>
      <c r="LM2976" s="37"/>
      <c r="LN2976" s="37"/>
      <c r="LO2976" s="37"/>
      <c r="LP2976" s="37"/>
      <c r="LQ2976" s="37"/>
      <c r="LR2976" s="37"/>
      <c r="LS2976" s="37"/>
      <c r="LT2976" s="37"/>
      <c r="LU2976" s="37"/>
      <c r="LV2976" s="37"/>
      <c r="LW2976" s="37"/>
      <c r="LX2976" s="37"/>
      <c r="LY2976" s="37"/>
      <c r="LZ2976" s="37"/>
      <c r="MA2976" s="37"/>
      <c r="MB2976" s="37"/>
      <c r="MC2976" s="37"/>
      <c r="MD2976" s="37"/>
      <c r="ME2976" s="37"/>
      <c r="MF2976" s="37"/>
      <c r="MG2976" s="37"/>
      <c r="MH2976" s="37"/>
      <c r="MI2976" s="37"/>
      <c r="MJ2976" s="37"/>
      <c r="MK2976" s="37"/>
      <c r="ML2976" s="37"/>
      <c r="MM2976" s="37"/>
      <c r="MN2976" s="37"/>
      <c r="MO2976" s="37"/>
      <c r="MP2976" s="37"/>
      <c r="MQ2976" s="37"/>
      <c r="MR2976" s="37"/>
      <c r="MS2976" s="37"/>
      <c r="MT2976" s="37"/>
      <c r="MU2976" s="37"/>
      <c r="MV2976" s="37"/>
      <c r="MW2976" s="37"/>
      <c r="MX2976" s="37"/>
      <c r="MY2976" s="37"/>
      <c r="MZ2976" s="37"/>
      <c r="NA2976" s="37"/>
      <c r="NB2976" s="37"/>
      <c r="NC2976" s="37"/>
      <c r="ND2976" s="37"/>
      <c r="NE2976" s="37"/>
      <c r="NF2976" s="37"/>
      <c r="NG2976" s="37"/>
      <c r="NH2976" s="37"/>
      <c r="NI2976" s="37"/>
      <c r="NJ2976" s="37"/>
      <c r="NK2976" s="37"/>
      <c r="NL2976" s="37"/>
      <c r="NM2976" s="37"/>
      <c r="NN2976" s="37"/>
      <c r="NO2976" s="37"/>
      <c r="NP2976" s="37"/>
      <c r="NQ2976" s="37"/>
      <c r="NR2976" s="37"/>
      <c r="NS2976" s="37"/>
      <c r="NT2976" s="37"/>
      <c r="NU2976" s="37"/>
      <c r="NV2976" s="37"/>
      <c r="NW2976" s="37"/>
      <c r="NX2976" s="37"/>
      <c r="NY2976" s="37"/>
      <c r="NZ2976" s="37"/>
      <c r="OA2976" s="37"/>
      <c r="OB2976" s="37"/>
      <c r="OC2976" s="37"/>
      <c r="OD2976" s="37"/>
      <c r="OE2976" s="37"/>
      <c r="OF2976" s="37"/>
      <c r="OG2976" s="37"/>
      <c r="OH2976" s="37"/>
      <c r="OI2976" s="37"/>
      <c r="OJ2976" s="37"/>
      <c r="OK2976" s="37"/>
      <c r="OL2976" s="37"/>
      <c r="OM2976" s="37"/>
      <c r="ON2976" s="37"/>
      <c r="OO2976" s="37"/>
      <c r="OP2976" s="37"/>
      <c r="OQ2976" s="37"/>
      <c r="OR2976" s="37"/>
      <c r="OS2976" s="37"/>
      <c r="OT2976" s="37"/>
      <c r="OU2976" s="37"/>
      <c r="OV2976" s="37"/>
      <c r="OW2976" s="37"/>
      <c r="OX2976" s="37"/>
      <c r="OY2976" s="37"/>
      <c r="OZ2976" s="37"/>
      <c r="PA2976" s="37"/>
      <c r="PB2976" s="37"/>
      <c r="PC2976" s="37"/>
      <c r="PD2976" s="37"/>
      <c r="PE2976" s="37"/>
      <c r="PF2976" s="37"/>
      <c r="PG2976" s="37"/>
      <c r="PH2976" s="37"/>
      <c r="PI2976" s="37"/>
      <c r="PJ2976" s="37"/>
      <c r="PK2976" s="37"/>
      <c r="PL2976" s="37"/>
      <c r="PM2976" s="37"/>
      <c r="PN2976" s="37"/>
      <c r="PO2976" s="37"/>
      <c r="PP2976" s="37"/>
      <c r="PQ2976" s="37"/>
      <c r="PR2976" s="37"/>
      <c r="PS2976" s="37"/>
      <c r="PT2976" s="37"/>
      <c r="PU2976" s="37"/>
      <c r="PV2976" s="37"/>
      <c r="PW2976" s="37"/>
      <c r="PX2976" s="37"/>
      <c r="PY2976" s="37"/>
      <c r="PZ2976" s="37"/>
      <c r="QA2976" s="37"/>
      <c r="QB2976" s="37"/>
      <c r="QC2976" s="37"/>
      <c r="QD2976" s="37"/>
      <c r="QE2976" s="37"/>
      <c r="QF2976" s="37"/>
      <c r="QG2976" s="37"/>
      <c r="QH2976" s="37"/>
      <c r="QI2976" s="37"/>
      <c r="QJ2976" s="37"/>
      <c r="QK2976" s="37"/>
      <c r="QL2976" s="37"/>
      <c r="QM2976" s="37"/>
      <c r="QN2976" s="37"/>
      <c r="QO2976" s="37"/>
      <c r="QP2976" s="37"/>
      <c r="QQ2976" s="37"/>
      <c r="QR2976" s="37"/>
      <c r="QS2976" s="37"/>
      <c r="QT2976" s="37"/>
      <c r="QU2976" s="37"/>
      <c r="QV2976" s="37"/>
      <c r="QW2976" s="37"/>
      <c r="QX2976" s="37"/>
      <c r="QY2976" s="37"/>
      <c r="QZ2976" s="37"/>
      <c r="RA2976" s="37"/>
      <c r="RB2976" s="37"/>
      <c r="RC2976" s="37"/>
      <c r="RD2976" s="37"/>
      <c r="RE2976" s="37"/>
      <c r="RF2976" s="37"/>
      <c r="RG2976" s="37"/>
      <c r="RH2976" s="37"/>
      <c r="RI2976" s="37"/>
      <c r="RJ2976" s="37"/>
      <c r="RK2976" s="37"/>
      <c r="RL2976" s="37"/>
      <c r="RM2976" s="37"/>
      <c r="RN2976" s="37"/>
      <c r="RO2976" s="37"/>
      <c r="RP2976" s="37"/>
      <c r="RQ2976" s="37"/>
      <c r="RR2976" s="37"/>
      <c r="RS2976" s="37"/>
      <c r="RT2976" s="37"/>
      <c r="RU2976" s="37"/>
      <c r="RV2976" s="37"/>
      <c r="RW2976" s="37"/>
      <c r="RX2976" s="37"/>
      <c r="RY2976" s="37"/>
      <c r="RZ2976" s="37"/>
      <c r="SA2976" s="37"/>
      <c r="SB2976" s="37"/>
      <c r="SC2976" s="37"/>
      <c r="SD2976" s="37"/>
      <c r="SE2976" s="37"/>
      <c r="SF2976" s="37"/>
    </row>
    <row r="2977" spans="1:500">
      <c r="A2977" s="37"/>
      <c r="B2977" s="37"/>
      <c r="C2977" s="37"/>
      <c r="D2977" s="37"/>
      <c r="E2977" s="37"/>
      <c r="F2977" s="37"/>
      <c r="G2977" s="37"/>
      <c r="H2977" s="37"/>
      <c r="I2977" s="37"/>
      <c r="J2977" s="37"/>
      <c r="K2977" s="37"/>
      <c r="L2977" s="37"/>
      <c r="M2977" s="37"/>
      <c r="N2977" s="37"/>
      <c r="O2977" s="37"/>
      <c r="P2977" s="37"/>
      <c r="Q2977" s="37"/>
      <c r="R2977" s="37"/>
      <c r="S2977" s="37"/>
      <c r="T2977" s="37"/>
      <c r="U2977" s="37"/>
      <c r="V2977" s="37"/>
      <c r="W2977" s="37"/>
      <c r="X2977" s="37"/>
      <c r="Y2977" s="37"/>
      <c r="Z2977" s="37"/>
      <c r="AA2977" s="37"/>
      <c r="AB2977" s="37"/>
      <c r="AC2977" s="37"/>
      <c r="AD2977" s="37"/>
      <c r="AE2977" s="37"/>
      <c r="AF2977" s="37"/>
      <c r="AG2977" s="37"/>
      <c r="AH2977" s="37"/>
      <c r="AI2977" s="37"/>
      <c r="AJ2977" s="37"/>
      <c r="AK2977" s="37"/>
      <c r="AL2977" s="37"/>
      <c r="AM2977" s="37"/>
      <c r="AN2977" s="37"/>
      <c r="AO2977" s="37"/>
      <c r="AP2977" s="37"/>
      <c r="AQ2977" s="37"/>
      <c r="AR2977" s="37"/>
      <c r="AS2977" s="37"/>
      <c r="AT2977" s="37"/>
      <c r="AU2977" s="37"/>
      <c r="AV2977" s="37"/>
      <c r="AW2977" s="37"/>
      <c r="AX2977" s="37"/>
      <c r="AY2977" s="37"/>
      <c r="AZ2977" s="37"/>
      <c r="BA2977" s="37"/>
      <c r="BB2977" s="37"/>
      <c r="BC2977" s="37"/>
      <c r="BD2977" s="37"/>
      <c r="BE2977" s="37"/>
      <c r="BF2977" s="37"/>
      <c r="BG2977" s="37"/>
      <c r="BH2977" s="37"/>
      <c r="BI2977" s="37"/>
      <c r="BJ2977" s="37"/>
      <c r="BK2977" s="37"/>
      <c r="BL2977" s="37"/>
      <c r="BM2977" s="37"/>
      <c r="BN2977" s="37"/>
      <c r="BO2977" s="37"/>
      <c r="BP2977" s="37"/>
      <c r="BQ2977" s="37"/>
      <c r="BR2977" s="37"/>
      <c r="BS2977" s="37"/>
      <c r="BT2977" s="37"/>
      <c r="BU2977" s="37"/>
      <c r="BV2977" s="37"/>
      <c r="BW2977" s="37"/>
      <c r="BX2977" s="37"/>
      <c r="BY2977" s="37"/>
      <c r="BZ2977" s="37"/>
      <c r="CA2977" s="37"/>
      <c r="CB2977" s="37"/>
      <c r="CC2977" s="37"/>
      <c r="CD2977" s="37"/>
      <c r="CE2977" s="37"/>
      <c r="CF2977" s="37"/>
      <c r="CG2977" s="37"/>
      <c r="CH2977" s="37"/>
      <c r="CI2977" s="37"/>
      <c r="CJ2977" s="37"/>
      <c r="CK2977" s="37"/>
      <c r="CL2977" s="37"/>
      <c r="CM2977" s="37"/>
      <c r="CN2977" s="37"/>
      <c r="CO2977" s="37"/>
      <c r="CP2977" s="37"/>
      <c r="CQ2977" s="37"/>
      <c r="CR2977" s="37"/>
      <c r="CS2977" s="37"/>
      <c r="CT2977" s="37"/>
      <c r="CU2977" s="37"/>
      <c r="CV2977" s="37"/>
      <c r="CW2977" s="37"/>
      <c r="CX2977" s="37"/>
      <c r="CY2977" s="37"/>
      <c r="CZ2977" s="37"/>
      <c r="DA2977" s="37"/>
      <c r="DB2977" s="37"/>
      <c r="DC2977" s="37"/>
      <c r="DD2977" s="37"/>
      <c r="DE2977" s="37"/>
      <c r="DF2977" s="37"/>
      <c r="DG2977" s="37"/>
      <c r="DH2977" s="37"/>
      <c r="DI2977" s="37"/>
      <c r="DJ2977" s="37"/>
      <c r="DK2977" s="37"/>
      <c r="DL2977" s="37"/>
      <c r="DM2977" s="37"/>
      <c r="DN2977" s="37"/>
      <c r="DO2977" s="37"/>
      <c r="DP2977" s="37"/>
      <c r="DQ2977" s="37"/>
      <c r="DR2977" s="37"/>
      <c r="DS2977" s="37"/>
      <c r="DT2977" s="37"/>
      <c r="DU2977" s="37"/>
      <c r="DV2977" s="37"/>
      <c r="DW2977" s="37"/>
      <c r="DX2977" s="37"/>
      <c r="DY2977" s="37"/>
      <c r="DZ2977" s="37"/>
      <c r="EA2977" s="37"/>
      <c r="EB2977" s="37"/>
      <c r="EC2977" s="37"/>
      <c r="ED2977" s="37"/>
      <c r="EE2977" s="37"/>
      <c r="EF2977" s="37"/>
      <c r="EG2977" s="37"/>
      <c r="EH2977" s="37"/>
      <c r="EI2977" s="37"/>
      <c r="EJ2977" s="37"/>
      <c r="EK2977" s="37"/>
      <c r="EL2977" s="37"/>
      <c r="EM2977" s="37"/>
      <c r="EN2977" s="37"/>
      <c r="EO2977" s="37"/>
      <c r="EP2977" s="37"/>
      <c r="EQ2977" s="37"/>
      <c r="ER2977" s="37"/>
      <c r="ES2977" s="37"/>
      <c r="ET2977" s="37"/>
      <c r="EU2977" s="37"/>
      <c r="EV2977" s="37"/>
      <c r="EW2977" s="37"/>
      <c r="EX2977" s="37"/>
      <c r="EY2977" s="37"/>
      <c r="EZ2977" s="37"/>
      <c r="FA2977" s="37"/>
      <c r="FB2977" s="37"/>
      <c r="FC2977" s="37"/>
      <c r="FD2977" s="37"/>
      <c r="FE2977" s="37"/>
      <c r="FF2977" s="37"/>
      <c r="FG2977" s="37"/>
      <c r="FH2977" s="37"/>
      <c r="FI2977" s="37"/>
      <c r="FJ2977" s="37"/>
      <c r="FK2977" s="37"/>
      <c r="FL2977" s="37"/>
      <c r="FM2977" s="37"/>
      <c r="FN2977" s="37"/>
      <c r="FO2977" s="37"/>
      <c r="FP2977" s="37"/>
      <c r="FQ2977" s="37"/>
      <c r="FR2977" s="37"/>
      <c r="FS2977" s="37"/>
      <c r="FT2977" s="37"/>
      <c r="FU2977" s="37"/>
      <c r="FV2977" s="37"/>
      <c r="FW2977" s="37"/>
      <c r="FX2977" s="37"/>
      <c r="FY2977" s="37"/>
      <c r="FZ2977" s="37"/>
      <c r="GA2977" s="37"/>
      <c r="GB2977" s="37"/>
      <c r="GC2977" s="37"/>
      <c r="GD2977" s="37"/>
      <c r="GE2977" s="37"/>
      <c r="GF2977" s="37"/>
      <c r="GG2977" s="37"/>
      <c r="GH2977" s="37"/>
      <c r="GI2977" s="37"/>
      <c r="GJ2977" s="37"/>
      <c r="GK2977" s="37"/>
      <c r="GL2977" s="37"/>
      <c r="GM2977" s="37"/>
      <c r="GN2977" s="37"/>
      <c r="GO2977" s="37"/>
      <c r="GP2977" s="37"/>
      <c r="GQ2977" s="37"/>
      <c r="GR2977" s="37"/>
      <c r="GS2977" s="37"/>
      <c r="GT2977" s="37"/>
      <c r="GU2977" s="37"/>
      <c r="GV2977" s="37"/>
      <c r="GW2977" s="37"/>
      <c r="GX2977" s="37"/>
      <c r="GY2977" s="37"/>
      <c r="GZ2977" s="37"/>
      <c r="HA2977" s="37"/>
      <c r="HB2977" s="37"/>
      <c r="HC2977" s="37"/>
      <c r="HD2977" s="37"/>
      <c r="HE2977" s="37"/>
      <c r="HF2977" s="37"/>
      <c r="HG2977" s="37"/>
      <c r="HH2977" s="37"/>
      <c r="HI2977" s="37"/>
      <c r="HJ2977" s="37"/>
      <c r="HK2977" s="37"/>
      <c r="HL2977" s="37"/>
      <c r="HM2977" s="37"/>
      <c r="HN2977" s="37"/>
      <c r="HO2977" s="37"/>
      <c r="HP2977" s="37"/>
      <c r="HQ2977" s="37"/>
      <c r="HR2977" s="37"/>
      <c r="HS2977" s="37"/>
      <c r="HT2977" s="37"/>
      <c r="HU2977" s="37"/>
      <c r="HV2977" s="37"/>
      <c r="HW2977" s="37"/>
      <c r="HX2977" s="37"/>
      <c r="HY2977" s="37"/>
      <c r="HZ2977" s="37"/>
      <c r="IA2977" s="37"/>
      <c r="IB2977" s="37"/>
      <c r="IC2977" s="37"/>
      <c r="ID2977" s="37"/>
      <c r="IE2977" s="37"/>
      <c r="IF2977" s="37"/>
      <c r="IG2977" s="37"/>
      <c r="IH2977" s="37"/>
      <c r="II2977" s="37"/>
      <c r="IJ2977" s="37"/>
      <c r="IK2977" s="37"/>
      <c r="IL2977" s="37"/>
      <c r="IM2977" s="37"/>
      <c r="IN2977" s="37"/>
      <c r="IO2977" s="37"/>
      <c r="IP2977" s="37"/>
      <c r="IQ2977" s="37"/>
      <c r="IR2977" s="37"/>
      <c r="IS2977" s="37"/>
      <c r="IT2977" s="37"/>
      <c r="IU2977" s="37"/>
      <c r="IV2977" s="37"/>
      <c r="IW2977" s="37"/>
      <c r="IX2977" s="37"/>
      <c r="IY2977" s="37"/>
      <c r="IZ2977" s="37"/>
      <c r="JA2977" s="37"/>
      <c r="JB2977" s="37"/>
      <c r="JC2977" s="37"/>
      <c r="JD2977" s="37"/>
      <c r="JE2977" s="37"/>
      <c r="JF2977" s="37"/>
      <c r="JG2977" s="37"/>
      <c r="JH2977" s="37"/>
      <c r="JI2977" s="37"/>
      <c r="JJ2977" s="37"/>
      <c r="JK2977" s="37"/>
      <c r="JL2977" s="37"/>
      <c r="JM2977" s="37"/>
      <c r="JN2977" s="37"/>
      <c r="JO2977" s="37"/>
      <c r="JP2977" s="37"/>
      <c r="JQ2977" s="37"/>
      <c r="JR2977" s="37"/>
      <c r="JS2977" s="37"/>
      <c r="JT2977" s="37"/>
      <c r="JU2977" s="37"/>
      <c r="JV2977" s="37"/>
      <c r="JW2977" s="37"/>
      <c r="JX2977" s="37"/>
      <c r="JY2977" s="37"/>
      <c r="JZ2977" s="37"/>
      <c r="KA2977" s="37"/>
      <c r="KB2977" s="37"/>
      <c r="KC2977" s="37"/>
      <c r="KD2977" s="37"/>
      <c r="KE2977" s="37"/>
      <c r="KF2977" s="37"/>
      <c r="KG2977" s="37"/>
      <c r="KH2977" s="37"/>
      <c r="KI2977" s="37"/>
      <c r="KJ2977" s="37"/>
      <c r="KK2977" s="37"/>
      <c r="KL2977" s="37"/>
      <c r="KM2977" s="37"/>
      <c r="KN2977" s="37"/>
      <c r="KO2977" s="37"/>
      <c r="KP2977" s="37"/>
      <c r="KQ2977" s="37"/>
      <c r="KR2977" s="37"/>
      <c r="KS2977" s="37"/>
      <c r="KT2977" s="37"/>
      <c r="KU2977" s="37"/>
      <c r="KV2977" s="37"/>
      <c r="KW2977" s="37"/>
      <c r="KX2977" s="37"/>
      <c r="KY2977" s="37"/>
      <c r="KZ2977" s="37"/>
      <c r="LA2977" s="37"/>
      <c r="LB2977" s="37"/>
      <c r="LC2977" s="37"/>
      <c r="LD2977" s="37"/>
      <c r="LE2977" s="37"/>
      <c r="LF2977" s="37"/>
      <c r="LG2977" s="37"/>
      <c r="LH2977" s="37"/>
      <c r="LI2977" s="37"/>
      <c r="LJ2977" s="37"/>
      <c r="LK2977" s="37"/>
      <c r="LL2977" s="37"/>
      <c r="LM2977" s="37"/>
      <c r="LN2977" s="37"/>
      <c r="LO2977" s="37"/>
      <c r="LP2977" s="37"/>
      <c r="LQ2977" s="37"/>
      <c r="LR2977" s="37"/>
      <c r="LS2977" s="37"/>
      <c r="LT2977" s="37"/>
      <c r="LU2977" s="37"/>
      <c r="LV2977" s="37"/>
      <c r="LW2977" s="37"/>
      <c r="LX2977" s="37"/>
      <c r="LY2977" s="37"/>
      <c r="LZ2977" s="37"/>
      <c r="MA2977" s="37"/>
      <c r="MB2977" s="37"/>
      <c r="MC2977" s="37"/>
      <c r="MD2977" s="37"/>
      <c r="ME2977" s="37"/>
      <c r="MF2977" s="37"/>
      <c r="MG2977" s="37"/>
      <c r="MH2977" s="37"/>
      <c r="MI2977" s="37"/>
      <c r="MJ2977" s="37"/>
      <c r="MK2977" s="37"/>
      <c r="ML2977" s="37"/>
      <c r="MM2977" s="37"/>
      <c r="MN2977" s="37"/>
      <c r="MO2977" s="37"/>
      <c r="MP2977" s="37"/>
      <c r="MQ2977" s="37"/>
      <c r="MR2977" s="37"/>
      <c r="MS2977" s="37"/>
      <c r="MT2977" s="37"/>
      <c r="MU2977" s="37"/>
      <c r="MV2977" s="37"/>
      <c r="MW2977" s="37"/>
      <c r="MX2977" s="37"/>
      <c r="MY2977" s="37"/>
      <c r="MZ2977" s="37"/>
      <c r="NA2977" s="37"/>
      <c r="NB2977" s="37"/>
      <c r="NC2977" s="37"/>
      <c r="ND2977" s="37"/>
      <c r="NE2977" s="37"/>
      <c r="NF2977" s="37"/>
      <c r="NG2977" s="37"/>
      <c r="NH2977" s="37"/>
      <c r="NI2977" s="37"/>
      <c r="NJ2977" s="37"/>
      <c r="NK2977" s="37"/>
      <c r="NL2977" s="37"/>
      <c r="NM2977" s="37"/>
      <c r="NN2977" s="37"/>
      <c r="NO2977" s="37"/>
      <c r="NP2977" s="37"/>
      <c r="NQ2977" s="37"/>
      <c r="NR2977" s="37"/>
      <c r="NS2977" s="37"/>
      <c r="NT2977" s="37"/>
      <c r="NU2977" s="37"/>
      <c r="NV2977" s="37"/>
      <c r="NW2977" s="37"/>
      <c r="NX2977" s="37"/>
      <c r="NY2977" s="37"/>
      <c r="NZ2977" s="37"/>
      <c r="OA2977" s="37"/>
      <c r="OB2977" s="37"/>
      <c r="OC2977" s="37"/>
      <c r="OD2977" s="37"/>
      <c r="OE2977" s="37"/>
      <c r="OF2977" s="37"/>
      <c r="OG2977" s="37"/>
      <c r="OH2977" s="37"/>
      <c r="OI2977" s="37"/>
      <c r="OJ2977" s="37"/>
      <c r="OK2977" s="37"/>
      <c r="OL2977" s="37"/>
      <c r="OM2977" s="37"/>
      <c r="ON2977" s="37"/>
      <c r="OO2977" s="37"/>
      <c r="OP2977" s="37"/>
      <c r="OQ2977" s="37"/>
      <c r="OR2977" s="37"/>
      <c r="OS2977" s="37"/>
      <c r="OT2977" s="37"/>
      <c r="OU2977" s="37"/>
      <c r="OV2977" s="37"/>
      <c r="OW2977" s="37"/>
      <c r="OX2977" s="37"/>
      <c r="OY2977" s="37"/>
      <c r="OZ2977" s="37"/>
      <c r="PA2977" s="37"/>
      <c r="PB2977" s="37"/>
      <c r="PC2977" s="37"/>
      <c r="PD2977" s="37"/>
      <c r="PE2977" s="37"/>
      <c r="PF2977" s="37"/>
      <c r="PG2977" s="37"/>
      <c r="PH2977" s="37"/>
      <c r="PI2977" s="37"/>
      <c r="PJ2977" s="37"/>
      <c r="PK2977" s="37"/>
      <c r="PL2977" s="37"/>
      <c r="PM2977" s="37"/>
      <c r="PN2977" s="37"/>
      <c r="PO2977" s="37"/>
      <c r="PP2977" s="37"/>
      <c r="PQ2977" s="37"/>
      <c r="PR2977" s="37"/>
      <c r="PS2977" s="37"/>
      <c r="PT2977" s="37"/>
      <c r="PU2977" s="37"/>
      <c r="PV2977" s="37"/>
      <c r="PW2977" s="37"/>
      <c r="PX2977" s="37"/>
      <c r="PY2977" s="37"/>
      <c r="PZ2977" s="37"/>
      <c r="QA2977" s="37"/>
      <c r="QB2977" s="37"/>
      <c r="QC2977" s="37"/>
      <c r="QD2977" s="37"/>
      <c r="QE2977" s="37"/>
      <c r="QF2977" s="37"/>
      <c r="QG2977" s="37"/>
      <c r="QH2977" s="37"/>
      <c r="QI2977" s="37"/>
      <c r="QJ2977" s="37"/>
      <c r="QK2977" s="37"/>
      <c r="QL2977" s="37"/>
      <c r="QM2977" s="37"/>
      <c r="QN2977" s="37"/>
      <c r="QO2977" s="37"/>
      <c r="QP2977" s="37"/>
      <c r="QQ2977" s="37"/>
      <c r="QR2977" s="37"/>
      <c r="QS2977" s="37"/>
      <c r="QT2977" s="37"/>
      <c r="QU2977" s="37"/>
      <c r="QV2977" s="37"/>
      <c r="QW2977" s="37"/>
      <c r="QX2977" s="37"/>
      <c r="QY2977" s="37"/>
      <c r="QZ2977" s="37"/>
      <c r="RA2977" s="37"/>
      <c r="RB2977" s="37"/>
      <c r="RC2977" s="37"/>
      <c r="RD2977" s="37"/>
      <c r="RE2977" s="37"/>
      <c r="RF2977" s="37"/>
      <c r="RG2977" s="37"/>
      <c r="RH2977" s="37"/>
      <c r="RI2977" s="37"/>
      <c r="RJ2977" s="37"/>
      <c r="RK2977" s="37"/>
      <c r="RL2977" s="37"/>
      <c r="RM2977" s="37"/>
      <c r="RN2977" s="37"/>
      <c r="RO2977" s="37"/>
      <c r="RP2977" s="37"/>
      <c r="RQ2977" s="37"/>
      <c r="RR2977" s="37"/>
      <c r="RS2977" s="37"/>
      <c r="RT2977" s="37"/>
      <c r="RU2977" s="37"/>
      <c r="RV2977" s="37"/>
      <c r="RW2977" s="37"/>
      <c r="RX2977" s="37"/>
      <c r="RY2977" s="37"/>
      <c r="RZ2977" s="37"/>
      <c r="SA2977" s="37"/>
      <c r="SB2977" s="37"/>
      <c r="SC2977" s="37"/>
      <c r="SD2977" s="37"/>
      <c r="SE2977" s="37"/>
      <c r="SF2977" s="37"/>
    </row>
    <row r="2978" spans="1:500">
      <c r="A2978" s="37"/>
      <c r="B2978" s="37"/>
      <c r="C2978" s="37"/>
      <c r="D2978" s="37"/>
      <c r="E2978" s="37"/>
      <c r="F2978" s="37"/>
      <c r="G2978" s="37"/>
      <c r="H2978" s="37"/>
      <c r="I2978" s="37"/>
      <c r="J2978" s="37"/>
      <c r="K2978" s="37"/>
      <c r="L2978" s="37"/>
      <c r="M2978" s="37"/>
      <c r="N2978" s="37"/>
      <c r="O2978" s="37"/>
      <c r="P2978" s="37"/>
      <c r="Q2978" s="37"/>
      <c r="R2978" s="37"/>
      <c r="S2978" s="37"/>
      <c r="T2978" s="37"/>
      <c r="U2978" s="37"/>
      <c r="V2978" s="37"/>
      <c r="W2978" s="37"/>
      <c r="X2978" s="37"/>
      <c r="Y2978" s="37"/>
      <c r="Z2978" s="37"/>
      <c r="AA2978" s="37"/>
      <c r="AB2978" s="37"/>
      <c r="AC2978" s="37"/>
      <c r="AD2978" s="37"/>
      <c r="AE2978" s="37"/>
      <c r="AF2978" s="37"/>
      <c r="AG2978" s="37"/>
      <c r="AH2978" s="37"/>
      <c r="AI2978" s="37"/>
      <c r="AJ2978" s="37"/>
      <c r="AK2978" s="37"/>
      <c r="AL2978" s="37"/>
      <c r="AM2978" s="37"/>
      <c r="AN2978" s="37"/>
      <c r="AO2978" s="37"/>
      <c r="AP2978" s="37"/>
      <c r="AQ2978" s="37"/>
      <c r="AR2978" s="37"/>
      <c r="AS2978" s="37"/>
      <c r="AT2978" s="37"/>
      <c r="AU2978" s="37"/>
      <c r="AV2978" s="37"/>
      <c r="AW2978" s="37"/>
      <c r="AX2978" s="37"/>
      <c r="AY2978" s="37"/>
      <c r="AZ2978" s="37"/>
      <c r="BA2978" s="37"/>
      <c r="BB2978" s="37"/>
      <c r="BC2978" s="37"/>
      <c r="BD2978" s="37"/>
      <c r="BE2978" s="37"/>
      <c r="BF2978" s="37"/>
      <c r="BG2978" s="37"/>
      <c r="BH2978" s="37"/>
      <c r="BI2978" s="37"/>
      <c r="BJ2978" s="37"/>
      <c r="BK2978" s="37"/>
      <c r="BL2978" s="37"/>
      <c r="BM2978" s="37"/>
      <c r="BN2978" s="37"/>
      <c r="BO2978" s="37"/>
      <c r="BP2978" s="37"/>
      <c r="BQ2978" s="37"/>
      <c r="BR2978" s="37"/>
      <c r="BS2978" s="37"/>
      <c r="BT2978" s="37"/>
      <c r="BU2978" s="37"/>
      <c r="BV2978" s="37"/>
      <c r="BW2978" s="37"/>
      <c r="BX2978" s="37"/>
      <c r="BY2978" s="37"/>
      <c r="BZ2978" s="37"/>
      <c r="CA2978" s="37"/>
      <c r="CB2978" s="37"/>
      <c r="CC2978" s="37"/>
      <c r="CD2978" s="37"/>
      <c r="CE2978" s="37"/>
      <c r="CF2978" s="37"/>
      <c r="CG2978" s="37"/>
      <c r="CH2978" s="37"/>
      <c r="CI2978" s="37"/>
      <c r="CJ2978" s="37"/>
      <c r="CK2978" s="37"/>
      <c r="CL2978" s="37"/>
      <c r="CM2978" s="37"/>
      <c r="CN2978" s="37"/>
      <c r="CO2978" s="37"/>
      <c r="CP2978" s="37"/>
      <c r="CQ2978" s="37"/>
      <c r="CR2978" s="37"/>
      <c r="CS2978" s="37"/>
      <c r="CT2978" s="37"/>
      <c r="CU2978" s="37"/>
      <c r="CV2978" s="37"/>
      <c r="CW2978" s="37"/>
      <c r="CX2978" s="37"/>
      <c r="CY2978" s="37"/>
      <c r="CZ2978" s="37"/>
      <c r="DA2978" s="37"/>
      <c r="DB2978" s="37"/>
      <c r="DC2978" s="37"/>
      <c r="DD2978" s="37"/>
      <c r="DE2978" s="37"/>
      <c r="DF2978" s="37"/>
      <c r="DG2978" s="37"/>
      <c r="DH2978" s="37"/>
      <c r="DI2978" s="37"/>
      <c r="DJ2978" s="37"/>
      <c r="DK2978" s="37"/>
      <c r="DL2978" s="37"/>
      <c r="DM2978" s="37"/>
      <c r="DN2978" s="37"/>
      <c r="DO2978" s="37"/>
      <c r="DP2978" s="37"/>
      <c r="DQ2978" s="37"/>
      <c r="DR2978" s="37"/>
      <c r="DS2978" s="37"/>
      <c r="DT2978" s="37"/>
      <c r="DU2978" s="37"/>
      <c r="DV2978" s="37"/>
      <c r="DW2978" s="37"/>
      <c r="DX2978" s="37"/>
      <c r="DY2978" s="37"/>
      <c r="DZ2978" s="37"/>
      <c r="EA2978" s="37"/>
      <c r="EB2978" s="37"/>
      <c r="EC2978" s="37"/>
      <c r="ED2978" s="37"/>
      <c r="EE2978" s="37"/>
      <c r="EF2978" s="37"/>
      <c r="EG2978" s="37"/>
      <c r="EH2978" s="37"/>
      <c r="EI2978" s="37"/>
      <c r="EJ2978" s="37"/>
      <c r="EK2978" s="37"/>
      <c r="EL2978" s="37"/>
      <c r="EM2978" s="37"/>
      <c r="EN2978" s="37"/>
      <c r="EO2978" s="37"/>
      <c r="EP2978" s="37"/>
      <c r="EQ2978" s="37"/>
      <c r="ER2978" s="37"/>
      <c r="ES2978" s="37"/>
      <c r="ET2978" s="37"/>
      <c r="EU2978" s="37"/>
      <c r="EV2978" s="37"/>
      <c r="EW2978" s="37"/>
      <c r="EX2978" s="37"/>
      <c r="EY2978" s="37"/>
      <c r="EZ2978" s="37"/>
      <c r="FA2978" s="37"/>
      <c r="FB2978" s="37"/>
      <c r="FC2978" s="37"/>
      <c r="FD2978" s="37"/>
      <c r="FE2978" s="37"/>
      <c r="FF2978" s="37"/>
      <c r="FG2978" s="37"/>
      <c r="FH2978" s="37"/>
      <c r="FI2978" s="37"/>
      <c r="FJ2978" s="37"/>
      <c r="FK2978" s="37"/>
      <c r="FL2978" s="37"/>
      <c r="FM2978" s="37"/>
      <c r="FN2978" s="37"/>
      <c r="FO2978" s="37"/>
      <c r="FP2978" s="37"/>
      <c r="FQ2978" s="37"/>
      <c r="FR2978" s="37"/>
      <c r="FS2978" s="37"/>
      <c r="FT2978" s="37"/>
      <c r="FU2978" s="37"/>
      <c r="FV2978" s="37"/>
      <c r="FW2978" s="37"/>
      <c r="FX2978" s="37"/>
      <c r="FY2978" s="37"/>
      <c r="FZ2978" s="37"/>
      <c r="GA2978" s="37"/>
      <c r="GB2978" s="37"/>
      <c r="GC2978" s="37"/>
      <c r="GD2978" s="37"/>
      <c r="GE2978" s="37"/>
      <c r="GF2978" s="37"/>
      <c r="GG2978" s="37"/>
      <c r="GH2978" s="37"/>
      <c r="GI2978" s="37"/>
      <c r="GJ2978" s="37"/>
      <c r="GK2978" s="37"/>
      <c r="GL2978" s="37"/>
      <c r="GM2978" s="37"/>
      <c r="GN2978" s="37"/>
      <c r="GO2978" s="37"/>
      <c r="GP2978" s="37"/>
      <c r="GQ2978" s="37"/>
      <c r="GR2978" s="37"/>
      <c r="GS2978" s="37"/>
      <c r="GT2978" s="37"/>
      <c r="GU2978" s="37"/>
      <c r="GV2978" s="37"/>
      <c r="GW2978" s="37"/>
      <c r="GX2978" s="37"/>
      <c r="GY2978" s="37"/>
      <c r="GZ2978" s="37"/>
      <c r="HA2978" s="37"/>
      <c r="HB2978" s="37"/>
      <c r="HC2978" s="37"/>
      <c r="HD2978" s="37"/>
      <c r="HE2978" s="37"/>
      <c r="HF2978" s="37"/>
      <c r="HG2978" s="37"/>
      <c r="HH2978" s="37"/>
      <c r="HI2978" s="37"/>
      <c r="HJ2978" s="37"/>
      <c r="HK2978" s="37"/>
      <c r="HL2978" s="37"/>
      <c r="HM2978" s="37"/>
      <c r="HN2978" s="37"/>
      <c r="HO2978" s="37"/>
      <c r="HP2978" s="37"/>
      <c r="HQ2978" s="37"/>
      <c r="HR2978" s="37"/>
      <c r="HS2978" s="37"/>
      <c r="HT2978" s="37"/>
      <c r="HU2978" s="37"/>
      <c r="HV2978" s="37"/>
      <c r="HW2978" s="37"/>
      <c r="HX2978" s="37"/>
      <c r="HY2978" s="37"/>
      <c r="HZ2978" s="37"/>
      <c r="IA2978" s="37"/>
      <c r="IB2978" s="37"/>
      <c r="IC2978" s="37"/>
      <c r="ID2978" s="37"/>
      <c r="IE2978" s="37"/>
      <c r="IF2978" s="37"/>
      <c r="IG2978" s="37"/>
      <c r="IH2978" s="37"/>
      <c r="II2978" s="37"/>
      <c r="IJ2978" s="37"/>
      <c r="IK2978" s="37"/>
      <c r="IL2978" s="37"/>
      <c r="IM2978" s="37"/>
      <c r="IN2978" s="37"/>
      <c r="IO2978" s="37"/>
      <c r="IP2978" s="37"/>
      <c r="IQ2978" s="37"/>
      <c r="IR2978" s="37"/>
      <c r="IS2978" s="37"/>
      <c r="IT2978" s="37"/>
      <c r="IU2978" s="37"/>
      <c r="IV2978" s="37"/>
      <c r="IW2978" s="37"/>
      <c r="IX2978" s="37"/>
      <c r="IY2978" s="37"/>
      <c r="IZ2978" s="37"/>
      <c r="JA2978" s="37"/>
      <c r="JB2978" s="37"/>
      <c r="JC2978" s="37"/>
      <c r="JD2978" s="37"/>
      <c r="JE2978" s="37"/>
      <c r="JF2978" s="37"/>
      <c r="JG2978" s="37"/>
      <c r="JH2978" s="37"/>
      <c r="JI2978" s="37"/>
      <c r="JJ2978" s="37"/>
      <c r="JK2978" s="37"/>
      <c r="JL2978" s="37"/>
      <c r="JM2978" s="37"/>
      <c r="JN2978" s="37"/>
      <c r="JO2978" s="37"/>
      <c r="JP2978" s="37"/>
      <c r="JQ2978" s="37"/>
      <c r="JR2978" s="37"/>
      <c r="JS2978" s="37"/>
      <c r="JT2978" s="37"/>
      <c r="JU2978" s="37"/>
      <c r="JV2978" s="37"/>
      <c r="JW2978" s="37"/>
      <c r="JX2978" s="37"/>
      <c r="JY2978" s="37"/>
      <c r="JZ2978" s="37"/>
      <c r="KA2978" s="37"/>
      <c r="KB2978" s="37"/>
      <c r="KC2978" s="37"/>
      <c r="KD2978" s="37"/>
      <c r="KE2978" s="37"/>
      <c r="KF2978" s="37"/>
      <c r="KG2978" s="37"/>
      <c r="KH2978" s="37"/>
      <c r="KI2978" s="37"/>
      <c r="KJ2978" s="37"/>
      <c r="KK2978" s="37"/>
      <c r="KL2978" s="37"/>
      <c r="KM2978" s="37"/>
      <c r="KN2978" s="37"/>
      <c r="KO2978" s="37"/>
      <c r="KP2978" s="37"/>
      <c r="KQ2978" s="37"/>
      <c r="KR2978" s="37"/>
      <c r="KS2978" s="37"/>
      <c r="KT2978" s="37"/>
      <c r="KU2978" s="37"/>
      <c r="KV2978" s="37"/>
      <c r="KW2978" s="37"/>
      <c r="KX2978" s="37"/>
      <c r="KY2978" s="37"/>
      <c r="KZ2978" s="37"/>
      <c r="LA2978" s="37"/>
      <c r="LB2978" s="37"/>
      <c r="LC2978" s="37"/>
      <c r="LD2978" s="37"/>
      <c r="LE2978" s="37"/>
      <c r="LF2978" s="37"/>
      <c r="LG2978" s="37"/>
      <c r="LH2978" s="37"/>
      <c r="LI2978" s="37"/>
      <c r="LJ2978" s="37"/>
      <c r="LK2978" s="37"/>
      <c r="LL2978" s="37"/>
      <c r="LM2978" s="37"/>
      <c r="LN2978" s="37"/>
      <c r="LO2978" s="37"/>
      <c r="LP2978" s="37"/>
      <c r="LQ2978" s="37"/>
      <c r="LR2978" s="37"/>
      <c r="LS2978" s="37"/>
      <c r="LT2978" s="37"/>
      <c r="LU2978" s="37"/>
      <c r="LV2978" s="37"/>
      <c r="LW2978" s="37"/>
      <c r="LX2978" s="37"/>
      <c r="LY2978" s="37"/>
      <c r="LZ2978" s="37"/>
      <c r="MA2978" s="37"/>
      <c r="MB2978" s="37"/>
      <c r="MC2978" s="37"/>
      <c r="MD2978" s="37"/>
      <c r="ME2978" s="37"/>
      <c r="MF2978" s="37"/>
      <c r="MG2978" s="37"/>
      <c r="MH2978" s="37"/>
      <c r="MI2978" s="37"/>
      <c r="MJ2978" s="37"/>
      <c r="MK2978" s="37"/>
      <c r="ML2978" s="37"/>
      <c r="MM2978" s="37"/>
      <c r="MN2978" s="37"/>
      <c r="MO2978" s="37"/>
      <c r="MP2978" s="37"/>
      <c r="MQ2978" s="37"/>
      <c r="MR2978" s="37"/>
      <c r="MS2978" s="37"/>
      <c r="MT2978" s="37"/>
      <c r="MU2978" s="37"/>
      <c r="MV2978" s="37"/>
      <c r="MW2978" s="37"/>
      <c r="MX2978" s="37"/>
      <c r="MY2978" s="37"/>
      <c r="MZ2978" s="37"/>
      <c r="NA2978" s="37"/>
      <c r="NB2978" s="37"/>
      <c r="NC2978" s="37"/>
      <c r="ND2978" s="37"/>
      <c r="NE2978" s="37"/>
      <c r="NF2978" s="37"/>
      <c r="NG2978" s="37"/>
      <c r="NH2978" s="37"/>
      <c r="NI2978" s="37"/>
      <c r="NJ2978" s="37"/>
      <c r="NK2978" s="37"/>
      <c r="NL2978" s="37"/>
      <c r="NM2978" s="37"/>
      <c r="NN2978" s="37"/>
      <c r="NO2978" s="37"/>
      <c r="NP2978" s="37"/>
      <c r="NQ2978" s="37"/>
      <c r="NR2978" s="37"/>
      <c r="NS2978" s="37"/>
      <c r="NT2978" s="37"/>
      <c r="NU2978" s="37"/>
      <c r="NV2978" s="37"/>
      <c r="NW2978" s="37"/>
      <c r="NX2978" s="37"/>
      <c r="NY2978" s="37"/>
      <c r="NZ2978" s="37"/>
      <c r="OA2978" s="37"/>
      <c r="OB2978" s="37"/>
      <c r="OC2978" s="37"/>
      <c r="OD2978" s="37"/>
      <c r="OE2978" s="37"/>
      <c r="OF2978" s="37"/>
      <c r="OG2978" s="37"/>
      <c r="OH2978" s="37"/>
      <c r="OI2978" s="37"/>
      <c r="OJ2978" s="37"/>
      <c r="OK2978" s="37"/>
      <c r="OL2978" s="37"/>
      <c r="OM2978" s="37"/>
      <c r="ON2978" s="37"/>
      <c r="OO2978" s="37"/>
      <c r="OP2978" s="37"/>
      <c r="OQ2978" s="37"/>
      <c r="OR2978" s="37"/>
      <c r="OS2978" s="37"/>
      <c r="OT2978" s="37"/>
      <c r="OU2978" s="37"/>
      <c r="OV2978" s="37"/>
      <c r="OW2978" s="37"/>
      <c r="OX2978" s="37"/>
      <c r="OY2978" s="37"/>
      <c r="OZ2978" s="37"/>
      <c r="PA2978" s="37"/>
      <c r="PB2978" s="37"/>
      <c r="PC2978" s="37"/>
      <c r="PD2978" s="37"/>
      <c r="PE2978" s="37"/>
      <c r="PF2978" s="37"/>
      <c r="PG2978" s="37"/>
      <c r="PH2978" s="37"/>
      <c r="PI2978" s="37"/>
      <c r="PJ2978" s="37"/>
      <c r="PK2978" s="37"/>
      <c r="PL2978" s="37"/>
      <c r="PM2978" s="37"/>
      <c r="PN2978" s="37"/>
      <c r="PO2978" s="37"/>
      <c r="PP2978" s="37"/>
      <c r="PQ2978" s="37"/>
      <c r="PR2978" s="37"/>
      <c r="PS2978" s="37"/>
      <c r="PT2978" s="37"/>
      <c r="PU2978" s="37"/>
      <c r="PV2978" s="37"/>
      <c r="PW2978" s="37"/>
      <c r="PX2978" s="37"/>
      <c r="PY2978" s="37"/>
      <c r="PZ2978" s="37"/>
      <c r="QA2978" s="37"/>
      <c r="QB2978" s="37"/>
      <c r="QC2978" s="37"/>
      <c r="QD2978" s="37"/>
      <c r="QE2978" s="37"/>
      <c r="QF2978" s="37"/>
      <c r="QG2978" s="37"/>
      <c r="QH2978" s="37"/>
      <c r="QI2978" s="37"/>
      <c r="QJ2978" s="37"/>
      <c r="QK2978" s="37"/>
      <c r="QL2978" s="37"/>
      <c r="QM2978" s="37"/>
      <c r="QN2978" s="37"/>
      <c r="QO2978" s="37"/>
      <c r="QP2978" s="37"/>
      <c r="QQ2978" s="37"/>
      <c r="QR2978" s="37"/>
      <c r="QS2978" s="37"/>
      <c r="QT2978" s="37"/>
      <c r="QU2978" s="37"/>
      <c r="QV2978" s="37"/>
      <c r="QW2978" s="37"/>
      <c r="QX2978" s="37"/>
      <c r="QY2978" s="37"/>
      <c r="QZ2978" s="37"/>
      <c r="RA2978" s="37"/>
      <c r="RB2978" s="37"/>
      <c r="RC2978" s="37"/>
      <c r="RD2978" s="37"/>
      <c r="RE2978" s="37"/>
      <c r="RF2978" s="37"/>
      <c r="RG2978" s="37"/>
      <c r="RH2978" s="37"/>
      <c r="RI2978" s="37"/>
      <c r="RJ2978" s="37"/>
      <c r="RK2978" s="37"/>
      <c r="RL2978" s="37"/>
      <c r="RM2978" s="37"/>
      <c r="RN2978" s="37"/>
      <c r="RO2978" s="37"/>
      <c r="RP2978" s="37"/>
      <c r="RQ2978" s="37"/>
      <c r="RR2978" s="37"/>
      <c r="RS2978" s="37"/>
      <c r="RT2978" s="37"/>
      <c r="RU2978" s="37"/>
      <c r="RV2978" s="37"/>
      <c r="RW2978" s="37"/>
      <c r="RX2978" s="37"/>
      <c r="RY2978" s="37"/>
      <c r="RZ2978" s="37"/>
      <c r="SA2978" s="37"/>
      <c r="SB2978" s="37"/>
      <c r="SC2978" s="37"/>
      <c r="SD2978" s="37"/>
      <c r="SE2978" s="37"/>
      <c r="SF2978" s="37"/>
    </row>
    <row r="2979" spans="1:500">
      <c r="A2979" s="37"/>
      <c r="B2979" s="37"/>
      <c r="C2979" s="37"/>
      <c r="D2979" s="37"/>
      <c r="E2979" s="37"/>
      <c r="F2979" s="37"/>
      <c r="G2979" s="37"/>
      <c r="H2979" s="37"/>
      <c r="I2979" s="37"/>
      <c r="J2979" s="37"/>
      <c r="K2979" s="37"/>
      <c r="L2979" s="37"/>
      <c r="M2979" s="37"/>
      <c r="N2979" s="37"/>
      <c r="O2979" s="37"/>
      <c r="P2979" s="37"/>
      <c r="Q2979" s="37"/>
      <c r="R2979" s="37"/>
      <c r="S2979" s="37"/>
      <c r="T2979" s="37"/>
      <c r="U2979" s="37"/>
      <c r="V2979" s="37"/>
      <c r="W2979" s="37"/>
      <c r="X2979" s="37"/>
      <c r="Y2979" s="37"/>
      <c r="Z2979" s="37"/>
      <c r="AA2979" s="37"/>
      <c r="AB2979" s="37"/>
      <c r="AC2979" s="37"/>
      <c r="AD2979" s="37"/>
      <c r="AE2979" s="37"/>
      <c r="AF2979" s="37"/>
      <c r="AG2979" s="37"/>
      <c r="AH2979" s="37"/>
      <c r="AI2979" s="37"/>
      <c r="AJ2979" s="37"/>
      <c r="AK2979" s="37"/>
      <c r="AL2979" s="37"/>
      <c r="AM2979" s="37"/>
      <c r="AN2979" s="37"/>
      <c r="AO2979" s="37"/>
      <c r="AP2979" s="37"/>
      <c r="AQ2979" s="37"/>
      <c r="AR2979" s="37"/>
      <c r="AS2979" s="37"/>
      <c r="AT2979" s="37"/>
      <c r="AU2979" s="37"/>
      <c r="AV2979" s="37"/>
      <c r="AW2979" s="37"/>
      <c r="AX2979" s="37"/>
      <c r="AY2979" s="37"/>
      <c r="AZ2979" s="37"/>
      <c r="BA2979" s="37"/>
      <c r="BB2979" s="37"/>
      <c r="BC2979" s="37"/>
      <c r="BD2979" s="37"/>
      <c r="BE2979" s="37"/>
      <c r="BF2979" s="37"/>
      <c r="BG2979" s="37"/>
      <c r="BH2979" s="37"/>
      <c r="BI2979" s="37"/>
      <c r="BJ2979" s="37"/>
      <c r="BK2979" s="37"/>
      <c r="BL2979" s="37"/>
      <c r="BM2979" s="37"/>
      <c r="BN2979" s="37"/>
      <c r="BO2979" s="37"/>
      <c r="BP2979" s="37"/>
      <c r="BQ2979" s="37"/>
      <c r="BR2979" s="37"/>
      <c r="BS2979" s="37"/>
      <c r="BT2979" s="37"/>
      <c r="BU2979" s="37"/>
      <c r="BV2979" s="37"/>
      <c r="BW2979" s="37"/>
      <c r="BX2979" s="37"/>
      <c r="BY2979" s="37"/>
      <c r="BZ2979" s="37"/>
      <c r="CA2979" s="37"/>
      <c r="CB2979" s="37"/>
      <c r="CC2979" s="37"/>
      <c r="CD2979" s="37"/>
      <c r="CE2979" s="37"/>
      <c r="CF2979" s="37"/>
      <c r="CG2979" s="37"/>
      <c r="CH2979" s="37"/>
      <c r="CI2979" s="37"/>
      <c r="CJ2979" s="37"/>
      <c r="CK2979" s="37"/>
      <c r="CL2979" s="37"/>
      <c r="CM2979" s="37"/>
      <c r="CN2979" s="37"/>
      <c r="CO2979" s="37"/>
      <c r="CP2979" s="37"/>
      <c r="CQ2979" s="37"/>
      <c r="CR2979" s="37"/>
      <c r="CS2979" s="37"/>
      <c r="CT2979" s="37"/>
      <c r="CU2979" s="37"/>
      <c r="CV2979" s="37"/>
      <c r="CW2979" s="37"/>
      <c r="CX2979" s="37"/>
      <c r="CY2979" s="37"/>
      <c r="CZ2979" s="37"/>
      <c r="DA2979" s="37"/>
      <c r="DB2979" s="37"/>
      <c r="DC2979" s="37"/>
      <c r="DD2979" s="37"/>
      <c r="DE2979" s="37"/>
      <c r="DF2979" s="37"/>
      <c r="DG2979" s="37"/>
      <c r="DH2979" s="37"/>
      <c r="DI2979" s="37"/>
      <c r="DJ2979" s="37"/>
      <c r="DK2979" s="37"/>
      <c r="DL2979" s="37"/>
      <c r="DM2979" s="37"/>
      <c r="DN2979" s="37"/>
      <c r="DO2979" s="37"/>
      <c r="DP2979" s="37"/>
      <c r="DQ2979" s="37"/>
      <c r="DR2979" s="37"/>
      <c r="DS2979" s="37"/>
      <c r="DT2979" s="37"/>
      <c r="DU2979" s="37"/>
      <c r="DV2979" s="37"/>
      <c r="DW2979" s="37"/>
      <c r="DX2979" s="37"/>
      <c r="DY2979" s="37"/>
      <c r="DZ2979" s="37"/>
      <c r="EA2979" s="37"/>
      <c r="EB2979" s="37"/>
      <c r="EC2979" s="37"/>
      <c r="ED2979" s="37"/>
      <c r="EE2979" s="37"/>
      <c r="EF2979" s="37"/>
      <c r="EG2979" s="37"/>
      <c r="EH2979" s="37"/>
      <c r="EI2979" s="37"/>
      <c r="EJ2979" s="37"/>
      <c r="EK2979" s="37"/>
      <c r="EL2979" s="37"/>
      <c r="EM2979" s="37"/>
      <c r="EN2979" s="37"/>
      <c r="EO2979" s="37"/>
      <c r="EP2979" s="37"/>
      <c r="EQ2979" s="37"/>
      <c r="ER2979" s="37"/>
      <c r="ES2979" s="37"/>
      <c r="ET2979" s="37"/>
      <c r="EU2979" s="37"/>
      <c r="EV2979" s="37"/>
      <c r="EW2979" s="37"/>
      <c r="EX2979" s="37"/>
      <c r="EY2979" s="37"/>
      <c r="EZ2979" s="37"/>
      <c r="FA2979" s="37"/>
      <c r="FB2979" s="37"/>
      <c r="FC2979" s="37"/>
      <c r="FD2979" s="37"/>
      <c r="FE2979" s="37"/>
      <c r="FF2979" s="37"/>
      <c r="FG2979" s="37"/>
      <c r="FH2979" s="37"/>
      <c r="FI2979" s="37"/>
      <c r="FJ2979" s="37"/>
      <c r="FK2979" s="37"/>
      <c r="FL2979" s="37"/>
      <c r="FM2979" s="37"/>
      <c r="FN2979" s="37"/>
      <c r="FO2979" s="37"/>
      <c r="FP2979" s="37"/>
      <c r="FQ2979" s="37"/>
      <c r="FR2979" s="37"/>
      <c r="FS2979" s="37"/>
      <c r="FT2979" s="37"/>
      <c r="FU2979" s="37"/>
      <c r="FV2979" s="37"/>
      <c r="FW2979" s="37"/>
      <c r="FX2979" s="37"/>
      <c r="FY2979" s="37"/>
      <c r="FZ2979" s="37"/>
      <c r="GA2979" s="37"/>
      <c r="GB2979" s="37"/>
      <c r="GC2979" s="37"/>
      <c r="GD2979" s="37"/>
      <c r="GE2979" s="37"/>
      <c r="GF2979" s="37"/>
      <c r="GG2979" s="37"/>
      <c r="GH2979" s="37"/>
      <c r="GI2979" s="37"/>
      <c r="GJ2979" s="37"/>
      <c r="GK2979" s="37"/>
      <c r="GL2979" s="37"/>
      <c r="GM2979" s="37"/>
      <c r="GN2979" s="37"/>
      <c r="GO2979" s="37"/>
      <c r="GP2979" s="37"/>
      <c r="GQ2979" s="37"/>
      <c r="GR2979" s="37"/>
      <c r="GS2979" s="37"/>
      <c r="GT2979" s="37"/>
      <c r="GU2979" s="37"/>
      <c r="GV2979" s="37"/>
      <c r="GW2979" s="37"/>
      <c r="GX2979" s="37"/>
      <c r="GY2979" s="37"/>
      <c r="GZ2979" s="37"/>
      <c r="HA2979" s="37"/>
      <c r="HB2979" s="37"/>
      <c r="HC2979" s="37"/>
      <c r="HD2979" s="37"/>
      <c r="HE2979" s="37"/>
      <c r="HF2979" s="37"/>
      <c r="HG2979" s="37"/>
      <c r="HH2979" s="37"/>
      <c r="HI2979" s="37"/>
      <c r="HJ2979" s="37"/>
      <c r="HK2979" s="37"/>
      <c r="HL2979" s="37"/>
      <c r="HM2979" s="37"/>
      <c r="HN2979" s="37"/>
      <c r="HO2979" s="37"/>
      <c r="HP2979" s="37"/>
      <c r="HQ2979" s="37"/>
      <c r="HR2979" s="37"/>
      <c r="HS2979" s="37"/>
      <c r="HT2979" s="37"/>
      <c r="HU2979" s="37"/>
      <c r="HV2979" s="37"/>
      <c r="HW2979" s="37"/>
      <c r="HX2979" s="37"/>
      <c r="HY2979" s="37"/>
      <c r="HZ2979" s="37"/>
      <c r="IA2979" s="37"/>
      <c r="IB2979" s="37"/>
      <c r="IC2979" s="37"/>
      <c r="ID2979" s="37"/>
      <c r="IE2979" s="37"/>
      <c r="IF2979" s="37"/>
      <c r="IG2979" s="37"/>
      <c r="IH2979" s="37"/>
      <c r="II2979" s="37"/>
      <c r="IJ2979" s="37"/>
      <c r="IK2979" s="37"/>
      <c r="IL2979" s="37"/>
      <c r="IM2979" s="37"/>
      <c r="IN2979" s="37"/>
      <c r="IO2979" s="37"/>
      <c r="IP2979" s="37"/>
      <c r="IQ2979" s="37"/>
      <c r="IR2979" s="37"/>
      <c r="IS2979" s="37"/>
      <c r="IT2979" s="37"/>
      <c r="IU2979" s="37"/>
      <c r="IV2979" s="37"/>
      <c r="IW2979" s="37"/>
      <c r="IX2979" s="37"/>
      <c r="IY2979" s="37"/>
      <c r="IZ2979" s="37"/>
      <c r="JA2979" s="37"/>
      <c r="JB2979" s="37"/>
      <c r="JC2979" s="37"/>
      <c r="JD2979" s="37"/>
      <c r="JE2979" s="37"/>
      <c r="JF2979" s="37"/>
      <c r="JG2979" s="37"/>
      <c r="JH2979" s="37"/>
      <c r="JI2979" s="37"/>
      <c r="JJ2979" s="37"/>
      <c r="JK2979" s="37"/>
      <c r="JL2979" s="37"/>
      <c r="JM2979" s="37"/>
      <c r="JN2979" s="37"/>
      <c r="JO2979" s="37"/>
      <c r="JP2979" s="37"/>
      <c r="JQ2979" s="37"/>
      <c r="JR2979" s="37"/>
      <c r="JS2979" s="37"/>
      <c r="JT2979" s="37"/>
      <c r="JU2979" s="37"/>
      <c r="JV2979" s="37"/>
      <c r="JW2979" s="37"/>
      <c r="JX2979" s="37"/>
      <c r="JY2979" s="37"/>
      <c r="JZ2979" s="37"/>
      <c r="KA2979" s="37"/>
      <c r="KB2979" s="37"/>
      <c r="KC2979" s="37"/>
      <c r="KD2979" s="37"/>
      <c r="KE2979" s="37"/>
      <c r="KF2979" s="37"/>
      <c r="KG2979" s="37"/>
      <c r="KH2979" s="37"/>
      <c r="KI2979" s="37"/>
      <c r="KJ2979" s="37"/>
      <c r="KK2979" s="37"/>
      <c r="KL2979" s="37"/>
      <c r="KM2979" s="37"/>
      <c r="KN2979" s="37"/>
      <c r="KO2979" s="37"/>
      <c r="KP2979" s="37"/>
      <c r="KQ2979" s="37"/>
      <c r="KR2979" s="37"/>
      <c r="KS2979" s="37"/>
      <c r="KT2979" s="37"/>
      <c r="KU2979" s="37"/>
      <c r="KV2979" s="37"/>
      <c r="KW2979" s="37"/>
      <c r="KX2979" s="37"/>
      <c r="KY2979" s="37"/>
      <c r="KZ2979" s="37"/>
      <c r="LA2979" s="37"/>
      <c r="LB2979" s="37"/>
      <c r="LC2979" s="37"/>
      <c r="LD2979" s="37"/>
      <c r="LE2979" s="37"/>
      <c r="LF2979" s="37"/>
      <c r="LG2979" s="37"/>
      <c r="LH2979" s="37"/>
      <c r="LI2979" s="37"/>
      <c r="LJ2979" s="37"/>
      <c r="LK2979" s="37"/>
      <c r="LL2979" s="37"/>
      <c r="LM2979" s="37"/>
      <c r="LN2979" s="37"/>
      <c r="LO2979" s="37"/>
      <c r="LP2979" s="37"/>
      <c r="LQ2979" s="37"/>
      <c r="LR2979" s="37"/>
      <c r="LS2979" s="37"/>
      <c r="LT2979" s="37"/>
      <c r="LU2979" s="37"/>
      <c r="LV2979" s="37"/>
      <c r="LW2979" s="37"/>
      <c r="LX2979" s="37"/>
      <c r="LY2979" s="37"/>
      <c r="LZ2979" s="37"/>
      <c r="MA2979" s="37"/>
      <c r="MB2979" s="37"/>
      <c r="MC2979" s="37"/>
      <c r="MD2979" s="37"/>
      <c r="ME2979" s="37"/>
      <c r="MF2979" s="37"/>
      <c r="MG2979" s="37"/>
      <c r="MH2979" s="37"/>
      <c r="MI2979" s="37"/>
      <c r="MJ2979" s="37"/>
      <c r="MK2979" s="37"/>
      <c r="ML2979" s="37"/>
      <c r="MM2979" s="37"/>
      <c r="MN2979" s="37"/>
      <c r="MO2979" s="37"/>
      <c r="MP2979" s="37"/>
      <c r="MQ2979" s="37"/>
      <c r="MR2979" s="37"/>
      <c r="MS2979" s="37"/>
      <c r="MT2979" s="37"/>
      <c r="MU2979" s="37"/>
      <c r="MV2979" s="37"/>
      <c r="MW2979" s="37"/>
      <c r="MX2979" s="37"/>
      <c r="MY2979" s="37"/>
      <c r="MZ2979" s="37"/>
      <c r="NA2979" s="37"/>
      <c r="NB2979" s="37"/>
      <c r="NC2979" s="37"/>
      <c r="ND2979" s="37"/>
      <c r="NE2979" s="37"/>
      <c r="NF2979" s="37"/>
      <c r="NG2979" s="37"/>
      <c r="NH2979" s="37"/>
      <c r="NI2979" s="37"/>
      <c r="NJ2979" s="37"/>
      <c r="NK2979" s="37"/>
      <c r="NL2979" s="37"/>
      <c r="NM2979" s="37"/>
      <c r="NN2979" s="37"/>
      <c r="NO2979" s="37"/>
      <c r="NP2979" s="37"/>
      <c r="NQ2979" s="37"/>
      <c r="NR2979" s="37"/>
      <c r="NS2979" s="37"/>
      <c r="NT2979" s="37"/>
      <c r="NU2979" s="37"/>
      <c r="NV2979" s="37"/>
      <c r="NW2979" s="37"/>
      <c r="NX2979" s="37"/>
      <c r="NY2979" s="37"/>
      <c r="NZ2979" s="37"/>
      <c r="OA2979" s="37"/>
      <c r="OB2979" s="37"/>
      <c r="OC2979" s="37"/>
      <c r="OD2979" s="37"/>
      <c r="OE2979" s="37"/>
      <c r="OF2979" s="37"/>
      <c r="OG2979" s="37"/>
      <c r="OH2979" s="37"/>
      <c r="OI2979" s="37"/>
      <c r="OJ2979" s="37"/>
      <c r="OK2979" s="37"/>
      <c r="OL2979" s="37"/>
      <c r="OM2979" s="37"/>
      <c r="ON2979" s="37"/>
      <c r="OO2979" s="37"/>
      <c r="OP2979" s="37"/>
      <c r="OQ2979" s="37"/>
      <c r="OR2979" s="37"/>
      <c r="OS2979" s="37"/>
      <c r="OT2979" s="37"/>
      <c r="OU2979" s="37"/>
      <c r="OV2979" s="37"/>
      <c r="OW2979" s="37"/>
      <c r="OX2979" s="37"/>
      <c r="OY2979" s="37"/>
      <c r="OZ2979" s="37"/>
      <c r="PA2979" s="37"/>
      <c r="PB2979" s="37"/>
      <c r="PC2979" s="37"/>
      <c r="PD2979" s="37"/>
      <c r="PE2979" s="37"/>
      <c r="PF2979" s="37"/>
      <c r="PG2979" s="37"/>
      <c r="PH2979" s="37"/>
      <c r="PI2979" s="37"/>
      <c r="PJ2979" s="37"/>
      <c r="PK2979" s="37"/>
      <c r="PL2979" s="37"/>
      <c r="PM2979" s="37"/>
      <c r="PN2979" s="37"/>
      <c r="PO2979" s="37"/>
      <c r="PP2979" s="37"/>
      <c r="PQ2979" s="37"/>
      <c r="PR2979" s="37"/>
      <c r="PS2979" s="37"/>
      <c r="PT2979" s="37"/>
      <c r="PU2979" s="37"/>
      <c r="PV2979" s="37"/>
      <c r="PW2979" s="37"/>
      <c r="PX2979" s="37"/>
      <c r="PY2979" s="37"/>
      <c r="PZ2979" s="37"/>
      <c r="QA2979" s="37"/>
      <c r="QB2979" s="37"/>
      <c r="QC2979" s="37"/>
      <c r="QD2979" s="37"/>
      <c r="QE2979" s="37"/>
      <c r="QF2979" s="37"/>
      <c r="QG2979" s="37"/>
      <c r="QH2979" s="37"/>
      <c r="QI2979" s="37"/>
      <c r="QJ2979" s="37"/>
      <c r="QK2979" s="37"/>
      <c r="QL2979" s="37"/>
      <c r="QM2979" s="37"/>
      <c r="QN2979" s="37"/>
      <c r="QO2979" s="37"/>
      <c r="QP2979" s="37"/>
      <c r="QQ2979" s="37"/>
      <c r="QR2979" s="37"/>
      <c r="QS2979" s="37"/>
      <c r="QT2979" s="37"/>
      <c r="QU2979" s="37"/>
      <c r="QV2979" s="37"/>
      <c r="QW2979" s="37"/>
      <c r="QX2979" s="37"/>
      <c r="QY2979" s="37"/>
      <c r="QZ2979" s="37"/>
      <c r="RA2979" s="37"/>
      <c r="RB2979" s="37"/>
      <c r="RC2979" s="37"/>
      <c r="RD2979" s="37"/>
      <c r="RE2979" s="37"/>
      <c r="RF2979" s="37"/>
      <c r="RG2979" s="37"/>
      <c r="RH2979" s="37"/>
      <c r="RI2979" s="37"/>
      <c r="RJ2979" s="37"/>
      <c r="RK2979" s="37"/>
      <c r="RL2979" s="37"/>
      <c r="RM2979" s="37"/>
      <c r="RN2979" s="37"/>
      <c r="RO2979" s="37"/>
      <c r="RP2979" s="37"/>
      <c r="RQ2979" s="37"/>
      <c r="RR2979" s="37"/>
      <c r="RS2979" s="37"/>
      <c r="RT2979" s="37"/>
      <c r="RU2979" s="37"/>
      <c r="RV2979" s="37"/>
      <c r="RW2979" s="37"/>
      <c r="RX2979" s="37"/>
      <c r="RY2979" s="37"/>
      <c r="RZ2979" s="37"/>
      <c r="SA2979" s="37"/>
      <c r="SB2979" s="37"/>
      <c r="SC2979" s="37"/>
      <c r="SD2979" s="37"/>
      <c r="SE2979" s="37"/>
      <c r="SF2979" s="37"/>
    </row>
    <row r="2980" spans="1:500">
      <c r="A2980" s="37"/>
      <c r="B2980" s="37"/>
      <c r="C2980" s="37"/>
      <c r="D2980" s="37"/>
      <c r="E2980" s="37"/>
      <c r="F2980" s="37"/>
      <c r="G2980" s="37"/>
      <c r="H2980" s="37"/>
      <c r="I2980" s="37"/>
      <c r="J2980" s="37"/>
      <c r="K2980" s="37"/>
      <c r="L2980" s="37"/>
      <c r="M2980" s="37"/>
      <c r="N2980" s="37"/>
      <c r="O2980" s="37"/>
      <c r="P2980" s="37"/>
      <c r="Q2980" s="37"/>
      <c r="R2980" s="37"/>
      <c r="S2980" s="37"/>
      <c r="T2980" s="37"/>
      <c r="U2980" s="37"/>
      <c r="V2980" s="37"/>
      <c r="W2980" s="37"/>
      <c r="X2980" s="37"/>
      <c r="Y2980" s="37"/>
      <c r="Z2980" s="37"/>
      <c r="AA2980" s="37"/>
      <c r="AB2980" s="37"/>
      <c r="AC2980" s="37"/>
      <c r="AD2980" s="37"/>
      <c r="AE2980" s="37"/>
      <c r="AF2980" s="37"/>
      <c r="AG2980" s="37"/>
      <c r="AH2980" s="37"/>
      <c r="AI2980" s="37"/>
      <c r="AJ2980" s="37"/>
      <c r="AK2980" s="37"/>
      <c r="AL2980" s="37"/>
      <c r="AM2980" s="37"/>
      <c r="AN2980" s="37"/>
      <c r="AO2980" s="37"/>
      <c r="AP2980" s="37"/>
      <c r="AQ2980" s="37"/>
      <c r="AR2980" s="37"/>
      <c r="AS2980" s="37"/>
      <c r="AT2980" s="37"/>
      <c r="AU2980" s="37"/>
      <c r="AV2980" s="37"/>
      <c r="AW2980" s="37"/>
      <c r="AX2980" s="37"/>
      <c r="AY2980" s="37"/>
      <c r="AZ2980" s="37"/>
      <c r="BA2980" s="37"/>
      <c r="BB2980" s="37"/>
      <c r="BC2980" s="37"/>
      <c r="BD2980" s="37"/>
      <c r="BE2980" s="37"/>
      <c r="BF2980" s="37"/>
      <c r="BG2980" s="37"/>
      <c r="BH2980" s="37"/>
      <c r="BI2980" s="37"/>
      <c r="BJ2980" s="37"/>
      <c r="BK2980" s="37"/>
      <c r="BL2980" s="37"/>
      <c r="BM2980" s="37"/>
      <c r="BN2980" s="37"/>
      <c r="BO2980" s="37"/>
      <c r="BP2980" s="37"/>
      <c r="BQ2980" s="37"/>
      <c r="BR2980" s="37"/>
      <c r="BS2980" s="37"/>
      <c r="BT2980" s="37"/>
      <c r="BU2980" s="37"/>
      <c r="BV2980" s="37"/>
      <c r="BW2980" s="37"/>
      <c r="BX2980" s="37"/>
      <c r="BY2980" s="37"/>
      <c r="BZ2980" s="37"/>
      <c r="CA2980" s="37"/>
      <c r="CB2980" s="37"/>
      <c r="CC2980" s="37"/>
      <c r="CD2980" s="37"/>
      <c r="CE2980" s="37"/>
      <c r="CF2980" s="37"/>
      <c r="CG2980" s="37"/>
      <c r="CH2980" s="37"/>
      <c r="CI2980" s="37"/>
      <c r="CJ2980" s="37"/>
      <c r="CK2980" s="37"/>
      <c r="CL2980" s="37"/>
      <c r="CM2980" s="37"/>
      <c r="CN2980" s="37"/>
      <c r="CO2980" s="37"/>
      <c r="CP2980" s="37"/>
      <c r="CQ2980" s="37"/>
      <c r="CR2980" s="37"/>
      <c r="CS2980" s="37"/>
      <c r="CT2980" s="37"/>
      <c r="CU2980" s="37"/>
      <c r="CV2980" s="37"/>
      <c r="CW2980" s="37"/>
      <c r="CX2980" s="37"/>
      <c r="CY2980" s="37"/>
      <c r="CZ2980" s="37"/>
      <c r="DA2980" s="37"/>
      <c r="DB2980" s="37"/>
      <c r="DC2980" s="37"/>
      <c r="DD2980" s="37"/>
      <c r="DE2980" s="37"/>
      <c r="DF2980" s="37"/>
      <c r="DG2980" s="37"/>
      <c r="DH2980" s="37"/>
      <c r="DI2980" s="37"/>
      <c r="DJ2980" s="37"/>
      <c r="DK2980" s="37"/>
      <c r="DL2980" s="37"/>
      <c r="DM2980" s="37"/>
      <c r="DN2980" s="37"/>
      <c r="DO2980" s="37"/>
      <c r="DP2980" s="37"/>
      <c r="DQ2980" s="37"/>
      <c r="DR2980" s="37"/>
      <c r="DS2980" s="37"/>
      <c r="DT2980" s="37"/>
      <c r="DU2980" s="37"/>
      <c r="DV2980" s="37"/>
      <c r="DW2980" s="37"/>
      <c r="DX2980" s="37"/>
      <c r="DY2980" s="37"/>
      <c r="DZ2980" s="37"/>
      <c r="EA2980" s="37"/>
      <c r="EB2980" s="37"/>
      <c r="EC2980" s="37"/>
      <c r="ED2980" s="37"/>
      <c r="EE2980" s="37"/>
      <c r="EF2980" s="37"/>
      <c r="EG2980" s="37"/>
      <c r="EH2980" s="37"/>
      <c r="EI2980" s="37"/>
      <c r="EJ2980" s="37"/>
      <c r="EK2980" s="37"/>
      <c r="EL2980" s="37"/>
      <c r="EM2980" s="37"/>
      <c r="EN2980" s="37"/>
      <c r="EO2980" s="37"/>
      <c r="EP2980" s="37"/>
      <c r="EQ2980" s="37"/>
      <c r="ER2980" s="37"/>
      <c r="ES2980" s="37"/>
      <c r="ET2980" s="37"/>
      <c r="EU2980" s="37"/>
      <c r="EV2980" s="37"/>
      <c r="EW2980" s="37"/>
      <c r="EX2980" s="37"/>
      <c r="EY2980" s="37"/>
      <c r="EZ2980" s="37"/>
      <c r="FA2980" s="37"/>
      <c r="FB2980" s="37"/>
      <c r="FC2980" s="37"/>
      <c r="FD2980" s="37"/>
      <c r="FE2980" s="37"/>
      <c r="FF2980" s="37"/>
      <c r="FG2980" s="37"/>
      <c r="FH2980" s="37"/>
      <c r="FI2980" s="37"/>
      <c r="FJ2980" s="37"/>
      <c r="FK2980" s="37"/>
      <c r="FL2980" s="37"/>
      <c r="FM2980" s="37"/>
      <c r="FN2980" s="37"/>
      <c r="FO2980" s="37"/>
      <c r="FP2980" s="37"/>
      <c r="FQ2980" s="37"/>
      <c r="FR2980" s="37"/>
      <c r="FS2980" s="37"/>
      <c r="FT2980" s="37"/>
      <c r="FU2980" s="37"/>
      <c r="FV2980" s="37"/>
      <c r="FW2980" s="37"/>
      <c r="FX2980" s="37"/>
      <c r="FY2980" s="37"/>
      <c r="FZ2980" s="37"/>
      <c r="GA2980" s="37"/>
      <c r="GB2980" s="37"/>
      <c r="GC2980" s="37"/>
      <c r="GD2980" s="37"/>
      <c r="GE2980" s="37"/>
      <c r="GF2980" s="37"/>
      <c r="GG2980" s="37"/>
      <c r="GH2980" s="37"/>
      <c r="GI2980" s="37"/>
      <c r="GJ2980" s="37"/>
      <c r="GK2980" s="37"/>
      <c r="GL2980" s="37"/>
      <c r="GM2980" s="37"/>
      <c r="GN2980" s="37"/>
      <c r="GO2980" s="37"/>
      <c r="GP2980" s="37"/>
      <c r="GQ2980" s="37"/>
      <c r="GR2980" s="37"/>
      <c r="GS2980" s="37"/>
      <c r="GT2980" s="37"/>
      <c r="GU2980" s="37"/>
      <c r="GV2980" s="37"/>
      <c r="GW2980" s="37"/>
      <c r="GX2980" s="37"/>
      <c r="GY2980" s="37"/>
      <c r="GZ2980" s="37"/>
      <c r="HA2980" s="37"/>
      <c r="HB2980" s="37"/>
      <c r="HC2980" s="37"/>
      <c r="HD2980" s="37"/>
      <c r="HE2980" s="37"/>
      <c r="HF2980" s="37"/>
      <c r="HG2980" s="37"/>
      <c r="HH2980" s="37"/>
      <c r="HI2980" s="37"/>
      <c r="HJ2980" s="37"/>
      <c r="HK2980" s="37"/>
      <c r="HL2980" s="37"/>
      <c r="HM2980" s="37"/>
      <c r="HN2980" s="37"/>
      <c r="HO2980" s="37"/>
      <c r="HP2980" s="37"/>
      <c r="HQ2980" s="37"/>
      <c r="HR2980" s="37"/>
      <c r="HS2980" s="37"/>
      <c r="HT2980" s="37"/>
      <c r="HU2980" s="37"/>
      <c r="HV2980" s="37"/>
      <c r="HW2980" s="37"/>
      <c r="HX2980" s="37"/>
      <c r="HY2980" s="37"/>
      <c r="HZ2980" s="37"/>
      <c r="IA2980" s="37"/>
      <c r="IB2980" s="37"/>
      <c r="IC2980" s="37"/>
      <c r="ID2980" s="37"/>
      <c r="IE2980" s="37"/>
      <c r="IF2980" s="37"/>
      <c r="IG2980" s="37"/>
      <c r="IH2980" s="37"/>
      <c r="II2980" s="37"/>
      <c r="IJ2980" s="37"/>
      <c r="IK2980" s="37"/>
      <c r="IL2980" s="37"/>
      <c r="IM2980" s="37"/>
      <c r="IN2980" s="37"/>
      <c r="IO2980" s="37"/>
      <c r="IP2980" s="37"/>
      <c r="IQ2980" s="37"/>
      <c r="IR2980" s="37"/>
      <c r="IS2980" s="37"/>
      <c r="IT2980" s="37"/>
      <c r="IU2980" s="37"/>
      <c r="IV2980" s="37"/>
      <c r="IW2980" s="37"/>
      <c r="IX2980" s="37"/>
      <c r="IY2980" s="37"/>
      <c r="IZ2980" s="37"/>
      <c r="JA2980" s="37"/>
      <c r="JB2980" s="37"/>
      <c r="JC2980" s="37"/>
      <c r="JD2980" s="37"/>
      <c r="JE2980" s="37"/>
      <c r="JF2980" s="37"/>
      <c r="JG2980" s="37"/>
      <c r="JH2980" s="37"/>
      <c r="JI2980" s="37"/>
      <c r="JJ2980" s="37"/>
      <c r="JK2980" s="37"/>
      <c r="JL2980" s="37"/>
      <c r="JM2980" s="37"/>
      <c r="JN2980" s="37"/>
      <c r="JO2980" s="37"/>
      <c r="JP2980" s="37"/>
      <c r="JQ2980" s="37"/>
      <c r="JR2980" s="37"/>
      <c r="JS2980" s="37"/>
      <c r="JT2980" s="37"/>
      <c r="JU2980" s="37"/>
      <c r="JV2980" s="37"/>
      <c r="JW2980" s="37"/>
      <c r="JX2980" s="37"/>
      <c r="JY2980" s="37"/>
      <c r="JZ2980" s="37"/>
      <c r="KA2980" s="37"/>
      <c r="KB2980" s="37"/>
      <c r="KC2980" s="37"/>
      <c r="KD2980" s="37"/>
      <c r="KE2980" s="37"/>
      <c r="KF2980" s="37"/>
      <c r="KG2980" s="37"/>
      <c r="KH2980" s="37"/>
      <c r="KI2980" s="37"/>
      <c r="KJ2980" s="37"/>
      <c r="KK2980" s="37"/>
      <c r="KL2980" s="37"/>
      <c r="KM2980" s="37"/>
      <c r="KN2980" s="37"/>
      <c r="KO2980" s="37"/>
      <c r="KP2980" s="37"/>
      <c r="KQ2980" s="37"/>
      <c r="KR2980" s="37"/>
      <c r="KS2980" s="37"/>
      <c r="KT2980" s="37"/>
      <c r="KU2980" s="37"/>
      <c r="KV2980" s="37"/>
      <c r="KW2980" s="37"/>
      <c r="KX2980" s="37"/>
      <c r="KY2980" s="37"/>
      <c r="KZ2980" s="37"/>
      <c r="LA2980" s="37"/>
      <c r="LB2980" s="37"/>
      <c r="LC2980" s="37"/>
      <c r="LD2980" s="37"/>
      <c r="LE2980" s="37"/>
      <c r="LF2980" s="37"/>
      <c r="LG2980" s="37"/>
      <c r="LH2980" s="37"/>
      <c r="LI2980" s="37"/>
      <c r="LJ2980" s="37"/>
      <c r="LK2980" s="37"/>
      <c r="LL2980" s="37"/>
      <c r="LM2980" s="37"/>
      <c r="LN2980" s="37"/>
      <c r="LO2980" s="37"/>
      <c r="LP2980" s="37"/>
      <c r="LQ2980" s="37"/>
      <c r="LR2980" s="37"/>
      <c r="LS2980" s="37"/>
      <c r="LT2980" s="37"/>
      <c r="LU2980" s="37"/>
      <c r="LV2980" s="37"/>
      <c r="LW2980" s="37"/>
      <c r="LX2980" s="37"/>
      <c r="LY2980" s="37"/>
      <c r="LZ2980" s="37"/>
      <c r="MA2980" s="37"/>
      <c r="MB2980" s="37"/>
      <c r="MC2980" s="37"/>
      <c r="MD2980" s="37"/>
      <c r="ME2980" s="37"/>
      <c r="MF2980" s="37"/>
      <c r="MG2980" s="37"/>
      <c r="MH2980" s="37"/>
      <c r="MI2980" s="37"/>
      <c r="MJ2980" s="37"/>
      <c r="MK2980" s="37"/>
      <c r="ML2980" s="37"/>
      <c r="MM2980" s="37"/>
      <c r="MN2980" s="37"/>
      <c r="MO2980" s="37"/>
      <c r="MP2980" s="37"/>
      <c r="MQ2980" s="37"/>
      <c r="MR2980" s="37"/>
      <c r="MS2980" s="37"/>
      <c r="MT2980" s="37"/>
      <c r="MU2980" s="37"/>
      <c r="MV2980" s="37"/>
      <c r="MW2980" s="37"/>
      <c r="MX2980" s="37"/>
      <c r="MY2980" s="37"/>
      <c r="MZ2980" s="37"/>
      <c r="NA2980" s="37"/>
      <c r="NB2980" s="37"/>
      <c r="NC2980" s="37"/>
      <c r="ND2980" s="37"/>
      <c r="NE2980" s="37"/>
      <c r="NF2980" s="37"/>
      <c r="NG2980" s="37"/>
      <c r="NH2980" s="37"/>
      <c r="NI2980" s="37"/>
      <c r="NJ2980" s="37"/>
      <c r="NK2980" s="37"/>
      <c r="NL2980" s="37"/>
      <c r="NM2980" s="37"/>
      <c r="NN2980" s="37"/>
      <c r="NO2980" s="37"/>
      <c r="NP2980" s="37"/>
      <c r="NQ2980" s="37"/>
      <c r="NR2980" s="37"/>
      <c r="NS2980" s="37"/>
      <c r="NT2980" s="37"/>
      <c r="NU2980" s="37"/>
      <c r="NV2980" s="37"/>
      <c r="NW2980" s="37"/>
      <c r="NX2980" s="37"/>
      <c r="NY2980" s="37"/>
      <c r="NZ2980" s="37"/>
      <c r="OA2980" s="37"/>
      <c r="OB2980" s="37"/>
      <c r="OC2980" s="37"/>
      <c r="OD2980" s="37"/>
      <c r="OE2980" s="37"/>
      <c r="OF2980" s="37"/>
      <c r="OG2980" s="37"/>
      <c r="OH2980" s="37"/>
      <c r="OI2980" s="37"/>
      <c r="OJ2980" s="37"/>
      <c r="OK2980" s="37"/>
      <c r="OL2980" s="37"/>
      <c r="OM2980" s="37"/>
      <c r="ON2980" s="37"/>
      <c r="OO2980" s="37"/>
      <c r="OP2980" s="37"/>
      <c r="OQ2980" s="37"/>
      <c r="OR2980" s="37"/>
      <c r="OS2980" s="37"/>
      <c r="OT2980" s="37"/>
      <c r="OU2980" s="37"/>
      <c r="OV2980" s="37"/>
      <c r="OW2980" s="37"/>
      <c r="OX2980" s="37"/>
      <c r="OY2980" s="37"/>
      <c r="OZ2980" s="37"/>
      <c r="PA2980" s="37"/>
      <c r="PB2980" s="37"/>
      <c r="PC2980" s="37"/>
      <c r="PD2980" s="37"/>
      <c r="PE2980" s="37"/>
      <c r="PF2980" s="37"/>
      <c r="PG2980" s="37"/>
      <c r="PH2980" s="37"/>
      <c r="PI2980" s="37"/>
      <c r="PJ2980" s="37"/>
      <c r="PK2980" s="37"/>
      <c r="PL2980" s="37"/>
      <c r="PM2980" s="37"/>
      <c r="PN2980" s="37"/>
      <c r="PO2980" s="37"/>
      <c r="PP2980" s="37"/>
      <c r="PQ2980" s="37"/>
      <c r="PR2980" s="37"/>
      <c r="PS2980" s="37"/>
      <c r="PT2980" s="37"/>
      <c r="PU2980" s="37"/>
      <c r="PV2980" s="37"/>
      <c r="PW2980" s="37"/>
      <c r="PX2980" s="37"/>
      <c r="PY2980" s="37"/>
      <c r="PZ2980" s="37"/>
      <c r="QA2980" s="37"/>
      <c r="QB2980" s="37"/>
      <c r="QC2980" s="37"/>
      <c r="QD2980" s="37"/>
      <c r="QE2980" s="37"/>
      <c r="QF2980" s="37"/>
      <c r="QG2980" s="37"/>
      <c r="QH2980" s="37"/>
      <c r="QI2980" s="37"/>
      <c r="QJ2980" s="37"/>
      <c r="QK2980" s="37"/>
      <c r="QL2980" s="37"/>
      <c r="QM2980" s="37"/>
      <c r="QN2980" s="37"/>
      <c r="QO2980" s="37"/>
      <c r="QP2980" s="37"/>
      <c r="QQ2980" s="37"/>
      <c r="QR2980" s="37"/>
      <c r="QS2980" s="37"/>
      <c r="QT2980" s="37"/>
      <c r="QU2980" s="37"/>
      <c r="QV2980" s="37"/>
      <c r="QW2980" s="37"/>
      <c r="QX2980" s="37"/>
      <c r="QY2980" s="37"/>
      <c r="QZ2980" s="37"/>
      <c r="RA2980" s="37"/>
      <c r="RB2980" s="37"/>
      <c r="RC2980" s="37"/>
      <c r="RD2980" s="37"/>
      <c r="RE2980" s="37"/>
      <c r="RF2980" s="37"/>
      <c r="RG2980" s="37"/>
      <c r="RH2980" s="37"/>
      <c r="RI2980" s="37"/>
      <c r="RJ2980" s="37"/>
      <c r="RK2980" s="37"/>
      <c r="RL2980" s="37"/>
      <c r="RM2980" s="37"/>
      <c r="RN2980" s="37"/>
      <c r="RO2980" s="37"/>
      <c r="RP2980" s="37"/>
      <c r="RQ2980" s="37"/>
      <c r="RR2980" s="37"/>
      <c r="RS2980" s="37"/>
      <c r="RT2980" s="37"/>
      <c r="RU2980" s="37"/>
      <c r="RV2980" s="37"/>
      <c r="RW2980" s="37"/>
      <c r="RX2980" s="37"/>
      <c r="RY2980" s="37"/>
      <c r="RZ2980" s="37"/>
      <c r="SA2980" s="37"/>
      <c r="SB2980" s="37"/>
      <c r="SC2980" s="37"/>
      <c r="SD2980" s="37"/>
      <c r="SE2980" s="37"/>
      <c r="SF2980" s="37"/>
    </row>
    <row r="2981" spans="1:500">
      <c r="A2981" s="37"/>
      <c r="B2981" s="37"/>
      <c r="C2981" s="37"/>
      <c r="D2981" s="37"/>
      <c r="E2981" s="37"/>
      <c r="F2981" s="37"/>
      <c r="G2981" s="37"/>
      <c r="H2981" s="37"/>
      <c r="I2981" s="37"/>
      <c r="J2981" s="37"/>
      <c r="K2981" s="37"/>
      <c r="L2981" s="37"/>
      <c r="M2981" s="37"/>
      <c r="N2981" s="37"/>
      <c r="O2981" s="37"/>
      <c r="P2981" s="37"/>
      <c r="Q2981" s="37"/>
      <c r="R2981" s="37"/>
      <c r="S2981" s="37"/>
      <c r="T2981" s="37"/>
      <c r="U2981" s="37"/>
      <c r="V2981" s="37"/>
      <c r="W2981" s="37"/>
      <c r="X2981" s="37"/>
      <c r="Y2981" s="37"/>
      <c r="Z2981" s="37"/>
      <c r="AA2981" s="37"/>
      <c r="AB2981" s="37"/>
      <c r="AC2981" s="37"/>
      <c r="AD2981" s="37"/>
      <c r="AE2981" s="37"/>
      <c r="AF2981" s="37"/>
      <c r="AG2981" s="37"/>
      <c r="AH2981" s="37"/>
      <c r="AI2981" s="37"/>
      <c r="AJ2981" s="37"/>
      <c r="AK2981" s="37"/>
      <c r="AL2981" s="37"/>
      <c r="AM2981" s="37"/>
      <c r="AN2981" s="37"/>
      <c r="AO2981" s="37"/>
      <c r="AP2981" s="37"/>
      <c r="AQ2981" s="37"/>
      <c r="AR2981" s="37"/>
      <c r="AS2981" s="37"/>
      <c r="AT2981" s="37"/>
      <c r="AU2981" s="37"/>
      <c r="AV2981" s="37"/>
      <c r="AW2981" s="37"/>
      <c r="AX2981" s="37"/>
      <c r="AY2981" s="37"/>
      <c r="AZ2981" s="37"/>
      <c r="BA2981" s="37"/>
      <c r="BB2981" s="37"/>
      <c r="BC2981" s="37"/>
      <c r="BD2981" s="37"/>
      <c r="BE2981" s="37"/>
      <c r="BF2981" s="37"/>
      <c r="BG2981" s="37"/>
      <c r="BH2981" s="37"/>
      <c r="BI2981" s="37"/>
      <c r="BJ2981" s="37"/>
      <c r="BK2981" s="37"/>
      <c r="BL2981" s="37"/>
      <c r="BM2981" s="37"/>
      <c r="BN2981" s="37"/>
      <c r="BO2981" s="37"/>
      <c r="BP2981" s="37"/>
      <c r="BQ2981" s="37"/>
      <c r="BR2981" s="37"/>
      <c r="BS2981" s="37"/>
      <c r="BT2981" s="37"/>
      <c r="BU2981" s="37"/>
      <c r="BV2981" s="37"/>
      <c r="BW2981" s="37"/>
      <c r="BX2981" s="37"/>
      <c r="BY2981" s="37"/>
      <c r="BZ2981" s="37"/>
      <c r="CA2981" s="37"/>
      <c r="CB2981" s="37"/>
      <c r="CC2981" s="37"/>
      <c r="CD2981" s="37"/>
      <c r="CE2981" s="37"/>
      <c r="CF2981" s="37"/>
      <c r="CG2981" s="37"/>
      <c r="CH2981" s="37"/>
      <c r="CI2981" s="37"/>
      <c r="CJ2981" s="37"/>
      <c r="CK2981" s="37"/>
      <c r="CL2981" s="37"/>
      <c r="CM2981" s="37"/>
      <c r="CN2981" s="37"/>
      <c r="CO2981" s="37"/>
      <c r="CP2981" s="37"/>
      <c r="CQ2981" s="37"/>
      <c r="CR2981" s="37"/>
      <c r="CS2981" s="37"/>
      <c r="CT2981" s="37"/>
      <c r="CU2981" s="37"/>
      <c r="CV2981" s="37"/>
      <c r="CW2981" s="37"/>
      <c r="CX2981" s="37"/>
      <c r="CY2981" s="37"/>
      <c r="CZ2981" s="37"/>
      <c r="DA2981" s="37"/>
      <c r="DB2981" s="37"/>
      <c r="DC2981" s="37"/>
      <c r="DD2981" s="37"/>
      <c r="DE2981" s="37"/>
      <c r="DF2981" s="37"/>
      <c r="DG2981" s="37"/>
      <c r="DH2981" s="37"/>
      <c r="DI2981" s="37"/>
      <c r="DJ2981" s="37"/>
      <c r="DK2981" s="37"/>
      <c r="DL2981" s="37"/>
      <c r="DM2981" s="37"/>
      <c r="DN2981" s="37"/>
      <c r="DO2981" s="37"/>
      <c r="DP2981" s="37"/>
      <c r="DQ2981" s="37"/>
      <c r="DR2981" s="37"/>
      <c r="DS2981" s="37"/>
      <c r="DT2981" s="37"/>
      <c r="DU2981" s="37"/>
      <c r="DV2981" s="37"/>
      <c r="DW2981" s="37"/>
      <c r="DX2981" s="37"/>
      <c r="DY2981" s="37"/>
      <c r="DZ2981" s="37"/>
      <c r="EA2981" s="37"/>
      <c r="EB2981" s="37"/>
      <c r="EC2981" s="37"/>
      <c r="ED2981" s="37"/>
      <c r="EE2981" s="37"/>
      <c r="EF2981" s="37"/>
      <c r="EG2981" s="37"/>
      <c r="EH2981" s="37"/>
      <c r="EI2981" s="37"/>
      <c r="EJ2981" s="37"/>
      <c r="EK2981" s="37"/>
      <c r="EL2981" s="37"/>
      <c r="EM2981" s="37"/>
      <c r="EN2981" s="37"/>
      <c r="EO2981" s="37"/>
      <c r="EP2981" s="37"/>
      <c r="EQ2981" s="37"/>
      <c r="ER2981" s="37"/>
      <c r="ES2981" s="37"/>
      <c r="ET2981" s="37"/>
      <c r="EU2981" s="37"/>
      <c r="EV2981" s="37"/>
      <c r="EW2981" s="37"/>
      <c r="EX2981" s="37"/>
      <c r="EY2981" s="37"/>
      <c r="EZ2981" s="37"/>
      <c r="FA2981" s="37"/>
      <c r="FB2981" s="37"/>
      <c r="FC2981" s="37"/>
      <c r="FD2981" s="37"/>
      <c r="FE2981" s="37"/>
      <c r="FF2981" s="37"/>
      <c r="FG2981" s="37"/>
      <c r="FH2981" s="37"/>
      <c r="FI2981" s="37"/>
      <c r="FJ2981" s="37"/>
      <c r="FK2981" s="37"/>
      <c r="FL2981" s="37"/>
      <c r="FM2981" s="37"/>
      <c r="FN2981" s="37"/>
      <c r="FO2981" s="37"/>
      <c r="FP2981" s="37"/>
      <c r="FQ2981" s="37"/>
      <c r="FR2981" s="37"/>
      <c r="FS2981" s="37"/>
      <c r="FT2981" s="37"/>
      <c r="FU2981" s="37"/>
      <c r="FV2981" s="37"/>
      <c r="FW2981" s="37"/>
      <c r="FX2981" s="37"/>
      <c r="FY2981" s="37"/>
      <c r="FZ2981" s="37"/>
      <c r="GA2981" s="37"/>
      <c r="GB2981" s="37"/>
      <c r="GC2981" s="37"/>
      <c r="GD2981" s="37"/>
      <c r="GE2981" s="37"/>
      <c r="GF2981" s="37"/>
      <c r="GG2981" s="37"/>
      <c r="GH2981" s="37"/>
      <c r="GI2981" s="37"/>
      <c r="GJ2981" s="37"/>
      <c r="GK2981" s="37"/>
      <c r="GL2981" s="37"/>
      <c r="GM2981" s="37"/>
      <c r="GN2981" s="37"/>
      <c r="GO2981" s="37"/>
      <c r="GP2981" s="37"/>
      <c r="GQ2981" s="37"/>
      <c r="GR2981" s="37"/>
      <c r="GS2981" s="37"/>
      <c r="GT2981" s="37"/>
      <c r="GU2981" s="37"/>
      <c r="GV2981" s="37"/>
      <c r="GW2981" s="37"/>
      <c r="GX2981" s="37"/>
      <c r="GY2981" s="37"/>
      <c r="GZ2981" s="37"/>
      <c r="HA2981" s="37"/>
      <c r="HB2981" s="37"/>
      <c r="HC2981" s="37"/>
      <c r="HD2981" s="37"/>
      <c r="HE2981" s="37"/>
      <c r="HF2981" s="37"/>
      <c r="HG2981" s="37"/>
      <c r="HH2981" s="37"/>
      <c r="HI2981" s="37"/>
      <c r="HJ2981" s="37"/>
      <c r="HK2981" s="37"/>
      <c r="HL2981" s="37"/>
      <c r="HM2981" s="37"/>
      <c r="HN2981" s="37"/>
      <c r="HO2981" s="37"/>
      <c r="HP2981" s="37"/>
      <c r="HQ2981" s="37"/>
      <c r="HR2981" s="37"/>
      <c r="HS2981" s="37"/>
      <c r="HT2981" s="37"/>
      <c r="HU2981" s="37"/>
      <c r="HV2981" s="37"/>
      <c r="HW2981" s="37"/>
      <c r="HX2981" s="37"/>
      <c r="HY2981" s="37"/>
      <c r="HZ2981" s="37"/>
      <c r="IA2981" s="37"/>
      <c r="IB2981" s="37"/>
      <c r="IC2981" s="37"/>
      <c r="ID2981" s="37"/>
      <c r="IE2981" s="37"/>
      <c r="IF2981" s="37"/>
      <c r="IG2981" s="37"/>
      <c r="IH2981" s="37"/>
      <c r="II2981" s="37"/>
      <c r="IJ2981" s="37"/>
      <c r="IK2981" s="37"/>
      <c r="IL2981" s="37"/>
      <c r="IM2981" s="37"/>
      <c r="IN2981" s="37"/>
      <c r="IO2981" s="37"/>
      <c r="IP2981" s="37"/>
      <c r="IQ2981" s="37"/>
      <c r="IR2981" s="37"/>
      <c r="IS2981" s="37"/>
      <c r="IT2981" s="37"/>
      <c r="IU2981" s="37"/>
      <c r="IV2981" s="37"/>
      <c r="IW2981" s="37"/>
      <c r="IX2981" s="37"/>
      <c r="IY2981" s="37"/>
      <c r="IZ2981" s="37"/>
      <c r="JA2981" s="37"/>
      <c r="JB2981" s="37"/>
      <c r="JC2981" s="37"/>
      <c r="JD2981" s="37"/>
      <c r="JE2981" s="37"/>
      <c r="JF2981" s="37"/>
      <c r="JG2981" s="37"/>
      <c r="JH2981" s="37"/>
      <c r="JI2981" s="37"/>
      <c r="JJ2981" s="37"/>
      <c r="JK2981" s="37"/>
      <c r="JL2981" s="37"/>
      <c r="JM2981" s="37"/>
      <c r="JN2981" s="37"/>
      <c r="JO2981" s="37"/>
      <c r="JP2981" s="37"/>
      <c r="JQ2981" s="37"/>
      <c r="JR2981" s="37"/>
      <c r="JS2981" s="37"/>
      <c r="JT2981" s="37"/>
      <c r="JU2981" s="37"/>
      <c r="JV2981" s="37"/>
      <c r="JW2981" s="37"/>
      <c r="JX2981" s="37"/>
      <c r="JY2981" s="37"/>
      <c r="JZ2981" s="37"/>
      <c r="KA2981" s="37"/>
      <c r="KB2981" s="37"/>
      <c r="KC2981" s="37"/>
      <c r="KD2981" s="37"/>
      <c r="KE2981" s="37"/>
      <c r="KF2981" s="37"/>
      <c r="KG2981" s="37"/>
      <c r="KH2981" s="37"/>
      <c r="KI2981" s="37"/>
      <c r="KJ2981" s="37"/>
      <c r="KK2981" s="37"/>
      <c r="KL2981" s="37"/>
      <c r="KM2981" s="37"/>
      <c r="KN2981" s="37"/>
      <c r="KO2981" s="37"/>
      <c r="KP2981" s="37"/>
      <c r="KQ2981" s="37"/>
      <c r="KR2981" s="37"/>
      <c r="KS2981" s="37"/>
      <c r="KT2981" s="37"/>
      <c r="KU2981" s="37"/>
      <c r="KV2981" s="37"/>
      <c r="KW2981" s="37"/>
      <c r="KX2981" s="37"/>
      <c r="KY2981" s="37"/>
      <c r="KZ2981" s="37"/>
      <c r="LA2981" s="37"/>
      <c r="LB2981" s="37"/>
      <c r="LC2981" s="37"/>
      <c r="LD2981" s="37"/>
      <c r="LE2981" s="37"/>
      <c r="LF2981" s="37"/>
      <c r="LG2981" s="37"/>
      <c r="LH2981" s="37"/>
      <c r="LI2981" s="37"/>
      <c r="LJ2981" s="37"/>
      <c r="LK2981" s="37"/>
      <c r="LL2981" s="37"/>
      <c r="LM2981" s="37"/>
      <c r="LN2981" s="37"/>
      <c r="LO2981" s="37"/>
      <c r="LP2981" s="37"/>
      <c r="LQ2981" s="37"/>
      <c r="LR2981" s="37"/>
      <c r="LS2981" s="37"/>
      <c r="LT2981" s="37"/>
      <c r="LU2981" s="37"/>
      <c r="LV2981" s="37"/>
      <c r="LW2981" s="37"/>
      <c r="LX2981" s="37"/>
      <c r="LY2981" s="37"/>
      <c r="LZ2981" s="37"/>
      <c r="MA2981" s="37"/>
      <c r="MB2981" s="37"/>
      <c r="MC2981" s="37"/>
      <c r="MD2981" s="37"/>
      <c r="ME2981" s="37"/>
      <c r="MF2981" s="37"/>
      <c r="MG2981" s="37"/>
      <c r="MH2981" s="37"/>
      <c r="MI2981" s="37"/>
      <c r="MJ2981" s="37"/>
      <c r="MK2981" s="37"/>
      <c r="ML2981" s="37"/>
      <c r="MM2981" s="37"/>
      <c r="MN2981" s="37"/>
      <c r="MO2981" s="37"/>
      <c r="MP2981" s="37"/>
      <c r="MQ2981" s="37"/>
      <c r="MR2981" s="37"/>
      <c r="MS2981" s="37"/>
      <c r="MT2981" s="37"/>
      <c r="MU2981" s="37"/>
      <c r="MV2981" s="37"/>
      <c r="MW2981" s="37"/>
      <c r="MX2981" s="37"/>
      <c r="MY2981" s="37"/>
      <c r="MZ2981" s="37"/>
      <c r="NA2981" s="37"/>
      <c r="NB2981" s="37"/>
      <c r="NC2981" s="37"/>
      <c r="ND2981" s="37"/>
      <c r="NE2981" s="37"/>
      <c r="NF2981" s="37"/>
      <c r="NG2981" s="37"/>
      <c r="NH2981" s="37"/>
      <c r="NI2981" s="37"/>
      <c r="NJ2981" s="37"/>
      <c r="NK2981" s="37"/>
      <c r="NL2981" s="37"/>
      <c r="NM2981" s="37"/>
      <c r="NN2981" s="37"/>
      <c r="NO2981" s="37"/>
      <c r="NP2981" s="37"/>
      <c r="NQ2981" s="37"/>
      <c r="NR2981" s="37"/>
      <c r="NS2981" s="37"/>
      <c r="NT2981" s="37"/>
      <c r="NU2981" s="37"/>
      <c r="NV2981" s="37"/>
      <c r="NW2981" s="37"/>
      <c r="NX2981" s="37"/>
      <c r="NY2981" s="37"/>
      <c r="NZ2981" s="37"/>
      <c r="OA2981" s="37"/>
      <c r="OB2981" s="37"/>
      <c r="OC2981" s="37"/>
      <c r="OD2981" s="37"/>
      <c r="OE2981" s="37"/>
      <c r="OF2981" s="37"/>
      <c r="OG2981" s="37"/>
      <c r="OH2981" s="37"/>
      <c r="OI2981" s="37"/>
      <c r="OJ2981" s="37"/>
      <c r="OK2981" s="37"/>
      <c r="OL2981" s="37"/>
      <c r="OM2981" s="37"/>
      <c r="ON2981" s="37"/>
      <c r="OO2981" s="37"/>
      <c r="OP2981" s="37"/>
      <c r="OQ2981" s="37"/>
      <c r="OR2981" s="37"/>
      <c r="OS2981" s="37"/>
      <c r="OT2981" s="37"/>
      <c r="OU2981" s="37"/>
      <c r="OV2981" s="37"/>
      <c r="OW2981" s="37"/>
      <c r="OX2981" s="37"/>
      <c r="OY2981" s="37"/>
      <c r="OZ2981" s="37"/>
      <c r="PA2981" s="37"/>
      <c r="PB2981" s="37"/>
      <c r="PC2981" s="37"/>
      <c r="PD2981" s="37"/>
      <c r="PE2981" s="37"/>
      <c r="PF2981" s="37"/>
      <c r="PG2981" s="37"/>
      <c r="PH2981" s="37"/>
      <c r="PI2981" s="37"/>
      <c r="PJ2981" s="37"/>
      <c r="PK2981" s="37"/>
      <c r="PL2981" s="37"/>
      <c r="PM2981" s="37"/>
      <c r="PN2981" s="37"/>
      <c r="PO2981" s="37"/>
      <c r="PP2981" s="37"/>
      <c r="PQ2981" s="37"/>
      <c r="PR2981" s="37"/>
      <c r="PS2981" s="37"/>
      <c r="PT2981" s="37"/>
      <c r="PU2981" s="37"/>
      <c r="PV2981" s="37"/>
      <c r="PW2981" s="37"/>
      <c r="PX2981" s="37"/>
      <c r="PY2981" s="37"/>
      <c r="PZ2981" s="37"/>
      <c r="QA2981" s="37"/>
      <c r="QB2981" s="37"/>
      <c r="QC2981" s="37"/>
      <c r="QD2981" s="37"/>
      <c r="QE2981" s="37"/>
      <c r="QF2981" s="37"/>
      <c r="QG2981" s="37"/>
      <c r="QH2981" s="37"/>
      <c r="QI2981" s="37"/>
      <c r="QJ2981" s="37"/>
      <c r="QK2981" s="37"/>
      <c r="QL2981" s="37"/>
      <c r="QM2981" s="37"/>
      <c r="QN2981" s="37"/>
      <c r="QO2981" s="37"/>
      <c r="QP2981" s="37"/>
      <c r="QQ2981" s="37"/>
      <c r="QR2981" s="37"/>
      <c r="QS2981" s="37"/>
      <c r="QT2981" s="37"/>
      <c r="QU2981" s="37"/>
      <c r="QV2981" s="37"/>
      <c r="QW2981" s="37"/>
      <c r="QX2981" s="37"/>
      <c r="QY2981" s="37"/>
      <c r="QZ2981" s="37"/>
      <c r="RA2981" s="37"/>
      <c r="RB2981" s="37"/>
      <c r="RC2981" s="37"/>
      <c r="RD2981" s="37"/>
      <c r="RE2981" s="37"/>
      <c r="RF2981" s="37"/>
      <c r="RG2981" s="37"/>
      <c r="RH2981" s="37"/>
      <c r="RI2981" s="37"/>
      <c r="RJ2981" s="37"/>
      <c r="RK2981" s="37"/>
      <c r="RL2981" s="37"/>
      <c r="RM2981" s="37"/>
      <c r="RN2981" s="37"/>
      <c r="RO2981" s="37"/>
      <c r="RP2981" s="37"/>
      <c r="RQ2981" s="37"/>
      <c r="RR2981" s="37"/>
      <c r="RS2981" s="37"/>
      <c r="RT2981" s="37"/>
      <c r="RU2981" s="37"/>
      <c r="RV2981" s="37"/>
      <c r="RW2981" s="37"/>
      <c r="RX2981" s="37"/>
      <c r="RY2981" s="37"/>
      <c r="RZ2981" s="37"/>
      <c r="SA2981" s="37"/>
      <c r="SB2981" s="37"/>
      <c r="SC2981" s="37"/>
      <c r="SD2981" s="37"/>
      <c r="SE2981" s="37"/>
      <c r="SF2981" s="37"/>
    </row>
    <row r="2982" spans="1:500">
      <c r="A2982" s="37"/>
      <c r="B2982" s="37"/>
      <c r="C2982" s="37"/>
      <c r="D2982" s="37"/>
      <c r="E2982" s="37"/>
      <c r="F2982" s="37"/>
      <c r="G2982" s="37"/>
      <c r="H2982" s="37"/>
      <c r="I2982" s="37"/>
      <c r="J2982" s="37"/>
      <c r="K2982" s="37"/>
      <c r="L2982" s="37"/>
      <c r="M2982" s="37"/>
      <c r="N2982" s="37"/>
      <c r="O2982" s="37"/>
      <c r="P2982" s="37"/>
      <c r="Q2982" s="37"/>
      <c r="R2982" s="37"/>
      <c r="S2982" s="37"/>
      <c r="T2982" s="37"/>
      <c r="U2982" s="37"/>
      <c r="V2982" s="37"/>
      <c r="W2982" s="37"/>
      <c r="X2982" s="37"/>
      <c r="Y2982" s="37"/>
      <c r="Z2982" s="37"/>
      <c r="AA2982" s="37"/>
      <c r="AB2982" s="37"/>
      <c r="AC2982" s="37"/>
      <c r="AD2982" s="37"/>
      <c r="AE2982" s="37"/>
      <c r="AF2982" s="37"/>
      <c r="AG2982" s="37"/>
      <c r="AH2982" s="37"/>
      <c r="AI2982" s="37"/>
      <c r="AJ2982" s="37"/>
      <c r="AK2982" s="37"/>
      <c r="AL2982" s="37"/>
      <c r="AM2982" s="37"/>
      <c r="AN2982" s="37"/>
      <c r="AO2982" s="37"/>
      <c r="AP2982" s="37"/>
      <c r="AQ2982" s="37"/>
      <c r="AR2982" s="37"/>
      <c r="AS2982" s="37"/>
      <c r="AT2982" s="37"/>
      <c r="AU2982" s="37"/>
      <c r="AV2982" s="37"/>
      <c r="AW2982" s="37"/>
      <c r="AX2982" s="37"/>
      <c r="AY2982" s="37"/>
      <c r="AZ2982" s="37"/>
      <c r="BA2982" s="37"/>
      <c r="BB2982" s="37"/>
      <c r="BC2982" s="37"/>
      <c r="BD2982" s="37"/>
      <c r="BE2982" s="37"/>
      <c r="BF2982" s="37"/>
      <c r="BG2982" s="37"/>
      <c r="BH2982" s="37"/>
      <c r="BI2982" s="37"/>
      <c r="BJ2982" s="37"/>
      <c r="BK2982" s="37"/>
      <c r="BL2982" s="37"/>
      <c r="BM2982" s="37"/>
      <c r="BN2982" s="37"/>
      <c r="BO2982" s="37"/>
      <c r="BP2982" s="37"/>
      <c r="BQ2982" s="37"/>
      <c r="BR2982" s="37"/>
      <c r="BS2982" s="37"/>
      <c r="BT2982" s="37"/>
      <c r="BU2982" s="37"/>
      <c r="BV2982" s="37"/>
      <c r="BW2982" s="37"/>
      <c r="BX2982" s="37"/>
      <c r="BY2982" s="37"/>
      <c r="BZ2982" s="37"/>
      <c r="CA2982" s="37"/>
      <c r="CB2982" s="37"/>
      <c r="CC2982" s="37"/>
      <c r="CD2982" s="37"/>
      <c r="CE2982" s="37"/>
      <c r="CF2982" s="37"/>
      <c r="CG2982" s="37"/>
      <c r="CH2982" s="37"/>
      <c r="CI2982" s="37"/>
      <c r="CJ2982" s="37"/>
      <c r="CK2982" s="37"/>
      <c r="CL2982" s="37"/>
      <c r="CM2982" s="37"/>
      <c r="CN2982" s="37"/>
      <c r="CO2982" s="37"/>
      <c r="CP2982" s="37"/>
      <c r="CQ2982" s="37"/>
      <c r="CR2982" s="37"/>
      <c r="CS2982" s="37"/>
      <c r="CT2982" s="37"/>
      <c r="CU2982" s="37"/>
      <c r="CV2982" s="37"/>
      <c r="CW2982" s="37"/>
      <c r="CX2982" s="37"/>
      <c r="CY2982" s="37"/>
      <c r="CZ2982" s="37"/>
      <c r="DA2982" s="37"/>
      <c r="DB2982" s="37"/>
      <c r="DC2982" s="37"/>
      <c r="DD2982" s="37"/>
      <c r="DE2982" s="37"/>
      <c r="DF2982" s="37"/>
      <c r="DG2982" s="37"/>
      <c r="DH2982" s="37"/>
      <c r="DI2982" s="37"/>
      <c r="DJ2982" s="37"/>
      <c r="DK2982" s="37"/>
      <c r="DL2982" s="37"/>
      <c r="DM2982" s="37"/>
      <c r="DN2982" s="37"/>
      <c r="DO2982" s="37"/>
      <c r="DP2982" s="37"/>
      <c r="DQ2982" s="37"/>
      <c r="DR2982" s="37"/>
      <c r="DS2982" s="37"/>
      <c r="DT2982" s="37"/>
      <c r="DU2982" s="37"/>
      <c r="DV2982" s="37"/>
      <c r="DW2982" s="37"/>
      <c r="DX2982" s="37"/>
      <c r="DY2982" s="37"/>
      <c r="DZ2982" s="37"/>
      <c r="EA2982" s="37"/>
      <c r="EB2982" s="37"/>
      <c r="EC2982" s="37"/>
      <c r="ED2982" s="37"/>
      <c r="EE2982" s="37"/>
      <c r="EF2982" s="37"/>
      <c r="EG2982" s="37"/>
      <c r="EH2982" s="37"/>
      <c r="EI2982" s="37"/>
      <c r="EJ2982" s="37"/>
      <c r="EK2982" s="37"/>
      <c r="EL2982" s="37"/>
      <c r="EM2982" s="37"/>
      <c r="EN2982" s="37"/>
      <c r="EO2982" s="37"/>
      <c r="EP2982" s="37"/>
      <c r="EQ2982" s="37"/>
      <c r="ER2982" s="37"/>
      <c r="ES2982" s="37"/>
      <c r="ET2982" s="37"/>
      <c r="EU2982" s="37"/>
      <c r="EV2982" s="37"/>
      <c r="EW2982" s="37"/>
      <c r="EX2982" s="37"/>
      <c r="EY2982" s="37"/>
      <c r="EZ2982" s="37"/>
      <c r="FA2982" s="37"/>
      <c r="FB2982" s="37"/>
      <c r="FC2982" s="37"/>
      <c r="FD2982" s="37"/>
      <c r="FE2982" s="37"/>
      <c r="FF2982" s="37"/>
      <c r="FG2982" s="37"/>
      <c r="FH2982" s="37"/>
      <c r="FI2982" s="37"/>
      <c r="FJ2982" s="37"/>
      <c r="FK2982" s="37"/>
      <c r="FL2982" s="37"/>
      <c r="FM2982" s="37"/>
      <c r="FN2982" s="37"/>
      <c r="FO2982" s="37"/>
      <c r="FP2982" s="37"/>
      <c r="FQ2982" s="37"/>
      <c r="FR2982" s="37"/>
      <c r="FS2982" s="37"/>
      <c r="FT2982" s="37"/>
      <c r="FU2982" s="37"/>
      <c r="FV2982" s="37"/>
      <c r="FW2982" s="37"/>
      <c r="FX2982" s="37"/>
      <c r="FY2982" s="37"/>
      <c r="FZ2982" s="37"/>
      <c r="GA2982" s="37"/>
      <c r="GB2982" s="37"/>
      <c r="GC2982" s="37"/>
      <c r="GD2982" s="37"/>
      <c r="GE2982" s="37"/>
      <c r="GF2982" s="37"/>
      <c r="GG2982" s="37"/>
      <c r="GH2982" s="37"/>
      <c r="GI2982" s="37"/>
      <c r="GJ2982" s="37"/>
      <c r="GK2982" s="37"/>
      <c r="GL2982" s="37"/>
      <c r="GM2982" s="37"/>
      <c r="GN2982" s="37"/>
      <c r="GO2982" s="37"/>
      <c r="GP2982" s="37"/>
      <c r="GQ2982" s="37"/>
      <c r="GR2982" s="37"/>
      <c r="GS2982" s="37"/>
      <c r="GT2982" s="37"/>
      <c r="GU2982" s="37"/>
      <c r="GV2982" s="37"/>
      <c r="GW2982" s="37"/>
      <c r="GX2982" s="37"/>
      <c r="GY2982" s="37"/>
      <c r="GZ2982" s="37"/>
      <c r="HA2982" s="37"/>
      <c r="HB2982" s="37"/>
      <c r="HC2982" s="37"/>
      <c r="HD2982" s="37"/>
      <c r="HE2982" s="37"/>
      <c r="HF2982" s="37"/>
      <c r="HG2982" s="37"/>
      <c r="HH2982" s="37"/>
      <c r="HI2982" s="37"/>
      <c r="HJ2982" s="37"/>
      <c r="HK2982" s="37"/>
      <c r="HL2982" s="37"/>
      <c r="HM2982" s="37"/>
      <c r="HN2982" s="37"/>
      <c r="HO2982" s="37"/>
      <c r="HP2982" s="37"/>
      <c r="HQ2982" s="37"/>
      <c r="HR2982" s="37"/>
      <c r="HS2982" s="37"/>
      <c r="HT2982" s="37"/>
      <c r="HU2982" s="37"/>
      <c r="HV2982" s="37"/>
      <c r="HW2982" s="37"/>
      <c r="HX2982" s="37"/>
      <c r="HY2982" s="37"/>
      <c r="HZ2982" s="37"/>
      <c r="IA2982" s="37"/>
      <c r="IB2982" s="37"/>
      <c r="IC2982" s="37"/>
      <c r="ID2982" s="37"/>
      <c r="IE2982" s="37"/>
      <c r="IF2982" s="37"/>
      <c r="IG2982" s="37"/>
      <c r="IH2982" s="37"/>
      <c r="II2982" s="37"/>
      <c r="IJ2982" s="37"/>
      <c r="IK2982" s="37"/>
      <c r="IL2982" s="37"/>
      <c r="IM2982" s="37"/>
      <c r="IN2982" s="37"/>
      <c r="IO2982" s="37"/>
      <c r="IP2982" s="37"/>
      <c r="IQ2982" s="37"/>
      <c r="IR2982" s="37"/>
      <c r="IS2982" s="37"/>
      <c r="IT2982" s="37"/>
      <c r="IU2982" s="37"/>
      <c r="IV2982" s="37"/>
      <c r="IW2982" s="37"/>
      <c r="IX2982" s="37"/>
      <c r="IY2982" s="37"/>
      <c r="IZ2982" s="37"/>
      <c r="JA2982" s="37"/>
      <c r="JB2982" s="37"/>
      <c r="JC2982" s="37"/>
      <c r="JD2982" s="37"/>
      <c r="JE2982" s="37"/>
      <c r="JF2982" s="37"/>
      <c r="JG2982" s="37"/>
      <c r="JH2982" s="37"/>
      <c r="JI2982" s="37"/>
      <c r="JJ2982" s="37"/>
      <c r="JK2982" s="37"/>
      <c r="JL2982" s="37"/>
      <c r="JM2982" s="37"/>
      <c r="JN2982" s="37"/>
      <c r="JO2982" s="37"/>
      <c r="JP2982" s="37"/>
      <c r="JQ2982" s="37"/>
      <c r="JR2982" s="37"/>
      <c r="JS2982" s="37"/>
      <c r="JT2982" s="37"/>
      <c r="JU2982" s="37"/>
      <c r="JV2982" s="37"/>
      <c r="JW2982" s="37"/>
      <c r="JX2982" s="37"/>
      <c r="JY2982" s="37"/>
      <c r="JZ2982" s="37"/>
      <c r="KA2982" s="37"/>
      <c r="KB2982" s="37"/>
      <c r="KC2982" s="37"/>
      <c r="KD2982" s="37"/>
      <c r="KE2982" s="37"/>
      <c r="KF2982" s="37"/>
      <c r="KG2982" s="37"/>
      <c r="KH2982" s="37"/>
      <c r="KI2982" s="37"/>
      <c r="KJ2982" s="37"/>
      <c r="KK2982" s="37"/>
      <c r="KL2982" s="37"/>
      <c r="KM2982" s="37"/>
      <c r="KN2982" s="37"/>
      <c r="KO2982" s="37"/>
      <c r="KP2982" s="37"/>
      <c r="KQ2982" s="37"/>
      <c r="KR2982" s="37"/>
      <c r="KS2982" s="37"/>
      <c r="KT2982" s="37"/>
      <c r="KU2982" s="37"/>
      <c r="KV2982" s="37"/>
      <c r="KW2982" s="37"/>
      <c r="KX2982" s="37"/>
      <c r="KY2982" s="37"/>
      <c r="KZ2982" s="37"/>
      <c r="LA2982" s="37"/>
      <c r="LB2982" s="37"/>
      <c r="LC2982" s="37"/>
      <c r="LD2982" s="37"/>
      <c r="LE2982" s="37"/>
      <c r="LF2982" s="37"/>
      <c r="LG2982" s="37"/>
      <c r="LH2982" s="37"/>
      <c r="LI2982" s="37"/>
      <c r="LJ2982" s="37"/>
      <c r="LK2982" s="37"/>
      <c r="LL2982" s="37"/>
      <c r="LM2982" s="37"/>
      <c r="LN2982" s="37"/>
      <c r="LO2982" s="37"/>
      <c r="LP2982" s="37"/>
      <c r="LQ2982" s="37"/>
      <c r="LR2982" s="37"/>
      <c r="LS2982" s="37"/>
      <c r="LT2982" s="37"/>
      <c r="LU2982" s="37"/>
      <c r="LV2982" s="37"/>
      <c r="LW2982" s="37"/>
      <c r="LX2982" s="37"/>
      <c r="LY2982" s="37"/>
      <c r="LZ2982" s="37"/>
      <c r="MA2982" s="37"/>
      <c r="MB2982" s="37"/>
      <c r="MC2982" s="37"/>
      <c r="MD2982" s="37"/>
      <c r="ME2982" s="37"/>
      <c r="MF2982" s="37"/>
      <c r="MG2982" s="37"/>
      <c r="MH2982" s="37"/>
      <c r="MI2982" s="37"/>
      <c r="MJ2982" s="37"/>
      <c r="MK2982" s="37"/>
      <c r="ML2982" s="37"/>
      <c r="MM2982" s="37"/>
      <c r="MN2982" s="37"/>
      <c r="MO2982" s="37"/>
      <c r="MP2982" s="37"/>
      <c r="MQ2982" s="37"/>
      <c r="MR2982" s="37"/>
      <c r="MS2982" s="37"/>
      <c r="MT2982" s="37"/>
      <c r="MU2982" s="37"/>
      <c r="MV2982" s="37"/>
      <c r="MW2982" s="37"/>
      <c r="MX2982" s="37"/>
      <c r="MY2982" s="37"/>
      <c r="MZ2982" s="37"/>
      <c r="NA2982" s="37"/>
      <c r="NB2982" s="37"/>
      <c r="NC2982" s="37"/>
      <c r="ND2982" s="37"/>
      <c r="NE2982" s="37"/>
      <c r="NF2982" s="37"/>
      <c r="NG2982" s="37"/>
      <c r="NH2982" s="37"/>
      <c r="NI2982" s="37"/>
      <c r="NJ2982" s="37"/>
      <c r="NK2982" s="37"/>
      <c r="NL2982" s="37"/>
      <c r="NM2982" s="37"/>
      <c r="NN2982" s="37"/>
      <c r="NO2982" s="37"/>
      <c r="NP2982" s="37"/>
      <c r="NQ2982" s="37"/>
      <c r="NR2982" s="37"/>
      <c r="NS2982" s="37"/>
      <c r="NT2982" s="37"/>
      <c r="NU2982" s="37"/>
      <c r="NV2982" s="37"/>
      <c r="NW2982" s="37"/>
      <c r="NX2982" s="37"/>
      <c r="NY2982" s="37"/>
      <c r="NZ2982" s="37"/>
      <c r="OA2982" s="37"/>
      <c r="OB2982" s="37"/>
      <c r="OC2982" s="37"/>
      <c r="OD2982" s="37"/>
      <c r="OE2982" s="37"/>
      <c r="OF2982" s="37"/>
      <c r="OG2982" s="37"/>
      <c r="OH2982" s="37"/>
      <c r="OI2982" s="37"/>
      <c r="OJ2982" s="37"/>
      <c r="OK2982" s="37"/>
      <c r="OL2982" s="37"/>
      <c r="OM2982" s="37"/>
      <c r="ON2982" s="37"/>
      <c r="OO2982" s="37"/>
      <c r="OP2982" s="37"/>
      <c r="OQ2982" s="37"/>
      <c r="OR2982" s="37"/>
      <c r="OS2982" s="37"/>
      <c r="OT2982" s="37"/>
      <c r="OU2982" s="37"/>
      <c r="OV2982" s="37"/>
      <c r="OW2982" s="37"/>
      <c r="OX2982" s="37"/>
      <c r="OY2982" s="37"/>
      <c r="OZ2982" s="37"/>
      <c r="PA2982" s="37"/>
      <c r="PB2982" s="37"/>
      <c r="PC2982" s="37"/>
      <c r="PD2982" s="37"/>
      <c r="PE2982" s="37"/>
      <c r="PF2982" s="37"/>
      <c r="PG2982" s="37"/>
      <c r="PH2982" s="37"/>
      <c r="PI2982" s="37"/>
      <c r="PJ2982" s="37"/>
      <c r="PK2982" s="37"/>
      <c r="PL2982" s="37"/>
      <c r="PM2982" s="37"/>
      <c r="PN2982" s="37"/>
      <c r="PO2982" s="37"/>
      <c r="PP2982" s="37"/>
      <c r="PQ2982" s="37"/>
      <c r="PR2982" s="37"/>
      <c r="PS2982" s="37"/>
      <c r="PT2982" s="37"/>
      <c r="PU2982" s="37"/>
      <c r="PV2982" s="37"/>
      <c r="PW2982" s="37"/>
      <c r="PX2982" s="37"/>
      <c r="PY2982" s="37"/>
      <c r="PZ2982" s="37"/>
      <c r="QA2982" s="37"/>
      <c r="QB2982" s="37"/>
      <c r="QC2982" s="37"/>
      <c r="QD2982" s="37"/>
      <c r="QE2982" s="37"/>
      <c r="QF2982" s="37"/>
      <c r="QG2982" s="37"/>
      <c r="QH2982" s="37"/>
      <c r="QI2982" s="37"/>
      <c r="QJ2982" s="37"/>
      <c r="QK2982" s="37"/>
      <c r="QL2982" s="37"/>
      <c r="QM2982" s="37"/>
      <c r="QN2982" s="37"/>
      <c r="QO2982" s="37"/>
      <c r="QP2982" s="37"/>
      <c r="QQ2982" s="37"/>
      <c r="QR2982" s="37"/>
      <c r="QS2982" s="37"/>
      <c r="QT2982" s="37"/>
      <c r="QU2982" s="37"/>
      <c r="QV2982" s="37"/>
      <c r="QW2982" s="37"/>
      <c r="QX2982" s="37"/>
      <c r="QY2982" s="37"/>
      <c r="QZ2982" s="37"/>
      <c r="RA2982" s="37"/>
      <c r="RB2982" s="37"/>
      <c r="RC2982" s="37"/>
      <c r="RD2982" s="37"/>
      <c r="RE2982" s="37"/>
      <c r="RF2982" s="37"/>
      <c r="RG2982" s="37"/>
      <c r="RH2982" s="37"/>
      <c r="RI2982" s="37"/>
      <c r="RJ2982" s="37"/>
      <c r="RK2982" s="37"/>
      <c r="RL2982" s="37"/>
      <c r="RM2982" s="37"/>
      <c r="RN2982" s="37"/>
      <c r="RO2982" s="37"/>
      <c r="RP2982" s="37"/>
      <c r="RQ2982" s="37"/>
      <c r="RR2982" s="37"/>
      <c r="RS2982" s="37"/>
      <c r="RT2982" s="37"/>
      <c r="RU2982" s="37"/>
      <c r="RV2982" s="37"/>
      <c r="RW2982" s="37"/>
      <c r="RX2982" s="37"/>
      <c r="RY2982" s="37"/>
      <c r="RZ2982" s="37"/>
      <c r="SA2982" s="37"/>
      <c r="SB2982" s="37"/>
      <c r="SC2982" s="37"/>
      <c r="SD2982" s="37"/>
      <c r="SE2982" s="37"/>
      <c r="SF2982" s="37"/>
    </row>
    <row r="2983" spans="1:500">
      <c r="A2983" s="37"/>
      <c r="B2983" s="37"/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7"/>
      <c r="O2983" s="37"/>
      <c r="P2983" s="37"/>
      <c r="Q2983" s="37"/>
      <c r="R2983" s="37"/>
      <c r="S2983" s="37"/>
      <c r="T2983" s="37"/>
      <c r="U2983" s="37"/>
      <c r="V2983" s="37"/>
      <c r="W2983" s="37"/>
      <c r="X2983" s="37"/>
      <c r="Y2983" s="37"/>
      <c r="Z2983" s="37"/>
      <c r="AA2983" s="37"/>
      <c r="AB2983" s="37"/>
      <c r="AC2983" s="37"/>
      <c r="AD2983" s="37"/>
      <c r="AE2983" s="37"/>
      <c r="AF2983" s="37"/>
      <c r="AG2983" s="37"/>
      <c r="AH2983" s="37"/>
      <c r="AI2983" s="37"/>
      <c r="AJ2983" s="37"/>
      <c r="AK2983" s="37"/>
      <c r="AL2983" s="37"/>
      <c r="AM2983" s="37"/>
      <c r="AN2983" s="37"/>
      <c r="AO2983" s="37"/>
      <c r="AP2983" s="37"/>
      <c r="AQ2983" s="37"/>
      <c r="AR2983" s="37"/>
      <c r="AS2983" s="37"/>
      <c r="AT2983" s="37"/>
      <c r="AU2983" s="37"/>
      <c r="AV2983" s="37"/>
      <c r="AW2983" s="37"/>
      <c r="AX2983" s="37"/>
      <c r="AY2983" s="37"/>
      <c r="AZ2983" s="37"/>
      <c r="BA2983" s="37"/>
      <c r="BB2983" s="37"/>
      <c r="BC2983" s="37"/>
      <c r="BD2983" s="37"/>
      <c r="BE2983" s="37"/>
      <c r="BF2983" s="37"/>
      <c r="BG2983" s="37"/>
      <c r="BH2983" s="37"/>
      <c r="BI2983" s="37"/>
      <c r="BJ2983" s="37"/>
      <c r="BK2983" s="37"/>
      <c r="BL2983" s="37"/>
      <c r="BM2983" s="37"/>
      <c r="BN2983" s="37"/>
      <c r="BO2983" s="37"/>
      <c r="BP2983" s="37"/>
      <c r="BQ2983" s="37"/>
      <c r="BR2983" s="37"/>
      <c r="BS2983" s="37"/>
      <c r="BT2983" s="37"/>
      <c r="BU2983" s="37"/>
      <c r="BV2983" s="37"/>
      <c r="BW2983" s="37"/>
      <c r="BX2983" s="37"/>
      <c r="BY2983" s="37"/>
      <c r="BZ2983" s="37"/>
      <c r="CA2983" s="37"/>
      <c r="CB2983" s="37"/>
      <c r="CC2983" s="37"/>
      <c r="CD2983" s="37"/>
      <c r="CE2983" s="37"/>
      <c r="CF2983" s="37"/>
      <c r="CG2983" s="37"/>
      <c r="CH2983" s="37"/>
      <c r="CI2983" s="37"/>
      <c r="CJ2983" s="37"/>
      <c r="CK2983" s="37"/>
      <c r="CL2983" s="37"/>
      <c r="CM2983" s="37"/>
      <c r="CN2983" s="37"/>
      <c r="CO2983" s="37"/>
      <c r="CP2983" s="37"/>
      <c r="CQ2983" s="37"/>
      <c r="CR2983" s="37"/>
      <c r="CS2983" s="37"/>
      <c r="CT2983" s="37"/>
      <c r="CU2983" s="37"/>
      <c r="CV2983" s="37"/>
      <c r="CW2983" s="37"/>
      <c r="CX2983" s="37"/>
      <c r="CY2983" s="37"/>
      <c r="CZ2983" s="37"/>
      <c r="DA2983" s="37"/>
      <c r="DB2983" s="37"/>
      <c r="DC2983" s="37"/>
      <c r="DD2983" s="37"/>
      <c r="DE2983" s="37"/>
      <c r="DF2983" s="37"/>
      <c r="DG2983" s="37"/>
      <c r="DH2983" s="37"/>
      <c r="DI2983" s="37"/>
      <c r="DJ2983" s="37"/>
      <c r="DK2983" s="37"/>
      <c r="DL2983" s="37"/>
      <c r="DM2983" s="37"/>
      <c r="DN2983" s="37"/>
      <c r="DO2983" s="37"/>
      <c r="DP2983" s="37"/>
      <c r="DQ2983" s="37"/>
      <c r="DR2983" s="37"/>
      <c r="DS2983" s="37"/>
      <c r="DT2983" s="37"/>
      <c r="DU2983" s="37"/>
      <c r="DV2983" s="37"/>
      <c r="DW2983" s="37"/>
      <c r="DX2983" s="37"/>
      <c r="DY2983" s="37"/>
      <c r="DZ2983" s="37"/>
      <c r="EA2983" s="37"/>
      <c r="EB2983" s="37"/>
      <c r="EC2983" s="37"/>
      <c r="ED2983" s="37"/>
      <c r="EE2983" s="37"/>
      <c r="EF2983" s="37"/>
      <c r="EG2983" s="37"/>
      <c r="EH2983" s="37"/>
      <c r="EI2983" s="37"/>
      <c r="EJ2983" s="37"/>
      <c r="EK2983" s="37"/>
      <c r="EL2983" s="37"/>
      <c r="EM2983" s="37"/>
      <c r="EN2983" s="37"/>
      <c r="EO2983" s="37"/>
      <c r="EP2983" s="37"/>
      <c r="EQ2983" s="37"/>
      <c r="ER2983" s="37"/>
      <c r="ES2983" s="37"/>
      <c r="ET2983" s="37"/>
      <c r="EU2983" s="37"/>
      <c r="EV2983" s="37"/>
      <c r="EW2983" s="37"/>
      <c r="EX2983" s="37"/>
      <c r="EY2983" s="37"/>
      <c r="EZ2983" s="37"/>
      <c r="FA2983" s="37"/>
      <c r="FB2983" s="37"/>
      <c r="FC2983" s="37"/>
      <c r="FD2983" s="37"/>
      <c r="FE2983" s="37"/>
      <c r="FF2983" s="37"/>
      <c r="FG2983" s="37"/>
      <c r="FH2983" s="37"/>
      <c r="FI2983" s="37"/>
      <c r="FJ2983" s="37"/>
      <c r="FK2983" s="37"/>
      <c r="FL2983" s="37"/>
      <c r="FM2983" s="37"/>
      <c r="FN2983" s="37"/>
      <c r="FO2983" s="37"/>
      <c r="FP2983" s="37"/>
      <c r="FQ2983" s="37"/>
      <c r="FR2983" s="37"/>
      <c r="FS2983" s="37"/>
      <c r="FT2983" s="37"/>
      <c r="FU2983" s="37"/>
      <c r="FV2983" s="37"/>
      <c r="FW2983" s="37"/>
      <c r="FX2983" s="37"/>
      <c r="FY2983" s="37"/>
      <c r="FZ2983" s="37"/>
      <c r="GA2983" s="37"/>
      <c r="GB2983" s="37"/>
      <c r="GC2983" s="37"/>
      <c r="GD2983" s="37"/>
      <c r="GE2983" s="37"/>
      <c r="GF2983" s="37"/>
      <c r="GG2983" s="37"/>
      <c r="GH2983" s="37"/>
      <c r="GI2983" s="37"/>
      <c r="GJ2983" s="37"/>
      <c r="GK2983" s="37"/>
      <c r="GL2983" s="37"/>
      <c r="GM2983" s="37"/>
      <c r="GN2983" s="37"/>
      <c r="GO2983" s="37"/>
      <c r="GP2983" s="37"/>
      <c r="GQ2983" s="37"/>
      <c r="GR2983" s="37"/>
      <c r="GS2983" s="37"/>
      <c r="GT2983" s="37"/>
      <c r="GU2983" s="37"/>
      <c r="GV2983" s="37"/>
      <c r="GW2983" s="37"/>
      <c r="GX2983" s="37"/>
      <c r="GY2983" s="37"/>
      <c r="GZ2983" s="37"/>
      <c r="HA2983" s="37"/>
      <c r="HB2983" s="37"/>
      <c r="HC2983" s="37"/>
      <c r="HD2983" s="37"/>
      <c r="HE2983" s="37"/>
      <c r="HF2983" s="37"/>
      <c r="HG2983" s="37"/>
      <c r="HH2983" s="37"/>
      <c r="HI2983" s="37"/>
      <c r="HJ2983" s="37"/>
      <c r="HK2983" s="37"/>
      <c r="HL2983" s="37"/>
      <c r="HM2983" s="37"/>
      <c r="HN2983" s="37"/>
      <c r="HO2983" s="37"/>
      <c r="HP2983" s="37"/>
      <c r="HQ2983" s="37"/>
      <c r="HR2983" s="37"/>
      <c r="HS2983" s="37"/>
      <c r="HT2983" s="37"/>
      <c r="HU2983" s="37"/>
      <c r="HV2983" s="37"/>
      <c r="HW2983" s="37"/>
      <c r="HX2983" s="37"/>
      <c r="HY2983" s="37"/>
      <c r="HZ2983" s="37"/>
      <c r="IA2983" s="37"/>
      <c r="IB2983" s="37"/>
      <c r="IC2983" s="37"/>
      <c r="ID2983" s="37"/>
      <c r="IE2983" s="37"/>
      <c r="IF2983" s="37"/>
      <c r="IG2983" s="37"/>
      <c r="IH2983" s="37"/>
      <c r="II2983" s="37"/>
      <c r="IJ2983" s="37"/>
      <c r="IK2983" s="37"/>
      <c r="IL2983" s="37"/>
      <c r="IM2983" s="37"/>
      <c r="IN2983" s="37"/>
      <c r="IO2983" s="37"/>
      <c r="IP2983" s="37"/>
      <c r="IQ2983" s="37"/>
      <c r="IR2983" s="37"/>
      <c r="IS2983" s="37"/>
      <c r="IT2983" s="37"/>
      <c r="IU2983" s="37"/>
      <c r="IV2983" s="37"/>
      <c r="IW2983" s="37"/>
      <c r="IX2983" s="37"/>
      <c r="IY2983" s="37"/>
      <c r="IZ2983" s="37"/>
      <c r="JA2983" s="37"/>
      <c r="JB2983" s="37"/>
      <c r="JC2983" s="37"/>
      <c r="JD2983" s="37"/>
      <c r="JE2983" s="37"/>
      <c r="JF2983" s="37"/>
      <c r="JG2983" s="37"/>
      <c r="JH2983" s="37"/>
      <c r="JI2983" s="37"/>
      <c r="JJ2983" s="37"/>
      <c r="JK2983" s="37"/>
      <c r="JL2983" s="37"/>
      <c r="JM2983" s="37"/>
      <c r="JN2983" s="37"/>
      <c r="JO2983" s="37"/>
      <c r="JP2983" s="37"/>
      <c r="JQ2983" s="37"/>
      <c r="JR2983" s="37"/>
      <c r="JS2983" s="37"/>
      <c r="JT2983" s="37"/>
      <c r="JU2983" s="37"/>
      <c r="JV2983" s="37"/>
      <c r="JW2983" s="37"/>
      <c r="JX2983" s="37"/>
      <c r="JY2983" s="37"/>
      <c r="JZ2983" s="37"/>
      <c r="KA2983" s="37"/>
      <c r="KB2983" s="37"/>
      <c r="KC2983" s="37"/>
      <c r="KD2983" s="37"/>
      <c r="KE2983" s="37"/>
      <c r="KF2983" s="37"/>
      <c r="KG2983" s="37"/>
      <c r="KH2983" s="37"/>
      <c r="KI2983" s="37"/>
      <c r="KJ2983" s="37"/>
      <c r="KK2983" s="37"/>
      <c r="KL2983" s="37"/>
      <c r="KM2983" s="37"/>
      <c r="KN2983" s="37"/>
      <c r="KO2983" s="37"/>
      <c r="KP2983" s="37"/>
      <c r="KQ2983" s="37"/>
      <c r="KR2983" s="37"/>
      <c r="KS2983" s="37"/>
      <c r="KT2983" s="37"/>
      <c r="KU2983" s="37"/>
      <c r="KV2983" s="37"/>
      <c r="KW2983" s="37"/>
      <c r="KX2983" s="37"/>
      <c r="KY2983" s="37"/>
      <c r="KZ2983" s="37"/>
      <c r="LA2983" s="37"/>
      <c r="LB2983" s="37"/>
      <c r="LC2983" s="37"/>
      <c r="LD2983" s="37"/>
      <c r="LE2983" s="37"/>
      <c r="LF2983" s="37"/>
      <c r="LG2983" s="37"/>
      <c r="LH2983" s="37"/>
      <c r="LI2983" s="37"/>
      <c r="LJ2983" s="37"/>
      <c r="LK2983" s="37"/>
      <c r="LL2983" s="37"/>
      <c r="LM2983" s="37"/>
      <c r="LN2983" s="37"/>
      <c r="LO2983" s="37"/>
      <c r="LP2983" s="37"/>
      <c r="LQ2983" s="37"/>
      <c r="LR2983" s="37"/>
      <c r="LS2983" s="37"/>
      <c r="LT2983" s="37"/>
      <c r="LU2983" s="37"/>
      <c r="LV2983" s="37"/>
      <c r="LW2983" s="37"/>
      <c r="LX2983" s="37"/>
      <c r="LY2983" s="37"/>
      <c r="LZ2983" s="37"/>
      <c r="MA2983" s="37"/>
      <c r="MB2983" s="37"/>
      <c r="MC2983" s="37"/>
      <c r="MD2983" s="37"/>
      <c r="ME2983" s="37"/>
      <c r="MF2983" s="37"/>
      <c r="MG2983" s="37"/>
      <c r="MH2983" s="37"/>
      <c r="MI2983" s="37"/>
      <c r="MJ2983" s="37"/>
      <c r="MK2983" s="37"/>
      <c r="ML2983" s="37"/>
      <c r="MM2983" s="37"/>
      <c r="MN2983" s="37"/>
      <c r="MO2983" s="37"/>
      <c r="MP2983" s="37"/>
      <c r="MQ2983" s="37"/>
      <c r="MR2983" s="37"/>
      <c r="MS2983" s="37"/>
      <c r="MT2983" s="37"/>
      <c r="MU2983" s="37"/>
      <c r="MV2983" s="37"/>
      <c r="MW2983" s="37"/>
      <c r="MX2983" s="37"/>
      <c r="MY2983" s="37"/>
      <c r="MZ2983" s="37"/>
      <c r="NA2983" s="37"/>
      <c r="NB2983" s="37"/>
      <c r="NC2983" s="37"/>
      <c r="ND2983" s="37"/>
      <c r="NE2983" s="37"/>
      <c r="NF2983" s="37"/>
      <c r="NG2983" s="37"/>
      <c r="NH2983" s="37"/>
      <c r="NI2983" s="37"/>
      <c r="NJ2983" s="37"/>
      <c r="NK2983" s="37"/>
      <c r="NL2983" s="37"/>
      <c r="NM2983" s="37"/>
      <c r="NN2983" s="37"/>
      <c r="NO2983" s="37"/>
      <c r="NP2983" s="37"/>
      <c r="NQ2983" s="37"/>
      <c r="NR2983" s="37"/>
      <c r="NS2983" s="37"/>
      <c r="NT2983" s="37"/>
      <c r="NU2983" s="37"/>
      <c r="NV2983" s="37"/>
      <c r="NW2983" s="37"/>
      <c r="NX2983" s="37"/>
      <c r="NY2983" s="37"/>
      <c r="NZ2983" s="37"/>
      <c r="OA2983" s="37"/>
      <c r="OB2983" s="37"/>
      <c r="OC2983" s="37"/>
      <c r="OD2983" s="37"/>
      <c r="OE2983" s="37"/>
      <c r="OF2983" s="37"/>
      <c r="OG2983" s="37"/>
      <c r="OH2983" s="37"/>
      <c r="OI2983" s="37"/>
      <c r="OJ2983" s="37"/>
      <c r="OK2983" s="37"/>
      <c r="OL2983" s="37"/>
      <c r="OM2983" s="37"/>
      <c r="ON2983" s="37"/>
      <c r="OO2983" s="37"/>
      <c r="OP2983" s="37"/>
      <c r="OQ2983" s="37"/>
      <c r="OR2983" s="37"/>
      <c r="OS2983" s="37"/>
      <c r="OT2983" s="37"/>
      <c r="OU2983" s="37"/>
      <c r="OV2983" s="37"/>
      <c r="OW2983" s="37"/>
      <c r="OX2983" s="37"/>
      <c r="OY2983" s="37"/>
      <c r="OZ2983" s="37"/>
      <c r="PA2983" s="37"/>
      <c r="PB2983" s="37"/>
      <c r="PC2983" s="37"/>
      <c r="PD2983" s="37"/>
      <c r="PE2983" s="37"/>
      <c r="PF2983" s="37"/>
      <c r="PG2983" s="37"/>
      <c r="PH2983" s="37"/>
      <c r="PI2983" s="37"/>
      <c r="PJ2983" s="37"/>
      <c r="PK2983" s="37"/>
      <c r="PL2983" s="37"/>
      <c r="PM2983" s="37"/>
      <c r="PN2983" s="37"/>
      <c r="PO2983" s="37"/>
      <c r="PP2983" s="37"/>
      <c r="PQ2983" s="37"/>
      <c r="PR2983" s="37"/>
      <c r="PS2983" s="37"/>
      <c r="PT2983" s="37"/>
      <c r="PU2983" s="37"/>
      <c r="PV2983" s="37"/>
      <c r="PW2983" s="37"/>
      <c r="PX2983" s="37"/>
      <c r="PY2983" s="37"/>
      <c r="PZ2983" s="37"/>
      <c r="QA2983" s="37"/>
      <c r="QB2983" s="37"/>
      <c r="QC2983" s="37"/>
      <c r="QD2983" s="37"/>
      <c r="QE2983" s="37"/>
      <c r="QF2983" s="37"/>
      <c r="QG2983" s="37"/>
      <c r="QH2983" s="37"/>
      <c r="QI2983" s="37"/>
      <c r="QJ2983" s="37"/>
      <c r="QK2983" s="37"/>
      <c r="QL2983" s="37"/>
      <c r="QM2983" s="37"/>
      <c r="QN2983" s="37"/>
      <c r="QO2983" s="37"/>
      <c r="QP2983" s="37"/>
      <c r="QQ2983" s="37"/>
      <c r="QR2983" s="37"/>
      <c r="QS2983" s="37"/>
      <c r="QT2983" s="37"/>
      <c r="QU2983" s="37"/>
      <c r="QV2983" s="37"/>
      <c r="QW2983" s="37"/>
      <c r="QX2983" s="37"/>
      <c r="QY2983" s="37"/>
      <c r="QZ2983" s="37"/>
      <c r="RA2983" s="37"/>
      <c r="RB2983" s="37"/>
      <c r="RC2983" s="37"/>
      <c r="RD2983" s="37"/>
      <c r="RE2983" s="37"/>
      <c r="RF2983" s="37"/>
      <c r="RG2983" s="37"/>
      <c r="RH2983" s="37"/>
      <c r="RI2983" s="37"/>
      <c r="RJ2983" s="37"/>
      <c r="RK2983" s="37"/>
      <c r="RL2983" s="37"/>
      <c r="RM2983" s="37"/>
      <c r="RN2983" s="37"/>
      <c r="RO2983" s="37"/>
      <c r="RP2983" s="37"/>
      <c r="RQ2983" s="37"/>
      <c r="RR2983" s="37"/>
      <c r="RS2983" s="37"/>
      <c r="RT2983" s="37"/>
      <c r="RU2983" s="37"/>
      <c r="RV2983" s="37"/>
      <c r="RW2983" s="37"/>
      <c r="RX2983" s="37"/>
      <c r="RY2983" s="37"/>
      <c r="RZ2983" s="37"/>
      <c r="SA2983" s="37"/>
      <c r="SB2983" s="37"/>
      <c r="SC2983" s="37"/>
      <c r="SD2983" s="37"/>
      <c r="SE2983" s="37"/>
      <c r="SF2983" s="37"/>
    </row>
    <row r="2984" spans="1:500">
      <c r="A2984" s="37"/>
      <c r="B2984" s="37"/>
      <c r="C2984" s="37"/>
      <c r="D2984" s="37"/>
      <c r="E2984" s="37"/>
      <c r="F2984" s="37"/>
      <c r="G2984" s="37"/>
      <c r="H2984" s="37"/>
      <c r="I2984" s="37"/>
      <c r="J2984" s="37"/>
      <c r="K2984" s="37"/>
      <c r="L2984" s="37"/>
      <c r="M2984" s="37"/>
      <c r="N2984" s="37"/>
      <c r="O2984" s="37"/>
      <c r="P2984" s="37"/>
      <c r="Q2984" s="37"/>
      <c r="R2984" s="37"/>
      <c r="S2984" s="37"/>
      <c r="T2984" s="37"/>
      <c r="U2984" s="37"/>
      <c r="V2984" s="37"/>
      <c r="W2984" s="37"/>
      <c r="X2984" s="37"/>
      <c r="Y2984" s="37"/>
      <c r="Z2984" s="37"/>
      <c r="AA2984" s="37"/>
      <c r="AB2984" s="37"/>
      <c r="AC2984" s="37"/>
      <c r="AD2984" s="37"/>
      <c r="AE2984" s="37"/>
      <c r="AF2984" s="37"/>
      <c r="AG2984" s="37"/>
      <c r="AH2984" s="37"/>
      <c r="AI2984" s="37"/>
      <c r="AJ2984" s="37"/>
      <c r="AK2984" s="37"/>
      <c r="AL2984" s="37"/>
      <c r="AM2984" s="37"/>
      <c r="AN2984" s="37"/>
      <c r="AO2984" s="37"/>
      <c r="AP2984" s="37"/>
      <c r="AQ2984" s="37"/>
      <c r="AR2984" s="37"/>
      <c r="AS2984" s="37"/>
      <c r="AT2984" s="37"/>
      <c r="AU2984" s="37"/>
      <c r="AV2984" s="37"/>
      <c r="AW2984" s="37"/>
      <c r="AX2984" s="37"/>
      <c r="AY2984" s="37"/>
      <c r="AZ2984" s="37"/>
      <c r="BA2984" s="37"/>
      <c r="BB2984" s="37"/>
      <c r="BC2984" s="37"/>
      <c r="BD2984" s="37"/>
      <c r="BE2984" s="37"/>
      <c r="BF2984" s="37"/>
      <c r="BG2984" s="37"/>
      <c r="BH2984" s="37"/>
      <c r="BI2984" s="37"/>
      <c r="BJ2984" s="37"/>
      <c r="BK2984" s="37"/>
      <c r="BL2984" s="37"/>
      <c r="BM2984" s="37"/>
      <c r="BN2984" s="37"/>
      <c r="BO2984" s="37"/>
      <c r="BP2984" s="37"/>
      <c r="BQ2984" s="37"/>
      <c r="BR2984" s="37"/>
      <c r="BS2984" s="37"/>
      <c r="BT2984" s="37"/>
      <c r="BU2984" s="37"/>
      <c r="BV2984" s="37"/>
      <c r="BW2984" s="37"/>
      <c r="BX2984" s="37"/>
      <c r="BY2984" s="37"/>
      <c r="BZ2984" s="37"/>
      <c r="CA2984" s="37"/>
      <c r="CB2984" s="37"/>
      <c r="CC2984" s="37"/>
      <c r="CD2984" s="37"/>
      <c r="CE2984" s="37"/>
      <c r="CF2984" s="37"/>
      <c r="CG2984" s="37"/>
      <c r="CH2984" s="37"/>
      <c r="CI2984" s="37"/>
      <c r="CJ2984" s="37"/>
      <c r="CK2984" s="37"/>
      <c r="CL2984" s="37"/>
      <c r="CM2984" s="37"/>
      <c r="CN2984" s="37"/>
      <c r="CO2984" s="37"/>
      <c r="CP2984" s="37"/>
      <c r="CQ2984" s="37"/>
      <c r="CR2984" s="37"/>
      <c r="CS2984" s="37"/>
      <c r="CT2984" s="37"/>
      <c r="CU2984" s="37"/>
      <c r="CV2984" s="37"/>
      <c r="CW2984" s="37"/>
      <c r="CX2984" s="37"/>
      <c r="CY2984" s="37"/>
      <c r="CZ2984" s="37"/>
      <c r="DA2984" s="37"/>
      <c r="DB2984" s="37"/>
      <c r="DC2984" s="37"/>
      <c r="DD2984" s="37"/>
      <c r="DE2984" s="37"/>
      <c r="DF2984" s="37"/>
      <c r="DG2984" s="37"/>
      <c r="DH2984" s="37"/>
      <c r="DI2984" s="37"/>
      <c r="DJ2984" s="37"/>
      <c r="DK2984" s="37"/>
      <c r="DL2984" s="37"/>
      <c r="DM2984" s="37"/>
      <c r="DN2984" s="37"/>
      <c r="DO2984" s="37"/>
      <c r="DP2984" s="37"/>
      <c r="DQ2984" s="37"/>
      <c r="DR2984" s="37"/>
      <c r="DS2984" s="37"/>
      <c r="DT2984" s="37"/>
      <c r="DU2984" s="37"/>
      <c r="DV2984" s="37"/>
      <c r="DW2984" s="37"/>
      <c r="DX2984" s="37"/>
      <c r="DY2984" s="37"/>
      <c r="DZ2984" s="37"/>
      <c r="EA2984" s="37"/>
      <c r="EB2984" s="37"/>
      <c r="EC2984" s="37"/>
      <c r="ED2984" s="37"/>
      <c r="EE2984" s="37"/>
      <c r="EF2984" s="37"/>
      <c r="EG2984" s="37"/>
      <c r="EH2984" s="37"/>
      <c r="EI2984" s="37"/>
      <c r="EJ2984" s="37"/>
      <c r="EK2984" s="37"/>
      <c r="EL2984" s="37"/>
      <c r="EM2984" s="37"/>
      <c r="EN2984" s="37"/>
      <c r="EO2984" s="37"/>
      <c r="EP2984" s="37"/>
      <c r="EQ2984" s="37"/>
      <c r="ER2984" s="37"/>
      <c r="ES2984" s="37"/>
      <c r="ET2984" s="37"/>
      <c r="EU2984" s="37"/>
      <c r="EV2984" s="37"/>
      <c r="EW2984" s="37"/>
      <c r="EX2984" s="37"/>
      <c r="EY2984" s="37"/>
      <c r="EZ2984" s="37"/>
      <c r="FA2984" s="37"/>
      <c r="FB2984" s="37"/>
      <c r="FC2984" s="37"/>
      <c r="FD2984" s="37"/>
      <c r="FE2984" s="37"/>
      <c r="FF2984" s="37"/>
      <c r="FG2984" s="37"/>
      <c r="FH2984" s="37"/>
      <c r="FI2984" s="37"/>
      <c r="FJ2984" s="37"/>
      <c r="FK2984" s="37"/>
      <c r="FL2984" s="37"/>
      <c r="FM2984" s="37"/>
      <c r="FN2984" s="37"/>
      <c r="FO2984" s="37"/>
      <c r="FP2984" s="37"/>
      <c r="FQ2984" s="37"/>
      <c r="FR2984" s="37"/>
      <c r="FS2984" s="37"/>
      <c r="FT2984" s="37"/>
      <c r="FU2984" s="37"/>
      <c r="FV2984" s="37"/>
      <c r="FW2984" s="37"/>
      <c r="FX2984" s="37"/>
      <c r="FY2984" s="37"/>
      <c r="FZ2984" s="37"/>
      <c r="GA2984" s="37"/>
      <c r="GB2984" s="37"/>
      <c r="GC2984" s="37"/>
      <c r="GD2984" s="37"/>
      <c r="GE2984" s="37"/>
      <c r="GF2984" s="37"/>
      <c r="GG2984" s="37"/>
      <c r="GH2984" s="37"/>
      <c r="GI2984" s="37"/>
      <c r="GJ2984" s="37"/>
      <c r="GK2984" s="37"/>
      <c r="GL2984" s="37"/>
      <c r="GM2984" s="37"/>
      <c r="GN2984" s="37"/>
      <c r="GO2984" s="37"/>
      <c r="GP2984" s="37"/>
      <c r="GQ2984" s="37"/>
      <c r="GR2984" s="37"/>
      <c r="GS2984" s="37"/>
      <c r="GT2984" s="37"/>
      <c r="GU2984" s="37"/>
      <c r="GV2984" s="37"/>
      <c r="GW2984" s="37"/>
      <c r="GX2984" s="37"/>
      <c r="GY2984" s="37"/>
      <c r="GZ2984" s="37"/>
      <c r="HA2984" s="37"/>
      <c r="HB2984" s="37"/>
      <c r="HC2984" s="37"/>
      <c r="HD2984" s="37"/>
      <c r="HE2984" s="37"/>
      <c r="HF2984" s="37"/>
      <c r="HG2984" s="37"/>
      <c r="HH2984" s="37"/>
      <c r="HI2984" s="37"/>
      <c r="HJ2984" s="37"/>
      <c r="HK2984" s="37"/>
      <c r="HL2984" s="37"/>
      <c r="HM2984" s="37"/>
      <c r="HN2984" s="37"/>
      <c r="HO2984" s="37"/>
      <c r="HP2984" s="37"/>
      <c r="HQ2984" s="37"/>
      <c r="HR2984" s="37"/>
      <c r="HS2984" s="37"/>
      <c r="HT2984" s="37"/>
      <c r="HU2984" s="37"/>
      <c r="HV2984" s="37"/>
      <c r="HW2984" s="37"/>
      <c r="HX2984" s="37"/>
      <c r="HY2984" s="37"/>
      <c r="HZ2984" s="37"/>
      <c r="IA2984" s="37"/>
      <c r="IB2984" s="37"/>
      <c r="IC2984" s="37"/>
      <c r="ID2984" s="37"/>
      <c r="IE2984" s="37"/>
      <c r="IF2984" s="37"/>
      <c r="IG2984" s="37"/>
      <c r="IH2984" s="37"/>
      <c r="II2984" s="37"/>
      <c r="IJ2984" s="37"/>
      <c r="IK2984" s="37"/>
      <c r="IL2984" s="37"/>
      <c r="IM2984" s="37"/>
      <c r="IN2984" s="37"/>
      <c r="IO2984" s="37"/>
      <c r="IP2984" s="37"/>
      <c r="IQ2984" s="37"/>
      <c r="IR2984" s="37"/>
      <c r="IS2984" s="37"/>
      <c r="IT2984" s="37"/>
      <c r="IU2984" s="37"/>
      <c r="IV2984" s="37"/>
      <c r="IW2984" s="37"/>
      <c r="IX2984" s="37"/>
      <c r="IY2984" s="37"/>
      <c r="IZ2984" s="37"/>
      <c r="JA2984" s="37"/>
      <c r="JB2984" s="37"/>
      <c r="JC2984" s="37"/>
      <c r="JD2984" s="37"/>
      <c r="JE2984" s="37"/>
      <c r="JF2984" s="37"/>
      <c r="JG2984" s="37"/>
      <c r="JH2984" s="37"/>
      <c r="JI2984" s="37"/>
      <c r="JJ2984" s="37"/>
      <c r="JK2984" s="37"/>
      <c r="JL2984" s="37"/>
      <c r="JM2984" s="37"/>
      <c r="JN2984" s="37"/>
      <c r="JO2984" s="37"/>
      <c r="JP2984" s="37"/>
      <c r="JQ2984" s="37"/>
      <c r="JR2984" s="37"/>
      <c r="JS2984" s="37"/>
      <c r="JT2984" s="37"/>
      <c r="JU2984" s="37"/>
      <c r="JV2984" s="37"/>
      <c r="JW2984" s="37"/>
      <c r="JX2984" s="37"/>
      <c r="JY2984" s="37"/>
      <c r="JZ2984" s="37"/>
      <c r="KA2984" s="37"/>
      <c r="KB2984" s="37"/>
      <c r="KC2984" s="37"/>
      <c r="KD2984" s="37"/>
      <c r="KE2984" s="37"/>
      <c r="KF2984" s="37"/>
      <c r="KG2984" s="37"/>
      <c r="KH2984" s="37"/>
      <c r="KI2984" s="37"/>
      <c r="KJ2984" s="37"/>
      <c r="KK2984" s="37"/>
      <c r="KL2984" s="37"/>
      <c r="KM2984" s="37"/>
      <c r="KN2984" s="37"/>
      <c r="KO2984" s="37"/>
      <c r="KP2984" s="37"/>
      <c r="KQ2984" s="37"/>
      <c r="KR2984" s="37"/>
      <c r="KS2984" s="37"/>
      <c r="KT2984" s="37"/>
      <c r="KU2984" s="37"/>
      <c r="KV2984" s="37"/>
      <c r="KW2984" s="37"/>
      <c r="KX2984" s="37"/>
      <c r="KY2984" s="37"/>
      <c r="KZ2984" s="37"/>
      <c r="LA2984" s="37"/>
      <c r="LB2984" s="37"/>
      <c r="LC2984" s="37"/>
      <c r="LD2984" s="37"/>
      <c r="LE2984" s="37"/>
      <c r="LF2984" s="37"/>
      <c r="LG2984" s="37"/>
      <c r="LH2984" s="37"/>
      <c r="LI2984" s="37"/>
      <c r="LJ2984" s="37"/>
      <c r="LK2984" s="37"/>
      <c r="LL2984" s="37"/>
      <c r="LM2984" s="37"/>
      <c r="LN2984" s="37"/>
      <c r="LO2984" s="37"/>
      <c r="LP2984" s="37"/>
      <c r="LQ2984" s="37"/>
      <c r="LR2984" s="37"/>
      <c r="LS2984" s="37"/>
      <c r="LT2984" s="37"/>
      <c r="LU2984" s="37"/>
      <c r="LV2984" s="37"/>
      <c r="LW2984" s="37"/>
      <c r="LX2984" s="37"/>
      <c r="LY2984" s="37"/>
      <c r="LZ2984" s="37"/>
      <c r="MA2984" s="37"/>
      <c r="MB2984" s="37"/>
      <c r="MC2984" s="37"/>
      <c r="MD2984" s="37"/>
      <c r="ME2984" s="37"/>
      <c r="MF2984" s="37"/>
      <c r="MG2984" s="37"/>
      <c r="MH2984" s="37"/>
      <c r="MI2984" s="37"/>
      <c r="MJ2984" s="37"/>
      <c r="MK2984" s="37"/>
      <c r="ML2984" s="37"/>
      <c r="MM2984" s="37"/>
      <c r="MN2984" s="37"/>
      <c r="MO2984" s="37"/>
      <c r="MP2984" s="37"/>
      <c r="MQ2984" s="37"/>
      <c r="MR2984" s="37"/>
      <c r="MS2984" s="37"/>
      <c r="MT2984" s="37"/>
      <c r="MU2984" s="37"/>
      <c r="MV2984" s="37"/>
      <c r="MW2984" s="37"/>
      <c r="MX2984" s="37"/>
      <c r="MY2984" s="37"/>
      <c r="MZ2984" s="37"/>
      <c r="NA2984" s="37"/>
      <c r="NB2984" s="37"/>
      <c r="NC2984" s="37"/>
      <c r="ND2984" s="37"/>
      <c r="NE2984" s="37"/>
      <c r="NF2984" s="37"/>
      <c r="NG2984" s="37"/>
      <c r="NH2984" s="37"/>
      <c r="NI2984" s="37"/>
      <c r="NJ2984" s="37"/>
      <c r="NK2984" s="37"/>
      <c r="NL2984" s="37"/>
      <c r="NM2984" s="37"/>
      <c r="NN2984" s="37"/>
      <c r="NO2984" s="37"/>
      <c r="NP2984" s="37"/>
      <c r="NQ2984" s="37"/>
      <c r="NR2984" s="37"/>
      <c r="NS2984" s="37"/>
      <c r="NT2984" s="37"/>
      <c r="NU2984" s="37"/>
      <c r="NV2984" s="37"/>
      <c r="NW2984" s="37"/>
      <c r="NX2984" s="37"/>
      <c r="NY2984" s="37"/>
      <c r="NZ2984" s="37"/>
      <c r="OA2984" s="37"/>
      <c r="OB2984" s="37"/>
      <c r="OC2984" s="37"/>
      <c r="OD2984" s="37"/>
      <c r="OE2984" s="37"/>
      <c r="OF2984" s="37"/>
      <c r="OG2984" s="37"/>
      <c r="OH2984" s="37"/>
      <c r="OI2984" s="37"/>
      <c r="OJ2984" s="37"/>
      <c r="OK2984" s="37"/>
      <c r="OL2984" s="37"/>
      <c r="OM2984" s="37"/>
      <c r="ON2984" s="37"/>
      <c r="OO2984" s="37"/>
      <c r="OP2984" s="37"/>
      <c r="OQ2984" s="37"/>
      <c r="OR2984" s="37"/>
      <c r="OS2984" s="37"/>
      <c r="OT2984" s="37"/>
      <c r="OU2984" s="37"/>
      <c r="OV2984" s="37"/>
      <c r="OW2984" s="37"/>
      <c r="OX2984" s="37"/>
      <c r="OY2984" s="37"/>
      <c r="OZ2984" s="37"/>
      <c r="PA2984" s="37"/>
      <c r="PB2984" s="37"/>
      <c r="PC2984" s="37"/>
      <c r="PD2984" s="37"/>
      <c r="PE2984" s="37"/>
      <c r="PF2984" s="37"/>
      <c r="PG2984" s="37"/>
      <c r="PH2984" s="37"/>
      <c r="PI2984" s="37"/>
      <c r="PJ2984" s="37"/>
      <c r="PK2984" s="37"/>
      <c r="PL2984" s="37"/>
      <c r="PM2984" s="37"/>
      <c r="PN2984" s="37"/>
      <c r="PO2984" s="37"/>
      <c r="PP2984" s="37"/>
      <c r="PQ2984" s="37"/>
      <c r="PR2984" s="37"/>
      <c r="PS2984" s="37"/>
      <c r="PT2984" s="37"/>
      <c r="PU2984" s="37"/>
      <c r="PV2984" s="37"/>
      <c r="PW2984" s="37"/>
      <c r="PX2984" s="37"/>
      <c r="PY2984" s="37"/>
      <c r="PZ2984" s="37"/>
      <c r="QA2984" s="37"/>
      <c r="QB2984" s="37"/>
      <c r="QC2984" s="37"/>
      <c r="QD2984" s="37"/>
      <c r="QE2984" s="37"/>
      <c r="QF2984" s="37"/>
      <c r="QG2984" s="37"/>
      <c r="QH2984" s="37"/>
      <c r="QI2984" s="37"/>
      <c r="QJ2984" s="37"/>
      <c r="QK2984" s="37"/>
      <c r="QL2984" s="37"/>
      <c r="QM2984" s="37"/>
      <c r="QN2984" s="37"/>
      <c r="QO2984" s="37"/>
      <c r="QP2984" s="37"/>
      <c r="QQ2984" s="37"/>
      <c r="QR2984" s="37"/>
      <c r="QS2984" s="37"/>
      <c r="QT2984" s="37"/>
      <c r="QU2984" s="37"/>
      <c r="QV2984" s="37"/>
      <c r="QW2984" s="37"/>
      <c r="QX2984" s="37"/>
      <c r="QY2984" s="37"/>
      <c r="QZ2984" s="37"/>
      <c r="RA2984" s="37"/>
      <c r="RB2984" s="37"/>
      <c r="RC2984" s="37"/>
      <c r="RD2984" s="37"/>
      <c r="RE2984" s="37"/>
      <c r="RF2984" s="37"/>
      <c r="RG2984" s="37"/>
      <c r="RH2984" s="37"/>
      <c r="RI2984" s="37"/>
      <c r="RJ2984" s="37"/>
      <c r="RK2984" s="37"/>
      <c r="RL2984" s="37"/>
      <c r="RM2984" s="37"/>
      <c r="RN2984" s="37"/>
      <c r="RO2984" s="37"/>
      <c r="RP2984" s="37"/>
      <c r="RQ2984" s="37"/>
      <c r="RR2984" s="37"/>
      <c r="RS2984" s="37"/>
      <c r="RT2984" s="37"/>
      <c r="RU2984" s="37"/>
      <c r="RV2984" s="37"/>
      <c r="RW2984" s="37"/>
      <c r="RX2984" s="37"/>
      <c r="RY2984" s="37"/>
      <c r="RZ2984" s="37"/>
      <c r="SA2984" s="37"/>
      <c r="SB2984" s="37"/>
      <c r="SC2984" s="37"/>
      <c r="SD2984" s="37"/>
      <c r="SE2984" s="37"/>
      <c r="SF2984" s="37"/>
    </row>
    <row r="2985" spans="1:500">
      <c r="A2985" s="37"/>
      <c r="B2985" s="37"/>
      <c r="C2985" s="37"/>
      <c r="D2985" s="37"/>
      <c r="E2985" s="37"/>
      <c r="F2985" s="37"/>
      <c r="G2985" s="37"/>
      <c r="H2985" s="37"/>
      <c r="I2985" s="37"/>
      <c r="J2985" s="37"/>
      <c r="K2985" s="37"/>
      <c r="L2985" s="37"/>
      <c r="M2985" s="37"/>
      <c r="N2985" s="37"/>
      <c r="O2985" s="37"/>
      <c r="P2985" s="37"/>
      <c r="Q2985" s="37"/>
      <c r="R2985" s="37"/>
      <c r="S2985" s="37"/>
      <c r="T2985" s="37"/>
      <c r="U2985" s="37"/>
      <c r="V2985" s="37"/>
      <c r="W2985" s="37"/>
      <c r="X2985" s="37"/>
      <c r="Y2985" s="37"/>
      <c r="Z2985" s="37"/>
      <c r="AA2985" s="37"/>
      <c r="AB2985" s="37"/>
      <c r="AC2985" s="37"/>
      <c r="AD2985" s="37"/>
      <c r="AE2985" s="37"/>
      <c r="AF2985" s="37"/>
      <c r="AG2985" s="37"/>
      <c r="AH2985" s="37"/>
      <c r="AI2985" s="37"/>
      <c r="AJ2985" s="37"/>
      <c r="AK2985" s="37"/>
      <c r="AL2985" s="37"/>
      <c r="AM2985" s="37"/>
      <c r="AN2985" s="37"/>
      <c r="AO2985" s="37"/>
      <c r="AP2985" s="37"/>
      <c r="AQ2985" s="37"/>
      <c r="AR2985" s="37"/>
      <c r="AS2985" s="37"/>
      <c r="AT2985" s="37"/>
      <c r="AU2985" s="37"/>
      <c r="AV2985" s="37"/>
      <c r="AW2985" s="37"/>
      <c r="AX2985" s="37"/>
      <c r="AY2985" s="37"/>
      <c r="AZ2985" s="37"/>
      <c r="BA2985" s="37"/>
      <c r="BB2985" s="37"/>
      <c r="BC2985" s="37"/>
      <c r="BD2985" s="37"/>
      <c r="BE2985" s="37"/>
      <c r="BF2985" s="37"/>
      <c r="BG2985" s="37"/>
      <c r="BH2985" s="37"/>
      <c r="BI2985" s="37"/>
      <c r="BJ2985" s="37"/>
      <c r="BK2985" s="37"/>
      <c r="BL2985" s="37"/>
      <c r="BM2985" s="37"/>
      <c r="BN2985" s="37"/>
      <c r="BO2985" s="37"/>
      <c r="BP2985" s="37"/>
      <c r="BQ2985" s="37"/>
      <c r="BR2985" s="37"/>
      <c r="BS2985" s="37"/>
      <c r="BT2985" s="37"/>
      <c r="BU2985" s="37"/>
      <c r="BV2985" s="37"/>
      <c r="BW2985" s="37"/>
      <c r="BX2985" s="37"/>
      <c r="BY2985" s="37"/>
      <c r="BZ2985" s="37"/>
      <c r="CA2985" s="37"/>
      <c r="CB2985" s="37"/>
      <c r="CC2985" s="37"/>
      <c r="CD2985" s="37"/>
      <c r="CE2985" s="37"/>
      <c r="CF2985" s="37"/>
      <c r="CG2985" s="37"/>
      <c r="CH2985" s="37"/>
      <c r="CI2985" s="37"/>
      <c r="CJ2985" s="37"/>
      <c r="CK2985" s="37"/>
      <c r="CL2985" s="37"/>
      <c r="CM2985" s="37"/>
      <c r="CN2985" s="37"/>
      <c r="CO2985" s="37"/>
      <c r="CP2985" s="37"/>
      <c r="CQ2985" s="37"/>
      <c r="CR2985" s="37"/>
      <c r="CS2985" s="37"/>
      <c r="CT2985" s="37"/>
      <c r="CU2985" s="37"/>
      <c r="CV2985" s="37"/>
      <c r="CW2985" s="37"/>
      <c r="CX2985" s="37"/>
      <c r="CY2985" s="37"/>
      <c r="CZ2985" s="37"/>
      <c r="DA2985" s="37"/>
      <c r="DB2985" s="37"/>
      <c r="DC2985" s="37"/>
      <c r="DD2985" s="37"/>
      <c r="DE2985" s="37"/>
      <c r="DF2985" s="37"/>
      <c r="DG2985" s="37"/>
      <c r="DH2985" s="37"/>
      <c r="DI2985" s="37"/>
      <c r="DJ2985" s="37"/>
      <c r="DK2985" s="37"/>
      <c r="DL2985" s="37"/>
      <c r="DM2985" s="37"/>
      <c r="DN2985" s="37"/>
      <c r="DO2985" s="37"/>
      <c r="DP2985" s="37"/>
      <c r="DQ2985" s="37"/>
      <c r="DR2985" s="37"/>
      <c r="DS2985" s="37"/>
      <c r="DT2985" s="37"/>
      <c r="DU2985" s="37"/>
      <c r="DV2985" s="37"/>
      <c r="DW2985" s="37"/>
      <c r="DX2985" s="37"/>
      <c r="DY2985" s="37"/>
      <c r="DZ2985" s="37"/>
      <c r="EA2985" s="37"/>
      <c r="EB2985" s="37"/>
      <c r="EC2985" s="37"/>
      <c r="ED2985" s="37"/>
      <c r="EE2985" s="37"/>
      <c r="EF2985" s="37"/>
      <c r="EG2985" s="37"/>
      <c r="EH2985" s="37"/>
      <c r="EI2985" s="37"/>
      <c r="EJ2985" s="37"/>
      <c r="EK2985" s="37"/>
      <c r="EL2985" s="37"/>
      <c r="EM2985" s="37"/>
      <c r="EN2985" s="37"/>
      <c r="EO2985" s="37"/>
      <c r="EP2985" s="37"/>
      <c r="EQ2985" s="37"/>
      <c r="ER2985" s="37"/>
      <c r="ES2985" s="37"/>
      <c r="ET2985" s="37"/>
      <c r="EU2985" s="37"/>
      <c r="EV2985" s="37"/>
      <c r="EW2985" s="37"/>
      <c r="EX2985" s="37"/>
      <c r="EY2985" s="37"/>
      <c r="EZ2985" s="37"/>
      <c r="FA2985" s="37"/>
      <c r="FB2985" s="37"/>
      <c r="FC2985" s="37"/>
      <c r="FD2985" s="37"/>
      <c r="FE2985" s="37"/>
      <c r="FF2985" s="37"/>
      <c r="FG2985" s="37"/>
      <c r="FH2985" s="37"/>
      <c r="FI2985" s="37"/>
      <c r="FJ2985" s="37"/>
      <c r="FK2985" s="37"/>
      <c r="FL2985" s="37"/>
      <c r="FM2985" s="37"/>
      <c r="FN2985" s="37"/>
      <c r="FO2985" s="37"/>
      <c r="FP2985" s="37"/>
      <c r="FQ2985" s="37"/>
      <c r="FR2985" s="37"/>
      <c r="FS2985" s="37"/>
      <c r="FT2985" s="37"/>
      <c r="FU2985" s="37"/>
      <c r="FV2985" s="37"/>
      <c r="FW2985" s="37"/>
      <c r="FX2985" s="37"/>
      <c r="FY2985" s="37"/>
      <c r="FZ2985" s="37"/>
      <c r="GA2985" s="37"/>
      <c r="GB2985" s="37"/>
      <c r="GC2985" s="37"/>
      <c r="GD2985" s="37"/>
      <c r="GE2985" s="37"/>
      <c r="GF2985" s="37"/>
      <c r="GG2985" s="37"/>
      <c r="GH2985" s="37"/>
      <c r="GI2985" s="37"/>
      <c r="GJ2985" s="37"/>
      <c r="GK2985" s="37"/>
      <c r="GL2985" s="37"/>
      <c r="GM2985" s="37"/>
      <c r="GN2985" s="37"/>
      <c r="GO2985" s="37"/>
      <c r="GP2985" s="37"/>
      <c r="GQ2985" s="37"/>
      <c r="GR2985" s="37"/>
      <c r="GS2985" s="37"/>
      <c r="GT2985" s="37"/>
      <c r="GU2985" s="37"/>
      <c r="GV2985" s="37"/>
      <c r="GW2985" s="37"/>
      <c r="GX2985" s="37"/>
      <c r="GY2985" s="37"/>
      <c r="GZ2985" s="37"/>
      <c r="HA2985" s="37"/>
      <c r="HB2985" s="37"/>
      <c r="HC2985" s="37"/>
      <c r="HD2985" s="37"/>
      <c r="HE2985" s="37"/>
      <c r="HF2985" s="37"/>
      <c r="HG2985" s="37"/>
      <c r="HH2985" s="37"/>
      <c r="HI2985" s="37"/>
      <c r="HJ2985" s="37"/>
      <c r="HK2985" s="37"/>
      <c r="HL2985" s="37"/>
      <c r="HM2985" s="37"/>
      <c r="HN2985" s="37"/>
      <c r="HO2985" s="37"/>
      <c r="HP2985" s="37"/>
      <c r="HQ2985" s="37"/>
      <c r="HR2985" s="37"/>
      <c r="HS2985" s="37"/>
      <c r="HT2985" s="37"/>
      <c r="HU2985" s="37"/>
      <c r="HV2985" s="37"/>
      <c r="HW2985" s="37"/>
      <c r="HX2985" s="37"/>
      <c r="HY2985" s="37"/>
      <c r="HZ2985" s="37"/>
      <c r="IA2985" s="37"/>
      <c r="IB2985" s="37"/>
      <c r="IC2985" s="37"/>
      <c r="ID2985" s="37"/>
      <c r="IE2985" s="37"/>
      <c r="IF2985" s="37"/>
      <c r="IG2985" s="37"/>
      <c r="IH2985" s="37"/>
      <c r="II2985" s="37"/>
      <c r="IJ2985" s="37"/>
      <c r="IK2985" s="37"/>
      <c r="IL2985" s="37"/>
      <c r="IM2985" s="37"/>
      <c r="IN2985" s="37"/>
      <c r="IO2985" s="37"/>
      <c r="IP2985" s="37"/>
      <c r="IQ2985" s="37"/>
      <c r="IR2985" s="37"/>
      <c r="IS2985" s="37"/>
      <c r="IT2985" s="37"/>
      <c r="IU2985" s="37"/>
      <c r="IV2985" s="37"/>
      <c r="IW2985" s="37"/>
      <c r="IX2985" s="37"/>
      <c r="IY2985" s="37"/>
      <c r="IZ2985" s="37"/>
      <c r="JA2985" s="37"/>
      <c r="JB2985" s="37"/>
      <c r="JC2985" s="37"/>
      <c r="JD2985" s="37"/>
      <c r="JE2985" s="37"/>
      <c r="JF2985" s="37"/>
      <c r="JG2985" s="37"/>
      <c r="JH2985" s="37"/>
      <c r="JI2985" s="37"/>
      <c r="JJ2985" s="37"/>
      <c r="JK2985" s="37"/>
      <c r="JL2985" s="37"/>
      <c r="JM2985" s="37"/>
      <c r="JN2985" s="37"/>
      <c r="JO2985" s="37"/>
      <c r="JP2985" s="37"/>
      <c r="JQ2985" s="37"/>
      <c r="JR2985" s="37"/>
      <c r="JS2985" s="37"/>
      <c r="JT2985" s="37"/>
      <c r="JU2985" s="37"/>
      <c r="JV2985" s="37"/>
      <c r="JW2985" s="37"/>
      <c r="JX2985" s="37"/>
      <c r="JY2985" s="37"/>
      <c r="JZ2985" s="37"/>
      <c r="KA2985" s="37"/>
      <c r="KB2985" s="37"/>
      <c r="KC2985" s="37"/>
      <c r="KD2985" s="37"/>
      <c r="KE2985" s="37"/>
      <c r="KF2985" s="37"/>
      <c r="KG2985" s="37"/>
      <c r="KH2985" s="37"/>
      <c r="KI2985" s="37"/>
      <c r="KJ2985" s="37"/>
      <c r="KK2985" s="37"/>
      <c r="KL2985" s="37"/>
      <c r="KM2985" s="37"/>
      <c r="KN2985" s="37"/>
      <c r="KO2985" s="37"/>
      <c r="KP2985" s="37"/>
      <c r="KQ2985" s="37"/>
      <c r="KR2985" s="37"/>
      <c r="KS2985" s="37"/>
      <c r="KT2985" s="37"/>
      <c r="KU2985" s="37"/>
      <c r="KV2985" s="37"/>
      <c r="KW2985" s="37"/>
      <c r="KX2985" s="37"/>
      <c r="KY2985" s="37"/>
      <c r="KZ2985" s="37"/>
      <c r="LA2985" s="37"/>
      <c r="LB2985" s="37"/>
      <c r="LC2985" s="37"/>
      <c r="LD2985" s="37"/>
      <c r="LE2985" s="37"/>
      <c r="LF2985" s="37"/>
      <c r="LG2985" s="37"/>
      <c r="LH2985" s="37"/>
      <c r="LI2985" s="37"/>
      <c r="LJ2985" s="37"/>
      <c r="LK2985" s="37"/>
      <c r="LL2985" s="37"/>
      <c r="LM2985" s="37"/>
      <c r="LN2985" s="37"/>
      <c r="LO2985" s="37"/>
      <c r="LP2985" s="37"/>
      <c r="LQ2985" s="37"/>
      <c r="LR2985" s="37"/>
      <c r="LS2985" s="37"/>
      <c r="LT2985" s="37"/>
      <c r="LU2985" s="37"/>
      <c r="LV2985" s="37"/>
      <c r="LW2985" s="37"/>
      <c r="LX2985" s="37"/>
      <c r="LY2985" s="37"/>
      <c r="LZ2985" s="37"/>
      <c r="MA2985" s="37"/>
      <c r="MB2985" s="37"/>
      <c r="MC2985" s="37"/>
      <c r="MD2985" s="37"/>
      <c r="ME2985" s="37"/>
      <c r="MF2985" s="37"/>
      <c r="MG2985" s="37"/>
      <c r="MH2985" s="37"/>
      <c r="MI2985" s="37"/>
      <c r="MJ2985" s="37"/>
      <c r="MK2985" s="37"/>
      <c r="ML2985" s="37"/>
      <c r="MM2985" s="37"/>
      <c r="MN2985" s="37"/>
      <c r="MO2985" s="37"/>
      <c r="MP2985" s="37"/>
      <c r="MQ2985" s="37"/>
      <c r="MR2985" s="37"/>
      <c r="MS2985" s="37"/>
      <c r="MT2985" s="37"/>
      <c r="MU2985" s="37"/>
      <c r="MV2985" s="37"/>
      <c r="MW2985" s="37"/>
      <c r="MX2985" s="37"/>
      <c r="MY2985" s="37"/>
      <c r="MZ2985" s="37"/>
      <c r="NA2985" s="37"/>
      <c r="NB2985" s="37"/>
      <c r="NC2985" s="37"/>
      <c r="ND2985" s="37"/>
      <c r="NE2985" s="37"/>
      <c r="NF2985" s="37"/>
      <c r="NG2985" s="37"/>
      <c r="NH2985" s="37"/>
      <c r="NI2985" s="37"/>
      <c r="NJ2985" s="37"/>
      <c r="NK2985" s="37"/>
      <c r="NL2985" s="37"/>
      <c r="NM2985" s="37"/>
      <c r="NN2985" s="37"/>
      <c r="NO2985" s="37"/>
      <c r="NP2985" s="37"/>
      <c r="NQ2985" s="37"/>
      <c r="NR2985" s="37"/>
      <c r="NS2985" s="37"/>
      <c r="NT2985" s="37"/>
      <c r="NU2985" s="37"/>
      <c r="NV2985" s="37"/>
      <c r="NW2985" s="37"/>
      <c r="NX2985" s="37"/>
      <c r="NY2985" s="37"/>
      <c r="NZ2985" s="37"/>
      <c r="OA2985" s="37"/>
      <c r="OB2985" s="37"/>
      <c r="OC2985" s="37"/>
      <c r="OD2985" s="37"/>
      <c r="OE2985" s="37"/>
      <c r="OF2985" s="37"/>
      <c r="OG2985" s="37"/>
      <c r="OH2985" s="37"/>
      <c r="OI2985" s="37"/>
      <c r="OJ2985" s="37"/>
      <c r="OK2985" s="37"/>
      <c r="OL2985" s="37"/>
      <c r="OM2985" s="37"/>
      <c r="ON2985" s="37"/>
      <c r="OO2985" s="37"/>
      <c r="OP2985" s="37"/>
      <c r="OQ2985" s="37"/>
      <c r="OR2985" s="37"/>
      <c r="OS2985" s="37"/>
      <c r="OT2985" s="37"/>
      <c r="OU2985" s="37"/>
      <c r="OV2985" s="37"/>
      <c r="OW2985" s="37"/>
      <c r="OX2985" s="37"/>
      <c r="OY2985" s="37"/>
      <c r="OZ2985" s="37"/>
      <c r="PA2985" s="37"/>
      <c r="PB2985" s="37"/>
      <c r="PC2985" s="37"/>
      <c r="PD2985" s="37"/>
      <c r="PE2985" s="37"/>
      <c r="PF2985" s="37"/>
      <c r="PG2985" s="37"/>
      <c r="PH2985" s="37"/>
      <c r="PI2985" s="37"/>
      <c r="PJ2985" s="37"/>
      <c r="PK2985" s="37"/>
      <c r="PL2985" s="37"/>
      <c r="PM2985" s="37"/>
      <c r="PN2985" s="37"/>
      <c r="PO2985" s="37"/>
      <c r="PP2985" s="37"/>
      <c r="PQ2985" s="37"/>
      <c r="PR2985" s="37"/>
      <c r="PS2985" s="37"/>
      <c r="PT2985" s="37"/>
      <c r="PU2985" s="37"/>
      <c r="PV2985" s="37"/>
      <c r="PW2985" s="37"/>
      <c r="PX2985" s="37"/>
      <c r="PY2985" s="37"/>
      <c r="PZ2985" s="37"/>
      <c r="QA2985" s="37"/>
      <c r="QB2985" s="37"/>
      <c r="QC2985" s="37"/>
      <c r="QD2985" s="37"/>
      <c r="QE2985" s="37"/>
      <c r="QF2985" s="37"/>
      <c r="QG2985" s="37"/>
      <c r="QH2985" s="37"/>
      <c r="QI2985" s="37"/>
      <c r="QJ2985" s="37"/>
      <c r="QK2985" s="37"/>
      <c r="QL2985" s="37"/>
      <c r="QM2985" s="37"/>
      <c r="QN2985" s="37"/>
      <c r="QO2985" s="37"/>
      <c r="QP2985" s="37"/>
      <c r="QQ2985" s="37"/>
      <c r="QR2985" s="37"/>
      <c r="QS2985" s="37"/>
      <c r="QT2985" s="37"/>
      <c r="QU2985" s="37"/>
      <c r="QV2985" s="37"/>
      <c r="QW2985" s="37"/>
      <c r="QX2985" s="37"/>
      <c r="QY2985" s="37"/>
      <c r="QZ2985" s="37"/>
      <c r="RA2985" s="37"/>
      <c r="RB2985" s="37"/>
      <c r="RC2985" s="37"/>
      <c r="RD2985" s="37"/>
      <c r="RE2985" s="37"/>
      <c r="RF2985" s="37"/>
      <c r="RG2985" s="37"/>
      <c r="RH2985" s="37"/>
      <c r="RI2985" s="37"/>
      <c r="RJ2985" s="37"/>
      <c r="RK2985" s="37"/>
      <c r="RL2985" s="37"/>
      <c r="RM2985" s="37"/>
      <c r="RN2985" s="37"/>
      <c r="RO2985" s="37"/>
      <c r="RP2985" s="37"/>
      <c r="RQ2985" s="37"/>
      <c r="RR2985" s="37"/>
      <c r="RS2985" s="37"/>
      <c r="RT2985" s="37"/>
      <c r="RU2985" s="37"/>
      <c r="RV2985" s="37"/>
      <c r="RW2985" s="37"/>
      <c r="RX2985" s="37"/>
      <c r="RY2985" s="37"/>
      <c r="RZ2985" s="37"/>
      <c r="SA2985" s="37"/>
      <c r="SB2985" s="37"/>
      <c r="SC2985" s="37"/>
      <c r="SD2985" s="37"/>
      <c r="SE2985" s="37"/>
      <c r="SF2985" s="37"/>
    </row>
    <row r="2986" spans="1:500">
      <c r="A2986" s="37"/>
      <c r="B2986" s="37"/>
      <c r="C2986" s="37"/>
      <c r="D2986" s="37"/>
      <c r="E2986" s="37"/>
      <c r="F2986" s="37"/>
      <c r="G2986" s="37"/>
      <c r="H2986" s="37"/>
      <c r="I2986" s="37"/>
      <c r="J2986" s="37"/>
      <c r="K2986" s="37"/>
      <c r="L2986" s="37"/>
      <c r="M2986" s="37"/>
      <c r="N2986" s="37"/>
      <c r="O2986" s="37"/>
      <c r="P2986" s="37"/>
      <c r="Q2986" s="37"/>
      <c r="R2986" s="37"/>
      <c r="S2986" s="37"/>
      <c r="T2986" s="37"/>
      <c r="U2986" s="37"/>
      <c r="V2986" s="37"/>
      <c r="W2986" s="37"/>
      <c r="X2986" s="37"/>
      <c r="Y2986" s="37"/>
      <c r="Z2986" s="37"/>
      <c r="AA2986" s="37"/>
      <c r="AB2986" s="37"/>
      <c r="AC2986" s="37"/>
      <c r="AD2986" s="37"/>
      <c r="AE2986" s="37"/>
      <c r="AF2986" s="37"/>
      <c r="AG2986" s="37"/>
      <c r="AH2986" s="37"/>
      <c r="AI2986" s="37"/>
      <c r="AJ2986" s="37"/>
      <c r="AK2986" s="37"/>
      <c r="AL2986" s="37"/>
      <c r="AM2986" s="37"/>
      <c r="AN2986" s="37"/>
      <c r="AO2986" s="37"/>
      <c r="AP2986" s="37"/>
      <c r="AQ2986" s="37"/>
      <c r="AR2986" s="37"/>
      <c r="AS2986" s="37"/>
      <c r="AT2986" s="37"/>
      <c r="AU2986" s="37"/>
      <c r="AV2986" s="37"/>
      <c r="AW2986" s="37"/>
      <c r="AX2986" s="37"/>
      <c r="AY2986" s="37"/>
      <c r="AZ2986" s="37"/>
      <c r="BA2986" s="37"/>
      <c r="BB2986" s="37"/>
      <c r="BC2986" s="37"/>
      <c r="BD2986" s="37"/>
      <c r="BE2986" s="37"/>
      <c r="BF2986" s="37"/>
      <c r="BG2986" s="37"/>
      <c r="BH2986" s="37"/>
      <c r="BI2986" s="37"/>
      <c r="BJ2986" s="37"/>
      <c r="BK2986" s="37"/>
      <c r="BL2986" s="37"/>
      <c r="BM2986" s="37"/>
      <c r="BN2986" s="37"/>
      <c r="BO2986" s="37"/>
      <c r="BP2986" s="37"/>
      <c r="BQ2986" s="37"/>
      <c r="BR2986" s="37"/>
      <c r="BS2986" s="37"/>
      <c r="BT2986" s="37"/>
      <c r="BU2986" s="37"/>
      <c r="BV2986" s="37"/>
      <c r="BW2986" s="37"/>
      <c r="BX2986" s="37"/>
      <c r="BY2986" s="37"/>
      <c r="BZ2986" s="37"/>
      <c r="CA2986" s="37"/>
      <c r="CB2986" s="37"/>
      <c r="CC2986" s="37"/>
      <c r="CD2986" s="37"/>
      <c r="CE2986" s="37"/>
      <c r="CF2986" s="37"/>
      <c r="CG2986" s="37"/>
      <c r="CH2986" s="37"/>
      <c r="CI2986" s="37"/>
      <c r="CJ2986" s="37"/>
      <c r="CK2986" s="37"/>
      <c r="CL2986" s="37"/>
      <c r="CM2986" s="37"/>
      <c r="CN2986" s="37"/>
      <c r="CO2986" s="37"/>
      <c r="CP2986" s="37"/>
      <c r="CQ2986" s="37"/>
      <c r="CR2986" s="37"/>
      <c r="CS2986" s="37"/>
      <c r="CT2986" s="37"/>
      <c r="CU2986" s="37"/>
      <c r="CV2986" s="37"/>
      <c r="CW2986" s="37"/>
      <c r="CX2986" s="37"/>
      <c r="CY2986" s="37"/>
      <c r="CZ2986" s="37"/>
      <c r="DA2986" s="37"/>
      <c r="DB2986" s="37"/>
      <c r="DC2986" s="37"/>
      <c r="DD2986" s="37"/>
      <c r="DE2986" s="37"/>
      <c r="DF2986" s="37"/>
      <c r="DG2986" s="37"/>
      <c r="DH2986" s="37"/>
      <c r="DI2986" s="37"/>
      <c r="DJ2986" s="37"/>
      <c r="DK2986" s="37"/>
      <c r="DL2986" s="37"/>
      <c r="DM2986" s="37"/>
      <c r="DN2986" s="37"/>
      <c r="DO2986" s="37"/>
      <c r="DP2986" s="37"/>
      <c r="DQ2986" s="37"/>
      <c r="DR2986" s="37"/>
      <c r="DS2986" s="37"/>
      <c r="DT2986" s="37"/>
      <c r="DU2986" s="37"/>
      <c r="DV2986" s="37"/>
      <c r="DW2986" s="37"/>
      <c r="DX2986" s="37"/>
      <c r="DY2986" s="37"/>
      <c r="DZ2986" s="37"/>
      <c r="EA2986" s="37"/>
      <c r="EB2986" s="37"/>
      <c r="EC2986" s="37"/>
      <c r="ED2986" s="37"/>
      <c r="EE2986" s="37"/>
      <c r="EF2986" s="37"/>
      <c r="EG2986" s="37"/>
      <c r="EH2986" s="37"/>
      <c r="EI2986" s="37"/>
      <c r="EJ2986" s="37"/>
      <c r="EK2986" s="37"/>
      <c r="EL2986" s="37"/>
      <c r="EM2986" s="37"/>
      <c r="EN2986" s="37"/>
      <c r="EO2986" s="37"/>
      <c r="EP2986" s="37"/>
      <c r="EQ2986" s="37"/>
      <c r="ER2986" s="37"/>
      <c r="ES2986" s="37"/>
      <c r="ET2986" s="37"/>
      <c r="EU2986" s="37"/>
      <c r="EV2986" s="37"/>
      <c r="EW2986" s="37"/>
      <c r="EX2986" s="37"/>
      <c r="EY2986" s="37"/>
      <c r="EZ2986" s="37"/>
      <c r="FA2986" s="37"/>
      <c r="FB2986" s="37"/>
      <c r="FC2986" s="37"/>
      <c r="FD2986" s="37"/>
      <c r="FE2986" s="37"/>
      <c r="FF2986" s="37"/>
      <c r="FG2986" s="37"/>
      <c r="FH2986" s="37"/>
      <c r="FI2986" s="37"/>
      <c r="FJ2986" s="37"/>
      <c r="FK2986" s="37"/>
      <c r="FL2986" s="37"/>
      <c r="FM2986" s="37"/>
      <c r="FN2986" s="37"/>
      <c r="FO2986" s="37"/>
      <c r="FP2986" s="37"/>
      <c r="FQ2986" s="37"/>
      <c r="FR2986" s="37"/>
      <c r="FS2986" s="37"/>
      <c r="FT2986" s="37"/>
      <c r="FU2986" s="37"/>
      <c r="FV2986" s="37"/>
      <c r="FW2986" s="37"/>
      <c r="FX2986" s="37"/>
      <c r="FY2986" s="37"/>
      <c r="FZ2986" s="37"/>
      <c r="GA2986" s="37"/>
      <c r="GB2986" s="37"/>
      <c r="GC2986" s="37"/>
      <c r="GD2986" s="37"/>
      <c r="GE2986" s="37"/>
      <c r="GF2986" s="37"/>
      <c r="GG2986" s="37"/>
      <c r="GH2986" s="37"/>
      <c r="GI2986" s="37"/>
      <c r="GJ2986" s="37"/>
      <c r="GK2986" s="37"/>
      <c r="GL2986" s="37"/>
      <c r="GM2986" s="37"/>
      <c r="GN2986" s="37"/>
      <c r="GO2986" s="37"/>
      <c r="GP2986" s="37"/>
      <c r="GQ2986" s="37"/>
      <c r="GR2986" s="37"/>
      <c r="GS2986" s="37"/>
      <c r="GT2986" s="37"/>
      <c r="GU2986" s="37"/>
      <c r="GV2986" s="37"/>
      <c r="GW2986" s="37"/>
      <c r="GX2986" s="37"/>
      <c r="GY2986" s="37"/>
      <c r="GZ2986" s="37"/>
      <c r="HA2986" s="37"/>
      <c r="HB2986" s="37"/>
      <c r="HC2986" s="37"/>
      <c r="HD2986" s="37"/>
      <c r="HE2986" s="37"/>
      <c r="HF2986" s="37"/>
      <c r="HG2986" s="37"/>
      <c r="HH2986" s="37"/>
      <c r="HI2986" s="37"/>
      <c r="HJ2986" s="37"/>
      <c r="HK2986" s="37"/>
      <c r="HL2986" s="37"/>
      <c r="HM2986" s="37"/>
      <c r="HN2986" s="37"/>
      <c r="HO2986" s="37"/>
      <c r="HP2986" s="37"/>
      <c r="HQ2986" s="37"/>
      <c r="HR2986" s="37"/>
      <c r="HS2986" s="37"/>
      <c r="HT2986" s="37"/>
      <c r="HU2986" s="37"/>
      <c r="HV2986" s="37"/>
      <c r="HW2986" s="37"/>
      <c r="HX2986" s="37"/>
      <c r="HY2986" s="37"/>
      <c r="HZ2986" s="37"/>
      <c r="IA2986" s="37"/>
      <c r="IB2986" s="37"/>
      <c r="IC2986" s="37"/>
      <c r="ID2986" s="37"/>
      <c r="IE2986" s="37"/>
      <c r="IF2986" s="37"/>
      <c r="IG2986" s="37"/>
      <c r="IH2986" s="37"/>
      <c r="II2986" s="37"/>
      <c r="IJ2986" s="37"/>
      <c r="IK2986" s="37"/>
      <c r="IL2986" s="37"/>
      <c r="IM2986" s="37"/>
      <c r="IN2986" s="37"/>
      <c r="IO2986" s="37"/>
      <c r="IP2986" s="37"/>
      <c r="IQ2986" s="37"/>
      <c r="IR2986" s="37"/>
      <c r="IS2986" s="37"/>
      <c r="IT2986" s="37"/>
      <c r="IU2986" s="37"/>
      <c r="IV2986" s="37"/>
      <c r="IW2986" s="37"/>
      <c r="IX2986" s="37"/>
      <c r="IY2986" s="37"/>
      <c r="IZ2986" s="37"/>
      <c r="JA2986" s="37"/>
      <c r="JB2986" s="37"/>
      <c r="JC2986" s="37"/>
      <c r="JD2986" s="37"/>
      <c r="JE2986" s="37"/>
      <c r="JF2986" s="37"/>
      <c r="JG2986" s="37"/>
      <c r="JH2986" s="37"/>
      <c r="JI2986" s="37"/>
      <c r="JJ2986" s="37"/>
      <c r="JK2986" s="37"/>
      <c r="JL2986" s="37"/>
      <c r="JM2986" s="37"/>
      <c r="JN2986" s="37"/>
      <c r="JO2986" s="37"/>
      <c r="JP2986" s="37"/>
      <c r="JQ2986" s="37"/>
      <c r="JR2986" s="37"/>
      <c r="JS2986" s="37"/>
      <c r="JT2986" s="37"/>
      <c r="JU2986" s="37"/>
      <c r="JV2986" s="37"/>
      <c r="JW2986" s="37"/>
      <c r="JX2986" s="37"/>
      <c r="JY2986" s="37"/>
      <c r="JZ2986" s="37"/>
      <c r="KA2986" s="37"/>
      <c r="KB2986" s="37"/>
      <c r="KC2986" s="37"/>
      <c r="KD2986" s="37"/>
      <c r="KE2986" s="37"/>
      <c r="KF2986" s="37"/>
      <c r="KG2986" s="37"/>
      <c r="KH2986" s="37"/>
      <c r="KI2986" s="37"/>
      <c r="KJ2986" s="37"/>
      <c r="KK2986" s="37"/>
      <c r="KL2986" s="37"/>
      <c r="KM2986" s="37"/>
      <c r="KN2986" s="37"/>
      <c r="KO2986" s="37"/>
      <c r="KP2986" s="37"/>
      <c r="KQ2986" s="37"/>
      <c r="KR2986" s="37"/>
      <c r="KS2986" s="37"/>
      <c r="KT2986" s="37"/>
      <c r="KU2986" s="37"/>
      <c r="KV2986" s="37"/>
      <c r="KW2986" s="37"/>
      <c r="KX2986" s="37"/>
      <c r="KY2986" s="37"/>
      <c r="KZ2986" s="37"/>
      <c r="LA2986" s="37"/>
      <c r="LB2986" s="37"/>
      <c r="LC2986" s="37"/>
      <c r="LD2986" s="37"/>
      <c r="LE2986" s="37"/>
      <c r="LF2986" s="37"/>
      <c r="LG2986" s="37"/>
      <c r="LH2986" s="37"/>
      <c r="LI2986" s="37"/>
      <c r="LJ2986" s="37"/>
      <c r="LK2986" s="37"/>
      <c r="LL2986" s="37"/>
      <c r="LM2986" s="37"/>
      <c r="LN2986" s="37"/>
      <c r="LO2986" s="37"/>
      <c r="LP2986" s="37"/>
      <c r="LQ2986" s="37"/>
      <c r="LR2986" s="37"/>
      <c r="LS2986" s="37"/>
      <c r="LT2986" s="37"/>
      <c r="LU2986" s="37"/>
      <c r="LV2986" s="37"/>
      <c r="LW2986" s="37"/>
      <c r="LX2986" s="37"/>
      <c r="LY2986" s="37"/>
      <c r="LZ2986" s="37"/>
      <c r="MA2986" s="37"/>
      <c r="MB2986" s="37"/>
      <c r="MC2986" s="37"/>
      <c r="MD2986" s="37"/>
      <c r="ME2986" s="37"/>
      <c r="MF2986" s="37"/>
      <c r="MG2986" s="37"/>
      <c r="MH2986" s="37"/>
      <c r="MI2986" s="37"/>
      <c r="MJ2986" s="37"/>
      <c r="MK2986" s="37"/>
      <c r="ML2986" s="37"/>
      <c r="MM2986" s="37"/>
      <c r="MN2986" s="37"/>
      <c r="MO2986" s="37"/>
      <c r="MP2986" s="37"/>
      <c r="MQ2986" s="37"/>
      <c r="MR2986" s="37"/>
      <c r="MS2986" s="37"/>
      <c r="MT2986" s="37"/>
      <c r="MU2986" s="37"/>
      <c r="MV2986" s="37"/>
      <c r="MW2986" s="37"/>
      <c r="MX2986" s="37"/>
      <c r="MY2986" s="37"/>
      <c r="MZ2986" s="37"/>
      <c r="NA2986" s="37"/>
      <c r="NB2986" s="37"/>
      <c r="NC2986" s="37"/>
      <c r="ND2986" s="37"/>
      <c r="NE2986" s="37"/>
      <c r="NF2986" s="37"/>
      <c r="NG2986" s="37"/>
      <c r="NH2986" s="37"/>
      <c r="NI2986" s="37"/>
      <c r="NJ2986" s="37"/>
      <c r="NK2986" s="37"/>
      <c r="NL2986" s="37"/>
      <c r="NM2986" s="37"/>
      <c r="NN2986" s="37"/>
      <c r="NO2986" s="37"/>
      <c r="NP2986" s="37"/>
      <c r="NQ2986" s="37"/>
      <c r="NR2986" s="37"/>
      <c r="NS2986" s="37"/>
      <c r="NT2986" s="37"/>
      <c r="NU2986" s="37"/>
      <c r="NV2986" s="37"/>
      <c r="NW2986" s="37"/>
      <c r="NX2986" s="37"/>
      <c r="NY2986" s="37"/>
      <c r="NZ2986" s="37"/>
      <c r="OA2986" s="37"/>
      <c r="OB2986" s="37"/>
      <c r="OC2986" s="37"/>
      <c r="OD2986" s="37"/>
      <c r="OE2986" s="37"/>
      <c r="OF2986" s="37"/>
      <c r="OG2986" s="37"/>
      <c r="OH2986" s="37"/>
      <c r="OI2986" s="37"/>
      <c r="OJ2986" s="37"/>
      <c r="OK2986" s="37"/>
      <c r="OL2986" s="37"/>
      <c r="OM2986" s="37"/>
      <c r="ON2986" s="37"/>
      <c r="OO2986" s="37"/>
      <c r="OP2986" s="37"/>
      <c r="OQ2986" s="37"/>
      <c r="OR2986" s="37"/>
      <c r="OS2986" s="37"/>
      <c r="OT2986" s="37"/>
      <c r="OU2986" s="37"/>
      <c r="OV2986" s="37"/>
      <c r="OW2986" s="37"/>
      <c r="OX2986" s="37"/>
      <c r="OY2986" s="37"/>
      <c r="OZ2986" s="37"/>
      <c r="PA2986" s="37"/>
      <c r="PB2986" s="37"/>
      <c r="PC2986" s="37"/>
      <c r="PD2986" s="37"/>
      <c r="PE2986" s="37"/>
      <c r="PF2986" s="37"/>
      <c r="PG2986" s="37"/>
      <c r="PH2986" s="37"/>
      <c r="PI2986" s="37"/>
      <c r="PJ2986" s="37"/>
      <c r="PK2986" s="37"/>
      <c r="PL2986" s="37"/>
      <c r="PM2986" s="37"/>
      <c r="PN2986" s="37"/>
      <c r="PO2986" s="37"/>
      <c r="PP2986" s="37"/>
      <c r="PQ2986" s="37"/>
      <c r="PR2986" s="37"/>
      <c r="PS2986" s="37"/>
      <c r="PT2986" s="37"/>
      <c r="PU2986" s="37"/>
      <c r="PV2986" s="37"/>
      <c r="PW2986" s="37"/>
      <c r="PX2986" s="37"/>
      <c r="PY2986" s="37"/>
      <c r="PZ2986" s="37"/>
      <c r="QA2986" s="37"/>
      <c r="QB2986" s="37"/>
      <c r="QC2986" s="37"/>
      <c r="QD2986" s="37"/>
      <c r="QE2986" s="37"/>
      <c r="QF2986" s="37"/>
      <c r="QG2986" s="37"/>
      <c r="QH2986" s="37"/>
      <c r="QI2986" s="37"/>
      <c r="QJ2986" s="37"/>
      <c r="QK2986" s="37"/>
      <c r="QL2986" s="37"/>
      <c r="QM2986" s="37"/>
      <c r="QN2986" s="37"/>
      <c r="QO2986" s="37"/>
      <c r="QP2986" s="37"/>
      <c r="QQ2986" s="37"/>
      <c r="QR2986" s="37"/>
      <c r="QS2986" s="37"/>
      <c r="QT2986" s="37"/>
      <c r="QU2986" s="37"/>
      <c r="QV2986" s="37"/>
      <c r="QW2986" s="37"/>
      <c r="QX2986" s="37"/>
      <c r="QY2986" s="37"/>
      <c r="QZ2986" s="37"/>
      <c r="RA2986" s="37"/>
      <c r="RB2986" s="37"/>
      <c r="RC2986" s="37"/>
      <c r="RD2986" s="37"/>
      <c r="RE2986" s="37"/>
      <c r="RF2986" s="37"/>
      <c r="RG2986" s="37"/>
      <c r="RH2986" s="37"/>
      <c r="RI2986" s="37"/>
      <c r="RJ2986" s="37"/>
      <c r="RK2986" s="37"/>
      <c r="RL2986" s="37"/>
      <c r="RM2986" s="37"/>
      <c r="RN2986" s="37"/>
      <c r="RO2986" s="37"/>
      <c r="RP2986" s="37"/>
      <c r="RQ2986" s="37"/>
      <c r="RR2986" s="37"/>
      <c r="RS2986" s="37"/>
      <c r="RT2986" s="37"/>
      <c r="RU2986" s="37"/>
      <c r="RV2986" s="37"/>
      <c r="RW2986" s="37"/>
      <c r="RX2986" s="37"/>
      <c r="RY2986" s="37"/>
      <c r="RZ2986" s="37"/>
      <c r="SA2986" s="37"/>
      <c r="SB2986" s="37"/>
      <c r="SC2986" s="37"/>
      <c r="SD2986" s="37"/>
      <c r="SE2986" s="37"/>
      <c r="SF2986" s="37"/>
    </row>
    <row r="2987" spans="1:500">
      <c r="A2987" s="37"/>
      <c r="B2987" s="37"/>
      <c r="C2987" s="37"/>
      <c r="D2987" s="37"/>
      <c r="E2987" s="37"/>
      <c r="F2987" s="37"/>
      <c r="G2987" s="37"/>
      <c r="H2987" s="37"/>
      <c r="I2987" s="37"/>
      <c r="J2987" s="37"/>
      <c r="K2987" s="37"/>
      <c r="L2987" s="37"/>
      <c r="M2987" s="37"/>
      <c r="N2987" s="37"/>
      <c r="O2987" s="37"/>
      <c r="P2987" s="37"/>
      <c r="Q2987" s="37"/>
      <c r="R2987" s="37"/>
      <c r="S2987" s="37"/>
      <c r="T2987" s="37"/>
      <c r="U2987" s="37"/>
      <c r="V2987" s="37"/>
      <c r="W2987" s="37"/>
      <c r="X2987" s="37"/>
      <c r="Y2987" s="37"/>
      <c r="Z2987" s="37"/>
      <c r="AA2987" s="37"/>
      <c r="AB2987" s="37"/>
      <c r="AC2987" s="37"/>
      <c r="AD2987" s="37"/>
      <c r="AE2987" s="37"/>
      <c r="AF2987" s="37"/>
      <c r="AG2987" s="37"/>
      <c r="AH2987" s="37"/>
      <c r="AI2987" s="37"/>
      <c r="AJ2987" s="37"/>
      <c r="AK2987" s="37"/>
      <c r="AL2987" s="37"/>
      <c r="AM2987" s="37"/>
      <c r="AN2987" s="37"/>
      <c r="AO2987" s="37"/>
      <c r="AP2987" s="37"/>
      <c r="AQ2987" s="37"/>
      <c r="AR2987" s="37"/>
      <c r="AS2987" s="37"/>
      <c r="AT2987" s="37"/>
      <c r="AU2987" s="37"/>
      <c r="AV2987" s="37"/>
      <c r="AW2987" s="37"/>
      <c r="AX2987" s="37"/>
      <c r="AY2987" s="37"/>
      <c r="AZ2987" s="37"/>
      <c r="BA2987" s="37"/>
      <c r="BB2987" s="37"/>
      <c r="BC2987" s="37"/>
      <c r="BD2987" s="37"/>
      <c r="BE2987" s="37"/>
      <c r="BF2987" s="37"/>
      <c r="BG2987" s="37"/>
      <c r="BH2987" s="37"/>
      <c r="BI2987" s="37"/>
      <c r="BJ2987" s="37"/>
      <c r="BK2987" s="37"/>
      <c r="BL2987" s="37"/>
      <c r="BM2987" s="37"/>
      <c r="BN2987" s="37"/>
      <c r="BO2987" s="37"/>
      <c r="BP2987" s="37"/>
      <c r="BQ2987" s="37"/>
      <c r="BR2987" s="37"/>
      <c r="BS2987" s="37"/>
      <c r="BT2987" s="37"/>
      <c r="BU2987" s="37"/>
      <c r="BV2987" s="37"/>
      <c r="BW2987" s="37"/>
      <c r="BX2987" s="37"/>
      <c r="BY2987" s="37"/>
      <c r="BZ2987" s="37"/>
      <c r="CA2987" s="37"/>
      <c r="CB2987" s="37"/>
      <c r="CC2987" s="37"/>
      <c r="CD2987" s="37"/>
      <c r="CE2987" s="37"/>
      <c r="CF2987" s="37"/>
      <c r="CG2987" s="37"/>
      <c r="CH2987" s="37"/>
      <c r="CI2987" s="37"/>
      <c r="CJ2987" s="37"/>
      <c r="CK2987" s="37"/>
      <c r="CL2987" s="37"/>
      <c r="CM2987" s="37"/>
      <c r="CN2987" s="37"/>
      <c r="CO2987" s="37"/>
      <c r="CP2987" s="37"/>
      <c r="CQ2987" s="37"/>
      <c r="CR2987" s="37"/>
      <c r="CS2987" s="37"/>
      <c r="CT2987" s="37"/>
      <c r="CU2987" s="37"/>
      <c r="CV2987" s="37"/>
      <c r="CW2987" s="37"/>
      <c r="CX2987" s="37"/>
      <c r="CY2987" s="37"/>
      <c r="CZ2987" s="37"/>
      <c r="DA2987" s="37"/>
      <c r="DB2987" s="37"/>
      <c r="DC2987" s="37"/>
      <c r="DD2987" s="37"/>
      <c r="DE2987" s="37"/>
      <c r="DF2987" s="37"/>
      <c r="DG2987" s="37"/>
      <c r="DH2987" s="37"/>
      <c r="DI2987" s="37"/>
      <c r="DJ2987" s="37"/>
      <c r="DK2987" s="37"/>
      <c r="DL2987" s="37"/>
      <c r="DM2987" s="37"/>
      <c r="DN2987" s="37"/>
      <c r="DO2987" s="37"/>
      <c r="DP2987" s="37"/>
      <c r="DQ2987" s="37"/>
      <c r="DR2987" s="37"/>
      <c r="DS2987" s="37"/>
      <c r="DT2987" s="37"/>
      <c r="DU2987" s="37"/>
      <c r="DV2987" s="37"/>
      <c r="DW2987" s="37"/>
      <c r="DX2987" s="37"/>
      <c r="DY2987" s="37"/>
      <c r="DZ2987" s="37"/>
      <c r="EA2987" s="37"/>
      <c r="EB2987" s="37"/>
      <c r="EC2987" s="37"/>
      <c r="ED2987" s="37"/>
      <c r="EE2987" s="37"/>
      <c r="EF2987" s="37"/>
      <c r="EG2987" s="37"/>
      <c r="EH2987" s="37"/>
      <c r="EI2987" s="37"/>
      <c r="EJ2987" s="37"/>
      <c r="EK2987" s="37"/>
      <c r="EL2987" s="37"/>
      <c r="EM2987" s="37"/>
      <c r="EN2987" s="37"/>
      <c r="EO2987" s="37"/>
      <c r="EP2987" s="37"/>
      <c r="EQ2987" s="37"/>
      <c r="ER2987" s="37"/>
      <c r="ES2987" s="37"/>
      <c r="ET2987" s="37"/>
      <c r="EU2987" s="37"/>
      <c r="EV2987" s="37"/>
      <c r="EW2987" s="37"/>
      <c r="EX2987" s="37"/>
      <c r="EY2987" s="37"/>
      <c r="EZ2987" s="37"/>
      <c r="FA2987" s="37"/>
      <c r="FB2987" s="37"/>
      <c r="FC2987" s="37"/>
      <c r="FD2987" s="37"/>
      <c r="FE2987" s="37"/>
      <c r="FF2987" s="37"/>
      <c r="FG2987" s="37"/>
      <c r="FH2987" s="37"/>
      <c r="FI2987" s="37"/>
      <c r="FJ2987" s="37"/>
      <c r="FK2987" s="37"/>
      <c r="FL2987" s="37"/>
      <c r="FM2987" s="37"/>
      <c r="FN2987" s="37"/>
      <c r="FO2987" s="37"/>
      <c r="FP2987" s="37"/>
      <c r="FQ2987" s="37"/>
      <c r="FR2987" s="37"/>
      <c r="FS2987" s="37"/>
      <c r="FT2987" s="37"/>
      <c r="FU2987" s="37"/>
      <c r="FV2987" s="37"/>
      <c r="FW2987" s="37"/>
      <c r="FX2987" s="37"/>
      <c r="FY2987" s="37"/>
      <c r="FZ2987" s="37"/>
      <c r="GA2987" s="37"/>
      <c r="GB2987" s="37"/>
      <c r="GC2987" s="37"/>
      <c r="GD2987" s="37"/>
      <c r="GE2987" s="37"/>
      <c r="GF2987" s="37"/>
      <c r="GG2987" s="37"/>
      <c r="GH2987" s="37"/>
      <c r="GI2987" s="37"/>
      <c r="GJ2987" s="37"/>
      <c r="GK2987" s="37"/>
      <c r="GL2987" s="37"/>
      <c r="GM2987" s="37"/>
      <c r="GN2987" s="37"/>
      <c r="GO2987" s="37"/>
      <c r="GP2987" s="37"/>
      <c r="GQ2987" s="37"/>
      <c r="GR2987" s="37"/>
      <c r="GS2987" s="37"/>
      <c r="GT2987" s="37"/>
      <c r="GU2987" s="37"/>
      <c r="GV2987" s="37"/>
      <c r="GW2987" s="37"/>
      <c r="GX2987" s="37"/>
      <c r="GY2987" s="37"/>
      <c r="GZ2987" s="37"/>
      <c r="HA2987" s="37"/>
      <c r="HB2987" s="37"/>
      <c r="HC2987" s="37"/>
      <c r="HD2987" s="37"/>
      <c r="HE2987" s="37"/>
      <c r="HF2987" s="37"/>
      <c r="HG2987" s="37"/>
      <c r="HH2987" s="37"/>
      <c r="HI2987" s="37"/>
      <c r="HJ2987" s="37"/>
      <c r="HK2987" s="37"/>
      <c r="HL2987" s="37"/>
      <c r="HM2987" s="37"/>
      <c r="HN2987" s="37"/>
      <c r="HO2987" s="37"/>
      <c r="HP2987" s="37"/>
      <c r="HQ2987" s="37"/>
      <c r="HR2987" s="37"/>
      <c r="HS2987" s="37"/>
      <c r="HT2987" s="37"/>
      <c r="HU2987" s="37"/>
      <c r="HV2987" s="37"/>
      <c r="HW2987" s="37"/>
      <c r="HX2987" s="37"/>
      <c r="HY2987" s="37"/>
      <c r="HZ2987" s="37"/>
      <c r="IA2987" s="37"/>
      <c r="IB2987" s="37"/>
      <c r="IC2987" s="37"/>
      <c r="ID2987" s="37"/>
      <c r="IE2987" s="37"/>
      <c r="IF2987" s="37"/>
      <c r="IG2987" s="37"/>
      <c r="IH2987" s="37"/>
      <c r="II2987" s="37"/>
      <c r="IJ2987" s="37"/>
      <c r="IK2987" s="37"/>
      <c r="IL2987" s="37"/>
      <c r="IM2987" s="37"/>
      <c r="IN2987" s="37"/>
      <c r="IO2987" s="37"/>
      <c r="IP2987" s="37"/>
      <c r="IQ2987" s="37"/>
      <c r="IR2987" s="37"/>
      <c r="IS2987" s="37"/>
      <c r="IT2987" s="37"/>
      <c r="IU2987" s="37"/>
      <c r="IV2987" s="37"/>
      <c r="IW2987" s="37"/>
      <c r="IX2987" s="37"/>
      <c r="IY2987" s="37"/>
      <c r="IZ2987" s="37"/>
      <c r="JA2987" s="37"/>
      <c r="JB2987" s="37"/>
      <c r="JC2987" s="37"/>
      <c r="JD2987" s="37"/>
      <c r="JE2987" s="37"/>
      <c r="JF2987" s="37"/>
      <c r="JG2987" s="37"/>
      <c r="JH2987" s="37"/>
      <c r="JI2987" s="37"/>
      <c r="JJ2987" s="37"/>
      <c r="JK2987" s="37"/>
      <c r="JL2987" s="37"/>
      <c r="JM2987" s="37"/>
      <c r="JN2987" s="37"/>
      <c r="JO2987" s="37"/>
      <c r="JP2987" s="37"/>
      <c r="JQ2987" s="37"/>
      <c r="JR2987" s="37"/>
      <c r="JS2987" s="37"/>
      <c r="JT2987" s="37"/>
      <c r="JU2987" s="37"/>
      <c r="JV2987" s="37"/>
      <c r="JW2987" s="37"/>
      <c r="JX2987" s="37"/>
      <c r="JY2987" s="37"/>
      <c r="JZ2987" s="37"/>
      <c r="KA2987" s="37"/>
      <c r="KB2987" s="37"/>
      <c r="KC2987" s="37"/>
      <c r="KD2987" s="37"/>
      <c r="KE2987" s="37"/>
      <c r="KF2987" s="37"/>
      <c r="KG2987" s="37"/>
      <c r="KH2987" s="37"/>
      <c r="KI2987" s="37"/>
      <c r="KJ2987" s="37"/>
      <c r="KK2987" s="37"/>
      <c r="KL2987" s="37"/>
      <c r="KM2987" s="37"/>
      <c r="KN2987" s="37"/>
      <c r="KO2987" s="37"/>
      <c r="KP2987" s="37"/>
      <c r="KQ2987" s="37"/>
      <c r="KR2987" s="37"/>
      <c r="KS2987" s="37"/>
      <c r="KT2987" s="37"/>
      <c r="KU2987" s="37"/>
      <c r="KV2987" s="37"/>
      <c r="KW2987" s="37"/>
      <c r="KX2987" s="37"/>
      <c r="KY2987" s="37"/>
      <c r="KZ2987" s="37"/>
      <c r="LA2987" s="37"/>
      <c r="LB2987" s="37"/>
      <c r="LC2987" s="37"/>
      <c r="LD2987" s="37"/>
      <c r="LE2987" s="37"/>
      <c r="LF2987" s="37"/>
      <c r="LG2987" s="37"/>
      <c r="LH2987" s="37"/>
      <c r="LI2987" s="37"/>
      <c r="LJ2987" s="37"/>
      <c r="LK2987" s="37"/>
      <c r="LL2987" s="37"/>
      <c r="LM2987" s="37"/>
      <c r="LN2987" s="37"/>
      <c r="LO2987" s="37"/>
      <c r="LP2987" s="37"/>
      <c r="LQ2987" s="37"/>
      <c r="LR2987" s="37"/>
      <c r="LS2987" s="37"/>
      <c r="LT2987" s="37"/>
      <c r="LU2987" s="37"/>
      <c r="LV2987" s="37"/>
      <c r="LW2987" s="37"/>
      <c r="LX2987" s="37"/>
      <c r="LY2987" s="37"/>
      <c r="LZ2987" s="37"/>
      <c r="MA2987" s="37"/>
      <c r="MB2987" s="37"/>
      <c r="MC2987" s="37"/>
      <c r="MD2987" s="37"/>
      <c r="ME2987" s="37"/>
      <c r="MF2987" s="37"/>
      <c r="MG2987" s="37"/>
      <c r="MH2987" s="37"/>
      <c r="MI2987" s="37"/>
      <c r="MJ2987" s="37"/>
      <c r="MK2987" s="37"/>
      <c r="ML2987" s="37"/>
      <c r="MM2987" s="37"/>
      <c r="MN2987" s="37"/>
      <c r="MO2987" s="37"/>
      <c r="MP2987" s="37"/>
      <c r="MQ2987" s="37"/>
      <c r="MR2987" s="37"/>
      <c r="MS2987" s="37"/>
      <c r="MT2987" s="37"/>
      <c r="MU2987" s="37"/>
      <c r="MV2987" s="37"/>
      <c r="MW2987" s="37"/>
      <c r="MX2987" s="37"/>
      <c r="MY2987" s="37"/>
      <c r="MZ2987" s="37"/>
      <c r="NA2987" s="37"/>
      <c r="NB2987" s="37"/>
      <c r="NC2987" s="37"/>
      <c r="ND2987" s="37"/>
      <c r="NE2987" s="37"/>
      <c r="NF2987" s="37"/>
      <c r="NG2987" s="37"/>
      <c r="NH2987" s="37"/>
      <c r="NI2987" s="37"/>
      <c r="NJ2987" s="37"/>
      <c r="NK2987" s="37"/>
      <c r="NL2987" s="37"/>
      <c r="NM2987" s="37"/>
      <c r="NN2987" s="37"/>
      <c r="NO2987" s="37"/>
      <c r="NP2987" s="37"/>
      <c r="NQ2987" s="37"/>
      <c r="NR2987" s="37"/>
      <c r="NS2987" s="37"/>
      <c r="NT2987" s="37"/>
      <c r="NU2987" s="37"/>
      <c r="NV2987" s="37"/>
      <c r="NW2987" s="37"/>
      <c r="NX2987" s="37"/>
      <c r="NY2987" s="37"/>
      <c r="NZ2987" s="37"/>
      <c r="OA2987" s="37"/>
      <c r="OB2987" s="37"/>
      <c r="OC2987" s="37"/>
      <c r="OD2987" s="37"/>
      <c r="OE2987" s="37"/>
      <c r="OF2987" s="37"/>
      <c r="OG2987" s="37"/>
      <c r="OH2987" s="37"/>
      <c r="OI2987" s="37"/>
      <c r="OJ2987" s="37"/>
      <c r="OK2987" s="37"/>
      <c r="OL2987" s="37"/>
      <c r="OM2987" s="37"/>
      <c r="ON2987" s="37"/>
      <c r="OO2987" s="37"/>
      <c r="OP2987" s="37"/>
      <c r="OQ2987" s="37"/>
      <c r="OR2987" s="37"/>
      <c r="OS2987" s="37"/>
      <c r="OT2987" s="37"/>
      <c r="OU2987" s="37"/>
      <c r="OV2987" s="37"/>
      <c r="OW2987" s="37"/>
      <c r="OX2987" s="37"/>
      <c r="OY2987" s="37"/>
      <c r="OZ2987" s="37"/>
      <c r="PA2987" s="37"/>
      <c r="PB2987" s="37"/>
      <c r="PC2987" s="37"/>
      <c r="PD2987" s="37"/>
      <c r="PE2987" s="37"/>
      <c r="PF2987" s="37"/>
      <c r="PG2987" s="37"/>
      <c r="PH2987" s="37"/>
      <c r="PI2987" s="37"/>
      <c r="PJ2987" s="37"/>
      <c r="PK2987" s="37"/>
      <c r="PL2987" s="37"/>
      <c r="PM2987" s="37"/>
      <c r="PN2987" s="37"/>
      <c r="PO2987" s="37"/>
      <c r="PP2987" s="37"/>
      <c r="PQ2987" s="37"/>
      <c r="PR2987" s="37"/>
      <c r="PS2987" s="37"/>
      <c r="PT2987" s="37"/>
      <c r="PU2987" s="37"/>
      <c r="PV2987" s="37"/>
      <c r="PW2987" s="37"/>
      <c r="PX2987" s="37"/>
      <c r="PY2987" s="37"/>
      <c r="PZ2987" s="37"/>
      <c r="QA2987" s="37"/>
      <c r="QB2987" s="37"/>
      <c r="QC2987" s="37"/>
      <c r="QD2987" s="37"/>
      <c r="QE2987" s="37"/>
      <c r="QF2987" s="37"/>
      <c r="QG2987" s="37"/>
      <c r="QH2987" s="37"/>
      <c r="QI2987" s="37"/>
      <c r="QJ2987" s="37"/>
      <c r="QK2987" s="37"/>
      <c r="QL2987" s="37"/>
      <c r="QM2987" s="37"/>
      <c r="QN2987" s="37"/>
      <c r="QO2987" s="37"/>
      <c r="QP2987" s="37"/>
      <c r="QQ2987" s="37"/>
      <c r="QR2987" s="37"/>
      <c r="QS2987" s="37"/>
      <c r="QT2987" s="37"/>
      <c r="QU2987" s="37"/>
      <c r="QV2987" s="37"/>
      <c r="QW2987" s="37"/>
      <c r="QX2987" s="37"/>
      <c r="QY2987" s="37"/>
      <c r="QZ2987" s="37"/>
      <c r="RA2987" s="37"/>
      <c r="RB2987" s="37"/>
      <c r="RC2987" s="37"/>
      <c r="RD2987" s="37"/>
      <c r="RE2987" s="37"/>
      <c r="RF2987" s="37"/>
      <c r="RG2987" s="37"/>
      <c r="RH2987" s="37"/>
      <c r="RI2987" s="37"/>
      <c r="RJ2987" s="37"/>
      <c r="RK2987" s="37"/>
      <c r="RL2987" s="37"/>
      <c r="RM2987" s="37"/>
      <c r="RN2987" s="37"/>
      <c r="RO2987" s="37"/>
      <c r="RP2987" s="37"/>
      <c r="RQ2987" s="37"/>
      <c r="RR2987" s="37"/>
      <c r="RS2987" s="37"/>
      <c r="RT2987" s="37"/>
      <c r="RU2987" s="37"/>
      <c r="RV2987" s="37"/>
      <c r="RW2987" s="37"/>
      <c r="RX2987" s="37"/>
      <c r="RY2987" s="37"/>
      <c r="RZ2987" s="37"/>
      <c r="SA2987" s="37"/>
      <c r="SB2987" s="37"/>
      <c r="SC2987" s="37"/>
      <c r="SD2987" s="37"/>
      <c r="SE2987" s="37"/>
      <c r="SF2987" s="37"/>
    </row>
    <row r="2988" spans="1:500">
      <c r="A2988" s="37"/>
      <c r="B2988" s="37"/>
      <c r="C2988" s="37"/>
      <c r="D2988" s="37"/>
      <c r="E2988" s="37"/>
      <c r="F2988" s="37"/>
      <c r="G2988" s="37"/>
      <c r="H2988" s="37"/>
      <c r="I2988" s="37"/>
      <c r="J2988" s="37"/>
      <c r="K2988" s="37"/>
      <c r="L2988" s="37"/>
      <c r="M2988" s="37"/>
      <c r="N2988" s="37"/>
      <c r="O2988" s="37"/>
      <c r="P2988" s="37"/>
      <c r="Q2988" s="37"/>
      <c r="R2988" s="37"/>
      <c r="S2988" s="37"/>
      <c r="T2988" s="37"/>
      <c r="U2988" s="37"/>
      <c r="V2988" s="37"/>
      <c r="W2988" s="37"/>
      <c r="X2988" s="37"/>
      <c r="Y2988" s="37"/>
      <c r="Z2988" s="37"/>
      <c r="AA2988" s="37"/>
      <c r="AB2988" s="37"/>
      <c r="AC2988" s="37"/>
      <c r="AD2988" s="37"/>
      <c r="AE2988" s="37"/>
      <c r="AF2988" s="37"/>
      <c r="AG2988" s="37"/>
      <c r="AH2988" s="37"/>
      <c r="AI2988" s="37"/>
      <c r="AJ2988" s="37"/>
      <c r="AK2988" s="37"/>
      <c r="AL2988" s="37"/>
      <c r="AM2988" s="37"/>
      <c r="AN2988" s="37"/>
      <c r="AO2988" s="37"/>
      <c r="AP2988" s="37"/>
      <c r="AQ2988" s="37"/>
      <c r="AR2988" s="37"/>
      <c r="AS2988" s="37"/>
      <c r="AT2988" s="37"/>
      <c r="AU2988" s="37"/>
      <c r="AV2988" s="37"/>
      <c r="AW2988" s="37"/>
      <c r="AX2988" s="37"/>
      <c r="AY2988" s="37"/>
      <c r="AZ2988" s="37"/>
      <c r="BA2988" s="37"/>
      <c r="BB2988" s="37"/>
      <c r="BC2988" s="37"/>
      <c r="BD2988" s="37"/>
      <c r="BE2988" s="37"/>
      <c r="BF2988" s="37"/>
      <c r="BG2988" s="37"/>
      <c r="BH2988" s="37"/>
      <c r="BI2988" s="37"/>
      <c r="BJ2988" s="37"/>
      <c r="BK2988" s="37"/>
      <c r="BL2988" s="37"/>
      <c r="BM2988" s="37"/>
      <c r="BN2988" s="37"/>
      <c r="BO2988" s="37"/>
      <c r="BP2988" s="37"/>
      <c r="BQ2988" s="37"/>
      <c r="BR2988" s="37"/>
      <c r="BS2988" s="37"/>
      <c r="BT2988" s="37"/>
      <c r="BU2988" s="37"/>
      <c r="BV2988" s="37"/>
      <c r="BW2988" s="37"/>
      <c r="BX2988" s="37"/>
      <c r="BY2988" s="37"/>
      <c r="BZ2988" s="37"/>
      <c r="CA2988" s="37"/>
      <c r="CB2988" s="37"/>
      <c r="CC2988" s="37"/>
      <c r="CD2988" s="37"/>
      <c r="CE2988" s="37"/>
      <c r="CF2988" s="37"/>
      <c r="CG2988" s="37"/>
      <c r="CH2988" s="37"/>
      <c r="CI2988" s="37"/>
      <c r="CJ2988" s="37"/>
      <c r="CK2988" s="37"/>
      <c r="CL2988" s="37"/>
      <c r="CM2988" s="37"/>
      <c r="CN2988" s="37"/>
      <c r="CO2988" s="37"/>
      <c r="CP2988" s="37"/>
      <c r="CQ2988" s="37"/>
      <c r="CR2988" s="37"/>
      <c r="CS2988" s="37"/>
      <c r="CT2988" s="37"/>
      <c r="CU2988" s="37"/>
      <c r="CV2988" s="37"/>
      <c r="CW2988" s="37"/>
      <c r="CX2988" s="37"/>
      <c r="CY2988" s="37"/>
      <c r="CZ2988" s="37"/>
      <c r="DA2988" s="37"/>
      <c r="DB2988" s="37"/>
      <c r="DC2988" s="37"/>
      <c r="DD2988" s="37"/>
      <c r="DE2988" s="37"/>
      <c r="DF2988" s="37"/>
      <c r="DG2988" s="37"/>
      <c r="DH2988" s="37"/>
      <c r="DI2988" s="37"/>
      <c r="DJ2988" s="37"/>
      <c r="DK2988" s="37"/>
      <c r="DL2988" s="37"/>
      <c r="DM2988" s="37"/>
      <c r="DN2988" s="37"/>
      <c r="DO2988" s="37"/>
      <c r="DP2988" s="37"/>
      <c r="DQ2988" s="37"/>
      <c r="DR2988" s="37"/>
      <c r="DS2988" s="37"/>
      <c r="DT2988" s="37"/>
      <c r="DU2988" s="37"/>
      <c r="DV2988" s="37"/>
      <c r="DW2988" s="37"/>
      <c r="DX2988" s="37"/>
      <c r="DY2988" s="37"/>
      <c r="DZ2988" s="37"/>
      <c r="EA2988" s="37"/>
      <c r="EB2988" s="37"/>
      <c r="EC2988" s="37"/>
      <c r="ED2988" s="37"/>
      <c r="EE2988" s="37"/>
      <c r="EF2988" s="37"/>
      <c r="EG2988" s="37"/>
      <c r="EH2988" s="37"/>
      <c r="EI2988" s="37"/>
      <c r="EJ2988" s="37"/>
      <c r="EK2988" s="37"/>
      <c r="EL2988" s="37"/>
      <c r="EM2988" s="37"/>
      <c r="EN2988" s="37"/>
      <c r="EO2988" s="37"/>
      <c r="EP2988" s="37"/>
      <c r="EQ2988" s="37"/>
      <c r="ER2988" s="37"/>
      <c r="ES2988" s="37"/>
      <c r="ET2988" s="37"/>
      <c r="EU2988" s="37"/>
      <c r="EV2988" s="37"/>
      <c r="EW2988" s="37"/>
      <c r="EX2988" s="37"/>
      <c r="EY2988" s="37"/>
      <c r="EZ2988" s="37"/>
      <c r="FA2988" s="37"/>
      <c r="FB2988" s="37"/>
      <c r="FC2988" s="37"/>
      <c r="FD2988" s="37"/>
      <c r="FE2988" s="37"/>
      <c r="FF2988" s="37"/>
      <c r="FG2988" s="37"/>
      <c r="FH2988" s="37"/>
      <c r="FI2988" s="37"/>
      <c r="FJ2988" s="37"/>
      <c r="FK2988" s="37"/>
      <c r="FL2988" s="37"/>
      <c r="FM2988" s="37"/>
      <c r="FN2988" s="37"/>
      <c r="FO2988" s="37"/>
      <c r="FP2988" s="37"/>
      <c r="FQ2988" s="37"/>
      <c r="FR2988" s="37"/>
      <c r="FS2988" s="37"/>
      <c r="FT2988" s="37"/>
      <c r="FU2988" s="37"/>
      <c r="FV2988" s="37"/>
      <c r="FW2988" s="37"/>
      <c r="FX2988" s="37"/>
      <c r="FY2988" s="37"/>
      <c r="FZ2988" s="37"/>
      <c r="GA2988" s="37"/>
      <c r="GB2988" s="37"/>
      <c r="GC2988" s="37"/>
      <c r="GD2988" s="37"/>
      <c r="GE2988" s="37"/>
      <c r="GF2988" s="37"/>
      <c r="GG2988" s="37"/>
      <c r="GH2988" s="37"/>
      <c r="GI2988" s="37"/>
      <c r="GJ2988" s="37"/>
      <c r="GK2988" s="37"/>
      <c r="GL2988" s="37"/>
      <c r="GM2988" s="37"/>
      <c r="GN2988" s="37"/>
      <c r="GO2988" s="37"/>
      <c r="GP2988" s="37"/>
      <c r="GQ2988" s="37"/>
      <c r="GR2988" s="37"/>
      <c r="GS2988" s="37"/>
      <c r="GT2988" s="37"/>
      <c r="GU2988" s="37"/>
      <c r="GV2988" s="37"/>
      <c r="GW2988" s="37"/>
      <c r="GX2988" s="37"/>
      <c r="GY2988" s="37"/>
      <c r="GZ2988" s="37"/>
      <c r="HA2988" s="37"/>
      <c r="HB2988" s="37"/>
      <c r="HC2988" s="37"/>
      <c r="HD2988" s="37"/>
      <c r="HE2988" s="37"/>
      <c r="HF2988" s="37"/>
      <c r="HG2988" s="37"/>
      <c r="HH2988" s="37"/>
      <c r="HI2988" s="37"/>
      <c r="HJ2988" s="37"/>
      <c r="HK2988" s="37"/>
      <c r="HL2988" s="37"/>
      <c r="HM2988" s="37"/>
      <c r="HN2988" s="37"/>
      <c r="HO2988" s="37"/>
      <c r="HP2988" s="37"/>
      <c r="HQ2988" s="37"/>
      <c r="HR2988" s="37"/>
      <c r="HS2988" s="37"/>
      <c r="HT2988" s="37"/>
      <c r="HU2988" s="37"/>
      <c r="HV2988" s="37"/>
      <c r="HW2988" s="37"/>
      <c r="HX2988" s="37"/>
      <c r="HY2988" s="37"/>
      <c r="HZ2988" s="37"/>
      <c r="IA2988" s="37"/>
      <c r="IB2988" s="37"/>
      <c r="IC2988" s="37"/>
      <c r="ID2988" s="37"/>
      <c r="IE2988" s="37"/>
      <c r="IF2988" s="37"/>
      <c r="IG2988" s="37"/>
      <c r="IH2988" s="37"/>
      <c r="II2988" s="37"/>
      <c r="IJ2988" s="37"/>
      <c r="IK2988" s="37"/>
      <c r="IL2988" s="37"/>
      <c r="IM2988" s="37"/>
      <c r="IN2988" s="37"/>
      <c r="IO2988" s="37"/>
      <c r="IP2988" s="37"/>
      <c r="IQ2988" s="37"/>
      <c r="IR2988" s="37"/>
      <c r="IS2988" s="37"/>
      <c r="IT2988" s="37"/>
      <c r="IU2988" s="37"/>
      <c r="IV2988" s="37"/>
      <c r="IW2988" s="37"/>
      <c r="IX2988" s="37"/>
      <c r="IY2988" s="37"/>
      <c r="IZ2988" s="37"/>
      <c r="JA2988" s="37"/>
      <c r="JB2988" s="37"/>
      <c r="JC2988" s="37"/>
      <c r="JD2988" s="37"/>
      <c r="JE2988" s="37"/>
      <c r="JF2988" s="37"/>
      <c r="JG2988" s="37"/>
      <c r="JH2988" s="37"/>
      <c r="JI2988" s="37"/>
      <c r="JJ2988" s="37"/>
      <c r="JK2988" s="37"/>
      <c r="JL2988" s="37"/>
      <c r="JM2988" s="37"/>
      <c r="JN2988" s="37"/>
      <c r="JO2988" s="37"/>
      <c r="JP2988" s="37"/>
      <c r="JQ2988" s="37"/>
      <c r="JR2988" s="37"/>
      <c r="JS2988" s="37"/>
      <c r="JT2988" s="37"/>
      <c r="JU2988" s="37"/>
      <c r="JV2988" s="37"/>
      <c r="JW2988" s="37"/>
      <c r="JX2988" s="37"/>
      <c r="JY2988" s="37"/>
      <c r="JZ2988" s="37"/>
      <c r="KA2988" s="37"/>
      <c r="KB2988" s="37"/>
      <c r="KC2988" s="37"/>
      <c r="KD2988" s="37"/>
      <c r="KE2988" s="37"/>
      <c r="KF2988" s="37"/>
      <c r="KG2988" s="37"/>
      <c r="KH2988" s="37"/>
      <c r="KI2988" s="37"/>
      <c r="KJ2988" s="37"/>
      <c r="KK2988" s="37"/>
      <c r="KL2988" s="37"/>
      <c r="KM2988" s="37"/>
      <c r="KN2988" s="37"/>
      <c r="KO2988" s="37"/>
      <c r="KP2988" s="37"/>
      <c r="KQ2988" s="37"/>
      <c r="KR2988" s="37"/>
      <c r="KS2988" s="37"/>
      <c r="KT2988" s="37"/>
      <c r="KU2988" s="37"/>
      <c r="KV2988" s="37"/>
      <c r="KW2988" s="37"/>
      <c r="KX2988" s="37"/>
      <c r="KY2988" s="37"/>
      <c r="KZ2988" s="37"/>
      <c r="LA2988" s="37"/>
      <c r="LB2988" s="37"/>
      <c r="LC2988" s="37"/>
      <c r="LD2988" s="37"/>
      <c r="LE2988" s="37"/>
      <c r="LF2988" s="37"/>
      <c r="LG2988" s="37"/>
      <c r="LH2988" s="37"/>
      <c r="LI2988" s="37"/>
      <c r="LJ2988" s="37"/>
      <c r="LK2988" s="37"/>
      <c r="LL2988" s="37"/>
      <c r="LM2988" s="37"/>
      <c r="LN2988" s="37"/>
      <c r="LO2988" s="37"/>
      <c r="LP2988" s="37"/>
      <c r="LQ2988" s="37"/>
      <c r="LR2988" s="37"/>
      <c r="LS2988" s="37"/>
      <c r="LT2988" s="37"/>
      <c r="LU2988" s="37"/>
      <c r="LV2988" s="37"/>
      <c r="LW2988" s="37"/>
      <c r="LX2988" s="37"/>
      <c r="LY2988" s="37"/>
      <c r="LZ2988" s="37"/>
      <c r="MA2988" s="37"/>
      <c r="MB2988" s="37"/>
      <c r="MC2988" s="37"/>
      <c r="MD2988" s="37"/>
      <c r="ME2988" s="37"/>
      <c r="MF2988" s="37"/>
      <c r="MG2988" s="37"/>
      <c r="MH2988" s="37"/>
      <c r="MI2988" s="37"/>
      <c r="MJ2988" s="37"/>
      <c r="MK2988" s="37"/>
      <c r="ML2988" s="37"/>
      <c r="MM2988" s="37"/>
      <c r="MN2988" s="37"/>
      <c r="MO2988" s="37"/>
      <c r="MP2988" s="37"/>
      <c r="MQ2988" s="37"/>
      <c r="MR2988" s="37"/>
      <c r="MS2988" s="37"/>
      <c r="MT2988" s="37"/>
      <c r="MU2988" s="37"/>
      <c r="MV2988" s="37"/>
      <c r="MW2988" s="37"/>
      <c r="MX2988" s="37"/>
      <c r="MY2988" s="37"/>
      <c r="MZ2988" s="37"/>
      <c r="NA2988" s="37"/>
      <c r="NB2988" s="37"/>
      <c r="NC2988" s="37"/>
      <c r="ND2988" s="37"/>
      <c r="NE2988" s="37"/>
      <c r="NF2988" s="37"/>
      <c r="NG2988" s="37"/>
      <c r="NH2988" s="37"/>
      <c r="NI2988" s="37"/>
      <c r="NJ2988" s="37"/>
      <c r="NK2988" s="37"/>
      <c r="NL2988" s="37"/>
      <c r="NM2988" s="37"/>
      <c r="NN2988" s="37"/>
      <c r="NO2988" s="37"/>
      <c r="NP2988" s="37"/>
      <c r="NQ2988" s="37"/>
      <c r="NR2988" s="37"/>
      <c r="NS2988" s="37"/>
      <c r="NT2988" s="37"/>
      <c r="NU2988" s="37"/>
      <c r="NV2988" s="37"/>
      <c r="NW2988" s="37"/>
      <c r="NX2988" s="37"/>
      <c r="NY2988" s="37"/>
      <c r="NZ2988" s="37"/>
      <c r="OA2988" s="37"/>
      <c r="OB2988" s="37"/>
      <c r="OC2988" s="37"/>
      <c r="OD2988" s="37"/>
      <c r="OE2988" s="37"/>
      <c r="OF2988" s="37"/>
      <c r="OG2988" s="37"/>
      <c r="OH2988" s="37"/>
      <c r="OI2988" s="37"/>
      <c r="OJ2988" s="37"/>
      <c r="OK2988" s="37"/>
      <c r="OL2988" s="37"/>
      <c r="OM2988" s="37"/>
      <c r="ON2988" s="37"/>
      <c r="OO2988" s="37"/>
      <c r="OP2988" s="37"/>
      <c r="OQ2988" s="37"/>
      <c r="OR2988" s="37"/>
      <c r="OS2988" s="37"/>
      <c r="OT2988" s="37"/>
      <c r="OU2988" s="37"/>
      <c r="OV2988" s="37"/>
      <c r="OW2988" s="37"/>
      <c r="OX2988" s="37"/>
      <c r="OY2988" s="37"/>
      <c r="OZ2988" s="37"/>
      <c r="PA2988" s="37"/>
      <c r="PB2988" s="37"/>
      <c r="PC2988" s="37"/>
      <c r="PD2988" s="37"/>
      <c r="PE2988" s="37"/>
      <c r="PF2988" s="37"/>
      <c r="PG2988" s="37"/>
      <c r="PH2988" s="37"/>
      <c r="PI2988" s="37"/>
      <c r="PJ2988" s="37"/>
      <c r="PK2988" s="37"/>
      <c r="PL2988" s="37"/>
      <c r="PM2988" s="37"/>
      <c r="PN2988" s="37"/>
      <c r="PO2988" s="37"/>
      <c r="PP2988" s="37"/>
      <c r="PQ2988" s="37"/>
      <c r="PR2988" s="37"/>
      <c r="PS2988" s="37"/>
      <c r="PT2988" s="37"/>
      <c r="PU2988" s="37"/>
      <c r="PV2988" s="37"/>
      <c r="PW2988" s="37"/>
      <c r="PX2988" s="37"/>
      <c r="PY2988" s="37"/>
      <c r="PZ2988" s="37"/>
      <c r="QA2988" s="37"/>
      <c r="QB2988" s="37"/>
      <c r="QC2988" s="37"/>
      <c r="QD2988" s="37"/>
      <c r="QE2988" s="37"/>
      <c r="QF2988" s="37"/>
      <c r="QG2988" s="37"/>
      <c r="QH2988" s="37"/>
      <c r="QI2988" s="37"/>
      <c r="QJ2988" s="37"/>
      <c r="QK2988" s="37"/>
      <c r="QL2988" s="37"/>
      <c r="QM2988" s="37"/>
      <c r="QN2988" s="37"/>
      <c r="QO2988" s="37"/>
      <c r="QP2988" s="37"/>
      <c r="QQ2988" s="37"/>
      <c r="QR2988" s="37"/>
      <c r="QS2988" s="37"/>
      <c r="QT2988" s="37"/>
      <c r="QU2988" s="37"/>
      <c r="QV2988" s="37"/>
      <c r="QW2988" s="37"/>
      <c r="QX2988" s="37"/>
      <c r="QY2988" s="37"/>
      <c r="QZ2988" s="37"/>
      <c r="RA2988" s="37"/>
      <c r="RB2988" s="37"/>
      <c r="RC2988" s="37"/>
      <c r="RD2988" s="37"/>
      <c r="RE2988" s="37"/>
      <c r="RF2988" s="37"/>
      <c r="RG2988" s="37"/>
      <c r="RH2988" s="37"/>
      <c r="RI2988" s="37"/>
      <c r="RJ2988" s="37"/>
      <c r="RK2988" s="37"/>
      <c r="RL2988" s="37"/>
      <c r="RM2988" s="37"/>
      <c r="RN2988" s="37"/>
      <c r="RO2988" s="37"/>
      <c r="RP2988" s="37"/>
      <c r="RQ2988" s="37"/>
      <c r="RR2988" s="37"/>
      <c r="RS2988" s="37"/>
      <c r="RT2988" s="37"/>
      <c r="RU2988" s="37"/>
      <c r="RV2988" s="37"/>
      <c r="RW2988" s="37"/>
      <c r="RX2988" s="37"/>
      <c r="RY2988" s="37"/>
      <c r="RZ2988" s="37"/>
      <c r="SA2988" s="37"/>
      <c r="SB2988" s="37"/>
      <c r="SC2988" s="37"/>
      <c r="SD2988" s="37"/>
      <c r="SE2988" s="37"/>
      <c r="SF2988" s="37"/>
    </row>
    <row r="2989" spans="1:500">
      <c r="A2989" s="37"/>
      <c r="B2989" s="37"/>
      <c r="C2989" s="37"/>
      <c r="D2989" s="37"/>
      <c r="E2989" s="37"/>
      <c r="F2989" s="37"/>
      <c r="G2989" s="37"/>
      <c r="H2989" s="37"/>
      <c r="I2989" s="37"/>
      <c r="J2989" s="37"/>
      <c r="K2989" s="37"/>
      <c r="L2989" s="37"/>
      <c r="M2989" s="37"/>
      <c r="N2989" s="37"/>
      <c r="O2989" s="37"/>
      <c r="P2989" s="37"/>
      <c r="Q2989" s="37"/>
      <c r="R2989" s="37"/>
      <c r="S2989" s="37"/>
      <c r="T2989" s="37"/>
      <c r="U2989" s="37"/>
      <c r="V2989" s="37"/>
      <c r="W2989" s="37"/>
      <c r="X2989" s="37"/>
      <c r="Y2989" s="37"/>
      <c r="Z2989" s="37"/>
      <c r="AA2989" s="37"/>
      <c r="AB2989" s="37"/>
      <c r="AC2989" s="37"/>
      <c r="AD2989" s="37"/>
      <c r="AE2989" s="37"/>
      <c r="AF2989" s="37"/>
      <c r="AG2989" s="37"/>
      <c r="AH2989" s="37"/>
      <c r="AI2989" s="37"/>
      <c r="AJ2989" s="37"/>
      <c r="AK2989" s="37"/>
      <c r="AL2989" s="37"/>
      <c r="AM2989" s="37"/>
      <c r="AN2989" s="37"/>
      <c r="AO2989" s="37"/>
      <c r="AP2989" s="37"/>
      <c r="AQ2989" s="37"/>
      <c r="AR2989" s="37"/>
      <c r="AS2989" s="37"/>
      <c r="AT2989" s="37"/>
      <c r="AU2989" s="37"/>
      <c r="AV2989" s="37"/>
      <c r="AW2989" s="37"/>
      <c r="AX2989" s="37"/>
      <c r="AY2989" s="37"/>
      <c r="AZ2989" s="37"/>
      <c r="BA2989" s="37"/>
      <c r="BB2989" s="37"/>
      <c r="BC2989" s="37"/>
      <c r="BD2989" s="37"/>
      <c r="BE2989" s="37"/>
      <c r="BF2989" s="37"/>
      <c r="BG2989" s="37"/>
      <c r="BH2989" s="37"/>
      <c r="BI2989" s="37"/>
      <c r="BJ2989" s="37"/>
      <c r="BK2989" s="37"/>
      <c r="BL2989" s="37"/>
      <c r="BM2989" s="37"/>
      <c r="BN2989" s="37"/>
      <c r="BO2989" s="37"/>
      <c r="BP2989" s="37"/>
      <c r="BQ2989" s="37"/>
      <c r="BR2989" s="37"/>
      <c r="BS2989" s="37"/>
      <c r="BT2989" s="37"/>
      <c r="BU2989" s="37"/>
      <c r="BV2989" s="37"/>
      <c r="BW2989" s="37"/>
      <c r="BX2989" s="37"/>
      <c r="BY2989" s="37"/>
      <c r="BZ2989" s="37"/>
      <c r="CA2989" s="37"/>
      <c r="CB2989" s="37"/>
      <c r="CC2989" s="37"/>
      <c r="CD2989" s="37"/>
      <c r="CE2989" s="37"/>
      <c r="CF2989" s="37"/>
      <c r="CG2989" s="37"/>
      <c r="CH2989" s="37"/>
      <c r="CI2989" s="37"/>
      <c r="CJ2989" s="37"/>
      <c r="CK2989" s="37"/>
      <c r="CL2989" s="37"/>
      <c r="CM2989" s="37"/>
      <c r="CN2989" s="37"/>
      <c r="CO2989" s="37"/>
      <c r="CP2989" s="37"/>
      <c r="CQ2989" s="37"/>
      <c r="CR2989" s="37"/>
      <c r="CS2989" s="37"/>
      <c r="CT2989" s="37"/>
      <c r="CU2989" s="37"/>
      <c r="CV2989" s="37"/>
      <c r="CW2989" s="37"/>
      <c r="CX2989" s="37"/>
      <c r="CY2989" s="37"/>
      <c r="CZ2989" s="37"/>
      <c r="DA2989" s="37"/>
      <c r="DB2989" s="37"/>
      <c r="DC2989" s="37"/>
      <c r="DD2989" s="37"/>
      <c r="DE2989" s="37"/>
      <c r="DF2989" s="37"/>
      <c r="DG2989" s="37"/>
      <c r="DH2989" s="37"/>
      <c r="DI2989" s="37"/>
      <c r="DJ2989" s="37"/>
      <c r="DK2989" s="37"/>
      <c r="DL2989" s="37"/>
      <c r="DM2989" s="37"/>
      <c r="DN2989" s="37"/>
      <c r="DO2989" s="37"/>
      <c r="DP2989" s="37"/>
      <c r="DQ2989" s="37"/>
      <c r="DR2989" s="37"/>
      <c r="DS2989" s="37"/>
      <c r="DT2989" s="37"/>
      <c r="DU2989" s="37"/>
      <c r="DV2989" s="37"/>
      <c r="DW2989" s="37"/>
      <c r="DX2989" s="37"/>
      <c r="DY2989" s="37"/>
      <c r="DZ2989" s="37"/>
      <c r="EA2989" s="37"/>
      <c r="EB2989" s="37"/>
      <c r="EC2989" s="37"/>
      <c r="ED2989" s="37"/>
      <c r="EE2989" s="37"/>
      <c r="EF2989" s="37"/>
      <c r="EG2989" s="37"/>
      <c r="EH2989" s="37"/>
      <c r="EI2989" s="37"/>
      <c r="EJ2989" s="37"/>
      <c r="EK2989" s="37"/>
      <c r="EL2989" s="37"/>
      <c r="EM2989" s="37"/>
      <c r="EN2989" s="37"/>
      <c r="EO2989" s="37"/>
      <c r="EP2989" s="37"/>
      <c r="EQ2989" s="37"/>
      <c r="ER2989" s="37"/>
      <c r="ES2989" s="37"/>
      <c r="ET2989" s="37"/>
      <c r="EU2989" s="37"/>
      <c r="EV2989" s="37"/>
      <c r="EW2989" s="37"/>
      <c r="EX2989" s="37"/>
      <c r="EY2989" s="37"/>
      <c r="EZ2989" s="37"/>
      <c r="FA2989" s="37"/>
      <c r="FB2989" s="37"/>
      <c r="FC2989" s="37"/>
      <c r="FD2989" s="37"/>
      <c r="FE2989" s="37"/>
      <c r="FF2989" s="37"/>
      <c r="FG2989" s="37"/>
      <c r="FH2989" s="37"/>
      <c r="FI2989" s="37"/>
      <c r="FJ2989" s="37"/>
      <c r="FK2989" s="37"/>
      <c r="FL2989" s="37"/>
      <c r="FM2989" s="37"/>
      <c r="FN2989" s="37"/>
      <c r="FO2989" s="37"/>
      <c r="FP2989" s="37"/>
      <c r="FQ2989" s="37"/>
      <c r="FR2989" s="37"/>
      <c r="FS2989" s="37"/>
      <c r="FT2989" s="37"/>
      <c r="FU2989" s="37"/>
      <c r="FV2989" s="37"/>
      <c r="FW2989" s="37"/>
      <c r="FX2989" s="37"/>
      <c r="FY2989" s="37"/>
      <c r="FZ2989" s="37"/>
      <c r="GA2989" s="37"/>
      <c r="GB2989" s="37"/>
      <c r="GC2989" s="37"/>
      <c r="GD2989" s="37"/>
      <c r="GE2989" s="37"/>
      <c r="GF2989" s="37"/>
      <c r="GG2989" s="37"/>
      <c r="GH2989" s="37"/>
      <c r="GI2989" s="37"/>
      <c r="GJ2989" s="37"/>
      <c r="GK2989" s="37"/>
      <c r="GL2989" s="37"/>
      <c r="GM2989" s="37"/>
      <c r="GN2989" s="37"/>
      <c r="GO2989" s="37"/>
      <c r="GP2989" s="37"/>
      <c r="GQ2989" s="37"/>
      <c r="GR2989" s="37"/>
      <c r="GS2989" s="37"/>
      <c r="GT2989" s="37"/>
      <c r="GU2989" s="37"/>
      <c r="GV2989" s="37"/>
      <c r="GW2989" s="37"/>
      <c r="GX2989" s="37"/>
      <c r="GY2989" s="37"/>
      <c r="GZ2989" s="37"/>
      <c r="HA2989" s="37"/>
      <c r="HB2989" s="37"/>
      <c r="HC2989" s="37"/>
      <c r="HD2989" s="37"/>
      <c r="HE2989" s="37"/>
      <c r="HF2989" s="37"/>
      <c r="HG2989" s="37"/>
      <c r="HH2989" s="37"/>
      <c r="HI2989" s="37"/>
      <c r="HJ2989" s="37"/>
      <c r="HK2989" s="37"/>
      <c r="HL2989" s="37"/>
      <c r="HM2989" s="37"/>
      <c r="HN2989" s="37"/>
      <c r="HO2989" s="37"/>
      <c r="HP2989" s="37"/>
      <c r="HQ2989" s="37"/>
      <c r="HR2989" s="37"/>
      <c r="HS2989" s="37"/>
      <c r="HT2989" s="37"/>
      <c r="HU2989" s="37"/>
      <c r="HV2989" s="37"/>
      <c r="HW2989" s="37"/>
      <c r="HX2989" s="37"/>
      <c r="HY2989" s="37"/>
      <c r="HZ2989" s="37"/>
      <c r="IA2989" s="37"/>
      <c r="IB2989" s="37"/>
      <c r="IC2989" s="37"/>
      <c r="ID2989" s="37"/>
      <c r="IE2989" s="37"/>
      <c r="IF2989" s="37"/>
      <c r="IG2989" s="37"/>
      <c r="IH2989" s="37"/>
      <c r="II2989" s="37"/>
      <c r="IJ2989" s="37"/>
      <c r="IK2989" s="37"/>
      <c r="IL2989" s="37"/>
      <c r="IM2989" s="37"/>
      <c r="IN2989" s="37"/>
      <c r="IO2989" s="37"/>
      <c r="IP2989" s="37"/>
      <c r="IQ2989" s="37"/>
      <c r="IR2989" s="37"/>
      <c r="IS2989" s="37"/>
      <c r="IT2989" s="37"/>
      <c r="IU2989" s="37"/>
      <c r="IV2989" s="37"/>
      <c r="IW2989" s="37"/>
      <c r="IX2989" s="37"/>
      <c r="IY2989" s="37"/>
      <c r="IZ2989" s="37"/>
      <c r="JA2989" s="37"/>
      <c r="JB2989" s="37"/>
      <c r="JC2989" s="37"/>
      <c r="JD2989" s="37"/>
      <c r="JE2989" s="37"/>
      <c r="JF2989" s="37"/>
      <c r="JG2989" s="37"/>
      <c r="JH2989" s="37"/>
      <c r="JI2989" s="37"/>
      <c r="JJ2989" s="37"/>
      <c r="JK2989" s="37"/>
      <c r="JL2989" s="37"/>
      <c r="JM2989" s="37"/>
      <c r="JN2989" s="37"/>
      <c r="JO2989" s="37"/>
      <c r="JP2989" s="37"/>
      <c r="JQ2989" s="37"/>
      <c r="JR2989" s="37"/>
      <c r="JS2989" s="37"/>
      <c r="JT2989" s="37"/>
      <c r="JU2989" s="37"/>
      <c r="JV2989" s="37"/>
      <c r="JW2989" s="37"/>
      <c r="JX2989" s="37"/>
      <c r="JY2989" s="37"/>
      <c r="JZ2989" s="37"/>
      <c r="KA2989" s="37"/>
      <c r="KB2989" s="37"/>
      <c r="KC2989" s="37"/>
      <c r="KD2989" s="37"/>
      <c r="KE2989" s="37"/>
      <c r="KF2989" s="37"/>
      <c r="KG2989" s="37"/>
      <c r="KH2989" s="37"/>
      <c r="KI2989" s="37"/>
      <c r="KJ2989" s="37"/>
      <c r="KK2989" s="37"/>
      <c r="KL2989" s="37"/>
      <c r="KM2989" s="37"/>
      <c r="KN2989" s="37"/>
      <c r="KO2989" s="37"/>
      <c r="KP2989" s="37"/>
      <c r="KQ2989" s="37"/>
      <c r="KR2989" s="37"/>
      <c r="KS2989" s="37"/>
      <c r="KT2989" s="37"/>
      <c r="KU2989" s="37"/>
      <c r="KV2989" s="37"/>
      <c r="KW2989" s="37"/>
      <c r="KX2989" s="37"/>
      <c r="KY2989" s="37"/>
      <c r="KZ2989" s="37"/>
      <c r="LA2989" s="37"/>
      <c r="LB2989" s="37"/>
      <c r="LC2989" s="37"/>
      <c r="LD2989" s="37"/>
      <c r="LE2989" s="37"/>
      <c r="LF2989" s="37"/>
      <c r="LG2989" s="37"/>
      <c r="LH2989" s="37"/>
      <c r="LI2989" s="37"/>
      <c r="LJ2989" s="37"/>
      <c r="LK2989" s="37"/>
      <c r="LL2989" s="37"/>
      <c r="LM2989" s="37"/>
      <c r="LN2989" s="37"/>
      <c r="LO2989" s="37"/>
      <c r="LP2989" s="37"/>
      <c r="LQ2989" s="37"/>
      <c r="LR2989" s="37"/>
      <c r="LS2989" s="37"/>
      <c r="LT2989" s="37"/>
      <c r="LU2989" s="37"/>
      <c r="LV2989" s="37"/>
      <c r="LW2989" s="37"/>
      <c r="LX2989" s="37"/>
      <c r="LY2989" s="37"/>
      <c r="LZ2989" s="37"/>
      <c r="MA2989" s="37"/>
      <c r="MB2989" s="37"/>
      <c r="MC2989" s="37"/>
      <c r="MD2989" s="37"/>
      <c r="ME2989" s="37"/>
      <c r="MF2989" s="37"/>
      <c r="MG2989" s="37"/>
      <c r="MH2989" s="37"/>
      <c r="MI2989" s="37"/>
      <c r="MJ2989" s="37"/>
      <c r="MK2989" s="37"/>
      <c r="ML2989" s="37"/>
      <c r="MM2989" s="37"/>
      <c r="MN2989" s="37"/>
      <c r="MO2989" s="37"/>
      <c r="MP2989" s="37"/>
      <c r="MQ2989" s="37"/>
      <c r="MR2989" s="37"/>
      <c r="MS2989" s="37"/>
      <c r="MT2989" s="37"/>
      <c r="MU2989" s="37"/>
      <c r="MV2989" s="37"/>
      <c r="MW2989" s="37"/>
      <c r="MX2989" s="37"/>
      <c r="MY2989" s="37"/>
      <c r="MZ2989" s="37"/>
      <c r="NA2989" s="37"/>
      <c r="NB2989" s="37"/>
      <c r="NC2989" s="37"/>
      <c r="ND2989" s="37"/>
      <c r="NE2989" s="37"/>
      <c r="NF2989" s="37"/>
      <c r="NG2989" s="37"/>
      <c r="NH2989" s="37"/>
      <c r="NI2989" s="37"/>
      <c r="NJ2989" s="37"/>
      <c r="NK2989" s="37"/>
      <c r="NL2989" s="37"/>
      <c r="NM2989" s="37"/>
      <c r="NN2989" s="37"/>
      <c r="NO2989" s="37"/>
      <c r="NP2989" s="37"/>
      <c r="NQ2989" s="37"/>
      <c r="NR2989" s="37"/>
      <c r="NS2989" s="37"/>
      <c r="NT2989" s="37"/>
      <c r="NU2989" s="37"/>
      <c r="NV2989" s="37"/>
      <c r="NW2989" s="37"/>
      <c r="NX2989" s="37"/>
      <c r="NY2989" s="37"/>
      <c r="NZ2989" s="37"/>
      <c r="OA2989" s="37"/>
      <c r="OB2989" s="37"/>
      <c r="OC2989" s="37"/>
      <c r="OD2989" s="37"/>
      <c r="OE2989" s="37"/>
      <c r="OF2989" s="37"/>
      <c r="OG2989" s="37"/>
      <c r="OH2989" s="37"/>
      <c r="OI2989" s="37"/>
      <c r="OJ2989" s="37"/>
      <c r="OK2989" s="37"/>
      <c r="OL2989" s="37"/>
      <c r="OM2989" s="37"/>
      <c r="ON2989" s="37"/>
      <c r="OO2989" s="37"/>
      <c r="OP2989" s="37"/>
      <c r="OQ2989" s="37"/>
      <c r="OR2989" s="37"/>
      <c r="OS2989" s="37"/>
      <c r="OT2989" s="37"/>
      <c r="OU2989" s="37"/>
      <c r="OV2989" s="37"/>
      <c r="OW2989" s="37"/>
      <c r="OX2989" s="37"/>
      <c r="OY2989" s="37"/>
      <c r="OZ2989" s="37"/>
      <c r="PA2989" s="37"/>
      <c r="PB2989" s="37"/>
      <c r="PC2989" s="37"/>
      <c r="PD2989" s="37"/>
      <c r="PE2989" s="37"/>
      <c r="PF2989" s="37"/>
      <c r="PG2989" s="37"/>
      <c r="PH2989" s="37"/>
      <c r="PI2989" s="37"/>
      <c r="PJ2989" s="37"/>
      <c r="PK2989" s="37"/>
      <c r="PL2989" s="37"/>
      <c r="PM2989" s="37"/>
      <c r="PN2989" s="37"/>
      <c r="PO2989" s="37"/>
      <c r="PP2989" s="37"/>
      <c r="PQ2989" s="37"/>
      <c r="PR2989" s="37"/>
      <c r="PS2989" s="37"/>
      <c r="PT2989" s="37"/>
      <c r="PU2989" s="37"/>
      <c r="PV2989" s="37"/>
      <c r="PW2989" s="37"/>
      <c r="PX2989" s="37"/>
      <c r="PY2989" s="37"/>
      <c r="PZ2989" s="37"/>
      <c r="QA2989" s="37"/>
      <c r="QB2989" s="37"/>
      <c r="QC2989" s="37"/>
      <c r="QD2989" s="37"/>
      <c r="QE2989" s="37"/>
      <c r="QF2989" s="37"/>
      <c r="QG2989" s="37"/>
      <c r="QH2989" s="37"/>
      <c r="QI2989" s="37"/>
      <c r="QJ2989" s="37"/>
      <c r="QK2989" s="37"/>
      <c r="QL2989" s="37"/>
      <c r="QM2989" s="37"/>
      <c r="QN2989" s="37"/>
      <c r="QO2989" s="37"/>
      <c r="QP2989" s="37"/>
      <c r="QQ2989" s="37"/>
      <c r="QR2989" s="37"/>
      <c r="QS2989" s="37"/>
      <c r="QT2989" s="37"/>
      <c r="QU2989" s="37"/>
      <c r="QV2989" s="37"/>
      <c r="QW2989" s="37"/>
      <c r="QX2989" s="37"/>
      <c r="QY2989" s="37"/>
      <c r="QZ2989" s="37"/>
      <c r="RA2989" s="37"/>
      <c r="RB2989" s="37"/>
      <c r="RC2989" s="37"/>
      <c r="RD2989" s="37"/>
      <c r="RE2989" s="37"/>
      <c r="RF2989" s="37"/>
      <c r="RG2989" s="37"/>
      <c r="RH2989" s="37"/>
      <c r="RI2989" s="37"/>
      <c r="RJ2989" s="37"/>
      <c r="RK2989" s="37"/>
      <c r="RL2989" s="37"/>
      <c r="RM2989" s="37"/>
      <c r="RN2989" s="37"/>
      <c r="RO2989" s="37"/>
      <c r="RP2989" s="37"/>
      <c r="RQ2989" s="37"/>
      <c r="RR2989" s="37"/>
      <c r="RS2989" s="37"/>
      <c r="RT2989" s="37"/>
      <c r="RU2989" s="37"/>
      <c r="RV2989" s="37"/>
      <c r="RW2989" s="37"/>
      <c r="RX2989" s="37"/>
      <c r="RY2989" s="37"/>
      <c r="RZ2989" s="37"/>
      <c r="SA2989" s="37"/>
      <c r="SB2989" s="37"/>
      <c r="SC2989" s="37"/>
      <c r="SD2989" s="37"/>
      <c r="SE2989" s="37"/>
      <c r="SF2989" s="37"/>
    </row>
    <row r="2990" spans="1:500">
      <c r="A2990" s="37"/>
      <c r="B2990" s="37"/>
      <c r="C2990" s="37"/>
      <c r="D2990" s="37"/>
      <c r="E2990" s="37"/>
      <c r="F2990" s="37"/>
      <c r="G2990" s="37"/>
      <c r="H2990" s="37"/>
      <c r="I2990" s="37"/>
      <c r="J2990" s="37"/>
      <c r="K2990" s="37"/>
      <c r="L2990" s="37"/>
      <c r="M2990" s="37"/>
      <c r="N2990" s="37"/>
      <c r="O2990" s="37"/>
      <c r="P2990" s="37"/>
      <c r="Q2990" s="37"/>
      <c r="R2990" s="37"/>
      <c r="S2990" s="37"/>
      <c r="T2990" s="37"/>
      <c r="U2990" s="37"/>
      <c r="V2990" s="37"/>
      <c r="W2990" s="37"/>
      <c r="X2990" s="37"/>
      <c r="Y2990" s="37"/>
      <c r="Z2990" s="37"/>
      <c r="AA2990" s="37"/>
      <c r="AB2990" s="37"/>
      <c r="AC2990" s="37"/>
      <c r="AD2990" s="37"/>
      <c r="AE2990" s="37"/>
      <c r="AF2990" s="37"/>
      <c r="AG2990" s="37"/>
      <c r="AH2990" s="37"/>
      <c r="AI2990" s="37"/>
      <c r="AJ2990" s="37"/>
      <c r="AK2990" s="37"/>
      <c r="AL2990" s="37"/>
      <c r="AM2990" s="37"/>
      <c r="AN2990" s="37"/>
      <c r="AO2990" s="37"/>
      <c r="AP2990" s="37"/>
      <c r="AQ2990" s="37"/>
      <c r="AR2990" s="37"/>
      <c r="AS2990" s="37"/>
      <c r="AT2990" s="37"/>
      <c r="AU2990" s="37"/>
      <c r="AV2990" s="37"/>
      <c r="AW2990" s="37"/>
      <c r="AX2990" s="37"/>
      <c r="AY2990" s="37"/>
      <c r="AZ2990" s="37"/>
      <c r="BA2990" s="37"/>
      <c r="BB2990" s="37"/>
      <c r="BC2990" s="37"/>
      <c r="BD2990" s="37"/>
      <c r="BE2990" s="37"/>
      <c r="BF2990" s="37"/>
      <c r="BG2990" s="37"/>
      <c r="BH2990" s="37"/>
      <c r="BI2990" s="37"/>
      <c r="BJ2990" s="37"/>
      <c r="BK2990" s="37"/>
      <c r="BL2990" s="37"/>
      <c r="BM2990" s="37"/>
      <c r="BN2990" s="37"/>
      <c r="BO2990" s="37"/>
      <c r="BP2990" s="37"/>
      <c r="BQ2990" s="37"/>
      <c r="BR2990" s="37"/>
      <c r="BS2990" s="37"/>
      <c r="BT2990" s="37"/>
      <c r="BU2990" s="37"/>
      <c r="BV2990" s="37"/>
      <c r="BW2990" s="37"/>
      <c r="BX2990" s="37"/>
      <c r="BY2990" s="37"/>
      <c r="BZ2990" s="37"/>
      <c r="CA2990" s="37"/>
      <c r="CB2990" s="37"/>
      <c r="CC2990" s="37"/>
      <c r="CD2990" s="37"/>
      <c r="CE2990" s="37"/>
      <c r="CF2990" s="37"/>
      <c r="CG2990" s="37"/>
      <c r="CH2990" s="37"/>
      <c r="CI2990" s="37"/>
      <c r="CJ2990" s="37"/>
      <c r="CK2990" s="37"/>
      <c r="CL2990" s="37"/>
      <c r="CM2990" s="37"/>
      <c r="CN2990" s="37"/>
      <c r="CO2990" s="37"/>
      <c r="CP2990" s="37"/>
      <c r="CQ2990" s="37"/>
      <c r="CR2990" s="37"/>
      <c r="CS2990" s="37"/>
      <c r="CT2990" s="37"/>
      <c r="CU2990" s="37"/>
      <c r="CV2990" s="37"/>
      <c r="CW2990" s="37"/>
      <c r="CX2990" s="37"/>
      <c r="CY2990" s="37"/>
      <c r="CZ2990" s="37"/>
      <c r="DA2990" s="37"/>
      <c r="DB2990" s="37"/>
      <c r="DC2990" s="37"/>
      <c r="DD2990" s="37"/>
      <c r="DE2990" s="37"/>
      <c r="DF2990" s="37"/>
      <c r="DG2990" s="37"/>
      <c r="DH2990" s="37"/>
      <c r="DI2990" s="37"/>
      <c r="DJ2990" s="37"/>
      <c r="DK2990" s="37"/>
      <c r="DL2990" s="37"/>
      <c r="DM2990" s="37"/>
      <c r="DN2990" s="37"/>
      <c r="DO2990" s="37"/>
      <c r="DP2990" s="37"/>
      <c r="DQ2990" s="37"/>
      <c r="DR2990" s="37"/>
      <c r="DS2990" s="37"/>
      <c r="DT2990" s="37"/>
      <c r="DU2990" s="37"/>
      <c r="DV2990" s="37"/>
      <c r="DW2990" s="37"/>
      <c r="DX2990" s="37"/>
      <c r="DY2990" s="37"/>
      <c r="DZ2990" s="37"/>
      <c r="EA2990" s="37"/>
      <c r="EB2990" s="37"/>
      <c r="EC2990" s="37"/>
      <c r="ED2990" s="37"/>
      <c r="EE2990" s="37"/>
      <c r="EF2990" s="37"/>
      <c r="EG2990" s="37"/>
      <c r="EH2990" s="37"/>
      <c r="EI2990" s="37"/>
      <c r="EJ2990" s="37"/>
      <c r="EK2990" s="37"/>
      <c r="EL2990" s="37"/>
      <c r="EM2990" s="37"/>
      <c r="EN2990" s="37"/>
      <c r="EO2990" s="37"/>
      <c r="EP2990" s="37"/>
      <c r="EQ2990" s="37"/>
      <c r="ER2990" s="37"/>
      <c r="ES2990" s="37"/>
      <c r="ET2990" s="37"/>
      <c r="EU2990" s="37"/>
      <c r="EV2990" s="37"/>
      <c r="EW2990" s="37"/>
      <c r="EX2990" s="37"/>
      <c r="EY2990" s="37"/>
      <c r="EZ2990" s="37"/>
      <c r="FA2990" s="37"/>
      <c r="FB2990" s="37"/>
      <c r="FC2990" s="37"/>
      <c r="FD2990" s="37"/>
      <c r="FE2990" s="37"/>
      <c r="FF2990" s="37"/>
      <c r="FG2990" s="37"/>
      <c r="FH2990" s="37"/>
      <c r="FI2990" s="37"/>
      <c r="FJ2990" s="37"/>
      <c r="FK2990" s="37"/>
      <c r="FL2990" s="37"/>
      <c r="FM2990" s="37"/>
      <c r="FN2990" s="37"/>
      <c r="FO2990" s="37"/>
      <c r="FP2990" s="37"/>
      <c r="FQ2990" s="37"/>
      <c r="FR2990" s="37"/>
      <c r="FS2990" s="37"/>
      <c r="FT2990" s="37"/>
      <c r="FU2990" s="37"/>
      <c r="FV2990" s="37"/>
      <c r="FW2990" s="37"/>
      <c r="FX2990" s="37"/>
      <c r="FY2990" s="37"/>
      <c r="FZ2990" s="37"/>
      <c r="GA2990" s="37"/>
      <c r="GB2990" s="37"/>
      <c r="GC2990" s="37"/>
      <c r="GD2990" s="37"/>
      <c r="GE2990" s="37"/>
      <c r="GF2990" s="37"/>
      <c r="GG2990" s="37"/>
      <c r="GH2990" s="37"/>
      <c r="GI2990" s="37"/>
      <c r="GJ2990" s="37"/>
      <c r="GK2990" s="37"/>
      <c r="GL2990" s="37"/>
      <c r="GM2990" s="37"/>
      <c r="GN2990" s="37"/>
      <c r="GO2990" s="37"/>
      <c r="GP2990" s="37"/>
      <c r="GQ2990" s="37"/>
      <c r="GR2990" s="37"/>
      <c r="GS2990" s="37"/>
      <c r="GT2990" s="37"/>
      <c r="GU2990" s="37"/>
      <c r="GV2990" s="37"/>
      <c r="GW2990" s="37"/>
      <c r="GX2990" s="37"/>
      <c r="GY2990" s="37"/>
      <c r="GZ2990" s="37"/>
      <c r="HA2990" s="37"/>
      <c r="HB2990" s="37"/>
      <c r="HC2990" s="37"/>
      <c r="HD2990" s="37"/>
      <c r="HE2990" s="37"/>
      <c r="HF2990" s="37"/>
      <c r="HG2990" s="37"/>
      <c r="HH2990" s="37"/>
      <c r="HI2990" s="37"/>
      <c r="HJ2990" s="37"/>
      <c r="HK2990" s="37"/>
      <c r="HL2990" s="37"/>
      <c r="HM2990" s="37"/>
      <c r="HN2990" s="37"/>
      <c r="HO2990" s="37"/>
      <c r="HP2990" s="37"/>
      <c r="HQ2990" s="37"/>
      <c r="HR2990" s="37"/>
      <c r="HS2990" s="37"/>
      <c r="HT2990" s="37"/>
      <c r="HU2990" s="37"/>
      <c r="HV2990" s="37"/>
      <c r="HW2990" s="37"/>
      <c r="HX2990" s="37"/>
      <c r="HY2990" s="37"/>
      <c r="HZ2990" s="37"/>
      <c r="IA2990" s="37"/>
      <c r="IB2990" s="37"/>
      <c r="IC2990" s="37"/>
      <c r="ID2990" s="37"/>
      <c r="IE2990" s="37"/>
      <c r="IF2990" s="37"/>
      <c r="IG2990" s="37"/>
      <c r="IH2990" s="37"/>
      <c r="II2990" s="37"/>
      <c r="IJ2990" s="37"/>
      <c r="IK2990" s="37"/>
      <c r="IL2990" s="37"/>
      <c r="IM2990" s="37"/>
      <c r="IN2990" s="37"/>
      <c r="IO2990" s="37"/>
      <c r="IP2990" s="37"/>
      <c r="IQ2990" s="37"/>
      <c r="IR2990" s="37"/>
      <c r="IS2990" s="37"/>
      <c r="IT2990" s="37"/>
      <c r="IU2990" s="37"/>
      <c r="IV2990" s="37"/>
      <c r="IW2990" s="37"/>
      <c r="IX2990" s="37"/>
      <c r="IY2990" s="37"/>
      <c r="IZ2990" s="37"/>
      <c r="JA2990" s="37"/>
      <c r="JB2990" s="37"/>
      <c r="JC2990" s="37"/>
      <c r="JD2990" s="37"/>
      <c r="JE2990" s="37"/>
      <c r="JF2990" s="37"/>
      <c r="JG2990" s="37"/>
      <c r="JH2990" s="37"/>
      <c r="JI2990" s="37"/>
      <c r="JJ2990" s="37"/>
      <c r="JK2990" s="37"/>
      <c r="JL2990" s="37"/>
      <c r="JM2990" s="37"/>
      <c r="JN2990" s="37"/>
      <c r="JO2990" s="37"/>
      <c r="JP2990" s="37"/>
      <c r="JQ2990" s="37"/>
      <c r="JR2990" s="37"/>
      <c r="JS2990" s="37"/>
      <c r="JT2990" s="37"/>
      <c r="JU2990" s="37"/>
      <c r="JV2990" s="37"/>
      <c r="JW2990" s="37"/>
      <c r="JX2990" s="37"/>
      <c r="JY2990" s="37"/>
      <c r="JZ2990" s="37"/>
      <c r="KA2990" s="37"/>
      <c r="KB2990" s="37"/>
      <c r="KC2990" s="37"/>
      <c r="KD2990" s="37"/>
      <c r="KE2990" s="37"/>
      <c r="KF2990" s="37"/>
      <c r="KG2990" s="37"/>
      <c r="KH2990" s="37"/>
      <c r="KI2990" s="37"/>
      <c r="KJ2990" s="37"/>
      <c r="KK2990" s="37"/>
      <c r="KL2990" s="37"/>
      <c r="KM2990" s="37"/>
      <c r="KN2990" s="37"/>
      <c r="KO2990" s="37"/>
      <c r="KP2990" s="37"/>
      <c r="KQ2990" s="37"/>
      <c r="KR2990" s="37"/>
      <c r="KS2990" s="37"/>
      <c r="KT2990" s="37"/>
      <c r="KU2990" s="37"/>
      <c r="KV2990" s="37"/>
      <c r="KW2990" s="37"/>
      <c r="KX2990" s="37"/>
      <c r="KY2990" s="37"/>
      <c r="KZ2990" s="37"/>
      <c r="LA2990" s="37"/>
      <c r="LB2990" s="37"/>
      <c r="LC2990" s="37"/>
      <c r="LD2990" s="37"/>
      <c r="LE2990" s="37"/>
      <c r="LF2990" s="37"/>
      <c r="LG2990" s="37"/>
      <c r="LH2990" s="37"/>
      <c r="LI2990" s="37"/>
      <c r="LJ2990" s="37"/>
      <c r="LK2990" s="37"/>
      <c r="LL2990" s="37"/>
      <c r="LM2990" s="37"/>
      <c r="LN2990" s="37"/>
      <c r="LO2990" s="37"/>
      <c r="LP2990" s="37"/>
      <c r="LQ2990" s="37"/>
      <c r="LR2990" s="37"/>
      <c r="LS2990" s="37"/>
      <c r="LT2990" s="37"/>
      <c r="LU2990" s="37"/>
      <c r="LV2990" s="37"/>
      <c r="LW2990" s="37"/>
      <c r="LX2990" s="37"/>
      <c r="LY2990" s="37"/>
      <c r="LZ2990" s="37"/>
      <c r="MA2990" s="37"/>
      <c r="MB2990" s="37"/>
      <c r="MC2990" s="37"/>
      <c r="MD2990" s="37"/>
      <c r="ME2990" s="37"/>
      <c r="MF2990" s="37"/>
      <c r="MG2990" s="37"/>
      <c r="MH2990" s="37"/>
      <c r="MI2990" s="37"/>
      <c r="MJ2990" s="37"/>
      <c r="MK2990" s="37"/>
      <c r="ML2990" s="37"/>
      <c r="MM2990" s="37"/>
      <c r="MN2990" s="37"/>
      <c r="MO2990" s="37"/>
      <c r="MP2990" s="37"/>
      <c r="MQ2990" s="37"/>
      <c r="MR2990" s="37"/>
      <c r="MS2990" s="37"/>
      <c r="MT2990" s="37"/>
      <c r="MU2990" s="37"/>
      <c r="MV2990" s="37"/>
      <c r="MW2990" s="37"/>
      <c r="MX2990" s="37"/>
      <c r="MY2990" s="37"/>
      <c r="MZ2990" s="37"/>
      <c r="NA2990" s="37"/>
      <c r="NB2990" s="37"/>
      <c r="NC2990" s="37"/>
      <c r="ND2990" s="37"/>
      <c r="NE2990" s="37"/>
      <c r="NF2990" s="37"/>
      <c r="NG2990" s="37"/>
      <c r="NH2990" s="37"/>
      <c r="NI2990" s="37"/>
      <c r="NJ2990" s="37"/>
      <c r="NK2990" s="37"/>
      <c r="NL2990" s="37"/>
      <c r="NM2990" s="37"/>
      <c r="NN2990" s="37"/>
      <c r="NO2990" s="37"/>
      <c r="NP2990" s="37"/>
      <c r="NQ2990" s="37"/>
      <c r="NR2990" s="37"/>
      <c r="NS2990" s="37"/>
      <c r="NT2990" s="37"/>
      <c r="NU2990" s="37"/>
      <c r="NV2990" s="37"/>
      <c r="NW2990" s="37"/>
      <c r="NX2990" s="37"/>
      <c r="NY2990" s="37"/>
      <c r="NZ2990" s="37"/>
      <c r="OA2990" s="37"/>
      <c r="OB2990" s="37"/>
      <c r="OC2990" s="37"/>
      <c r="OD2990" s="37"/>
      <c r="OE2990" s="37"/>
      <c r="OF2990" s="37"/>
      <c r="OG2990" s="37"/>
      <c r="OH2990" s="37"/>
      <c r="OI2990" s="37"/>
      <c r="OJ2990" s="37"/>
      <c r="OK2990" s="37"/>
      <c r="OL2990" s="37"/>
      <c r="OM2990" s="37"/>
      <c r="ON2990" s="37"/>
      <c r="OO2990" s="37"/>
      <c r="OP2990" s="37"/>
      <c r="OQ2990" s="37"/>
      <c r="OR2990" s="37"/>
      <c r="OS2990" s="37"/>
      <c r="OT2990" s="37"/>
      <c r="OU2990" s="37"/>
      <c r="OV2990" s="37"/>
      <c r="OW2990" s="37"/>
      <c r="OX2990" s="37"/>
      <c r="OY2990" s="37"/>
      <c r="OZ2990" s="37"/>
      <c r="PA2990" s="37"/>
      <c r="PB2990" s="37"/>
      <c r="PC2990" s="37"/>
      <c r="PD2990" s="37"/>
      <c r="PE2990" s="37"/>
      <c r="PF2990" s="37"/>
      <c r="PG2990" s="37"/>
      <c r="PH2990" s="37"/>
      <c r="PI2990" s="37"/>
      <c r="PJ2990" s="37"/>
      <c r="PK2990" s="37"/>
      <c r="PL2990" s="37"/>
      <c r="PM2990" s="37"/>
      <c r="PN2990" s="37"/>
      <c r="PO2990" s="37"/>
      <c r="PP2990" s="37"/>
      <c r="PQ2990" s="37"/>
      <c r="PR2990" s="37"/>
      <c r="PS2990" s="37"/>
      <c r="PT2990" s="37"/>
      <c r="PU2990" s="37"/>
      <c r="PV2990" s="37"/>
      <c r="PW2990" s="37"/>
      <c r="PX2990" s="37"/>
      <c r="PY2990" s="37"/>
      <c r="PZ2990" s="37"/>
      <c r="QA2990" s="37"/>
      <c r="QB2990" s="37"/>
      <c r="QC2990" s="37"/>
      <c r="QD2990" s="37"/>
      <c r="QE2990" s="37"/>
      <c r="QF2990" s="37"/>
      <c r="QG2990" s="37"/>
      <c r="QH2990" s="37"/>
      <c r="QI2990" s="37"/>
      <c r="QJ2990" s="37"/>
      <c r="QK2990" s="37"/>
      <c r="QL2990" s="37"/>
      <c r="QM2990" s="37"/>
      <c r="QN2990" s="37"/>
      <c r="QO2990" s="37"/>
      <c r="QP2990" s="37"/>
      <c r="QQ2990" s="37"/>
      <c r="QR2990" s="37"/>
      <c r="QS2990" s="37"/>
      <c r="QT2990" s="37"/>
      <c r="QU2990" s="37"/>
      <c r="QV2990" s="37"/>
      <c r="QW2990" s="37"/>
      <c r="QX2990" s="37"/>
      <c r="QY2990" s="37"/>
      <c r="QZ2990" s="37"/>
      <c r="RA2990" s="37"/>
      <c r="RB2990" s="37"/>
      <c r="RC2990" s="37"/>
      <c r="RD2990" s="37"/>
      <c r="RE2990" s="37"/>
      <c r="RF2990" s="37"/>
      <c r="RG2990" s="37"/>
      <c r="RH2990" s="37"/>
      <c r="RI2990" s="37"/>
      <c r="RJ2990" s="37"/>
      <c r="RK2990" s="37"/>
      <c r="RL2990" s="37"/>
      <c r="RM2990" s="37"/>
      <c r="RN2990" s="37"/>
      <c r="RO2990" s="37"/>
      <c r="RP2990" s="37"/>
      <c r="RQ2990" s="37"/>
      <c r="RR2990" s="37"/>
      <c r="RS2990" s="37"/>
      <c r="RT2990" s="37"/>
      <c r="RU2990" s="37"/>
      <c r="RV2990" s="37"/>
      <c r="RW2990" s="37"/>
      <c r="RX2990" s="37"/>
      <c r="RY2990" s="37"/>
      <c r="RZ2990" s="37"/>
      <c r="SA2990" s="37"/>
      <c r="SB2990" s="37"/>
      <c r="SC2990" s="37"/>
      <c r="SD2990" s="37"/>
      <c r="SE2990" s="37"/>
      <c r="SF2990" s="37"/>
    </row>
    <row r="2991" spans="1:500" ht="17">
      <c r="A2991" s="38"/>
      <c r="B2991" s="37"/>
      <c r="C2991" s="37"/>
      <c r="D2991" s="37"/>
      <c r="E2991" s="37"/>
      <c r="F2991" s="37"/>
      <c r="G2991" s="37"/>
      <c r="H2991" s="37"/>
      <c r="I2991" s="37"/>
      <c r="J2991" s="37"/>
      <c r="K2991" s="37"/>
      <c r="L2991" s="37"/>
      <c r="M2991" s="37"/>
      <c r="N2991" s="37"/>
      <c r="O2991" s="37"/>
      <c r="P2991" s="37"/>
      <c r="Q2991" s="37"/>
      <c r="R2991" s="37"/>
      <c r="S2991" s="37"/>
      <c r="T2991" s="37"/>
      <c r="U2991" s="37"/>
      <c r="V2991" s="37"/>
      <c r="W2991" s="37"/>
      <c r="X2991" s="37"/>
      <c r="Y2991" s="37"/>
      <c r="Z2991" s="37"/>
      <c r="AA2991" s="37"/>
      <c r="AB2991" s="37"/>
      <c r="AC2991" s="37"/>
      <c r="AD2991" s="37"/>
      <c r="AE2991" s="37"/>
      <c r="AF2991" s="37"/>
      <c r="AG2991" s="37"/>
      <c r="AH2991" s="37"/>
      <c r="AI2991" s="37"/>
      <c r="AJ2991" s="37"/>
      <c r="AK2991" s="37"/>
      <c r="AL2991" s="37"/>
      <c r="AM2991" s="37"/>
      <c r="AN2991" s="37"/>
      <c r="AO2991" s="37"/>
      <c r="AP2991" s="37"/>
      <c r="AQ2991" s="37"/>
      <c r="AR2991" s="37"/>
      <c r="AS2991" s="37"/>
      <c r="AT2991" s="37"/>
      <c r="AU2991" s="37"/>
      <c r="AV2991" s="37"/>
      <c r="AW2991" s="37"/>
      <c r="AX2991" s="37"/>
      <c r="AY2991" s="37"/>
      <c r="AZ2991" s="37"/>
      <c r="BA2991" s="37"/>
      <c r="BB2991" s="37"/>
      <c r="BC2991" s="37"/>
      <c r="BD2991" s="37"/>
      <c r="BE2991" s="37"/>
      <c r="BF2991" s="37"/>
      <c r="BG2991" s="37"/>
      <c r="BH2991" s="37"/>
      <c r="BI2991" s="37"/>
      <c r="BJ2991" s="37"/>
      <c r="BK2991" s="37"/>
      <c r="BL2991" s="37"/>
      <c r="BM2991" s="37"/>
      <c r="BN2991" s="37"/>
      <c r="BO2991" s="37"/>
      <c r="BP2991" s="37"/>
      <c r="BQ2991" s="37"/>
      <c r="BR2991" s="37"/>
      <c r="BS2991" s="37"/>
      <c r="BT2991" s="37"/>
      <c r="BU2991" s="37"/>
      <c r="BV2991" s="37"/>
      <c r="BW2991" s="37"/>
      <c r="BX2991" s="37"/>
      <c r="BY2991" s="37"/>
      <c r="BZ2991" s="37"/>
      <c r="CA2991" s="37"/>
      <c r="CB2991" s="37"/>
      <c r="CC2991" s="37"/>
      <c r="CD2991" s="37"/>
      <c r="CE2991" s="37"/>
      <c r="CF2991" s="37"/>
      <c r="CG2991" s="37"/>
      <c r="CH2991" s="37"/>
      <c r="CI2991" s="37"/>
      <c r="CJ2991" s="37"/>
      <c r="CK2991" s="37"/>
      <c r="CL2991" s="37"/>
      <c r="CM2991" s="37"/>
      <c r="CN2991" s="37"/>
      <c r="CO2991" s="37"/>
      <c r="CP2991" s="37"/>
      <c r="CQ2991" s="37"/>
      <c r="CR2991" s="37"/>
      <c r="CS2991" s="37"/>
      <c r="CT2991" s="37"/>
      <c r="CU2991" s="37"/>
      <c r="CV2991" s="37"/>
      <c r="CW2991" s="37"/>
      <c r="CX2991" s="37"/>
      <c r="CY2991" s="37"/>
      <c r="CZ2991" s="37"/>
      <c r="DA2991" s="37"/>
      <c r="DB2991" s="37"/>
      <c r="DC2991" s="37"/>
      <c r="DD2991" s="37"/>
      <c r="DE2991" s="37"/>
      <c r="DF2991" s="37"/>
      <c r="DG2991" s="37"/>
      <c r="DH2991" s="37"/>
      <c r="DI2991" s="37"/>
      <c r="DJ2991" s="37"/>
      <c r="DK2991" s="37"/>
      <c r="DL2991" s="37"/>
      <c r="DM2991" s="37"/>
      <c r="DN2991" s="37"/>
      <c r="DO2991" s="37"/>
      <c r="DP2991" s="37"/>
      <c r="DQ2991" s="37"/>
      <c r="DR2991" s="37"/>
      <c r="DS2991" s="37"/>
      <c r="DT2991" s="37"/>
      <c r="DU2991" s="37"/>
      <c r="DV2991" s="37"/>
      <c r="DW2991" s="37"/>
      <c r="DX2991" s="37"/>
      <c r="DY2991" s="37"/>
      <c r="DZ2991" s="37"/>
      <c r="EA2991" s="37"/>
      <c r="EB2991" s="37"/>
      <c r="EC2991" s="37"/>
      <c r="ED2991" s="37"/>
      <c r="EE2991" s="37"/>
      <c r="EF2991" s="37"/>
      <c r="EG2991" s="37"/>
      <c r="EH2991" s="37"/>
      <c r="EI2991" s="37"/>
      <c r="EJ2991" s="37"/>
      <c r="EK2991" s="37"/>
      <c r="EL2991" s="37"/>
      <c r="EM2991" s="37"/>
      <c r="EN2991" s="37"/>
      <c r="EO2991" s="37"/>
      <c r="EP2991" s="37"/>
      <c r="EQ2991" s="37"/>
      <c r="ER2991" s="37"/>
      <c r="ES2991" s="37"/>
      <c r="ET2991" s="37"/>
      <c r="EU2991" s="37"/>
      <c r="EV2991" s="37"/>
      <c r="EW2991" s="37"/>
      <c r="EX2991" s="37"/>
      <c r="EY2991" s="37"/>
      <c r="EZ2991" s="37"/>
      <c r="FA2991" s="37"/>
      <c r="FB2991" s="37"/>
      <c r="FC2991" s="37"/>
      <c r="FD2991" s="37"/>
      <c r="FE2991" s="37"/>
      <c r="FF2991" s="37"/>
      <c r="FG2991" s="37"/>
      <c r="FH2991" s="37"/>
      <c r="FI2991" s="37"/>
      <c r="FJ2991" s="37"/>
      <c r="FK2991" s="37"/>
      <c r="FL2991" s="37"/>
      <c r="FM2991" s="37"/>
      <c r="FN2991" s="37"/>
      <c r="FO2991" s="37"/>
      <c r="FP2991" s="37"/>
      <c r="FQ2991" s="37"/>
      <c r="FR2991" s="37"/>
      <c r="FS2991" s="37"/>
      <c r="FT2991" s="37"/>
      <c r="FU2991" s="37"/>
      <c r="FV2991" s="37"/>
      <c r="FW2991" s="37"/>
      <c r="FX2991" s="37"/>
      <c r="FY2991" s="37"/>
      <c r="FZ2991" s="37"/>
      <c r="GA2991" s="37"/>
      <c r="GB2991" s="37"/>
      <c r="GC2991" s="37"/>
      <c r="GD2991" s="37"/>
      <c r="GE2991" s="37"/>
      <c r="GF2991" s="37"/>
      <c r="GG2991" s="37"/>
      <c r="GH2991" s="37"/>
      <c r="GI2991" s="37"/>
      <c r="GJ2991" s="37"/>
      <c r="GK2991" s="37"/>
      <c r="GL2991" s="37"/>
      <c r="GM2991" s="37"/>
      <c r="GN2991" s="37"/>
      <c r="GO2991" s="37"/>
      <c r="GP2991" s="37"/>
      <c r="GQ2991" s="37"/>
      <c r="GR2991" s="37"/>
      <c r="GS2991" s="37"/>
      <c r="GT2991" s="37"/>
      <c r="GU2991" s="37"/>
      <c r="GV2991" s="37"/>
      <c r="GW2991" s="37"/>
      <c r="GX2991" s="37"/>
      <c r="GY2991" s="37"/>
      <c r="GZ2991" s="37"/>
      <c r="HA2991" s="37"/>
      <c r="HB2991" s="37"/>
      <c r="HC2991" s="37"/>
      <c r="HD2991" s="37"/>
      <c r="HE2991" s="37"/>
      <c r="HF2991" s="37"/>
      <c r="HG2991" s="37"/>
      <c r="HH2991" s="37"/>
      <c r="HI2991" s="37"/>
      <c r="HJ2991" s="37"/>
      <c r="HK2991" s="37"/>
      <c r="HL2991" s="37"/>
      <c r="HM2991" s="37"/>
      <c r="HN2991" s="37"/>
      <c r="HO2991" s="37"/>
      <c r="HP2991" s="37"/>
      <c r="HQ2991" s="37"/>
      <c r="HR2991" s="37"/>
      <c r="HS2991" s="37"/>
      <c r="HT2991" s="37"/>
      <c r="HU2991" s="37"/>
      <c r="HV2991" s="37"/>
      <c r="HW2991" s="37"/>
      <c r="HX2991" s="37"/>
      <c r="HY2991" s="37"/>
      <c r="HZ2991" s="37"/>
      <c r="IA2991" s="37"/>
      <c r="IB2991" s="37"/>
      <c r="IC2991" s="37"/>
      <c r="ID2991" s="37"/>
      <c r="IE2991" s="37"/>
      <c r="IF2991" s="37"/>
      <c r="IG2991" s="37"/>
      <c r="IH2991" s="37"/>
      <c r="II2991" s="37"/>
      <c r="IJ2991" s="37"/>
      <c r="IK2991" s="37"/>
      <c r="IL2991" s="37"/>
      <c r="IM2991" s="37"/>
      <c r="IN2991" s="37"/>
      <c r="IO2991" s="37"/>
      <c r="IP2991" s="37"/>
      <c r="IQ2991" s="37"/>
      <c r="IR2991" s="37"/>
      <c r="IS2991" s="37"/>
      <c r="IT2991" s="37"/>
      <c r="IU2991" s="37"/>
      <c r="IV2991" s="37"/>
      <c r="IW2991" s="37"/>
      <c r="IX2991" s="37"/>
      <c r="IY2991" s="37"/>
      <c r="IZ2991" s="37"/>
      <c r="JA2991" s="37"/>
      <c r="JB2991" s="37"/>
      <c r="JC2991" s="37"/>
      <c r="JD2991" s="37"/>
      <c r="JE2991" s="37"/>
      <c r="JF2991" s="37"/>
      <c r="JG2991" s="37"/>
      <c r="JH2991" s="37"/>
      <c r="JI2991" s="37"/>
      <c r="JJ2991" s="37"/>
      <c r="JK2991" s="37"/>
      <c r="JL2991" s="37"/>
      <c r="JM2991" s="37"/>
      <c r="JN2991" s="37"/>
      <c r="JO2991" s="37"/>
      <c r="JP2991" s="37"/>
      <c r="JQ2991" s="37"/>
      <c r="JR2991" s="37"/>
      <c r="JS2991" s="37"/>
      <c r="JT2991" s="37"/>
      <c r="JU2991" s="37"/>
      <c r="JV2991" s="37"/>
      <c r="JW2991" s="37"/>
      <c r="JX2991" s="37"/>
      <c r="JY2991" s="37"/>
      <c r="JZ2991" s="37"/>
      <c r="KA2991" s="37"/>
      <c r="KB2991" s="37"/>
      <c r="KC2991" s="37"/>
      <c r="KD2991" s="37"/>
      <c r="KE2991" s="37"/>
      <c r="KF2991" s="37"/>
      <c r="KG2991" s="37"/>
      <c r="KH2991" s="37"/>
      <c r="KI2991" s="37"/>
      <c r="KJ2991" s="37"/>
      <c r="KK2991" s="37"/>
      <c r="KL2991" s="37"/>
      <c r="KM2991" s="37"/>
      <c r="KN2991" s="37"/>
      <c r="KO2991" s="37"/>
      <c r="KP2991" s="37"/>
      <c r="KQ2991" s="37"/>
      <c r="KR2991" s="37"/>
      <c r="KS2991" s="37"/>
      <c r="KT2991" s="37"/>
      <c r="KU2991" s="37"/>
      <c r="KV2991" s="37"/>
      <c r="KW2991" s="37"/>
      <c r="KX2991" s="37"/>
      <c r="KY2991" s="37"/>
      <c r="KZ2991" s="37"/>
      <c r="LA2991" s="37"/>
      <c r="LB2991" s="37"/>
      <c r="LC2991" s="37"/>
      <c r="LD2991" s="37"/>
      <c r="LE2991" s="37"/>
      <c r="LF2991" s="37"/>
      <c r="LG2991" s="37"/>
      <c r="LH2991" s="37"/>
      <c r="LI2991" s="37"/>
      <c r="LJ2991" s="37"/>
      <c r="LK2991" s="37"/>
      <c r="LL2991" s="37"/>
      <c r="LM2991" s="37"/>
      <c r="LN2991" s="37"/>
      <c r="LO2991" s="37"/>
      <c r="LP2991" s="37"/>
      <c r="LQ2991" s="37"/>
      <c r="LR2991" s="37"/>
      <c r="LS2991" s="37"/>
      <c r="LT2991" s="37"/>
      <c r="LU2991" s="37"/>
      <c r="LV2991" s="37"/>
      <c r="LW2991" s="37"/>
      <c r="LX2991" s="37"/>
      <c r="LY2991" s="37"/>
      <c r="LZ2991" s="37"/>
      <c r="MA2991" s="37"/>
      <c r="MB2991" s="37"/>
      <c r="MC2991" s="37"/>
      <c r="MD2991" s="37"/>
      <c r="ME2991" s="37"/>
      <c r="MF2991" s="37"/>
      <c r="MG2991" s="37"/>
      <c r="MH2991" s="37"/>
      <c r="MI2991" s="37"/>
      <c r="MJ2991" s="37"/>
      <c r="MK2991" s="37"/>
      <c r="ML2991" s="37"/>
      <c r="MM2991" s="37"/>
      <c r="MN2991" s="37"/>
      <c r="MO2991" s="37"/>
      <c r="MP2991" s="37"/>
      <c r="MQ2991" s="37"/>
      <c r="MR2991" s="37"/>
      <c r="MS2991" s="37"/>
      <c r="MT2991" s="37"/>
      <c r="MU2991" s="37"/>
      <c r="MV2991" s="37"/>
      <c r="MW2991" s="37"/>
      <c r="MX2991" s="37"/>
      <c r="MY2991" s="37"/>
      <c r="MZ2991" s="37"/>
      <c r="NA2991" s="37"/>
      <c r="NB2991" s="37"/>
      <c r="NC2991" s="37"/>
      <c r="ND2991" s="37"/>
      <c r="NE2991" s="37"/>
      <c r="NF2991" s="37"/>
      <c r="NG2991" s="37"/>
      <c r="NH2991" s="37"/>
      <c r="NI2991" s="37"/>
      <c r="NJ2991" s="37"/>
      <c r="NK2991" s="37"/>
      <c r="NL2991" s="37"/>
      <c r="NM2991" s="37"/>
      <c r="NN2991" s="37"/>
      <c r="NO2991" s="37"/>
      <c r="NP2991" s="37"/>
      <c r="NQ2991" s="37"/>
      <c r="NR2991" s="37"/>
      <c r="NS2991" s="37"/>
      <c r="NT2991" s="37"/>
      <c r="NU2991" s="37"/>
      <c r="NV2991" s="37"/>
      <c r="NW2991" s="37"/>
      <c r="NX2991" s="37"/>
      <c r="NY2991" s="37"/>
      <c r="NZ2991" s="37"/>
      <c r="OA2991" s="37"/>
      <c r="OB2991" s="37"/>
      <c r="OC2991" s="37"/>
      <c r="OD2991" s="37"/>
      <c r="OE2991" s="37"/>
      <c r="OF2991" s="37"/>
      <c r="OG2991" s="37"/>
      <c r="OH2991" s="37"/>
      <c r="OI2991" s="37"/>
      <c r="OJ2991" s="37"/>
      <c r="OK2991" s="37"/>
      <c r="OL2991" s="37"/>
      <c r="OM2991" s="37"/>
      <c r="ON2991" s="37"/>
      <c r="OO2991" s="37"/>
      <c r="OP2991" s="37"/>
      <c r="OQ2991" s="37"/>
      <c r="OR2991" s="37"/>
      <c r="OS2991" s="37"/>
      <c r="OT2991" s="37"/>
      <c r="OU2991" s="37"/>
      <c r="OV2991" s="37"/>
      <c r="OW2991" s="37"/>
      <c r="OX2991" s="37"/>
      <c r="OY2991" s="37"/>
      <c r="OZ2991" s="37"/>
      <c r="PA2991" s="37"/>
      <c r="PB2991" s="37"/>
      <c r="PC2991" s="37"/>
      <c r="PD2991" s="37"/>
      <c r="PE2991" s="37"/>
      <c r="PF2991" s="37"/>
      <c r="PG2991" s="37"/>
      <c r="PH2991" s="37"/>
      <c r="PI2991" s="37"/>
      <c r="PJ2991" s="37"/>
      <c r="PK2991" s="37"/>
      <c r="PL2991" s="37"/>
      <c r="PM2991" s="37"/>
      <c r="PN2991" s="37"/>
      <c r="PO2991" s="37"/>
      <c r="PP2991" s="37"/>
      <c r="PQ2991" s="37"/>
      <c r="PR2991" s="37"/>
      <c r="PS2991" s="37"/>
      <c r="PT2991" s="37"/>
      <c r="PU2991" s="37"/>
      <c r="PV2991" s="37"/>
      <c r="PW2991" s="37"/>
      <c r="PX2991" s="37"/>
      <c r="PY2991" s="37"/>
      <c r="PZ2991" s="37"/>
      <c r="QA2991" s="37"/>
      <c r="QB2991" s="37"/>
      <c r="QC2991" s="37"/>
      <c r="QD2991" s="37"/>
      <c r="QE2991" s="37"/>
      <c r="QF2991" s="37"/>
      <c r="QG2991" s="37"/>
      <c r="QH2991" s="37"/>
      <c r="QI2991" s="37"/>
      <c r="QJ2991" s="37"/>
      <c r="QK2991" s="37"/>
      <c r="QL2991" s="37"/>
      <c r="QM2991" s="37"/>
      <c r="QN2991" s="37"/>
      <c r="QO2991" s="37"/>
      <c r="QP2991" s="37"/>
      <c r="QQ2991" s="37"/>
      <c r="QR2991" s="37"/>
      <c r="QS2991" s="37"/>
      <c r="QT2991" s="37"/>
      <c r="QU2991" s="37"/>
      <c r="QV2991" s="37"/>
      <c r="QW2991" s="37"/>
      <c r="QX2991" s="37"/>
      <c r="QY2991" s="37"/>
      <c r="QZ2991" s="37"/>
      <c r="RA2991" s="37"/>
      <c r="RB2991" s="37"/>
      <c r="RC2991" s="37"/>
      <c r="RD2991" s="37"/>
      <c r="RE2991" s="37"/>
      <c r="RF2991" s="37"/>
      <c r="RG2991" s="37"/>
      <c r="RH2991" s="37"/>
      <c r="RI2991" s="37"/>
      <c r="RJ2991" s="37"/>
      <c r="RK2991" s="37"/>
      <c r="RL2991" s="37"/>
      <c r="RM2991" s="37"/>
      <c r="RN2991" s="37"/>
      <c r="RO2991" s="37"/>
      <c r="RP2991" s="37"/>
      <c r="RQ2991" s="37"/>
      <c r="RR2991" s="37"/>
      <c r="RS2991" s="37"/>
      <c r="RT2991" s="37"/>
      <c r="RU2991" s="37"/>
      <c r="RV2991" s="37"/>
      <c r="RW2991" s="37"/>
      <c r="RX2991" s="37"/>
      <c r="RY2991" s="37"/>
      <c r="RZ2991" s="37"/>
      <c r="SA2991" s="37"/>
      <c r="SB2991" s="37"/>
      <c r="SC2991" s="37"/>
      <c r="SD2991" s="37"/>
      <c r="SE2991" s="37"/>
      <c r="SF2991" s="37"/>
    </row>
    <row r="2992" spans="1:500">
      <c r="A2992" s="37"/>
      <c r="B2992" s="37"/>
      <c r="C2992" s="37"/>
      <c r="D2992" s="37"/>
      <c r="E2992" s="37"/>
      <c r="F2992" s="37"/>
      <c r="G2992" s="37"/>
      <c r="H2992" s="37"/>
      <c r="I2992" s="37"/>
      <c r="J2992" s="37"/>
      <c r="K2992" s="37"/>
      <c r="L2992" s="37"/>
      <c r="M2992" s="37"/>
      <c r="N2992" s="37"/>
      <c r="O2992" s="37"/>
      <c r="P2992" s="37"/>
      <c r="Q2992" s="37"/>
      <c r="R2992" s="37"/>
      <c r="S2992" s="37"/>
      <c r="T2992" s="37"/>
      <c r="U2992" s="37"/>
      <c r="V2992" s="37"/>
      <c r="W2992" s="37"/>
      <c r="X2992" s="37"/>
      <c r="Y2992" s="37"/>
      <c r="Z2992" s="37"/>
      <c r="AA2992" s="37"/>
      <c r="AB2992" s="37"/>
      <c r="AC2992" s="37"/>
      <c r="AD2992" s="37"/>
      <c r="AE2992" s="37"/>
      <c r="AF2992" s="37"/>
      <c r="AG2992" s="37"/>
      <c r="AH2992" s="37"/>
      <c r="AI2992" s="37"/>
      <c r="AJ2992" s="37"/>
      <c r="AK2992" s="37"/>
      <c r="AL2992" s="37"/>
      <c r="AM2992" s="37"/>
      <c r="AN2992" s="37"/>
      <c r="AO2992" s="37"/>
      <c r="AP2992" s="37"/>
      <c r="AQ2992" s="37"/>
      <c r="AR2992" s="37"/>
      <c r="AS2992" s="37"/>
      <c r="AT2992" s="37"/>
      <c r="AU2992" s="37"/>
      <c r="AV2992" s="37"/>
      <c r="AW2992" s="37"/>
      <c r="AX2992" s="37"/>
      <c r="AY2992" s="37"/>
      <c r="AZ2992" s="37"/>
      <c r="BA2992" s="37"/>
      <c r="BB2992" s="37"/>
      <c r="BC2992" s="37"/>
      <c r="BD2992" s="37"/>
      <c r="BE2992" s="37"/>
      <c r="BF2992" s="37"/>
      <c r="BG2992" s="37"/>
      <c r="BH2992" s="37"/>
      <c r="BI2992" s="37"/>
      <c r="BJ2992" s="37"/>
      <c r="BK2992" s="37"/>
      <c r="BL2992" s="37"/>
      <c r="BM2992" s="37"/>
      <c r="BN2992" s="37"/>
      <c r="BO2992" s="37"/>
      <c r="BP2992" s="37"/>
      <c r="BQ2992" s="37"/>
      <c r="BR2992" s="37"/>
      <c r="BS2992" s="37"/>
      <c r="BT2992" s="37"/>
      <c r="BU2992" s="37"/>
      <c r="BV2992" s="37"/>
      <c r="BW2992" s="37"/>
      <c r="BX2992" s="37"/>
      <c r="BY2992" s="37"/>
      <c r="BZ2992" s="37"/>
      <c r="CA2992" s="37"/>
      <c r="CB2992" s="37"/>
      <c r="CC2992" s="37"/>
      <c r="CD2992" s="37"/>
      <c r="CE2992" s="37"/>
      <c r="CF2992" s="37"/>
      <c r="CG2992" s="37"/>
      <c r="CH2992" s="37"/>
      <c r="CI2992" s="37"/>
      <c r="CJ2992" s="37"/>
      <c r="CK2992" s="37"/>
      <c r="CL2992" s="37"/>
      <c r="CM2992" s="37"/>
      <c r="CN2992" s="37"/>
      <c r="CO2992" s="37"/>
      <c r="CP2992" s="37"/>
      <c r="CQ2992" s="37"/>
      <c r="CR2992" s="37"/>
      <c r="CS2992" s="37"/>
      <c r="CT2992" s="37"/>
      <c r="CU2992" s="37"/>
      <c r="CV2992" s="37"/>
      <c r="CW2992" s="37"/>
      <c r="CX2992" s="37"/>
      <c r="CY2992" s="37"/>
      <c r="CZ2992" s="37"/>
      <c r="DA2992" s="37"/>
      <c r="DB2992" s="37"/>
      <c r="DC2992" s="37"/>
      <c r="DD2992" s="37"/>
      <c r="DE2992" s="37"/>
      <c r="DF2992" s="37"/>
      <c r="DG2992" s="37"/>
      <c r="DH2992" s="37"/>
      <c r="DI2992" s="37"/>
      <c r="DJ2992" s="37"/>
      <c r="DK2992" s="37"/>
      <c r="DL2992" s="37"/>
      <c r="DM2992" s="37"/>
      <c r="DN2992" s="37"/>
      <c r="DO2992" s="37"/>
      <c r="DP2992" s="37"/>
      <c r="DQ2992" s="37"/>
      <c r="DR2992" s="37"/>
      <c r="DS2992" s="37"/>
      <c r="DT2992" s="37"/>
      <c r="DU2992" s="37"/>
      <c r="DV2992" s="37"/>
      <c r="DW2992" s="37"/>
      <c r="DX2992" s="37"/>
      <c r="DY2992" s="37"/>
      <c r="DZ2992" s="37"/>
      <c r="EA2992" s="37"/>
      <c r="EB2992" s="37"/>
      <c r="EC2992" s="37"/>
      <c r="ED2992" s="37"/>
      <c r="EE2992" s="37"/>
      <c r="EF2992" s="37"/>
      <c r="EG2992" s="37"/>
      <c r="EH2992" s="37"/>
      <c r="EI2992" s="37"/>
      <c r="EJ2992" s="37"/>
      <c r="EK2992" s="37"/>
      <c r="EL2992" s="37"/>
      <c r="EM2992" s="37"/>
      <c r="EN2992" s="37"/>
      <c r="EO2992" s="37"/>
      <c r="EP2992" s="37"/>
      <c r="EQ2992" s="37"/>
      <c r="ER2992" s="37"/>
      <c r="ES2992" s="37"/>
      <c r="ET2992" s="37"/>
      <c r="EU2992" s="37"/>
      <c r="EV2992" s="37"/>
      <c r="EW2992" s="37"/>
      <c r="EX2992" s="37"/>
      <c r="EY2992" s="37"/>
      <c r="EZ2992" s="37"/>
      <c r="FA2992" s="37"/>
      <c r="FB2992" s="37"/>
      <c r="FC2992" s="37"/>
      <c r="FD2992" s="37"/>
      <c r="FE2992" s="37"/>
      <c r="FF2992" s="37"/>
      <c r="FG2992" s="37"/>
      <c r="FH2992" s="37"/>
      <c r="FI2992" s="37"/>
      <c r="FJ2992" s="37"/>
      <c r="FK2992" s="37"/>
      <c r="FL2992" s="37"/>
      <c r="FM2992" s="37"/>
      <c r="FN2992" s="37"/>
      <c r="FO2992" s="37"/>
      <c r="FP2992" s="37"/>
      <c r="FQ2992" s="37"/>
      <c r="FR2992" s="37"/>
      <c r="FS2992" s="37"/>
      <c r="FT2992" s="37"/>
      <c r="FU2992" s="37"/>
      <c r="FV2992" s="37"/>
      <c r="FW2992" s="37"/>
      <c r="FX2992" s="37"/>
      <c r="FY2992" s="37"/>
      <c r="FZ2992" s="37"/>
      <c r="GA2992" s="37"/>
      <c r="GB2992" s="37"/>
      <c r="GC2992" s="37"/>
      <c r="GD2992" s="37"/>
      <c r="GE2992" s="37"/>
      <c r="GF2992" s="37"/>
      <c r="GG2992" s="37"/>
      <c r="GH2992" s="37"/>
      <c r="GI2992" s="37"/>
      <c r="GJ2992" s="37"/>
      <c r="GK2992" s="37"/>
      <c r="GL2992" s="37"/>
      <c r="GM2992" s="37"/>
      <c r="GN2992" s="37"/>
      <c r="GO2992" s="37"/>
      <c r="GP2992" s="37"/>
      <c r="GQ2992" s="37"/>
      <c r="GR2992" s="37"/>
      <c r="GS2992" s="37"/>
      <c r="GT2992" s="37"/>
      <c r="GU2992" s="37"/>
      <c r="GV2992" s="37"/>
      <c r="GW2992" s="37"/>
      <c r="GX2992" s="37"/>
      <c r="GY2992" s="37"/>
      <c r="GZ2992" s="37"/>
      <c r="HA2992" s="37"/>
      <c r="HB2992" s="37"/>
      <c r="HC2992" s="37"/>
      <c r="HD2992" s="37"/>
      <c r="HE2992" s="37"/>
      <c r="HF2992" s="37"/>
      <c r="HG2992" s="37"/>
      <c r="HH2992" s="37"/>
      <c r="HI2992" s="37"/>
      <c r="HJ2992" s="37"/>
      <c r="HK2992" s="37"/>
      <c r="HL2992" s="37"/>
      <c r="HM2992" s="37"/>
      <c r="HN2992" s="37"/>
      <c r="HO2992" s="37"/>
      <c r="HP2992" s="37"/>
      <c r="HQ2992" s="37"/>
      <c r="HR2992" s="37"/>
      <c r="HS2992" s="37"/>
      <c r="HT2992" s="37"/>
      <c r="HU2992" s="37"/>
      <c r="HV2992" s="37"/>
      <c r="HW2992" s="37"/>
      <c r="HX2992" s="37"/>
      <c r="HY2992" s="37"/>
      <c r="HZ2992" s="37"/>
      <c r="IA2992" s="37"/>
      <c r="IB2992" s="37"/>
      <c r="IC2992" s="37"/>
      <c r="ID2992" s="37"/>
      <c r="IE2992" s="37"/>
      <c r="IF2992" s="37"/>
      <c r="IG2992" s="37"/>
      <c r="IH2992" s="37"/>
      <c r="II2992" s="37"/>
      <c r="IJ2992" s="37"/>
      <c r="IK2992" s="37"/>
      <c r="IL2992" s="37"/>
      <c r="IM2992" s="37"/>
      <c r="IN2992" s="37"/>
      <c r="IO2992" s="37"/>
      <c r="IP2992" s="37"/>
      <c r="IQ2992" s="37"/>
      <c r="IR2992" s="37"/>
      <c r="IS2992" s="37"/>
      <c r="IT2992" s="37"/>
      <c r="IU2992" s="37"/>
      <c r="IV2992" s="37"/>
      <c r="IW2992" s="37"/>
      <c r="IX2992" s="37"/>
      <c r="IY2992" s="37"/>
      <c r="IZ2992" s="37"/>
      <c r="JA2992" s="37"/>
      <c r="JB2992" s="37"/>
      <c r="JC2992" s="37"/>
      <c r="JD2992" s="37"/>
      <c r="JE2992" s="37"/>
      <c r="JF2992" s="37"/>
      <c r="JG2992" s="37"/>
      <c r="JH2992" s="37"/>
      <c r="JI2992" s="37"/>
      <c r="JJ2992" s="37"/>
      <c r="JK2992" s="37"/>
      <c r="JL2992" s="37"/>
      <c r="JM2992" s="37"/>
      <c r="JN2992" s="37"/>
      <c r="JO2992" s="37"/>
      <c r="JP2992" s="37"/>
      <c r="JQ2992" s="37"/>
      <c r="JR2992" s="37"/>
      <c r="JS2992" s="37"/>
      <c r="JT2992" s="37"/>
      <c r="JU2992" s="37"/>
      <c r="JV2992" s="37"/>
      <c r="JW2992" s="37"/>
      <c r="JX2992" s="37"/>
      <c r="JY2992" s="37"/>
      <c r="JZ2992" s="37"/>
      <c r="KA2992" s="37"/>
      <c r="KB2992" s="37"/>
      <c r="KC2992" s="37"/>
      <c r="KD2992" s="37"/>
      <c r="KE2992" s="37"/>
      <c r="KF2992" s="37"/>
      <c r="KG2992" s="37"/>
      <c r="KH2992" s="37"/>
      <c r="KI2992" s="37"/>
      <c r="KJ2992" s="37"/>
      <c r="KK2992" s="37"/>
      <c r="KL2992" s="37"/>
      <c r="KM2992" s="37"/>
      <c r="KN2992" s="37"/>
      <c r="KO2992" s="37"/>
      <c r="KP2992" s="37"/>
      <c r="KQ2992" s="37"/>
      <c r="KR2992" s="37"/>
      <c r="KS2992" s="37"/>
      <c r="KT2992" s="37"/>
      <c r="KU2992" s="37"/>
      <c r="KV2992" s="37"/>
      <c r="KW2992" s="37"/>
      <c r="KX2992" s="37"/>
      <c r="KY2992" s="37"/>
      <c r="KZ2992" s="37"/>
      <c r="LA2992" s="37"/>
      <c r="LB2992" s="37"/>
      <c r="LC2992" s="37"/>
      <c r="LD2992" s="37"/>
      <c r="LE2992" s="37"/>
      <c r="LF2992" s="37"/>
      <c r="LG2992" s="37"/>
      <c r="LH2992" s="37"/>
      <c r="LI2992" s="37"/>
      <c r="LJ2992" s="37"/>
      <c r="LK2992" s="37"/>
      <c r="LL2992" s="37"/>
      <c r="LM2992" s="37"/>
      <c r="LN2992" s="37"/>
      <c r="LO2992" s="37"/>
      <c r="LP2992" s="37"/>
      <c r="LQ2992" s="37"/>
      <c r="LR2992" s="37"/>
      <c r="LS2992" s="37"/>
      <c r="LT2992" s="37"/>
      <c r="LU2992" s="37"/>
      <c r="LV2992" s="37"/>
      <c r="LW2992" s="37"/>
      <c r="LX2992" s="37"/>
      <c r="LY2992" s="37"/>
      <c r="LZ2992" s="37"/>
      <c r="MA2992" s="37"/>
      <c r="MB2992" s="37"/>
      <c r="MC2992" s="37"/>
      <c r="MD2992" s="37"/>
      <c r="ME2992" s="37"/>
      <c r="MF2992" s="37"/>
      <c r="MG2992" s="37"/>
      <c r="MH2992" s="37"/>
      <c r="MI2992" s="37"/>
      <c r="MJ2992" s="37"/>
      <c r="MK2992" s="37"/>
      <c r="ML2992" s="37"/>
      <c r="MM2992" s="37"/>
      <c r="MN2992" s="37"/>
      <c r="MO2992" s="37"/>
      <c r="MP2992" s="37"/>
      <c r="MQ2992" s="37"/>
      <c r="MR2992" s="37"/>
      <c r="MS2992" s="37"/>
      <c r="MT2992" s="37"/>
      <c r="MU2992" s="37"/>
      <c r="MV2992" s="37"/>
      <c r="MW2992" s="37"/>
      <c r="MX2992" s="37"/>
      <c r="MY2992" s="37"/>
      <c r="MZ2992" s="37"/>
      <c r="NA2992" s="37"/>
      <c r="NB2992" s="37"/>
      <c r="NC2992" s="37"/>
      <c r="ND2992" s="37"/>
      <c r="NE2992" s="37"/>
      <c r="NF2992" s="37"/>
      <c r="NG2992" s="37"/>
      <c r="NH2992" s="37"/>
      <c r="NI2992" s="37"/>
      <c r="NJ2992" s="37"/>
      <c r="NK2992" s="37"/>
      <c r="NL2992" s="37"/>
      <c r="NM2992" s="37"/>
      <c r="NN2992" s="37"/>
      <c r="NO2992" s="37"/>
      <c r="NP2992" s="37"/>
      <c r="NQ2992" s="37"/>
      <c r="NR2992" s="37"/>
      <c r="NS2992" s="37"/>
      <c r="NT2992" s="37"/>
      <c r="NU2992" s="37"/>
      <c r="NV2992" s="37"/>
      <c r="NW2992" s="37"/>
      <c r="NX2992" s="37"/>
      <c r="NY2992" s="37"/>
      <c r="NZ2992" s="37"/>
      <c r="OA2992" s="37"/>
      <c r="OB2992" s="37"/>
      <c r="OC2992" s="37"/>
      <c r="OD2992" s="37"/>
      <c r="OE2992" s="37"/>
      <c r="OF2992" s="37"/>
      <c r="OG2992" s="37"/>
      <c r="OH2992" s="37"/>
      <c r="OI2992" s="37"/>
      <c r="OJ2992" s="37"/>
      <c r="OK2992" s="37"/>
      <c r="OL2992" s="37"/>
      <c r="OM2992" s="37"/>
      <c r="ON2992" s="37"/>
      <c r="OO2992" s="37"/>
      <c r="OP2992" s="37"/>
      <c r="OQ2992" s="37"/>
      <c r="OR2992" s="37"/>
      <c r="OS2992" s="37"/>
      <c r="OT2992" s="37"/>
      <c r="OU2992" s="37"/>
      <c r="OV2992" s="37"/>
      <c r="OW2992" s="37"/>
      <c r="OX2992" s="37"/>
      <c r="OY2992" s="37"/>
      <c r="OZ2992" s="37"/>
      <c r="PA2992" s="37"/>
      <c r="PB2992" s="37"/>
      <c r="PC2992" s="37"/>
      <c r="PD2992" s="37"/>
      <c r="PE2992" s="37"/>
      <c r="PF2992" s="37"/>
      <c r="PG2992" s="37"/>
      <c r="PH2992" s="37"/>
      <c r="PI2992" s="37"/>
      <c r="PJ2992" s="37"/>
      <c r="PK2992" s="37"/>
      <c r="PL2992" s="37"/>
      <c r="PM2992" s="37"/>
      <c r="PN2992" s="37"/>
      <c r="PO2992" s="37"/>
      <c r="PP2992" s="37"/>
      <c r="PQ2992" s="37"/>
      <c r="PR2992" s="37"/>
      <c r="PS2992" s="37"/>
      <c r="PT2992" s="37"/>
      <c r="PU2992" s="37"/>
      <c r="PV2992" s="37"/>
      <c r="PW2992" s="37"/>
      <c r="PX2992" s="37"/>
      <c r="PY2992" s="37"/>
      <c r="PZ2992" s="37"/>
      <c r="QA2992" s="37"/>
      <c r="QB2992" s="37"/>
      <c r="QC2992" s="37"/>
      <c r="QD2992" s="37"/>
      <c r="QE2992" s="37"/>
      <c r="QF2992" s="37"/>
      <c r="QG2992" s="37"/>
      <c r="QH2992" s="37"/>
      <c r="QI2992" s="37"/>
      <c r="QJ2992" s="37"/>
      <c r="QK2992" s="37"/>
      <c r="QL2992" s="37"/>
      <c r="QM2992" s="37"/>
      <c r="QN2992" s="37"/>
      <c r="QO2992" s="37"/>
      <c r="QP2992" s="37"/>
      <c r="QQ2992" s="37"/>
      <c r="QR2992" s="37"/>
      <c r="QS2992" s="37"/>
      <c r="QT2992" s="37"/>
      <c r="QU2992" s="37"/>
      <c r="QV2992" s="37"/>
      <c r="QW2992" s="37"/>
      <c r="QX2992" s="37"/>
      <c r="QY2992" s="37"/>
      <c r="QZ2992" s="37"/>
      <c r="RA2992" s="37"/>
      <c r="RB2992" s="37"/>
      <c r="RC2992" s="37"/>
      <c r="RD2992" s="37"/>
      <c r="RE2992" s="37"/>
      <c r="RF2992" s="37"/>
      <c r="RG2992" s="37"/>
      <c r="RH2992" s="37"/>
      <c r="RI2992" s="37"/>
      <c r="RJ2992" s="37"/>
      <c r="RK2992" s="37"/>
      <c r="RL2992" s="37"/>
      <c r="RM2992" s="37"/>
      <c r="RN2992" s="37"/>
      <c r="RO2992" s="37"/>
      <c r="RP2992" s="37"/>
      <c r="RQ2992" s="37"/>
      <c r="RR2992" s="37"/>
      <c r="RS2992" s="37"/>
      <c r="RT2992" s="37"/>
      <c r="RU2992" s="37"/>
      <c r="RV2992" s="37"/>
      <c r="RW2992" s="37"/>
      <c r="RX2992" s="37"/>
      <c r="RY2992" s="37"/>
      <c r="RZ2992" s="37"/>
      <c r="SA2992" s="37"/>
      <c r="SB2992" s="37"/>
      <c r="SC2992" s="37"/>
      <c r="SD2992" s="37"/>
      <c r="SE2992" s="37"/>
      <c r="SF2992" s="37"/>
    </row>
    <row r="2993" spans="1:500">
      <c r="A2993" s="37"/>
      <c r="B2993" s="37"/>
      <c r="C2993" s="37"/>
      <c r="D2993" s="37"/>
      <c r="E2993" s="37"/>
      <c r="F2993" s="37"/>
      <c r="G2993" s="37"/>
      <c r="H2993" s="37"/>
      <c r="I2993" s="37"/>
      <c r="J2993" s="37"/>
      <c r="K2993" s="37"/>
      <c r="L2993" s="37"/>
      <c r="M2993" s="37"/>
      <c r="N2993" s="37"/>
      <c r="O2993" s="37"/>
      <c r="P2993" s="37"/>
      <c r="Q2993" s="37"/>
      <c r="R2993" s="37"/>
      <c r="S2993" s="37"/>
      <c r="T2993" s="37"/>
      <c r="U2993" s="37"/>
      <c r="V2993" s="37"/>
      <c r="W2993" s="37"/>
      <c r="X2993" s="37"/>
      <c r="Y2993" s="37"/>
      <c r="Z2993" s="37"/>
      <c r="AA2993" s="37"/>
      <c r="AB2993" s="37"/>
      <c r="AC2993" s="37"/>
      <c r="AD2993" s="37"/>
      <c r="AE2993" s="37"/>
      <c r="AF2993" s="37"/>
      <c r="AG2993" s="37"/>
      <c r="AH2993" s="37"/>
      <c r="AI2993" s="37"/>
      <c r="AJ2993" s="37"/>
      <c r="AK2993" s="37"/>
      <c r="AL2993" s="37"/>
      <c r="AM2993" s="37"/>
      <c r="AN2993" s="37"/>
      <c r="AO2993" s="37"/>
      <c r="AP2993" s="37"/>
      <c r="AQ2993" s="37"/>
      <c r="AR2993" s="37"/>
      <c r="AS2993" s="37"/>
      <c r="AT2993" s="37"/>
      <c r="AU2993" s="37"/>
      <c r="AV2993" s="37"/>
      <c r="AW2993" s="37"/>
      <c r="AX2993" s="37"/>
      <c r="AY2993" s="37"/>
      <c r="AZ2993" s="37"/>
      <c r="BA2993" s="37"/>
      <c r="BB2993" s="37"/>
      <c r="BC2993" s="37"/>
      <c r="BD2993" s="37"/>
      <c r="BE2993" s="37"/>
      <c r="BF2993" s="37"/>
      <c r="BG2993" s="37"/>
      <c r="BH2993" s="37"/>
      <c r="BI2993" s="37"/>
      <c r="BJ2993" s="37"/>
      <c r="BK2993" s="37"/>
      <c r="BL2993" s="37"/>
      <c r="BM2993" s="37"/>
      <c r="BN2993" s="37"/>
      <c r="BO2993" s="37"/>
      <c r="BP2993" s="37"/>
      <c r="BQ2993" s="37"/>
      <c r="BR2993" s="37"/>
      <c r="BS2993" s="37"/>
      <c r="BT2993" s="37"/>
      <c r="BU2993" s="37"/>
      <c r="BV2993" s="37"/>
      <c r="BW2993" s="37"/>
      <c r="BX2993" s="37"/>
      <c r="BY2993" s="37"/>
      <c r="BZ2993" s="37"/>
      <c r="CA2993" s="37"/>
      <c r="CB2993" s="37"/>
      <c r="CC2993" s="37"/>
      <c r="CD2993" s="37"/>
      <c r="CE2993" s="37"/>
      <c r="CF2993" s="37"/>
      <c r="CG2993" s="37"/>
      <c r="CH2993" s="37"/>
      <c r="CI2993" s="37"/>
      <c r="CJ2993" s="37"/>
      <c r="CK2993" s="37"/>
      <c r="CL2993" s="37"/>
      <c r="CM2993" s="37"/>
      <c r="CN2993" s="37"/>
      <c r="CO2993" s="37"/>
      <c r="CP2993" s="37"/>
      <c r="CQ2993" s="37"/>
      <c r="CR2993" s="37"/>
      <c r="CS2993" s="37"/>
      <c r="CT2993" s="37"/>
      <c r="CU2993" s="37"/>
      <c r="CV2993" s="37"/>
      <c r="CW2993" s="37"/>
      <c r="CX2993" s="37"/>
      <c r="CY2993" s="37"/>
      <c r="CZ2993" s="37"/>
      <c r="DA2993" s="37"/>
      <c r="DB2993" s="37"/>
      <c r="DC2993" s="37"/>
      <c r="DD2993" s="37"/>
      <c r="DE2993" s="37"/>
      <c r="DF2993" s="37"/>
      <c r="DG2993" s="37"/>
      <c r="DH2993" s="37"/>
      <c r="DI2993" s="37"/>
      <c r="DJ2993" s="37"/>
      <c r="DK2993" s="37"/>
      <c r="DL2993" s="37"/>
      <c r="DM2993" s="37"/>
      <c r="DN2993" s="37"/>
      <c r="DO2993" s="37"/>
      <c r="DP2993" s="37"/>
      <c r="DQ2993" s="37"/>
      <c r="DR2993" s="37"/>
      <c r="DS2993" s="37"/>
      <c r="DT2993" s="37"/>
      <c r="DU2993" s="37"/>
      <c r="DV2993" s="37"/>
      <c r="DW2993" s="37"/>
      <c r="DX2993" s="37"/>
      <c r="DY2993" s="37"/>
      <c r="DZ2993" s="37"/>
      <c r="EA2993" s="37"/>
      <c r="EB2993" s="37"/>
      <c r="EC2993" s="37"/>
      <c r="ED2993" s="37"/>
      <c r="EE2993" s="37"/>
      <c r="EF2993" s="37"/>
      <c r="EG2993" s="37"/>
      <c r="EH2993" s="37"/>
      <c r="EI2993" s="37"/>
      <c r="EJ2993" s="37"/>
      <c r="EK2993" s="37"/>
      <c r="EL2993" s="37"/>
      <c r="EM2993" s="37"/>
      <c r="EN2993" s="37"/>
      <c r="EO2993" s="37"/>
      <c r="EP2993" s="37"/>
      <c r="EQ2993" s="37"/>
      <c r="ER2993" s="37"/>
      <c r="ES2993" s="37"/>
      <c r="ET2993" s="37"/>
      <c r="EU2993" s="37"/>
      <c r="EV2993" s="37"/>
      <c r="EW2993" s="37"/>
      <c r="EX2993" s="37"/>
      <c r="EY2993" s="37"/>
      <c r="EZ2993" s="37"/>
      <c r="FA2993" s="37"/>
      <c r="FB2993" s="37"/>
      <c r="FC2993" s="37"/>
      <c r="FD2993" s="37"/>
      <c r="FE2993" s="37"/>
      <c r="FF2993" s="37"/>
      <c r="FG2993" s="37"/>
      <c r="FH2993" s="37"/>
      <c r="FI2993" s="37"/>
      <c r="FJ2993" s="37"/>
      <c r="FK2993" s="37"/>
      <c r="FL2993" s="37"/>
      <c r="FM2993" s="37"/>
      <c r="FN2993" s="37"/>
      <c r="FO2993" s="37"/>
      <c r="FP2993" s="37"/>
      <c r="FQ2993" s="37"/>
      <c r="FR2993" s="37"/>
      <c r="FS2993" s="37"/>
      <c r="FT2993" s="37"/>
      <c r="FU2993" s="37"/>
      <c r="FV2993" s="37"/>
      <c r="FW2993" s="37"/>
      <c r="FX2993" s="37"/>
      <c r="FY2993" s="37"/>
      <c r="FZ2993" s="37"/>
      <c r="GA2993" s="37"/>
      <c r="GB2993" s="37"/>
      <c r="GC2993" s="37"/>
      <c r="GD2993" s="37"/>
      <c r="GE2993" s="37"/>
      <c r="GF2993" s="37"/>
      <c r="GG2993" s="37"/>
      <c r="GH2993" s="37"/>
      <c r="GI2993" s="37"/>
      <c r="GJ2993" s="37"/>
      <c r="GK2993" s="37"/>
      <c r="GL2993" s="37"/>
      <c r="GM2993" s="37"/>
      <c r="GN2993" s="37"/>
      <c r="GO2993" s="37"/>
      <c r="GP2993" s="37"/>
      <c r="GQ2993" s="37"/>
      <c r="GR2993" s="37"/>
      <c r="GS2993" s="37"/>
      <c r="GT2993" s="37"/>
      <c r="GU2993" s="37"/>
      <c r="GV2993" s="37"/>
      <c r="GW2993" s="37"/>
      <c r="GX2993" s="37"/>
      <c r="GY2993" s="37"/>
      <c r="GZ2993" s="37"/>
      <c r="HA2993" s="37"/>
      <c r="HB2993" s="37"/>
      <c r="HC2993" s="37"/>
      <c r="HD2993" s="37"/>
      <c r="HE2993" s="37"/>
      <c r="HF2993" s="37"/>
      <c r="HG2993" s="37"/>
      <c r="HH2993" s="37"/>
      <c r="HI2993" s="37"/>
      <c r="HJ2993" s="37"/>
      <c r="HK2993" s="37"/>
      <c r="HL2993" s="37"/>
      <c r="HM2993" s="37"/>
      <c r="HN2993" s="37"/>
      <c r="HO2993" s="37"/>
      <c r="HP2993" s="37"/>
      <c r="HQ2993" s="37"/>
      <c r="HR2993" s="37"/>
      <c r="HS2993" s="37"/>
      <c r="HT2993" s="37"/>
      <c r="HU2993" s="37"/>
      <c r="HV2993" s="37"/>
      <c r="HW2993" s="37"/>
      <c r="HX2993" s="37"/>
      <c r="HY2993" s="37"/>
      <c r="HZ2993" s="37"/>
      <c r="IA2993" s="37"/>
      <c r="IB2993" s="37"/>
      <c r="IC2993" s="37"/>
      <c r="ID2993" s="37"/>
      <c r="IE2993" s="37"/>
      <c r="IF2993" s="37"/>
      <c r="IG2993" s="37"/>
      <c r="IH2993" s="37"/>
      <c r="II2993" s="37"/>
      <c r="IJ2993" s="37"/>
      <c r="IK2993" s="37"/>
      <c r="IL2993" s="37"/>
      <c r="IM2993" s="37"/>
      <c r="IN2993" s="37"/>
      <c r="IO2993" s="37"/>
      <c r="IP2993" s="37"/>
      <c r="IQ2993" s="37"/>
      <c r="IR2993" s="37"/>
      <c r="IS2993" s="37"/>
      <c r="IT2993" s="37"/>
      <c r="IU2993" s="37"/>
      <c r="IV2993" s="37"/>
      <c r="IW2993" s="37"/>
      <c r="IX2993" s="37"/>
      <c r="IY2993" s="37"/>
      <c r="IZ2993" s="37"/>
      <c r="JA2993" s="37"/>
      <c r="JB2993" s="37"/>
      <c r="JC2993" s="37"/>
      <c r="JD2993" s="37"/>
      <c r="JE2993" s="37"/>
      <c r="JF2993" s="37"/>
      <c r="JG2993" s="37"/>
      <c r="JH2993" s="37"/>
      <c r="JI2993" s="37"/>
      <c r="JJ2993" s="37"/>
      <c r="JK2993" s="37"/>
      <c r="JL2993" s="37"/>
      <c r="JM2993" s="37"/>
      <c r="JN2993" s="37"/>
      <c r="JO2993" s="37"/>
      <c r="JP2993" s="37"/>
      <c r="JQ2993" s="37"/>
      <c r="JR2993" s="37"/>
      <c r="JS2993" s="37"/>
      <c r="JT2993" s="37"/>
      <c r="JU2993" s="37"/>
      <c r="JV2993" s="37"/>
      <c r="JW2993" s="37"/>
      <c r="JX2993" s="37"/>
      <c r="JY2993" s="37"/>
      <c r="JZ2993" s="37"/>
      <c r="KA2993" s="37"/>
      <c r="KB2993" s="37"/>
      <c r="KC2993" s="37"/>
      <c r="KD2993" s="37"/>
      <c r="KE2993" s="37"/>
      <c r="KF2993" s="37"/>
      <c r="KG2993" s="37"/>
      <c r="KH2993" s="37"/>
      <c r="KI2993" s="37"/>
      <c r="KJ2993" s="37"/>
      <c r="KK2993" s="37"/>
      <c r="KL2993" s="37"/>
      <c r="KM2993" s="37"/>
      <c r="KN2993" s="37"/>
      <c r="KO2993" s="37"/>
      <c r="KP2993" s="37"/>
      <c r="KQ2993" s="37"/>
      <c r="KR2993" s="37"/>
      <c r="KS2993" s="37"/>
      <c r="KT2993" s="37"/>
      <c r="KU2993" s="37"/>
      <c r="KV2993" s="37"/>
      <c r="KW2993" s="37"/>
      <c r="KX2993" s="37"/>
      <c r="KY2993" s="37"/>
      <c r="KZ2993" s="37"/>
      <c r="LA2993" s="37"/>
      <c r="LB2993" s="37"/>
      <c r="LC2993" s="37"/>
      <c r="LD2993" s="37"/>
      <c r="LE2993" s="37"/>
      <c r="LF2993" s="37"/>
      <c r="LG2993" s="37"/>
      <c r="LH2993" s="37"/>
      <c r="LI2993" s="37"/>
      <c r="LJ2993" s="37"/>
      <c r="LK2993" s="37"/>
      <c r="LL2993" s="37"/>
      <c r="LM2993" s="37"/>
      <c r="LN2993" s="37"/>
      <c r="LO2993" s="37"/>
      <c r="LP2993" s="37"/>
      <c r="LQ2993" s="37"/>
      <c r="LR2993" s="37"/>
      <c r="LS2993" s="37"/>
      <c r="LT2993" s="37"/>
      <c r="LU2993" s="37"/>
      <c r="LV2993" s="37"/>
      <c r="LW2993" s="37"/>
      <c r="LX2993" s="37"/>
      <c r="LY2993" s="37"/>
      <c r="LZ2993" s="37"/>
      <c r="MA2993" s="37"/>
      <c r="MB2993" s="37"/>
      <c r="MC2993" s="37"/>
      <c r="MD2993" s="37"/>
      <c r="ME2993" s="37"/>
      <c r="MF2993" s="37"/>
      <c r="MG2993" s="37"/>
      <c r="MH2993" s="37"/>
      <c r="MI2993" s="37"/>
      <c r="MJ2993" s="37"/>
      <c r="MK2993" s="37"/>
      <c r="ML2993" s="37"/>
      <c r="MM2993" s="37"/>
      <c r="MN2993" s="37"/>
      <c r="MO2993" s="37"/>
      <c r="MP2993" s="37"/>
      <c r="MQ2993" s="37"/>
      <c r="MR2993" s="37"/>
      <c r="MS2993" s="37"/>
      <c r="MT2993" s="37"/>
      <c r="MU2993" s="37"/>
      <c r="MV2993" s="37"/>
      <c r="MW2993" s="37"/>
      <c r="MX2993" s="37"/>
      <c r="MY2993" s="37"/>
      <c r="MZ2993" s="37"/>
      <c r="NA2993" s="37"/>
      <c r="NB2993" s="37"/>
      <c r="NC2993" s="37"/>
      <c r="ND2993" s="37"/>
      <c r="NE2993" s="37"/>
      <c r="NF2993" s="37"/>
      <c r="NG2993" s="37"/>
      <c r="NH2993" s="37"/>
      <c r="NI2993" s="37"/>
      <c r="NJ2993" s="37"/>
      <c r="NK2993" s="37"/>
      <c r="NL2993" s="37"/>
      <c r="NM2993" s="37"/>
      <c r="NN2993" s="37"/>
      <c r="NO2993" s="37"/>
      <c r="NP2993" s="37"/>
      <c r="NQ2993" s="37"/>
      <c r="NR2993" s="37"/>
      <c r="NS2993" s="37"/>
      <c r="NT2993" s="37"/>
      <c r="NU2993" s="37"/>
      <c r="NV2993" s="37"/>
      <c r="NW2993" s="37"/>
      <c r="NX2993" s="37"/>
      <c r="NY2993" s="37"/>
      <c r="NZ2993" s="37"/>
      <c r="OA2993" s="37"/>
      <c r="OB2993" s="37"/>
      <c r="OC2993" s="37"/>
      <c r="OD2993" s="37"/>
      <c r="OE2993" s="37"/>
      <c r="OF2993" s="37"/>
      <c r="OG2993" s="37"/>
      <c r="OH2993" s="37"/>
      <c r="OI2993" s="37"/>
      <c r="OJ2993" s="37"/>
      <c r="OK2993" s="37"/>
      <c r="OL2993" s="37"/>
      <c r="OM2993" s="37"/>
      <c r="ON2993" s="37"/>
      <c r="OO2993" s="37"/>
      <c r="OP2993" s="37"/>
      <c r="OQ2993" s="37"/>
      <c r="OR2993" s="37"/>
      <c r="OS2993" s="37"/>
      <c r="OT2993" s="37"/>
      <c r="OU2993" s="37"/>
      <c r="OV2993" s="37"/>
      <c r="OW2993" s="37"/>
      <c r="OX2993" s="37"/>
      <c r="OY2993" s="37"/>
      <c r="OZ2993" s="37"/>
      <c r="PA2993" s="37"/>
      <c r="PB2993" s="37"/>
      <c r="PC2993" s="37"/>
      <c r="PD2993" s="37"/>
      <c r="PE2993" s="37"/>
      <c r="PF2993" s="37"/>
      <c r="PG2993" s="37"/>
      <c r="PH2993" s="37"/>
      <c r="PI2993" s="37"/>
      <c r="PJ2993" s="37"/>
      <c r="PK2993" s="37"/>
      <c r="PL2993" s="37"/>
      <c r="PM2993" s="37"/>
      <c r="PN2993" s="37"/>
      <c r="PO2993" s="37"/>
      <c r="PP2993" s="37"/>
      <c r="PQ2993" s="37"/>
      <c r="PR2993" s="37"/>
      <c r="PS2993" s="37"/>
      <c r="PT2993" s="37"/>
      <c r="PU2993" s="37"/>
      <c r="PV2993" s="37"/>
      <c r="PW2993" s="37"/>
      <c r="PX2993" s="37"/>
      <c r="PY2993" s="37"/>
      <c r="PZ2993" s="37"/>
      <c r="QA2993" s="37"/>
      <c r="QB2993" s="37"/>
      <c r="QC2993" s="37"/>
      <c r="QD2993" s="37"/>
      <c r="QE2993" s="37"/>
      <c r="QF2993" s="37"/>
      <c r="QG2993" s="37"/>
      <c r="QH2993" s="37"/>
      <c r="QI2993" s="37"/>
      <c r="QJ2993" s="37"/>
      <c r="QK2993" s="37"/>
      <c r="QL2993" s="37"/>
      <c r="QM2993" s="37"/>
      <c r="QN2993" s="37"/>
      <c r="QO2993" s="37"/>
      <c r="QP2993" s="37"/>
      <c r="QQ2993" s="37"/>
      <c r="QR2993" s="37"/>
      <c r="QS2993" s="37"/>
      <c r="QT2993" s="37"/>
      <c r="QU2993" s="37"/>
      <c r="QV2993" s="37"/>
      <c r="QW2993" s="37"/>
      <c r="QX2993" s="37"/>
      <c r="QY2993" s="37"/>
      <c r="QZ2993" s="37"/>
      <c r="RA2993" s="37"/>
      <c r="RB2993" s="37"/>
      <c r="RC2993" s="37"/>
      <c r="RD2993" s="37"/>
      <c r="RE2993" s="37"/>
      <c r="RF2993" s="37"/>
      <c r="RG2993" s="37"/>
      <c r="RH2993" s="37"/>
      <c r="RI2993" s="37"/>
      <c r="RJ2993" s="37"/>
      <c r="RK2993" s="37"/>
      <c r="RL2993" s="37"/>
      <c r="RM2993" s="37"/>
      <c r="RN2993" s="37"/>
      <c r="RO2993" s="37"/>
      <c r="RP2993" s="37"/>
      <c r="RQ2993" s="37"/>
      <c r="RR2993" s="37"/>
      <c r="RS2993" s="37"/>
      <c r="RT2993" s="37"/>
      <c r="RU2993" s="37"/>
      <c r="RV2993" s="37"/>
      <c r="RW2993" s="37"/>
      <c r="RX2993" s="37"/>
      <c r="RY2993" s="37"/>
      <c r="RZ2993" s="37"/>
      <c r="SA2993" s="37"/>
      <c r="SB2993" s="37"/>
      <c r="SC2993" s="37"/>
      <c r="SD2993" s="37"/>
      <c r="SE2993" s="37"/>
      <c r="SF2993" s="37"/>
    </row>
    <row r="2994" spans="1:500">
      <c r="A2994" s="37"/>
      <c r="B2994" s="37"/>
      <c r="C2994" s="37"/>
      <c r="D2994" s="37"/>
      <c r="E2994" s="37"/>
      <c r="F2994" s="37"/>
      <c r="G2994" s="37"/>
      <c r="H2994" s="37"/>
      <c r="I2994" s="37"/>
      <c r="J2994" s="37"/>
      <c r="K2994" s="37"/>
      <c r="L2994" s="37"/>
      <c r="M2994" s="37"/>
      <c r="N2994" s="37"/>
      <c r="O2994" s="37"/>
      <c r="P2994" s="37"/>
      <c r="Q2994" s="37"/>
      <c r="R2994" s="37"/>
      <c r="S2994" s="37"/>
      <c r="T2994" s="37"/>
      <c r="U2994" s="37"/>
      <c r="V2994" s="37"/>
      <c r="W2994" s="37"/>
      <c r="X2994" s="37"/>
      <c r="Y2994" s="37"/>
      <c r="Z2994" s="37"/>
      <c r="AA2994" s="37"/>
      <c r="AB2994" s="37"/>
      <c r="AC2994" s="37"/>
      <c r="AD2994" s="37"/>
      <c r="AE2994" s="37"/>
      <c r="AF2994" s="37"/>
      <c r="AG2994" s="37"/>
      <c r="AH2994" s="37"/>
      <c r="AI2994" s="37"/>
      <c r="AJ2994" s="37"/>
      <c r="AK2994" s="37"/>
      <c r="AL2994" s="37"/>
      <c r="AM2994" s="37"/>
      <c r="AN2994" s="37"/>
      <c r="AO2994" s="37"/>
      <c r="AP2994" s="37"/>
      <c r="AQ2994" s="37"/>
      <c r="AR2994" s="37"/>
      <c r="AS2994" s="37"/>
      <c r="AT2994" s="37"/>
      <c r="AU2994" s="37"/>
      <c r="AV2994" s="37"/>
      <c r="AW2994" s="37"/>
      <c r="AX2994" s="37"/>
      <c r="AY2994" s="37"/>
      <c r="AZ2994" s="37"/>
      <c r="BA2994" s="37"/>
      <c r="BB2994" s="37"/>
      <c r="BC2994" s="37"/>
      <c r="BD2994" s="37"/>
      <c r="BE2994" s="37"/>
      <c r="BF2994" s="37"/>
      <c r="BG2994" s="37"/>
      <c r="BH2994" s="37"/>
      <c r="BI2994" s="37"/>
      <c r="BJ2994" s="37"/>
      <c r="BK2994" s="37"/>
      <c r="BL2994" s="37"/>
      <c r="BM2994" s="37"/>
      <c r="BN2994" s="37"/>
      <c r="BO2994" s="37"/>
      <c r="BP2994" s="37"/>
      <c r="BQ2994" s="37"/>
      <c r="BR2994" s="37"/>
      <c r="BS2994" s="37"/>
      <c r="BT2994" s="37"/>
      <c r="BU2994" s="37"/>
      <c r="BV2994" s="37"/>
      <c r="BW2994" s="37"/>
      <c r="BX2994" s="37"/>
      <c r="BY2994" s="37"/>
      <c r="BZ2994" s="37"/>
      <c r="CA2994" s="37"/>
      <c r="CB2994" s="37"/>
      <c r="CC2994" s="37"/>
      <c r="CD2994" s="37"/>
      <c r="CE2994" s="37"/>
      <c r="CF2994" s="37"/>
      <c r="CG2994" s="37"/>
      <c r="CH2994" s="37"/>
      <c r="CI2994" s="37"/>
      <c r="CJ2994" s="37"/>
      <c r="CK2994" s="37"/>
      <c r="CL2994" s="37"/>
      <c r="CM2994" s="37"/>
      <c r="CN2994" s="37"/>
      <c r="CO2994" s="37"/>
      <c r="CP2994" s="37"/>
      <c r="CQ2994" s="37"/>
      <c r="CR2994" s="37"/>
      <c r="CS2994" s="37"/>
      <c r="CT2994" s="37"/>
      <c r="CU2994" s="37"/>
      <c r="CV2994" s="37"/>
      <c r="CW2994" s="37"/>
      <c r="CX2994" s="37"/>
      <c r="CY2994" s="37"/>
      <c r="CZ2994" s="37"/>
      <c r="DA2994" s="37"/>
      <c r="DB2994" s="37"/>
      <c r="DC2994" s="37"/>
      <c r="DD2994" s="37"/>
      <c r="DE2994" s="37"/>
      <c r="DF2994" s="37"/>
      <c r="DG2994" s="37"/>
      <c r="DH2994" s="37"/>
      <c r="DI2994" s="37"/>
      <c r="DJ2994" s="37"/>
      <c r="DK2994" s="37"/>
      <c r="DL2994" s="37"/>
      <c r="DM2994" s="37"/>
      <c r="DN2994" s="37"/>
      <c r="DO2994" s="37"/>
      <c r="DP2994" s="37"/>
      <c r="DQ2994" s="37"/>
      <c r="DR2994" s="37"/>
      <c r="DS2994" s="37"/>
      <c r="DT2994" s="37"/>
      <c r="DU2994" s="37"/>
      <c r="DV2994" s="37"/>
      <c r="DW2994" s="37"/>
      <c r="DX2994" s="37"/>
      <c r="DY2994" s="37"/>
      <c r="DZ2994" s="37"/>
      <c r="EA2994" s="37"/>
      <c r="EB2994" s="37"/>
      <c r="EC2994" s="37"/>
      <c r="ED2994" s="37"/>
      <c r="EE2994" s="37"/>
      <c r="EF2994" s="37"/>
      <c r="EG2994" s="37"/>
      <c r="EH2994" s="37"/>
      <c r="EI2994" s="37"/>
      <c r="EJ2994" s="37"/>
      <c r="EK2994" s="37"/>
      <c r="EL2994" s="37"/>
      <c r="EM2994" s="37"/>
      <c r="EN2994" s="37"/>
      <c r="EO2994" s="37"/>
      <c r="EP2994" s="37"/>
      <c r="EQ2994" s="37"/>
      <c r="ER2994" s="37"/>
      <c r="ES2994" s="37"/>
      <c r="ET2994" s="37"/>
      <c r="EU2994" s="37"/>
      <c r="EV2994" s="37"/>
      <c r="EW2994" s="37"/>
      <c r="EX2994" s="37"/>
      <c r="EY2994" s="37"/>
      <c r="EZ2994" s="37"/>
      <c r="FA2994" s="37"/>
      <c r="FB2994" s="37"/>
      <c r="FC2994" s="37"/>
      <c r="FD2994" s="37"/>
      <c r="FE2994" s="37"/>
      <c r="FF2994" s="37"/>
      <c r="FG2994" s="37"/>
      <c r="FH2994" s="37"/>
      <c r="FI2994" s="37"/>
      <c r="FJ2994" s="37"/>
      <c r="FK2994" s="37"/>
      <c r="FL2994" s="37"/>
      <c r="FM2994" s="37"/>
      <c r="FN2994" s="37"/>
      <c r="FO2994" s="37"/>
      <c r="FP2994" s="37"/>
      <c r="FQ2994" s="37"/>
      <c r="FR2994" s="37"/>
      <c r="FS2994" s="37"/>
      <c r="FT2994" s="37"/>
      <c r="FU2994" s="37"/>
      <c r="FV2994" s="37"/>
      <c r="FW2994" s="37"/>
      <c r="FX2994" s="37"/>
      <c r="FY2994" s="37"/>
      <c r="FZ2994" s="37"/>
      <c r="GA2994" s="37"/>
      <c r="GB2994" s="37"/>
      <c r="GC2994" s="37"/>
      <c r="GD2994" s="37"/>
      <c r="GE2994" s="37"/>
      <c r="GF2994" s="37"/>
      <c r="GG2994" s="37"/>
      <c r="GH2994" s="37"/>
      <c r="GI2994" s="37"/>
      <c r="GJ2994" s="37"/>
      <c r="GK2994" s="37"/>
      <c r="GL2994" s="37"/>
      <c r="GM2994" s="37"/>
      <c r="GN2994" s="37"/>
      <c r="GO2994" s="37"/>
      <c r="GP2994" s="37"/>
      <c r="GQ2994" s="37"/>
      <c r="GR2994" s="37"/>
      <c r="GS2994" s="37"/>
      <c r="GT2994" s="37"/>
      <c r="GU2994" s="37"/>
      <c r="GV2994" s="37"/>
      <c r="GW2994" s="37"/>
      <c r="GX2994" s="37"/>
      <c r="GY2994" s="37"/>
      <c r="GZ2994" s="37"/>
      <c r="HA2994" s="37"/>
      <c r="HB2994" s="37"/>
      <c r="HC2994" s="37"/>
      <c r="HD2994" s="37"/>
      <c r="HE2994" s="37"/>
      <c r="HF2994" s="37"/>
      <c r="HG2994" s="37"/>
      <c r="HH2994" s="37"/>
      <c r="HI2994" s="37"/>
      <c r="HJ2994" s="37"/>
      <c r="HK2994" s="37"/>
      <c r="HL2994" s="37"/>
      <c r="HM2994" s="37"/>
      <c r="HN2994" s="37"/>
      <c r="HO2994" s="37"/>
      <c r="HP2994" s="37"/>
      <c r="HQ2994" s="37"/>
      <c r="HR2994" s="37"/>
      <c r="HS2994" s="37"/>
      <c r="HT2994" s="37"/>
      <c r="HU2994" s="37"/>
      <c r="HV2994" s="37"/>
      <c r="HW2994" s="37"/>
      <c r="HX2994" s="37"/>
      <c r="HY2994" s="37"/>
      <c r="HZ2994" s="37"/>
      <c r="IA2994" s="37"/>
      <c r="IB2994" s="37"/>
      <c r="IC2994" s="37"/>
      <c r="ID2994" s="37"/>
      <c r="IE2994" s="37"/>
      <c r="IF2994" s="37"/>
      <c r="IG2994" s="37"/>
      <c r="IH2994" s="37"/>
      <c r="II2994" s="37"/>
      <c r="IJ2994" s="37"/>
      <c r="IK2994" s="37"/>
      <c r="IL2994" s="37"/>
      <c r="IM2994" s="37"/>
      <c r="IN2994" s="37"/>
      <c r="IO2994" s="37"/>
      <c r="IP2994" s="37"/>
      <c r="IQ2994" s="37"/>
      <c r="IR2994" s="37"/>
      <c r="IS2994" s="37"/>
      <c r="IT2994" s="37"/>
      <c r="IU2994" s="37"/>
      <c r="IV2994" s="37"/>
      <c r="IW2994" s="37"/>
      <c r="IX2994" s="37"/>
      <c r="IY2994" s="37"/>
      <c r="IZ2994" s="37"/>
      <c r="JA2994" s="37"/>
      <c r="JB2994" s="37"/>
      <c r="JC2994" s="37"/>
      <c r="JD2994" s="37"/>
      <c r="JE2994" s="37"/>
      <c r="JF2994" s="37"/>
      <c r="JG2994" s="37"/>
      <c r="JH2994" s="37"/>
      <c r="JI2994" s="37"/>
      <c r="JJ2994" s="37"/>
      <c r="JK2994" s="37"/>
      <c r="JL2994" s="37"/>
      <c r="JM2994" s="37"/>
      <c r="JN2994" s="37"/>
      <c r="JO2994" s="37"/>
      <c r="JP2994" s="37"/>
      <c r="JQ2994" s="37"/>
      <c r="JR2994" s="37"/>
      <c r="JS2994" s="37"/>
      <c r="JT2994" s="37"/>
      <c r="JU2994" s="37"/>
      <c r="JV2994" s="37"/>
      <c r="JW2994" s="37"/>
      <c r="JX2994" s="37"/>
      <c r="JY2994" s="37"/>
      <c r="JZ2994" s="37"/>
      <c r="KA2994" s="37"/>
      <c r="KB2994" s="37"/>
      <c r="KC2994" s="37"/>
      <c r="KD2994" s="37"/>
      <c r="KE2994" s="37"/>
      <c r="KF2994" s="37"/>
      <c r="KG2994" s="37"/>
      <c r="KH2994" s="37"/>
      <c r="KI2994" s="37"/>
      <c r="KJ2994" s="37"/>
      <c r="KK2994" s="37"/>
      <c r="KL2994" s="37"/>
      <c r="KM2994" s="37"/>
      <c r="KN2994" s="37"/>
      <c r="KO2994" s="37"/>
      <c r="KP2994" s="37"/>
      <c r="KQ2994" s="37"/>
      <c r="KR2994" s="37"/>
      <c r="KS2994" s="37"/>
      <c r="KT2994" s="37"/>
      <c r="KU2994" s="37"/>
      <c r="KV2994" s="37"/>
      <c r="KW2994" s="37"/>
      <c r="KX2994" s="37"/>
      <c r="KY2994" s="37"/>
      <c r="KZ2994" s="37"/>
      <c r="LA2994" s="37"/>
      <c r="LB2994" s="37"/>
      <c r="LC2994" s="37"/>
      <c r="LD2994" s="37"/>
      <c r="LE2994" s="37"/>
      <c r="LF2994" s="37"/>
      <c r="LG2994" s="37"/>
      <c r="LH2994" s="37"/>
      <c r="LI2994" s="37"/>
      <c r="LJ2994" s="37"/>
      <c r="LK2994" s="37"/>
      <c r="LL2994" s="37"/>
      <c r="LM2994" s="37"/>
      <c r="LN2994" s="37"/>
      <c r="LO2994" s="37"/>
      <c r="LP2994" s="37"/>
      <c r="LQ2994" s="37"/>
      <c r="LR2994" s="37"/>
      <c r="LS2994" s="37"/>
      <c r="LT2994" s="37"/>
      <c r="LU2994" s="37"/>
      <c r="LV2994" s="37"/>
      <c r="LW2994" s="37"/>
      <c r="LX2994" s="37"/>
      <c r="LY2994" s="37"/>
      <c r="LZ2994" s="37"/>
      <c r="MA2994" s="37"/>
      <c r="MB2994" s="37"/>
      <c r="MC2994" s="37"/>
      <c r="MD2994" s="37"/>
      <c r="ME2994" s="37"/>
      <c r="MF2994" s="37"/>
      <c r="MG2994" s="37"/>
      <c r="MH2994" s="37"/>
      <c r="MI2994" s="37"/>
      <c r="MJ2994" s="37"/>
      <c r="MK2994" s="37"/>
      <c r="ML2994" s="37"/>
      <c r="MM2994" s="37"/>
      <c r="MN2994" s="37"/>
      <c r="MO2994" s="37"/>
      <c r="MP2994" s="37"/>
      <c r="MQ2994" s="37"/>
      <c r="MR2994" s="37"/>
      <c r="MS2994" s="37"/>
      <c r="MT2994" s="37"/>
      <c r="MU2994" s="37"/>
      <c r="MV2994" s="37"/>
      <c r="MW2994" s="37"/>
      <c r="MX2994" s="37"/>
      <c r="MY2994" s="37"/>
      <c r="MZ2994" s="37"/>
      <c r="NA2994" s="37"/>
      <c r="NB2994" s="37"/>
      <c r="NC2994" s="37"/>
      <c r="ND2994" s="37"/>
      <c r="NE2994" s="37"/>
      <c r="NF2994" s="37"/>
      <c r="NG2994" s="37"/>
      <c r="NH2994" s="37"/>
      <c r="NI2994" s="37"/>
      <c r="NJ2994" s="37"/>
      <c r="NK2994" s="37"/>
      <c r="NL2994" s="37"/>
      <c r="NM2994" s="37"/>
      <c r="NN2994" s="37"/>
      <c r="NO2994" s="37"/>
      <c r="NP2994" s="37"/>
      <c r="NQ2994" s="37"/>
      <c r="NR2994" s="37"/>
      <c r="NS2994" s="37"/>
      <c r="NT2994" s="37"/>
      <c r="NU2994" s="37"/>
      <c r="NV2994" s="37"/>
      <c r="NW2994" s="37"/>
      <c r="NX2994" s="37"/>
      <c r="NY2994" s="37"/>
      <c r="NZ2994" s="37"/>
      <c r="OA2994" s="37"/>
      <c r="OB2994" s="37"/>
      <c r="OC2994" s="37"/>
      <c r="OD2994" s="37"/>
      <c r="OE2994" s="37"/>
      <c r="OF2994" s="37"/>
      <c r="OG2994" s="37"/>
      <c r="OH2994" s="37"/>
      <c r="OI2994" s="37"/>
      <c r="OJ2994" s="37"/>
      <c r="OK2994" s="37"/>
      <c r="OL2994" s="37"/>
      <c r="OM2994" s="37"/>
      <c r="ON2994" s="37"/>
      <c r="OO2994" s="37"/>
      <c r="OP2994" s="37"/>
      <c r="OQ2994" s="37"/>
      <c r="OR2994" s="37"/>
      <c r="OS2994" s="37"/>
      <c r="OT2994" s="37"/>
      <c r="OU2994" s="37"/>
      <c r="OV2994" s="37"/>
      <c r="OW2994" s="37"/>
      <c r="OX2994" s="37"/>
      <c r="OY2994" s="37"/>
      <c r="OZ2994" s="37"/>
      <c r="PA2994" s="37"/>
      <c r="PB2994" s="37"/>
      <c r="PC2994" s="37"/>
      <c r="PD2994" s="37"/>
      <c r="PE2994" s="37"/>
      <c r="PF2994" s="37"/>
      <c r="PG2994" s="37"/>
      <c r="PH2994" s="37"/>
      <c r="PI2994" s="37"/>
      <c r="PJ2994" s="37"/>
      <c r="PK2994" s="37"/>
      <c r="PL2994" s="37"/>
      <c r="PM2994" s="37"/>
      <c r="PN2994" s="37"/>
      <c r="PO2994" s="37"/>
      <c r="PP2994" s="37"/>
      <c r="PQ2994" s="37"/>
      <c r="PR2994" s="37"/>
      <c r="PS2994" s="37"/>
      <c r="PT2994" s="37"/>
      <c r="PU2994" s="37"/>
      <c r="PV2994" s="37"/>
      <c r="PW2994" s="37"/>
      <c r="PX2994" s="37"/>
      <c r="PY2994" s="37"/>
      <c r="PZ2994" s="37"/>
      <c r="QA2994" s="37"/>
      <c r="QB2994" s="37"/>
      <c r="QC2994" s="37"/>
      <c r="QD2994" s="37"/>
      <c r="QE2994" s="37"/>
      <c r="QF2994" s="37"/>
      <c r="QG2994" s="37"/>
      <c r="QH2994" s="37"/>
      <c r="QI2994" s="37"/>
      <c r="QJ2994" s="37"/>
      <c r="QK2994" s="37"/>
      <c r="QL2994" s="37"/>
      <c r="QM2994" s="37"/>
      <c r="QN2994" s="37"/>
      <c r="QO2994" s="37"/>
      <c r="QP2994" s="37"/>
      <c r="QQ2994" s="37"/>
      <c r="QR2994" s="37"/>
      <c r="QS2994" s="37"/>
      <c r="QT2994" s="37"/>
      <c r="QU2994" s="37"/>
      <c r="QV2994" s="37"/>
      <c r="QW2994" s="37"/>
      <c r="QX2994" s="37"/>
      <c r="QY2994" s="37"/>
      <c r="QZ2994" s="37"/>
      <c r="RA2994" s="37"/>
      <c r="RB2994" s="37"/>
      <c r="RC2994" s="37"/>
      <c r="RD2994" s="37"/>
      <c r="RE2994" s="37"/>
      <c r="RF2994" s="37"/>
      <c r="RG2994" s="37"/>
      <c r="RH2994" s="37"/>
      <c r="RI2994" s="37"/>
      <c r="RJ2994" s="37"/>
      <c r="RK2994" s="37"/>
      <c r="RL2994" s="37"/>
      <c r="RM2994" s="37"/>
      <c r="RN2994" s="37"/>
      <c r="RO2994" s="37"/>
      <c r="RP2994" s="37"/>
      <c r="RQ2994" s="37"/>
      <c r="RR2994" s="37"/>
      <c r="RS2994" s="37"/>
      <c r="RT2994" s="37"/>
      <c r="RU2994" s="37"/>
      <c r="RV2994" s="37"/>
      <c r="RW2994" s="37"/>
      <c r="RX2994" s="37"/>
      <c r="RY2994" s="37"/>
      <c r="RZ2994" s="37"/>
      <c r="SA2994" s="37"/>
      <c r="SB2994" s="37"/>
      <c r="SC2994" s="37"/>
      <c r="SD2994" s="37"/>
      <c r="SE2994" s="37"/>
      <c r="SF2994" s="37"/>
    </row>
    <row r="2995" spans="1:500">
      <c r="A2995" s="37"/>
      <c r="B2995" s="37"/>
      <c r="C2995" s="37"/>
      <c r="D2995" s="37"/>
      <c r="E2995" s="37"/>
      <c r="F2995" s="37"/>
      <c r="G2995" s="37"/>
      <c r="H2995" s="37"/>
      <c r="I2995" s="37"/>
      <c r="J2995" s="37"/>
      <c r="K2995" s="37"/>
      <c r="L2995" s="37"/>
      <c r="M2995" s="37"/>
      <c r="N2995" s="37"/>
      <c r="O2995" s="37"/>
      <c r="P2995" s="37"/>
      <c r="Q2995" s="37"/>
      <c r="R2995" s="37"/>
      <c r="S2995" s="37"/>
      <c r="T2995" s="37"/>
      <c r="U2995" s="37"/>
      <c r="V2995" s="37"/>
      <c r="W2995" s="37"/>
      <c r="X2995" s="37"/>
      <c r="Y2995" s="37"/>
      <c r="Z2995" s="37"/>
      <c r="AA2995" s="37"/>
      <c r="AB2995" s="37"/>
      <c r="AC2995" s="37"/>
      <c r="AD2995" s="37"/>
      <c r="AE2995" s="37"/>
      <c r="AF2995" s="37"/>
      <c r="AG2995" s="37"/>
      <c r="AH2995" s="37"/>
      <c r="AI2995" s="37"/>
      <c r="AJ2995" s="37"/>
      <c r="AK2995" s="37"/>
      <c r="AL2995" s="37"/>
      <c r="AM2995" s="37"/>
      <c r="AN2995" s="37"/>
      <c r="AO2995" s="37"/>
      <c r="AP2995" s="37"/>
      <c r="AQ2995" s="37"/>
      <c r="AR2995" s="37"/>
      <c r="AS2995" s="37"/>
      <c r="AT2995" s="37"/>
      <c r="AU2995" s="37"/>
      <c r="AV2995" s="37"/>
      <c r="AW2995" s="37"/>
      <c r="AX2995" s="37"/>
      <c r="AY2995" s="37"/>
      <c r="AZ2995" s="37"/>
      <c r="BA2995" s="37"/>
      <c r="BB2995" s="37"/>
      <c r="BC2995" s="37"/>
      <c r="BD2995" s="37"/>
      <c r="BE2995" s="37"/>
      <c r="BF2995" s="37"/>
      <c r="BG2995" s="37"/>
      <c r="BH2995" s="37"/>
      <c r="BI2995" s="37"/>
      <c r="BJ2995" s="37"/>
      <c r="BK2995" s="37"/>
      <c r="BL2995" s="37"/>
      <c r="BM2995" s="37"/>
      <c r="BN2995" s="37"/>
      <c r="BO2995" s="37"/>
      <c r="BP2995" s="37"/>
      <c r="BQ2995" s="37"/>
      <c r="BR2995" s="37"/>
      <c r="BS2995" s="37"/>
      <c r="BT2995" s="37"/>
      <c r="BU2995" s="37"/>
      <c r="BV2995" s="37"/>
      <c r="BW2995" s="37"/>
      <c r="BX2995" s="37"/>
      <c r="BY2995" s="37"/>
      <c r="BZ2995" s="37"/>
      <c r="CA2995" s="37"/>
      <c r="CB2995" s="37"/>
      <c r="CC2995" s="37"/>
      <c r="CD2995" s="37"/>
      <c r="CE2995" s="37"/>
      <c r="CF2995" s="37"/>
      <c r="CG2995" s="37"/>
      <c r="CH2995" s="37"/>
      <c r="CI2995" s="37"/>
      <c r="CJ2995" s="37"/>
      <c r="CK2995" s="37"/>
      <c r="CL2995" s="37"/>
      <c r="CM2995" s="37"/>
      <c r="CN2995" s="37"/>
      <c r="CO2995" s="37"/>
      <c r="CP2995" s="37"/>
      <c r="CQ2995" s="37"/>
      <c r="CR2995" s="37"/>
      <c r="CS2995" s="37"/>
      <c r="CT2995" s="37"/>
      <c r="CU2995" s="37"/>
      <c r="CV2995" s="37"/>
      <c r="CW2995" s="37"/>
      <c r="CX2995" s="37"/>
      <c r="CY2995" s="37"/>
      <c r="CZ2995" s="37"/>
      <c r="DA2995" s="37"/>
      <c r="DB2995" s="37"/>
      <c r="DC2995" s="37"/>
      <c r="DD2995" s="37"/>
      <c r="DE2995" s="37"/>
      <c r="DF2995" s="37"/>
      <c r="DG2995" s="37"/>
      <c r="DH2995" s="37"/>
      <c r="DI2995" s="37"/>
      <c r="DJ2995" s="37"/>
      <c r="DK2995" s="37"/>
      <c r="DL2995" s="37"/>
      <c r="DM2995" s="37"/>
      <c r="DN2995" s="37"/>
      <c r="DO2995" s="37"/>
      <c r="DP2995" s="37"/>
      <c r="DQ2995" s="37"/>
      <c r="DR2995" s="37"/>
      <c r="DS2995" s="37"/>
      <c r="DT2995" s="37"/>
      <c r="DU2995" s="37"/>
      <c r="DV2995" s="37"/>
      <c r="DW2995" s="37"/>
      <c r="DX2995" s="37"/>
      <c r="DY2995" s="37"/>
      <c r="DZ2995" s="37"/>
      <c r="EA2995" s="37"/>
      <c r="EB2995" s="37"/>
      <c r="EC2995" s="37"/>
      <c r="ED2995" s="37"/>
      <c r="EE2995" s="37"/>
      <c r="EF2995" s="37"/>
      <c r="EG2995" s="37"/>
      <c r="EH2995" s="37"/>
      <c r="EI2995" s="37"/>
      <c r="EJ2995" s="37"/>
      <c r="EK2995" s="37"/>
      <c r="EL2995" s="37"/>
      <c r="EM2995" s="37"/>
      <c r="EN2995" s="37"/>
      <c r="EO2995" s="37"/>
      <c r="EP2995" s="37"/>
      <c r="EQ2995" s="37"/>
      <c r="ER2995" s="37"/>
      <c r="ES2995" s="37"/>
      <c r="ET2995" s="37"/>
      <c r="EU2995" s="37"/>
      <c r="EV2995" s="37"/>
      <c r="EW2995" s="37"/>
      <c r="EX2995" s="37"/>
      <c r="EY2995" s="37"/>
      <c r="EZ2995" s="37"/>
      <c r="FA2995" s="37"/>
      <c r="FB2995" s="37"/>
      <c r="FC2995" s="37"/>
      <c r="FD2995" s="37"/>
      <c r="FE2995" s="37"/>
      <c r="FF2995" s="37"/>
      <c r="FG2995" s="37"/>
      <c r="FH2995" s="37"/>
      <c r="FI2995" s="37"/>
      <c r="FJ2995" s="37"/>
      <c r="FK2995" s="37"/>
      <c r="FL2995" s="37"/>
      <c r="FM2995" s="37"/>
      <c r="FN2995" s="37"/>
      <c r="FO2995" s="37"/>
      <c r="FP2995" s="37"/>
      <c r="FQ2995" s="37"/>
      <c r="FR2995" s="37"/>
      <c r="FS2995" s="37"/>
      <c r="FT2995" s="37"/>
      <c r="FU2995" s="37"/>
      <c r="FV2995" s="37"/>
      <c r="FW2995" s="37"/>
      <c r="FX2995" s="37"/>
      <c r="FY2995" s="37"/>
      <c r="FZ2995" s="37"/>
      <c r="GA2995" s="37"/>
      <c r="GB2995" s="37"/>
      <c r="GC2995" s="37"/>
      <c r="GD2995" s="37"/>
      <c r="GE2995" s="37"/>
      <c r="GF2995" s="37"/>
      <c r="GG2995" s="37"/>
      <c r="GH2995" s="37"/>
      <c r="GI2995" s="37"/>
      <c r="GJ2995" s="37"/>
      <c r="GK2995" s="37"/>
      <c r="GL2995" s="37"/>
      <c r="GM2995" s="37"/>
      <c r="GN2995" s="37"/>
      <c r="GO2995" s="37"/>
      <c r="GP2995" s="37"/>
      <c r="GQ2995" s="37"/>
      <c r="GR2995" s="37"/>
      <c r="GS2995" s="37"/>
      <c r="GT2995" s="37"/>
      <c r="GU2995" s="37"/>
      <c r="GV2995" s="37"/>
      <c r="GW2995" s="37"/>
      <c r="GX2995" s="37"/>
      <c r="GY2995" s="37"/>
      <c r="GZ2995" s="37"/>
      <c r="HA2995" s="37"/>
      <c r="HB2995" s="37"/>
      <c r="HC2995" s="37"/>
      <c r="HD2995" s="37"/>
      <c r="HE2995" s="37"/>
      <c r="HF2995" s="37"/>
      <c r="HG2995" s="37"/>
      <c r="HH2995" s="37"/>
      <c r="HI2995" s="37"/>
      <c r="HJ2995" s="37"/>
      <c r="HK2995" s="37"/>
      <c r="HL2995" s="37"/>
      <c r="HM2995" s="37"/>
      <c r="HN2995" s="37"/>
      <c r="HO2995" s="37"/>
      <c r="HP2995" s="37"/>
      <c r="HQ2995" s="37"/>
      <c r="HR2995" s="37"/>
      <c r="HS2995" s="37"/>
      <c r="HT2995" s="37"/>
      <c r="HU2995" s="37"/>
      <c r="HV2995" s="37"/>
      <c r="HW2995" s="37"/>
      <c r="HX2995" s="37"/>
      <c r="HY2995" s="37"/>
      <c r="HZ2995" s="37"/>
      <c r="IA2995" s="37"/>
      <c r="IB2995" s="37"/>
      <c r="IC2995" s="37"/>
      <c r="ID2995" s="37"/>
      <c r="IE2995" s="37"/>
      <c r="IF2995" s="37"/>
      <c r="IG2995" s="37"/>
      <c r="IH2995" s="37"/>
      <c r="II2995" s="37"/>
      <c r="IJ2995" s="37"/>
      <c r="IK2995" s="37"/>
      <c r="IL2995" s="37"/>
      <c r="IM2995" s="37"/>
      <c r="IN2995" s="37"/>
      <c r="IO2995" s="37"/>
      <c r="IP2995" s="37"/>
      <c r="IQ2995" s="37"/>
      <c r="IR2995" s="37"/>
      <c r="IS2995" s="37"/>
      <c r="IT2995" s="37"/>
      <c r="IU2995" s="37"/>
      <c r="IV2995" s="37"/>
      <c r="IW2995" s="37"/>
      <c r="IX2995" s="37"/>
      <c r="IY2995" s="37"/>
      <c r="IZ2995" s="37"/>
      <c r="JA2995" s="37"/>
      <c r="JB2995" s="37"/>
      <c r="JC2995" s="37"/>
      <c r="JD2995" s="37"/>
      <c r="JE2995" s="37"/>
      <c r="JF2995" s="37"/>
      <c r="JG2995" s="37"/>
      <c r="JH2995" s="37"/>
      <c r="JI2995" s="37"/>
      <c r="JJ2995" s="37"/>
      <c r="JK2995" s="37"/>
      <c r="JL2995" s="37"/>
      <c r="JM2995" s="37"/>
      <c r="JN2995" s="37"/>
      <c r="JO2995" s="37"/>
      <c r="JP2995" s="37"/>
      <c r="JQ2995" s="37"/>
      <c r="JR2995" s="37"/>
      <c r="JS2995" s="37"/>
      <c r="JT2995" s="37"/>
      <c r="JU2995" s="37"/>
      <c r="JV2995" s="37"/>
      <c r="JW2995" s="37"/>
      <c r="JX2995" s="37"/>
      <c r="JY2995" s="37"/>
      <c r="JZ2995" s="37"/>
      <c r="KA2995" s="37"/>
      <c r="KB2995" s="37"/>
      <c r="KC2995" s="37"/>
      <c r="KD2995" s="37"/>
      <c r="KE2995" s="37"/>
      <c r="KF2995" s="37"/>
      <c r="KG2995" s="37"/>
      <c r="KH2995" s="37"/>
      <c r="KI2995" s="37"/>
      <c r="KJ2995" s="37"/>
      <c r="KK2995" s="37"/>
      <c r="KL2995" s="37"/>
      <c r="KM2995" s="37"/>
      <c r="KN2995" s="37"/>
      <c r="KO2995" s="37"/>
      <c r="KP2995" s="37"/>
      <c r="KQ2995" s="37"/>
      <c r="KR2995" s="37"/>
      <c r="KS2995" s="37"/>
      <c r="KT2995" s="37"/>
      <c r="KU2995" s="37"/>
      <c r="KV2995" s="37"/>
      <c r="KW2995" s="37"/>
      <c r="KX2995" s="37"/>
      <c r="KY2995" s="37"/>
      <c r="KZ2995" s="37"/>
      <c r="LA2995" s="37"/>
      <c r="LB2995" s="37"/>
      <c r="LC2995" s="37"/>
      <c r="LD2995" s="37"/>
      <c r="LE2995" s="37"/>
      <c r="LF2995" s="37"/>
      <c r="LG2995" s="37"/>
      <c r="LH2995" s="37"/>
      <c r="LI2995" s="37"/>
      <c r="LJ2995" s="37"/>
      <c r="LK2995" s="37"/>
      <c r="LL2995" s="37"/>
      <c r="LM2995" s="37"/>
      <c r="LN2995" s="37"/>
      <c r="LO2995" s="37"/>
      <c r="LP2995" s="37"/>
      <c r="LQ2995" s="37"/>
      <c r="LR2995" s="37"/>
      <c r="LS2995" s="37"/>
      <c r="LT2995" s="37"/>
      <c r="LU2995" s="37"/>
      <c r="LV2995" s="37"/>
      <c r="LW2995" s="37"/>
      <c r="LX2995" s="37"/>
      <c r="LY2995" s="37"/>
      <c r="LZ2995" s="37"/>
      <c r="MA2995" s="37"/>
      <c r="MB2995" s="37"/>
      <c r="MC2995" s="37"/>
      <c r="MD2995" s="37"/>
      <c r="ME2995" s="37"/>
      <c r="MF2995" s="37"/>
      <c r="MG2995" s="37"/>
      <c r="MH2995" s="37"/>
      <c r="MI2995" s="37"/>
      <c r="MJ2995" s="37"/>
      <c r="MK2995" s="37"/>
      <c r="ML2995" s="37"/>
      <c r="MM2995" s="37"/>
      <c r="MN2995" s="37"/>
      <c r="MO2995" s="37"/>
      <c r="MP2995" s="37"/>
      <c r="MQ2995" s="37"/>
      <c r="MR2995" s="37"/>
      <c r="MS2995" s="37"/>
      <c r="MT2995" s="37"/>
      <c r="MU2995" s="37"/>
      <c r="MV2995" s="37"/>
      <c r="MW2995" s="37"/>
      <c r="MX2995" s="37"/>
      <c r="MY2995" s="37"/>
      <c r="MZ2995" s="37"/>
      <c r="NA2995" s="37"/>
      <c r="NB2995" s="37"/>
      <c r="NC2995" s="37"/>
      <c r="ND2995" s="37"/>
      <c r="NE2995" s="37"/>
      <c r="NF2995" s="37"/>
      <c r="NG2995" s="37"/>
      <c r="NH2995" s="37"/>
      <c r="NI2995" s="37"/>
      <c r="NJ2995" s="37"/>
      <c r="NK2995" s="37"/>
      <c r="NL2995" s="37"/>
      <c r="NM2995" s="37"/>
      <c r="NN2995" s="37"/>
      <c r="NO2995" s="37"/>
      <c r="NP2995" s="37"/>
      <c r="NQ2995" s="37"/>
      <c r="NR2995" s="37"/>
      <c r="NS2995" s="37"/>
      <c r="NT2995" s="37"/>
      <c r="NU2995" s="37"/>
      <c r="NV2995" s="37"/>
      <c r="NW2995" s="37"/>
      <c r="NX2995" s="37"/>
      <c r="NY2995" s="37"/>
      <c r="NZ2995" s="37"/>
      <c r="OA2995" s="37"/>
      <c r="OB2995" s="37"/>
      <c r="OC2995" s="37"/>
      <c r="OD2995" s="37"/>
      <c r="OE2995" s="37"/>
      <c r="OF2995" s="37"/>
      <c r="OG2995" s="37"/>
      <c r="OH2995" s="37"/>
      <c r="OI2995" s="37"/>
      <c r="OJ2995" s="37"/>
      <c r="OK2995" s="37"/>
      <c r="OL2995" s="37"/>
      <c r="OM2995" s="37"/>
      <c r="ON2995" s="37"/>
      <c r="OO2995" s="37"/>
      <c r="OP2995" s="37"/>
      <c r="OQ2995" s="37"/>
      <c r="OR2995" s="37"/>
      <c r="OS2995" s="37"/>
      <c r="OT2995" s="37"/>
      <c r="OU2995" s="37"/>
      <c r="OV2995" s="37"/>
      <c r="OW2995" s="37"/>
      <c r="OX2995" s="37"/>
      <c r="OY2995" s="37"/>
      <c r="OZ2995" s="37"/>
      <c r="PA2995" s="37"/>
      <c r="PB2995" s="37"/>
      <c r="PC2995" s="37"/>
      <c r="PD2995" s="37"/>
      <c r="PE2995" s="37"/>
      <c r="PF2995" s="37"/>
      <c r="PG2995" s="37"/>
      <c r="PH2995" s="37"/>
      <c r="PI2995" s="37"/>
      <c r="PJ2995" s="37"/>
      <c r="PK2995" s="37"/>
      <c r="PL2995" s="37"/>
      <c r="PM2995" s="37"/>
      <c r="PN2995" s="37"/>
      <c r="PO2995" s="37"/>
      <c r="PP2995" s="37"/>
      <c r="PQ2995" s="37"/>
      <c r="PR2995" s="37"/>
      <c r="PS2995" s="37"/>
      <c r="PT2995" s="37"/>
      <c r="PU2995" s="37"/>
      <c r="PV2995" s="37"/>
      <c r="PW2995" s="37"/>
      <c r="PX2995" s="37"/>
      <c r="PY2995" s="37"/>
      <c r="PZ2995" s="37"/>
      <c r="QA2995" s="37"/>
      <c r="QB2995" s="37"/>
      <c r="QC2995" s="37"/>
      <c r="QD2995" s="37"/>
      <c r="QE2995" s="37"/>
      <c r="QF2995" s="37"/>
      <c r="QG2995" s="37"/>
      <c r="QH2995" s="37"/>
      <c r="QI2995" s="37"/>
      <c r="QJ2995" s="37"/>
      <c r="QK2995" s="37"/>
      <c r="QL2995" s="37"/>
      <c r="QM2995" s="37"/>
      <c r="QN2995" s="37"/>
      <c r="QO2995" s="37"/>
      <c r="QP2995" s="37"/>
      <c r="QQ2995" s="37"/>
      <c r="QR2995" s="37"/>
      <c r="QS2995" s="37"/>
      <c r="QT2995" s="37"/>
      <c r="QU2995" s="37"/>
      <c r="QV2995" s="37"/>
      <c r="QW2995" s="37"/>
      <c r="QX2995" s="37"/>
      <c r="QY2995" s="37"/>
      <c r="QZ2995" s="37"/>
      <c r="RA2995" s="37"/>
      <c r="RB2995" s="37"/>
      <c r="RC2995" s="37"/>
      <c r="RD2995" s="37"/>
      <c r="RE2995" s="37"/>
      <c r="RF2995" s="37"/>
      <c r="RG2995" s="37"/>
      <c r="RH2995" s="37"/>
      <c r="RI2995" s="37"/>
      <c r="RJ2995" s="37"/>
      <c r="RK2995" s="37"/>
      <c r="RL2995" s="37"/>
      <c r="RM2995" s="37"/>
      <c r="RN2995" s="37"/>
      <c r="RO2995" s="37"/>
      <c r="RP2995" s="37"/>
      <c r="RQ2995" s="37"/>
      <c r="RR2995" s="37"/>
      <c r="RS2995" s="37"/>
      <c r="RT2995" s="37"/>
      <c r="RU2995" s="37"/>
      <c r="RV2995" s="37"/>
      <c r="RW2995" s="37"/>
      <c r="RX2995" s="37"/>
      <c r="RY2995" s="37"/>
      <c r="RZ2995" s="37"/>
      <c r="SA2995" s="37"/>
      <c r="SB2995" s="37"/>
      <c r="SC2995" s="37"/>
      <c r="SD2995" s="37"/>
      <c r="SE2995" s="37"/>
      <c r="SF2995" s="37"/>
    </row>
    <row r="2996" spans="1:500">
      <c r="A2996" s="37"/>
      <c r="B2996" s="37"/>
      <c r="C2996" s="37"/>
      <c r="D2996" s="37"/>
      <c r="E2996" s="37"/>
      <c r="F2996" s="37"/>
      <c r="G2996" s="37"/>
      <c r="H2996" s="37"/>
      <c r="I2996" s="37"/>
      <c r="J2996" s="37"/>
      <c r="K2996" s="37"/>
      <c r="L2996" s="37"/>
      <c r="M2996" s="37"/>
      <c r="N2996" s="37"/>
      <c r="O2996" s="37"/>
      <c r="P2996" s="37"/>
      <c r="Q2996" s="37"/>
      <c r="R2996" s="37"/>
      <c r="S2996" s="37"/>
      <c r="T2996" s="37"/>
      <c r="U2996" s="37"/>
      <c r="V2996" s="37"/>
      <c r="W2996" s="37"/>
      <c r="X2996" s="37"/>
      <c r="Y2996" s="37"/>
      <c r="Z2996" s="37"/>
      <c r="AA2996" s="37"/>
      <c r="AB2996" s="37"/>
      <c r="AC2996" s="37"/>
      <c r="AD2996" s="37"/>
      <c r="AE2996" s="37"/>
      <c r="AF2996" s="37"/>
      <c r="AG2996" s="37"/>
      <c r="AH2996" s="37"/>
      <c r="AI2996" s="37"/>
      <c r="AJ2996" s="37"/>
      <c r="AK2996" s="37"/>
      <c r="AL2996" s="37"/>
      <c r="AM2996" s="37"/>
      <c r="AN2996" s="37"/>
      <c r="AO2996" s="37"/>
      <c r="AP2996" s="37"/>
      <c r="AQ2996" s="37"/>
      <c r="AR2996" s="37"/>
      <c r="AS2996" s="37"/>
      <c r="AT2996" s="37"/>
      <c r="AU2996" s="37"/>
      <c r="AV2996" s="37"/>
      <c r="AW2996" s="37"/>
      <c r="AX2996" s="37"/>
      <c r="AY2996" s="37"/>
      <c r="AZ2996" s="37"/>
      <c r="BA2996" s="37"/>
      <c r="BB2996" s="37"/>
      <c r="BC2996" s="37"/>
      <c r="BD2996" s="37"/>
      <c r="BE2996" s="37"/>
      <c r="BF2996" s="37"/>
      <c r="BG2996" s="37"/>
      <c r="BH2996" s="37"/>
      <c r="BI2996" s="37"/>
      <c r="BJ2996" s="37"/>
      <c r="BK2996" s="37"/>
      <c r="BL2996" s="37"/>
      <c r="BM2996" s="37"/>
      <c r="BN2996" s="37"/>
      <c r="BO2996" s="37"/>
      <c r="BP2996" s="37"/>
      <c r="BQ2996" s="37"/>
      <c r="BR2996" s="37"/>
      <c r="BS2996" s="37"/>
      <c r="BT2996" s="37"/>
      <c r="BU2996" s="37"/>
      <c r="BV2996" s="37"/>
      <c r="BW2996" s="37"/>
      <c r="BX2996" s="37"/>
      <c r="BY2996" s="37"/>
      <c r="BZ2996" s="37"/>
      <c r="CA2996" s="37"/>
      <c r="CB2996" s="37"/>
      <c r="CC2996" s="37"/>
      <c r="CD2996" s="37"/>
      <c r="CE2996" s="37"/>
      <c r="CF2996" s="37"/>
      <c r="CG2996" s="37"/>
      <c r="CH2996" s="37"/>
      <c r="CI2996" s="37"/>
      <c r="CJ2996" s="37"/>
      <c r="CK2996" s="37"/>
      <c r="CL2996" s="37"/>
      <c r="CM2996" s="37"/>
      <c r="CN2996" s="37"/>
      <c r="CO2996" s="37"/>
      <c r="CP2996" s="37"/>
      <c r="CQ2996" s="37"/>
      <c r="CR2996" s="37"/>
      <c r="CS2996" s="37"/>
      <c r="CT2996" s="37"/>
      <c r="CU2996" s="37"/>
      <c r="CV2996" s="37"/>
      <c r="CW2996" s="37"/>
      <c r="CX2996" s="37"/>
      <c r="CY2996" s="37"/>
      <c r="CZ2996" s="37"/>
      <c r="DA2996" s="37"/>
      <c r="DB2996" s="37"/>
      <c r="DC2996" s="37"/>
      <c r="DD2996" s="37"/>
      <c r="DE2996" s="37"/>
      <c r="DF2996" s="37"/>
      <c r="DG2996" s="37"/>
      <c r="DH2996" s="37"/>
      <c r="DI2996" s="37"/>
      <c r="DJ2996" s="37"/>
      <c r="DK2996" s="37"/>
      <c r="DL2996" s="37"/>
      <c r="DM2996" s="37"/>
      <c r="DN2996" s="37"/>
      <c r="DO2996" s="37"/>
      <c r="DP2996" s="37"/>
      <c r="DQ2996" s="37"/>
      <c r="DR2996" s="37"/>
      <c r="DS2996" s="37"/>
      <c r="DT2996" s="37"/>
      <c r="DU2996" s="37"/>
      <c r="DV2996" s="37"/>
      <c r="DW2996" s="37"/>
      <c r="DX2996" s="37"/>
      <c r="DY2996" s="37"/>
      <c r="DZ2996" s="37"/>
      <c r="EA2996" s="37"/>
      <c r="EB2996" s="37"/>
      <c r="EC2996" s="37"/>
      <c r="ED2996" s="37"/>
      <c r="EE2996" s="37"/>
      <c r="EF2996" s="37"/>
      <c r="EG2996" s="37"/>
      <c r="EH2996" s="37"/>
      <c r="EI2996" s="37"/>
      <c r="EJ2996" s="37"/>
      <c r="EK2996" s="37"/>
      <c r="EL2996" s="37"/>
      <c r="EM2996" s="37"/>
      <c r="EN2996" s="37"/>
      <c r="EO2996" s="37"/>
      <c r="EP2996" s="37"/>
      <c r="EQ2996" s="37"/>
      <c r="ER2996" s="37"/>
      <c r="ES2996" s="37"/>
      <c r="ET2996" s="37"/>
      <c r="EU2996" s="37"/>
      <c r="EV2996" s="37"/>
      <c r="EW2996" s="37"/>
      <c r="EX2996" s="37"/>
      <c r="EY2996" s="37"/>
      <c r="EZ2996" s="37"/>
      <c r="FA2996" s="37"/>
      <c r="FB2996" s="37"/>
      <c r="FC2996" s="37"/>
      <c r="FD2996" s="37"/>
      <c r="FE2996" s="37"/>
      <c r="FF2996" s="37"/>
      <c r="FG2996" s="37"/>
      <c r="FH2996" s="37"/>
      <c r="FI2996" s="37"/>
      <c r="FJ2996" s="37"/>
      <c r="FK2996" s="37"/>
      <c r="FL2996" s="37"/>
      <c r="FM2996" s="37"/>
      <c r="FN2996" s="37"/>
      <c r="FO2996" s="37"/>
      <c r="FP2996" s="37"/>
      <c r="FQ2996" s="37"/>
      <c r="FR2996" s="37"/>
      <c r="FS2996" s="37"/>
      <c r="FT2996" s="37"/>
      <c r="FU2996" s="37"/>
      <c r="FV2996" s="37"/>
      <c r="FW2996" s="37"/>
      <c r="FX2996" s="37"/>
      <c r="FY2996" s="37"/>
      <c r="FZ2996" s="37"/>
      <c r="GA2996" s="37"/>
      <c r="GB2996" s="37"/>
      <c r="GC2996" s="37"/>
      <c r="GD2996" s="37"/>
      <c r="GE2996" s="37"/>
      <c r="GF2996" s="37"/>
      <c r="GG2996" s="37"/>
      <c r="GH2996" s="37"/>
      <c r="GI2996" s="37"/>
      <c r="GJ2996" s="37"/>
      <c r="GK2996" s="37"/>
      <c r="GL2996" s="37"/>
      <c r="GM2996" s="37"/>
      <c r="GN2996" s="37"/>
      <c r="GO2996" s="37"/>
      <c r="GP2996" s="37"/>
      <c r="GQ2996" s="37"/>
      <c r="GR2996" s="37"/>
      <c r="GS2996" s="37"/>
      <c r="GT2996" s="37"/>
      <c r="GU2996" s="37"/>
      <c r="GV2996" s="37"/>
      <c r="GW2996" s="37"/>
      <c r="GX2996" s="37"/>
      <c r="GY2996" s="37"/>
      <c r="GZ2996" s="37"/>
      <c r="HA2996" s="37"/>
      <c r="HB2996" s="37"/>
      <c r="HC2996" s="37"/>
      <c r="HD2996" s="37"/>
      <c r="HE2996" s="37"/>
      <c r="HF2996" s="37"/>
      <c r="HG2996" s="37"/>
      <c r="HH2996" s="37"/>
      <c r="HI2996" s="37"/>
      <c r="HJ2996" s="37"/>
      <c r="HK2996" s="37"/>
      <c r="HL2996" s="37"/>
      <c r="HM2996" s="37"/>
      <c r="HN2996" s="37"/>
      <c r="HO2996" s="37"/>
      <c r="HP2996" s="37"/>
      <c r="HQ2996" s="37"/>
      <c r="HR2996" s="37"/>
      <c r="HS2996" s="37"/>
      <c r="HT2996" s="37"/>
      <c r="HU2996" s="37"/>
      <c r="HV2996" s="37"/>
      <c r="HW2996" s="37"/>
      <c r="HX2996" s="37"/>
      <c r="HY2996" s="37"/>
      <c r="HZ2996" s="37"/>
      <c r="IA2996" s="37"/>
      <c r="IB2996" s="37"/>
      <c r="IC2996" s="37"/>
      <c r="ID2996" s="37"/>
      <c r="IE2996" s="37"/>
      <c r="IF2996" s="37"/>
      <c r="IG2996" s="37"/>
      <c r="IH2996" s="37"/>
      <c r="II2996" s="37"/>
      <c r="IJ2996" s="37"/>
      <c r="IK2996" s="37"/>
      <c r="IL2996" s="37"/>
      <c r="IM2996" s="37"/>
      <c r="IN2996" s="37"/>
      <c r="IO2996" s="37"/>
      <c r="IP2996" s="37"/>
      <c r="IQ2996" s="37"/>
      <c r="IR2996" s="37"/>
      <c r="IS2996" s="37"/>
      <c r="IT2996" s="37"/>
      <c r="IU2996" s="37"/>
      <c r="IV2996" s="37"/>
      <c r="IW2996" s="37"/>
      <c r="IX2996" s="37"/>
      <c r="IY2996" s="37"/>
      <c r="IZ2996" s="37"/>
      <c r="JA2996" s="37"/>
      <c r="JB2996" s="37"/>
      <c r="JC2996" s="37"/>
      <c r="JD2996" s="37"/>
      <c r="JE2996" s="37"/>
      <c r="JF2996" s="37"/>
      <c r="JG2996" s="37"/>
      <c r="JH2996" s="37"/>
      <c r="JI2996" s="37"/>
      <c r="JJ2996" s="37"/>
      <c r="JK2996" s="37"/>
      <c r="JL2996" s="37"/>
      <c r="JM2996" s="37"/>
      <c r="JN2996" s="37"/>
      <c r="JO2996" s="37"/>
      <c r="JP2996" s="37"/>
      <c r="JQ2996" s="37"/>
      <c r="JR2996" s="37"/>
      <c r="JS2996" s="37"/>
      <c r="JT2996" s="37"/>
      <c r="JU2996" s="37"/>
      <c r="JV2996" s="37"/>
      <c r="JW2996" s="37"/>
      <c r="JX2996" s="37"/>
      <c r="JY2996" s="37"/>
      <c r="JZ2996" s="37"/>
      <c r="KA2996" s="37"/>
      <c r="KB2996" s="37"/>
      <c r="KC2996" s="37"/>
      <c r="KD2996" s="37"/>
      <c r="KE2996" s="37"/>
      <c r="KF2996" s="37"/>
      <c r="KG2996" s="37"/>
      <c r="KH2996" s="37"/>
      <c r="KI2996" s="37"/>
      <c r="KJ2996" s="37"/>
      <c r="KK2996" s="37"/>
      <c r="KL2996" s="37"/>
      <c r="KM2996" s="37"/>
      <c r="KN2996" s="37"/>
      <c r="KO2996" s="37"/>
      <c r="KP2996" s="37"/>
      <c r="KQ2996" s="37"/>
      <c r="KR2996" s="37"/>
      <c r="KS2996" s="37"/>
      <c r="KT2996" s="37"/>
      <c r="KU2996" s="37"/>
      <c r="KV2996" s="37"/>
      <c r="KW2996" s="37"/>
      <c r="KX2996" s="37"/>
      <c r="KY2996" s="37"/>
      <c r="KZ2996" s="37"/>
      <c r="LA2996" s="37"/>
      <c r="LB2996" s="37"/>
      <c r="LC2996" s="37"/>
      <c r="LD2996" s="37"/>
      <c r="LE2996" s="37"/>
      <c r="LF2996" s="37"/>
      <c r="LG2996" s="37"/>
      <c r="LH2996" s="37"/>
      <c r="LI2996" s="37"/>
      <c r="LJ2996" s="37"/>
      <c r="LK2996" s="37"/>
      <c r="LL2996" s="37"/>
      <c r="LM2996" s="37"/>
      <c r="LN2996" s="37"/>
      <c r="LO2996" s="37"/>
      <c r="LP2996" s="37"/>
      <c r="LQ2996" s="37"/>
      <c r="LR2996" s="37"/>
      <c r="LS2996" s="37"/>
      <c r="LT2996" s="37"/>
      <c r="LU2996" s="37"/>
      <c r="LV2996" s="37"/>
      <c r="LW2996" s="37"/>
      <c r="LX2996" s="37"/>
      <c r="LY2996" s="37"/>
      <c r="LZ2996" s="37"/>
      <c r="MA2996" s="37"/>
      <c r="MB2996" s="37"/>
      <c r="MC2996" s="37"/>
      <c r="MD2996" s="37"/>
      <c r="ME2996" s="37"/>
      <c r="MF2996" s="37"/>
      <c r="MG2996" s="37"/>
      <c r="MH2996" s="37"/>
      <c r="MI2996" s="37"/>
      <c r="MJ2996" s="37"/>
      <c r="MK2996" s="37"/>
      <c r="ML2996" s="37"/>
      <c r="MM2996" s="37"/>
      <c r="MN2996" s="37"/>
      <c r="MO2996" s="37"/>
      <c r="MP2996" s="37"/>
      <c r="MQ2996" s="37"/>
      <c r="MR2996" s="37"/>
      <c r="MS2996" s="37"/>
      <c r="MT2996" s="37"/>
      <c r="MU2996" s="37"/>
      <c r="MV2996" s="37"/>
      <c r="MW2996" s="37"/>
      <c r="MX2996" s="37"/>
      <c r="MY2996" s="37"/>
      <c r="MZ2996" s="37"/>
      <c r="NA2996" s="37"/>
      <c r="NB2996" s="37"/>
      <c r="NC2996" s="37"/>
      <c r="ND2996" s="37"/>
      <c r="NE2996" s="37"/>
      <c r="NF2996" s="37"/>
      <c r="NG2996" s="37"/>
      <c r="NH2996" s="37"/>
      <c r="NI2996" s="37"/>
      <c r="NJ2996" s="37"/>
      <c r="NK2996" s="37"/>
      <c r="NL2996" s="37"/>
      <c r="NM2996" s="37"/>
      <c r="NN2996" s="37"/>
      <c r="NO2996" s="37"/>
      <c r="NP2996" s="37"/>
      <c r="NQ2996" s="37"/>
      <c r="NR2996" s="37"/>
      <c r="NS2996" s="37"/>
      <c r="NT2996" s="37"/>
      <c r="NU2996" s="37"/>
      <c r="NV2996" s="37"/>
      <c r="NW2996" s="37"/>
      <c r="NX2996" s="37"/>
      <c r="NY2996" s="37"/>
      <c r="NZ2996" s="37"/>
      <c r="OA2996" s="37"/>
      <c r="OB2996" s="37"/>
      <c r="OC2996" s="37"/>
      <c r="OD2996" s="37"/>
      <c r="OE2996" s="37"/>
      <c r="OF2996" s="37"/>
      <c r="OG2996" s="37"/>
      <c r="OH2996" s="37"/>
      <c r="OI2996" s="37"/>
      <c r="OJ2996" s="37"/>
      <c r="OK2996" s="37"/>
      <c r="OL2996" s="37"/>
      <c r="OM2996" s="37"/>
      <c r="ON2996" s="37"/>
      <c r="OO2996" s="37"/>
      <c r="OP2996" s="37"/>
      <c r="OQ2996" s="37"/>
      <c r="OR2996" s="37"/>
      <c r="OS2996" s="37"/>
      <c r="OT2996" s="37"/>
      <c r="OU2996" s="37"/>
      <c r="OV2996" s="37"/>
      <c r="OW2996" s="37"/>
      <c r="OX2996" s="37"/>
      <c r="OY2996" s="37"/>
      <c r="OZ2996" s="37"/>
      <c r="PA2996" s="37"/>
      <c r="PB2996" s="37"/>
      <c r="PC2996" s="37"/>
      <c r="PD2996" s="37"/>
      <c r="PE2996" s="37"/>
      <c r="PF2996" s="37"/>
      <c r="PG2996" s="37"/>
      <c r="PH2996" s="37"/>
      <c r="PI2996" s="37"/>
      <c r="PJ2996" s="37"/>
      <c r="PK2996" s="37"/>
      <c r="PL2996" s="37"/>
      <c r="PM2996" s="37"/>
      <c r="PN2996" s="37"/>
      <c r="PO2996" s="37"/>
      <c r="PP2996" s="37"/>
      <c r="PQ2996" s="37"/>
      <c r="PR2996" s="37"/>
      <c r="PS2996" s="37"/>
      <c r="PT2996" s="37"/>
      <c r="PU2996" s="37"/>
      <c r="PV2996" s="37"/>
      <c r="PW2996" s="37"/>
      <c r="PX2996" s="37"/>
      <c r="PY2996" s="37"/>
      <c r="PZ2996" s="37"/>
      <c r="QA2996" s="37"/>
      <c r="QB2996" s="37"/>
      <c r="QC2996" s="37"/>
      <c r="QD2996" s="37"/>
      <c r="QE2996" s="37"/>
      <c r="QF2996" s="37"/>
      <c r="QG2996" s="37"/>
      <c r="QH2996" s="37"/>
      <c r="QI2996" s="37"/>
      <c r="QJ2996" s="37"/>
      <c r="QK2996" s="37"/>
      <c r="QL2996" s="37"/>
      <c r="QM2996" s="37"/>
      <c r="QN2996" s="37"/>
      <c r="QO2996" s="37"/>
      <c r="QP2996" s="37"/>
      <c r="QQ2996" s="37"/>
      <c r="QR2996" s="37"/>
      <c r="QS2996" s="37"/>
      <c r="QT2996" s="37"/>
      <c r="QU2996" s="37"/>
      <c r="QV2996" s="37"/>
      <c r="QW2996" s="37"/>
      <c r="QX2996" s="37"/>
      <c r="QY2996" s="37"/>
      <c r="QZ2996" s="37"/>
      <c r="RA2996" s="37"/>
      <c r="RB2996" s="37"/>
      <c r="RC2996" s="37"/>
      <c r="RD2996" s="37"/>
      <c r="RE2996" s="37"/>
      <c r="RF2996" s="37"/>
      <c r="RG2996" s="37"/>
      <c r="RH2996" s="37"/>
      <c r="RI2996" s="37"/>
      <c r="RJ2996" s="37"/>
      <c r="RK2996" s="37"/>
      <c r="RL2996" s="37"/>
      <c r="RM2996" s="37"/>
      <c r="RN2996" s="37"/>
      <c r="RO2996" s="37"/>
      <c r="RP2996" s="37"/>
      <c r="RQ2996" s="37"/>
      <c r="RR2996" s="37"/>
      <c r="RS2996" s="37"/>
      <c r="RT2996" s="37"/>
      <c r="RU2996" s="37"/>
      <c r="RV2996" s="37"/>
      <c r="RW2996" s="37"/>
      <c r="RX2996" s="37"/>
      <c r="RY2996" s="37"/>
      <c r="RZ2996" s="37"/>
      <c r="SA2996" s="37"/>
      <c r="SB2996" s="37"/>
      <c r="SC2996" s="37"/>
      <c r="SD2996" s="37"/>
      <c r="SE2996" s="37"/>
      <c r="SF2996" s="37"/>
    </row>
    <row r="2997" spans="1:500">
      <c r="A2997" s="37"/>
      <c r="B2997" s="37"/>
      <c r="C2997" s="37"/>
      <c r="D2997" s="37"/>
      <c r="E2997" s="37"/>
      <c r="F2997" s="37"/>
      <c r="G2997" s="37"/>
      <c r="H2997" s="37"/>
      <c r="I2997" s="37"/>
      <c r="J2997" s="37"/>
      <c r="K2997" s="37"/>
      <c r="L2997" s="37"/>
      <c r="M2997" s="37"/>
      <c r="N2997" s="37"/>
      <c r="O2997" s="37"/>
      <c r="P2997" s="37"/>
      <c r="Q2997" s="37"/>
      <c r="R2997" s="37"/>
      <c r="S2997" s="37"/>
      <c r="T2997" s="37"/>
      <c r="U2997" s="37"/>
      <c r="V2997" s="37"/>
      <c r="W2997" s="37"/>
      <c r="X2997" s="37"/>
      <c r="Y2997" s="37"/>
      <c r="Z2997" s="37"/>
      <c r="AA2997" s="37"/>
      <c r="AB2997" s="37"/>
      <c r="AC2997" s="37"/>
      <c r="AD2997" s="37"/>
      <c r="AE2997" s="37"/>
      <c r="AF2997" s="37"/>
      <c r="AG2997" s="37"/>
      <c r="AH2997" s="37"/>
      <c r="AI2997" s="37"/>
      <c r="AJ2997" s="37"/>
      <c r="AK2997" s="37"/>
      <c r="AL2997" s="37"/>
      <c r="AM2997" s="37"/>
      <c r="AN2997" s="37"/>
      <c r="AO2997" s="37"/>
      <c r="AP2997" s="37"/>
      <c r="AQ2997" s="37"/>
      <c r="AR2997" s="37"/>
      <c r="AS2997" s="37"/>
      <c r="AT2997" s="37"/>
      <c r="AU2997" s="37"/>
      <c r="AV2997" s="37"/>
      <c r="AW2997" s="37"/>
      <c r="AX2997" s="37"/>
      <c r="AY2997" s="37"/>
      <c r="AZ2997" s="37"/>
      <c r="BA2997" s="37"/>
      <c r="BB2997" s="37"/>
      <c r="BC2997" s="37"/>
      <c r="BD2997" s="37"/>
      <c r="BE2997" s="37"/>
      <c r="BF2997" s="37"/>
      <c r="BG2997" s="37"/>
      <c r="BH2997" s="37"/>
      <c r="BI2997" s="37"/>
      <c r="BJ2997" s="37"/>
      <c r="BK2997" s="37"/>
      <c r="BL2997" s="37"/>
      <c r="BM2997" s="37"/>
      <c r="BN2997" s="37"/>
      <c r="BO2997" s="37"/>
      <c r="BP2997" s="37"/>
      <c r="BQ2997" s="37"/>
      <c r="BR2997" s="37"/>
      <c r="BS2997" s="37"/>
      <c r="BT2997" s="37"/>
      <c r="BU2997" s="37"/>
      <c r="BV2997" s="37"/>
      <c r="BW2997" s="37"/>
      <c r="BX2997" s="37"/>
      <c r="BY2997" s="37"/>
      <c r="BZ2997" s="37"/>
      <c r="CA2997" s="37"/>
      <c r="CB2997" s="37"/>
      <c r="CC2997" s="37"/>
      <c r="CD2997" s="37"/>
      <c r="CE2997" s="37"/>
      <c r="CF2997" s="37"/>
      <c r="CG2997" s="37"/>
      <c r="CH2997" s="37"/>
      <c r="CI2997" s="37"/>
      <c r="CJ2997" s="37"/>
      <c r="CK2997" s="37"/>
      <c r="CL2997" s="37"/>
      <c r="CM2997" s="37"/>
      <c r="CN2997" s="37"/>
      <c r="CO2997" s="37"/>
      <c r="CP2997" s="37"/>
      <c r="CQ2997" s="37"/>
      <c r="CR2997" s="37"/>
      <c r="CS2997" s="37"/>
      <c r="CT2997" s="37"/>
      <c r="CU2997" s="37"/>
      <c r="CV2997" s="37"/>
      <c r="CW2997" s="37"/>
      <c r="CX2997" s="37"/>
      <c r="CY2997" s="37"/>
      <c r="CZ2997" s="37"/>
      <c r="DA2997" s="37"/>
      <c r="DB2997" s="37"/>
      <c r="DC2997" s="37"/>
      <c r="DD2997" s="37"/>
      <c r="DE2997" s="37"/>
      <c r="DF2997" s="37"/>
      <c r="DG2997" s="37"/>
      <c r="DH2997" s="37"/>
      <c r="DI2997" s="37"/>
      <c r="DJ2997" s="37"/>
      <c r="DK2997" s="37"/>
      <c r="DL2997" s="37"/>
      <c r="DM2997" s="37"/>
      <c r="DN2997" s="37"/>
      <c r="DO2997" s="37"/>
      <c r="DP2997" s="37"/>
      <c r="DQ2997" s="37"/>
      <c r="DR2997" s="37"/>
      <c r="DS2997" s="37"/>
      <c r="DT2997" s="37"/>
      <c r="DU2997" s="37"/>
      <c r="DV2997" s="37"/>
      <c r="DW2997" s="37"/>
      <c r="DX2997" s="37"/>
      <c r="DY2997" s="37"/>
      <c r="DZ2997" s="37"/>
      <c r="EA2997" s="37"/>
      <c r="EB2997" s="37"/>
      <c r="EC2997" s="37"/>
      <c r="ED2997" s="37"/>
      <c r="EE2997" s="37"/>
      <c r="EF2997" s="37"/>
      <c r="EG2997" s="37"/>
      <c r="EH2997" s="37"/>
      <c r="EI2997" s="37"/>
      <c r="EJ2997" s="37"/>
      <c r="EK2997" s="37"/>
      <c r="EL2997" s="37"/>
      <c r="EM2997" s="37"/>
      <c r="EN2997" s="37"/>
      <c r="EO2997" s="37"/>
      <c r="EP2997" s="37"/>
      <c r="EQ2997" s="37"/>
      <c r="ER2997" s="37"/>
      <c r="ES2997" s="37"/>
      <c r="ET2997" s="37"/>
      <c r="EU2997" s="37"/>
      <c r="EV2997" s="37"/>
      <c r="EW2997" s="37"/>
      <c r="EX2997" s="37"/>
      <c r="EY2997" s="37"/>
      <c r="EZ2997" s="37"/>
      <c r="FA2997" s="37"/>
      <c r="FB2997" s="37"/>
      <c r="FC2997" s="37"/>
      <c r="FD2997" s="37"/>
      <c r="FE2997" s="37"/>
      <c r="FF2997" s="37"/>
      <c r="FG2997" s="37"/>
      <c r="FH2997" s="37"/>
      <c r="FI2997" s="37"/>
      <c r="FJ2997" s="37"/>
      <c r="FK2997" s="37"/>
      <c r="FL2997" s="37"/>
      <c r="FM2997" s="37"/>
      <c r="FN2997" s="37"/>
      <c r="FO2997" s="37"/>
      <c r="FP2997" s="37"/>
      <c r="FQ2997" s="37"/>
      <c r="FR2997" s="37"/>
      <c r="FS2997" s="37"/>
      <c r="FT2997" s="37"/>
      <c r="FU2997" s="37"/>
      <c r="FV2997" s="37"/>
      <c r="FW2997" s="37"/>
      <c r="FX2997" s="37"/>
      <c r="FY2997" s="37"/>
      <c r="FZ2997" s="37"/>
      <c r="GA2997" s="37"/>
      <c r="GB2997" s="37"/>
      <c r="GC2997" s="37"/>
      <c r="GD2997" s="37"/>
      <c r="GE2997" s="37"/>
      <c r="GF2997" s="37"/>
      <c r="GG2997" s="37"/>
      <c r="GH2997" s="37"/>
      <c r="GI2997" s="37"/>
      <c r="GJ2997" s="37"/>
      <c r="GK2997" s="37"/>
      <c r="GL2997" s="37"/>
      <c r="GM2997" s="37"/>
      <c r="GN2997" s="37"/>
      <c r="GO2997" s="37"/>
      <c r="GP2997" s="37"/>
      <c r="GQ2997" s="37"/>
      <c r="GR2997" s="37"/>
      <c r="GS2997" s="37"/>
      <c r="GT2997" s="37"/>
      <c r="GU2997" s="37"/>
      <c r="GV2997" s="37"/>
      <c r="GW2997" s="37"/>
      <c r="GX2997" s="37"/>
      <c r="GY2997" s="37"/>
      <c r="GZ2997" s="37"/>
      <c r="HA2997" s="37"/>
      <c r="HB2997" s="37"/>
      <c r="HC2997" s="37"/>
      <c r="HD2997" s="37"/>
      <c r="HE2997" s="37"/>
      <c r="HF2997" s="37"/>
      <c r="HG2997" s="37"/>
      <c r="HH2997" s="37"/>
      <c r="HI2997" s="37"/>
      <c r="HJ2997" s="37"/>
      <c r="HK2997" s="37"/>
      <c r="HL2997" s="37"/>
      <c r="HM2997" s="37"/>
      <c r="HN2997" s="37"/>
      <c r="HO2997" s="37"/>
      <c r="HP2997" s="37"/>
      <c r="HQ2997" s="37"/>
      <c r="HR2997" s="37"/>
      <c r="HS2997" s="37"/>
      <c r="HT2997" s="37"/>
      <c r="HU2997" s="37"/>
      <c r="HV2997" s="37"/>
      <c r="HW2997" s="37"/>
      <c r="HX2997" s="37"/>
      <c r="HY2997" s="37"/>
      <c r="HZ2997" s="37"/>
      <c r="IA2997" s="37"/>
      <c r="IB2997" s="37"/>
      <c r="IC2997" s="37"/>
      <c r="ID2997" s="37"/>
      <c r="IE2997" s="37"/>
      <c r="IF2997" s="37"/>
      <c r="IG2997" s="37"/>
      <c r="IH2997" s="37"/>
      <c r="II2997" s="37"/>
      <c r="IJ2997" s="37"/>
      <c r="IK2997" s="37"/>
      <c r="IL2997" s="37"/>
      <c r="IM2997" s="37"/>
      <c r="IN2997" s="37"/>
      <c r="IO2997" s="37"/>
      <c r="IP2997" s="37"/>
      <c r="IQ2997" s="37"/>
      <c r="IR2997" s="37"/>
      <c r="IS2997" s="37"/>
      <c r="IT2997" s="37"/>
      <c r="IU2997" s="37"/>
      <c r="IV2997" s="37"/>
      <c r="IW2997" s="37"/>
      <c r="IX2997" s="37"/>
      <c r="IY2997" s="37"/>
      <c r="IZ2997" s="37"/>
      <c r="JA2997" s="37"/>
      <c r="JB2997" s="37"/>
      <c r="JC2997" s="37"/>
      <c r="JD2997" s="37"/>
      <c r="JE2997" s="37"/>
      <c r="JF2997" s="37"/>
      <c r="JG2997" s="37"/>
      <c r="JH2997" s="37"/>
      <c r="JI2997" s="37"/>
      <c r="JJ2997" s="37"/>
      <c r="JK2997" s="37"/>
      <c r="JL2997" s="37"/>
      <c r="JM2997" s="37"/>
      <c r="JN2997" s="37"/>
      <c r="JO2997" s="37"/>
      <c r="JP2997" s="37"/>
      <c r="JQ2997" s="37"/>
      <c r="JR2997" s="37"/>
      <c r="JS2997" s="37"/>
      <c r="JT2997" s="37"/>
      <c r="JU2997" s="37"/>
      <c r="JV2997" s="37"/>
      <c r="JW2997" s="37"/>
      <c r="JX2997" s="37"/>
      <c r="JY2997" s="37"/>
      <c r="JZ2997" s="37"/>
      <c r="KA2997" s="37"/>
      <c r="KB2997" s="37"/>
      <c r="KC2997" s="37"/>
      <c r="KD2997" s="37"/>
      <c r="KE2997" s="37"/>
      <c r="KF2997" s="37"/>
      <c r="KG2997" s="37"/>
      <c r="KH2997" s="37"/>
      <c r="KI2997" s="37"/>
      <c r="KJ2997" s="37"/>
      <c r="KK2997" s="37"/>
      <c r="KL2997" s="37"/>
      <c r="KM2997" s="37"/>
      <c r="KN2997" s="37"/>
      <c r="KO2997" s="37"/>
      <c r="KP2997" s="37"/>
      <c r="KQ2997" s="37"/>
      <c r="KR2997" s="37"/>
      <c r="KS2997" s="37"/>
      <c r="KT2997" s="37"/>
      <c r="KU2997" s="37"/>
      <c r="KV2997" s="37"/>
      <c r="KW2997" s="37"/>
      <c r="KX2997" s="37"/>
      <c r="KY2997" s="37"/>
      <c r="KZ2997" s="37"/>
      <c r="LA2997" s="37"/>
      <c r="LB2997" s="37"/>
      <c r="LC2997" s="37"/>
      <c r="LD2997" s="37"/>
      <c r="LE2997" s="37"/>
      <c r="LF2997" s="37"/>
      <c r="LG2997" s="37"/>
      <c r="LH2997" s="37"/>
      <c r="LI2997" s="37"/>
      <c r="LJ2997" s="37"/>
      <c r="LK2997" s="37"/>
      <c r="LL2997" s="37"/>
      <c r="LM2997" s="37"/>
      <c r="LN2997" s="37"/>
      <c r="LO2997" s="37"/>
      <c r="LP2997" s="37"/>
      <c r="LQ2997" s="37"/>
      <c r="LR2997" s="37"/>
      <c r="LS2997" s="37"/>
      <c r="LT2997" s="37"/>
      <c r="LU2997" s="37"/>
      <c r="LV2997" s="37"/>
      <c r="LW2997" s="37"/>
      <c r="LX2997" s="37"/>
      <c r="LY2997" s="37"/>
      <c r="LZ2997" s="37"/>
      <c r="MA2997" s="37"/>
      <c r="MB2997" s="37"/>
      <c r="MC2997" s="37"/>
      <c r="MD2997" s="37"/>
      <c r="ME2997" s="37"/>
      <c r="MF2997" s="37"/>
      <c r="MG2997" s="37"/>
      <c r="MH2997" s="37"/>
      <c r="MI2997" s="37"/>
      <c r="MJ2997" s="37"/>
      <c r="MK2997" s="37"/>
      <c r="ML2997" s="37"/>
      <c r="MM2997" s="37"/>
      <c r="MN2997" s="37"/>
      <c r="MO2997" s="37"/>
      <c r="MP2997" s="37"/>
      <c r="MQ2997" s="37"/>
      <c r="MR2997" s="37"/>
      <c r="MS2997" s="37"/>
      <c r="MT2997" s="37"/>
      <c r="MU2997" s="37"/>
      <c r="MV2997" s="37"/>
      <c r="MW2997" s="37"/>
      <c r="MX2997" s="37"/>
      <c r="MY2997" s="37"/>
      <c r="MZ2997" s="37"/>
      <c r="NA2997" s="37"/>
      <c r="NB2997" s="37"/>
      <c r="NC2997" s="37"/>
      <c r="ND2997" s="37"/>
      <c r="NE2997" s="37"/>
      <c r="NF2997" s="37"/>
      <c r="NG2997" s="37"/>
      <c r="NH2997" s="37"/>
      <c r="NI2997" s="37"/>
      <c r="NJ2997" s="37"/>
      <c r="NK2997" s="37"/>
      <c r="NL2997" s="37"/>
      <c r="NM2997" s="37"/>
      <c r="NN2997" s="37"/>
      <c r="NO2997" s="37"/>
      <c r="NP2997" s="37"/>
      <c r="NQ2997" s="37"/>
      <c r="NR2997" s="37"/>
      <c r="NS2997" s="37"/>
      <c r="NT2997" s="37"/>
      <c r="NU2997" s="37"/>
      <c r="NV2997" s="37"/>
      <c r="NW2997" s="37"/>
      <c r="NX2997" s="37"/>
      <c r="NY2997" s="37"/>
      <c r="NZ2997" s="37"/>
      <c r="OA2997" s="37"/>
      <c r="OB2997" s="37"/>
      <c r="OC2997" s="37"/>
      <c r="OD2997" s="37"/>
      <c r="OE2997" s="37"/>
      <c r="OF2997" s="37"/>
      <c r="OG2997" s="37"/>
      <c r="OH2997" s="37"/>
      <c r="OI2997" s="37"/>
      <c r="OJ2997" s="37"/>
      <c r="OK2997" s="37"/>
      <c r="OL2997" s="37"/>
      <c r="OM2997" s="37"/>
      <c r="ON2997" s="37"/>
      <c r="OO2997" s="37"/>
      <c r="OP2997" s="37"/>
      <c r="OQ2997" s="37"/>
      <c r="OR2997" s="37"/>
      <c r="OS2997" s="37"/>
      <c r="OT2997" s="37"/>
      <c r="OU2997" s="37"/>
      <c r="OV2997" s="37"/>
      <c r="OW2997" s="37"/>
      <c r="OX2997" s="37"/>
      <c r="OY2997" s="37"/>
      <c r="OZ2997" s="37"/>
      <c r="PA2997" s="37"/>
      <c r="PB2997" s="37"/>
      <c r="PC2997" s="37"/>
      <c r="PD2997" s="37"/>
      <c r="PE2997" s="37"/>
      <c r="PF2997" s="37"/>
      <c r="PG2997" s="37"/>
      <c r="PH2997" s="37"/>
      <c r="PI2997" s="37"/>
      <c r="PJ2997" s="37"/>
      <c r="PK2997" s="37"/>
      <c r="PL2997" s="37"/>
      <c r="PM2997" s="37"/>
      <c r="PN2997" s="37"/>
      <c r="PO2997" s="37"/>
      <c r="PP2997" s="37"/>
      <c r="PQ2997" s="37"/>
      <c r="PR2997" s="37"/>
      <c r="PS2997" s="37"/>
      <c r="PT2997" s="37"/>
      <c r="PU2997" s="37"/>
      <c r="PV2997" s="37"/>
      <c r="PW2997" s="37"/>
      <c r="PX2997" s="37"/>
      <c r="PY2997" s="37"/>
      <c r="PZ2997" s="37"/>
      <c r="QA2997" s="37"/>
      <c r="QB2997" s="37"/>
      <c r="QC2997" s="37"/>
      <c r="QD2997" s="37"/>
      <c r="QE2997" s="37"/>
      <c r="QF2997" s="37"/>
      <c r="QG2997" s="37"/>
      <c r="QH2997" s="37"/>
      <c r="QI2997" s="37"/>
      <c r="QJ2997" s="37"/>
      <c r="QK2997" s="37"/>
      <c r="QL2997" s="37"/>
      <c r="QM2997" s="37"/>
      <c r="QN2997" s="37"/>
      <c r="QO2997" s="37"/>
      <c r="QP2997" s="37"/>
      <c r="QQ2997" s="37"/>
      <c r="QR2997" s="37"/>
      <c r="QS2997" s="37"/>
      <c r="QT2997" s="37"/>
      <c r="QU2997" s="37"/>
      <c r="QV2997" s="37"/>
      <c r="QW2997" s="37"/>
      <c r="QX2997" s="37"/>
      <c r="QY2997" s="37"/>
      <c r="QZ2997" s="37"/>
      <c r="RA2997" s="37"/>
      <c r="RB2997" s="37"/>
      <c r="RC2997" s="37"/>
      <c r="RD2997" s="37"/>
      <c r="RE2997" s="37"/>
      <c r="RF2997" s="37"/>
      <c r="RG2997" s="37"/>
      <c r="RH2997" s="37"/>
      <c r="RI2997" s="37"/>
      <c r="RJ2997" s="37"/>
      <c r="RK2997" s="37"/>
      <c r="RL2997" s="37"/>
      <c r="RM2997" s="37"/>
      <c r="RN2997" s="37"/>
      <c r="RO2997" s="37"/>
      <c r="RP2997" s="37"/>
      <c r="RQ2997" s="37"/>
      <c r="RR2997" s="37"/>
      <c r="RS2997" s="37"/>
      <c r="RT2997" s="37"/>
      <c r="RU2997" s="37"/>
      <c r="RV2997" s="37"/>
      <c r="RW2997" s="37"/>
      <c r="RX2997" s="37"/>
      <c r="RY2997" s="37"/>
      <c r="RZ2997" s="37"/>
      <c r="SA2997" s="37"/>
      <c r="SB2997" s="37"/>
      <c r="SC2997" s="37"/>
      <c r="SD2997" s="37"/>
      <c r="SE2997" s="37"/>
      <c r="SF2997" s="37"/>
    </row>
    <row r="2998" spans="1:500">
      <c r="A2998" s="37"/>
      <c r="B2998" s="37"/>
      <c r="C2998" s="37"/>
      <c r="D2998" s="37"/>
      <c r="E2998" s="37"/>
      <c r="F2998" s="37"/>
      <c r="G2998" s="37"/>
      <c r="H2998" s="37"/>
      <c r="I2998" s="37"/>
      <c r="J2998" s="37"/>
      <c r="K2998" s="37"/>
      <c r="L2998" s="37"/>
      <c r="M2998" s="37"/>
      <c r="N2998" s="37"/>
      <c r="O2998" s="37"/>
      <c r="P2998" s="37"/>
      <c r="Q2998" s="37"/>
      <c r="R2998" s="37"/>
      <c r="S2998" s="37"/>
      <c r="T2998" s="37"/>
      <c r="U2998" s="37"/>
      <c r="V2998" s="37"/>
      <c r="W2998" s="37"/>
      <c r="X2998" s="37"/>
      <c r="Y2998" s="37"/>
      <c r="Z2998" s="37"/>
      <c r="AA2998" s="37"/>
      <c r="AB2998" s="37"/>
      <c r="AC2998" s="37"/>
      <c r="AD2998" s="37"/>
      <c r="AE2998" s="37"/>
      <c r="AF2998" s="37"/>
      <c r="AG2998" s="37"/>
      <c r="AH2998" s="37"/>
      <c r="AI2998" s="37"/>
      <c r="AJ2998" s="37"/>
      <c r="AK2998" s="37"/>
      <c r="AL2998" s="37"/>
      <c r="AM2998" s="37"/>
      <c r="AN2998" s="37"/>
      <c r="AO2998" s="37"/>
      <c r="AP2998" s="37"/>
      <c r="AQ2998" s="37"/>
      <c r="AR2998" s="37"/>
      <c r="AS2998" s="37"/>
      <c r="AT2998" s="37"/>
      <c r="AU2998" s="37"/>
      <c r="AV2998" s="37"/>
      <c r="AW2998" s="37"/>
      <c r="AX2998" s="37"/>
      <c r="AY2998" s="37"/>
      <c r="AZ2998" s="37"/>
      <c r="BA2998" s="37"/>
      <c r="BB2998" s="37"/>
      <c r="BC2998" s="37"/>
      <c r="BD2998" s="37"/>
      <c r="BE2998" s="37"/>
      <c r="BF2998" s="37"/>
      <c r="BG2998" s="37"/>
      <c r="BH2998" s="37"/>
      <c r="BI2998" s="37"/>
      <c r="BJ2998" s="37"/>
      <c r="BK2998" s="37"/>
      <c r="BL2998" s="37"/>
      <c r="BM2998" s="37"/>
      <c r="BN2998" s="37"/>
      <c r="BO2998" s="37"/>
      <c r="BP2998" s="37"/>
      <c r="BQ2998" s="37"/>
      <c r="BR2998" s="37"/>
      <c r="BS2998" s="37"/>
      <c r="BT2998" s="37"/>
      <c r="BU2998" s="37"/>
      <c r="BV2998" s="37"/>
      <c r="BW2998" s="37"/>
      <c r="BX2998" s="37"/>
      <c r="BY2998" s="37"/>
      <c r="BZ2998" s="37"/>
      <c r="CA2998" s="37"/>
      <c r="CB2998" s="37"/>
      <c r="CC2998" s="37"/>
      <c r="CD2998" s="37"/>
      <c r="CE2998" s="37"/>
      <c r="CF2998" s="37"/>
      <c r="CG2998" s="37"/>
      <c r="CH2998" s="37"/>
      <c r="CI2998" s="37"/>
      <c r="CJ2998" s="37"/>
      <c r="CK2998" s="37"/>
      <c r="CL2998" s="37"/>
      <c r="CM2998" s="37"/>
      <c r="CN2998" s="37"/>
      <c r="CO2998" s="37"/>
      <c r="CP2998" s="37"/>
      <c r="CQ2998" s="37"/>
      <c r="CR2998" s="37"/>
      <c r="CS2998" s="37"/>
      <c r="CT2998" s="37"/>
      <c r="CU2998" s="37"/>
      <c r="CV2998" s="37"/>
      <c r="CW2998" s="37"/>
      <c r="CX2998" s="37"/>
      <c r="CY2998" s="37"/>
      <c r="CZ2998" s="37"/>
      <c r="DA2998" s="37"/>
      <c r="DB2998" s="37"/>
      <c r="DC2998" s="37"/>
      <c r="DD2998" s="37"/>
      <c r="DE2998" s="37"/>
      <c r="DF2998" s="37"/>
      <c r="DG2998" s="37"/>
      <c r="DH2998" s="37"/>
      <c r="DI2998" s="37"/>
      <c r="DJ2998" s="37"/>
      <c r="DK2998" s="37"/>
      <c r="DL2998" s="37"/>
      <c r="DM2998" s="37"/>
      <c r="DN2998" s="37"/>
      <c r="DO2998" s="37"/>
      <c r="DP2998" s="37"/>
      <c r="DQ2998" s="37"/>
      <c r="DR2998" s="37"/>
      <c r="DS2998" s="37"/>
      <c r="DT2998" s="37"/>
      <c r="DU2998" s="37"/>
      <c r="DV2998" s="37"/>
      <c r="DW2998" s="37"/>
      <c r="DX2998" s="37"/>
      <c r="DY2998" s="37"/>
      <c r="DZ2998" s="37"/>
      <c r="EA2998" s="37"/>
      <c r="EB2998" s="37"/>
      <c r="EC2998" s="37"/>
      <c r="ED2998" s="37"/>
      <c r="EE2998" s="37"/>
      <c r="EF2998" s="37"/>
      <c r="EG2998" s="37"/>
      <c r="EH2998" s="37"/>
      <c r="EI2998" s="37"/>
      <c r="EJ2998" s="37"/>
      <c r="EK2998" s="37"/>
      <c r="EL2998" s="37"/>
      <c r="EM2998" s="37"/>
      <c r="EN2998" s="37"/>
      <c r="EO2998" s="37"/>
      <c r="EP2998" s="37"/>
      <c r="EQ2998" s="37"/>
      <c r="ER2998" s="37"/>
      <c r="ES2998" s="37"/>
      <c r="ET2998" s="37"/>
      <c r="EU2998" s="37"/>
      <c r="EV2998" s="37"/>
      <c r="EW2998" s="37"/>
      <c r="EX2998" s="37"/>
      <c r="EY2998" s="37"/>
      <c r="EZ2998" s="37"/>
      <c r="FA2998" s="37"/>
      <c r="FB2998" s="37"/>
      <c r="FC2998" s="37"/>
      <c r="FD2998" s="37"/>
      <c r="FE2998" s="37"/>
      <c r="FF2998" s="37"/>
      <c r="FG2998" s="37"/>
      <c r="FH2998" s="37"/>
      <c r="FI2998" s="37"/>
      <c r="FJ2998" s="37"/>
      <c r="FK2998" s="37"/>
      <c r="FL2998" s="37"/>
      <c r="FM2998" s="37"/>
      <c r="FN2998" s="37"/>
      <c r="FO2998" s="37"/>
      <c r="FP2998" s="37"/>
      <c r="FQ2998" s="37"/>
      <c r="FR2998" s="37"/>
      <c r="FS2998" s="37"/>
      <c r="FT2998" s="37"/>
      <c r="FU2998" s="37"/>
      <c r="FV2998" s="37"/>
      <c r="FW2998" s="37"/>
      <c r="FX2998" s="37"/>
      <c r="FY2998" s="37"/>
      <c r="FZ2998" s="37"/>
      <c r="GA2998" s="37"/>
      <c r="GB2998" s="37"/>
      <c r="GC2998" s="37"/>
      <c r="GD2998" s="37"/>
      <c r="GE2998" s="37"/>
      <c r="GF2998" s="37"/>
      <c r="GG2998" s="37"/>
      <c r="GH2998" s="37"/>
      <c r="GI2998" s="37"/>
      <c r="GJ2998" s="37"/>
      <c r="GK2998" s="37"/>
      <c r="GL2998" s="37"/>
      <c r="GM2998" s="37"/>
      <c r="GN2998" s="37"/>
      <c r="GO2998" s="37"/>
      <c r="GP2998" s="37"/>
      <c r="GQ2998" s="37"/>
      <c r="GR2998" s="37"/>
      <c r="GS2998" s="37"/>
      <c r="GT2998" s="37"/>
      <c r="GU2998" s="37"/>
      <c r="GV2998" s="37"/>
      <c r="GW2998" s="37"/>
      <c r="GX2998" s="37"/>
      <c r="GY2998" s="37"/>
      <c r="GZ2998" s="37"/>
      <c r="HA2998" s="37"/>
      <c r="HB2998" s="37"/>
      <c r="HC2998" s="37"/>
      <c r="HD2998" s="37"/>
      <c r="HE2998" s="37"/>
      <c r="HF2998" s="37"/>
      <c r="HG2998" s="37"/>
      <c r="HH2998" s="37"/>
      <c r="HI2998" s="37"/>
      <c r="HJ2998" s="37"/>
      <c r="HK2998" s="37"/>
      <c r="HL2998" s="37"/>
      <c r="HM2998" s="37"/>
      <c r="HN2998" s="37"/>
      <c r="HO2998" s="37"/>
      <c r="HP2998" s="37"/>
      <c r="HQ2998" s="37"/>
      <c r="HR2998" s="37"/>
      <c r="HS2998" s="37"/>
      <c r="HT2998" s="37"/>
      <c r="HU2998" s="37"/>
      <c r="HV2998" s="37"/>
      <c r="HW2998" s="37"/>
      <c r="HX2998" s="37"/>
      <c r="HY2998" s="37"/>
      <c r="HZ2998" s="37"/>
      <c r="IA2998" s="37"/>
      <c r="IB2998" s="37"/>
      <c r="IC2998" s="37"/>
      <c r="ID2998" s="37"/>
      <c r="IE2998" s="37"/>
      <c r="IF2998" s="37"/>
      <c r="IG2998" s="37"/>
      <c r="IH2998" s="37"/>
      <c r="II2998" s="37"/>
      <c r="IJ2998" s="37"/>
      <c r="IK2998" s="37"/>
      <c r="IL2998" s="37"/>
      <c r="IM2998" s="37"/>
      <c r="IN2998" s="37"/>
      <c r="IO2998" s="37"/>
      <c r="IP2998" s="37"/>
      <c r="IQ2998" s="37"/>
      <c r="IR2998" s="37"/>
      <c r="IS2998" s="37"/>
      <c r="IT2998" s="37"/>
      <c r="IU2998" s="37"/>
      <c r="IV2998" s="37"/>
      <c r="IW2998" s="37"/>
      <c r="IX2998" s="37"/>
      <c r="IY2998" s="37"/>
      <c r="IZ2998" s="37"/>
      <c r="JA2998" s="37"/>
      <c r="JB2998" s="37"/>
      <c r="JC2998" s="37"/>
      <c r="JD2998" s="37"/>
      <c r="JE2998" s="37"/>
      <c r="JF2998" s="37"/>
      <c r="JG2998" s="37"/>
      <c r="JH2998" s="37"/>
      <c r="JI2998" s="37"/>
      <c r="JJ2998" s="37"/>
      <c r="JK2998" s="37"/>
      <c r="JL2998" s="37"/>
      <c r="JM2998" s="37"/>
      <c r="JN2998" s="37"/>
      <c r="JO2998" s="37"/>
      <c r="JP2998" s="37"/>
      <c r="JQ2998" s="37"/>
      <c r="JR2998" s="37"/>
      <c r="JS2998" s="37"/>
      <c r="JT2998" s="37"/>
      <c r="JU2998" s="37"/>
      <c r="JV2998" s="37"/>
      <c r="JW2998" s="37"/>
      <c r="JX2998" s="37"/>
      <c r="JY2998" s="37"/>
      <c r="JZ2998" s="37"/>
      <c r="KA2998" s="37"/>
      <c r="KB2998" s="37"/>
      <c r="KC2998" s="37"/>
      <c r="KD2998" s="37"/>
      <c r="KE2998" s="37"/>
      <c r="KF2998" s="37"/>
      <c r="KG2998" s="37"/>
      <c r="KH2998" s="37"/>
      <c r="KI2998" s="37"/>
      <c r="KJ2998" s="37"/>
      <c r="KK2998" s="37"/>
      <c r="KL2998" s="37"/>
      <c r="KM2998" s="37"/>
      <c r="KN2998" s="37"/>
      <c r="KO2998" s="37"/>
      <c r="KP2998" s="37"/>
      <c r="KQ2998" s="37"/>
      <c r="KR2998" s="37"/>
      <c r="KS2998" s="37"/>
      <c r="KT2998" s="37"/>
      <c r="KU2998" s="37"/>
      <c r="KV2998" s="37"/>
      <c r="KW2998" s="37"/>
      <c r="KX2998" s="37"/>
      <c r="KY2998" s="37"/>
      <c r="KZ2998" s="37"/>
      <c r="LA2998" s="37"/>
      <c r="LB2998" s="37"/>
      <c r="LC2998" s="37"/>
      <c r="LD2998" s="37"/>
      <c r="LE2998" s="37"/>
      <c r="LF2998" s="37"/>
      <c r="LG2998" s="37"/>
      <c r="LH2998" s="37"/>
      <c r="LI2998" s="37"/>
      <c r="LJ2998" s="37"/>
      <c r="LK2998" s="37"/>
      <c r="LL2998" s="37"/>
      <c r="LM2998" s="37"/>
      <c r="LN2998" s="37"/>
      <c r="LO2998" s="37"/>
      <c r="LP2998" s="37"/>
      <c r="LQ2998" s="37"/>
      <c r="LR2998" s="37"/>
      <c r="LS2998" s="37"/>
      <c r="LT2998" s="37"/>
      <c r="LU2998" s="37"/>
      <c r="LV2998" s="37"/>
      <c r="LW2998" s="37"/>
      <c r="LX2998" s="37"/>
      <c r="LY2998" s="37"/>
      <c r="LZ2998" s="37"/>
      <c r="MA2998" s="37"/>
      <c r="MB2998" s="37"/>
      <c r="MC2998" s="37"/>
      <c r="MD2998" s="37"/>
      <c r="ME2998" s="37"/>
      <c r="MF2998" s="37"/>
      <c r="MG2998" s="37"/>
      <c r="MH2998" s="37"/>
      <c r="MI2998" s="37"/>
      <c r="MJ2998" s="37"/>
      <c r="MK2998" s="37"/>
      <c r="ML2998" s="37"/>
      <c r="MM2998" s="37"/>
      <c r="MN2998" s="37"/>
      <c r="MO2998" s="37"/>
      <c r="MP2998" s="37"/>
      <c r="MQ2998" s="37"/>
      <c r="MR2998" s="37"/>
      <c r="MS2998" s="37"/>
      <c r="MT2998" s="37"/>
      <c r="MU2998" s="37"/>
      <c r="MV2998" s="37"/>
      <c r="MW2998" s="37"/>
      <c r="MX2998" s="37"/>
      <c r="MY2998" s="37"/>
      <c r="MZ2998" s="37"/>
      <c r="NA2998" s="37"/>
      <c r="NB2998" s="37"/>
      <c r="NC2998" s="37"/>
      <c r="ND2998" s="37"/>
      <c r="NE2998" s="37"/>
      <c r="NF2998" s="37"/>
      <c r="NG2998" s="37"/>
      <c r="NH2998" s="37"/>
      <c r="NI2998" s="37"/>
      <c r="NJ2998" s="37"/>
      <c r="NK2998" s="37"/>
      <c r="NL2998" s="37"/>
      <c r="NM2998" s="37"/>
      <c r="NN2998" s="37"/>
      <c r="NO2998" s="37"/>
      <c r="NP2998" s="37"/>
      <c r="NQ2998" s="37"/>
      <c r="NR2998" s="37"/>
      <c r="NS2998" s="37"/>
      <c r="NT2998" s="37"/>
      <c r="NU2998" s="37"/>
      <c r="NV2998" s="37"/>
      <c r="NW2998" s="37"/>
      <c r="NX2998" s="37"/>
      <c r="NY2998" s="37"/>
      <c r="NZ2998" s="37"/>
      <c r="OA2998" s="37"/>
      <c r="OB2998" s="37"/>
      <c r="OC2998" s="37"/>
      <c r="OD2998" s="37"/>
      <c r="OE2998" s="37"/>
      <c r="OF2998" s="37"/>
      <c r="OG2998" s="37"/>
      <c r="OH2998" s="37"/>
      <c r="OI2998" s="37"/>
      <c r="OJ2998" s="37"/>
      <c r="OK2998" s="37"/>
      <c r="OL2998" s="37"/>
      <c r="OM2998" s="37"/>
      <c r="ON2998" s="37"/>
      <c r="OO2998" s="37"/>
      <c r="OP2998" s="37"/>
      <c r="OQ2998" s="37"/>
      <c r="OR2998" s="37"/>
      <c r="OS2998" s="37"/>
      <c r="OT2998" s="37"/>
      <c r="OU2998" s="37"/>
      <c r="OV2998" s="37"/>
      <c r="OW2998" s="37"/>
      <c r="OX2998" s="37"/>
      <c r="OY2998" s="37"/>
      <c r="OZ2998" s="37"/>
      <c r="PA2998" s="37"/>
      <c r="PB2998" s="37"/>
      <c r="PC2998" s="37"/>
      <c r="PD2998" s="37"/>
      <c r="PE2998" s="37"/>
      <c r="PF2998" s="37"/>
      <c r="PG2998" s="37"/>
      <c r="PH2998" s="37"/>
      <c r="PI2998" s="37"/>
      <c r="PJ2998" s="37"/>
      <c r="PK2998" s="37"/>
      <c r="PL2998" s="37"/>
      <c r="PM2998" s="37"/>
      <c r="PN2998" s="37"/>
      <c r="PO2998" s="37"/>
      <c r="PP2998" s="37"/>
      <c r="PQ2998" s="37"/>
      <c r="PR2998" s="37"/>
      <c r="PS2998" s="37"/>
      <c r="PT2998" s="37"/>
      <c r="PU2998" s="37"/>
      <c r="PV2998" s="37"/>
      <c r="PW2998" s="37"/>
      <c r="PX2998" s="37"/>
      <c r="PY2998" s="37"/>
      <c r="PZ2998" s="37"/>
      <c r="QA2998" s="37"/>
      <c r="QB2998" s="37"/>
      <c r="QC2998" s="37"/>
      <c r="QD2998" s="37"/>
      <c r="QE2998" s="37"/>
      <c r="QF2998" s="37"/>
      <c r="QG2998" s="37"/>
      <c r="QH2998" s="37"/>
      <c r="QI2998" s="37"/>
      <c r="QJ2998" s="37"/>
      <c r="QK2998" s="37"/>
      <c r="QL2998" s="37"/>
      <c r="QM2998" s="37"/>
      <c r="QN2998" s="37"/>
      <c r="QO2998" s="37"/>
      <c r="QP2998" s="37"/>
      <c r="QQ2998" s="37"/>
      <c r="QR2998" s="37"/>
      <c r="QS2998" s="37"/>
      <c r="QT2998" s="37"/>
      <c r="QU2998" s="37"/>
      <c r="QV2998" s="37"/>
      <c r="QW2998" s="37"/>
      <c r="QX2998" s="37"/>
      <c r="QY2998" s="37"/>
      <c r="QZ2998" s="37"/>
      <c r="RA2998" s="37"/>
      <c r="RB2998" s="37"/>
      <c r="RC2998" s="37"/>
      <c r="RD2998" s="37"/>
      <c r="RE2998" s="37"/>
      <c r="RF2998" s="37"/>
      <c r="RG2998" s="37"/>
      <c r="RH2998" s="37"/>
      <c r="RI2998" s="37"/>
      <c r="RJ2998" s="37"/>
      <c r="RK2998" s="37"/>
      <c r="RL2998" s="37"/>
      <c r="RM2998" s="37"/>
      <c r="RN2998" s="37"/>
      <c r="RO2998" s="37"/>
      <c r="RP2998" s="37"/>
      <c r="RQ2998" s="37"/>
      <c r="RR2998" s="37"/>
      <c r="RS2998" s="37"/>
      <c r="RT2998" s="37"/>
      <c r="RU2998" s="37"/>
      <c r="RV2998" s="37"/>
      <c r="RW2998" s="37"/>
      <c r="RX2998" s="37"/>
      <c r="RY2998" s="37"/>
      <c r="RZ2998" s="37"/>
      <c r="SA2998" s="37"/>
      <c r="SB2998" s="37"/>
      <c r="SC2998" s="37"/>
      <c r="SD2998" s="37"/>
      <c r="SE2998" s="37"/>
      <c r="SF2998" s="37"/>
    </row>
    <row r="2999" spans="1:500">
      <c r="A2999" s="37"/>
      <c r="B2999" s="37"/>
      <c r="C2999" s="37"/>
      <c r="D2999" s="37"/>
      <c r="E2999" s="37"/>
      <c r="F2999" s="37"/>
      <c r="G2999" s="37"/>
      <c r="H2999" s="37"/>
      <c r="I2999" s="37"/>
      <c r="J2999" s="37"/>
      <c r="K2999" s="37"/>
      <c r="L2999" s="37"/>
      <c r="M2999" s="37"/>
      <c r="N2999" s="37"/>
      <c r="O2999" s="37"/>
      <c r="P2999" s="37"/>
      <c r="Q2999" s="37"/>
      <c r="R2999" s="37"/>
      <c r="S2999" s="37"/>
      <c r="T2999" s="37"/>
      <c r="U2999" s="37"/>
      <c r="V2999" s="37"/>
      <c r="W2999" s="37"/>
      <c r="X2999" s="37"/>
      <c r="Y2999" s="37"/>
      <c r="Z2999" s="37"/>
      <c r="AA2999" s="37"/>
      <c r="AB2999" s="37"/>
      <c r="AC2999" s="37"/>
      <c r="AD2999" s="37"/>
      <c r="AE2999" s="37"/>
      <c r="AF2999" s="37"/>
      <c r="AG2999" s="37"/>
      <c r="AH2999" s="37"/>
      <c r="AI2999" s="37"/>
      <c r="AJ2999" s="37"/>
      <c r="AK2999" s="37"/>
      <c r="AL2999" s="37"/>
      <c r="AM2999" s="37"/>
      <c r="AN2999" s="37"/>
      <c r="AO2999" s="37"/>
      <c r="AP2999" s="37"/>
      <c r="AQ2999" s="37"/>
      <c r="AR2999" s="37"/>
      <c r="AS2999" s="37"/>
      <c r="AT2999" s="37"/>
      <c r="AU2999" s="37"/>
      <c r="AV2999" s="37"/>
      <c r="AW2999" s="37"/>
      <c r="AX2999" s="37"/>
      <c r="AY2999" s="37"/>
      <c r="AZ2999" s="37"/>
      <c r="BA2999" s="37"/>
      <c r="BB2999" s="37"/>
      <c r="BC2999" s="37"/>
      <c r="BD2999" s="37"/>
      <c r="BE2999" s="37"/>
      <c r="BF2999" s="37"/>
      <c r="BG2999" s="37"/>
      <c r="BH2999" s="37"/>
      <c r="BI2999" s="37"/>
      <c r="BJ2999" s="37"/>
      <c r="BK2999" s="37"/>
      <c r="BL2999" s="37"/>
      <c r="BM2999" s="37"/>
      <c r="BN2999" s="37"/>
      <c r="BO2999" s="37"/>
      <c r="BP2999" s="37"/>
      <c r="BQ2999" s="37"/>
      <c r="BR2999" s="37"/>
      <c r="BS2999" s="37"/>
      <c r="BT2999" s="37"/>
      <c r="BU2999" s="37"/>
      <c r="BV2999" s="37"/>
      <c r="BW2999" s="37"/>
      <c r="BX2999" s="37"/>
      <c r="BY2999" s="37"/>
      <c r="BZ2999" s="37"/>
      <c r="CA2999" s="37"/>
      <c r="CB2999" s="37"/>
      <c r="CC2999" s="37"/>
      <c r="CD2999" s="37"/>
      <c r="CE2999" s="37"/>
      <c r="CF2999" s="37"/>
      <c r="CG2999" s="37"/>
      <c r="CH2999" s="37"/>
      <c r="CI2999" s="37"/>
      <c r="CJ2999" s="37"/>
      <c r="CK2999" s="37"/>
      <c r="CL2999" s="37"/>
      <c r="CM2999" s="37"/>
      <c r="CN2999" s="37"/>
      <c r="CO2999" s="37"/>
      <c r="CP2999" s="37"/>
      <c r="CQ2999" s="37"/>
      <c r="CR2999" s="37"/>
      <c r="CS2999" s="37"/>
      <c r="CT2999" s="37"/>
      <c r="CU2999" s="37"/>
      <c r="CV2999" s="37"/>
      <c r="CW2999" s="37"/>
      <c r="CX2999" s="37"/>
      <c r="CY2999" s="37"/>
      <c r="CZ2999" s="37"/>
      <c r="DA2999" s="37"/>
      <c r="DB2999" s="37"/>
      <c r="DC2999" s="37"/>
      <c r="DD2999" s="37"/>
      <c r="DE2999" s="37"/>
      <c r="DF2999" s="37"/>
      <c r="DG2999" s="37"/>
      <c r="DH2999" s="37"/>
      <c r="DI2999" s="37"/>
      <c r="DJ2999" s="37"/>
      <c r="DK2999" s="37"/>
      <c r="DL2999" s="37"/>
      <c r="DM2999" s="37"/>
      <c r="DN2999" s="37"/>
      <c r="DO2999" s="37"/>
      <c r="DP2999" s="37"/>
      <c r="DQ2999" s="37"/>
      <c r="DR2999" s="37"/>
      <c r="DS2999" s="37"/>
      <c r="DT2999" s="37"/>
      <c r="DU2999" s="37"/>
      <c r="DV2999" s="37"/>
      <c r="DW2999" s="37"/>
      <c r="DX2999" s="37"/>
      <c r="DY2999" s="37"/>
      <c r="DZ2999" s="37"/>
      <c r="EA2999" s="37"/>
      <c r="EB2999" s="37"/>
      <c r="EC2999" s="37"/>
      <c r="ED2999" s="37"/>
      <c r="EE2999" s="37"/>
      <c r="EF2999" s="37"/>
      <c r="EG2999" s="37"/>
      <c r="EH2999" s="37"/>
      <c r="EI2999" s="37"/>
      <c r="EJ2999" s="37"/>
      <c r="EK2999" s="37"/>
      <c r="EL2999" s="37"/>
      <c r="EM2999" s="37"/>
      <c r="EN2999" s="37"/>
      <c r="EO2999" s="37"/>
      <c r="EP2999" s="37"/>
      <c r="EQ2999" s="37"/>
      <c r="ER2999" s="37"/>
      <c r="ES2999" s="37"/>
      <c r="ET2999" s="37"/>
      <c r="EU2999" s="37"/>
      <c r="EV2999" s="37"/>
      <c r="EW2999" s="37"/>
      <c r="EX2999" s="37"/>
      <c r="EY2999" s="37"/>
      <c r="EZ2999" s="37"/>
      <c r="FA2999" s="37"/>
      <c r="FB2999" s="37"/>
      <c r="FC2999" s="37"/>
      <c r="FD2999" s="37"/>
      <c r="FE2999" s="37"/>
      <c r="FF2999" s="37"/>
      <c r="FG2999" s="37"/>
      <c r="FH2999" s="37"/>
      <c r="FI2999" s="37"/>
      <c r="FJ2999" s="37"/>
      <c r="FK2999" s="37"/>
      <c r="FL2999" s="37"/>
      <c r="FM2999" s="37"/>
      <c r="FN2999" s="37"/>
      <c r="FO2999" s="37"/>
      <c r="FP2999" s="37"/>
      <c r="FQ2999" s="37"/>
      <c r="FR2999" s="37"/>
      <c r="FS2999" s="37"/>
      <c r="FT2999" s="37"/>
      <c r="FU2999" s="37"/>
      <c r="FV2999" s="37"/>
      <c r="FW2999" s="37"/>
      <c r="FX2999" s="37"/>
      <c r="FY2999" s="37"/>
      <c r="FZ2999" s="37"/>
      <c r="GA2999" s="37"/>
      <c r="GB2999" s="37"/>
      <c r="GC2999" s="37"/>
      <c r="GD2999" s="37"/>
      <c r="GE2999" s="37"/>
      <c r="GF2999" s="37"/>
      <c r="GG2999" s="37"/>
      <c r="GH2999" s="37"/>
      <c r="GI2999" s="37"/>
      <c r="GJ2999" s="37"/>
      <c r="GK2999" s="37"/>
      <c r="GL2999" s="37"/>
      <c r="GM2999" s="37"/>
      <c r="GN2999" s="37"/>
      <c r="GO2999" s="37"/>
      <c r="GP2999" s="37"/>
      <c r="GQ2999" s="37"/>
      <c r="GR2999" s="37"/>
      <c r="GS2999" s="37"/>
      <c r="GT2999" s="37"/>
      <c r="GU2999" s="37"/>
      <c r="GV2999" s="37"/>
      <c r="GW2999" s="37"/>
      <c r="GX2999" s="37"/>
      <c r="GY2999" s="37"/>
      <c r="GZ2999" s="37"/>
      <c r="HA2999" s="37"/>
      <c r="HB2999" s="37"/>
      <c r="HC2999" s="37"/>
      <c r="HD2999" s="37"/>
      <c r="HE2999" s="37"/>
      <c r="HF2999" s="37"/>
      <c r="HG2999" s="37"/>
      <c r="HH2999" s="37"/>
      <c r="HI2999" s="37"/>
      <c r="HJ2999" s="37"/>
      <c r="HK2999" s="37"/>
      <c r="HL2999" s="37"/>
      <c r="HM2999" s="37"/>
      <c r="HN2999" s="37"/>
      <c r="HO2999" s="37"/>
      <c r="HP2999" s="37"/>
      <c r="HQ2999" s="37"/>
      <c r="HR2999" s="37"/>
      <c r="HS2999" s="37"/>
      <c r="HT2999" s="37"/>
      <c r="HU2999" s="37"/>
      <c r="HV2999" s="37"/>
      <c r="HW2999" s="37"/>
      <c r="HX2999" s="37"/>
      <c r="HY2999" s="37"/>
      <c r="HZ2999" s="37"/>
      <c r="IA2999" s="37"/>
      <c r="IB2999" s="37"/>
      <c r="IC2999" s="37"/>
      <c r="ID2999" s="37"/>
      <c r="IE2999" s="37"/>
      <c r="IF2999" s="37"/>
      <c r="IG2999" s="37"/>
      <c r="IH2999" s="37"/>
      <c r="II2999" s="37"/>
      <c r="IJ2999" s="37"/>
      <c r="IK2999" s="37"/>
      <c r="IL2999" s="37"/>
      <c r="IM2999" s="37"/>
      <c r="IN2999" s="37"/>
      <c r="IO2999" s="37"/>
      <c r="IP2999" s="37"/>
      <c r="IQ2999" s="37"/>
      <c r="IR2999" s="37"/>
      <c r="IS2999" s="37"/>
      <c r="IT2999" s="37"/>
      <c r="IU2999" s="37"/>
      <c r="IV2999" s="37"/>
      <c r="IW2999" s="37"/>
      <c r="IX2999" s="37"/>
      <c r="IY2999" s="37"/>
      <c r="IZ2999" s="37"/>
      <c r="JA2999" s="37"/>
      <c r="JB2999" s="37"/>
      <c r="JC2999" s="37"/>
      <c r="JD2999" s="37"/>
      <c r="JE2999" s="37"/>
      <c r="JF2999" s="37"/>
      <c r="JG2999" s="37"/>
      <c r="JH2999" s="37"/>
      <c r="JI2999" s="37"/>
      <c r="JJ2999" s="37"/>
      <c r="JK2999" s="37"/>
      <c r="JL2999" s="37"/>
      <c r="JM2999" s="37"/>
      <c r="JN2999" s="37"/>
      <c r="JO2999" s="37"/>
      <c r="JP2999" s="37"/>
      <c r="JQ2999" s="37"/>
      <c r="JR2999" s="37"/>
      <c r="JS2999" s="37"/>
      <c r="JT2999" s="37"/>
      <c r="JU2999" s="37"/>
      <c r="JV2999" s="37"/>
      <c r="JW2999" s="37"/>
      <c r="JX2999" s="37"/>
      <c r="JY2999" s="37"/>
      <c r="JZ2999" s="37"/>
      <c r="KA2999" s="37"/>
      <c r="KB2999" s="37"/>
      <c r="KC2999" s="37"/>
      <c r="KD2999" s="37"/>
      <c r="KE2999" s="37"/>
      <c r="KF2999" s="37"/>
      <c r="KG2999" s="37"/>
      <c r="KH2999" s="37"/>
      <c r="KI2999" s="37"/>
      <c r="KJ2999" s="37"/>
      <c r="KK2999" s="37"/>
      <c r="KL2999" s="37"/>
      <c r="KM2999" s="37"/>
      <c r="KN2999" s="37"/>
      <c r="KO2999" s="37"/>
      <c r="KP2999" s="37"/>
      <c r="KQ2999" s="37"/>
      <c r="KR2999" s="37"/>
      <c r="KS2999" s="37"/>
      <c r="KT2999" s="37"/>
      <c r="KU2999" s="37"/>
      <c r="KV2999" s="37"/>
      <c r="KW2999" s="37"/>
      <c r="KX2999" s="37"/>
      <c r="KY2999" s="37"/>
      <c r="KZ2999" s="37"/>
      <c r="LA2999" s="37"/>
      <c r="LB2999" s="37"/>
      <c r="LC2999" s="37"/>
      <c r="LD2999" s="37"/>
      <c r="LE2999" s="37"/>
      <c r="LF2999" s="37"/>
      <c r="LG2999" s="37"/>
      <c r="LH2999" s="37"/>
      <c r="LI2999" s="37"/>
      <c r="LJ2999" s="37"/>
      <c r="LK2999" s="37"/>
      <c r="LL2999" s="37"/>
      <c r="LM2999" s="37"/>
      <c r="LN2999" s="37"/>
      <c r="LO2999" s="37"/>
      <c r="LP2999" s="37"/>
      <c r="LQ2999" s="37"/>
      <c r="LR2999" s="37"/>
      <c r="LS2999" s="37"/>
      <c r="LT2999" s="37"/>
      <c r="LU2999" s="37"/>
      <c r="LV2999" s="37"/>
      <c r="LW2999" s="37"/>
      <c r="LX2999" s="37"/>
      <c r="LY2999" s="37"/>
      <c r="LZ2999" s="37"/>
      <c r="MA2999" s="37"/>
      <c r="MB2999" s="37"/>
      <c r="MC2999" s="37"/>
      <c r="MD2999" s="37"/>
      <c r="ME2999" s="37"/>
      <c r="MF2999" s="37"/>
      <c r="MG2999" s="37"/>
      <c r="MH2999" s="37"/>
      <c r="MI2999" s="37"/>
      <c r="MJ2999" s="37"/>
      <c r="MK2999" s="37"/>
      <c r="ML2999" s="37"/>
      <c r="MM2999" s="37"/>
      <c r="MN2999" s="37"/>
      <c r="MO2999" s="37"/>
      <c r="MP2999" s="37"/>
      <c r="MQ2999" s="37"/>
      <c r="MR2999" s="37"/>
      <c r="MS2999" s="37"/>
      <c r="MT2999" s="37"/>
      <c r="MU2999" s="37"/>
      <c r="MV2999" s="37"/>
      <c r="MW2999" s="37"/>
      <c r="MX2999" s="37"/>
      <c r="MY2999" s="37"/>
      <c r="MZ2999" s="37"/>
      <c r="NA2999" s="37"/>
      <c r="NB2999" s="37"/>
      <c r="NC2999" s="37"/>
      <c r="ND2999" s="37"/>
      <c r="NE2999" s="37"/>
      <c r="NF2999" s="37"/>
      <c r="NG2999" s="37"/>
      <c r="NH2999" s="37"/>
      <c r="NI2999" s="37"/>
      <c r="NJ2999" s="37"/>
      <c r="NK2999" s="37"/>
      <c r="NL2999" s="37"/>
      <c r="NM2999" s="37"/>
      <c r="NN2999" s="37"/>
      <c r="NO2999" s="37"/>
      <c r="NP2999" s="37"/>
      <c r="NQ2999" s="37"/>
      <c r="NR2999" s="37"/>
      <c r="NS2999" s="37"/>
      <c r="NT2999" s="37"/>
      <c r="NU2999" s="37"/>
      <c r="NV2999" s="37"/>
      <c r="NW2999" s="37"/>
      <c r="NX2999" s="37"/>
      <c r="NY2999" s="37"/>
      <c r="NZ2999" s="37"/>
      <c r="OA2999" s="37"/>
      <c r="OB2999" s="37"/>
      <c r="OC2999" s="37"/>
      <c r="OD2999" s="37"/>
      <c r="OE2999" s="37"/>
      <c r="OF2999" s="37"/>
      <c r="OG2999" s="37"/>
      <c r="OH2999" s="37"/>
      <c r="OI2999" s="37"/>
      <c r="OJ2999" s="37"/>
      <c r="OK2999" s="37"/>
      <c r="OL2999" s="37"/>
      <c r="OM2999" s="37"/>
      <c r="ON2999" s="37"/>
      <c r="OO2999" s="37"/>
      <c r="OP2999" s="37"/>
      <c r="OQ2999" s="37"/>
      <c r="OR2999" s="37"/>
      <c r="OS2999" s="37"/>
      <c r="OT2999" s="37"/>
      <c r="OU2999" s="37"/>
      <c r="OV2999" s="37"/>
      <c r="OW2999" s="37"/>
      <c r="OX2999" s="37"/>
      <c r="OY2999" s="37"/>
      <c r="OZ2999" s="37"/>
      <c r="PA2999" s="37"/>
      <c r="PB2999" s="37"/>
      <c r="PC2999" s="37"/>
      <c r="PD2999" s="37"/>
      <c r="PE2999" s="37"/>
      <c r="PF2999" s="37"/>
      <c r="PG2999" s="37"/>
      <c r="PH2999" s="37"/>
      <c r="PI2999" s="37"/>
      <c r="PJ2999" s="37"/>
      <c r="PK2999" s="37"/>
      <c r="PL2999" s="37"/>
      <c r="PM2999" s="37"/>
      <c r="PN2999" s="37"/>
      <c r="PO2999" s="37"/>
      <c r="PP2999" s="37"/>
      <c r="PQ2999" s="37"/>
      <c r="PR2999" s="37"/>
      <c r="PS2999" s="37"/>
      <c r="PT2999" s="37"/>
      <c r="PU2999" s="37"/>
      <c r="PV2999" s="37"/>
      <c r="PW2999" s="37"/>
      <c r="PX2999" s="37"/>
      <c r="PY2999" s="37"/>
      <c r="PZ2999" s="37"/>
      <c r="QA2999" s="37"/>
      <c r="QB2999" s="37"/>
      <c r="QC2999" s="37"/>
      <c r="QD2999" s="37"/>
      <c r="QE2999" s="37"/>
      <c r="QF2999" s="37"/>
      <c r="QG2999" s="37"/>
      <c r="QH2999" s="37"/>
      <c r="QI2999" s="37"/>
      <c r="QJ2999" s="37"/>
      <c r="QK2999" s="37"/>
      <c r="QL2999" s="37"/>
      <c r="QM2999" s="37"/>
      <c r="QN2999" s="37"/>
      <c r="QO2999" s="37"/>
      <c r="QP2999" s="37"/>
      <c r="QQ2999" s="37"/>
      <c r="QR2999" s="37"/>
      <c r="QS2999" s="37"/>
      <c r="QT2999" s="37"/>
      <c r="QU2999" s="37"/>
      <c r="QV2999" s="37"/>
      <c r="QW2999" s="37"/>
      <c r="QX2999" s="37"/>
      <c r="QY2999" s="37"/>
      <c r="QZ2999" s="37"/>
      <c r="RA2999" s="37"/>
      <c r="RB2999" s="37"/>
      <c r="RC2999" s="37"/>
      <c r="RD2999" s="37"/>
      <c r="RE2999" s="37"/>
      <c r="RF2999" s="37"/>
      <c r="RG2999" s="37"/>
      <c r="RH2999" s="37"/>
      <c r="RI2999" s="37"/>
      <c r="RJ2999" s="37"/>
      <c r="RK2999" s="37"/>
      <c r="RL2999" s="37"/>
      <c r="RM2999" s="37"/>
      <c r="RN2999" s="37"/>
      <c r="RO2999" s="37"/>
      <c r="RP2999" s="37"/>
      <c r="RQ2999" s="37"/>
      <c r="RR2999" s="37"/>
      <c r="RS2999" s="37"/>
      <c r="RT2999" s="37"/>
      <c r="RU2999" s="37"/>
      <c r="RV2999" s="37"/>
      <c r="RW2999" s="37"/>
      <c r="RX2999" s="37"/>
      <c r="RY2999" s="37"/>
      <c r="RZ2999" s="37"/>
      <c r="SA2999" s="37"/>
      <c r="SB2999" s="37"/>
      <c r="SC2999" s="37"/>
      <c r="SD2999" s="37"/>
      <c r="SE2999" s="37"/>
      <c r="SF2999" s="37"/>
    </row>
    <row r="3000" spans="1:500">
      <c r="A3000" s="37"/>
      <c r="B3000" s="37"/>
      <c r="C3000" s="37"/>
      <c r="D3000" s="37"/>
      <c r="E3000" s="37"/>
      <c r="F3000" s="37"/>
      <c r="G3000" s="37"/>
      <c r="H3000" s="37"/>
      <c r="I3000" s="37"/>
      <c r="J3000" s="37"/>
      <c r="K3000" s="37"/>
      <c r="L3000" s="37"/>
      <c r="M3000" s="37"/>
      <c r="N3000" s="37"/>
      <c r="O3000" s="37"/>
      <c r="P3000" s="37"/>
      <c r="Q3000" s="37"/>
      <c r="R3000" s="37"/>
      <c r="S3000" s="37"/>
      <c r="T3000" s="37"/>
      <c r="U3000" s="37"/>
      <c r="V3000" s="37"/>
      <c r="W3000" s="37"/>
      <c r="X3000" s="37"/>
      <c r="Y3000" s="37"/>
      <c r="Z3000" s="37"/>
      <c r="AA3000" s="37"/>
      <c r="AB3000" s="37"/>
      <c r="AC3000" s="37"/>
      <c r="AD3000" s="37"/>
      <c r="AE3000" s="37"/>
      <c r="AF3000" s="37"/>
      <c r="AG3000" s="37"/>
      <c r="AH3000" s="37"/>
      <c r="AI3000" s="37"/>
      <c r="AJ3000" s="37"/>
      <c r="AK3000" s="37"/>
      <c r="AL3000" s="37"/>
      <c r="AM3000" s="37"/>
      <c r="AN3000" s="37"/>
      <c r="AO3000" s="37"/>
      <c r="AP3000" s="37"/>
      <c r="AQ3000" s="37"/>
      <c r="AR3000" s="37"/>
      <c r="AS3000" s="37"/>
      <c r="AT3000" s="37"/>
      <c r="AU3000" s="37"/>
      <c r="AV3000" s="37"/>
      <c r="AW3000" s="37"/>
      <c r="AX3000" s="37"/>
      <c r="AY3000" s="37"/>
      <c r="AZ3000" s="37"/>
      <c r="BA3000" s="37"/>
      <c r="BB3000" s="37"/>
      <c r="BC3000" s="37"/>
      <c r="BD3000" s="37"/>
      <c r="BE3000" s="37"/>
      <c r="BF3000" s="37"/>
      <c r="BG3000" s="37"/>
      <c r="BH3000" s="37"/>
      <c r="BI3000" s="37"/>
      <c r="BJ3000" s="37"/>
      <c r="BK3000" s="37"/>
      <c r="BL3000" s="37"/>
      <c r="BM3000" s="37"/>
      <c r="BN3000" s="37"/>
      <c r="BO3000" s="37"/>
      <c r="BP3000" s="37"/>
      <c r="BQ3000" s="37"/>
      <c r="BR3000" s="37"/>
      <c r="BS3000" s="37"/>
      <c r="BT3000" s="37"/>
      <c r="BU3000" s="37"/>
      <c r="BV3000" s="37"/>
      <c r="BW3000" s="37"/>
      <c r="BX3000" s="37"/>
      <c r="BY3000" s="37"/>
      <c r="BZ3000" s="37"/>
      <c r="CA3000" s="37"/>
      <c r="CB3000" s="37"/>
      <c r="CC3000" s="37"/>
      <c r="CD3000" s="37"/>
      <c r="CE3000" s="37"/>
      <c r="CF3000" s="37"/>
      <c r="CG3000" s="37"/>
      <c r="CH3000" s="37"/>
      <c r="CI3000" s="37"/>
      <c r="CJ3000" s="37"/>
      <c r="CK3000" s="37"/>
      <c r="CL3000" s="37"/>
      <c r="CM3000" s="37"/>
      <c r="CN3000" s="37"/>
      <c r="CO3000" s="37"/>
      <c r="CP3000" s="37"/>
      <c r="CQ3000" s="37"/>
      <c r="CR3000" s="37"/>
      <c r="CS3000" s="37"/>
      <c r="CT3000" s="37"/>
      <c r="CU3000" s="37"/>
      <c r="CV3000" s="37"/>
      <c r="CW3000" s="37"/>
      <c r="CX3000" s="37"/>
      <c r="CY3000" s="37"/>
      <c r="CZ3000" s="37"/>
      <c r="DA3000" s="37"/>
      <c r="DB3000" s="37"/>
      <c r="DC3000" s="37"/>
      <c r="DD3000" s="37"/>
      <c r="DE3000" s="37"/>
      <c r="DF3000" s="37"/>
      <c r="DG3000" s="37"/>
      <c r="DH3000" s="37"/>
      <c r="DI3000" s="37"/>
      <c r="DJ3000" s="37"/>
      <c r="DK3000" s="37"/>
      <c r="DL3000" s="37"/>
      <c r="DM3000" s="37"/>
      <c r="DN3000" s="37"/>
      <c r="DO3000" s="37"/>
      <c r="DP3000" s="37"/>
      <c r="DQ3000" s="37"/>
      <c r="DR3000" s="37"/>
      <c r="DS3000" s="37"/>
      <c r="DT3000" s="37"/>
      <c r="DU3000" s="37"/>
      <c r="DV3000" s="37"/>
      <c r="DW3000" s="37"/>
      <c r="DX3000" s="37"/>
      <c r="DY3000" s="37"/>
      <c r="DZ3000" s="37"/>
      <c r="EA3000" s="37"/>
      <c r="EB3000" s="37"/>
      <c r="EC3000" s="37"/>
      <c r="ED3000" s="37"/>
      <c r="EE3000" s="37"/>
      <c r="EF3000" s="37"/>
      <c r="EG3000" s="37"/>
      <c r="EH3000" s="37"/>
      <c r="EI3000" s="37"/>
      <c r="EJ3000" s="37"/>
      <c r="EK3000" s="37"/>
      <c r="EL3000" s="37"/>
      <c r="EM3000" s="37"/>
      <c r="EN3000" s="37"/>
      <c r="EO3000" s="37"/>
      <c r="EP3000" s="37"/>
      <c r="EQ3000" s="37"/>
      <c r="ER3000" s="37"/>
      <c r="ES3000" s="37"/>
      <c r="ET3000" s="37"/>
      <c r="EU3000" s="37"/>
      <c r="EV3000" s="37"/>
      <c r="EW3000" s="37"/>
      <c r="EX3000" s="37"/>
      <c r="EY3000" s="37"/>
      <c r="EZ3000" s="37"/>
      <c r="FA3000" s="37"/>
      <c r="FB3000" s="37"/>
      <c r="FC3000" s="37"/>
      <c r="FD3000" s="37"/>
      <c r="FE3000" s="37"/>
      <c r="FF3000" s="37"/>
      <c r="FG3000" s="37"/>
      <c r="FH3000" s="37"/>
      <c r="FI3000" s="37"/>
      <c r="FJ3000" s="37"/>
      <c r="FK3000" s="37"/>
      <c r="FL3000" s="37"/>
      <c r="FM3000" s="37"/>
      <c r="FN3000" s="37"/>
      <c r="FO3000" s="37"/>
      <c r="FP3000" s="37"/>
      <c r="FQ3000" s="37"/>
      <c r="FR3000" s="37"/>
      <c r="FS3000" s="37"/>
      <c r="FT3000" s="37"/>
      <c r="FU3000" s="37"/>
      <c r="FV3000" s="37"/>
      <c r="FW3000" s="37"/>
      <c r="FX3000" s="37"/>
      <c r="FY3000" s="37"/>
      <c r="FZ3000" s="37"/>
      <c r="GA3000" s="37"/>
      <c r="GB3000" s="37"/>
      <c r="GC3000" s="37"/>
      <c r="GD3000" s="37"/>
      <c r="GE3000" s="37"/>
      <c r="GF3000" s="37"/>
      <c r="GG3000" s="37"/>
      <c r="GH3000" s="37"/>
      <c r="GI3000" s="37"/>
      <c r="GJ3000" s="37"/>
      <c r="GK3000" s="37"/>
      <c r="GL3000" s="37"/>
      <c r="GM3000" s="37"/>
      <c r="GN3000" s="37"/>
      <c r="GO3000" s="37"/>
      <c r="GP3000" s="37"/>
      <c r="GQ3000" s="37"/>
      <c r="GR3000" s="37"/>
      <c r="GS3000" s="37"/>
      <c r="GT3000" s="37"/>
      <c r="GU3000" s="37"/>
      <c r="GV3000" s="37"/>
      <c r="GW3000" s="37"/>
      <c r="GX3000" s="37"/>
      <c r="GY3000" s="37"/>
      <c r="GZ3000" s="37"/>
      <c r="HA3000" s="37"/>
      <c r="HB3000" s="37"/>
      <c r="HC3000" s="37"/>
      <c r="HD3000" s="37"/>
      <c r="HE3000" s="37"/>
      <c r="HF3000" s="37"/>
      <c r="HG3000" s="37"/>
      <c r="HH3000" s="37"/>
      <c r="HI3000" s="37"/>
      <c r="HJ3000" s="37"/>
      <c r="HK3000" s="37"/>
      <c r="HL3000" s="37"/>
      <c r="HM3000" s="37"/>
      <c r="HN3000" s="37"/>
      <c r="HO3000" s="37"/>
      <c r="HP3000" s="37"/>
      <c r="HQ3000" s="37"/>
      <c r="HR3000" s="37"/>
      <c r="HS3000" s="37"/>
      <c r="HT3000" s="37"/>
      <c r="HU3000" s="37"/>
      <c r="HV3000" s="37"/>
      <c r="HW3000" s="37"/>
      <c r="HX3000" s="37"/>
      <c r="HY3000" s="37"/>
      <c r="HZ3000" s="37"/>
      <c r="IA3000" s="37"/>
      <c r="IB3000" s="37"/>
      <c r="IC3000" s="37"/>
      <c r="ID3000" s="37"/>
      <c r="IE3000" s="37"/>
      <c r="IF3000" s="37"/>
      <c r="IG3000" s="37"/>
      <c r="IH3000" s="37"/>
      <c r="II3000" s="37"/>
      <c r="IJ3000" s="37"/>
      <c r="IK3000" s="37"/>
      <c r="IL3000" s="37"/>
      <c r="IM3000" s="37"/>
      <c r="IN3000" s="37"/>
      <c r="IO3000" s="37"/>
      <c r="IP3000" s="37"/>
      <c r="IQ3000" s="37"/>
      <c r="IR3000" s="37"/>
      <c r="IS3000" s="37"/>
      <c r="IT3000" s="37"/>
      <c r="IU3000" s="37"/>
      <c r="IV3000" s="37"/>
      <c r="IW3000" s="37"/>
      <c r="IX3000" s="37"/>
      <c r="IY3000" s="37"/>
      <c r="IZ3000" s="37"/>
      <c r="JA3000" s="37"/>
      <c r="JB3000" s="37"/>
      <c r="JC3000" s="37"/>
      <c r="JD3000" s="37"/>
      <c r="JE3000" s="37"/>
      <c r="JF3000" s="37"/>
      <c r="JG3000" s="37"/>
      <c r="JH3000" s="37"/>
      <c r="JI3000" s="37"/>
      <c r="JJ3000" s="37"/>
      <c r="JK3000" s="37"/>
      <c r="JL3000" s="37"/>
      <c r="JM3000" s="37"/>
      <c r="JN3000" s="37"/>
      <c r="JO3000" s="37"/>
      <c r="JP3000" s="37"/>
      <c r="JQ3000" s="37"/>
      <c r="JR3000" s="37"/>
      <c r="JS3000" s="37"/>
      <c r="JT3000" s="37"/>
      <c r="JU3000" s="37"/>
      <c r="JV3000" s="37"/>
      <c r="JW3000" s="37"/>
      <c r="JX3000" s="37"/>
      <c r="JY3000" s="37"/>
      <c r="JZ3000" s="37"/>
      <c r="KA3000" s="37"/>
      <c r="KB3000" s="37"/>
      <c r="KC3000" s="37"/>
      <c r="KD3000" s="37"/>
      <c r="KE3000" s="37"/>
      <c r="KF3000" s="37"/>
      <c r="KG3000" s="37"/>
      <c r="KH3000" s="37"/>
      <c r="KI3000" s="37"/>
      <c r="KJ3000" s="37"/>
      <c r="KK3000" s="37"/>
      <c r="KL3000" s="37"/>
      <c r="KM3000" s="37"/>
      <c r="KN3000" s="37"/>
      <c r="KO3000" s="37"/>
      <c r="KP3000" s="37"/>
      <c r="KQ3000" s="37"/>
      <c r="KR3000" s="37"/>
      <c r="KS3000" s="37"/>
      <c r="KT3000" s="37"/>
      <c r="KU3000" s="37"/>
      <c r="KV3000" s="37"/>
      <c r="KW3000" s="37"/>
      <c r="KX3000" s="37"/>
      <c r="KY3000" s="37"/>
      <c r="KZ3000" s="37"/>
      <c r="LA3000" s="37"/>
      <c r="LB3000" s="37"/>
      <c r="LC3000" s="37"/>
      <c r="LD3000" s="37"/>
      <c r="LE3000" s="37"/>
      <c r="LF3000" s="37"/>
      <c r="LG3000" s="37"/>
      <c r="LH3000" s="37"/>
      <c r="LI3000" s="37"/>
      <c r="LJ3000" s="37"/>
      <c r="LK3000" s="37"/>
      <c r="LL3000" s="37"/>
      <c r="LM3000" s="37"/>
      <c r="LN3000" s="37"/>
      <c r="LO3000" s="37"/>
      <c r="LP3000" s="37"/>
      <c r="LQ3000" s="37"/>
      <c r="LR3000" s="37"/>
      <c r="LS3000" s="37"/>
      <c r="LT3000" s="37"/>
      <c r="LU3000" s="37"/>
      <c r="LV3000" s="37"/>
      <c r="LW3000" s="37"/>
      <c r="LX3000" s="37"/>
      <c r="LY3000" s="37"/>
      <c r="LZ3000" s="37"/>
      <c r="MA3000" s="37"/>
      <c r="MB3000" s="37"/>
      <c r="MC3000" s="37"/>
      <c r="MD3000" s="37"/>
      <c r="ME3000" s="37"/>
      <c r="MF3000" s="37"/>
      <c r="MG3000" s="37"/>
      <c r="MH3000" s="37"/>
      <c r="MI3000" s="37"/>
      <c r="MJ3000" s="37"/>
      <c r="MK3000" s="37"/>
      <c r="ML3000" s="37"/>
      <c r="MM3000" s="37"/>
      <c r="MN3000" s="37"/>
      <c r="MO3000" s="37"/>
      <c r="MP3000" s="37"/>
      <c r="MQ3000" s="37"/>
      <c r="MR3000" s="37"/>
      <c r="MS3000" s="37"/>
      <c r="MT3000" s="37"/>
      <c r="MU3000" s="37"/>
      <c r="MV3000" s="37"/>
      <c r="MW3000" s="37"/>
      <c r="MX3000" s="37"/>
      <c r="MY3000" s="37"/>
      <c r="MZ3000" s="37"/>
      <c r="NA3000" s="37"/>
      <c r="NB3000" s="37"/>
      <c r="NC3000" s="37"/>
      <c r="ND3000" s="37"/>
      <c r="NE3000" s="37"/>
      <c r="NF3000" s="37"/>
      <c r="NG3000" s="37"/>
      <c r="NH3000" s="37"/>
      <c r="NI3000" s="37"/>
      <c r="NJ3000" s="37"/>
      <c r="NK3000" s="37"/>
      <c r="NL3000" s="37"/>
      <c r="NM3000" s="37"/>
      <c r="NN3000" s="37"/>
      <c r="NO3000" s="37"/>
      <c r="NP3000" s="37"/>
      <c r="NQ3000" s="37"/>
      <c r="NR3000" s="37"/>
      <c r="NS3000" s="37"/>
      <c r="NT3000" s="37"/>
      <c r="NU3000" s="37"/>
      <c r="NV3000" s="37"/>
      <c r="NW3000" s="37"/>
      <c r="NX3000" s="37"/>
      <c r="NY3000" s="37"/>
      <c r="NZ3000" s="37"/>
      <c r="OA3000" s="37"/>
      <c r="OB3000" s="37"/>
      <c r="OC3000" s="37"/>
      <c r="OD3000" s="37"/>
      <c r="OE3000" s="37"/>
      <c r="OF3000" s="37"/>
      <c r="OG3000" s="37"/>
      <c r="OH3000" s="37"/>
      <c r="OI3000" s="37"/>
      <c r="OJ3000" s="37"/>
      <c r="OK3000" s="37"/>
      <c r="OL3000" s="37"/>
      <c r="OM3000" s="37"/>
      <c r="ON3000" s="37"/>
      <c r="OO3000" s="37"/>
      <c r="OP3000" s="37"/>
      <c r="OQ3000" s="37"/>
      <c r="OR3000" s="37"/>
      <c r="OS3000" s="37"/>
      <c r="OT3000" s="37"/>
      <c r="OU3000" s="37"/>
      <c r="OV3000" s="37"/>
      <c r="OW3000" s="37"/>
      <c r="OX3000" s="37"/>
      <c r="OY3000" s="37"/>
      <c r="OZ3000" s="37"/>
      <c r="PA3000" s="37"/>
      <c r="PB3000" s="37"/>
      <c r="PC3000" s="37"/>
      <c r="PD3000" s="37"/>
      <c r="PE3000" s="37"/>
      <c r="PF3000" s="37"/>
      <c r="PG3000" s="37"/>
      <c r="PH3000" s="37"/>
      <c r="PI3000" s="37"/>
      <c r="PJ3000" s="37"/>
      <c r="PK3000" s="37"/>
      <c r="PL3000" s="37"/>
      <c r="PM3000" s="37"/>
      <c r="PN3000" s="37"/>
      <c r="PO3000" s="37"/>
      <c r="PP3000" s="37"/>
      <c r="PQ3000" s="37"/>
      <c r="PR3000" s="37"/>
      <c r="PS3000" s="37"/>
      <c r="PT3000" s="37"/>
      <c r="PU3000" s="37"/>
      <c r="PV3000" s="37"/>
      <c r="PW3000" s="37"/>
      <c r="PX3000" s="37"/>
      <c r="PY3000" s="37"/>
      <c r="PZ3000" s="37"/>
      <c r="QA3000" s="37"/>
      <c r="QB3000" s="37"/>
      <c r="QC3000" s="37"/>
      <c r="QD3000" s="37"/>
      <c r="QE3000" s="37"/>
      <c r="QF3000" s="37"/>
      <c r="QG3000" s="37"/>
      <c r="QH3000" s="37"/>
      <c r="QI3000" s="37"/>
      <c r="QJ3000" s="37"/>
      <c r="QK3000" s="37"/>
      <c r="QL3000" s="37"/>
      <c r="QM3000" s="37"/>
      <c r="QN3000" s="37"/>
      <c r="QO3000" s="37"/>
      <c r="QP3000" s="37"/>
      <c r="QQ3000" s="37"/>
      <c r="QR3000" s="37"/>
      <c r="QS3000" s="37"/>
      <c r="QT3000" s="37"/>
      <c r="QU3000" s="37"/>
      <c r="QV3000" s="37"/>
      <c r="QW3000" s="37"/>
      <c r="QX3000" s="37"/>
      <c r="QY3000" s="37"/>
      <c r="QZ3000" s="37"/>
      <c r="RA3000" s="37"/>
      <c r="RB3000" s="37"/>
      <c r="RC3000" s="37"/>
      <c r="RD3000" s="37"/>
      <c r="RE3000" s="37"/>
      <c r="RF3000" s="37"/>
      <c r="RG3000" s="37"/>
      <c r="RH3000" s="37"/>
      <c r="RI3000" s="37"/>
      <c r="RJ3000" s="37"/>
      <c r="RK3000" s="37"/>
      <c r="RL3000" s="37"/>
      <c r="RM3000" s="37"/>
      <c r="RN3000" s="37"/>
      <c r="RO3000" s="37"/>
      <c r="RP3000" s="37"/>
      <c r="RQ3000" s="37"/>
      <c r="RR3000" s="37"/>
      <c r="RS3000" s="37"/>
      <c r="RT3000" s="37"/>
      <c r="RU3000" s="37"/>
      <c r="RV3000" s="37"/>
      <c r="RW3000" s="37"/>
      <c r="RX3000" s="37"/>
      <c r="RY3000" s="37"/>
      <c r="RZ3000" s="37"/>
      <c r="SA3000" s="37"/>
      <c r="SB3000" s="37"/>
      <c r="SC3000" s="37"/>
      <c r="SD3000" s="37"/>
      <c r="SE3000" s="37"/>
      <c r="SF3000" s="37"/>
    </row>
    <row r="3001" spans="1:500">
      <c r="A3001" s="37"/>
      <c r="B3001" s="37"/>
      <c r="C3001" s="37"/>
      <c r="D3001" s="37"/>
      <c r="E3001" s="37"/>
      <c r="F3001" s="37"/>
      <c r="G3001" s="37"/>
      <c r="H3001" s="37"/>
      <c r="I3001" s="37"/>
      <c r="J3001" s="37"/>
      <c r="K3001" s="37"/>
      <c r="L3001" s="37"/>
      <c r="M3001" s="37"/>
      <c r="N3001" s="37"/>
      <c r="O3001" s="37"/>
      <c r="P3001" s="37"/>
      <c r="Q3001" s="37"/>
      <c r="R3001" s="37"/>
      <c r="S3001" s="37"/>
      <c r="T3001" s="37"/>
      <c r="U3001" s="37"/>
      <c r="V3001" s="37"/>
      <c r="W3001" s="37"/>
      <c r="X3001" s="37"/>
      <c r="Y3001" s="37"/>
      <c r="Z3001" s="37"/>
      <c r="AA3001" s="37"/>
      <c r="AB3001" s="37"/>
      <c r="AC3001" s="37"/>
      <c r="AD3001" s="37"/>
      <c r="AE3001" s="37"/>
      <c r="AF3001" s="37"/>
      <c r="AG3001" s="37"/>
      <c r="AH3001" s="37"/>
      <c r="AI3001" s="37"/>
      <c r="AJ3001" s="37"/>
      <c r="AK3001" s="37"/>
      <c r="AL3001" s="37"/>
      <c r="AM3001" s="37"/>
      <c r="AN3001" s="37"/>
      <c r="AO3001" s="37"/>
      <c r="AP3001" s="37"/>
      <c r="AQ3001" s="37"/>
      <c r="AR3001" s="37"/>
      <c r="AS3001" s="37"/>
      <c r="AT3001" s="37"/>
      <c r="AU3001" s="37"/>
      <c r="AV3001" s="37"/>
      <c r="AW3001" s="37"/>
      <c r="AX3001" s="37"/>
      <c r="AY3001" s="37"/>
      <c r="AZ3001" s="37"/>
      <c r="BA3001" s="37"/>
      <c r="BB3001" s="37"/>
      <c r="BC3001" s="37"/>
      <c r="BD3001" s="37"/>
      <c r="BE3001" s="37"/>
      <c r="BF3001" s="37"/>
      <c r="BG3001" s="37"/>
      <c r="BH3001" s="37"/>
      <c r="BI3001" s="37"/>
      <c r="BJ3001" s="37"/>
      <c r="BK3001" s="37"/>
      <c r="BL3001" s="37"/>
      <c r="BM3001" s="37"/>
      <c r="BN3001" s="37"/>
      <c r="BO3001" s="37"/>
      <c r="BP3001" s="37"/>
      <c r="BQ3001" s="37"/>
      <c r="BR3001" s="37"/>
      <c r="BS3001" s="37"/>
      <c r="BT3001" s="37"/>
      <c r="BU3001" s="37"/>
      <c r="BV3001" s="37"/>
      <c r="BW3001" s="37"/>
      <c r="BX3001" s="37"/>
      <c r="BY3001" s="37"/>
      <c r="BZ3001" s="37"/>
      <c r="CA3001" s="37"/>
      <c r="CB3001" s="37"/>
      <c r="CC3001" s="37"/>
      <c r="CD3001" s="37"/>
      <c r="CE3001" s="37"/>
      <c r="CF3001" s="37"/>
      <c r="CG3001" s="37"/>
      <c r="CH3001" s="37"/>
      <c r="CI3001" s="37"/>
      <c r="CJ3001" s="37"/>
      <c r="CK3001" s="37"/>
      <c r="CL3001" s="37"/>
      <c r="CM3001" s="37"/>
      <c r="CN3001" s="37"/>
      <c r="CO3001" s="37"/>
      <c r="CP3001" s="37"/>
      <c r="CQ3001" s="37"/>
      <c r="CR3001" s="37"/>
      <c r="CS3001" s="37"/>
      <c r="CT3001" s="37"/>
      <c r="CU3001" s="37"/>
      <c r="CV3001" s="37"/>
      <c r="CW3001" s="37"/>
      <c r="CX3001" s="37"/>
      <c r="CY3001" s="37"/>
      <c r="CZ3001" s="37"/>
      <c r="DA3001" s="37"/>
      <c r="DB3001" s="37"/>
      <c r="DC3001" s="37"/>
      <c r="DD3001" s="37"/>
      <c r="DE3001" s="37"/>
      <c r="DF3001" s="37"/>
      <c r="DG3001" s="37"/>
      <c r="DH3001" s="37"/>
      <c r="DI3001" s="37"/>
      <c r="DJ3001" s="37"/>
      <c r="DK3001" s="37"/>
      <c r="DL3001" s="37"/>
      <c r="DM3001" s="37"/>
      <c r="DN3001" s="37"/>
      <c r="DO3001" s="37"/>
      <c r="DP3001" s="37"/>
      <c r="DQ3001" s="37"/>
      <c r="DR3001" s="37"/>
      <c r="DS3001" s="37"/>
      <c r="DT3001" s="37"/>
      <c r="DU3001" s="37"/>
      <c r="DV3001" s="37"/>
      <c r="DW3001" s="37"/>
      <c r="DX3001" s="37"/>
      <c r="DY3001" s="37"/>
      <c r="DZ3001" s="37"/>
      <c r="EA3001" s="37"/>
      <c r="EB3001" s="37"/>
      <c r="EC3001" s="37"/>
      <c r="ED3001" s="37"/>
      <c r="EE3001" s="37"/>
      <c r="EF3001" s="37"/>
      <c r="EG3001" s="37"/>
      <c r="EH3001" s="37"/>
      <c r="EI3001" s="37"/>
      <c r="EJ3001" s="37"/>
      <c r="EK3001" s="37"/>
      <c r="EL3001" s="37"/>
      <c r="EM3001" s="37"/>
      <c r="EN3001" s="37"/>
      <c r="EO3001" s="37"/>
      <c r="EP3001" s="37"/>
      <c r="EQ3001" s="37"/>
      <c r="ER3001" s="37"/>
      <c r="ES3001" s="37"/>
      <c r="ET3001" s="37"/>
      <c r="EU3001" s="37"/>
      <c r="EV3001" s="37"/>
      <c r="EW3001" s="37"/>
      <c r="EX3001" s="37"/>
      <c r="EY3001" s="37"/>
      <c r="EZ3001" s="37"/>
      <c r="FA3001" s="37"/>
      <c r="FB3001" s="37"/>
      <c r="FC3001" s="37"/>
      <c r="FD3001" s="37"/>
      <c r="FE3001" s="37"/>
      <c r="FF3001" s="37"/>
      <c r="FG3001" s="37"/>
      <c r="FH3001" s="37"/>
      <c r="FI3001" s="37"/>
      <c r="FJ3001" s="37"/>
      <c r="FK3001" s="37"/>
      <c r="FL3001" s="37"/>
      <c r="FM3001" s="37"/>
      <c r="FN3001" s="37"/>
      <c r="FO3001" s="37"/>
      <c r="FP3001" s="37"/>
      <c r="FQ3001" s="37"/>
      <c r="FR3001" s="37"/>
      <c r="FS3001" s="37"/>
      <c r="FT3001" s="37"/>
      <c r="FU3001" s="37"/>
      <c r="FV3001" s="37"/>
      <c r="FW3001" s="37"/>
      <c r="FX3001" s="37"/>
      <c r="FY3001" s="37"/>
      <c r="FZ3001" s="37"/>
      <c r="GA3001" s="37"/>
      <c r="GB3001" s="37"/>
      <c r="GC3001" s="37"/>
      <c r="GD3001" s="37"/>
      <c r="GE3001" s="37"/>
      <c r="GF3001" s="37"/>
      <c r="GG3001" s="37"/>
      <c r="GH3001" s="37"/>
      <c r="GI3001" s="37"/>
      <c r="GJ3001" s="37"/>
      <c r="GK3001" s="37"/>
      <c r="GL3001" s="37"/>
      <c r="GM3001" s="37"/>
      <c r="GN3001" s="37"/>
      <c r="GO3001" s="37"/>
      <c r="GP3001" s="37"/>
      <c r="GQ3001" s="37"/>
      <c r="GR3001" s="37"/>
      <c r="GS3001" s="37"/>
      <c r="GT3001" s="37"/>
      <c r="GU3001" s="37"/>
      <c r="GV3001" s="37"/>
      <c r="GW3001" s="37"/>
      <c r="GX3001" s="37"/>
      <c r="GY3001" s="37"/>
      <c r="GZ3001" s="37"/>
      <c r="HA3001" s="37"/>
      <c r="HB3001" s="37"/>
      <c r="HC3001" s="37"/>
      <c r="HD3001" s="37"/>
      <c r="HE3001" s="37"/>
      <c r="HF3001" s="37"/>
      <c r="HG3001" s="37"/>
      <c r="HH3001" s="37"/>
      <c r="HI3001" s="37"/>
      <c r="HJ3001" s="37"/>
      <c r="HK3001" s="37"/>
      <c r="HL3001" s="37"/>
      <c r="HM3001" s="37"/>
      <c r="HN3001" s="37"/>
      <c r="HO3001" s="37"/>
      <c r="HP3001" s="37"/>
      <c r="HQ3001" s="37"/>
      <c r="HR3001" s="37"/>
      <c r="HS3001" s="37"/>
      <c r="HT3001" s="37"/>
      <c r="HU3001" s="37"/>
      <c r="HV3001" s="37"/>
      <c r="HW3001" s="37"/>
      <c r="HX3001" s="37"/>
      <c r="HY3001" s="37"/>
      <c r="HZ3001" s="37"/>
      <c r="IA3001" s="37"/>
      <c r="IB3001" s="37"/>
      <c r="IC3001" s="37"/>
      <c r="ID3001" s="37"/>
      <c r="IE3001" s="37"/>
      <c r="IF3001" s="37"/>
      <c r="IG3001" s="37"/>
      <c r="IH3001" s="37"/>
      <c r="II3001" s="37"/>
      <c r="IJ3001" s="37"/>
      <c r="IK3001" s="37"/>
      <c r="IL3001" s="37"/>
      <c r="IM3001" s="37"/>
      <c r="IN3001" s="37"/>
      <c r="IO3001" s="37"/>
      <c r="IP3001" s="37"/>
      <c r="IQ3001" s="37"/>
      <c r="IR3001" s="37"/>
      <c r="IS3001" s="37"/>
      <c r="IT3001" s="37"/>
      <c r="IU3001" s="37"/>
      <c r="IV3001" s="37"/>
      <c r="IW3001" s="37"/>
      <c r="IX3001" s="37"/>
      <c r="IY3001" s="37"/>
      <c r="IZ3001" s="37"/>
      <c r="JA3001" s="37"/>
      <c r="JB3001" s="37"/>
      <c r="JC3001" s="37"/>
      <c r="JD3001" s="37"/>
      <c r="JE3001" s="37"/>
      <c r="JF3001" s="37"/>
      <c r="JG3001" s="37"/>
      <c r="JH3001" s="37"/>
      <c r="JI3001" s="37"/>
      <c r="JJ3001" s="37"/>
      <c r="JK3001" s="37"/>
      <c r="JL3001" s="37"/>
      <c r="JM3001" s="37"/>
      <c r="JN3001" s="37"/>
      <c r="JO3001" s="37"/>
      <c r="JP3001" s="37"/>
      <c r="JQ3001" s="37"/>
      <c r="JR3001" s="37"/>
      <c r="JS3001" s="37"/>
      <c r="JT3001" s="37"/>
      <c r="JU3001" s="37"/>
      <c r="JV3001" s="37"/>
      <c r="JW3001" s="37"/>
      <c r="JX3001" s="37"/>
      <c r="JY3001" s="37"/>
      <c r="JZ3001" s="37"/>
      <c r="KA3001" s="37"/>
      <c r="KB3001" s="37"/>
      <c r="KC3001" s="37"/>
      <c r="KD3001" s="37"/>
      <c r="KE3001" s="37"/>
      <c r="KF3001" s="37"/>
      <c r="KG3001" s="37"/>
      <c r="KH3001" s="37"/>
      <c r="KI3001" s="37"/>
      <c r="KJ3001" s="37"/>
      <c r="KK3001" s="37"/>
      <c r="KL3001" s="37"/>
      <c r="KM3001" s="37"/>
      <c r="KN3001" s="37"/>
      <c r="KO3001" s="37"/>
      <c r="KP3001" s="37"/>
      <c r="KQ3001" s="37"/>
      <c r="KR3001" s="37"/>
      <c r="KS3001" s="37"/>
      <c r="KT3001" s="37"/>
      <c r="KU3001" s="37"/>
      <c r="KV3001" s="37"/>
      <c r="KW3001" s="37"/>
      <c r="KX3001" s="37"/>
      <c r="KY3001" s="37"/>
      <c r="KZ3001" s="37"/>
      <c r="LA3001" s="37"/>
      <c r="LB3001" s="37"/>
      <c r="LC3001" s="37"/>
      <c r="LD3001" s="37"/>
      <c r="LE3001" s="37"/>
      <c r="LF3001" s="37"/>
      <c r="LG3001" s="37"/>
      <c r="LH3001" s="37"/>
      <c r="LI3001" s="37"/>
      <c r="LJ3001" s="37"/>
      <c r="LK3001" s="37"/>
      <c r="LL3001" s="37"/>
      <c r="LM3001" s="37"/>
      <c r="LN3001" s="37"/>
      <c r="LO3001" s="37"/>
      <c r="LP3001" s="37"/>
      <c r="LQ3001" s="37"/>
      <c r="LR3001" s="37"/>
      <c r="LS3001" s="37"/>
      <c r="LT3001" s="37"/>
      <c r="LU3001" s="37"/>
      <c r="LV3001" s="37"/>
      <c r="LW3001" s="37"/>
      <c r="LX3001" s="37"/>
      <c r="LY3001" s="37"/>
      <c r="LZ3001" s="37"/>
      <c r="MA3001" s="37"/>
      <c r="MB3001" s="37"/>
      <c r="MC3001" s="37"/>
      <c r="MD3001" s="37"/>
      <c r="ME3001" s="37"/>
      <c r="MF3001" s="37"/>
      <c r="MG3001" s="37"/>
      <c r="MH3001" s="37"/>
      <c r="MI3001" s="37"/>
      <c r="MJ3001" s="37"/>
      <c r="MK3001" s="37"/>
      <c r="ML3001" s="37"/>
      <c r="MM3001" s="37"/>
      <c r="MN3001" s="37"/>
      <c r="MO3001" s="37"/>
      <c r="MP3001" s="37"/>
      <c r="MQ3001" s="37"/>
      <c r="MR3001" s="37"/>
      <c r="MS3001" s="37"/>
      <c r="MT3001" s="37"/>
      <c r="MU3001" s="37"/>
      <c r="MV3001" s="37"/>
      <c r="MW3001" s="37"/>
      <c r="MX3001" s="37"/>
      <c r="MY3001" s="37"/>
      <c r="MZ3001" s="37"/>
      <c r="NA3001" s="37"/>
      <c r="NB3001" s="37"/>
      <c r="NC3001" s="37"/>
      <c r="ND3001" s="37"/>
      <c r="NE3001" s="37"/>
      <c r="NF3001" s="37"/>
      <c r="NG3001" s="37"/>
      <c r="NH3001" s="37"/>
      <c r="NI3001" s="37"/>
      <c r="NJ3001" s="37"/>
      <c r="NK3001" s="37"/>
      <c r="NL3001" s="37"/>
      <c r="NM3001" s="37"/>
      <c r="NN3001" s="37"/>
      <c r="NO3001" s="37"/>
      <c r="NP3001" s="37"/>
      <c r="NQ3001" s="37"/>
      <c r="NR3001" s="37"/>
      <c r="NS3001" s="37"/>
      <c r="NT3001" s="37"/>
      <c r="NU3001" s="37"/>
      <c r="NV3001" s="37"/>
      <c r="NW3001" s="37"/>
      <c r="NX3001" s="37"/>
      <c r="NY3001" s="37"/>
      <c r="NZ3001" s="37"/>
      <c r="OA3001" s="37"/>
      <c r="OB3001" s="37"/>
      <c r="OC3001" s="37"/>
      <c r="OD3001" s="37"/>
      <c r="OE3001" s="37"/>
      <c r="OF3001" s="37"/>
      <c r="OG3001" s="37"/>
      <c r="OH3001" s="37"/>
      <c r="OI3001" s="37"/>
      <c r="OJ3001" s="37"/>
      <c r="OK3001" s="37"/>
      <c r="OL3001" s="37"/>
      <c r="OM3001" s="37"/>
      <c r="ON3001" s="37"/>
      <c r="OO3001" s="37"/>
      <c r="OP3001" s="37"/>
      <c r="OQ3001" s="37"/>
      <c r="OR3001" s="37"/>
      <c r="OS3001" s="37"/>
      <c r="OT3001" s="37"/>
      <c r="OU3001" s="37"/>
      <c r="OV3001" s="37"/>
      <c r="OW3001" s="37"/>
      <c r="OX3001" s="37"/>
      <c r="OY3001" s="37"/>
      <c r="OZ3001" s="37"/>
      <c r="PA3001" s="37"/>
      <c r="PB3001" s="37"/>
      <c r="PC3001" s="37"/>
      <c r="PD3001" s="37"/>
      <c r="PE3001" s="37"/>
      <c r="PF3001" s="37"/>
      <c r="PG3001" s="37"/>
      <c r="PH3001" s="37"/>
      <c r="PI3001" s="37"/>
      <c r="PJ3001" s="37"/>
      <c r="PK3001" s="37"/>
      <c r="PL3001" s="37"/>
      <c r="PM3001" s="37"/>
      <c r="PN3001" s="37"/>
      <c r="PO3001" s="37"/>
      <c r="PP3001" s="37"/>
      <c r="PQ3001" s="37"/>
      <c r="PR3001" s="37"/>
      <c r="PS3001" s="37"/>
      <c r="PT3001" s="37"/>
      <c r="PU3001" s="37"/>
      <c r="PV3001" s="37"/>
      <c r="PW3001" s="37"/>
      <c r="PX3001" s="37"/>
      <c r="PY3001" s="37"/>
      <c r="PZ3001" s="37"/>
      <c r="QA3001" s="37"/>
      <c r="QB3001" s="37"/>
      <c r="QC3001" s="37"/>
      <c r="QD3001" s="37"/>
      <c r="QE3001" s="37"/>
      <c r="QF3001" s="37"/>
      <c r="QG3001" s="37"/>
      <c r="QH3001" s="37"/>
      <c r="QI3001" s="37"/>
      <c r="QJ3001" s="37"/>
      <c r="QK3001" s="37"/>
      <c r="QL3001" s="37"/>
      <c r="QM3001" s="37"/>
      <c r="QN3001" s="37"/>
      <c r="QO3001" s="37"/>
      <c r="QP3001" s="37"/>
      <c r="QQ3001" s="37"/>
      <c r="QR3001" s="37"/>
      <c r="QS3001" s="37"/>
      <c r="QT3001" s="37"/>
      <c r="QU3001" s="37"/>
      <c r="QV3001" s="37"/>
      <c r="QW3001" s="37"/>
      <c r="QX3001" s="37"/>
      <c r="QY3001" s="37"/>
      <c r="QZ3001" s="37"/>
      <c r="RA3001" s="37"/>
      <c r="RB3001" s="37"/>
      <c r="RC3001" s="37"/>
      <c r="RD3001" s="37"/>
      <c r="RE3001" s="37"/>
      <c r="RF3001" s="37"/>
      <c r="RG3001" s="37"/>
      <c r="RH3001" s="37"/>
      <c r="RI3001" s="37"/>
      <c r="RJ3001" s="37"/>
      <c r="RK3001" s="37"/>
      <c r="RL3001" s="37"/>
      <c r="RM3001" s="37"/>
      <c r="RN3001" s="37"/>
      <c r="RO3001" s="37"/>
      <c r="RP3001" s="37"/>
      <c r="RQ3001" s="37"/>
      <c r="RR3001" s="37"/>
      <c r="RS3001" s="37"/>
      <c r="RT3001" s="37"/>
      <c r="RU3001" s="37"/>
      <c r="RV3001" s="37"/>
      <c r="RW3001" s="37"/>
      <c r="RX3001" s="37"/>
      <c r="RY3001" s="37"/>
      <c r="RZ3001" s="37"/>
      <c r="SA3001" s="37"/>
      <c r="SB3001" s="37"/>
      <c r="SC3001" s="37"/>
      <c r="SD3001" s="37"/>
      <c r="SE3001" s="37"/>
      <c r="SF3001" s="37"/>
    </row>
    <row r="3002" spans="1:500">
      <c r="A3002" s="37"/>
      <c r="B3002" s="37"/>
      <c r="C3002" s="37"/>
      <c r="D3002" s="37"/>
      <c r="E3002" s="37"/>
      <c r="F3002" s="37"/>
      <c r="G3002" s="37"/>
      <c r="H3002" s="37"/>
      <c r="I3002" s="37"/>
      <c r="J3002" s="37"/>
      <c r="K3002" s="37"/>
      <c r="L3002" s="37"/>
      <c r="M3002" s="37"/>
      <c r="N3002" s="37"/>
      <c r="O3002" s="37"/>
      <c r="P3002" s="37"/>
      <c r="Q3002" s="37"/>
      <c r="R3002" s="37"/>
      <c r="S3002" s="37"/>
      <c r="T3002" s="37"/>
      <c r="U3002" s="37"/>
      <c r="V3002" s="37"/>
      <c r="W3002" s="37"/>
      <c r="X3002" s="37"/>
      <c r="Y3002" s="37"/>
      <c r="Z3002" s="37"/>
      <c r="AA3002" s="37"/>
      <c r="AB3002" s="37"/>
      <c r="AC3002" s="37"/>
      <c r="AD3002" s="37"/>
      <c r="AE3002" s="37"/>
      <c r="AF3002" s="37"/>
      <c r="AG3002" s="37"/>
      <c r="AH3002" s="37"/>
      <c r="AI3002" s="37"/>
      <c r="AJ3002" s="37"/>
      <c r="AK3002" s="37"/>
      <c r="AL3002" s="37"/>
      <c r="AM3002" s="37"/>
      <c r="AN3002" s="37"/>
      <c r="AO3002" s="37"/>
      <c r="AP3002" s="37"/>
      <c r="AQ3002" s="37"/>
      <c r="AR3002" s="37"/>
      <c r="AS3002" s="37"/>
      <c r="AT3002" s="37"/>
      <c r="AU3002" s="37"/>
      <c r="AV3002" s="37"/>
      <c r="AW3002" s="37"/>
      <c r="AX3002" s="37"/>
      <c r="AY3002" s="37"/>
      <c r="AZ3002" s="37"/>
      <c r="BA3002" s="37"/>
      <c r="BB3002" s="37"/>
      <c r="BC3002" s="37"/>
      <c r="BD3002" s="37"/>
      <c r="BE3002" s="37"/>
      <c r="BF3002" s="37"/>
      <c r="BG3002" s="37"/>
      <c r="BH3002" s="37"/>
      <c r="BI3002" s="37"/>
      <c r="BJ3002" s="37"/>
      <c r="BK3002" s="37"/>
      <c r="BL3002" s="37"/>
      <c r="BM3002" s="37"/>
      <c r="BN3002" s="37"/>
      <c r="BO3002" s="37"/>
      <c r="BP3002" s="37"/>
      <c r="BQ3002" s="37"/>
      <c r="BR3002" s="37"/>
      <c r="BS3002" s="37"/>
      <c r="BT3002" s="37"/>
      <c r="BU3002" s="37"/>
      <c r="BV3002" s="37"/>
      <c r="BW3002" s="37"/>
      <c r="BX3002" s="37"/>
      <c r="BY3002" s="37"/>
      <c r="BZ3002" s="37"/>
      <c r="CA3002" s="37"/>
      <c r="CB3002" s="37"/>
      <c r="CC3002" s="37"/>
      <c r="CD3002" s="37"/>
      <c r="CE3002" s="37"/>
      <c r="CF3002" s="37"/>
      <c r="CG3002" s="37"/>
      <c r="CH3002" s="37"/>
      <c r="CI3002" s="37"/>
      <c r="CJ3002" s="37"/>
      <c r="CK3002" s="37"/>
      <c r="CL3002" s="37"/>
      <c r="CM3002" s="37"/>
      <c r="CN3002" s="37"/>
      <c r="CO3002" s="37"/>
      <c r="CP3002" s="37"/>
      <c r="CQ3002" s="37"/>
      <c r="CR3002" s="37"/>
      <c r="CS3002" s="37"/>
      <c r="CT3002" s="37"/>
      <c r="CU3002" s="37"/>
      <c r="CV3002" s="37"/>
      <c r="CW3002" s="37"/>
      <c r="CX3002" s="37"/>
      <c r="CY3002" s="37"/>
      <c r="CZ3002" s="37"/>
      <c r="DA3002" s="37"/>
      <c r="DB3002" s="37"/>
      <c r="DC3002" s="37"/>
      <c r="DD3002" s="37"/>
      <c r="DE3002" s="37"/>
      <c r="DF3002" s="37"/>
      <c r="DG3002" s="37"/>
      <c r="DH3002" s="37"/>
      <c r="DI3002" s="37"/>
      <c r="DJ3002" s="37"/>
      <c r="DK3002" s="37"/>
      <c r="DL3002" s="37"/>
      <c r="DM3002" s="37"/>
      <c r="DN3002" s="37"/>
      <c r="DO3002" s="37"/>
      <c r="DP3002" s="37"/>
      <c r="DQ3002" s="37"/>
      <c r="DR3002" s="37"/>
      <c r="DS3002" s="37"/>
      <c r="DT3002" s="37"/>
      <c r="DU3002" s="37"/>
      <c r="DV3002" s="37"/>
      <c r="DW3002" s="37"/>
      <c r="DX3002" s="37"/>
      <c r="DY3002" s="37"/>
      <c r="DZ3002" s="37"/>
      <c r="EA3002" s="37"/>
      <c r="EB3002" s="37"/>
      <c r="EC3002" s="37"/>
      <c r="ED3002" s="37"/>
      <c r="EE3002" s="37"/>
      <c r="EF3002" s="37"/>
      <c r="EG3002" s="37"/>
      <c r="EH3002" s="37"/>
      <c r="EI3002" s="37"/>
      <c r="EJ3002" s="37"/>
      <c r="EK3002" s="37"/>
      <c r="EL3002" s="37"/>
      <c r="EM3002" s="37"/>
      <c r="EN3002" s="37"/>
      <c r="EO3002" s="37"/>
      <c r="EP3002" s="37"/>
      <c r="EQ3002" s="37"/>
      <c r="ER3002" s="37"/>
      <c r="ES3002" s="37"/>
      <c r="ET3002" s="37"/>
      <c r="EU3002" s="37"/>
      <c r="EV3002" s="37"/>
      <c r="EW3002" s="37"/>
      <c r="EX3002" s="37"/>
      <c r="EY3002" s="37"/>
      <c r="EZ3002" s="37"/>
      <c r="FA3002" s="37"/>
      <c r="FB3002" s="37"/>
      <c r="FC3002" s="37"/>
      <c r="FD3002" s="37"/>
      <c r="FE3002" s="37"/>
      <c r="FF3002" s="37"/>
      <c r="FG3002" s="37"/>
      <c r="FH3002" s="37"/>
      <c r="FI3002" s="37"/>
      <c r="FJ3002" s="37"/>
      <c r="FK3002" s="37"/>
      <c r="FL3002" s="37"/>
      <c r="FM3002" s="37"/>
      <c r="FN3002" s="37"/>
      <c r="FO3002" s="37"/>
      <c r="FP3002" s="37"/>
      <c r="FQ3002" s="37"/>
      <c r="FR3002" s="37"/>
      <c r="FS3002" s="37"/>
      <c r="FT3002" s="37"/>
      <c r="FU3002" s="37"/>
      <c r="FV3002" s="37"/>
      <c r="FW3002" s="37"/>
      <c r="FX3002" s="37"/>
      <c r="FY3002" s="37"/>
      <c r="FZ3002" s="37"/>
      <c r="GA3002" s="37"/>
      <c r="GB3002" s="37"/>
      <c r="GC3002" s="37"/>
      <c r="GD3002" s="37"/>
      <c r="GE3002" s="37"/>
      <c r="GF3002" s="37"/>
      <c r="GG3002" s="37"/>
      <c r="GH3002" s="37"/>
      <c r="GI3002" s="37"/>
      <c r="GJ3002" s="37"/>
      <c r="GK3002" s="37"/>
      <c r="GL3002" s="37"/>
      <c r="GM3002" s="37"/>
      <c r="GN3002" s="37"/>
      <c r="GO3002" s="37"/>
      <c r="GP3002" s="37"/>
      <c r="GQ3002" s="37"/>
      <c r="GR3002" s="37"/>
      <c r="GS3002" s="37"/>
      <c r="GT3002" s="37"/>
      <c r="GU3002" s="37"/>
      <c r="GV3002" s="37"/>
      <c r="GW3002" s="37"/>
      <c r="GX3002" s="37"/>
      <c r="GY3002" s="37"/>
      <c r="GZ3002" s="37"/>
      <c r="HA3002" s="37"/>
      <c r="HB3002" s="37"/>
      <c r="HC3002" s="37"/>
      <c r="HD3002" s="37"/>
      <c r="HE3002" s="37"/>
      <c r="HF3002" s="37"/>
      <c r="HG3002" s="37"/>
      <c r="HH3002" s="37"/>
      <c r="HI3002" s="37"/>
      <c r="HJ3002" s="37"/>
      <c r="HK3002" s="37"/>
      <c r="HL3002" s="37"/>
      <c r="HM3002" s="37"/>
      <c r="HN3002" s="37"/>
      <c r="HO3002" s="37"/>
      <c r="HP3002" s="37"/>
      <c r="HQ3002" s="37"/>
      <c r="HR3002" s="37"/>
      <c r="HS3002" s="37"/>
      <c r="HT3002" s="37"/>
      <c r="HU3002" s="37"/>
      <c r="HV3002" s="37"/>
      <c r="HW3002" s="37"/>
      <c r="HX3002" s="37"/>
      <c r="HY3002" s="37"/>
      <c r="HZ3002" s="37"/>
      <c r="IA3002" s="37"/>
      <c r="IB3002" s="37"/>
      <c r="IC3002" s="37"/>
      <c r="ID3002" s="37"/>
      <c r="IE3002" s="37"/>
      <c r="IF3002" s="37"/>
      <c r="IG3002" s="37"/>
      <c r="IH3002" s="37"/>
      <c r="II3002" s="37"/>
      <c r="IJ3002" s="37"/>
      <c r="IK3002" s="37"/>
      <c r="IL3002" s="37"/>
      <c r="IM3002" s="37"/>
      <c r="IN3002" s="37"/>
      <c r="IO3002" s="37"/>
      <c r="IP3002" s="37"/>
      <c r="IQ3002" s="37"/>
      <c r="IR3002" s="37"/>
      <c r="IS3002" s="37"/>
      <c r="IT3002" s="37"/>
      <c r="IU3002" s="37"/>
      <c r="IV3002" s="37"/>
      <c r="IW3002" s="37"/>
      <c r="IX3002" s="37"/>
      <c r="IY3002" s="37"/>
      <c r="IZ3002" s="37"/>
      <c r="JA3002" s="37"/>
      <c r="JB3002" s="37"/>
      <c r="JC3002" s="37"/>
      <c r="JD3002" s="37"/>
      <c r="JE3002" s="37"/>
      <c r="JF3002" s="37"/>
      <c r="JG3002" s="37"/>
      <c r="JH3002" s="37"/>
      <c r="JI3002" s="37"/>
      <c r="JJ3002" s="37"/>
      <c r="JK3002" s="37"/>
      <c r="JL3002" s="37"/>
      <c r="JM3002" s="37"/>
      <c r="JN3002" s="37"/>
      <c r="JO3002" s="37"/>
      <c r="JP3002" s="37"/>
      <c r="JQ3002" s="37"/>
      <c r="JR3002" s="37"/>
      <c r="JS3002" s="37"/>
      <c r="JT3002" s="37"/>
      <c r="JU3002" s="37"/>
      <c r="JV3002" s="37"/>
      <c r="JW3002" s="37"/>
      <c r="JX3002" s="37"/>
      <c r="JY3002" s="37"/>
      <c r="JZ3002" s="37"/>
      <c r="KA3002" s="37"/>
      <c r="KB3002" s="37"/>
      <c r="KC3002" s="37"/>
      <c r="KD3002" s="37"/>
      <c r="KE3002" s="37"/>
      <c r="KF3002" s="37"/>
      <c r="KG3002" s="37"/>
      <c r="KH3002" s="37"/>
      <c r="KI3002" s="37"/>
      <c r="KJ3002" s="37"/>
      <c r="KK3002" s="37"/>
      <c r="KL3002" s="37"/>
      <c r="KM3002" s="37"/>
      <c r="KN3002" s="37"/>
      <c r="KO3002" s="37"/>
      <c r="KP3002" s="37"/>
      <c r="KQ3002" s="37"/>
      <c r="KR3002" s="37"/>
      <c r="KS3002" s="37"/>
      <c r="KT3002" s="37"/>
      <c r="KU3002" s="37"/>
      <c r="KV3002" s="37"/>
      <c r="KW3002" s="37"/>
      <c r="KX3002" s="37"/>
      <c r="KY3002" s="37"/>
      <c r="KZ3002" s="37"/>
      <c r="LA3002" s="37"/>
      <c r="LB3002" s="37"/>
      <c r="LC3002" s="37"/>
      <c r="LD3002" s="37"/>
      <c r="LE3002" s="37"/>
      <c r="LF3002" s="37"/>
      <c r="LG3002" s="37"/>
      <c r="LH3002" s="37"/>
      <c r="LI3002" s="37"/>
      <c r="LJ3002" s="37"/>
      <c r="LK3002" s="37"/>
      <c r="LL3002" s="37"/>
      <c r="LM3002" s="37"/>
      <c r="LN3002" s="37"/>
      <c r="LO3002" s="37"/>
      <c r="LP3002" s="37"/>
      <c r="LQ3002" s="37"/>
      <c r="LR3002" s="37"/>
      <c r="LS3002" s="37"/>
      <c r="LT3002" s="37"/>
      <c r="LU3002" s="37"/>
      <c r="LV3002" s="37"/>
      <c r="LW3002" s="37"/>
      <c r="LX3002" s="37"/>
      <c r="LY3002" s="37"/>
      <c r="LZ3002" s="37"/>
      <c r="MA3002" s="37"/>
      <c r="MB3002" s="37"/>
      <c r="MC3002" s="37"/>
      <c r="MD3002" s="37"/>
      <c r="ME3002" s="37"/>
      <c r="MF3002" s="37"/>
      <c r="MG3002" s="37"/>
      <c r="MH3002" s="37"/>
      <c r="MI3002" s="37"/>
      <c r="MJ3002" s="37"/>
      <c r="MK3002" s="37"/>
      <c r="ML3002" s="37"/>
      <c r="MM3002" s="37"/>
      <c r="MN3002" s="37"/>
      <c r="MO3002" s="37"/>
      <c r="MP3002" s="37"/>
      <c r="MQ3002" s="37"/>
      <c r="MR3002" s="37"/>
      <c r="MS3002" s="37"/>
      <c r="MT3002" s="37"/>
      <c r="MU3002" s="37"/>
      <c r="MV3002" s="37"/>
      <c r="MW3002" s="37"/>
      <c r="MX3002" s="37"/>
      <c r="MY3002" s="37"/>
      <c r="MZ3002" s="37"/>
      <c r="NA3002" s="37"/>
      <c r="NB3002" s="37"/>
      <c r="NC3002" s="37"/>
      <c r="ND3002" s="37"/>
      <c r="NE3002" s="37"/>
      <c r="NF3002" s="37"/>
      <c r="NG3002" s="37"/>
      <c r="NH3002" s="37"/>
      <c r="NI3002" s="37"/>
      <c r="NJ3002" s="37"/>
      <c r="NK3002" s="37"/>
      <c r="NL3002" s="37"/>
      <c r="NM3002" s="37"/>
      <c r="NN3002" s="37"/>
      <c r="NO3002" s="37"/>
      <c r="NP3002" s="37"/>
      <c r="NQ3002" s="37"/>
      <c r="NR3002" s="37"/>
      <c r="NS3002" s="37"/>
      <c r="NT3002" s="37"/>
      <c r="NU3002" s="37"/>
      <c r="NV3002" s="37"/>
      <c r="NW3002" s="37"/>
      <c r="NX3002" s="37"/>
      <c r="NY3002" s="37"/>
      <c r="NZ3002" s="37"/>
      <c r="OA3002" s="37"/>
      <c r="OB3002" s="37"/>
      <c r="OC3002" s="37"/>
      <c r="OD3002" s="37"/>
      <c r="OE3002" s="37"/>
      <c r="OF3002" s="37"/>
      <c r="OG3002" s="37"/>
      <c r="OH3002" s="37"/>
      <c r="OI3002" s="37"/>
      <c r="OJ3002" s="37"/>
      <c r="OK3002" s="37"/>
      <c r="OL3002" s="37"/>
      <c r="OM3002" s="37"/>
      <c r="ON3002" s="37"/>
      <c r="OO3002" s="37"/>
      <c r="OP3002" s="37"/>
      <c r="OQ3002" s="37"/>
      <c r="OR3002" s="37"/>
      <c r="OS3002" s="37"/>
      <c r="OT3002" s="37"/>
      <c r="OU3002" s="37"/>
      <c r="OV3002" s="37"/>
      <c r="OW3002" s="37"/>
      <c r="OX3002" s="37"/>
      <c r="OY3002" s="37"/>
      <c r="OZ3002" s="37"/>
      <c r="PA3002" s="37"/>
      <c r="PB3002" s="37"/>
      <c r="PC3002" s="37"/>
      <c r="PD3002" s="37"/>
      <c r="PE3002" s="37"/>
      <c r="PF3002" s="37"/>
      <c r="PG3002" s="37"/>
      <c r="PH3002" s="37"/>
      <c r="PI3002" s="37"/>
      <c r="PJ3002" s="37"/>
      <c r="PK3002" s="37"/>
      <c r="PL3002" s="37"/>
      <c r="PM3002" s="37"/>
      <c r="PN3002" s="37"/>
      <c r="PO3002" s="37"/>
      <c r="PP3002" s="37"/>
      <c r="PQ3002" s="37"/>
      <c r="PR3002" s="37"/>
      <c r="PS3002" s="37"/>
      <c r="PT3002" s="37"/>
      <c r="PU3002" s="37"/>
      <c r="PV3002" s="37"/>
      <c r="PW3002" s="37"/>
      <c r="PX3002" s="37"/>
      <c r="PY3002" s="37"/>
      <c r="PZ3002" s="37"/>
      <c r="QA3002" s="37"/>
      <c r="QB3002" s="37"/>
      <c r="QC3002" s="37"/>
      <c r="QD3002" s="37"/>
      <c r="QE3002" s="37"/>
      <c r="QF3002" s="37"/>
      <c r="QG3002" s="37"/>
      <c r="QH3002" s="37"/>
      <c r="QI3002" s="37"/>
      <c r="QJ3002" s="37"/>
      <c r="QK3002" s="37"/>
      <c r="QL3002" s="37"/>
      <c r="QM3002" s="37"/>
      <c r="QN3002" s="37"/>
      <c r="QO3002" s="37"/>
      <c r="QP3002" s="37"/>
      <c r="QQ3002" s="37"/>
      <c r="QR3002" s="37"/>
      <c r="QS3002" s="37"/>
      <c r="QT3002" s="37"/>
      <c r="QU3002" s="37"/>
      <c r="QV3002" s="37"/>
      <c r="QW3002" s="37"/>
      <c r="QX3002" s="37"/>
      <c r="QY3002" s="37"/>
      <c r="QZ3002" s="37"/>
      <c r="RA3002" s="37"/>
      <c r="RB3002" s="37"/>
      <c r="RC3002" s="37"/>
      <c r="RD3002" s="37"/>
      <c r="RE3002" s="37"/>
      <c r="RF3002" s="37"/>
      <c r="RG3002" s="37"/>
      <c r="RH3002" s="37"/>
      <c r="RI3002" s="37"/>
      <c r="RJ3002" s="37"/>
      <c r="RK3002" s="37"/>
      <c r="RL3002" s="37"/>
      <c r="RM3002" s="37"/>
      <c r="RN3002" s="37"/>
      <c r="RO3002" s="37"/>
      <c r="RP3002" s="37"/>
      <c r="RQ3002" s="37"/>
      <c r="RR3002" s="37"/>
      <c r="RS3002" s="37"/>
      <c r="RT3002" s="37"/>
      <c r="RU3002" s="37"/>
      <c r="RV3002" s="37"/>
      <c r="RW3002" s="37"/>
      <c r="RX3002" s="37"/>
      <c r="RY3002" s="37"/>
      <c r="RZ3002" s="37"/>
      <c r="SA3002" s="37"/>
      <c r="SB3002" s="37"/>
      <c r="SC3002" s="37"/>
      <c r="SD3002" s="37"/>
      <c r="SE3002" s="37"/>
      <c r="SF3002" s="37"/>
    </row>
    <row r="3003" spans="1:500">
      <c r="A3003" s="37"/>
      <c r="B3003" s="37"/>
      <c r="C3003" s="37"/>
      <c r="D3003" s="37"/>
      <c r="E3003" s="37"/>
      <c r="F3003" s="37"/>
      <c r="G3003" s="37"/>
      <c r="H3003" s="37"/>
      <c r="I3003" s="37"/>
      <c r="J3003" s="37"/>
      <c r="K3003" s="37"/>
      <c r="L3003" s="37"/>
      <c r="M3003" s="37"/>
      <c r="N3003" s="37"/>
      <c r="O3003" s="37"/>
      <c r="P3003" s="37"/>
      <c r="Q3003" s="37"/>
      <c r="R3003" s="37"/>
      <c r="S3003" s="37"/>
      <c r="T3003" s="37"/>
      <c r="U3003" s="37"/>
      <c r="V3003" s="37"/>
      <c r="W3003" s="37"/>
      <c r="X3003" s="37"/>
      <c r="Y3003" s="37"/>
      <c r="Z3003" s="37"/>
      <c r="AA3003" s="37"/>
      <c r="AB3003" s="37"/>
      <c r="AC3003" s="37"/>
      <c r="AD3003" s="37"/>
      <c r="AE3003" s="37"/>
      <c r="AF3003" s="37"/>
      <c r="AG3003" s="37"/>
      <c r="AH3003" s="37"/>
      <c r="AI3003" s="37"/>
      <c r="AJ3003" s="37"/>
      <c r="AK3003" s="37"/>
      <c r="AL3003" s="37"/>
      <c r="AM3003" s="37"/>
      <c r="AN3003" s="37"/>
      <c r="AO3003" s="37"/>
      <c r="AP3003" s="37"/>
      <c r="AQ3003" s="37"/>
      <c r="AR3003" s="37"/>
      <c r="AS3003" s="37"/>
      <c r="AT3003" s="37"/>
      <c r="AU3003" s="37"/>
      <c r="AV3003" s="37"/>
      <c r="AW3003" s="37"/>
      <c r="AX3003" s="37"/>
      <c r="AY3003" s="37"/>
      <c r="AZ3003" s="37"/>
      <c r="BA3003" s="37"/>
      <c r="BB3003" s="37"/>
      <c r="BC3003" s="37"/>
      <c r="BD3003" s="37"/>
      <c r="BE3003" s="37"/>
      <c r="BF3003" s="37"/>
      <c r="BG3003" s="37"/>
      <c r="BH3003" s="37"/>
      <c r="BI3003" s="37"/>
      <c r="BJ3003" s="37"/>
      <c r="BK3003" s="37"/>
      <c r="BL3003" s="37"/>
      <c r="BM3003" s="37"/>
      <c r="BN3003" s="37"/>
      <c r="BO3003" s="37"/>
      <c r="BP3003" s="37"/>
      <c r="BQ3003" s="37"/>
      <c r="BR3003" s="37"/>
      <c r="BS3003" s="37"/>
      <c r="BT3003" s="37"/>
      <c r="BU3003" s="37"/>
      <c r="BV3003" s="37"/>
      <c r="BW3003" s="37"/>
      <c r="BX3003" s="37"/>
      <c r="BY3003" s="37"/>
      <c r="BZ3003" s="37"/>
      <c r="CA3003" s="37"/>
      <c r="CB3003" s="37"/>
      <c r="CC3003" s="37"/>
      <c r="CD3003" s="37"/>
      <c r="CE3003" s="37"/>
      <c r="CF3003" s="37"/>
      <c r="CG3003" s="37"/>
      <c r="CH3003" s="37"/>
      <c r="CI3003" s="37"/>
      <c r="CJ3003" s="37"/>
      <c r="CK3003" s="37"/>
      <c r="CL3003" s="37"/>
      <c r="CM3003" s="37"/>
      <c r="CN3003" s="37"/>
      <c r="CO3003" s="37"/>
      <c r="CP3003" s="37"/>
      <c r="CQ3003" s="37"/>
      <c r="CR3003" s="37"/>
      <c r="CS3003" s="37"/>
      <c r="CT3003" s="37"/>
      <c r="CU3003" s="37"/>
      <c r="CV3003" s="37"/>
      <c r="CW3003" s="37"/>
      <c r="CX3003" s="37"/>
      <c r="CY3003" s="37"/>
      <c r="CZ3003" s="37"/>
      <c r="DA3003" s="37"/>
      <c r="DB3003" s="37"/>
      <c r="DC3003" s="37"/>
      <c r="DD3003" s="37"/>
      <c r="DE3003" s="37"/>
      <c r="DF3003" s="37"/>
      <c r="DG3003" s="37"/>
      <c r="DH3003" s="37"/>
      <c r="DI3003" s="37"/>
      <c r="DJ3003" s="37"/>
      <c r="DK3003" s="37"/>
      <c r="DL3003" s="37"/>
      <c r="DM3003" s="37"/>
      <c r="DN3003" s="37"/>
      <c r="DO3003" s="37"/>
      <c r="DP3003" s="37"/>
      <c r="DQ3003" s="37"/>
      <c r="DR3003" s="37"/>
      <c r="DS3003" s="37"/>
      <c r="DT3003" s="37"/>
      <c r="DU3003" s="37"/>
      <c r="DV3003" s="37"/>
      <c r="DW3003" s="37"/>
      <c r="DX3003" s="37"/>
      <c r="DY3003" s="37"/>
      <c r="DZ3003" s="37"/>
      <c r="EA3003" s="37"/>
      <c r="EB3003" s="37"/>
      <c r="EC3003" s="37"/>
      <c r="ED3003" s="37"/>
      <c r="EE3003" s="37"/>
      <c r="EF3003" s="37"/>
      <c r="EG3003" s="37"/>
      <c r="EH3003" s="37"/>
      <c r="EI3003" s="37"/>
      <c r="EJ3003" s="37"/>
      <c r="EK3003" s="37"/>
      <c r="EL3003" s="37"/>
      <c r="EM3003" s="37"/>
      <c r="EN3003" s="37"/>
      <c r="EO3003" s="37"/>
      <c r="EP3003" s="37"/>
      <c r="EQ3003" s="37"/>
      <c r="ER3003" s="37"/>
      <c r="ES3003" s="37"/>
      <c r="ET3003" s="37"/>
      <c r="EU3003" s="37"/>
      <c r="EV3003" s="37"/>
      <c r="EW3003" s="37"/>
      <c r="EX3003" s="37"/>
      <c r="EY3003" s="37"/>
      <c r="EZ3003" s="37"/>
      <c r="FA3003" s="37"/>
      <c r="FB3003" s="37"/>
      <c r="FC3003" s="37"/>
      <c r="FD3003" s="37"/>
      <c r="FE3003" s="37"/>
      <c r="FF3003" s="37"/>
      <c r="FG3003" s="37"/>
      <c r="FH3003" s="37"/>
      <c r="FI3003" s="37"/>
      <c r="FJ3003" s="37"/>
      <c r="FK3003" s="37"/>
      <c r="FL3003" s="37"/>
      <c r="FM3003" s="37"/>
      <c r="FN3003" s="37"/>
      <c r="FO3003" s="37"/>
      <c r="FP3003" s="37"/>
      <c r="FQ3003" s="37"/>
      <c r="FR3003" s="37"/>
      <c r="FS3003" s="37"/>
      <c r="FT3003" s="37"/>
      <c r="FU3003" s="37"/>
      <c r="FV3003" s="37"/>
      <c r="FW3003" s="37"/>
      <c r="FX3003" s="37"/>
      <c r="FY3003" s="37"/>
      <c r="FZ3003" s="37"/>
      <c r="GA3003" s="37"/>
      <c r="GB3003" s="37"/>
      <c r="GC3003" s="37"/>
      <c r="GD3003" s="37"/>
      <c r="GE3003" s="37"/>
      <c r="GF3003" s="37"/>
      <c r="GG3003" s="37"/>
      <c r="GH3003" s="37"/>
      <c r="GI3003" s="37"/>
      <c r="GJ3003" s="37"/>
      <c r="GK3003" s="37"/>
      <c r="GL3003" s="37"/>
      <c r="GM3003" s="37"/>
      <c r="GN3003" s="37"/>
      <c r="GO3003" s="37"/>
      <c r="GP3003" s="37"/>
      <c r="GQ3003" s="37"/>
      <c r="GR3003" s="37"/>
      <c r="GS3003" s="37"/>
      <c r="GT3003" s="37"/>
      <c r="GU3003" s="37"/>
      <c r="GV3003" s="37"/>
      <c r="GW3003" s="37"/>
      <c r="GX3003" s="37"/>
      <c r="GY3003" s="37"/>
      <c r="GZ3003" s="37"/>
      <c r="HA3003" s="37"/>
      <c r="HB3003" s="37"/>
      <c r="HC3003" s="37"/>
      <c r="HD3003" s="37"/>
      <c r="HE3003" s="37"/>
      <c r="HF3003" s="37"/>
      <c r="HG3003" s="37"/>
      <c r="HH3003" s="37"/>
      <c r="HI3003" s="37"/>
      <c r="HJ3003" s="37"/>
      <c r="HK3003" s="37"/>
      <c r="HL3003" s="37"/>
      <c r="HM3003" s="37"/>
      <c r="HN3003" s="37"/>
      <c r="HO3003" s="37"/>
      <c r="HP3003" s="37"/>
      <c r="HQ3003" s="37"/>
      <c r="HR3003" s="37"/>
      <c r="HS3003" s="37"/>
      <c r="HT3003" s="37"/>
      <c r="HU3003" s="37"/>
      <c r="HV3003" s="37"/>
      <c r="HW3003" s="37"/>
      <c r="HX3003" s="37"/>
      <c r="HY3003" s="37"/>
      <c r="HZ3003" s="37"/>
      <c r="IA3003" s="37"/>
      <c r="IB3003" s="37"/>
      <c r="IC3003" s="37"/>
      <c r="ID3003" s="37"/>
      <c r="IE3003" s="37"/>
      <c r="IF3003" s="37"/>
      <c r="IG3003" s="37"/>
      <c r="IH3003" s="37"/>
      <c r="II3003" s="37"/>
      <c r="IJ3003" s="37"/>
      <c r="IK3003" s="37"/>
      <c r="IL3003" s="37"/>
      <c r="IM3003" s="37"/>
      <c r="IN3003" s="37"/>
      <c r="IO3003" s="37"/>
      <c r="IP3003" s="37"/>
      <c r="IQ3003" s="37"/>
      <c r="IR3003" s="37"/>
      <c r="IS3003" s="37"/>
      <c r="IT3003" s="37"/>
      <c r="IU3003" s="37"/>
      <c r="IV3003" s="37"/>
      <c r="IW3003" s="37"/>
      <c r="IX3003" s="37"/>
      <c r="IY3003" s="37"/>
      <c r="IZ3003" s="37"/>
      <c r="JA3003" s="37"/>
      <c r="JB3003" s="37"/>
      <c r="JC3003" s="37"/>
      <c r="JD3003" s="37"/>
      <c r="JE3003" s="37"/>
      <c r="JF3003" s="37"/>
      <c r="JG3003" s="37"/>
      <c r="JH3003" s="37"/>
      <c r="JI3003" s="37"/>
      <c r="JJ3003" s="37"/>
      <c r="JK3003" s="37"/>
      <c r="JL3003" s="37"/>
      <c r="JM3003" s="37"/>
      <c r="JN3003" s="37"/>
      <c r="JO3003" s="37"/>
      <c r="JP3003" s="37"/>
      <c r="JQ3003" s="37"/>
      <c r="JR3003" s="37"/>
      <c r="JS3003" s="37"/>
      <c r="JT3003" s="37"/>
      <c r="JU3003" s="37"/>
      <c r="JV3003" s="37"/>
      <c r="JW3003" s="37"/>
      <c r="JX3003" s="37"/>
      <c r="JY3003" s="37"/>
      <c r="JZ3003" s="37"/>
      <c r="KA3003" s="37"/>
      <c r="KB3003" s="37"/>
      <c r="KC3003" s="37"/>
      <c r="KD3003" s="37"/>
      <c r="KE3003" s="37"/>
      <c r="KF3003" s="37"/>
      <c r="KG3003" s="37"/>
      <c r="KH3003" s="37"/>
      <c r="KI3003" s="37"/>
      <c r="KJ3003" s="37"/>
      <c r="KK3003" s="37"/>
      <c r="KL3003" s="37"/>
      <c r="KM3003" s="37"/>
      <c r="KN3003" s="37"/>
      <c r="KO3003" s="37"/>
      <c r="KP3003" s="37"/>
      <c r="KQ3003" s="37"/>
      <c r="KR3003" s="37"/>
      <c r="KS3003" s="37"/>
      <c r="KT3003" s="37"/>
      <c r="KU3003" s="37"/>
      <c r="KV3003" s="37"/>
      <c r="KW3003" s="37"/>
      <c r="KX3003" s="37"/>
      <c r="KY3003" s="37"/>
      <c r="KZ3003" s="37"/>
      <c r="LA3003" s="37"/>
      <c r="LB3003" s="37"/>
      <c r="LC3003" s="37"/>
      <c r="LD3003" s="37"/>
      <c r="LE3003" s="37"/>
      <c r="LF3003" s="37"/>
      <c r="LG3003" s="37"/>
      <c r="LH3003" s="37"/>
      <c r="LI3003" s="37"/>
      <c r="LJ3003" s="37"/>
      <c r="LK3003" s="37"/>
      <c r="LL3003" s="37"/>
      <c r="LM3003" s="37"/>
      <c r="LN3003" s="37"/>
      <c r="LO3003" s="37"/>
      <c r="LP3003" s="37"/>
      <c r="LQ3003" s="37"/>
      <c r="LR3003" s="37"/>
      <c r="LS3003" s="37"/>
      <c r="LT3003" s="37"/>
      <c r="LU3003" s="37"/>
      <c r="LV3003" s="37"/>
      <c r="LW3003" s="37"/>
      <c r="LX3003" s="37"/>
      <c r="LY3003" s="37"/>
      <c r="LZ3003" s="37"/>
      <c r="MA3003" s="37"/>
      <c r="MB3003" s="37"/>
      <c r="MC3003" s="37"/>
      <c r="MD3003" s="37"/>
      <c r="ME3003" s="37"/>
      <c r="MF3003" s="37"/>
      <c r="MG3003" s="37"/>
      <c r="MH3003" s="37"/>
      <c r="MI3003" s="37"/>
      <c r="MJ3003" s="37"/>
      <c r="MK3003" s="37"/>
      <c r="ML3003" s="37"/>
      <c r="MM3003" s="37"/>
      <c r="MN3003" s="37"/>
      <c r="MO3003" s="37"/>
      <c r="MP3003" s="37"/>
      <c r="MQ3003" s="37"/>
      <c r="MR3003" s="37"/>
      <c r="MS3003" s="37"/>
      <c r="MT3003" s="37"/>
      <c r="MU3003" s="37"/>
      <c r="MV3003" s="37"/>
      <c r="MW3003" s="37"/>
      <c r="MX3003" s="37"/>
      <c r="MY3003" s="37"/>
      <c r="MZ3003" s="37"/>
      <c r="NA3003" s="37"/>
      <c r="NB3003" s="37"/>
      <c r="NC3003" s="37"/>
      <c r="ND3003" s="37"/>
      <c r="NE3003" s="37"/>
      <c r="NF3003" s="37"/>
      <c r="NG3003" s="37"/>
      <c r="NH3003" s="37"/>
      <c r="NI3003" s="37"/>
      <c r="NJ3003" s="37"/>
      <c r="NK3003" s="37"/>
      <c r="NL3003" s="37"/>
      <c r="NM3003" s="37"/>
      <c r="NN3003" s="37"/>
      <c r="NO3003" s="37"/>
      <c r="NP3003" s="37"/>
      <c r="NQ3003" s="37"/>
      <c r="NR3003" s="37"/>
      <c r="NS3003" s="37"/>
      <c r="NT3003" s="37"/>
      <c r="NU3003" s="37"/>
      <c r="NV3003" s="37"/>
      <c r="NW3003" s="37"/>
      <c r="NX3003" s="37"/>
      <c r="NY3003" s="37"/>
      <c r="NZ3003" s="37"/>
      <c r="OA3003" s="37"/>
      <c r="OB3003" s="37"/>
      <c r="OC3003" s="37"/>
      <c r="OD3003" s="37"/>
      <c r="OE3003" s="37"/>
      <c r="OF3003" s="37"/>
      <c r="OG3003" s="37"/>
      <c r="OH3003" s="37"/>
      <c r="OI3003" s="37"/>
      <c r="OJ3003" s="37"/>
      <c r="OK3003" s="37"/>
      <c r="OL3003" s="37"/>
      <c r="OM3003" s="37"/>
      <c r="ON3003" s="37"/>
      <c r="OO3003" s="37"/>
      <c r="OP3003" s="37"/>
      <c r="OQ3003" s="37"/>
      <c r="OR3003" s="37"/>
      <c r="OS3003" s="37"/>
      <c r="OT3003" s="37"/>
      <c r="OU3003" s="37"/>
      <c r="OV3003" s="37"/>
      <c r="OW3003" s="37"/>
      <c r="OX3003" s="37"/>
      <c r="OY3003" s="37"/>
      <c r="OZ3003" s="37"/>
      <c r="PA3003" s="37"/>
      <c r="PB3003" s="37"/>
      <c r="PC3003" s="37"/>
      <c r="PD3003" s="37"/>
      <c r="PE3003" s="37"/>
      <c r="PF3003" s="37"/>
      <c r="PG3003" s="37"/>
      <c r="PH3003" s="37"/>
      <c r="PI3003" s="37"/>
      <c r="PJ3003" s="37"/>
      <c r="PK3003" s="37"/>
      <c r="PL3003" s="37"/>
      <c r="PM3003" s="37"/>
      <c r="PN3003" s="37"/>
      <c r="PO3003" s="37"/>
      <c r="PP3003" s="37"/>
      <c r="PQ3003" s="37"/>
      <c r="PR3003" s="37"/>
      <c r="PS3003" s="37"/>
      <c r="PT3003" s="37"/>
      <c r="PU3003" s="37"/>
      <c r="PV3003" s="37"/>
      <c r="PW3003" s="37"/>
      <c r="PX3003" s="37"/>
      <c r="PY3003" s="37"/>
      <c r="PZ3003" s="37"/>
      <c r="QA3003" s="37"/>
      <c r="QB3003" s="37"/>
      <c r="QC3003" s="37"/>
      <c r="QD3003" s="37"/>
      <c r="QE3003" s="37"/>
      <c r="QF3003" s="37"/>
      <c r="QG3003" s="37"/>
      <c r="QH3003" s="37"/>
      <c r="QI3003" s="37"/>
      <c r="QJ3003" s="37"/>
      <c r="QK3003" s="37"/>
      <c r="QL3003" s="37"/>
      <c r="QM3003" s="37"/>
      <c r="QN3003" s="37"/>
      <c r="QO3003" s="37"/>
      <c r="QP3003" s="37"/>
      <c r="QQ3003" s="37"/>
      <c r="QR3003" s="37"/>
      <c r="QS3003" s="37"/>
      <c r="QT3003" s="37"/>
      <c r="QU3003" s="37"/>
      <c r="QV3003" s="37"/>
      <c r="QW3003" s="37"/>
      <c r="QX3003" s="37"/>
      <c r="QY3003" s="37"/>
      <c r="QZ3003" s="37"/>
      <c r="RA3003" s="37"/>
      <c r="RB3003" s="37"/>
      <c r="RC3003" s="37"/>
      <c r="RD3003" s="37"/>
      <c r="RE3003" s="37"/>
      <c r="RF3003" s="37"/>
      <c r="RG3003" s="37"/>
      <c r="RH3003" s="37"/>
      <c r="RI3003" s="37"/>
      <c r="RJ3003" s="37"/>
      <c r="RK3003" s="37"/>
      <c r="RL3003" s="37"/>
      <c r="RM3003" s="37"/>
      <c r="RN3003" s="37"/>
      <c r="RO3003" s="37"/>
      <c r="RP3003" s="37"/>
      <c r="RQ3003" s="37"/>
      <c r="RR3003" s="37"/>
      <c r="RS3003" s="37"/>
      <c r="RT3003" s="37"/>
      <c r="RU3003" s="37"/>
      <c r="RV3003" s="37"/>
      <c r="RW3003" s="37"/>
      <c r="RX3003" s="37"/>
      <c r="RY3003" s="37"/>
      <c r="RZ3003" s="37"/>
      <c r="SA3003" s="37"/>
      <c r="SB3003" s="37"/>
      <c r="SC3003" s="37"/>
      <c r="SD3003" s="37"/>
      <c r="SE3003" s="37"/>
      <c r="SF3003" s="37"/>
    </row>
    <row r="3004" spans="1:500">
      <c r="A3004" s="37"/>
      <c r="B3004" s="37"/>
      <c r="C3004" s="37"/>
      <c r="D3004" s="37"/>
      <c r="E3004" s="37"/>
      <c r="F3004" s="37"/>
      <c r="G3004" s="37"/>
      <c r="H3004" s="37"/>
      <c r="I3004" s="37"/>
      <c r="J3004" s="37"/>
      <c r="K3004" s="37"/>
      <c r="L3004" s="37"/>
      <c r="M3004" s="37"/>
      <c r="N3004" s="37"/>
      <c r="O3004" s="37"/>
      <c r="P3004" s="37"/>
      <c r="Q3004" s="37"/>
      <c r="R3004" s="37"/>
      <c r="S3004" s="37"/>
      <c r="T3004" s="37"/>
      <c r="U3004" s="37"/>
      <c r="V3004" s="37"/>
      <c r="W3004" s="37"/>
      <c r="X3004" s="37"/>
      <c r="Y3004" s="37"/>
      <c r="Z3004" s="37"/>
      <c r="AA3004" s="37"/>
      <c r="AB3004" s="37"/>
      <c r="AC3004" s="37"/>
      <c r="AD3004" s="37"/>
      <c r="AE3004" s="37"/>
      <c r="AF3004" s="37"/>
      <c r="AG3004" s="37"/>
      <c r="AH3004" s="37"/>
      <c r="AI3004" s="37"/>
      <c r="AJ3004" s="37"/>
      <c r="AK3004" s="37"/>
      <c r="AL3004" s="37"/>
      <c r="AM3004" s="37"/>
      <c r="AN3004" s="37"/>
      <c r="AO3004" s="37"/>
      <c r="AP3004" s="37"/>
      <c r="AQ3004" s="37"/>
      <c r="AR3004" s="37"/>
      <c r="AS3004" s="37"/>
      <c r="AT3004" s="37"/>
      <c r="AU3004" s="37"/>
      <c r="AV3004" s="37"/>
      <c r="AW3004" s="37"/>
      <c r="AX3004" s="37"/>
      <c r="AY3004" s="37"/>
      <c r="AZ3004" s="37"/>
      <c r="BA3004" s="37"/>
      <c r="BB3004" s="37"/>
      <c r="BC3004" s="37"/>
      <c r="BD3004" s="37"/>
      <c r="BE3004" s="37"/>
      <c r="BF3004" s="37"/>
      <c r="BG3004" s="37"/>
      <c r="BH3004" s="37"/>
      <c r="BI3004" s="37"/>
      <c r="BJ3004" s="37"/>
      <c r="BK3004" s="37"/>
      <c r="BL3004" s="37"/>
      <c r="BM3004" s="37"/>
      <c r="BN3004" s="37"/>
      <c r="BO3004" s="37"/>
      <c r="BP3004" s="37"/>
      <c r="BQ3004" s="37"/>
      <c r="BR3004" s="37"/>
      <c r="BS3004" s="37"/>
      <c r="BT3004" s="37"/>
      <c r="BU3004" s="37"/>
      <c r="BV3004" s="37"/>
      <c r="BW3004" s="37"/>
      <c r="BX3004" s="37"/>
      <c r="BY3004" s="37"/>
      <c r="BZ3004" s="37"/>
      <c r="CA3004" s="37"/>
      <c r="CB3004" s="37"/>
      <c r="CC3004" s="37"/>
      <c r="CD3004" s="37"/>
      <c r="CE3004" s="37"/>
      <c r="CF3004" s="37"/>
      <c r="CG3004" s="37"/>
      <c r="CH3004" s="37"/>
      <c r="CI3004" s="37"/>
      <c r="CJ3004" s="37"/>
      <c r="CK3004" s="37"/>
      <c r="CL3004" s="37"/>
      <c r="CM3004" s="37"/>
      <c r="CN3004" s="37"/>
      <c r="CO3004" s="37"/>
      <c r="CP3004" s="37"/>
      <c r="CQ3004" s="37"/>
      <c r="CR3004" s="37"/>
      <c r="CS3004" s="37"/>
      <c r="CT3004" s="37"/>
      <c r="CU3004" s="37"/>
      <c r="CV3004" s="37"/>
      <c r="CW3004" s="37"/>
      <c r="CX3004" s="37"/>
      <c r="CY3004" s="37"/>
      <c r="CZ3004" s="37"/>
      <c r="DA3004" s="37"/>
      <c r="DB3004" s="37"/>
      <c r="DC3004" s="37"/>
      <c r="DD3004" s="37"/>
      <c r="DE3004" s="37"/>
      <c r="DF3004" s="37"/>
      <c r="DG3004" s="37"/>
      <c r="DH3004" s="37"/>
      <c r="DI3004" s="37"/>
      <c r="DJ3004" s="37"/>
      <c r="DK3004" s="37"/>
      <c r="DL3004" s="37"/>
      <c r="DM3004" s="37"/>
      <c r="DN3004" s="37"/>
      <c r="DO3004" s="37"/>
      <c r="DP3004" s="37"/>
      <c r="DQ3004" s="37"/>
      <c r="DR3004" s="37"/>
      <c r="DS3004" s="37"/>
      <c r="DT3004" s="37"/>
      <c r="DU3004" s="37"/>
      <c r="DV3004" s="37"/>
      <c r="DW3004" s="37"/>
      <c r="DX3004" s="37"/>
      <c r="DY3004" s="37"/>
      <c r="DZ3004" s="37"/>
      <c r="EA3004" s="37"/>
      <c r="EB3004" s="37"/>
      <c r="EC3004" s="37"/>
      <c r="ED3004" s="37"/>
      <c r="EE3004" s="37"/>
      <c r="EF3004" s="37"/>
      <c r="EG3004" s="37"/>
      <c r="EH3004" s="37"/>
      <c r="EI3004" s="37"/>
      <c r="EJ3004" s="37"/>
      <c r="EK3004" s="37"/>
      <c r="EL3004" s="37"/>
      <c r="EM3004" s="37"/>
      <c r="EN3004" s="37"/>
      <c r="EO3004" s="37"/>
      <c r="EP3004" s="37"/>
      <c r="EQ3004" s="37"/>
      <c r="ER3004" s="37"/>
      <c r="ES3004" s="37"/>
      <c r="ET3004" s="37"/>
      <c r="EU3004" s="37"/>
      <c r="EV3004" s="37"/>
      <c r="EW3004" s="37"/>
      <c r="EX3004" s="37"/>
      <c r="EY3004" s="37"/>
      <c r="EZ3004" s="37"/>
      <c r="FA3004" s="37"/>
      <c r="FB3004" s="37"/>
      <c r="FC3004" s="37"/>
      <c r="FD3004" s="37"/>
      <c r="FE3004" s="37"/>
      <c r="FF3004" s="37"/>
      <c r="FG3004" s="37"/>
      <c r="FH3004" s="37"/>
      <c r="FI3004" s="37"/>
      <c r="FJ3004" s="37"/>
      <c r="FK3004" s="37"/>
      <c r="FL3004" s="37"/>
      <c r="FM3004" s="37"/>
      <c r="FN3004" s="37"/>
      <c r="FO3004" s="37"/>
      <c r="FP3004" s="37"/>
      <c r="FQ3004" s="37"/>
      <c r="FR3004" s="37"/>
      <c r="FS3004" s="37"/>
      <c r="FT3004" s="37"/>
      <c r="FU3004" s="37"/>
      <c r="FV3004" s="37"/>
      <c r="FW3004" s="37"/>
      <c r="FX3004" s="37"/>
      <c r="FY3004" s="37"/>
      <c r="FZ3004" s="37"/>
      <c r="GA3004" s="37"/>
      <c r="GB3004" s="37"/>
      <c r="GC3004" s="37"/>
      <c r="GD3004" s="37"/>
      <c r="GE3004" s="37"/>
      <c r="GF3004" s="37"/>
      <c r="GG3004" s="37"/>
      <c r="GH3004" s="37"/>
      <c r="GI3004" s="37"/>
      <c r="GJ3004" s="37"/>
      <c r="GK3004" s="37"/>
      <c r="GL3004" s="37"/>
      <c r="GM3004" s="37"/>
      <c r="GN3004" s="37"/>
      <c r="GO3004" s="37"/>
      <c r="GP3004" s="37"/>
      <c r="GQ3004" s="37"/>
      <c r="GR3004" s="37"/>
      <c r="GS3004" s="37"/>
      <c r="GT3004" s="37"/>
      <c r="GU3004" s="37"/>
      <c r="GV3004" s="37"/>
      <c r="GW3004" s="37"/>
      <c r="GX3004" s="37"/>
      <c r="GY3004" s="37"/>
      <c r="GZ3004" s="37"/>
      <c r="HA3004" s="37"/>
      <c r="HB3004" s="37"/>
      <c r="HC3004" s="37"/>
      <c r="HD3004" s="37"/>
      <c r="HE3004" s="37"/>
      <c r="HF3004" s="37"/>
      <c r="HG3004" s="37"/>
      <c r="HH3004" s="37"/>
      <c r="HI3004" s="37"/>
      <c r="HJ3004" s="37"/>
      <c r="HK3004" s="37"/>
      <c r="HL3004" s="37"/>
      <c r="HM3004" s="37"/>
      <c r="HN3004" s="37"/>
      <c r="HO3004" s="37"/>
      <c r="HP3004" s="37"/>
      <c r="HQ3004" s="37"/>
      <c r="HR3004" s="37"/>
      <c r="HS3004" s="37"/>
      <c r="HT3004" s="37"/>
      <c r="HU3004" s="37"/>
      <c r="HV3004" s="37"/>
      <c r="HW3004" s="37"/>
      <c r="HX3004" s="37"/>
      <c r="HY3004" s="37"/>
      <c r="HZ3004" s="37"/>
      <c r="IA3004" s="37"/>
      <c r="IB3004" s="37"/>
      <c r="IC3004" s="37"/>
      <c r="ID3004" s="37"/>
      <c r="IE3004" s="37"/>
      <c r="IF3004" s="37"/>
      <c r="IG3004" s="37"/>
      <c r="IH3004" s="37"/>
      <c r="II3004" s="37"/>
      <c r="IJ3004" s="37"/>
      <c r="IK3004" s="37"/>
      <c r="IL3004" s="37"/>
      <c r="IM3004" s="37"/>
      <c r="IN3004" s="37"/>
      <c r="IO3004" s="37"/>
      <c r="IP3004" s="37"/>
      <c r="IQ3004" s="37"/>
      <c r="IR3004" s="37"/>
      <c r="IS3004" s="37"/>
      <c r="IT3004" s="37"/>
      <c r="IU3004" s="37"/>
      <c r="IV3004" s="37"/>
      <c r="IW3004" s="37"/>
      <c r="IX3004" s="37"/>
      <c r="IY3004" s="37"/>
      <c r="IZ3004" s="37"/>
      <c r="JA3004" s="37"/>
      <c r="JB3004" s="37"/>
      <c r="JC3004" s="37"/>
      <c r="JD3004" s="37"/>
      <c r="JE3004" s="37"/>
      <c r="JF3004" s="37"/>
      <c r="JG3004" s="37"/>
      <c r="JH3004" s="37"/>
      <c r="JI3004" s="37"/>
      <c r="JJ3004" s="37"/>
      <c r="JK3004" s="37"/>
      <c r="JL3004" s="37"/>
      <c r="JM3004" s="37"/>
      <c r="JN3004" s="37"/>
      <c r="JO3004" s="37"/>
      <c r="JP3004" s="37"/>
      <c r="JQ3004" s="37"/>
      <c r="JR3004" s="37"/>
      <c r="JS3004" s="37"/>
      <c r="JT3004" s="37"/>
      <c r="JU3004" s="37"/>
      <c r="JV3004" s="37"/>
      <c r="JW3004" s="37"/>
      <c r="JX3004" s="37"/>
      <c r="JY3004" s="37"/>
      <c r="JZ3004" s="37"/>
      <c r="KA3004" s="37"/>
      <c r="KB3004" s="37"/>
      <c r="KC3004" s="37"/>
      <c r="KD3004" s="37"/>
      <c r="KE3004" s="37"/>
      <c r="KF3004" s="37"/>
      <c r="KG3004" s="37"/>
      <c r="KH3004" s="37"/>
      <c r="KI3004" s="37"/>
      <c r="KJ3004" s="37"/>
      <c r="KK3004" s="37"/>
      <c r="KL3004" s="37"/>
      <c r="KM3004" s="37"/>
      <c r="KN3004" s="37"/>
      <c r="KO3004" s="37"/>
      <c r="KP3004" s="37"/>
      <c r="KQ3004" s="37"/>
      <c r="KR3004" s="37"/>
      <c r="KS3004" s="37"/>
      <c r="KT3004" s="37"/>
      <c r="KU3004" s="37"/>
      <c r="KV3004" s="37"/>
      <c r="KW3004" s="37"/>
      <c r="KX3004" s="37"/>
      <c r="KY3004" s="37"/>
      <c r="KZ3004" s="37"/>
      <c r="LA3004" s="37"/>
      <c r="LB3004" s="37"/>
      <c r="LC3004" s="37"/>
      <c r="LD3004" s="37"/>
      <c r="LE3004" s="37"/>
      <c r="LF3004" s="37"/>
      <c r="LG3004" s="37"/>
      <c r="LH3004" s="37"/>
      <c r="LI3004" s="37"/>
      <c r="LJ3004" s="37"/>
      <c r="LK3004" s="37"/>
      <c r="LL3004" s="37"/>
      <c r="LM3004" s="37"/>
      <c r="LN3004" s="37"/>
      <c r="LO3004" s="37"/>
      <c r="LP3004" s="37"/>
      <c r="LQ3004" s="37"/>
      <c r="LR3004" s="37"/>
      <c r="LS3004" s="37"/>
      <c r="LT3004" s="37"/>
      <c r="LU3004" s="37"/>
      <c r="LV3004" s="37"/>
      <c r="LW3004" s="37"/>
      <c r="LX3004" s="37"/>
      <c r="LY3004" s="37"/>
      <c r="LZ3004" s="37"/>
      <c r="MA3004" s="37"/>
      <c r="MB3004" s="37"/>
      <c r="MC3004" s="37"/>
      <c r="MD3004" s="37"/>
      <c r="ME3004" s="37"/>
      <c r="MF3004" s="37"/>
      <c r="MG3004" s="37"/>
      <c r="MH3004" s="37"/>
      <c r="MI3004" s="37"/>
      <c r="MJ3004" s="37"/>
      <c r="MK3004" s="37"/>
      <c r="ML3004" s="37"/>
      <c r="MM3004" s="37"/>
      <c r="MN3004" s="37"/>
      <c r="MO3004" s="37"/>
      <c r="MP3004" s="37"/>
      <c r="MQ3004" s="37"/>
      <c r="MR3004" s="37"/>
      <c r="MS3004" s="37"/>
      <c r="MT3004" s="37"/>
      <c r="MU3004" s="37"/>
      <c r="MV3004" s="37"/>
      <c r="MW3004" s="37"/>
      <c r="MX3004" s="37"/>
      <c r="MY3004" s="37"/>
      <c r="MZ3004" s="37"/>
      <c r="NA3004" s="37"/>
      <c r="NB3004" s="37"/>
      <c r="NC3004" s="37"/>
      <c r="ND3004" s="37"/>
      <c r="NE3004" s="37"/>
      <c r="NF3004" s="37"/>
      <c r="NG3004" s="37"/>
      <c r="NH3004" s="37"/>
      <c r="NI3004" s="37"/>
      <c r="NJ3004" s="37"/>
      <c r="NK3004" s="37"/>
      <c r="NL3004" s="37"/>
      <c r="NM3004" s="37"/>
      <c r="NN3004" s="37"/>
      <c r="NO3004" s="37"/>
      <c r="NP3004" s="37"/>
      <c r="NQ3004" s="37"/>
      <c r="NR3004" s="37"/>
      <c r="NS3004" s="37"/>
      <c r="NT3004" s="37"/>
      <c r="NU3004" s="37"/>
      <c r="NV3004" s="37"/>
      <c r="NW3004" s="37"/>
      <c r="NX3004" s="37"/>
      <c r="NY3004" s="37"/>
      <c r="NZ3004" s="37"/>
      <c r="OA3004" s="37"/>
      <c r="OB3004" s="37"/>
      <c r="OC3004" s="37"/>
      <c r="OD3004" s="37"/>
      <c r="OE3004" s="37"/>
      <c r="OF3004" s="37"/>
      <c r="OG3004" s="37"/>
      <c r="OH3004" s="37"/>
      <c r="OI3004" s="37"/>
      <c r="OJ3004" s="37"/>
      <c r="OK3004" s="37"/>
      <c r="OL3004" s="37"/>
      <c r="OM3004" s="37"/>
      <c r="ON3004" s="37"/>
      <c r="OO3004" s="37"/>
      <c r="OP3004" s="37"/>
      <c r="OQ3004" s="37"/>
      <c r="OR3004" s="37"/>
      <c r="OS3004" s="37"/>
      <c r="OT3004" s="37"/>
      <c r="OU3004" s="37"/>
      <c r="OV3004" s="37"/>
      <c r="OW3004" s="37"/>
      <c r="OX3004" s="37"/>
      <c r="OY3004" s="37"/>
      <c r="OZ3004" s="37"/>
      <c r="PA3004" s="37"/>
      <c r="PB3004" s="37"/>
      <c r="PC3004" s="37"/>
      <c r="PD3004" s="37"/>
      <c r="PE3004" s="37"/>
      <c r="PF3004" s="37"/>
      <c r="PG3004" s="37"/>
      <c r="PH3004" s="37"/>
      <c r="PI3004" s="37"/>
      <c r="PJ3004" s="37"/>
      <c r="PK3004" s="37"/>
      <c r="PL3004" s="37"/>
      <c r="PM3004" s="37"/>
      <c r="PN3004" s="37"/>
      <c r="PO3004" s="37"/>
      <c r="PP3004" s="37"/>
      <c r="PQ3004" s="37"/>
      <c r="PR3004" s="37"/>
      <c r="PS3004" s="37"/>
      <c r="PT3004" s="37"/>
      <c r="PU3004" s="37"/>
      <c r="PV3004" s="37"/>
      <c r="PW3004" s="37"/>
      <c r="PX3004" s="37"/>
      <c r="PY3004" s="37"/>
      <c r="PZ3004" s="37"/>
      <c r="QA3004" s="37"/>
      <c r="QB3004" s="37"/>
      <c r="QC3004" s="37"/>
      <c r="QD3004" s="37"/>
      <c r="QE3004" s="37"/>
      <c r="QF3004" s="37"/>
      <c r="QG3004" s="37"/>
      <c r="QH3004" s="37"/>
      <c r="QI3004" s="37"/>
      <c r="QJ3004" s="37"/>
      <c r="QK3004" s="37"/>
      <c r="QL3004" s="37"/>
      <c r="QM3004" s="37"/>
      <c r="QN3004" s="37"/>
      <c r="QO3004" s="37"/>
      <c r="QP3004" s="37"/>
      <c r="QQ3004" s="37"/>
      <c r="QR3004" s="37"/>
      <c r="QS3004" s="37"/>
      <c r="QT3004" s="37"/>
      <c r="QU3004" s="37"/>
      <c r="QV3004" s="37"/>
      <c r="QW3004" s="37"/>
      <c r="QX3004" s="37"/>
      <c r="QY3004" s="37"/>
      <c r="QZ3004" s="37"/>
      <c r="RA3004" s="37"/>
      <c r="RB3004" s="37"/>
      <c r="RC3004" s="37"/>
      <c r="RD3004" s="37"/>
      <c r="RE3004" s="37"/>
      <c r="RF3004" s="37"/>
      <c r="RG3004" s="37"/>
      <c r="RH3004" s="37"/>
      <c r="RI3004" s="37"/>
      <c r="RJ3004" s="37"/>
      <c r="RK3004" s="37"/>
      <c r="RL3004" s="37"/>
      <c r="RM3004" s="37"/>
      <c r="RN3004" s="37"/>
      <c r="RO3004" s="37"/>
      <c r="RP3004" s="37"/>
      <c r="RQ3004" s="37"/>
      <c r="RR3004" s="37"/>
      <c r="RS3004" s="37"/>
      <c r="RT3004" s="37"/>
      <c r="RU3004" s="37"/>
      <c r="RV3004" s="37"/>
      <c r="RW3004" s="37"/>
      <c r="RX3004" s="37"/>
      <c r="RY3004" s="37"/>
      <c r="RZ3004" s="37"/>
      <c r="SA3004" s="37"/>
      <c r="SB3004" s="37"/>
      <c r="SC3004" s="37"/>
      <c r="SD3004" s="37"/>
      <c r="SE3004" s="37"/>
      <c r="SF3004" s="37"/>
    </row>
    <row r="3005" spans="1:500">
      <c r="A3005" s="37"/>
      <c r="B3005" s="37"/>
      <c r="C3005" s="37"/>
      <c r="D3005" s="37"/>
      <c r="E3005" s="37"/>
      <c r="F3005" s="37"/>
      <c r="G3005" s="37"/>
      <c r="H3005" s="37"/>
      <c r="I3005" s="37"/>
      <c r="J3005" s="37"/>
      <c r="K3005" s="37"/>
      <c r="L3005" s="37"/>
      <c r="M3005" s="37"/>
      <c r="N3005" s="37"/>
      <c r="O3005" s="37"/>
      <c r="P3005" s="37"/>
      <c r="Q3005" s="37"/>
      <c r="R3005" s="37"/>
      <c r="S3005" s="37"/>
      <c r="T3005" s="37"/>
      <c r="U3005" s="37"/>
      <c r="V3005" s="37"/>
      <c r="W3005" s="37"/>
      <c r="X3005" s="37"/>
      <c r="Y3005" s="37"/>
      <c r="Z3005" s="37"/>
      <c r="AA3005" s="37"/>
      <c r="AB3005" s="37"/>
      <c r="AC3005" s="37"/>
      <c r="AD3005" s="37"/>
      <c r="AE3005" s="37"/>
      <c r="AF3005" s="37"/>
      <c r="AG3005" s="37"/>
      <c r="AH3005" s="37"/>
      <c r="AI3005" s="37"/>
      <c r="AJ3005" s="37"/>
      <c r="AK3005" s="37"/>
      <c r="AL3005" s="37"/>
      <c r="AM3005" s="37"/>
      <c r="AN3005" s="37"/>
      <c r="AO3005" s="37"/>
      <c r="AP3005" s="37"/>
      <c r="AQ3005" s="37"/>
      <c r="AR3005" s="37"/>
      <c r="AS3005" s="37"/>
      <c r="AT3005" s="37"/>
      <c r="AU3005" s="37"/>
      <c r="AV3005" s="37"/>
      <c r="AW3005" s="37"/>
      <c r="AX3005" s="37"/>
      <c r="AY3005" s="37"/>
      <c r="AZ3005" s="37"/>
      <c r="BA3005" s="37"/>
      <c r="BB3005" s="37"/>
      <c r="BC3005" s="37"/>
      <c r="BD3005" s="37"/>
      <c r="BE3005" s="37"/>
      <c r="BF3005" s="37"/>
      <c r="BG3005" s="37"/>
      <c r="BH3005" s="37"/>
      <c r="BI3005" s="37"/>
      <c r="BJ3005" s="37"/>
      <c r="BK3005" s="37"/>
      <c r="BL3005" s="37"/>
      <c r="BM3005" s="37"/>
      <c r="BN3005" s="37"/>
      <c r="BO3005" s="37"/>
      <c r="BP3005" s="37"/>
      <c r="BQ3005" s="37"/>
      <c r="BR3005" s="37"/>
      <c r="BS3005" s="37"/>
      <c r="BT3005" s="37"/>
      <c r="BU3005" s="37"/>
      <c r="BV3005" s="37"/>
      <c r="BW3005" s="37"/>
      <c r="BX3005" s="37"/>
      <c r="BY3005" s="37"/>
      <c r="BZ3005" s="37"/>
      <c r="CA3005" s="37"/>
      <c r="CB3005" s="37"/>
      <c r="CC3005" s="37"/>
      <c r="CD3005" s="37"/>
      <c r="CE3005" s="37"/>
      <c r="CF3005" s="37"/>
      <c r="CG3005" s="37"/>
      <c r="CH3005" s="37"/>
      <c r="CI3005" s="37"/>
      <c r="CJ3005" s="37"/>
      <c r="CK3005" s="37"/>
      <c r="CL3005" s="37"/>
      <c r="CM3005" s="37"/>
      <c r="CN3005" s="37"/>
      <c r="CO3005" s="37"/>
      <c r="CP3005" s="37"/>
      <c r="CQ3005" s="37"/>
      <c r="CR3005" s="37"/>
      <c r="CS3005" s="37"/>
      <c r="CT3005" s="37"/>
      <c r="CU3005" s="37"/>
      <c r="CV3005" s="37"/>
      <c r="CW3005" s="37"/>
      <c r="CX3005" s="37"/>
      <c r="CY3005" s="37"/>
      <c r="CZ3005" s="37"/>
      <c r="DA3005" s="37"/>
      <c r="DB3005" s="37"/>
      <c r="DC3005" s="37"/>
      <c r="DD3005" s="37"/>
      <c r="DE3005" s="37"/>
      <c r="DF3005" s="37"/>
      <c r="DG3005" s="37"/>
      <c r="DH3005" s="37"/>
      <c r="DI3005" s="37"/>
      <c r="DJ3005" s="37"/>
      <c r="DK3005" s="37"/>
      <c r="DL3005" s="37"/>
      <c r="DM3005" s="37"/>
      <c r="DN3005" s="37"/>
      <c r="DO3005" s="37"/>
      <c r="DP3005" s="37"/>
      <c r="DQ3005" s="37"/>
      <c r="DR3005" s="37"/>
      <c r="DS3005" s="37"/>
      <c r="DT3005" s="37"/>
      <c r="DU3005" s="37"/>
      <c r="DV3005" s="37"/>
      <c r="DW3005" s="37"/>
      <c r="DX3005" s="37"/>
      <c r="DY3005" s="37"/>
      <c r="DZ3005" s="37"/>
      <c r="EA3005" s="37"/>
      <c r="EB3005" s="37"/>
      <c r="EC3005" s="37"/>
      <c r="ED3005" s="37"/>
      <c r="EE3005" s="37"/>
      <c r="EF3005" s="37"/>
      <c r="EG3005" s="37"/>
      <c r="EH3005" s="37"/>
      <c r="EI3005" s="37"/>
      <c r="EJ3005" s="37"/>
      <c r="EK3005" s="37"/>
      <c r="EL3005" s="37"/>
      <c r="EM3005" s="37"/>
      <c r="EN3005" s="37"/>
      <c r="EO3005" s="37"/>
      <c r="EP3005" s="37"/>
      <c r="EQ3005" s="37"/>
      <c r="ER3005" s="37"/>
      <c r="ES3005" s="37"/>
      <c r="ET3005" s="37"/>
      <c r="EU3005" s="37"/>
      <c r="EV3005" s="37"/>
      <c r="EW3005" s="37"/>
      <c r="EX3005" s="37"/>
      <c r="EY3005" s="37"/>
      <c r="EZ3005" s="37"/>
      <c r="FA3005" s="37"/>
      <c r="FB3005" s="37"/>
      <c r="FC3005" s="37"/>
      <c r="FD3005" s="37"/>
      <c r="FE3005" s="37"/>
      <c r="FF3005" s="37"/>
      <c r="FG3005" s="37"/>
      <c r="FH3005" s="37"/>
      <c r="FI3005" s="37"/>
      <c r="FJ3005" s="37"/>
      <c r="FK3005" s="37"/>
      <c r="FL3005" s="37"/>
      <c r="FM3005" s="37"/>
      <c r="FN3005" s="37"/>
      <c r="FO3005" s="37"/>
      <c r="FP3005" s="37"/>
      <c r="FQ3005" s="37"/>
      <c r="FR3005" s="37"/>
      <c r="FS3005" s="37"/>
      <c r="FT3005" s="37"/>
      <c r="FU3005" s="37"/>
      <c r="FV3005" s="37"/>
      <c r="FW3005" s="37"/>
      <c r="FX3005" s="37"/>
      <c r="FY3005" s="37"/>
      <c r="FZ3005" s="37"/>
      <c r="GA3005" s="37"/>
      <c r="GB3005" s="37"/>
      <c r="GC3005" s="37"/>
      <c r="GD3005" s="37"/>
      <c r="GE3005" s="37"/>
      <c r="GF3005" s="37"/>
      <c r="GG3005" s="37"/>
      <c r="GH3005" s="37"/>
      <c r="GI3005" s="37"/>
      <c r="GJ3005" s="37"/>
      <c r="GK3005" s="37"/>
      <c r="GL3005" s="37"/>
      <c r="GM3005" s="37"/>
      <c r="GN3005" s="37"/>
      <c r="GO3005" s="37"/>
      <c r="GP3005" s="37"/>
      <c r="GQ3005" s="37"/>
      <c r="GR3005" s="37"/>
      <c r="GS3005" s="37"/>
      <c r="GT3005" s="37"/>
      <c r="GU3005" s="37"/>
      <c r="GV3005" s="37"/>
      <c r="GW3005" s="37"/>
      <c r="GX3005" s="37"/>
      <c r="GY3005" s="37"/>
      <c r="GZ3005" s="37"/>
      <c r="HA3005" s="37"/>
      <c r="HB3005" s="37"/>
      <c r="HC3005" s="37"/>
      <c r="HD3005" s="37"/>
      <c r="HE3005" s="37"/>
      <c r="HF3005" s="37"/>
      <c r="HG3005" s="37"/>
      <c r="HH3005" s="37"/>
      <c r="HI3005" s="37"/>
      <c r="HJ3005" s="37"/>
      <c r="HK3005" s="37"/>
      <c r="HL3005" s="37"/>
      <c r="HM3005" s="37"/>
      <c r="HN3005" s="37"/>
      <c r="HO3005" s="37"/>
      <c r="HP3005" s="37"/>
      <c r="HQ3005" s="37"/>
      <c r="HR3005" s="37"/>
      <c r="HS3005" s="37"/>
      <c r="HT3005" s="37"/>
      <c r="HU3005" s="37"/>
      <c r="HV3005" s="37"/>
      <c r="HW3005" s="37"/>
      <c r="HX3005" s="37"/>
      <c r="HY3005" s="37"/>
      <c r="HZ3005" s="37"/>
      <c r="IA3005" s="37"/>
      <c r="IB3005" s="37"/>
      <c r="IC3005" s="37"/>
      <c r="ID3005" s="37"/>
      <c r="IE3005" s="37"/>
      <c r="IF3005" s="37"/>
      <c r="IG3005" s="37"/>
      <c r="IH3005" s="37"/>
      <c r="II3005" s="37"/>
      <c r="IJ3005" s="37"/>
      <c r="IK3005" s="37"/>
      <c r="IL3005" s="37"/>
      <c r="IM3005" s="37"/>
      <c r="IN3005" s="37"/>
      <c r="IO3005" s="37"/>
      <c r="IP3005" s="37"/>
      <c r="IQ3005" s="37"/>
      <c r="IR3005" s="37"/>
      <c r="IS3005" s="37"/>
      <c r="IT3005" s="37"/>
      <c r="IU3005" s="37"/>
      <c r="IV3005" s="37"/>
      <c r="IW3005" s="37"/>
      <c r="IX3005" s="37"/>
      <c r="IY3005" s="37"/>
      <c r="IZ3005" s="37"/>
      <c r="JA3005" s="37"/>
      <c r="JB3005" s="37"/>
      <c r="JC3005" s="37"/>
      <c r="JD3005" s="37"/>
      <c r="JE3005" s="37"/>
      <c r="JF3005" s="37"/>
      <c r="JG3005" s="37"/>
      <c r="JH3005" s="37"/>
      <c r="JI3005" s="37"/>
      <c r="JJ3005" s="37"/>
      <c r="JK3005" s="37"/>
      <c r="JL3005" s="37"/>
      <c r="JM3005" s="37"/>
      <c r="JN3005" s="37"/>
      <c r="JO3005" s="37"/>
      <c r="JP3005" s="37"/>
      <c r="JQ3005" s="37"/>
      <c r="JR3005" s="37"/>
      <c r="JS3005" s="37"/>
      <c r="JT3005" s="37"/>
      <c r="JU3005" s="37"/>
      <c r="JV3005" s="37"/>
      <c r="JW3005" s="37"/>
      <c r="JX3005" s="37"/>
      <c r="JY3005" s="37"/>
      <c r="JZ3005" s="37"/>
      <c r="KA3005" s="37"/>
      <c r="KB3005" s="37"/>
      <c r="KC3005" s="37"/>
      <c r="KD3005" s="37"/>
      <c r="KE3005" s="37"/>
      <c r="KF3005" s="37"/>
      <c r="KG3005" s="37"/>
      <c r="KH3005" s="37"/>
      <c r="KI3005" s="37"/>
      <c r="KJ3005" s="37"/>
      <c r="KK3005" s="37"/>
      <c r="KL3005" s="37"/>
      <c r="KM3005" s="37"/>
      <c r="KN3005" s="37"/>
      <c r="KO3005" s="37"/>
      <c r="KP3005" s="37"/>
      <c r="KQ3005" s="37"/>
      <c r="KR3005" s="37"/>
      <c r="KS3005" s="37"/>
      <c r="KT3005" s="37"/>
      <c r="KU3005" s="37"/>
      <c r="KV3005" s="37"/>
      <c r="KW3005" s="37"/>
      <c r="KX3005" s="37"/>
      <c r="KY3005" s="37"/>
      <c r="KZ3005" s="37"/>
      <c r="LA3005" s="37"/>
      <c r="LB3005" s="37"/>
      <c r="LC3005" s="37"/>
      <c r="LD3005" s="37"/>
      <c r="LE3005" s="37"/>
      <c r="LF3005" s="37"/>
      <c r="LG3005" s="37"/>
      <c r="LH3005" s="37"/>
      <c r="LI3005" s="37"/>
      <c r="LJ3005" s="37"/>
      <c r="LK3005" s="37"/>
      <c r="LL3005" s="37"/>
      <c r="LM3005" s="37"/>
      <c r="LN3005" s="37"/>
      <c r="LO3005" s="37"/>
      <c r="LP3005" s="37"/>
      <c r="LQ3005" s="37"/>
      <c r="LR3005" s="37"/>
      <c r="LS3005" s="37"/>
      <c r="LT3005" s="37"/>
      <c r="LU3005" s="37"/>
      <c r="LV3005" s="37"/>
      <c r="LW3005" s="37"/>
      <c r="LX3005" s="37"/>
      <c r="LY3005" s="37"/>
      <c r="LZ3005" s="37"/>
      <c r="MA3005" s="37"/>
      <c r="MB3005" s="37"/>
      <c r="MC3005" s="37"/>
      <c r="MD3005" s="37"/>
      <c r="ME3005" s="37"/>
      <c r="MF3005" s="37"/>
      <c r="MG3005" s="37"/>
      <c r="MH3005" s="37"/>
      <c r="MI3005" s="37"/>
      <c r="MJ3005" s="37"/>
      <c r="MK3005" s="37"/>
      <c r="ML3005" s="37"/>
      <c r="MM3005" s="37"/>
      <c r="MN3005" s="37"/>
      <c r="MO3005" s="37"/>
      <c r="MP3005" s="37"/>
      <c r="MQ3005" s="37"/>
      <c r="MR3005" s="37"/>
      <c r="MS3005" s="37"/>
      <c r="MT3005" s="37"/>
      <c r="MU3005" s="37"/>
      <c r="MV3005" s="37"/>
      <c r="MW3005" s="37"/>
      <c r="MX3005" s="37"/>
      <c r="MY3005" s="37"/>
      <c r="MZ3005" s="37"/>
      <c r="NA3005" s="37"/>
      <c r="NB3005" s="37"/>
      <c r="NC3005" s="37"/>
      <c r="ND3005" s="37"/>
      <c r="NE3005" s="37"/>
      <c r="NF3005" s="37"/>
      <c r="NG3005" s="37"/>
      <c r="NH3005" s="37"/>
      <c r="NI3005" s="37"/>
      <c r="NJ3005" s="37"/>
      <c r="NK3005" s="37"/>
      <c r="NL3005" s="37"/>
      <c r="NM3005" s="37"/>
      <c r="NN3005" s="37"/>
      <c r="NO3005" s="37"/>
      <c r="NP3005" s="37"/>
      <c r="NQ3005" s="37"/>
      <c r="NR3005" s="37"/>
      <c r="NS3005" s="37"/>
      <c r="NT3005" s="37"/>
      <c r="NU3005" s="37"/>
      <c r="NV3005" s="37"/>
      <c r="NW3005" s="37"/>
      <c r="NX3005" s="37"/>
      <c r="NY3005" s="37"/>
      <c r="NZ3005" s="37"/>
      <c r="OA3005" s="37"/>
      <c r="OB3005" s="37"/>
      <c r="OC3005" s="37"/>
      <c r="OD3005" s="37"/>
      <c r="OE3005" s="37"/>
      <c r="OF3005" s="37"/>
      <c r="OG3005" s="37"/>
      <c r="OH3005" s="37"/>
      <c r="OI3005" s="37"/>
      <c r="OJ3005" s="37"/>
      <c r="OK3005" s="37"/>
      <c r="OL3005" s="37"/>
      <c r="OM3005" s="37"/>
      <c r="ON3005" s="37"/>
      <c r="OO3005" s="37"/>
      <c r="OP3005" s="37"/>
      <c r="OQ3005" s="37"/>
      <c r="OR3005" s="37"/>
      <c r="OS3005" s="37"/>
      <c r="OT3005" s="37"/>
      <c r="OU3005" s="37"/>
      <c r="OV3005" s="37"/>
      <c r="OW3005" s="37"/>
      <c r="OX3005" s="37"/>
      <c r="OY3005" s="37"/>
      <c r="OZ3005" s="37"/>
      <c r="PA3005" s="37"/>
      <c r="PB3005" s="37"/>
      <c r="PC3005" s="37"/>
      <c r="PD3005" s="37"/>
      <c r="PE3005" s="37"/>
      <c r="PF3005" s="37"/>
      <c r="PG3005" s="37"/>
      <c r="PH3005" s="37"/>
      <c r="PI3005" s="37"/>
      <c r="PJ3005" s="37"/>
      <c r="PK3005" s="37"/>
      <c r="PL3005" s="37"/>
      <c r="PM3005" s="37"/>
      <c r="PN3005" s="37"/>
      <c r="PO3005" s="37"/>
      <c r="PP3005" s="37"/>
      <c r="PQ3005" s="37"/>
      <c r="PR3005" s="37"/>
      <c r="PS3005" s="37"/>
      <c r="PT3005" s="37"/>
      <c r="PU3005" s="37"/>
      <c r="PV3005" s="37"/>
      <c r="PW3005" s="37"/>
      <c r="PX3005" s="37"/>
      <c r="PY3005" s="37"/>
      <c r="PZ3005" s="37"/>
      <c r="QA3005" s="37"/>
      <c r="QB3005" s="37"/>
      <c r="QC3005" s="37"/>
      <c r="QD3005" s="37"/>
      <c r="QE3005" s="37"/>
      <c r="QF3005" s="37"/>
      <c r="QG3005" s="37"/>
      <c r="QH3005" s="37"/>
      <c r="QI3005" s="37"/>
      <c r="QJ3005" s="37"/>
      <c r="QK3005" s="37"/>
      <c r="QL3005" s="37"/>
      <c r="QM3005" s="37"/>
      <c r="QN3005" s="37"/>
      <c r="QO3005" s="37"/>
      <c r="QP3005" s="37"/>
      <c r="QQ3005" s="37"/>
      <c r="QR3005" s="37"/>
      <c r="QS3005" s="37"/>
      <c r="QT3005" s="37"/>
      <c r="QU3005" s="37"/>
      <c r="QV3005" s="37"/>
      <c r="QW3005" s="37"/>
      <c r="QX3005" s="37"/>
      <c r="QY3005" s="37"/>
      <c r="QZ3005" s="37"/>
      <c r="RA3005" s="37"/>
      <c r="RB3005" s="37"/>
      <c r="RC3005" s="37"/>
      <c r="RD3005" s="37"/>
      <c r="RE3005" s="37"/>
      <c r="RF3005" s="37"/>
      <c r="RG3005" s="37"/>
      <c r="RH3005" s="37"/>
      <c r="RI3005" s="37"/>
      <c r="RJ3005" s="37"/>
      <c r="RK3005" s="37"/>
      <c r="RL3005" s="37"/>
      <c r="RM3005" s="37"/>
      <c r="RN3005" s="37"/>
      <c r="RO3005" s="37"/>
      <c r="RP3005" s="37"/>
      <c r="RQ3005" s="37"/>
      <c r="RR3005" s="37"/>
      <c r="RS3005" s="37"/>
      <c r="RT3005" s="37"/>
      <c r="RU3005" s="37"/>
      <c r="RV3005" s="37"/>
      <c r="RW3005" s="37"/>
      <c r="RX3005" s="37"/>
      <c r="RY3005" s="37"/>
      <c r="RZ3005" s="37"/>
      <c r="SA3005" s="37"/>
      <c r="SB3005" s="37"/>
      <c r="SC3005" s="37"/>
      <c r="SD3005" s="37"/>
      <c r="SE3005" s="37"/>
      <c r="SF3005" s="37"/>
    </row>
    <row r="3006" spans="1:500">
      <c r="A3006" s="37"/>
      <c r="B3006" s="37"/>
      <c r="C3006" s="37"/>
      <c r="D3006" s="37"/>
      <c r="E3006" s="37"/>
      <c r="F3006" s="37"/>
      <c r="G3006" s="37"/>
      <c r="H3006" s="37"/>
      <c r="I3006" s="37"/>
      <c r="J3006" s="37"/>
      <c r="K3006" s="37"/>
      <c r="L3006" s="37"/>
      <c r="M3006" s="37"/>
      <c r="N3006" s="37"/>
      <c r="O3006" s="37"/>
      <c r="P3006" s="37"/>
      <c r="Q3006" s="37"/>
      <c r="R3006" s="37"/>
      <c r="S3006" s="37"/>
      <c r="T3006" s="37"/>
      <c r="U3006" s="37"/>
      <c r="V3006" s="37"/>
      <c r="W3006" s="37"/>
      <c r="X3006" s="37"/>
      <c r="Y3006" s="37"/>
      <c r="Z3006" s="37"/>
      <c r="AA3006" s="37"/>
      <c r="AB3006" s="37"/>
      <c r="AC3006" s="37"/>
      <c r="AD3006" s="37"/>
      <c r="AE3006" s="37"/>
      <c r="AF3006" s="37"/>
      <c r="AG3006" s="37"/>
      <c r="AH3006" s="37"/>
      <c r="AI3006" s="37"/>
      <c r="AJ3006" s="37"/>
      <c r="AK3006" s="37"/>
      <c r="AL3006" s="37"/>
      <c r="AM3006" s="37"/>
      <c r="AN3006" s="37"/>
      <c r="AO3006" s="37"/>
      <c r="AP3006" s="37"/>
      <c r="AQ3006" s="37"/>
      <c r="AR3006" s="37"/>
      <c r="AS3006" s="37"/>
      <c r="AT3006" s="37"/>
      <c r="AU3006" s="37"/>
      <c r="AV3006" s="37"/>
      <c r="AW3006" s="37"/>
      <c r="AX3006" s="37"/>
      <c r="AY3006" s="37"/>
      <c r="AZ3006" s="37"/>
      <c r="BA3006" s="37"/>
      <c r="BB3006" s="37"/>
      <c r="BC3006" s="37"/>
      <c r="BD3006" s="37"/>
      <c r="BE3006" s="37"/>
      <c r="BF3006" s="37"/>
      <c r="BG3006" s="37"/>
      <c r="BH3006" s="37"/>
      <c r="BI3006" s="37"/>
      <c r="BJ3006" s="37"/>
      <c r="BK3006" s="37"/>
      <c r="BL3006" s="37"/>
      <c r="BM3006" s="37"/>
      <c r="BN3006" s="37"/>
      <c r="BO3006" s="37"/>
      <c r="BP3006" s="37"/>
      <c r="BQ3006" s="37"/>
      <c r="BR3006" s="37"/>
      <c r="BS3006" s="37"/>
      <c r="BT3006" s="37"/>
      <c r="BU3006" s="37"/>
      <c r="BV3006" s="37"/>
      <c r="BW3006" s="37"/>
      <c r="BX3006" s="37"/>
      <c r="BY3006" s="37"/>
      <c r="BZ3006" s="37"/>
      <c r="CA3006" s="37"/>
      <c r="CB3006" s="37"/>
      <c r="CC3006" s="37"/>
      <c r="CD3006" s="37"/>
      <c r="CE3006" s="37"/>
      <c r="CF3006" s="37"/>
      <c r="CG3006" s="37"/>
      <c r="CH3006" s="37"/>
      <c r="CI3006" s="37"/>
      <c r="CJ3006" s="37"/>
      <c r="CK3006" s="37"/>
      <c r="CL3006" s="37"/>
      <c r="CM3006" s="37"/>
      <c r="CN3006" s="37"/>
      <c r="CO3006" s="37"/>
      <c r="CP3006" s="37"/>
      <c r="CQ3006" s="37"/>
      <c r="CR3006" s="37"/>
      <c r="CS3006" s="37"/>
      <c r="CT3006" s="37"/>
      <c r="CU3006" s="37"/>
      <c r="CV3006" s="37"/>
      <c r="CW3006" s="37"/>
      <c r="CX3006" s="37"/>
      <c r="CY3006" s="37"/>
      <c r="CZ3006" s="37"/>
      <c r="DA3006" s="37"/>
      <c r="DB3006" s="37"/>
      <c r="DC3006" s="37"/>
      <c r="DD3006" s="37"/>
      <c r="DE3006" s="37"/>
      <c r="DF3006" s="37"/>
      <c r="DG3006" s="37"/>
      <c r="DH3006" s="37"/>
      <c r="DI3006" s="37"/>
      <c r="DJ3006" s="37"/>
      <c r="DK3006" s="37"/>
      <c r="DL3006" s="37"/>
      <c r="DM3006" s="37"/>
      <c r="DN3006" s="37"/>
      <c r="DO3006" s="37"/>
      <c r="DP3006" s="37"/>
      <c r="DQ3006" s="37"/>
      <c r="DR3006" s="37"/>
      <c r="DS3006" s="37"/>
      <c r="DT3006" s="37"/>
      <c r="DU3006" s="37"/>
      <c r="DV3006" s="37"/>
      <c r="DW3006" s="37"/>
      <c r="DX3006" s="37"/>
      <c r="DY3006" s="37"/>
      <c r="DZ3006" s="37"/>
      <c r="EA3006" s="37"/>
      <c r="EB3006" s="37"/>
      <c r="EC3006" s="37"/>
      <c r="ED3006" s="37"/>
      <c r="EE3006" s="37"/>
      <c r="EF3006" s="37"/>
      <c r="EG3006" s="37"/>
      <c r="EH3006" s="37"/>
      <c r="EI3006" s="37"/>
      <c r="EJ3006" s="37"/>
      <c r="EK3006" s="37"/>
      <c r="EL3006" s="37"/>
      <c r="EM3006" s="37"/>
      <c r="EN3006" s="37"/>
      <c r="EO3006" s="37"/>
      <c r="EP3006" s="37"/>
      <c r="EQ3006" s="37"/>
      <c r="ER3006" s="37"/>
      <c r="ES3006" s="37"/>
      <c r="ET3006" s="37"/>
      <c r="EU3006" s="37"/>
      <c r="EV3006" s="37"/>
      <c r="EW3006" s="37"/>
      <c r="EX3006" s="37"/>
      <c r="EY3006" s="37"/>
      <c r="EZ3006" s="37"/>
      <c r="FA3006" s="37"/>
      <c r="FB3006" s="37"/>
      <c r="FC3006" s="37"/>
      <c r="FD3006" s="37"/>
      <c r="FE3006" s="37"/>
      <c r="FF3006" s="37"/>
      <c r="FG3006" s="37"/>
      <c r="FH3006" s="37"/>
      <c r="FI3006" s="37"/>
      <c r="FJ3006" s="37"/>
      <c r="FK3006" s="37"/>
      <c r="FL3006" s="37"/>
      <c r="FM3006" s="37"/>
      <c r="FN3006" s="37"/>
      <c r="FO3006" s="37"/>
      <c r="FP3006" s="37"/>
      <c r="FQ3006" s="37"/>
      <c r="FR3006" s="37"/>
      <c r="FS3006" s="37"/>
      <c r="FT3006" s="37"/>
      <c r="FU3006" s="37"/>
      <c r="FV3006" s="37"/>
      <c r="FW3006" s="37"/>
      <c r="FX3006" s="37"/>
      <c r="FY3006" s="37"/>
      <c r="FZ3006" s="37"/>
      <c r="GA3006" s="37"/>
      <c r="GB3006" s="37"/>
      <c r="GC3006" s="37"/>
      <c r="GD3006" s="37"/>
      <c r="GE3006" s="37"/>
      <c r="GF3006" s="37"/>
      <c r="GG3006" s="37"/>
      <c r="GH3006" s="37"/>
      <c r="GI3006" s="37"/>
      <c r="GJ3006" s="37"/>
      <c r="GK3006" s="37"/>
      <c r="GL3006" s="37"/>
      <c r="GM3006" s="37"/>
      <c r="GN3006" s="37"/>
      <c r="GO3006" s="37"/>
      <c r="GP3006" s="37"/>
      <c r="GQ3006" s="37"/>
      <c r="GR3006" s="37"/>
      <c r="GS3006" s="37"/>
      <c r="GT3006" s="37"/>
      <c r="GU3006" s="37"/>
      <c r="GV3006" s="37"/>
      <c r="GW3006" s="37"/>
      <c r="GX3006" s="37"/>
      <c r="GY3006" s="37"/>
      <c r="GZ3006" s="37"/>
      <c r="HA3006" s="37"/>
      <c r="HB3006" s="37"/>
      <c r="HC3006" s="37"/>
      <c r="HD3006" s="37"/>
      <c r="HE3006" s="37"/>
      <c r="HF3006" s="37"/>
      <c r="HG3006" s="37"/>
      <c r="HH3006" s="37"/>
      <c r="HI3006" s="37"/>
      <c r="HJ3006" s="37"/>
      <c r="HK3006" s="37"/>
      <c r="HL3006" s="37"/>
      <c r="HM3006" s="37"/>
      <c r="HN3006" s="37"/>
      <c r="HO3006" s="37"/>
      <c r="HP3006" s="37"/>
      <c r="HQ3006" s="37"/>
      <c r="HR3006" s="37"/>
      <c r="HS3006" s="37"/>
      <c r="HT3006" s="37"/>
      <c r="HU3006" s="37"/>
      <c r="HV3006" s="37"/>
      <c r="HW3006" s="37"/>
      <c r="HX3006" s="37"/>
      <c r="HY3006" s="37"/>
      <c r="HZ3006" s="37"/>
      <c r="IA3006" s="37"/>
      <c r="IB3006" s="37"/>
      <c r="IC3006" s="37"/>
      <c r="ID3006" s="37"/>
      <c r="IE3006" s="37"/>
      <c r="IF3006" s="37"/>
      <c r="IG3006" s="37"/>
      <c r="IH3006" s="37"/>
      <c r="II3006" s="37"/>
      <c r="IJ3006" s="37"/>
      <c r="IK3006" s="37"/>
      <c r="IL3006" s="37"/>
      <c r="IM3006" s="37"/>
      <c r="IN3006" s="37"/>
      <c r="IO3006" s="37"/>
      <c r="IP3006" s="37"/>
      <c r="IQ3006" s="37"/>
      <c r="IR3006" s="37"/>
      <c r="IS3006" s="37"/>
      <c r="IT3006" s="37"/>
      <c r="IU3006" s="37"/>
      <c r="IV3006" s="37"/>
      <c r="IW3006" s="37"/>
      <c r="IX3006" s="37"/>
      <c r="IY3006" s="37"/>
      <c r="IZ3006" s="37"/>
      <c r="JA3006" s="37"/>
      <c r="JB3006" s="37"/>
      <c r="JC3006" s="37"/>
      <c r="JD3006" s="37"/>
      <c r="JE3006" s="37"/>
      <c r="JF3006" s="37"/>
      <c r="JG3006" s="37"/>
      <c r="JH3006" s="37"/>
      <c r="JI3006" s="37"/>
      <c r="JJ3006" s="37"/>
      <c r="JK3006" s="37"/>
      <c r="JL3006" s="37"/>
      <c r="JM3006" s="37"/>
      <c r="JN3006" s="37"/>
      <c r="JO3006" s="37"/>
      <c r="JP3006" s="37"/>
      <c r="JQ3006" s="37"/>
      <c r="JR3006" s="37"/>
      <c r="JS3006" s="37"/>
      <c r="JT3006" s="37"/>
      <c r="JU3006" s="37"/>
      <c r="JV3006" s="37"/>
      <c r="JW3006" s="37"/>
      <c r="JX3006" s="37"/>
      <c r="JY3006" s="37"/>
      <c r="JZ3006" s="37"/>
      <c r="KA3006" s="37"/>
      <c r="KB3006" s="37"/>
      <c r="KC3006" s="37"/>
      <c r="KD3006" s="37"/>
      <c r="KE3006" s="37"/>
      <c r="KF3006" s="37"/>
      <c r="KG3006" s="37"/>
      <c r="KH3006" s="37"/>
      <c r="KI3006" s="37"/>
      <c r="KJ3006" s="37"/>
      <c r="KK3006" s="37"/>
      <c r="KL3006" s="37"/>
      <c r="KM3006" s="37"/>
      <c r="KN3006" s="37"/>
      <c r="KO3006" s="37"/>
      <c r="KP3006" s="37"/>
      <c r="KQ3006" s="37"/>
      <c r="KR3006" s="37"/>
      <c r="KS3006" s="37"/>
      <c r="KT3006" s="37"/>
      <c r="KU3006" s="37"/>
      <c r="KV3006" s="37"/>
      <c r="KW3006" s="37"/>
      <c r="KX3006" s="37"/>
      <c r="KY3006" s="37"/>
      <c r="KZ3006" s="37"/>
      <c r="LA3006" s="37"/>
      <c r="LB3006" s="37"/>
      <c r="LC3006" s="37"/>
      <c r="LD3006" s="37"/>
      <c r="LE3006" s="37"/>
      <c r="LF3006" s="37"/>
      <c r="LG3006" s="37"/>
      <c r="LH3006" s="37"/>
      <c r="LI3006" s="37"/>
      <c r="LJ3006" s="37"/>
      <c r="LK3006" s="37"/>
      <c r="LL3006" s="37"/>
      <c r="LM3006" s="37"/>
      <c r="LN3006" s="37"/>
      <c r="LO3006" s="37"/>
      <c r="LP3006" s="37"/>
      <c r="LQ3006" s="37"/>
      <c r="LR3006" s="37"/>
      <c r="LS3006" s="37"/>
      <c r="LT3006" s="37"/>
      <c r="LU3006" s="37"/>
      <c r="LV3006" s="37"/>
      <c r="LW3006" s="37"/>
      <c r="LX3006" s="37"/>
      <c r="LY3006" s="37"/>
      <c r="LZ3006" s="37"/>
      <c r="MA3006" s="37"/>
      <c r="MB3006" s="37"/>
      <c r="MC3006" s="37"/>
      <c r="MD3006" s="37"/>
      <c r="ME3006" s="37"/>
      <c r="MF3006" s="37"/>
      <c r="MG3006" s="37"/>
      <c r="MH3006" s="37"/>
      <c r="MI3006" s="37"/>
      <c r="MJ3006" s="37"/>
      <c r="MK3006" s="37"/>
      <c r="ML3006" s="37"/>
      <c r="MM3006" s="37"/>
      <c r="MN3006" s="37"/>
      <c r="MO3006" s="37"/>
      <c r="MP3006" s="37"/>
      <c r="MQ3006" s="37"/>
      <c r="MR3006" s="37"/>
      <c r="MS3006" s="37"/>
      <c r="MT3006" s="37"/>
      <c r="MU3006" s="37"/>
      <c r="MV3006" s="37"/>
      <c r="MW3006" s="37"/>
      <c r="MX3006" s="37"/>
      <c r="MY3006" s="37"/>
      <c r="MZ3006" s="37"/>
      <c r="NA3006" s="37"/>
      <c r="NB3006" s="37"/>
      <c r="NC3006" s="37"/>
      <c r="ND3006" s="37"/>
      <c r="NE3006" s="37"/>
      <c r="NF3006" s="37"/>
      <c r="NG3006" s="37"/>
      <c r="NH3006" s="37"/>
      <c r="NI3006" s="37"/>
      <c r="NJ3006" s="37"/>
      <c r="NK3006" s="37"/>
      <c r="NL3006" s="37"/>
      <c r="NM3006" s="37"/>
      <c r="NN3006" s="37"/>
      <c r="NO3006" s="37"/>
      <c r="NP3006" s="37"/>
      <c r="NQ3006" s="37"/>
      <c r="NR3006" s="37"/>
      <c r="NS3006" s="37"/>
      <c r="NT3006" s="37"/>
      <c r="NU3006" s="37"/>
      <c r="NV3006" s="37"/>
      <c r="NW3006" s="37"/>
      <c r="NX3006" s="37"/>
      <c r="NY3006" s="37"/>
      <c r="NZ3006" s="37"/>
      <c r="OA3006" s="37"/>
      <c r="OB3006" s="37"/>
      <c r="OC3006" s="37"/>
      <c r="OD3006" s="37"/>
      <c r="OE3006" s="37"/>
      <c r="OF3006" s="37"/>
      <c r="OG3006" s="37"/>
      <c r="OH3006" s="37"/>
      <c r="OI3006" s="37"/>
      <c r="OJ3006" s="37"/>
      <c r="OK3006" s="37"/>
      <c r="OL3006" s="37"/>
      <c r="OM3006" s="37"/>
      <c r="ON3006" s="37"/>
      <c r="OO3006" s="37"/>
      <c r="OP3006" s="37"/>
      <c r="OQ3006" s="37"/>
      <c r="OR3006" s="37"/>
      <c r="OS3006" s="37"/>
      <c r="OT3006" s="37"/>
      <c r="OU3006" s="37"/>
      <c r="OV3006" s="37"/>
      <c r="OW3006" s="37"/>
      <c r="OX3006" s="37"/>
      <c r="OY3006" s="37"/>
      <c r="OZ3006" s="37"/>
      <c r="PA3006" s="37"/>
      <c r="PB3006" s="37"/>
      <c r="PC3006" s="37"/>
      <c r="PD3006" s="37"/>
      <c r="PE3006" s="37"/>
      <c r="PF3006" s="37"/>
      <c r="PG3006" s="37"/>
      <c r="PH3006" s="37"/>
      <c r="PI3006" s="37"/>
      <c r="PJ3006" s="37"/>
      <c r="PK3006" s="37"/>
      <c r="PL3006" s="37"/>
      <c r="PM3006" s="37"/>
      <c r="PN3006" s="37"/>
      <c r="PO3006" s="37"/>
      <c r="PP3006" s="37"/>
      <c r="PQ3006" s="37"/>
      <c r="PR3006" s="37"/>
      <c r="PS3006" s="37"/>
      <c r="PT3006" s="37"/>
      <c r="PU3006" s="37"/>
      <c r="PV3006" s="37"/>
      <c r="PW3006" s="37"/>
      <c r="PX3006" s="37"/>
      <c r="PY3006" s="37"/>
      <c r="PZ3006" s="37"/>
      <c r="QA3006" s="37"/>
      <c r="QB3006" s="37"/>
      <c r="QC3006" s="37"/>
      <c r="QD3006" s="37"/>
      <c r="QE3006" s="37"/>
      <c r="QF3006" s="37"/>
      <c r="QG3006" s="37"/>
      <c r="QH3006" s="37"/>
      <c r="QI3006" s="37"/>
      <c r="QJ3006" s="37"/>
      <c r="QK3006" s="37"/>
      <c r="QL3006" s="37"/>
      <c r="QM3006" s="37"/>
      <c r="QN3006" s="37"/>
      <c r="QO3006" s="37"/>
      <c r="QP3006" s="37"/>
      <c r="QQ3006" s="37"/>
      <c r="QR3006" s="37"/>
      <c r="QS3006" s="37"/>
      <c r="QT3006" s="37"/>
      <c r="QU3006" s="37"/>
      <c r="QV3006" s="37"/>
      <c r="QW3006" s="37"/>
      <c r="QX3006" s="37"/>
      <c r="QY3006" s="37"/>
      <c r="QZ3006" s="37"/>
      <c r="RA3006" s="37"/>
      <c r="RB3006" s="37"/>
      <c r="RC3006" s="37"/>
      <c r="RD3006" s="37"/>
      <c r="RE3006" s="37"/>
      <c r="RF3006" s="37"/>
      <c r="RG3006" s="37"/>
      <c r="RH3006" s="37"/>
      <c r="RI3006" s="37"/>
      <c r="RJ3006" s="37"/>
      <c r="RK3006" s="37"/>
      <c r="RL3006" s="37"/>
      <c r="RM3006" s="37"/>
      <c r="RN3006" s="37"/>
      <c r="RO3006" s="37"/>
      <c r="RP3006" s="37"/>
      <c r="RQ3006" s="37"/>
      <c r="RR3006" s="37"/>
      <c r="RS3006" s="37"/>
      <c r="RT3006" s="37"/>
      <c r="RU3006" s="37"/>
      <c r="RV3006" s="37"/>
      <c r="RW3006" s="37"/>
      <c r="RX3006" s="37"/>
      <c r="RY3006" s="37"/>
      <c r="RZ3006" s="37"/>
      <c r="SA3006" s="37"/>
      <c r="SB3006" s="37"/>
      <c r="SC3006" s="37"/>
      <c r="SD3006" s="37"/>
      <c r="SE3006" s="37"/>
      <c r="SF3006" s="37"/>
    </row>
    <row r="3007" spans="1:500">
      <c r="A3007" s="37"/>
      <c r="B3007" s="37"/>
      <c r="C3007" s="37"/>
      <c r="D3007" s="37"/>
      <c r="E3007" s="37"/>
      <c r="F3007" s="37"/>
      <c r="G3007" s="37"/>
      <c r="H3007" s="37"/>
      <c r="I3007" s="37"/>
      <c r="J3007" s="37"/>
      <c r="K3007" s="37"/>
      <c r="L3007" s="37"/>
      <c r="M3007" s="37"/>
      <c r="N3007" s="37"/>
      <c r="O3007" s="37"/>
      <c r="P3007" s="37"/>
      <c r="Q3007" s="37"/>
      <c r="R3007" s="37"/>
      <c r="S3007" s="37"/>
      <c r="T3007" s="37"/>
      <c r="U3007" s="37"/>
      <c r="V3007" s="37"/>
      <c r="W3007" s="37"/>
      <c r="X3007" s="37"/>
      <c r="Y3007" s="37"/>
      <c r="Z3007" s="37"/>
      <c r="AA3007" s="37"/>
      <c r="AB3007" s="37"/>
      <c r="AC3007" s="37"/>
      <c r="AD3007" s="37"/>
      <c r="AE3007" s="37"/>
      <c r="AF3007" s="37"/>
      <c r="AG3007" s="37"/>
      <c r="AH3007" s="37"/>
      <c r="AI3007" s="37"/>
      <c r="AJ3007" s="37"/>
      <c r="AK3007" s="37"/>
      <c r="AL3007" s="37"/>
      <c r="AM3007" s="37"/>
      <c r="AN3007" s="37"/>
      <c r="AO3007" s="37"/>
      <c r="AP3007" s="37"/>
      <c r="AQ3007" s="37"/>
      <c r="AR3007" s="37"/>
      <c r="AS3007" s="37"/>
      <c r="AT3007" s="37"/>
      <c r="AU3007" s="37"/>
      <c r="AV3007" s="37"/>
      <c r="AW3007" s="37"/>
      <c r="AX3007" s="37"/>
      <c r="AY3007" s="37"/>
      <c r="AZ3007" s="37"/>
      <c r="BA3007" s="37"/>
      <c r="BB3007" s="37"/>
      <c r="BC3007" s="37"/>
      <c r="BD3007" s="37"/>
      <c r="BE3007" s="37"/>
      <c r="BF3007" s="37"/>
      <c r="BG3007" s="37"/>
      <c r="BH3007" s="37"/>
      <c r="BI3007" s="37"/>
      <c r="BJ3007" s="37"/>
      <c r="BK3007" s="37"/>
      <c r="BL3007" s="37"/>
      <c r="BM3007" s="37"/>
      <c r="BN3007" s="37"/>
      <c r="BO3007" s="37"/>
      <c r="BP3007" s="37"/>
      <c r="BQ3007" s="37"/>
      <c r="BR3007" s="37"/>
      <c r="BS3007" s="37"/>
      <c r="BT3007" s="37"/>
      <c r="BU3007" s="37"/>
      <c r="BV3007" s="37"/>
      <c r="BW3007" s="37"/>
      <c r="BX3007" s="37"/>
      <c r="BY3007" s="37"/>
      <c r="BZ3007" s="37"/>
      <c r="CA3007" s="37"/>
      <c r="CB3007" s="37"/>
      <c r="CC3007" s="37"/>
      <c r="CD3007" s="37"/>
      <c r="CE3007" s="37"/>
      <c r="CF3007" s="37"/>
      <c r="CG3007" s="37"/>
      <c r="CH3007" s="37"/>
      <c r="CI3007" s="37"/>
      <c r="CJ3007" s="37"/>
      <c r="CK3007" s="37"/>
      <c r="CL3007" s="37"/>
      <c r="CM3007" s="37"/>
      <c r="CN3007" s="37"/>
      <c r="CO3007" s="37"/>
      <c r="CP3007" s="37"/>
      <c r="CQ3007" s="37"/>
      <c r="CR3007" s="37"/>
      <c r="CS3007" s="37"/>
      <c r="CT3007" s="37"/>
      <c r="CU3007" s="37"/>
      <c r="CV3007" s="37"/>
      <c r="CW3007" s="37"/>
      <c r="CX3007" s="37"/>
      <c r="CY3007" s="37"/>
      <c r="CZ3007" s="37"/>
      <c r="DA3007" s="37"/>
      <c r="DB3007" s="37"/>
      <c r="DC3007" s="37"/>
      <c r="DD3007" s="37"/>
      <c r="DE3007" s="37"/>
      <c r="DF3007" s="37"/>
      <c r="DG3007" s="37"/>
      <c r="DH3007" s="37"/>
      <c r="DI3007" s="37"/>
      <c r="DJ3007" s="37"/>
      <c r="DK3007" s="37"/>
      <c r="DL3007" s="37"/>
      <c r="DM3007" s="37"/>
      <c r="DN3007" s="37"/>
      <c r="DO3007" s="37"/>
      <c r="DP3007" s="37"/>
      <c r="DQ3007" s="37"/>
      <c r="DR3007" s="37"/>
      <c r="DS3007" s="37"/>
      <c r="DT3007" s="37"/>
      <c r="DU3007" s="37"/>
      <c r="DV3007" s="37"/>
      <c r="DW3007" s="37"/>
      <c r="DX3007" s="37"/>
      <c r="DY3007" s="37"/>
      <c r="DZ3007" s="37"/>
      <c r="EA3007" s="37"/>
      <c r="EB3007" s="37"/>
      <c r="EC3007" s="37"/>
      <c r="ED3007" s="37"/>
      <c r="EE3007" s="37"/>
      <c r="EF3007" s="37"/>
      <c r="EG3007" s="37"/>
      <c r="EH3007" s="37"/>
      <c r="EI3007" s="37"/>
      <c r="EJ3007" s="37"/>
      <c r="EK3007" s="37"/>
      <c r="EL3007" s="37"/>
      <c r="EM3007" s="37"/>
      <c r="EN3007" s="37"/>
      <c r="EO3007" s="37"/>
      <c r="EP3007" s="37"/>
      <c r="EQ3007" s="37"/>
      <c r="ER3007" s="37"/>
      <c r="ES3007" s="37"/>
      <c r="ET3007" s="37"/>
      <c r="EU3007" s="37"/>
      <c r="EV3007" s="37"/>
      <c r="EW3007" s="37"/>
      <c r="EX3007" s="37"/>
      <c r="EY3007" s="37"/>
      <c r="EZ3007" s="37"/>
      <c r="FA3007" s="37"/>
      <c r="FB3007" s="37"/>
      <c r="FC3007" s="37"/>
      <c r="FD3007" s="37"/>
      <c r="FE3007" s="37"/>
      <c r="FF3007" s="37"/>
      <c r="FG3007" s="37"/>
      <c r="FH3007" s="37"/>
      <c r="FI3007" s="37"/>
      <c r="FJ3007" s="37"/>
      <c r="FK3007" s="37"/>
      <c r="FL3007" s="37"/>
      <c r="FM3007" s="37"/>
      <c r="FN3007" s="37"/>
      <c r="FO3007" s="37"/>
      <c r="FP3007" s="37"/>
      <c r="FQ3007" s="37"/>
      <c r="FR3007" s="37"/>
      <c r="FS3007" s="37"/>
      <c r="FT3007" s="37"/>
      <c r="FU3007" s="37"/>
      <c r="FV3007" s="37"/>
      <c r="FW3007" s="37"/>
      <c r="FX3007" s="37"/>
      <c r="FY3007" s="37"/>
      <c r="FZ3007" s="37"/>
      <c r="GA3007" s="37"/>
      <c r="GB3007" s="37"/>
      <c r="GC3007" s="37"/>
      <c r="GD3007" s="37"/>
      <c r="GE3007" s="37"/>
      <c r="GF3007" s="37"/>
      <c r="GG3007" s="37"/>
      <c r="GH3007" s="37"/>
      <c r="GI3007" s="37"/>
      <c r="GJ3007" s="37"/>
      <c r="GK3007" s="37"/>
      <c r="GL3007" s="37"/>
      <c r="GM3007" s="37"/>
      <c r="GN3007" s="37"/>
      <c r="GO3007" s="37"/>
      <c r="GP3007" s="37"/>
      <c r="GQ3007" s="37"/>
      <c r="GR3007" s="37"/>
      <c r="GS3007" s="37"/>
      <c r="GT3007" s="37"/>
      <c r="GU3007" s="37"/>
      <c r="GV3007" s="37"/>
      <c r="GW3007" s="37"/>
      <c r="GX3007" s="37"/>
      <c r="GY3007" s="37"/>
      <c r="GZ3007" s="37"/>
      <c r="HA3007" s="37"/>
      <c r="HB3007" s="37"/>
      <c r="HC3007" s="37"/>
      <c r="HD3007" s="37"/>
      <c r="HE3007" s="37"/>
      <c r="HF3007" s="37"/>
      <c r="HG3007" s="37"/>
      <c r="HH3007" s="37"/>
      <c r="HI3007" s="37"/>
      <c r="HJ3007" s="37"/>
      <c r="HK3007" s="37"/>
      <c r="HL3007" s="37"/>
      <c r="HM3007" s="37"/>
      <c r="HN3007" s="37"/>
      <c r="HO3007" s="37"/>
      <c r="HP3007" s="37"/>
      <c r="HQ3007" s="37"/>
      <c r="HR3007" s="37"/>
      <c r="HS3007" s="37"/>
      <c r="HT3007" s="37"/>
      <c r="HU3007" s="37"/>
      <c r="HV3007" s="37"/>
      <c r="HW3007" s="37"/>
      <c r="HX3007" s="37"/>
      <c r="HY3007" s="37"/>
      <c r="HZ3007" s="37"/>
      <c r="IA3007" s="37"/>
      <c r="IB3007" s="37"/>
      <c r="IC3007" s="37"/>
      <c r="ID3007" s="37"/>
      <c r="IE3007" s="37"/>
      <c r="IF3007" s="37"/>
      <c r="IG3007" s="37"/>
      <c r="IH3007" s="37"/>
      <c r="II3007" s="37"/>
      <c r="IJ3007" s="37"/>
      <c r="IK3007" s="37"/>
      <c r="IL3007" s="37"/>
      <c r="IM3007" s="37"/>
      <c r="IN3007" s="37"/>
      <c r="IO3007" s="37"/>
      <c r="IP3007" s="37"/>
      <c r="IQ3007" s="37"/>
      <c r="IR3007" s="37"/>
      <c r="IS3007" s="37"/>
      <c r="IT3007" s="37"/>
      <c r="IU3007" s="37"/>
      <c r="IV3007" s="37"/>
      <c r="IW3007" s="37"/>
      <c r="IX3007" s="37"/>
      <c r="IY3007" s="37"/>
      <c r="IZ3007" s="37"/>
      <c r="JA3007" s="37"/>
      <c r="JB3007" s="37"/>
      <c r="JC3007" s="37"/>
      <c r="JD3007" s="37"/>
      <c r="JE3007" s="37"/>
      <c r="JF3007" s="37"/>
      <c r="JG3007" s="37"/>
      <c r="JH3007" s="37"/>
      <c r="JI3007" s="37"/>
      <c r="JJ3007" s="37"/>
      <c r="JK3007" s="37"/>
      <c r="JL3007" s="37"/>
      <c r="JM3007" s="37"/>
      <c r="JN3007" s="37"/>
      <c r="JO3007" s="37"/>
      <c r="JP3007" s="37"/>
      <c r="JQ3007" s="37"/>
      <c r="JR3007" s="37"/>
      <c r="JS3007" s="37"/>
      <c r="JT3007" s="37"/>
      <c r="JU3007" s="37"/>
      <c r="JV3007" s="37"/>
      <c r="JW3007" s="37"/>
      <c r="JX3007" s="37"/>
      <c r="JY3007" s="37"/>
      <c r="JZ3007" s="37"/>
      <c r="KA3007" s="37"/>
      <c r="KB3007" s="37"/>
      <c r="KC3007" s="37"/>
      <c r="KD3007" s="37"/>
      <c r="KE3007" s="37"/>
      <c r="KF3007" s="37"/>
      <c r="KG3007" s="37"/>
      <c r="KH3007" s="37"/>
      <c r="KI3007" s="37"/>
      <c r="KJ3007" s="37"/>
      <c r="KK3007" s="37"/>
      <c r="KL3007" s="37"/>
      <c r="KM3007" s="37"/>
      <c r="KN3007" s="37"/>
      <c r="KO3007" s="37"/>
      <c r="KP3007" s="37"/>
      <c r="KQ3007" s="37"/>
      <c r="KR3007" s="37"/>
      <c r="KS3007" s="37"/>
      <c r="KT3007" s="37"/>
      <c r="KU3007" s="37"/>
      <c r="KV3007" s="37"/>
      <c r="KW3007" s="37"/>
      <c r="KX3007" s="37"/>
      <c r="KY3007" s="37"/>
      <c r="KZ3007" s="37"/>
      <c r="LA3007" s="37"/>
      <c r="LB3007" s="37"/>
      <c r="LC3007" s="37"/>
      <c r="LD3007" s="37"/>
      <c r="LE3007" s="37"/>
      <c r="LF3007" s="37"/>
      <c r="LG3007" s="37"/>
      <c r="LH3007" s="37"/>
      <c r="LI3007" s="37"/>
      <c r="LJ3007" s="37"/>
      <c r="LK3007" s="37"/>
      <c r="LL3007" s="37"/>
      <c r="LM3007" s="37"/>
      <c r="LN3007" s="37"/>
      <c r="LO3007" s="37"/>
      <c r="LP3007" s="37"/>
      <c r="LQ3007" s="37"/>
      <c r="LR3007" s="37"/>
      <c r="LS3007" s="37"/>
      <c r="LT3007" s="37"/>
      <c r="LU3007" s="37"/>
      <c r="LV3007" s="37"/>
      <c r="LW3007" s="37"/>
      <c r="LX3007" s="37"/>
      <c r="LY3007" s="37"/>
      <c r="LZ3007" s="37"/>
      <c r="MA3007" s="37"/>
      <c r="MB3007" s="37"/>
      <c r="MC3007" s="37"/>
      <c r="MD3007" s="37"/>
      <c r="ME3007" s="37"/>
      <c r="MF3007" s="37"/>
      <c r="MG3007" s="37"/>
      <c r="MH3007" s="37"/>
      <c r="MI3007" s="37"/>
      <c r="MJ3007" s="37"/>
      <c r="MK3007" s="37"/>
      <c r="ML3007" s="37"/>
      <c r="MM3007" s="37"/>
      <c r="MN3007" s="37"/>
      <c r="MO3007" s="37"/>
      <c r="MP3007" s="37"/>
      <c r="MQ3007" s="37"/>
      <c r="MR3007" s="37"/>
      <c r="MS3007" s="37"/>
      <c r="MT3007" s="37"/>
      <c r="MU3007" s="37"/>
      <c r="MV3007" s="37"/>
      <c r="MW3007" s="37"/>
      <c r="MX3007" s="37"/>
      <c r="MY3007" s="37"/>
      <c r="MZ3007" s="37"/>
      <c r="NA3007" s="37"/>
      <c r="NB3007" s="37"/>
      <c r="NC3007" s="37"/>
      <c r="ND3007" s="37"/>
      <c r="NE3007" s="37"/>
      <c r="NF3007" s="37"/>
      <c r="NG3007" s="37"/>
      <c r="NH3007" s="37"/>
      <c r="NI3007" s="37"/>
      <c r="NJ3007" s="37"/>
      <c r="NK3007" s="37"/>
      <c r="NL3007" s="37"/>
      <c r="NM3007" s="37"/>
      <c r="NN3007" s="37"/>
      <c r="NO3007" s="37"/>
      <c r="NP3007" s="37"/>
      <c r="NQ3007" s="37"/>
      <c r="NR3007" s="37"/>
      <c r="NS3007" s="37"/>
      <c r="NT3007" s="37"/>
      <c r="NU3007" s="37"/>
      <c r="NV3007" s="37"/>
      <c r="NW3007" s="37"/>
      <c r="NX3007" s="37"/>
      <c r="NY3007" s="37"/>
      <c r="NZ3007" s="37"/>
      <c r="OA3007" s="37"/>
      <c r="OB3007" s="37"/>
      <c r="OC3007" s="37"/>
      <c r="OD3007" s="37"/>
      <c r="OE3007" s="37"/>
      <c r="OF3007" s="37"/>
      <c r="OG3007" s="37"/>
      <c r="OH3007" s="37"/>
      <c r="OI3007" s="37"/>
      <c r="OJ3007" s="37"/>
      <c r="OK3007" s="37"/>
      <c r="OL3007" s="37"/>
      <c r="OM3007" s="37"/>
      <c r="ON3007" s="37"/>
      <c r="OO3007" s="37"/>
      <c r="OP3007" s="37"/>
      <c r="OQ3007" s="37"/>
      <c r="OR3007" s="37"/>
      <c r="OS3007" s="37"/>
      <c r="OT3007" s="37"/>
      <c r="OU3007" s="37"/>
      <c r="OV3007" s="37"/>
      <c r="OW3007" s="37"/>
      <c r="OX3007" s="37"/>
      <c r="OY3007" s="37"/>
      <c r="OZ3007" s="37"/>
      <c r="PA3007" s="37"/>
      <c r="PB3007" s="37"/>
      <c r="PC3007" s="37"/>
      <c r="PD3007" s="37"/>
      <c r="PE3007" s="37"/>
      <c r="PF3007" s="37"/>
      <c r="PG3007" s="37"/>
      <c r="PH3007" s="37"/>
      <c r="PI3007" s="37"/>
      <c r="PJ3007" s="37"/>
      <c r="PK3007" s="37"/>
      <c r="PL3007" s="37"/>
      <c r="PM3007" s="37"/>
      <c r="PN3007" s="37"/>
      <c r="PO3007" s="37"/>
      <c r="PP3007" s="37"/>
      <c r="PQ3007" s="37"/>
      <c r="PR3007" s="37"/>
      <c r="PS3007" s="37"/>
      <c r="PT3007" s="37"/>
      <c r="PU3007" s="37"/>
      <c r="PV3007" s="37"/>
      <c r="PW3007" s="37"/>
      <c r="PX3007" s="37"/>
      <c r="PY3007" s="37"/>
      <c r="PZ3007" s="37"/>
      <c r="QA3007" s="37"/>
      <c r="QB3007" s="37"/>
      <c r="QC3007" s="37"/>
      <c r="QD3007" s="37"/>
      <c r="QE3007" s="37"/>
      <c r="QF3007" s="37"/>
      <c r="QG3007" s="37"/>
      <c r="QH3007" s="37"/>
      <c r="QI3007" s="37"/>
      <c r="QJ3007" s="37"/>
      <c r="QK3007" s="37"/>
      <c r="QL3007" s="37"/>
      <c r="QM3007" s="37"/>
      <c r="QN3007" s="37"/>
      <c r="QO3007" s="37"/>
      <c r="QP3007" s="37"/>
      <c r="QQ3007" s="37"/>
      <c r="QR3007" s="37"/>
      <c r="QS3007" s="37"/>
      <c r="QT3007" s="37"/>
      <c r="QU3007" s="37"/>
      <c r="QV3007" s="37"/>
      <c r="QW3007" s="37"/>
      <c r="QX3007" s="37"/>
      <c r="QY3007" s="37"/>
      <c r="QZ3007" s="37"/>
      <c r="RA3007" s="37"/>
      <c r="RB3007" s="37"/>
      <c r="RC3007" s="37"/>
      <c r="RD3007" s="37"/>
      <c r="RE3007" s="37"/>
      <c r="RF3007" s="37"/>
      <c r="RG3007" s="37"/>
      <c r="RH3007" s="37"/>
      <c r="RI3007" s="37"/>
      <c r="RJ3007" s="37"/>
      <c r="RK3007" s="37"/>
      <c r="RL3007" s="37"/>
      <c r="RM3007" s="37"/>
      <c r="RN3007" s="37"/>
      <c r="RO3007" s="37"/>
      <c r="RP3007" s="37"/>
      <c r="RQ3007" s="37"/>
      <c r="RR3007" s="37"/>
      <c r="RS3007" s="37"/>
      <c r="RT3007" s="37"/>
      <c r="RU3007" s="37"/>
      <c r="RV3007" s="37"/>
      <c r="RW3007" s="37"/>
      <c r="RX3007" s="37"/>
      <c r="RY3007" s="37"/>
      <c r="RZ3007" s="37"/>
      <c r="SA3007" s="37"/>
      <c r="SB3007" s="37"/>
      <c r="SC3007" s="37"/>
      <c r="SD3007" s="37"/>
      <c r="SE3007" s="37"/>
      <c r="SF3007" s="37"/>
    </row>
    <row r="3008" spans="1:500">
      <c r="A3008" s="37"/>
      <c r="B3008" s="37"/>
      <c r="C3008" s="37"/>
      <c r="D3008" s="37"/>
      <c r="E3008" s="37"/>
      <c r="F3008" s="37"/>
      <c r="G3008" s="37"/>
      <c r="H3008" s="37"/>
      <c r="I3008" s="37"/>
      <c r="J3008" s="37"/>
      <c r="K3008" s="37"/>
      <c r="L3008" s="37"/>
      <c r="M3008" s="37"/>
      <c r="N3008" s="37"/>
      <c r="O3008" s="37"/>
      <c r="P3008" s="37"/>
      <c r="Q3008" s="37"/>
      <c r="R3008" s="37"/>
      <c r="S3008" s="37"/>
      <c r="T3008" s="37"/>
      <c r="U3008" s="37"/>
      <c r="V3008" s="37"/>
      <c r="W3008" s="37"/>
      <c r="X3008" s="37"/>
      <c r="Y3008" s="37"/>
      <c r="Z3008" s="37"/>
      <c r="AA3008" s="37"/>
      <c r="AB3008" s="37"/>
      <c r="AC3008" s="37"/>
      <c r="AD3008" s="37"/>
      <c r="AE3008" s="37"/>
      <c r="AF3008" s="37"/>
      <c r="AG3008" s="37"/>
      <c r="AH3008" s="37"/>
      <c r="AI3008" s="37"/>
      <c r="AJ3008" s="37"/>
      <c r="AK3008" s="37"/>
      <c r="AL3008" s="37"/>
      <c r="AM3008" s="37"/>
      <c r="AN3008" s="37"/>
      <c r="AO3008" s="37"/>
      <c r="AP3008" s="37"/>
      <c r="AQ3008" s="37"/>
      <c r="AR3008" s="37"/>
      <c r="AS3008" s="37"/>
      <c r="AT3008" s="37"/>
      <c r="AU3008" s="37"/>
      <c r="AV3008" s="37"/>
      <c r="AW3008" s="37"/>
      <c r="AX3008" s="37"/>
      <c r="AY3008" s="37"/>
      <c r="AZ3008" s="37"/>
      <c r="BA3008" s="37"/>
      <c r="BB3008" s="37"/>
      <c r="BC3008" s="37"/>
      <c r="BD3008" s="37"/>
      <c r="BE3008" s="37"/>
      <c r="BF3008" s="37"/>
      <c r="BG3008" s="37"/>
      <c r="BH3008" s="37"/>
      <c r="BI3008" s="37"/>
      <c r="BJ3008" s="37"/>
      <c r="BK3008" s="37"/>
      <c r="BL3008" s="37"/>
      <c r="BM3008" s="37"/>
      <c r="BN3008" s="37"/>
      <c r="BO3008" s="37"/>
      <c r="BP3008" s="37"/>
      <c r="BQ3008" s="37"/>
      <c r="BR3008" s="37"/>
      <c r="BS3008" s="37"/>
      <c r="BT3008" s="37"/>
      <c r="BU3008" s="37"/>
      <c r="BV3008" s="37"/>
      <c r="BW3008" s="37"/>
      <c r="BX3008" s="37"/>
      <c r="BY3008" s="37"/>
      <c r="BZ3008" s="37"/>
      <c r="CA3008" s="37"/>
      <c r="CB3008" s="37"/>
      <c r="CC3008" s="37"/>
      <c r="CD3008" s="37"/>
      <c r="CE3008" s="37"/>
      <c r="CF3008" s="37"/>
      <c r="CG3008" s="37"/>
      <c r="CH3008" s="37"/>
      <c r="CI3008" s="37"/>
      <c r="CJ3008" s="37"/>
      <c r="CK3008" s="37"/>
      <c r="CL3008" s="37"/>
      <c r="CM3008" s="37"/>
      <c r="CN3008" s="37"/>
      <c r="CO3008" s="37"/>
      <c r="CP3008" s="37"/>
      <c r="CQ3008" s="37"/>
      <c r="CR3008" s="37"/>
      <c r="CS3008" s="37"/>
      <c r="CT3008" s="37"/>
      <c r="CU3008" s="37"/>
      <c r="CV3008" s="37"/>
      <c r="CW3008" s="37"/>
      <c r="CX3008" s="37"/>
      <c r="CY3008" s="37"/>
      <c r="CZ3008" s="37"/>
      <c r="DA3008" s="37"/>
      <c r="DB3008" s="37"/>
      <c r="DC3008" s="37"/>
      <c r="DD3008" s="37"/>
      <c r="DE3008" s="37"/>
      <c r="DF3008" s="37"/>
      <c r="DG3008" s="37"/>
      <c r="DH3008" s="37"/>
      <c r="DI3008" s="37"/>
      <c r="DJ3008" s="37"/>
      <c r="DK3008" s="37"/>
      <c r="DL3008" s="37"/>
      <c r="DM3008" s="37"/>
      <c r="DN3008" s="37"/>
      <c r="DO3008" s="37"/>
      <c r="DP3008" s="37"/>
      <c r="DQ3008" s="37"/>
      <c r="DR3008" s="37"/>
      <c r="DS3008" s="37"/>
      <c r="DT3008" s="37"/>
      <c r="DU3008" s="37"/>
      <c r="DV3008" s="37"/>
      <c r="DW3008" s="37"/>
      <c r="DX3008" s="37"/>
      <c r="DY3008" s="37"/>
      <c r="DZ3008" s="37"/>
      <c r="EA3008" s="37"/>
      <c r="EB3008" s="37"/>
      <c r="EC3008" s="37"/>
      <c r="ED3008" s="37"/>
      <c r="EE3008" s="37"/>
      <c r="EF3008" s="37"/>
      <c r="EG3008" s="37"/>
      <c r="EH3008" s="37"/>
      <c r="EI3008" s="37"/>
      <c r="EJ3008" s="37"/>
      <c r="EK3008" s="37"/>
      <c r="EL3008" s="37"/>
      <c r="EM3008" s="37"/>
      <c r="EN3008" s="37"/>
      <c r="EO3008" s="37"/>
      <c r="EP3008" s="37"/>
      <c r="EQ3008" s="37"/>
      <c r="ER3008" s="37"/>
      <c r="ES3008" s="37"/>
      <c r="ET3008" s="37"/>
      <c r="EU3008" s="37"/>
      <c r="EV3008" s="37"/>
      <c r="EW3008" s="37"/>
      <c r="EX3008" s="37"/>
      <c r="EY3008" s="37"/>
      <c r="EZ3008" s="37"/>
      <c r="FA3008" s="37"/>
      <c r="FB3008" s="37"/>
      <c r="FC3008" s="37"/>
      <c r="FD3008" s="37"/>
      <c r="FE3008" s="37"/>
      <c r="FF3008" s="37"/>
      <c r="FG3008" s="37"/>
      <c r="FH3008" s="37"/>
      <c r="FI3008" s="37"/>
      <c r="FJ3008" s="37"/>
      <c r="FK3008" s="37"/>
      <c r="FL3008" s="37"/>
      <c r="FM3008" s="37"/>
      <c r="FN3008" s="37"/>
      <c r="FO3008" s="37"/>
      <c r="FP3008" s="37"/>
      <c r="FQ3008" s="37"/>
      <c r="FR3008" s="37"/>
      <c r="FS3008" s="37"/>
      <c r="FT3008" s="37"/>
      <c r="FU3008" s="37"/>
      <c r="FV3008" s="37"/>
      <c r="FW3008" s="37"/>
      <c r="FX3008" s="37"/>
      <c r="FY3008" s="37"/>
      <c r="FZ3008" s="37"/>
      <c r="GA3008" s="37"/>
      <c r="GB3008" s="37"/>
      <c r="GC3008" s="37"/>
      <c r="GD3008" s="37"/>
      <c r="GE3008" s="37"/>
      <c r="GF3008" s="37"/>
      <c r="GG3008" s="37"/>
      <c r="GH3008" s="37"/>
      <c r="GI3008" s="37"/>
      <c r="GJ3008" s="37"/>
      <c r="GK3008" s="37"/>
      <c r="GL3008" s="37"/>
      <c r="GM3008" s="37"/>
      <c r="GN3008" s="37"/>
      <c r="GO3008" s="37"/>
      <c r="GP3008" s="37"/>
      <c r="GQ3008" s="37"/>
      <c r="GR3008" s="37"/>
      <c r="GS3008" s="37"/>
      <c r="GT3008" s="37"/>
      <c r="GU3008" s="37"/>
      <c r="GV3008" s="37"/>
      <c r="GW3008" s="37"/>
      <c r="GX3008" s="37"/>
      <c r="GY3008" s="37"/>
      <c r="GZ3008" s="37"/>
      <c r="HA3008" s="37"/>
      <c r="HB3008" s="37"/>
      <c r="HC3008" s="37"/>
      <c r="HD3008" s="37"/>
      <c r="HE3008" s="37"/>
      <c r="HF3008" s="37"/>
      <c r="HG3008" s="37"/>
      <c r="HH3008" s="37"/>
      <c r="HI3008" s="37"/>
      <c r="HJ3008" s="37"/>
      <c r="HK3008" s="37"/>
      <c r="HL3008" s="37"/>
      <c r="HM3008" s="37"/>
      <c r="HN3008" s="37"/>
      <c r="HO3008" s="37"/>
      <c r="HP3008" s="37"/>
      <c r="HQ3008" s="37"/>
      <c r="HR3008" s="37"/>
      <c r="HS3008" s="37"/>
      <c r="HT3008" s="37"/>
      <c r="HU3008" s="37"/>
      <c r="HV3008" s="37"/>
      <c r="HW3008" s="37"/>
      <c r="HX3008" s="37"/>
      <c r="HY3008" s="37"/>
      <c r="HZ3008" s="37"/>
      <c r="IA3008" s="37"/>
      <c r="IB3008" s="37"/>
      <c r="IC3008" s="37"/>
      <c r="ID3008" s="37"/>
      <c r="IE3008" s="37"/>
      <c r="IF3008" s="37"/>
      <c r="IG3008" s="37"/>
      <c r="IH3008" s="37"/>
      <c r="II3008" s="37"/>
      <c r="IJ3008" s="37"/>
      <c r="IK3008" s="37"/>
      <c r="IL3008" s="37"/>
      <c r="IM3008" s="37"/>
      <c r="IN3008" s="37"/>
      <c r="IO3008" s="37"/>
      <c r="IP3008" s="37"/>
      <c r="IQ3008" s="37"/>
      <c r="IR3008" s="37"/>
      <c r="IS3008" s="37"/>
      <c r="IT3008" s="37"/>
      <c r="IU3008" s="37"/>
      <c r="IV3008" s="37"/>
      <c r="IW3008" s="37"/>
      <c r="IX3008" s="37"/>
      <c r="IY3008" s="37"/>
      <c r="IZ3008" s="37"/>
      <c r="JA3008" s="37"/>
      <c r="JB3008" s="37"/>
      <c r="JC3008" s="37"/>
      <c r="JD3008" s="37"/>
      <c r="JE3008" s="37"/>
      <c r="JF3008" s="37"/>
      <c r="JG3008" s="37"/>
      <c r="JH3008" s="37"/>
      <c r="JI3008" s="37"/>
      <c r="JJ3008" s="37"/>
      <c r="JK3008" s="37"/>
      <c r="JL3008" s="37"/>
      <c r="JM3008" s="37"/>
      <c r="JN3008" s="37"/>
      <c r="JO3008" s="37"/>
      <c r="JP3008" s="37"/>
      <c r="JQ3008" s="37"/>
      <c r="JR3008" s="37"/>
      <c r="JS3008" s="37"/>
      <c r="JT3008" s="37"/>
      <c r="JU3008" s="37"/>
      <c r="JV3008" s="37"/>
      <c r="JW3008" s="37"/>
      <c r="JX3008" s="37"/>
      <c r="JY3008" s="37"/>
      <c r="JZ3008" s="37"/>
      <c r="KA3008" s="37"/>
      <c r="KB3008" s="37"/>
      <c r="KC3008" s="37"/>
      <c r="KD3008" s="37"/>
      <c r="KE3008" s="37"/>
      <c r="KF3008" s="37"/>
      <c r="KG3008" s="37"/>
      <c r="KH3008" s="37"/>
      <c r="KI3008" s="37"/>
      <c r="KJ3008" s="37"/>
      <c r="KK3008" s="37"/>
      <c r="KL3008" s="37"/>
      <c r="KM3008" s="37"/>
      <c r="KN3008" s="37"/>
      <c r="KO3008" s="37"/>
      <c r="KP3008" s="37"/>
      <c r="KQ3008" s="37"/>
      <c r="KR3008" s="37"/>
      <c r="KS3008" s="37"/>
      <c r="KT3008" s="37"/>
      <c r="KU3008" s="37"/>
      <c r="KV3008" s="37"/>
      <c r="KW3008" s="37"/>
      <c r="KX3008" s="37"/>
      <c r="KY3008" s="37"/>
      <c r="KZ3008" s="37"/>
      <c r="LA3008" s="37"/>
      <c r="LB3008" s="37"/>
      <c r="LC3008" s="37"/>
      <c r="LD3008" s="37"/>
      <c r="LE3008" s="37"/>
      <c r="LF3008" s="37"/>
      <c r="LG3008" s="37"/>
      <c r="LH3008" s="37"/>
      <c r="LI3008" s="37"/>
      <c r="LJ3008" s="37"/>
      <c r="LK3008" s="37"/>
      <c r="LL3008" s="37"/>
      <c r="LM3008" s="37"/>
      <c r="LN3008" s="37"/>
      <c r="LO3008" s="37"/>
      <c r="LP3008" s="37"/>
      <c r="LQ3008" s="37"/>
      <c r="LR3008" s="37"/>
      <c r="LS3008" s="37"/>
      <c r="LT3008" s="37"/>
      <c r="LU3008" s="37"/>
      <c r="LV3008" s="37"/>
      <c r="LW3008" s="37"/>
      <c r="LX3008" s="37"/>
      <c r="LY3008" s="37"/>
      <c r="LZ3008" s="37"/>
      <c r="MA3008" s="37"/>
      <c r="MB3008" s="37"/>
      <c r="MC3008" s="37"/>
      <c r="MD3008" s="37"/>
      <c r="ME3008" s="37"/>
      <c r="MF3008" s="37"/>
      <c r="MG3008" s="37"/>
      <c r="MH3008" s="37"/>
      <c r="MI3008" s="37"/>
      <c r="MJ3008" s="37"/>
      <c r="MK3008" s="37"/>
      <c r="ML3008" s="37"/>
      <c r="MM3008" s="37"/>
      <c r="MN3008" s="37"/>
      <c r="MO3008" s="37"/>
      <c r="MP3008" s="37"/>
      <c r="MQ3008" s="37"/>
      <c r="MR3008" s="37"/>
      <c r="MS3008" s="37"/>
      <c r="MT3008" s="37"/>
      <c r="MU3008" s="37"/>
      <c r="MV3008" s="37"/>
      <c r="MW3008" s="37"/>
      <c r="MX3008" s="37"/>
      <c r="MY3008" s="37"/>
      <c r="MZ3008" s="37"/>
      <c r="NA3008" s="37"/>
      <c r="NB3008" s="37"/>
      <c r="NC3008" s="37"/>
      <c r="ND3008" s="37"/>
      <c r="NE3008" s="37"/>
      <c r="NF3008" s="37"/>
      <c r="NG3008" s="37"/>
      <c r="NH3008" s="37"/>
      <c r="NI3008" s="37"/>
      <c r="NJ3008" s="37"/>
      <c r="NK3008" s="37"/>
      <c r="NL3008" s="37"/>
      <c r="NM3008" s="37"/>
      <c r="NN3008" s="37"/>
      <c r="NO3008" s="37"/>
      <c r="NP3008" s="37"/>
      <c r="NQ3008" s="37"/>
      <c r="NR3008" s="37"/>
      <c r="NS3008" s="37"/>
      <c r="NT3008" s="37"/>
      <c r="NU3008" s="37"/>
      <c r="NV3008" s="37"/>
      <c r="NW3008" s="37"/>
      <c r="NX3008" s="37"/>
      <c r="NY3008" s="37"/>
      <c r="NZ3008" s="37"/>
      <c r="OA3008" s="37"/>
      <c r="OB3008" s="37"/>
      <c r="OC3008" s="37"/>
      <c r="OD3008" s="37"/>
      <c r="OE3008" s="37"/>
      <c r="OF3008" s="37"/>
      <c r="OG3008" s="37"/>
      <c r="OH3008" s="37"/>
      <c r="OI3008" s="37"/>
      <c r="OJ3008" s="37"/>
      <c r="OK3008" s="37"/>
      <c r="OL3008" s="37"/>
      <c r="OM3008" s="37"/>
      <c r="ON3008" s="37"/>
      <c r="OO3008" s="37"/>
      <c r="OP3008" s="37"/>
      <c r="OQ3008" s="37"/>
      <c r="OR3008" s="37"/>
      <c r="OS3008" s="37"/>
      <c r="OT3008" s="37"/>
      <c r="OU3008" s="37"/>
      <c r="OV3008" s="37"/>
      <c r="OW3008" s="37"/>
      <c r="OX3008" s="37"/>
      <c r="OY3008" s="37"/>
      <c r="OZ3008" s="37"/>
      <c r="PA3008" s="37"/>
      <c r="PB3008" s="37"/>
      <c r="PC3008" s="37"/>
      <c r="PD3008" s="37"/>
      <c r="PE3008" s="37"/>
      <c r="PF3008" s="37"/>
      <c r="PG3008" s="37"/>
      <c r="PH3008" s="37"/>
      <c r="PI3008" s="37"/>
      <c r="PJ3008" s="37"/>
      <c r="PK3008" s="37"/>
      <c r="PL3008" s="37"/>
      <c r="PM3008" s="37"/>
      <c r="PN3008" s="37"/>
      <c r="PO3008" s="37"/>
      <c r="PP3008" s="37"/>
      <c r="PQ3008" s="37"/>
      <c r="PR3008" s="37"/>
      <c r="PS3008" s="37"/>
      <c r="PT3008" s="37"/>
      <c r="PU3008" s="37"/>
      <c r="PV3008" s="37"/>
      <c r="PW3008" s="37"/>
      <c r="PX3008" s="37"/>
      <c r="PY3008" s="37"/>
      <c r="PZ3008" s="37"/>
      <c r="QA3008" s="37"/>
      <c r="QB3008" s="37"/>
      <c r="QC3008" s="37"/>
      <c r="QD3008" s="37"/>
      <c r="QE3008" s="37"/>
      <c r="QF3008" s="37"/>
      <c r="QG3008" s="37"/>
      <c r="QH3008" s="37"/>
      <c r="QI3008" s="37"/>
      <c r="QJ3008" s="37"/>
      <c r="QK3008" s="37"/>
      <c r="QL3008" s="37"/>
      <c r="QM3008" s="37"/>
      <c r="QN3008" s="37"/>
      <c r="QO3008" s="37"/>
      <c r="QP3008" s="37"/>
      <c r="QQ3008" s="37"/>
      <c r="QR3008" s="37"/>
      <c r="QS3008" s="37"/>
      <c r="QT3008" s="37"/>
      <c r="QU3008" s="37"/>
      <c r="QV3008" s="37"/>
      <c r="QW3008" s="37"/>
      <c r="QX3008" s="37"/>
      <c r="QY3008" s="37"/>
      <c r="QZ3008" s="37"/>
      <c r="RA3008" s="37"/>
      <c r="RB3008" s="37"/>
      <c r="RC3008" s="37"/>
      <c r="RD3008" s="37"/>
      <c r="RE3008" s="37"/>
      <c r="RF3008" s="37"/>
      <c r="RG3008" s="37"/>
      <c r="RH3008" s="37"/>
      <c r="RI3008" s="37"/>
      <c r="RJ3008" s="37"/>
      <c r="RK3008" s="37"/>
      <c r="RL3008" s="37"/>
      <c r="RM3008" s="37"/>
      <c r="RN3008" s="37"/>
      <c r="RO3008" s="37"/>
      <c r="RP3008" s="37"/>
      <c r="RQ3008" s="37"/>
      <c r="RR3008" s="37"/>
      <c r="RS3008" s="37"/>
      <c r="RT3008" s="37"/>
      <c r="RU3008" s="37"/>
      <c r="RV3008" s="37"/>
      <c r="RW3008" s="37"/>
      <c r="RX3008" s="37"/>
      <c r="RY3008" s="37"/>
      <c r="RZ3008" s="37"/>
      <c r="SA3008" s="37"/>
      <c r="SB3008" s="37"/>
      <c r="SC3008" s="37"/>
      <c r="SD3008" s="37"/>
      <c r="SE3008" s="37"/>
      <c r="SF3008" s="37"/>
    </row>
    <row r="3009" spans="1:500">
      <c r="A3009" s="37"/>
      <c r="B3009" s="37"/>
      <c r="C3009" s="37"/>
      <c r="D3009" s="37"/>
      <c r="E3009" s="37"/>
      <c r="F3009" s="37"/>
      <c r="G3009" s="37"/>
      <c r="H3009" s="37"/>
      <c r="I3009" s="37"/>
      <c r="J3009" s="37"/>
      <c r="K3009" s="37"/>
      <c r="L3009" s="37"/>
      <c r="M3009" s="37"/>
      <c r="N3009" s="37"/>
      <c r="O3009" s="37"/>
      <c r="P3009" s="37"/>
      <c r="Q3009" s="37"/>
      <c r="R3009" s="37"/>
      <c r="S3009" s="37"/>
      <c r="T3009" s="37"/>
      <c r="U3009" s="37"/>
      <c r="V3009" s="37"/>
      <c r="W3009" s="37"/>
      <c r="X3009" s="37"/>
      <c r="Y3009" s="37"/>
      <c r="Z3009" s="37"/>
      <c r="AA3009" s="37"/>
      <c r="AB3009" s="37"/>
      <c r="AC3009" s="37"/>
      <c r="AD3009" s="37"/>
      <c r="AE3009" s="37"/>
      <c r="AF3009" s="37"/>
      <c r="AG3009" s="37"/>
      <c r="AH3009" s="37"/>
      <c r="AI3009" s="37"/>
      <c r="AJ3009" s="37"/>
      <c r="AK3009" s="37"/>
      <c r="AL3009" s="37"/>
      <c r="AM3009" s="37"/>
      <c r="AN3009" s="37"/>
      <c r="AO3009" s="37"/>
      <c r="AP3009" s="37"/>
      <c r="AQ3009" s="37"/>
      <c r="AR3009" s="37"/>
      <c r="AS3009" s="37"/>
      <c r="AT3009" s="37"/>
      <c r="AU3009" s="37"/>
      <c r="AV3009" s="37"/>
      <c r="AW3009" s="37"/>
      <c r="AX3009" s="37"/>
      <c r="AY3009" s="37"/>
      <c r="AZ3009" s="37"/>
      <c r="BA3009" s="37"/>
      <c r="BB3009" s="37"/>
      <c r="BC3009" s="37"/>
      <c r="BD3009" s="37"/>
      <c r="BE3009" s="37"/>
      <c r="BF3009" s="37"/>
      <c r="BG3009" s="37"/>
      <c r="BH3009" s="37"/>
      <c r="BI3009" s="37"/>
      <c r="BJ3009" s="37"/>
      <c r="BK3009" s="37"/>
      <c r="BL3009" s="37"/>
      <c r="BM3009" s="37"/>
      <c r="BN3009" s="37"/>
      <c r="BO3009" s="37"/>
      <c r="BP3009" s="37"/>
      <c r="BQ3009" s="37"/>
      <c r="BR3009" s="37"/>
      <c r="BS3009" s="37"/>
      <c r="BT3009" s="37"/>
      <c r="BU3009" s="37"/>
      <c r="BV3009" s="37"/>
      <c r="BW3009" s="37"/>
      <c r="BX3009" s="37"/>
      <c r="BY3009" s="37"/>
      <c r="BZ3009" s="37"/>
      <c r="CA3009" s="37"/>
      <c r="CB3009" s="37"/>
      <c r="CC3009" s="37"/>
      <c r="CD3009" s="37"/>
      <c r="CE3009" s="37"/>
      <c r="CF3009" s="37"/>
      <c r="CG3009" s="37"/>
      <c r="CH3009" s="37"/>
      <c r="CI3009" s="37"/>
      <c r="CJ3009" s="37"/>
      <c r="CK3009" s="37"/>
      <c r="CL3009" s="37"/>
      <c r="CM3009" s="37"/>
      <c r="CN3009" s="37"/>
      <c r="CO3009" s="37"/>
      <c r="CP3009" s="37"/>
      <c r="CQ3009" s="37"/>
      <c r="CR3009" s="37"/>
      <c r="CS3009" s="37"/>
      <c r="CT3009" s="37"/>
      <c r="CU3009" s="37"/>
      <c r="CV3009" s="37"/>
      <c r="CW3009" s="37"/>
      <c r="CX3009" s="37"/>
      <c r="CY3009" s="37"/>
      <c r="CZ3009" s="37"/>
      <c r="DA3009" s="37"/>
      <c r="DB3009" s="37"/>
      <c r="DC3009" s="37"/>
      <c r="DD3009" s="37"/>
      <c r="DE3009" s="37"/>
      <c r="DF3009" s="37"/>
      <c r="DG3009" s="37"/>
      <c r="DH3009" s="37"/>
      <c r="DI3009" s="37"/>
      <c r="DJ3009" s="37"/>
      <c r="DK3009" s="37"/>
      <c r="DL3009" s="37"/>
      <c r="DM3009" s="37"/>
      <c r="DN3009" s="37"/>
      <c r="DO3009" s="37"/>
      <c r="DP3009" s="37"/>
      <c r="DQ3009" s="37"/>
      <c r="DR3009" s="37"/>
      <c r="DS3009" s="37"/>
      <c r="DT3009" s="37"/>
      <c r="DU3009" s="37"/>
      <c r="DV3009" s="37"/>
      <c r="DW3009" s="37"/>
      <c r="DX3009" s="37"/>
      <c r="DY3009" s="37"/>
      <c r="DZ3009" s="37"/>
      <c r="EA3009" s="37"/>
      <c r="EB3009" s="37"/>
      <c r="EC3009" s="37"/>
      <c r="ED3009" s="37"/>
      <c r="EE3009" s="37"/>
      <c r="EF3009" s="37"/>
      <c r="EG3009" s="37"/>
      <c r="EH3009" s="37"/>
      <c r="EI3009" s="37"/>
      <c r="EJ3009" s="37"/>
      <c r="EK3009" s="37"/>
      <c r="EL3009" s="37"/>
      <c r="EM3009" s="37"/>
      <c r="EN3009" s="37"/>
      <c r="EO3009" s="37"/>
      <c r="EP3009" s="37"/>
      <c r="EQ3009" s="37"/>
      <c r="ER3009" s="37"/>
      <c r="ES3009" s="37"/>
      <c r="ET3009" s="37"/>
      <c r="EU3009" s="37"/>
      <c r="EV3009" s="37"/>
      <c r="EW3009" s="37"/>
      <c r="EX3009" s="37"/>
      <c r="EY3009" s="37"/>
      <c r="EZ3009" s="37"/>
      <c r="FA3009" s="37"/>
      <c r="FB3009" s="37"/>
      <c r="FC3009" s="37"/>
      <c r="FD3009" s="37"/>
      <c r="FE3009" s="37"/>
      <c r="FF3009" s="37"/>
      <c r="FG3009" s="37"/>
      <c r="FH3009" s="37"/>
      <c r="FI3009" s="37"/>
      <c r="FJ3009" s="37"/>
      <c r="FK3009" s="37"/>
      <c r="FL3009" s="37"/>
      <c r="FM3009" s="37"/>
      <c r="FN3009" s="37"/>
      <c r="FO3009" s="37"/>
      <c r="FP3009" s="37"/>
      <c r="FQ3009" s="37"/>
      <c r="FR3009" s="37"/>
      <c r="FS3009" s="37"/>
      <c r="FT3009" s="37"/>
      <c r="FU3009" s="37"/>
      <c r="FV3009" s="37"/>
      <c r="FW3009" s="37"/>
      <c r="FX3009" s="37"/>
      <c r="FY3009" s="37"/>
      <c r="FZ3009" s="37"/>
      <c r="GA3009" s="37"/>
      <c r="GB3009" s="37"/>
      <c r="GC3009" s="37"/>
      <c r="GD3009" s="37"/>
      <c r="GE3009" s="37"/>
      <c r="GF3009" s="37"/>
      <c r="GG3009" s="37"/>
      <c r="GH3009" s="37"/>
      <c r="GI3009" s="37"/>
      <c r="GJ3009" s="37"/>
      <c r="GK3009" s="37"/>
      <c r="GL3009" s="37"/>
      <c r="GM3009" s="37"/>
      <c r="GN3009" s="37"/>
      <c r="GO3009" s="37"/>
      <c r="GP3009" s="37"/>
      <c r="GQ3009" s="37"/>
      <c r="GR3009" s="37"/>
      <c r="GS3009" s="37"/>
      <c r="GT3009" s="37"/>
      <c r="GU3009" s="37"/>
      <c r="GV3009" s="37"/>
      <c r="GW3009" s="37"/>
      <c r="GX3009" s="37"/>
      <c r="GY3009" s="37"/>
      <c r="GZ3009" s="37"/>
      <c r="HA3009" s="37"/>
      <c r="HB3009" s="37"/>
      <c r="HC3009" s="37"/>
      <c r="HD3009" s="37"/>
      <c r="HE3009" s="37"/>
      <c r="HF3009" s="37"/>
      <c r="HG3009" s="37"/>
      <c r="HH3009" s="37"/>
      <c r="HI3009" s="37"/>
      <c r="HJ3009" s="37"/>
      <c r="HK3009" s="37"/>
      <c r="HL3009" s="37"/>
      <c r="HM3009" s="37"/>
      <c r="HN3009" s="37"/>
      <c r="HO3009" s="37"/>
      <c r="HP3009" s="37"/>
      <c r="HQ3009" s="37"/>
      <c r="HR3009" s="37"/>
      <c r="HS3009" s="37"/>
      <c r="HT3009" s="37"/>
      <c r="HU3009" s="37"/>
      <c r="HV3009" s="37"/>
      <c r="HW3009" s="37"/>
      <c r="HX3009" s="37"/>
      <c r="HY3009" s="37"/>
      <c r="HZ3009" s="37"/>
      <c r="IA3009" s="37"/>
      <c r="IB3009" s="37"/>
      <c r="IC3009" s="37"/>
      <c r="ID3009" s="37"/>
      <c r="IE3009" s="37"/>
      <c r="IF3009" s="37"/>
      <c r="IG3009" s="37"/>
      <c r="IH3009" s="37"/>
      <c r="II3009" s="37"/>
      <c r="IJ3009" s="37"/>
      <c r="IK3009" s="37"/>
      <c r="IL3009" s="37"/>
      <c r="IM3009" s="37"/>
      <c r="IN3009" s="37"/>
      <c r="IO3009" s="37"/>
      <c r="IP3009" s="37"/>
      <c r="IQ3009" s="37"/>
      <c r="IR3009" s="37"/>
      <c r="IS3009" s="37"/>
      <c r="IT3009" s="37"/>
      <c r="IU3009" s="37"/>
      <c r="IV3009" s="37"/>
      <c r="IW3009" s="37"/>
      <c r="IX3009" s="37"/>
      <c r="IY3009" s="37"/>
      <c r="IZ3009" s="37"/>
      <c r="JA3009" s="37"/>
      <c r="JB3009" s="37"/>
      <c r="JC3009" s="37"/>
      <c r="JD3009" s="37"/>
      <c r="JE3009" s="37"/>
      <c r="JF3009" s="37"/>
      <c r="JG3009" s="37"/>
      <c r="JH3009" s="37"/>
      <c r="JI3009" s="37"/>
      <c r="JJ3009" s="37"/>
      <c r="JK3009" s="37"/>
      <c r="JL3009" s="37"/>
      <c r="JM3009" s="37"/>
      <c r="JN3009" s="37"/>
      <c r="JO3009" s="37"/>
      <c r="JP3009" s="37"/>
      <c r="JQ3009" s="37"/>
      <c r="JR3009" s="37"/>
      <c r="JS3009" s="37"/>
      <c r="JT3009" s="37"/>
      <c r="JU3009" s="37"/>
      <c r="JV3009" s="37"/>
      <c r="JW3009" s="37"/>
      <c r="JX3009" s="37"/>
      <c r="JY3009" s="37"/>
      <c r="JZ3009" s="37"/>
      <c r="KA3009" s="37"/>
      <c r="KB3009" s="37"/>
      <c r="KC3009" s="37"/>
      <c r="KD3009" s="37"/>
      <c r="KE3009" s="37"/>
      <c r="KF3009" s="37"/>
      <c r="KG3009" s="37"/>
      <c r="KH3009" s="37"/>
      <c r="KI3009" s="37"/>
      <c r="KJ3009" s="37"/>
      <c r="KK3009" s="37"/>
      <c r="KL3009" s="37"/>
      <c r="KM3009" s="37"/>
      <c r="KN3009" s="37"/>
      <c r="KO3009" s="37"/>
      <c r="KP3009" s="37"/>
      <c r="KQ3009" s="37"/>
      <c r="KR3009" s="37"/>
      <c r="KS3009" s="37"/>
      <c r="KT3009" s="37"/>
      <c r="KU3009" s="37"/>
      <c r="KV3009" s="37"/>
      <c r="KW3009" s="37"/>
      <c r="KX3009" s="37"/>
      <c r="KY3009" s="37"/>
      <c r="KZ3009" s="37"/>
      <c r="LA3009" s="37"/>
      <c r="LB3009" s="37"/>
      <c r="LC3009" s="37"/>
      <c r="LD3009" s="37"/>
      <c r="LE3009" s="37"/>
      <c r="LF3009" s="37"/>
      <c r="LG3009" s="37"/>
      <c r="LH3009" s="37"/>
      <c r="LI3009" s="37"/>
      <c r="LJ3009" s="37"/>
      <c r="LK3009" s="37"/>
      <c r="LL3009" s="37"/>
      <c r="LM3009" s="37"/>
      <c r="LN3009" s="37"/>
      <c r="LO3009" s="37"/>
      <c r="LP3009" s="37"/>
      <c r="LQ3009" s="37"/>
      <c r="LR3009" s="37"/>
      <c r="LS3009" s="37"/>
      <c r="LT3009" s="37"/>
      <c r="LU3009" s="37"/>
      <c r="LV3009" s="37"/>
      <c r="LW3009" s="37"/>
      <c r="LX3009" s="37"/>
      <c r="LY3009" s="37"/>
      <c r="LZ3009" s="37"/>
      <c r="MA3009" s="37"/>
      <c r="MB3009" s="37"/>
      <c r="MC3009" s="37"/>
      <c r="MD3009" s="37"/>
      <c r="ME3009" s="37"/>
      <c r="MF3009" s="37"/>
      <c r="MG3009" s="37"/>
      <c r="MH3009" s="37"/>
      <c r="MI3009" s="37"/>
      <c r="MJ3009" s="37"/>
      <c r="MK3009" s="37"/>
      <c r="ML3009" s="37"/>
      <c r="MM3009" s="37"/>
      <c r="MN3009" s="37"/>
      <c r="MO3009" s="37"/>
      <c r="MP3009" s="37"/>
      <c r="MQ3009" s="37"/>
      <c r="MR3009" s="37"/>
      <c r="MS3009" s="37"/>
      <c r="MT3009" s="37"/>
      <c r="MU3009" s="37"/>
      <c r="MV3009" s="37"/>
      <c r="MW3009" s="37"/>
      <c r="MX3009" s="37"/>
      <c r="MY3009" s="37"/>
      <c r="MZ3009" s="37"/>
      <c r="NA3009" s="37"/>
      <c r="NB3009" s="37"/>
      <c r="NC3009" s="37"/>
      <c r="ND3009" s="37"/>
      <c r="NE3009" s="37"/>
      <c r="NF3009" s="37"/>
      <c r="NG3009" s="37"/>
      <c r="NH3009" s="37"/>
      <c r="NI3009" s="37"/>
      <c r="NJ3009" s="37"/>
      <c r="NK3009" s="37"/>
      <c r="NL3009" s="37"/>
      <c r="NM3009" s="37"/>
      <c r="NN3009" s="37"/>
      <c r="NO3009" s="37"/>
      <c r="NP3009" s="37"/>
      <c r="NQ3009" s="37"/>
      <c r="NR3009" s="37"/>
      <c r="NS3009" s="37"/>
      <c r="NT3009" s="37"/>
      <c r="NU3009" s="37"/>
      <c r="NV3009" s="37"/>
      <c r="NW3009" s="37"/>
      <c r="NX3009" s="37"/>
      <c r="NY3009" s="37"/>
      <c r="NZ3009" s="37"/>
      <c r="OA3009" s="37"/>
      <c r="OB3009" s="37"/>
      <c r="OC3009" s="37"/>
      <c r="OD3009" s="37"/>
      <c r="OE3009" s="37"/>
      <c r="OF3009" s="37"/>
      <c r="OG3009" s="37"/>
      <c r="OH3009" s="37"/>
      <c r="OI3009" s="37"/>
      <c r="OJ3009" s="37"/>
      <c r="OK3009" s="37"/>
      <c r="OL3009" s="37"/>
      <c r="OM3009" s="37"/>
      <c r="ON3009" s="37"/>
      <c r="OO3009" s="37"/>
      <c r="OP3009" s="37"/>
      <c r="OQ3009" s="37"/>
      <c r="OR3009" s="37"/>
      <c r="OS3009" s="37"/>
      <c r="OT3009" s="37"/>
      <c r="OU3009" s="37"/>
      <c r="OV3009" s="37"/>
      <c r="OW3009" s="37"/>
      <c r="OX3009" s="37"/>
      <c r="OY3009" s="37"/>
      <c r="OZ3009" s="37"/>
      <c r="PA3009" s="37"/>
      <c r="PB3009" s="37"/>
      <c r="PC3009" s="37"/>
      <c r="PD3009" s="37"/>
      <c r="PE3009" s="37"/>
      <c r="PF3009" s="37"/>
      <c r="PG3009" s="37"/>
      <c r="PH3009" s="37"/>
      <c r="PI3009" s="37"/>
      <c r="PJ3009" s="37"/>
      <c r="PK3009" s="37"/>
      <c r="PL3009" s="37"/>
      <c r="PM3009" s="37"/>
      <c r="PN3009" s="37"/>
      <c r="PO3009" s="37"/>
      <c r="PP3009" s="37"/>
      <c r="PQ3009" s="37"/>
      <c r="PR3009" s="37"/>
      <c r="PS3009" s="37"/>
      <c r="PT3009" s="37"/>
      <c r="PU3009" s="37"/>
      <c r="PV3009" s="37"/>
      <c r="PW3009" s="37"/>
      <c r="PX3009" s="37"/>
      <c r="PY3009" s="37"/>
      <c r="PZ3009" s="37"/>
      <c r="QA3009" s="37"/>
      <c r="QB3009" s="37"/>
      <c r="QC3009" s="37"/>
      <c r="QD3009" s="37"/>
      <c r="QE3009" s="37"/>
      <c r="QF3009" s="37"/>
      <c r="QG3009" s="37"/>
      <c r="QH3009" s="37"/>
      <c r="QI3009" s="37"/>
      <c r="QJ3009" s="37"/>
      <c r="QK3009" s="37"/>
      <c r="QL3009" s="37"/>
      <c r="QM3009" s="37"/>
      <c r="QN3009" s="37"/>
      <c r="QO3009" s="37"/>
      <c r="QP3009" s="37"/>
      <c r="QQ3009" s="37"/>
      <c r="QR3009" s="37"/>
      <c r="QS3009" s="37"/>
      <c r="QT3009" s="37"/>
      <c r="QU3009" s="37"/>
      <c r="QV3009" s="37"/>
      <c r="QW3009" s="37"/>
      <c r="QX3009" s="37"/>
      <c r="QY3009" s="37"/>
      <c r="QZ3009" s="37"/>
      <c r="RA3009" s="37"/>
      <c r="RB3009" s="37"/>
      <c r="RC3009" s="37"/>
      <c r="RD3009" s="37"/>
      <c r="RE3009" s="37"/>
      <c r="RF3009" s="37"/>
      <c r="RG3009" s="37"/>
      <c r="RH3009" s="37"/>
      <c r="RI3009" s="37"/>
      <c r="RJ3009" s="37"/>
      <c r="RK3009" s="37"/>
      <c r="RL3009" s="37"/>
      <c r="RM3009" s="37"/>
      <c r="RN3009" s="37"/>
      <c r="RO3009" s="37"/>
      <c r="RP3009" s="37"/>
      <c r="RQ3009" s="37"/>
      <c r="RR3009" s="37"/>
      <c r="RS3009" s="37"/>
      <c r="RT3009" s="37"/>
      <c r="RU3009" s="37"/>
      <c r="RV3009" s="37"/>
      <c r="RW3009" s="37"/>
      <c r="RX3009" s="37"/>
      <c r="RY3009" s="37"/>
      <c r="RZ3009" s="37"/>
      <c r="SA3009" s="37"/>
      <c r="SB3009" s="37"/>
      <c r="SC3009" s="37"/>
      <c r="SD3009" s="37"/>
      <c r="SE3009" s="37"/>
      <c r="SF3009" s="37"/>
    </row>
    <row r="3010" spans="1:500">
      <c r="A3010" s="37"/>
      <c r="B3010" s="37"/>
      <c r="C3010" s="37"/>
      <c r="D3010" s="37"/>
      <c r="E3010" s="37"/>
      <c r="F3010" s="37"/>
      <c r="G3010" s="37"/>
      <c r="H3010" s="37"/>
      <c r="I3010" s="37"/>
      <c r="J3010" s="37"/>
      <c r="K3010" s="37"/>
      <c r="L3010" s="37"/>
      <c r="M3010" s="37"/>
      <c r="N3010" s="37"/>
      <c r="O3010" s="37"/>
      <c r="P3010" s="37"/>
      <c r="Q3010" s="37"/>
      <c r="R3010" s="37"/>
      <c r="S3010" s="37"/>
      <c r="T3010" s="37"/>
      <c r="U3010" s="37"/>
      <c r="V3010" s="37"/>
      <c r="W3010" s="37"/>
      <c r="X3010" s="37"/>
      <c r="Y3010" s="37"/>
      <c r="Z3010" s="37"/>
      <c r="AA3010" s="37"/>
      <c r="AB3010" s="37"/>
      <c r="AC3010" s="37"/>
      <c r="AD3010" s="37"/>
      <c r="AE3010" s="37"/>
      <c r="AF3010" s="37"/>
      <c r="AG3010" s="37"/>
      <c r="AH3010" s="37"/>
      <c r="AI3010" s="37"/>
      <c r="AJ3010" s="37"/>
      <c r="AK3010" s="37"/>
      <c r="AL3010" s="37"/>
      <c r="AM3010" s="37"/>
      <c r="AN3010" s="37"/>
      <c r="AO3010" s="37"/>
      <c r="AP3010" s="37"/>
      <c r="AQ3010" s="37"/>
      <c r="AR3010" s="37"/>
      <c r="AS3010" s="37"/>
      <c r="AT3010" s="37"/>
      <c r="AU3010" s="37"/>
      <c r="AV3010" s="37"/>
      <c r="AW3010" s="37"/>
      <c r="AX3010" s="37"/>
      <c r="AY3010" s="37"/>
      <c r="AZ3010" s="37"/>
      <c r="BA3010" s="37"/>
      <c r="BB3010" s="37"/>
      <c r="BC3010" s="37"/>
      <c r="BD3010" s="37"/>
      <c r="BE3010" s="37"/>
      <c r="BF3010" s="37"/>
      <c r="BG3010" s="37"/>
      <c r="BH3010" s="37"/>
      <c r="BI3010" s="37"/>
      <c r="BJ3010" s="37"/>
      <c r="BK3010" s="37"/>
      <c r="BL3010" s="37"/>
      <c r="BM3010" s="37"/>
      <c r="BN3010" s="37"/>
      <c r="BO3010" s="37"/>
      <c r="BP3010" s="37"/>
      <c r="BQ3010" s="37"/>
      <c r="BR3010" s="37"/>
      <c r="BS3010" s="37"/>
      <c r="BT3010" s="37"/>
      <c r="BU3010" s="37"/>
      <c r="BV3010" s="37"/>
      <c r="BW3010" s="37"/>
      <c r="BX3010" s="37"/>
      <c r="BY3010" s="37"/>
      <c r="BZ3010" s="37"/>
      <c r="CA3010" s="37"/>
      <c r="CB3010" s="37"/>
      <c r="CC3010" s="37"/>
      <c r="CD3010" s="37"/>
      <c r="CE3010" s="37"/>
      <c r="CF3010" s="37"/>
      <c r="CG3010" s="37"/>
      <c r="CH3010" s="37"/>
      <c r="CI3010" s="37"/>
      <c r="CJ3010" s="37"/>
      <c r="CK3010" s="37"/>
      <c r="CL3010" s="37"/>
      <c r="CM3010" s="37"/>
      <c r="CN3010" s="37"/>
      <c r="CO3010" s="37"/>
      <c r="CP3010" s="37"/>
      <c r="CQ3010" s="37"/>
      <c r="CR3010" s="37"/>
      <c r="CS3010" s="37"/>
      <c r="CT3010" s="37"/>
      <c r="CU3010" s="37"/>
      <c r="CV3010" s="37"/>
      <c r="CW3010" s="37"/>
      <c r="CX3010" s="37"/>
      <c r="CY3010" s="37"/>
      <c r="CZ3010" s="37"/>
      <c r="DA3010" s="37"/>
      <c r="DB3010" s="37"/>
      <c r="DC3010" s="37"/>
      <c r="DD3010" s="37"/>
      <c r="DE3010" s="37"/>
      <c r="DF3010" s="37"/>
      <c r="DG3010" s="37"/>
      <c r="DH3010" s="37"/>
      <c r="DI3010" s="37"/>
      <c r="DJ3010" s="37"/>
      <c r="DK3010" s="37"/>
      <c r="DL3010" s="37"/>
      <c r="DM3010" s="37"/>
      <c r="DN3010" s="37"/>
      <c r="DO3010" s="37"/>
      <c r="DP3010" s="37"/>
      <c r="DQ3010" s="37"/>
      <c r="DR3010" s="37"/>
      <c r="DS3010" s="37"/>
      <c r="DT3010" s="37"/>
      <c r="DU3010" s="37"/>
      <c r="DV3010" s="37"/>
      <c r="DW3010" s="37"/>
      <c r="DX3010" s="37"/>
      <c r="DY3010" s="37"/>
      <c r="DZ3010" s="37"/>
      <c r="EA3010" s="37"/>
      <c r="EB3010" s="37"/>
      <c r="EC3010" s="37"/>
      <c r="ED3010" s="37"/>
      <c r="EE3010" s="37"/>
      <c r="EF3010" s="37"/>
      <c r="EG3010" s="37"/>
      <c r="EH3010" s="37"/>
      <c r="EI3010" s="37"/>
      <c r="EJ3010" s="37"/>
      <c r="EK3010" s="37"/>
      <c r="EL3010" s="37"/>
      <c r="EM3010" s="37"/>
      <c r="EN3010" s="37"/>
      <c r="EO3010" s="37"/>
      <c r="EP3010" s="37"/>
      <c r="EQ3010" s="37"/>
      <c r="ER3010" s="37"/>
      <c r="ES3010" s="37"/>
      <c r="ET3010" s="37"/>
      <c r="EU3010" s="37"/>
      <c r="EV3010" s="37"/>
      <c r="EW3010" s="37"/>
      <c r="EX3010" s="37"/>
      <c r="EY3010" s="37"/>
      <c r="EZ3010" s="37"/>
      <c r="FA3010" s="37"/>
      <c r="FB3010" s="37"/>
      <c r="FC3010" s="37"/>
      <c r="FD3010" s="37"/>
      <c r="FE3010" s="37"/>
      <c r="FF3010" s="37"/>
      <c r="FG3010" s="37"/>
      <c r="FH3010" s="37"/>
      <c r="FI3010" s="37"/>
      <c r="FJ3010" s="37"/>
      <c r="FK3010" s="37"/>
      <c r="FL3010" s="37"/>
      <c r="FM3010" s="37"/>
      <c r="FN3010" s="37"/>
      <c r="FO3010" s="37"/>
      <c r="FP3010" s="37"/>
      <c r="FQ3010" s="37"/>
      <c r="FR3010" s="37"/>
      <c r="FS3010" s="37"/>
      <c r="FT3010" s="37"/>
      <c r="FU3010" s="37"/>
      <c r="FV3010" s="37"/>
      <c r="FW3010" s="37"/>
      <c r="FX3010" s="37"/>
      <c r="FY3010" s="37"/>
      <c r="FZ3010" s="37"/>
      <c r="GA3010" s="37"/>
      <c r="GB3010" s="37"/>
      <c r="GC3010" s="37"/>
      <c r="GD3010" s="37"/>
      <c r="GE3010" s="37"/>
      <c r="GF3010" s="37"/>
      <c r="GG3010" s="37"/>
      <c r="GH3010" s="37"/>
      <c r="GI3010" s="37"/>
      <c r="GJ3010" s="37"/>
      <c r="GK3010" s="37"/>
      <c r="GL3010" s="37"/>
      <c r="GM3010" s="37"/>
      <c r="GN3010" s="37"/>
      <c r="GO3010" s="37"/>
      <c r="GP3010" s="37"/>
      <c r="GQ3010" s="37"/>
      <c r="GR3010" s="37"/>
      <c r="GS3010" s="37"/>
      <c r="GT3010" s="37"/>
      <c r="GU3010" s="37"/>
      <c r="GV3010" s="37"/>
      <c r="GW3010" s="37"/>
      <c r="GX3010" s="37"/>
      <c r="GY3010" s="37"/>
      <c r="GZ3010" s="37"/>
      <c r="HA3010" s="37"/>
      <c r="HB3010" s="37"/>
      <c r="HC3010" s="37"/>
      <c r="HD3010" s="37"/>
      <c r="HE3010" s="37"/>
      <c r="HF3010" s="37"/>
      <c r="HG3010" s="37"/>
      <c r="HH3010" s="37"/>
      <c r="HI3010" s="37"/>
      <c r="HJ3010" s="37"/>
      <c r="HK3010" s="37"/>
      <c r="HL3010" s="37"/>
      <c r="HM3010" s="37"/>
      <c r="HN3010" s="37"/>
      <c r="HO3010" s="37"/>
      <c r="HP3010" s="37"/>
      <c r="HQ3010" s="37"/>
      <c r="HR3010" s="37"/>
      <c r="HS3010" s="37"/>
      <c r="HT3010" s="37"/>
      <c r="HU3010" s="37"/>
      <c r="HV3010" s="37"/>
      <c r="HW3010" s="37"/>
      <c r="HX3010" s="37"/>
      <c r="HY3010" s="37"/>
      <c r="HZ3010" s="37"/>
      <c r="IA3010" s="37"/>
      <c r="IB3010" s="37"/>
      <c r="IC3010" s="37"/>
      <c r="ID3010" s="37"/>
      <c r="IE3010" s="37"/>
      <c r="IF3010" s="37"/>
      <c r="IG3010" s="37"/>
      <c r="IH3010" s="37"/>
      <c r="II3010" s="37"/>
      <c r="IJ3010" s="37"/>
      <c r="IK3010" s="37"/>
      <c r="IL3010" s="37"/>
      <c r="IM3010" s="37"/>
      <c r="IN3010" s="37"/>
      <c r="IO3010" s="37"/>
      <c r="IP3010" s="37"/>
      <c r="IQ3010" s="37"/>
      <c r="IR3010" s="37"/>
      <c r="IS3010" s="37"/>
      <c r="IT3010" s="37"/>
      <c r="IU3010" s="37"/>
      <c r="IV3010" s="37"/>
      <c r="IW3010" s="37"/>
      <c r="IX3010" s="37"/>
      <c r="IY3010" s="37"/>
      <c r="IZ3010" s="37"/>
      <c r="JA3010" s="37"/>
      <c r="JB3010" s="37"/>
      <c r="JC3010" s="37"/>
      <c r="JD3010" s="37"/>
      <c r="JE3010" s="37"/>
      <c r="JF3010" s="37"/>
      <c r="JG3010" s="37"/>
      <c r="JH3010" s="37"/>
      <c r="JI3010" s="37"/>
      <c r="JJ3010" s="37"/>
      <c r="JK3010" s="37"/>
      <c r="JL3010" s="37"/>
      <c r="JM3010" s="37"/>
      <c r="JN3010" s="37"/>
      <c r="JO3010" s="37"/>
      <c r="JP3010" s="37"/>
      <c r="JQ3010" s="37"/>
      <c r="JR3010" s="37"/>
      <c r="JS3010" s="37"/>
      <c r="JT3010" s="37"/>
      <c r="JU3010" s="37"/>
      <c r="JV3010" s="37"/>
      <c r="JW3010" s="37"/>
      <c r="JX3010" s="37"/>
      <c r="JY3010" s="37"/>
      <c r="JZ3010" s="37"/>
      <c r="KA3010" s="37"/>
      <c r="KB3010" s="37"/>
      <c r="KC3010" s="37"/>
      <c r="KD3010" s="37"/>
      <c r="KE3010" s="37"/>
      <c r="KF3010" s="37"/>
      <c r="KG3010" s="37"/>
      <c r="KH3010" s="37"/>
      <c r="KI3010" s="37"/>
      <c r="KJ3010" s="37"/>
      <c r="KK3010" s="37"/>
      <c r="KL3010" s="37"/>
      <c r="KM3010" s="37"/>
      <c r="KN3010" s="37"/>
      <c r="KO3010" s="37"/>
      <c r="KP3010" s="37"/>
      <c r="KQ3010" s="37"/>
      <c r="KR3010" s="37"/>
      <c r="KS3010" s="37"/>
      <c r="KT3010" s="37"/>
      <c r="KU3010" s="37"/>
      <c r="KV3010" s="37"/>
      <c r="KW3010" s="37"/>
      <c r="KX3010" s="37"/>
      <c r="KY3010" s="37"/>
      <c r="KZ3010" s="37"/>
      <c r="LA3010" s="37"/>
      <c r="LB3010" s="37"/>
      <c r="LC3010" s="37"/>
      <c r="LD3010" s="37"/>
      <c r="LE3010" s="37"/>
      <c r="LF3010" s="37"/>
      <c r="LG3010" s="37"/>
      <c r="LH3010" s="37"/>
      <c r="LI3010" s="37"/>
      <c r="LJ3010" s="37"/>
      <c r="LK3010" s="37"/>
      <c r="LL3010" s="37"/>
      <c r="LM3010" s="37"/>
      <c r="LN3010" s="37"/>
      <c r="LO3010" s="37"/>
      <c r="LP3010" s="37"/>
      <c r="LQ3010" s="37"/>
      <c r="LR3010" s="37"/>
      <c r="LS3010" s="37"/>
      <c r="LT3010" s="37"/>
      <c r="LU3010" s="37"/>
      <c r="LV3010" s="37"/>
      <c r="LW3010" s="37"/>
      <c r="LX3010" s="37"/>
      <c r="LY3010" s="37"/>
      <c r="LZ3010" s="37"/>
      <c r="MA3010" s="37"/>
      <c r="MB3010" s="37"/>
      <c r="MC3010" s="37"/>
      <c r="MD3010" s="37"/>
      <c r="ME3010" s="37"/>
      <c r="MF3010" s="37"/>
      <c r="MG3010" s="37"/>
      <c r="MH3010" s="37"/>
      <c r="MI3010" s="37"/>
      <c r="MJ3010" s="37"/>
      <c r="MK3010" s="37"/>
      <c r="ML3010" s="37"/>
      <c r="MM3010" s="37"/>
      <c r="MN3010" s="37"/>
      <c r="MO3010" s="37"/>
      <c r="MP3010" s="37"/>
      <c r="MQ3010" s="37"/>
      <c r="MR3010" s="37"/>
      <c r="MS3010" s="37"/>
      <c r="MT3010" s="37"/>
      <c r="MU3010" s="37"/>
      <c r="MV3010" s="37"/>
      <c r="MW3010" s="37"/>
      <c r="MX3010" s="37"/>
      <c r="MY3010" s="37"/>
      <c r="MZ3010" s="37"/>
      <c r="NA3010" s="37"/>
      <c r="NB3010" s="37"/>
      <c r="NC3010" s="37"/>
      <c r="ND3010" s="37"/>
      <c r="NE3010" s="37"/>
      <c r="NF3010" s="37"/>
      <c r="NG3010" s="37"/>
      <c r="NH3010" s="37"/>
      <c r="NI3010" s="37"/>
      <c r="NJ3010" s="37"/>
      <c r="NK3010" s="37"/>
      <c r="NL3010" s="37"/>
      <c r="NM3010" s="37"/>
      <c r="NN3010" s="37"/>
      <c r="NO3010" s="37"/>
      <c r="NP3010" s="37"/>
      <c r="NQ3010" s="37"/>
      <c r="NR3010" s="37"/>
      <c r="NS3010" s="37"/>
      <c r="NT3010" s="37"/>
      <c r="NU3010" s="37"/>
      <c r="NV3010" s="37"/>
      <c r="NW3010" s="37"/>
      <c r="NX3010" s="37"/>
      <c r="NY3010" s="37"/>
      <c r="NZ3010" s="37"/>
      <c r="OA3010" s="37"/>
      <c r="OB3010" s="37"/>
      <c r="OC3010" s="37"/>
      <c r="OD3010" s="37"/>
      <c r="OE3010" s="37"/>
      <c r="OF3010" s="37"/>
      <c r="OG3010" s="37"/>
      <c r="OH3010" s="37"/>
      <c r="OI3010" s="37"/>
      <c r="OJ3010" s="37"/>
      <c r="OK3010" s="37"/>
      <c r="OL3010" s="37"/>
      <c r="OM3010" s="37"/>
      <c r="ON3010" s="37"/>
      <c r="OO3010" s="37"/>
      <c r="OP3010" s="37"/>
      <c r="OQ3010" s="37"/>
      <c r="OR3010" s="37"/>
      <c r="OS3010" s="37"/>
      <c r="OT3010" s="37"/>
      <c r="OU3010" s="37"/>
      <c r="OV3010" s="37"/>
      <c r="OW3010" s="37"/>
      <c r="OX3010" s="37"/>
      <c r="OY3010" s="37"/>
      <c r="OZ3010" s="37"/>
      <c r="PA3010" s="37"/>
      <c r="PB3010" s="37"/>
      <c r="PC3010" s="37"/>
      <c r="PD3010" s="37"/>
      <c r="PE3010" s="37"/>
      <c r="PF3010" s="37"/>
      <c r="PG3010" s="37"/>
      <c r="PH3010" s="37"/>
      <c r="PI3010" s="37"/>
      <c r="PJ3010" s="37"/>
      <c r="PK3010" s="37"/>
      <c r="PL3010" s="37"/>
      <c r="PM3010" s="37"/>
      <c r="PN3010" s="37"/>
      <c r="PO3010" s="37"/>
      <c r="PP3010" s="37"/>
      <c r="PQ3010" s="37"/>
      <c r="PR3010" s="37"/>
      <c r="PS3010" s="37"/>
      <c r="PT3010" s="37"/>
      <c r="PU3010" s="37"/>
      <c r="PV3010" s="37"/>
      <c r="PW3010" s="37"/>
      <c r="PX3010" s="37"/>
      <c r="PY3010" s="37"/>
      <c r="PZ3010" s="37"/>
      <c r="QA3010" s="37"/>
      <c r="QB3010" s="37"/>
      <c r="QC3010" s="37"/>
      <c r="QD3010" s="37"/>
      <c r="QE3010" s="37"/>
      <c r="QF3010" s="37"/>
      <c r="QG3010" s="37"/>
      <c r="QH3010" s="37"/>
      <c r="QI3010" s="37"/>
      <c r="QJ3010" s="37"/>
      <c r="QK3010" s="37"/>
      <c r="QL3010" s="37"/>
      <c r="QM3010" s="37"/>
      <c r="QN3010" s="37"/>
      <c r="QO3010" s="37"/>
      <c r="QP3010" s="37"/>
      <c r="QQ3010" s="37"/>
      <c r="QR3010" s="37"/>
      <c r="QS3010" s="37"/>
      <c r="QT3010" s="37"/>
      <c r="QU3010" s="37"/>
      <c r="QV3010" s="37"/>
      <c r="QW3010" s="37"/>
      <c r="QX3010" s="37"/>
      <c r="QY3010" s="37"/>
      <c r="QZ3010" s="37"/>
      <c r="RA3010" s="37"/>
      <c r="RB3010" s="37"/>
      <c r="RC3010" s="37"/>
      <c r="RD3010" s="37"/>
      <c r="RE3010" s="37"/>
      <c r="RF3010" s="37"/>
      <c r="RG3010" s="37"/>
      <c r="RH3010" s="37"/>
      <c r="RI3010" s="37"/>
      <c r="RJ3010" s="37"/>
      <c r="RK3010" s="37"/>
      <c r="RL3010" s="37"/>
      <c r="RM3010" s="37"/>
      <c r="RN3010" s="37"/>
      <c r="RO3010" s="37"/>
      <c r="RP3010" s="37"/>
      <c r="RQ3010" s="37"/>
      <c r="RR3010" s="37"/>
      <c r="RS3010" s="37"/>
      <c r="RT3010" s="37"/>
      <c r="RU3010" s="37"/>
      <c r="RV3010" s="37"/>
      <c r="RW3010" s="37"/>
      <c r="RX3010" s="37"/>
      <c r="RY3010" s="37"/>
      <c r="RZ3010" s="37"/>
      <c r="SA3010" s="37"/>
      <c r="SB3010" s="37"/>
      <c r="SC3010" s="37"/>
      <c r="SD3010" s="37"/>
      <c r="SE3010" s="37"/>
      <c r="SF3010" s="37"/>
    </row>
    <row r="3011" spans="1:500">
      <c r="A3011" s="37"/>
      <c r="B3011" s="37"/>
      <c r="C3011" s="37"/>
      <c r="D3011" s="37"/>
      <c r="E3011" s="37"/>
      <c r="F3011" s="37"/>
      <c r="G3011" s="37"/>
      <c r="H3011" s="37"/>
      <c r="I3011" s="37"/>
      <c r="J3011" s="37"/>
      <c r="K3011" s="37"/>
      <c r="L3011" s="37"/>
      <c r="M3011" s="37"/>
      <c r="N3011" s="37"/>
      <c r="O3011" s="37"/>
      <c r="P3011" s="37"/>
      <c r="Q3011" s="37"/>
      <c r="R3011" s="37"/>
      <c r="S3011" s="37"/>
      <c r="T3011" s="37"/>
      <c r="U3011" s="37"/>
      <c r="V3011" s="37"/>
      <c r="W3011" s="37"/>
      <c r="X3011" s="37"/>
      <c r="Y3011" s="37"/>
      <c r="Z3011" s="37"/>
      <c r="AA3011" s="37"/>
      <c r="AB3011" s="37"/>
      <c r="AC3011" s="37"/>
      <c r="AD3011" s="37"/>
      <c r="AE3011" s="37"/>
      <c r="AF3011" s="37"/>
      <c r="AG3011" s="37"/>
      <c r="AH3011" s="37"/>
      <c r="AI3011" s="37"/>
      <c r="AJ3011" s="37"/>
      <c r="AK3011" s="37"/>
      <c r="AL3011" s="37"/>
      <c r="AM3011" s="37"/>
      <c r="AN3011" s="37"/>
      <c r="AO3011" s="37"/>
      <c r="AP3011" s="37"/>
      <c r="AQ3011" s="37"/>
      <c r="AR3011" s="37"/>
      <c r="AS3011" s="37"/>
      <c r="AT3011" s="37"/>
      <c r="AU3011" s="37"/>
      <c r="AV3011" s="37"/>
      <c r="AW3011" s="37"/>
      <c r="AX3011" s="37"/>
      <c r="AY3011" s="37"/>
      <c r="AZ3011" s="37"/>
      <c r="BA3011" s="37"/>
      <c r="BB3011" s="37"/>
      <c r="BC3011" s="37"/>
      <c r="BD3011" s="37"/>
      <c r="BE3011" s="37"/>
      <c r="BF3011" s="37"/>
      <c r="BG3011" s="37"/>
      <c r="BH3011" s="37"/>
      <c r="BI3011" s="37"/>
      <c r="BJ3011" s="37"/>
      <c r="BK3011" s="37"/>
      <c r="BL3011" s="37"/>
      <c r="BM3011" s="37"/>
      <c r="BN3011" s="37"/>
      <c r="BO3011" s="37"/>
      <c r="BP3011" s="37"/>
      <c r="BQ3011" s="37"/>
      <c r="BR3011" s="37"/>
      <c r="BS3011" s="37"/>
      <c r="BT3011" s="37"/>
      <c r="BU3011" s="37"/>
      <c r="BV3011" s="37"/>
      <c r="BW3011" s="37"/>
      <c r="BX3011" s="37"/>
      <c r="BY3011" s="37"/>
      <c r="BZ3011" s="37"/>
      <c r="CA3011" s="37"/>
      <c r="CB3011" s="37"/>
      <c r="CC3011" s="37"/>
      <c r="CD3011" s="37"/>
      <c r="CE3011" s="37"/>
      <c r="CF3011" s="37"/>
      <c r="CG3011" s="37"/>
      <c r="CH3011" s="37"/>
      <c r="CI3011" s="37"/>
      <c r="CJ3011" s="37"/>
      <c r="CK3011" s="37"/>
      <c r="CL3011" s="37"/>
      <c r="CM3011" s="37"/>
      <c r="CN3011" s="37"/>
      <c r="CO3011" s="37"/>
      <c r="CP3011" s="37"/>
      <c r="CQ3011" s="37"/>
      <c r="CR3011" s="37"/>
      <c r="CS3011" s="37"/>
      <c r="CT3011" s="37"/>
      <c r="CU3011" s="37"/>
      <c r="CV3011" s="37"/>
      <c r="CW3011" s="37"/>
      <c r="CX3011" s="37"/>
      <c r="CY3011" s="37"/>
      <c r="CZ3011" s="37"/>
      <c r="DA3011" s="37"/>
      <c r="DB3011" s="37"/>
      <c r="DC3011" s="37"/>
      <c r="DD3011" s="37"/>
      <c r="DE3011" s="37"/>
      <c r="DF3011" s="37"/>
      <c r="DG3011" s="37"/>
      <c r="DH3011" s="37"/>
      <c r="DI3011" s="37"/>
      <c r="DJ3011" s="37"/>
      <c r="DK3011" s="37"/>
      <c r="DL3011" s="37"/>
      <c r="DM3011" s="37"/>
      <c r="DN3011" s="37"/>
      <c r="DO3011" s="37"/>
      <c r="DP3011" s="37"/>
      <c r="DQ3011" s="37"/>
      <c r="DR3011" s="37"/>
      <c r="DS3011" s="37"/>
      <c r="DT3011" s="37"/>
      <c r="DU3011" s="37"/>
      <c r="DV3011" s="37"/>
      <c r="DW3011" s="37"/>
      <c r="DX3011" s="37"/>
      <c r="DY3011" s="37"/>
      <c r="DZ3011" s="37"/>
      <c r="EA3011" s="37"/>
      <c r="EB3011" s="37"/>
      <c r="EC3011" s="37"/>
      <c r="ED3011" s="37"/>
      <c r="EE3011" s="37"/>
      <c r="EF3011" s="37"/>
      <c r="EG3011" s="37"/>
      <c r="EH3011" s="37"/>
      <c r="EI3011" s="37"/>
      <c r="EJ3011" s="37"/>
      <c r="EK3011" s="37"/>
      <c r="EL3011" s="37"/>
      <c r="EM3011" s="37"/>
      <c r="EN3011" s="37"/>
      <c r="EO3011" s="37"/>
      <c r="EP3011" s="37"/>
      <c r="EQ3011" s="37"/>
      <c r="ER3011" s="37"/>
      <c r="ES3011" s="37"/>
      <c r="ET3011" s="37"/>
      <c r="EU3011" s="37"/>
      <c r="EV3011" s="37"/>
      <c r="EW3011" s="37"/>
      <c r="EX3011" s="37"/>
      <c r="EY3011" s="37"/>
      <c r="EZ3011" s="37"/>
      <c r="FA3011" s="37"/>
      <c r="FB3011" s="37"/>
      <c r="FC3011" s="37"/>
      <c r="FD3011" s="37"/>
      <c r="FE3011" s="37"/>
      <c r="FF3011" s="37"/>
      <c r="FG3011" s="37"/>
      <c r="FH3011" s="37"/>
      <c r="FI3011" s="37"/>
      <c r="FJ3011" s="37"/>
      <c r="FK3011" s="37"/>
      <c r="FL3011" s="37"/>
      <c r="FM3011" s="37"/>
      <c r="FN3011" s="37"/>
      <c r="FO3011" s="37"/>
      <c r="FP3011" s="37"/>
      <c r="FQ3011" s="37"/>
      <c r="FR3011" s="37"/>
      <c r="FS3011" s="37"/>
      <c r="FT3011" s="37"/>
      <c r="FU3011" s="37"/>
      <c r="FV3011" s="37"/>
      <c r="FW3011" s="37"/>
      <c r="FX3011" s="37"/>
      <c r="FY3011" s="37"/>
      <c r="FZ3011" s="37"/>
      <c r="GA3011" s="37"/>
      <c r="GB3011" s="37"/>
      <c r="GC3011" s="37"/>
      <c r="GD3011" s="37"/>
      <c r="GE3011" s="37"/>
      <c r="GF3011" s="37"/>
      <c r="GG3011" s="37"/>
      <c r="GH3011" s="37"/>
      <c r="GI3011" s="37"/>
      <c r="GJ3011" s="37"/>
      <c r="GK3011" s="37"/>
      <c r="GL3011" s="37"/>
      <c r="GM3011" s="37"/>
      <c r="GN3011" s="37"/>
      <c r="GO3011" s="37"/>
      <c r="GP3011" s="37"/>
      <c r="GQ3011" s="37"/>
      <c r="GR3011" s="37"/>
      <c r="GS3011" s="37"/>
      <c r="GT3011" s="37"/>
      <c r="GU3011" s="37"/>
      <c r="GV3011" s="37"/>
      <c r="GW3011" s="37"/>
      <c r="GX3011" s="37"/>
      <c r="GY3011" s="37"/>
      <c r="GZ3011" s="37"/>
      <c r="HA3011" s="37"/>
      <c r="HB3011" s="37"/>
      <c r="HC3011" s="37"/>
      <c r="HD3011" s="37"/>
      <c r="HE3011" s="37"/>
      <c r="HF3011" s="37"/>
      <c r="HG3011" s="37"/>
      <c r="HH3011" s="37"/>
      <c r="HI3011" s="37"/>
      <c r="HJ3011" s="37"/>
      <c r="HK3011" s="37"/>
      <c r="HL3011" s="37"/>
      <c r="HM3011" s="37"/>
      <c r="HN3011" s="37"/>
      <c r="HO3011" s="37"/>
      <c r="HP3011" s="37"/>
      <c r="HQ3011" s="37"/>
      <c r="HR3011" s="37"/>
      <c r="HS3011" s="37"/>
      <c r="HT3011" s="37"/>
      <c r="HU3011" s="37"/>
      <c r="HV3011" s="37"/>
      <c r="HW3011" s="37"/>
      <c r="HX3011" s="37"/>
      <c r="HY3011" s="37"/>
      <c r="HZ3011" s="37"/>
      <c r="IA3011" s="37"/>
      <c r="IB3011" s="37"/>
      <c r="IC3011" s="37"/>
      <c r="ID3011" s="37"/>
      <c r="IE3011" s="37"/>
      <c r="IF3011" s="37"/>
      <c r="IG3011" s="37"/>
      <c r="IH3011" s="37"/>
      <c r="II3011" s="37"/>
      <c r="IJ3011" s="37"/>
      <c r="IK3011" s="37"/>
      <c r="IL3011" s="37"/>
      <c r="IM3011" s="37"/>
      <c r="IN3011" s="37"/>
      <c r="IO3011" s="37"/>
      <c r="IP3011" s="37"/>
      <c r="IQ3011" s="37"/>
      <c r="IR3011" s="37"/>
      <c r="IS3011" s="37"/>
      <c r="IT3011" s="37"/>
      <c r="IU3011" s="37"/>
      <c r="IV3011" s="37"/>
      <c r="IW3011" s="37"/>
      <c r="IX3011" s="37"/>
      <c r="IY3011" s="37"/>
      <c r="IZ3011" s="37"/>
      <c r="JA3011" s="37"/>
      <c r="JB3011" s="37"/>
      <c r="JC3011" s="37"/>
      <c r="JD3011" s="37"/>
      <c r="JE3011" s="37"/>
      <c r="JF3011" s="37"/>
      <c r="JG3011" s="37"/>
      <c r="JH3011" s="37"/>
      <c r="JI3011" s="37"/>
      <c r="JJ3011" s="37"/>
      <c r="JK3011" s="37"/>
      <c r="JL3011" s="37"/>
      <c r="JM3011" s="37"/>
      <c r="JN3011" s="37"/>
      <c r="JO3011" s="37"/>
      <c r="JP3011" s="37"/>
      <c r="JQ3011" s="37"/>
      <c r="JR3011" s="37"/>
      <c r="JS3011" s="37"/>
      <c r="JT3011" s="37"/>
      <c r="JU3011" s="37"/>
      <c r="JV3011" s="37"/>
      <c r="JW3011" s="37"/>
      <c r="JX3011" s="37"/>
      <c r="JY3011" s="37"/>
      <c r="JZ3011" s="37"/>
      <c r="KA3011" s="37"/>
      <c r="KB3011" s="37"/>
      <c r="KC3011" s="37"/>
      <c r="KD3011" s="37"/>
      <c r="KE3011" s="37"/>
      <c r="KF3011" s="37"/>
      <c r="KG3011" s="37"/>
      <c r="KH3011" s="37"/>
      <c r="KI3011" s="37"/>
      <c r="KJ3011" s="37"/>
      <c r="KK3011" s="37"/>
      <c r="KL3011" s="37"/>
      <c r="KM3011" s="37"/>
      <c r="KN3011" s="37"/>
      <c r="KO3011" s="37"/>
      <c r="KP3011" s="37"/>
      <c r="KQ3011" s="37"/>
      <c r="KR3011" s="37"/>
      <c r="KS3011" s="37"/>
      <c r="KT3011" s="37"/>
      <c r="KU3011" s="37"/>
      <c r="KV3011" s="37"/>
      <c r="KW3011" s="37"/>
      <c r="KX3011" s="37"/>
      <c r="KY3011" s="37"/>
      <c r="KZ3011" s="37"/>
      <c r="LA3011" s="37"/>
      <c r="LB3011" s="37"/>
      <c r="LC3011" s="37"/>
      <c r="LD3011" s="37"/>
      <c r="LE3011" s="37"/>
      <c r="LF3011" s="37"/>
      <c r="LG3011" s="37"/>
      <c r="LH3011" s="37"/>
      <c r="LI3011" s="37"/>
      <c r="LJ3011" s="37"/>
      <c r="LK3011" s="37"/>
      <c r="LL3011" s="37"/>
      <c r="LM3011" s="37"/>
      <c r="LN3011" s="37"/>
      <c r="LO3011" s="37"/>
      <c r="LP3011" s="37"/>
      <c r="LQ3011" s="37"/>
      <c r="LR3011" s="37"/>
      <c r="LS3011" s="37"/>
      <c r="LT3011" s="37"/>
      <c r="LU3011" s="37"/>
      <c r="LV3011" s="37"/>
      <c r="LW3011" s="37"/>
      <c r="LX3011" s="37"/>
      <c r="LY3011" s="37"/>
      <c r="LZ3011" s="37"/>
      <c r="MA3011" s="37"/>
      <c r="MB3011" s="37"/>
      <c r="MC3011" s="37"/>
      <c r="MD3011" s="37"/>
      <c r="ME3011" s="37"/>
      <c r="MF3011" s="37"/>
      <c r="MG3011" s="37"/>
      <c r="MH3011" s="37"/>
      <c r="MI3011" s="37"/>
      <c r="MJ3011" s="37"/>
      <c r="MK3011" s="37"/>
      <c r="ML3011" s="37"/>
      <c r="MM3011" s="37"/>
      <c r="MN3011" s="37"/>
      <c r="MO3011" s="37"/>
      <c r="MP3011" s="37"/>
      <c r="MQ3011" s="37"/>
      <c r="MR3011" s="37"/>
      <c r="MS3011" s="37"/>
      <c r="MT3011" s="37"/>
      <c r="MU3011" s="37"/>
      <c r="MV3011" s="37"/>
      <c r="MW3011" s="37"/>
      <c r="MX3011" s="37"/>
      <c r="MY3011" s="37"/>
      <c r="MZ3011" s="37"/>
      <c r="NA3011" s="37"/>
      <c r="NB3011" s="37"/>
      <c r="NC3011" s="37"/>
      <c r="ND3011" s="37"/>
      <c r="NE3011" s="37"/>
      <c r="NF3011" s="37"/>
      <c r="NG3011" s="37"/>
      <c r="NH3011" s="37"/>
      <c r="NI3011" s="37"/>
      <c r="NJ3011" s="37"/>
      <c r="NK3011" s="37"/>
      <c r="NL3011" s="37"/>
      <c r="NM3011" s="37"/>
      <c r="NN3011" s="37"/>
      <c r="NO3011" s="37"/>
      <c r="NP3011" s="37"/>
      <c r="NQ3011" s="37"/>
      <c r="NR3011" s="37"/>
      <c r="NS3011" s="37"/>
      <c r="NT3011" s="37"/>
      <c r="NU3011" s="37"/>
      <c r="NV3011" s="37"/>
      <c r="NW3011" s="37"/>
      <c r="NX3011" s="37"/>
      <c r="NY3011" s="37"/>
      <c r="NZ3011" s="37"/>
      <c r="OA3011" s="37"/>
      <c r="OB3011" s="37"/>
      <c r="OC3011" s="37"/>
      <c r="OD3011" s="37"/>
      <c r="OE3011" s="37"/>
      <c r="OF3011" s="37"/>
      <c r="OG3011" s="37"/>
      <c r="OH3011" s="37"/>
      <c r="OI3011" s="37"/>
      <c r="OJ3011" s="37"/>
      <c r="OK3011" s="37"/>
      <c r="OL3011" s="37"/>
      <c r="OM3011" s="37"/>
      <c r="ON3011" s="37"/>
      <c r="OO3011" s="37"/>
      <c r="OP3011" s="37"/>
      <c r="OQ3011" s="37"/>
      <c r="OR3011" s="37"/>
      <c r="OS3011" s="37"/>
      <c r="OT3011" s="37"/>
      <c r="OU3011" s="37"/>
      <c r="OV3011" s="37"/>
      <c r="OW3011" s="37"/>
      <c r="OX3011" s="37"/>
      <c r="OY3011" s="37"/>
      <c r="OZ3011" s="37"/>
      <c r="PA3011" s="37"/>
      <c r="PB3011" s="37"/>
      <c r="PC3011" s="37"/>
      <c r="PD3011" s="37"/>
      <c r="PE3011" s="37"/>
      <c r="PF3011" s="37"/>
      <c r="PG3011" s="37"/>
      <c r="PH3011" s="37"/>
      <c r="PI3011" s="37"/>
      <c r="PJ3011" s="37"/>
      <c r="PK3011" s="37"/>
      <c r="PL3011" s="37"/>
      <c r="PM3011" s="37"/>
      <c r="PN3011" s="37"/>
      <c r="PO3011" s="37"/>
      <c r="PP3011" s="37"/>
      <c r="PQ3011" s="37"/>
      <c r="PR3011" s="37"/>
      <c r="PS3011" s="37"/>
      <c r="PT3011" s="37"/>
      <c r="PU3011" s="37"/>
      <c r="PV3011" s="37"/>
      <c r="PW3011" s="37"/>
      <c r="PX3011" s="37"/>
      <c r="PY3011" s="37"/>
      <c r="PZ3011" s="37"/>
      <c r="QA3011" s="37"/>
      <c r="QB3011" s="37"/>
      <c r="QC3011" s="37"/>
      <c r="QD3011" s="37"/>
      <c r="QE3011" s="37"/>
      <c r="QF3011" s="37"/>
      <c r="QG3011" s="37"/>
      <c r="QH3011" s="37"/>
      <c r="QI3011" s="37"/>
      <c r="QJ3011" s="37"/>
      <c r="QK3011" s="37"/>
      <c r="QL3011" s="37"/>
      <c r="QM3011" s="37"/>
      <c r="QN3011" s="37"/>
      <c r="QO3011" s="37"/>
      <c r="QP3011" s="37"/>
      <c r="QQ3011" s="37"/>
      <c r="QR3011" s="37"/>
      <c r="QS3011" s="37"/>
      <c r="QT3011" s="37"/>
      <c r="QU3011" s="37"/>
      <c r="QV3011" s="37"/>
      <c r="QW3011" s="37"/>
      <c r="QX3011" s="37"/>
      <c r="QY3011" s="37"/>
      <c r="QZ3011" s="37"/>
      <c r="RA3011" s="37"/>
      <c r="RB3011" s="37"/>
      <c r="RC3011" s="37"/>
      <c r="RD3011" s="37"/>
      <c r="RE3011" s="37"/>
      <c r="RF3011" s="37"/>
      <c r="RG3011" s="37"/>
      <c r="RH3011" s="37"/>
      <c r="RI3011" s="37"/>
      <c r="RJ3011" s="37"/>
      <c r="RK3011" s="37"/>
      <c r="RL3011" s="37"/>
      <c r="RM3011" s="37"/>
      <c r="RN3011" s="37"/>
      <c r="RO3011" s="37"/>
      <c r="RP3011" s="37"/>
      <c r="RQ3011" s="37"/>
      <c r="RR3011" s="37"/>
      <c r="RS3011" s="37"/>
      <c r="RT3011" s="37"/>
      <c r="RU3011" s="37"/>
      <c r="RV3011" s="37"/>
      <c r="RW3011" s="37"/>
      <c r="RX3011" s="37"/>
      <c r="RY3011" s="37"/>
      <c r="RZ3011" s="37"/>
      <c r="SA3011" s="37"/>
      <c r="SB3011" s="37"/>
      <c r="SC3011" s="37"/>
      <c r="SD3011" s="37"/>
      <c r="SE3011" s="37"/>
      <c r="SF3011" s="37"/>
    </row>
    <row r="3012" spans="1:500">
      <c r="A3012" s="37"/>
      <c r="B3012" s="37"/>
      <c r="C3012" s="37"/>
      <c r="D3012" s="37"/>
      <c r="E3012" s="37"/>
      <c r="F3012" s="37"/>
      <c r="G3012" s="37"/>
      <c r="H3012" s="37"/>
      <c r="I3012" s="37"/>
      <c r="J3012" s="37"/>
      <c r="K3012" s="37"/>
      <c r="L3012" s="37"/>
      <c r="M3012" s="37"/>
      <c r="N3012" s="37"/>
      <c r="O3012" s="37"/>
      <c r="P3012" s="37"/>
      <c r="Q3012" s="37"/>
      <c r="R3012" s="37"/>
      <c r="S3012" s="37"/>
      <c r="T3012" s="37"/>
      <c r="U3012" s="37"/>
      <c r="V3012" s="37"/>
      <c r="W3012" s="37"/>
      <c r="X3012" s="37"/>
      <c r="Y3012" s="37"/>
      <c r="Z3012" s="37"/>
      <c r="AA3012" s="37"/>
      <c r="AB3012" s="37"/>
      <c r="AC3012" s="37"/>
      <c r="AD3012" s="37"/>
      <c r="AE3012" s="37"/>
      <c r="AF3012" s="37"/>
      <c r="AG3012" s="37"/>
      <c r="AH3012" s="37"/>
      <c r="AI3012" s="37"/>
      <c r="AJ3012" s="37"/>
      <c r="AK3012" s="37"/>
      <c r="AL3012" s="37"/>
      <c r="AM3012" s="37"/>
      <c r="AN3012" s="37"/>
      <c r="AO3012" s="37"/>
      <c r="AP3012" s="37"/>
      <c r="AQ3012" s="37"/>
      <c r="AR3012" s="37"/>
      <c r="AS3012" s="37"/>
      <c r="AT3012" s="37"/>
      <c r="AU3012" s="37"/>
      <c r="AV3012" s="37"/>
      <c r="AW3012" s="37"/>
      <c r="AX3012" s="37"/>
      <c r="AY3012" s="37"/>
      <c r="AZ3012" s="37"/>
      <c r="BA3012" s="37"/>
      <c r="BB3012" s="37"/>
      <c r="BC3012" s="37"/>
      <c r="BD3012" s="37"/>
      <c r="BE3012" s="37"/>
      <c r="BF3012" s="37"/>
      <c r="BG3012" s="37"/>
      <c r="BH3012" s="37"/>
      <c r="BI3012" s="37"/>
      <c r="BJ3012" s="37"/>
      <c r="BK3012" s="37"/>
      <c r="BL3012" s="37"/>
      <c r="BM3012" s="37"/>
      <c r="BN3012" s="37"/>
      <c r="BO3012" s="37"/>
      <c r="BP3012" s="37"/>
      <c r="BQ3012" s="37"/>
      <c r="BR3012" s="37"/>
      <c r="BS3012" s="37"/>
      <c r="BT3012" s="37"/>
      <c r="BU3012" s="37"/>
      <c r="BV3012" s="37"/>
      <c r="BW3012" s="37"/>
      <c r="BX3012" s="37"/>
      <c r="BY3012" s="37"/>
      <c r="BZ3012" s="37"/>
      <c r="CA3012" s="37"/>
      <c r="CB3012" s="37"/>
      <c r="CC3012" s="37"/>
      <c r="CD3012" s="37"/>
      <c r="CE3012" s="37"/>
      <c r="CF3012" s="37"/>
      <c r="CG3012" s="37"/>
      <c r="CH3012" s="37"/>
      <c r="CI3012" s="37"/>
      <c r="CJ3012" s="37"/>
      <c r="CK3012" s="37"/>
      <c r="CL3012" s="37"/>
      <c r="CM3012" s="37"/>
      <c r="CN3012" s="37"/>
      <c r="CO3012" s="37"/>
      <c r="CP3012" s="37"/>
      <c r="CQ3012" s="37"/>
      <c r="CR3012" s="37"/>
      <c r="CS3012" s="37"/>
      <c r="CT3012" s="37"/>
      <c r="CU3012" s="37"/>
      <c r="CV3012" s="37"/>
      <c r="CW3012" s="37"/>
      <c r="CX3012" s="37"/>
      <c r="CY3012" s="37"/>
      <c r="CZ3012" s="37"/>
      <c r="DA3012" s="37"/>
      <c r="DB3012" s="37"/>
      <c r="DC3012" s="37"/>
      <c r="DD3012" s="37"/>
      <c r="DE3012" s="37"/>
      <c r="DF3012" s="37"/>
      <c r="DG3012" s="37"/>
      <c r="DH3012" s="37"/>
      <c r="DI3012" s="37"/>
      <c r="DJ3012" s="37"/>
      <c r="DK3012" s="37"/>
      <c r="DL3012" s="37"/>
      <c r="DM3012" s="37"/>
      <c r="DN3012" s="37"/>
      <c r="DO3012" s="37"/>
      <c r="DP3012" s="37"/>
      <c r="DQ3012" s="37"/>
      <c r="DR3012" s="37"/>
      <c r="DS3012" s="37"/>
      <c r="DT3012" s="37"/>
      <c r="DU3012" s="37"/>
      <c r="DV3012" s="37"/>
      <c r="DW3012" s="37"/>
      <c r="DX3012" s="37"/>
      <c r="DY3012" s="37"/>
      <c r="DZ3012" s="37"/>
      <c r="EA3012" s="37"/>
      <c r="EB3012" s="37"/>
      <c r="EC3012" s="37"/>
      <c r="ED3012" s="37"/>
      <c r="EE3012" s="37"/>
      <c r="EF3012" s="37"/>
      <c r="EG3012" s="37"/>
      <c r="EH3012" s="37"/>
      <c r="EI3012" s="37"/>
      <c r="EJ3012" s="37"/>
      <c r="EK3012" s="37"/>
      <c r="EL3012" s="37"/>
      <c r="EM3012" s="37"/>
      <c r="EN3012" s="37"/>
      <c r="EO3012" s="37"/>
      <c r="EP3012" s="37"/>
      <c r="EQ3012" s="37"/>
      <c r="ER3012" s="37"/>
      <c r="ES3012" s="37"/>
      <c r="ET3012" s="37"/>
      <c r="EU3012" s="37"/>
      <c r="EV3012" s="37"/>
      <c r="EW3012" s="37"/>
      <c r="EX3012" s="37"/>
      <c r="EY3012" s="37"/>
      <c r="EZ3012" s="37"/>
      <c r="FA3012" s="37"/>
      <c r="FB3012" s="37"/>
      <c r="FC3012" s="37"/>
      <c r="FD3012" s="37"/>
      <c r="FE3012" s="37"/>
      <c r="FF3012" s="37"/>
      <c r="FG3012" s="37"/>
      <c r="FH3012" s="37"/>
      <c r="FI3012" s="37"/>
      <c r="FJ3012" s="37"/>
      <c r="FK3012" s="37"/>
      <c r="FL3012" s="37"/>
      <c r="FM3012" s="37"/>
      <c r="FN3012" s="37"/>
      <c r="FO3012" s="37"/>
      <c r="FP3012" s="37"/>
      <c r="FQ3012" s="37"/>
      <c r="FR3012" s="37"/>
      <c r="FS3012" s="37"/>
      <c r="FT3012" s="37"/>
      <c r="FU3012" s="37"/>
      <c r="FV3012" s="37"/>
      <c r="FW3012" s="37"/>
      <c r="FX3012" s="37"/>
      <c r="FY3012" s="37"/>
      <c r="FZ3012" s="37"/>
      <c r="GA3012" s="37"/>
      <c r="GB3012" s="37"/>
      <c r="GC3012" s="37"/>
      <c r="GD3012" s="37"/>
      <c r="GE3012" s="37"/>
      <c r="GF3012" s="37"/>
      <c r="GG3012" s="37"/>
      <c r="GH3012" s="37"/>
      <c r="GI3012" s="37"/>
      <c r="GJ3012" s="37"/>
      <c r="GK3012" s="37"/>
      <c r="GL3012" s="37"/>
      <c r="GM3012" s="37"/>
      <c r="GN3012" s="37"/>
      <c r="GO3012" s="37"/>
      <c r="GP3012" s="37"/>
      <c r="GQ3012" s="37"/>
      <c r="GR3012" s="37"/>
      <c r="GS3012" s="37"/>
      <c r="GT3012" s="37"/>
      <c r="GU3012" s="37"/>
      <c r="GV3012" s="37"/>
      <c r="GW3012" s="37"/>
      <c r="GX3012" s="37"/>
      <c r="GY3012" s="37"/>
      <c r="GZ3012" s="37"/>
      <c r="HA3012" s="37"/>
      <c r="HB3012" s="37"/>
      <c r="HC3012" s="37"/>
      <c r="HD3012" s="37"/>
      <c r="HE3012" s="37"/>
      <c r="HF3012" s="37"/>
      <c r="HG3012" s="37"/>
      <c r="HH3012" s="37"/>
      <c r="HI3012" s="37"/>
      <c r="HJ3012" s="37"/>
      <c r="HK3012" s="37"/>
      <c r="HL3012" s="37"/>
      <c r="HM3012" s="37"/>
      <c r="HN3012" s="37"/>
      <c r="HO3012" s="37"/>
      <c r="HP3012" s="37"/>
      <c r="HQ3012" s="37"/>
      <c r="HR3012" s="37"/>
      <c r="HS3012" s="37"/>
      <c r="HT3012" s="37"/>
      <c r="HU3012" s="37"/>
      <c r="HV3012" s="37"/>
      <c r="HW3012" s="37"/>
      <c r="HX3012" s="37"/>
      <c r="HY3012" s="37"/>
      <c r="HZ3012" s="37"/>
      <c r="IA3012" s="37"/>
      <c r="IB3012" s="37"/>
      <c r="IC3012" s="37"/>
      <c r="ID3012" s="37"/>
      <c r="IE3012" s="37"/>
      <c r="IF3012" s="37"/>
      <c r="IG3012" s="37"/>
      <c r="IH3012" s="37"/>
      <c r="II3012" s="37"/>
      <c r="IJ3012" s="37"/>
      <c r="IK3012" s="37"/>
      <c r="IL3012" s="37"/>
      <c r="IM3012" s="37"/>
      <c r="IN3012" s="37"/>
      <c r="IO3012" s="37"/>
      <c r="IP3012" s="37"/>
      <c r="IQ3012" s="37"/>
      <c r="IR3012" s="37"/>
      <c r="IS3012" s="37"/>
      <c r="IT3012" s="37"/>
      <c r="IU3012" s="37"/>
      <c r="IV3012" s="37"/>
      <c r="IW3012" s="37"/>
      <c r="IX3012" s="37"/>
      <c r="IY3012" s="37"/>
      <c r="IZ3012" s="37"/>
      <c r="JA3012" s="37"/>
      <c r="JB3012" s="37"/>
      <c r="JC3012" s="37"/>
      <c r="JD3012" s="37"/>
      <c r="JE3012" s="37"/>
      <c r="JF3012" s="37"/>
      <c r="JG3012" s="37"/>
      <c r="JH3012" s="37"/>
      <c r="JI3012" s="37"/>
      <c r="JJ3012" s="37"/>
      <c r="JK3012" s="37"/>
      <c r="JL3012" s="37"/>
      <c r="JM3012" s="37"/>
      <c r="JN3012" s="37"/>
      <c r="JO3012" s="37"/>
      <c r="JP3012" s="37"/>
      <c r="JQ3012" s="37"/>
      <c r="JR3012" s="37"/>
      <c r="JS3012" s="37"/>
      <c r="JT3012" s="37"/>
      <c r="JU3012" s="37"/>
      <c r="JV3012" s="37"/>
      <c r="JW3012" s="37"/>
      <c r="JX3012" s="37"/>
      <c r="JY3012" s="37"/>
      <c r="JZ3012" s="37"/>
      <c r="KA3012" s="37"/>
      <c r="KB3012" s="37"/>
      <c r="KC3012" s="37"/>
      <c r="KD3012" s="37"/>
      <c r="KE3012" s="37"/>
      <c r="KF3012" s="37"/>
      <c r="KG3012" s="37"/>
      <c r="KH3012" s="37"/>
      <c r="KI3012" s="37"/>
      <c r="KJ3012" s="37"/>
      <c r="KK3012" s="37"/>
      <c r="KL3012" s="37"/>
      <c r="KM3012" s="37"/>
      <c r="KN3012" s="37"/>
      <c r="KO3012" s="37"/>
      <c r="KP3012" s="37"/>
      <c r="KQ3012" s="37"/>
      <c r="KR3012" s="37"/>
      <c r="KS3012" s="37"/>
      <c r="KT3012" s="37"/>
      <c r="KU3012" s="37"/>
      <c r="KV3012" s="37"/>
      <c r="KW3012" s="37"/>
      <c r="KX3012" s="37"/>
      <c r="KY3012" s="37"/>
      <c r="KZ3012" s="37"/>
      <c r="LA3012" s="37"/>
      <c r="LB3012" s="37"/>
      <c r="LC3012" s="37"/>
      <c r="LD3012" s="37"/>
      <c r="LE3012" s="37"/>
      <c r="LF3012" s="37"/>
      <c r="LG3012" s="37"/>
      <c r="LH3012" s="37"/>
      <c r="LI3012" s="37"/>
      <c r="LJ3012" s="37"/>
      <c r="LK3012" s="37"/>
      <c r="LL3012" s="37"/>
      <c r="LM3012" s="37"/>
      <c r="LN3012" s="37"/>
      <c r="LO3012" s="37"/>
      <c r="LP3012" s="37"/>
      <c r="LQ3012" s="37"/>
      <c r="LR3012" s="37"/>
      <c r="LS3012" s="37"/>
      <c r="LT3012" s="37"/>
      <c r="LU3012" s="37"/>
      <c r="LV3012" s="37"/>
      <c r="LW3012" s="37"/>
      <c r="LX3012" s="37"/>
      <c r="LY3012" s="37"/>
      <c r="LZ3012" s="37"/>
      <c r="MA3012" s="37"/>
      <c r="MB3012" s="37"/>
      <c r="MC3012" s="37"/>
      <c r="MD3012" s="37"/>
      <c r="ME3012" s="37"/>
      <c r="MF3012" s="37"/>
      <c r="MG3012" s="37"/>
      <c r="MH3012" s="37"/>
      <c r="MI3012" s="37"/>
      <c r="MJ3012" s="37"/>
      <c r="MK3012" s="37"/>
      <c r="ML3012" s="37"/>
      <c r="MM3012" s="37"/>
      <c r="MN3012" s="37"/>
      <c r="MO3012" s="37"/>
      <c r="MP3012" s="37"/>
      <c r="MQ3012" s="37"/>
      <c r="MR3012" s="37"/>
      <c r="MS3012" s="37"/>
      <c r="MT3012" s="37"/>
      <c r="MU3012" s="37"/>
      <c r="MV3012" s="37"/>
      <c r="MW3012" s="37"/>
      <c r="MX3012" s="37"/>
      <c r="MY3012" s="37"/>
      <c r="MZ3012" s="37"/>
      <c r="NA3012" s="37"/>
      <c r="NB3012" s="37"/>
      <c r="NC3012" s="37"/>
      <c r="ND3012" s="37"/>
      <c r="NE3012" s="37"/>
      <c r="NF3012" s="37"/>
      <c r="NG3012" s="37"/>
      <c r="NH3012" s="37"/>
      <c r="NI3012" s="37"/>
      <c r="NJ3012" s="37"/>
      <c r="NK3012" s="37"/>
      <c r="NL3012" s="37"/>
      <c r="NM3012" s="37"/>
      <c r="NN3012" s="37"/>
      <c r="NO3012" s="37"/>
      <c r="NP3012" s="37"/>
      <c r="NQ3012" s="37"/>
      <c r="NR3012" s="37"/>
      <c r="NS3012" s="37"/>
      <c r="NT3012" s="37"/>
      <c r="NU3012" s="37"/>
      <c r="NV3012" s="37"/>
      <c r="NW3012" s="37"/>
      <c r="NX3012" s="37"/>
      <c r="NY3012" s="37"/>
      <c r="NZ3012" s="37"/>
      <c r="OA3012" s="37"/>
      <c r="OB3012" s="37"/>
      <c r="OC3012" s="37"/>
      <c r="OD3012" s="37"/>
      <c r="OE3012" s="37"/>
      <c r="OF3012" s="37"/>
      <c r="OG3012" s="37"/>
      <c r="OH3012" s="37"/>
      <c r="OI3012" s="37"/>
      <c r="OJ3012" s="37"/>
      <c r="OK3012" s="37"/>
      <c r="OL3012" s="37"/>
      <c r="OM3012" s="37"/>
      <c r="ON3012" s="37"/>
      <c r="OO3012" s="37"/>
      <c r="OP3012" s="37"/>
      <c r="OQ3012" s="37"/>
      <c r="OR3012" s="37"/>
      <c r="OS3012" s="37"/>
      <c r="OT3012" s="37"/>
      <c r="OU3012" s="37"/>
      <c r="OV3012" s="37"/>
      <c r="OW3012" s="37"/>
      <c r="OX3012" s="37"/>
      <c r="OY3012" s="37"/>
      <c r="OZ3012" s="37"/>
      <c r="PA3012" s="37"/>
      <c r="PB3012" s="37"/>
      <c r="PC3012" s="37"/>
      <c r="PD3012" s="37"/>
      <c r="PE3012" s="37"/>
      <c r="PF3012" s="37"/>
      <c r="PG3012" s="37"/>
      <c r="PH3012" s="37"/>
      <c r="PI3012" s="37"/>
      <c r="PJ3012" s="37"/>
      <c r="PK3012" s="37"/>
      <c r="PL3012" s="37"/>
      <c r="PM3012" s="37"/>
      <c r="PN3012" s="37"/>
      <c r="PO3012" s="37"/>
      <c r="PP3012" s="37"/>
      <c r="PQ3012" s="37"/>
      <c r="PR3012" s="37"/>
      <c r="PS3012" s="37"/>
      <c r="PT3012" s="37"/>
      <c r="PU3012" s="37"/>
      <c r="PV3012" s="37"/>
      <c r="PW3012" s="37"/>
      <c r="PX3012" s="37"/>
      <c r="PY3012" s="37"/>
      <c r="PZ3012" s="37"/>
      <c r="QA3012" s="37"/>
      <c r="QB3012" s="37"/>
      <c r="QC3012" s="37"/>
      <c r="QD3012" s="37"/>
      <c r="QE3012" s="37"/>
      <c r="QF3012" s="37"/>
      <c r="QG3012" s="37"/>
      <c r="QH3012" s="37"/>
      <c r="QI3012" s="37"/>
      <c r="QJ3012" s="37"/>
      <c r="QK3012" s="37"/>
      <c r="QL3012" s="37"/>
      <c r="QM3012" s="37"/>
      <c r="QN3012" s="37"/>
      <c r="QO3012" s="37"/>
      <c r="QP3012" s="37"/>
      <c r="QQ3012" s="37"/>
      <c r="QR3012" s="37"/>
      <c r="QS3012" s="37"/>
      <c r="QT3012" s="37"/>
      <c r="QU3012" s="37"/>
      <c r="QV3012" s="37"/>
      <c r="QW3012" s="37"/>
      <c r="QX3012" s="37"/>
      <c r="QY3012" s="37"/>
      <c r="QZ3012" s="37"/>
      <c r="RA3012" s="37"/>
      <c r="RB3012" s="37"/>
      <c r="RC3012" s="37"/>
      <c r="RD3012" s="37"/>
      <c r="RE3012" s="37"/>
      <c r="RF3012" s="37"/>
      <c r="RG3012" s="37"/>
      <c r="RH3012" s="37"/>
      <c r="RI3012" s="37"/>
      <c r="RJ3012" s="37"/>
      <c r="RK3012" s="37"/>
      <c r="RL3012" s="37"/>
      <c r="RM3012" s="37"/>
      <c r="RN3012" s="37"/>
      <c r="RO3012" s="37"/>
      <c r="RP3012" s="37"/>
      <c r="RQ3012" s="37"/>
      <c r="RR3012" s="37"/>
      <c r="RS3012" s="37"/>
      <c r="RT3012" s="37"/>
      <c r="RU3012" s="37"/>
      <c r="RV3012" s="37"/>
      <c r="RW3012" s="37"/>
      <c r="RX3012" s="37"/>
      <c r="RY3012" s="37"/>
      <c r="RZ3012" s="37"/>
      <c r="SA3012" s="37"/>
      <c r="SB3012" s="37"/>
      <c r="SC3012" s="37"/>
      <c r="SD3012" s="37"/>
      <c r="SE3012" s="37"/>
      <c r="SF3012" s="37"/>
    </row>
    <row r="3013" spans="1:500">
      <c r="A3013" s="37"/>
      <c r="B3013" s="37"/>
      <c r="C3013" s="37"/>
      <c r="D3013" s="37"/>
      <c r="E3013" s="37"/>
      <c r="F3013" s="37"/>
      <c r="G3013" s="37"/>
      <c r="H3013" s="37"/>
      <c r="I3013" s="37"/>
      <c r="J3013" s="37"/>
      <c r="K3013" s="37"/>
      <c r="L3013" s="37"/>
      <c r="M3013" s="37"/>
      <c r="N3013" s="37"/>
      <c r="O3013" s="37"/>
      <c r="P3013" s="37"/>
      <c r="Q3013" s="37"/>
      <c r="R3013" s="37"/>
      <c r="S3013" s="37"/>
      <c r="T3013" s="37"/>
      <c r="U3013" s="37"/>
      <c r="V3013" s="37"/>
      <c r="W3013" s="37"/>
      <c r="X3013" s="37"/>
      <c r="Y3013" s="37"/>
      <c r="Z3013" s="37"/>
      <c r="AA3013" s="37"/>
      <c r="AB3013" s="37"/>
      <c r="AC3013" s="37"/>
      <c r="AD3013" s="37"/>
      <c r="AE3013" s="37"/>
      <c r="AF3013" s="37"/>
      <c r="AG3013" s="37"/>
      <c r="AH3013" s="37"/>
      <c r="AI3013" s="37"/>
      <c r="AJ3013" s="37"/>
      <c r="AK3013" s="37"/>
      <c r="AL3013" s="37"/>
      <c r="AM3013" s="37"/>
      <c r="AN3013" s="37"/>
      <c r="AO3013" s="37"/>
      <c r="AP3013" s="37"/>
      <c r="AQ3013" s="37"/>
      <c r="AR3013" s="37"/>
      <c r="AS3013" s="37"/>
      <c r="AT3013" s="37"/>
      <c r="AU3013" s="37"/>
      <c r="AV3013" s="37"/>
      <c r="AW3013" s="37"/>
      <c r="AX3013" s="37"/>
      <c r="AY3013" s="37"/>
      <c r="AZ3013" s="37"/>
      <c r="BA3013" s="37"/>
      <c r="BB3013" s="37"/>
      <c r="BC3013" s="37"/>
      <c r="BD3013" s="37"/>
      <c r="BE3013" s="37"/>
      <c r="BF3013" s="37"/>
      <c r="BG3013" s="37"/>
      <c r="BH3013" s="37"/>
      <c r="BI3013" s="37"/>
      <c r="BJ3013" s="37"/>
      <c r="BK3013" s="37"/>
      <c r="BL3013" s="37"/>
      <c r="BM3013" s="37"/>
      <c r="BN3013" s="37"/>
      <c r="BO3013" s="37"/>
      <c r="BP3013" s="37"/>
      <c r="BQ3013" s="37"/>
      <c r="BR3013" s="37"/>
      <c r="BS3013" s="37"/>
      <c r="BT3013" s="37"/>
      <c r="BU3013" s="37"/>
      <c r="BV3013" s="37"/>
      <c r="BW3013" s="37"/>
      <c r="BX3013" s="37"/>
      <c r="BY3013" s="37"/>
      <c r="BZ3013" s="37"/>
      <c r="CA3013" s="37"/>
      <c r="CB3013" s="37"/>
      <c r="CC3013" s="37"/>
      <c r="CD3013" s="37"/>
      <c r="CE3013" s="37"/>
      <c r="CF3013" s="37"/>
      <c r="CG3013" s="37"/>
      <c r="CH3013" s="37"/>
      <c r="CI3013" s="37"/>
      <c r="CJ3013" s="37"/>
      <c r="CK3013" s="37"/>
      <c r="CL3013" s="37"/>
      <c r="CM3013" s="37"/>
      <c r="CN3013" s="37"/>
      <c r="CO3013" s="37"/>
      <c r="CP3013" s="37"/>
      <c r="CQ3013" s="37"/>
      <c r="CR3013" s="37"/>
      <c r="CS3013" s="37"/>
      <c r="CT3013" s="37"/>
      <c r="CU3013" s="37"/>
      <c r="CV3013" s="37"/>
      <c r="CW3013" s="37"/>
      <c r="CX3013" s="37"/>
      <c r="CY3013" s="37"/>
      <c r="CZ3013" s="37"/>
      <c r="DA3013" s="37"/>
      <c r="DB3013" s="37"/>
      <c r="DC3013" s="37"/>
      <c r="DD3013" s="37"/>
      <c r="DE3013" s="37"/>
      <c r="DF3013" s="37"/>
      <c r="DG3013" s="37"/>
      <c r="DH3013" s="37"/>
      <c r="DI3013" s="37"/>
      <c r="DJ3013" s="37"/>
      <c r="DK3013" s="37"/>
      <c r="DL3013" s="37"/>
      <c r="DM3013" s="37"/>
      <c r="DN3013" s="37"/>
      <c r="DO3013" s="37"/>
      <c r="DP3013" s="37"/>
      <c r="DQ3013" s="37"/>
      <c r="DR3013" s="37"/>
      <c r="DS3013" s="37"/>
      <c r="DT3013" s="37"/>
      <c r="DU3013" s="37"/>
      <c r="DV3013" s="37"/>
      <c r="DW3013" s="37"/>
      <c r="DX3013" s="37"/>
      <c r="DY3013" s="37"/>
      <c r="DZ3013" s="37"/>
      <c r="EA3013" s="37"/>
      <c r="EB3013" s="37"/>
      <c r="EC3013" s="37"/>
      <c r="ED3013" s="37"/>
      <c r="EE3013" s="37"/>
      <c r="EF3013" s="37"/>
      <c r="EG3013" s="37"/>
      <c r="EH3013" s="37"/>
      <c r="EI3013" s="37"/>
      <c r="EJ3013" s="37"/>
      <c r="EK3013" s="37"/>
      <c r="EL3013" s="37"/>
      <c r="EM3013" s="37"/>
      <c r="EN3013" s="37"/>
      <c r="EO3013" s="37"/>
      <c r="EP3013" s="37"/>
      <c r="EQ3013" s="37"/>
      <c r="ER3013" s="37"/>
      <c r="ES3013" s="37"/>
      <c r="ET3013" s="37"/>
      <c r="EU3013" s="37"/>
      <c r="EV3013" s="37"/>
      <c r="EW3013" s="37"/>
      <c r="EX3013" s="37"/>
      <c r="EY3013" s="37"/>
      <c r="EZ3013" s="37"/>
      <c r="FA3013" s="37"/>
      <c r="FB3013" s="37"/>
      <c r="FC3013" s="37"/>
      <c r="FD3013" s="37"/>
      <c r="FE3013" s="37"/>
      <c r="FF3013" s="37"/>
      <c r="FG3013" s="37"/>
      <c r="FH3013" s="37"/>
      <c r="FI3013" s="37"/>
      <c r="FJ3013" s="37"/>
      <c r="FK3013" s="37"/>
      <c r="FL3013" s="37"/>
      <c r="FM3013" s="37"/>
      <c r="FN3013" s="37"/>
      <c r="FO3013" s="37"/>
      <c r="FP3013" s="37"/>
      <c r="FQ3013" s="37"/>
      <c r="FR3013" s="37"/>
      <c r="FS3013" s="37"/>
      <c r="FT3013" s="37"/>
      <c r="FU3013" s="37"/>
      <c r="FV3013" s="37"/>
      <c r="FW3013" s="37"/>
      <c r="FX3013" s="37"/>
      <c r="FY3013" s="37"/>
      <c r="FZ3013" s="37"/>
      <c r="GA3013" s="37"/>
      <c r="GB3013" s="37"/>
      <c r="GC3013" s="37"/>
      <c r="GD3013" s="37"/>
      <c r="GE3013" s="37"/>
      <c r="GF3013" s="37"/>
      <c r="GG3013" s="37"/>
      <c r="GH3013" s="37"/>
      <c r="GI3013" s="37"/>
      <c r="GJ3013" s="37"/>
      <c r="GK3013" s="37"/>
      <c r="GL3013" s="37"/>
      <c r="GM3013" s="37"/>
      <c r="GN3013" s="37"/>
      <c r="GO3013" s="37"/>
      <c r="GP3013" s="37"/>
      <c r="GQ3013" s="37"/>
      <c r="GR3013" s="37"/>
      <c r="GS3013" s="37"/>
      <c r="GT3013" s="37"/>
      <c r="GU3013" s="37"/>
      <c r="GV3013" s="37"/>
      <c r="GW3013" s="37"/>
      <c r="GX3013" s="37"/>
      <c r="GY3013" s="37"/>
      <c r="GZ3013" s="37"/>
      <c r="HA3013" s="37"/>
      <c r="HB3013" s="37"/>
      <c r="HC3013" s="37"/>
      <c r="HD3013" s="37"/>
      <c r="HE3013" s="37"/>
      <c r="HF3013" s="37"/>
      <c r="HG3013" s="37"/>
      <c r="HH3013" s="37"/>
      <c r="HI3013" s="37"/>
      <c r="HJ3013" s="37"/>
      <c r="HK3013" s="37"/>
      <c r="HL3013" s="37"/>
      <c r="HM3013" s="37"/>
      <c r="HN3013" s="37"/>
      <c r="HO3013" s="37"/>
      <c r="HP3013" s="37"/>
      <c r="HQ3013" s="37"/>
      <c r="HR3013" s="37"/>
      <c r="HS3013" s="37"/>
      <c r="HT3013" s="37"/>
      <c r="HU3013" s="37"/>
      <c r="HV3013" s="37"/>
      <c r="HW3013" s="37"/>
      <c r="HX3013" s="37"/>
      <c r="HY3013" s="37"/>
      <c r="HZ3013" s="37"/>
      <c r="IA3013" s="37"/>
      <c r="IB3013" s="37"/>
      <c r="IC3013" s="37"/>
      <c r="ID3013" s="37"/>
      <c r="IE3013" s="37"/>
      <c r="IF3013" s="37"/>
      <c r="IG3013" s="37"/>
      <c r="IH3013" s="37"/>
      <c r="II3013" s="37"/>
      <c r="IJ3013" s="37"/>
      <c r="IK3013" s="37"/>
      <c r="IL3013" s="37"/>
      <c r="IM3013" s="37"/>
      <c r="IN3013" s="37"/>
      <c r="IO3013" s="37"/>
      <c r="IP3013" s="37"/>
      <c r="IQ3013" s="37"/>
      <c r="IR3013" s="37"/>
      <c r="IS3013" s="37"/>
      <c r="IT3013" s="37"/>
      <c r="IU3013" s="37"/>
      <c r="IV3013" s="37"/>
      <c r="IW3013" s="37"/>
      <c r="IX3013" s="37"/>
      <c r="IY3013" s="37"/>
      <c r="IZ3013" s="37"/>
      <c r="JA3013" s="37"/>
      <c r="JB3013" s="37"/>
      <c r="JC3013" s="37"/>
      <c r="JD3013" s="37"/>
      <c r="JE3013" s="37"/>
      <c r="JF3013" s="37"/>
      <c r="JG3013" s="37"/>
      <c r="JH3013" s="37"/>
      <c r="JI3013" s="37"/>
      <c r="JJ3013" s="37"/>
      <c r="JK3013" s="37"/>
      <c r="JL3013" s="37"/>
      <c r="JM3013" s="37"/>
      <c r="JN3013" s="37"/>
      <c r="JO3013" s="37"/>
      <c r="JP3013" s="37"/>
      <c r="JQ3013" s="37"/>
      <c r="JR3013" s="37"/>
      <c r="JS3013" s="37"/>
      <c r="JT3013" s="37"/>
      <c r="JU3013" s="37"/>
      <c r="JV3013" s="37"/>
      <c r="JW3013" s="37"/>
      <c r="JX3013" s="37"/>
      <c r="JY3013" s="37"/>
      <c r="JZ3013" s="37"/>
      <c r="KA3013" s="37"/>
      <c r="KB3013" s="37"/>
      <c r="KC3013" s="37"/>
      <c r="KD3013" s="37"/>
      <c r="KE3013" s="37"/>
      <c r="KF3013" s="37"/>
      <c r="KG3013" s="37"/>
      <c r="KH3013" s="37"/>
      <c r="KI3013" s="37"/>
      <c r="KJ3013" s="37"/>
      <c r="KK3013" s="37"/>
      <c r="KL3013" s="37"/>
      <c r="KM3013" s="37"/>
      <c r="KN3013" s="37"/>
      <c r="KO3013" s="37"/>
      <c r="KP3013" s="37"/>
      <c r="KQ3013" s="37"/>
      <c r="KR3013" s="37"/>
      <c r="KS3013" s="37"/>
      <c r="KT3013" s="37"/>
      <c r="KU3013" s="37"/>
      <c r="KV3013" s="37"/>
      <c r="KW3013" s="37"/>
      <c r="KX3013" s="37"/>
      <c r="KY3013" s="37"/>
      <c r="KZ3013" s="37"/>
      <c r="LA3013" s="37"/>
      <c r="LB3013" s="37"/>
      <c r="LC3013" s="37"/>
      <c r="LD3013" s="37"/>
      <c r="LE3013" s="37"/>
      <c r="LF3013" s="37"/>
      <c r="LG3013" s="37"/>
      <c r="LH3013" s="37"/>
      <c r="LI3013" s="37"/>
      <c r="LJ3013" s="37"/>
      <c r="LK3013" s="37"/>
      <c r="LL3013" s="37"/>
      <c r="LM3013" s="37"/>
      <c r="LN3013" s="37"/>
      <c r="LO3013" s="37"/>
      <c r="LP3013" s="37"/>
      <c r="LQ3013" s="37"/>
      <c r="LR3013" s="37"/>
      <c r="LS3013" s="37"/>
      <c r="LT3013" s="37"/>
      <c r="LU3013" s="37"/>
      <c r="LV3013" s="37"/>
      <c r="LW3013" s="37"/>
      <c r="LX3013" s="37"/>
      <c r="LY3013" s="37"/>
      <c r="LZ3013" s="37"/>
      <c r="MA3013" s="37"/>
      <c r="MB3013" s="37"/>
      <c r="MC3013" s="37"/>
      <c r="MD3013" s="37"/>
      <c r="ME3013" s="37"/>
      <c r="MF3013" s="37"/>
      <c r="MG3013" s="37"/>
      <c r="MH3013" s="37"/>
      <c r="MI3013" s="37"/>
      <c r="MJ3013" s="37"/>
      <c r="MK3013" s="37"/>
      <c r="ML3013" s="37"/>
      <c r="MM3013" s="37"/>
      <c r="MN3013" s="37"/>
      <c r="MO3013" s="37"/>
      <c r="MP3013" s="37"/>
      <c r="MQ3013" s="37"/>
      <c r="MR3013" s="37"/>
      <c r="MS3013" s="37"/>
      <c r="MT3013" s="37"/>
      <c r="MU3013" s="37"/>
      <c r="MV3013" s="37"/>
      <c r="MW3013" s="37"/>
      <c r="MX3013" s="37"/>
      <c r="MY3013" s="37"/>
      <c r="MZ3013" s="37"/>
      <c r="NA3013" s="37"/>
      <c r="NB3013" s="37"/>
      <c r="NC3013" s="37"/>
      <c r="ND3013" s="37"/>
      <c r="NE3013" s="37"/>
      <c r="NF3013" s="37"/>
      <c r="NG3013" s="37"/>
      <c r="NH3013" s="37"/>
      <c r="NI3013" s="37"/>
      <c r="NJ3013" s="37"/>
      <c r="NK3013" s="37"/>
      <c r="NL3013" s="37"/>
      <c r="NM3013" s="37"/>
      <c r="NN3013" s="37"/>
      <c r="NO3013" s="37"/>
      <c r="NP3013" s="37"/>
      <c r="NQ3013" s="37"/>
      <c r="NR3013" s="37"/>
      <c r="NS3013" s="37"/>
      <c r="NT3013" s="37"/>
      <c r="NU3013" s="37"/>
      <c r="NV3013" s="37"/>
      <c r="NW3013" s="37"/>
      <c r="NX3013" s="37"/>
      <c r="NY3013" s="37"/>
      <c r="NZ3013" s="37"/>
      <c r="OA3013" s="37"/>
      <c r="OB3013" s="37"/>
      <c r="OC3013" s="37"/>
      <c r="OD3013" s="37"/>
      <c r="OE3013" s="37"/>
      <c r="OF3013" s="37"/>
      <c r="OG3013" s="37"/>
      <c r="OH3013" s="37"/>
      <c r="OI3013" s="37"/>
      <c r="OJ3013" s="37"/>
      <c r="OK3013" s="37"/>
      <c r="OL3013" s="37"/>
      <c r="OM3013" s="37"/>
      <c r="ON3013" s="37"/>
      <c r="OO3013" s="37"/>
      <c r="OP3013" s="37"/>
      <c r="OQ3013" s="37"/>
      <c r="OR3013" s="37"/>
      <c r="OS3013" s="37"/>
      <c r="OT3013" s="37"/>
      <c r="OU3013" s="37"/>
      <c r="OV3013" s="37"/>
      <c r="OW3013" s="37"/>
      <c r="OX3013" s="37"/>
      <c r="OY3013" s="37"/>
      <c r="OZ3013" s="37"/>
      <c r="PA3013" s="37"/>
      <c r="PB3013" s="37"/>
      <c r="PC3013" s="37"/>
      <c r="PD3013" s="37"/>
      <c r="PE3013" s="37"/>
      <c r="PF3013" s="37"/>
      <c r="PG3013" s="37"/>
      <c r="PH3013" s="37"/>
      <c r="PI3013" s="37"/>
      <c r="PJ3013" s="37"/>
      <c r="PK3013" s="37"/>
      <c r="PL3013" s="37"/>
      <c r="PM3013" s="37"/>
      <c r="PN3013" s="37"/>
      <c r="PO3013" s="37"/>
      <c r="PP3013" s="37"/>
      <c r="PQ3013" s="37"/>
      <c r="PR3013" s="37"/>
      <c r="PS3013" s="37"/>
      <c r="PT3013" s="37"/>
      <c r="PU3013" s="37"/>
      <c r="PV3013" s="37"/>
      <c r="PW3013" s="37"/>
      <c r="PX3013" s="37"/>
      <c r="PY3013" s="37"/>
      <c r="PZ3013" s="37"/>
      <c r="QA3013" s="37"/>
      <c r="QB3013" s="37"/>
      <c r="QC3013" s="37"/>
      <c r="QD3013" s="37"/>
      <c r="QE3013" s="37"/>
      <c r="QF3013" s="37"/>
      <c r="QG3013" s="37"/>
      <c r="QH3013" s="37"/>
      <c r="QI3013" s="37"/>
      <c r="QJ3013" s="37"/>
      <c r="QK3013" s="37"/>
      <c r="QL3013" s="37"/>
      <c r="QM3013" s="37"/>
      <c r="QN3013" s="37"/>
      <c r="QO3013" s="37"/>
      <c r="QP3013" s="37"/>
      <c r="QQ3013" s="37"/>
      <c r="QR3013" s="37"/>
      <c r="QS3013" s="37"/>
      <c r="QT3013" s="37"/>
      <c r="QU3013" s="37"/>
      <c r="QV3013" s="37"/>
      <c r="QW3013" s="37"/>
      <c r="QX3013" s="37"/>
      <c r="QY3013" s="37"/>
      <c r="QZ3013" s="37"/>
      <c r="RA3013" s="37"/>
      <c r="RB3013" s="37"/>
      <c r="RC3013" s="37"/>
      <c r="RD3013" s="37"/>
      <c r="RE3013" s="37"/>
      <c r="RF3013" s="37"/>
      <c r="RG3013" s="37"/>
      <c r="RH3013" s="37"/>
      <c r="RI3013" s="37"/>
      <c r="RJ3013" s="37"/>
      <c r="RK3013" s="37"/>
      <c r="RL3013" s="37"/>
      <c r="RM3013" s="37"/>
      <c r="RN3013" s="37"/>
      <c r="RO3013" s="37"/>
      <c r="RP3013" s="37"/>
      <c r="RQ3013" s="37"/>
      <c r="RR3013" s="37"/>
      <c r="RS3013" s="37"/>
      <c r="RT3013" s="37"/>
      <c r="RU3013" s="37"/>
      <c r="RV3013" s="37"/>
      <c r="RW3013" s="37"/>
      <c r="RX3013" s="37"/>
      <c r="RY3013" s="37"/>
      <c r="RZ3013" s="37"/>
      <c r="SA3013" s="37"/>
      <c r="SB3013" s="37"/>
      <c r="SC3013" s="37"/>
      <c r="SD3013" s="37"/>
      <c r="SE3013" s="37"/>
      <c r="SF3013" s="37"/>
    </row>
    <row r="3014" spans="1:500">
      <c r="A3014" s="37"/>
      <c r="B3014" s="37"/>
      <c r="C3014" s="37"/>
      <c r="D3014" s="37"/>
      <c r="E3014" s="37"/>
      <c r="F3014" s="37"/>
      <c r="G3014" s="37"/>
      <c r="H3014" s="37"/>
      <c r="I3014" s="37"/>
      <c r="J3014" s="37"/>
      <c r="K3014" s="37"/>
      <c r="L3014" s="37"/>
      <c r="M3014" s="37"/>
      <c r="N3014" s="37"/>
      <c r="O3014" s="37"/>
      <c r="P3014" s="37"/>
      <c r="Q3014" s="37"/>
      <c r="R3014" s="37"/>
      <c r="S3014" s="37"/>
      <c r="T3014" s="37"/>
      <c r="U3014" s="37"/>
      <c r="V3014" s="37"/>
      <c r="W3014" s="37"/>
      <c r="X3014" s="37"/>
      <c r="Y3014" s="37"/>
      <c r="Z3014" s="37"/>
      <c r="AA3014" s="37"/>
      <c r="AB3014" s="37"/>
      <c r="AC3014" s="37"/>
      <c r="AD3014" s="37"/>
      <c r="AE3014" s="37"/>
      <c r="AF3014" s="37"/>
      <c r="AG3014" s="37"/>
      <c r="AH3014" s="37"/>
      <c r="AI3014" s="37"/>
      <c r="AJ3014" s="37"/>
      <c r="AK3014" s="37"/>
      <c r="AL3014" s="37"/>
      <c r="AM3014" s="37"/>
      <c r="AN3014" s="37"/>
      <c r="AO3014" s="37"/>
      <c r="AP3014" s="37"/>
      <c r="AQ3014" s="37"/>
      <c r="AR3014" s="37"/>
      <c r="AS3014" s="37"/>
      <c r="AT3014" s="37"/>
      <c r="AU3014" s="37"/>
      <c r="AV3014" s="37"/>
      <c r="AW3014" s="37"/>
      <c r="AX3014" s="37"/>
      <c r="AY3014" s="37"/>
      <c r="AZ3014" s="37"/>
      <c r="BA3014" s="37"/>
      <c r="BB3014" s="37"/>
      <c r="BC3014" s="37"/>
      <c r="BD3014" s="37"/>
      <c r="BE3014" s="37"/>
      <c r="BF3014" s="37"/>
      <c r="BG3014" s="37"/>
      <c r="BH3014" s="37"/>
      <c r="BI3014" s="37"/>
      <c r="BJ3014" s="37"/>
      <c r="BK3014" s="37"/>
      <c r="BL3014" s="37"/>
      <c r="BM3014" s="37"/>
      <c r="BN3014" s="37"/>
      <c r="BO3014" s="37"/>
      <c r="BP3014" s="37"/>
      <c r="BQ3014" s="37"/>
      <c r="BR3014" s="37"/>
      <c r="BS3014" s="37"/>
      <c r="BT3014" s="37"/>
      <c r="BU3014" s="37"/>
      <c r="BV3014" s="37"/>
      <c r="BW3014" s="37"/>
      <c r="BX3014" s="37"/>
      <c r="BY3014" s="37"/>
      <c r="BZ3014" s="37"/>
      <c r="CA3014" s="37"/>
      <c r="CB3014" s="37"/>
      <c r="CC3014" s="37"/>
      <c r="CD3014" s="37"/>
      <c r="CE3014" s="37"/>
      <c r="CF3014" s="37"/>
      <c r="CG3014" s="37"/>
      <c r="CH3014" s="37"/>
      <c r="CI3014" s="37"/>
      <c r="CJ3014" s="37"/>
      <c r="CK3014" s="37"/>
      <c r="CL3014" s="37"/>
      <c r="CM3014" s="37"/>
      <c r="CN3014" s="37"/>
      <c r="CO3014" s="37"/>
      <c r="CP3014" s="37"/>
      <c r="CQ3014" s="37"/>
      <c r="CR3014" s="37"/>
      <c r="CS3014" s="37"/>
      <c r="CT3014" s="37"/>
      <c r="CU3014" s="37"/>
      <c r="CV3014" s="37"/>
      <c r="CW3014" s="37"/>
      <c r="CX3014" s="37"/>
      <c r="CY3014" s="37"/>
      <c r="CZ3014" s="37"/>
      <c r="DA3014" s="37"/>
      <c r="DB3014" s="37"/>
      <c r="DC3014" s="37"/>
      <c r="DD3014" s="37"/>
      <c r="DE3014" s="37"/>
      <c r="DF3014" s="37"/>
      <c r="DG3014" s="37"/>
      <c r="DH3014" s="37"/>
      <c r="DI3014" s="37"/>
      <c r="DJ3014" s="37"/>
      <c r="DK3014" s="37"/>
      <c r="DL3014" s="37"/>
      <c r="DM3014" s="37"/>
      <c r="DN3014" s="37"/>
      <c r="DO3014" s="37"/>
      <c r="DP3014" s="37"/>
      <c r="DQ3014" s="37"/>
      <c r="DR3014" s="37"/>
      <c r="DS3014" s="37"/>
      <c r="DT3014" s="37"/>
      <c r="DU3014" s="37"/>
      <c r="DV3014" s="37"/>
      <c r="DW3014" s="37"/>
      <c r="DX3014" s="37"/>
      <c r="DY3014" s="37"/>
      <c r="DZ3014" s="37"/>
      <c r="EA3014" s="37"/>
      <c r="EB3014" s="37"/>
      <c r="EC3014" s="37"/>
      <c r="ED3014" s="37"/>
      <c r="EE3014" s="37"/>
      <c r="EF3014" s="37"/>
      <c r="EG3014" s="37"/>
      <c r="EH3014" s="37"/>
      <c r="EI3014" s="37"/>
      <c r="EJ3014" s="37"/>
      <c r="EK3014" s="37"/>
      <c r="EL3014" s="37"/>
      <c r="EM3014" s="37"/>
      <c r="EN3014" s="37"/>
      <c r="EO3014" s="37"/>
      <c r="EP3014" s="37"/>
      <c r="EQ3014" s="37"/>
      <c r="ER3014" s="37"/>
      <c r="ES3014" s="37"/>
      <c r="ET3014" s="37"/>
      <c r="EU3014" s="37"/>
      <c r="EV3014" s="37"/>
      <c r="EW3014" s="37"/>
      <c r="EX3014" s="37"/>
      <c r="EY3014" s="37"/>
      <c r="EZ3014" s="37"/>
      <c r="FA3014" s="37"/>
      <c r="FB3014" s="37"/>
      <c r="FC3014" s="37"/>
      <c r="FD3014" s="37"/>
      <c r="FE3014" s="37"/>
      <c r="FF3014" s="37"/>
      <c r="FG3014" s="37"/>
      <c r="FH3014" s="37"/>
      <c r="FI3014" s="37"/>
      <c r="FJ3014" s="37"/>
      <c r="FK3014" s="37"/>
      <c r="FL3014" s="37"/>
      <c r="FM3014" s="37"/>
      <c r="FN3014" s="37"/>
      <c r="FO3014" s="37"/>
      <c r="FP3014" s="37"/>
      <c r="FQ3014" s="37"/>
      <c r="FR3014" s="37"/>
      <c r="FS3014" s="37"/>
      <c r="FT3014" s="37"/>
      <c r="FU3014" s="37"/>
      <c r="FV3014" s="37"/>
      <c r="FW3014" s="37"/>
      <c r="FX3014" s="37"/>
      <c r="FY3014" s="37"/>
      <c r="FZ3014" s="37"/>
      <c r="GA3014" s="37"/>
      <c r="GB3014" s="37"/>
      <c r="GC3014" s="37"/>
      <c r="GD3014" s="37"/>
      <c r="GE3014" s="37"/>
      <c r="GF3014" s="37"/>
      <c r="GG3014" s="37"/>
      <c r="GH3014" s="37"/>
      <c r="GI3014" s="37"/>
      <c r="GJ3014" s="37"/>
      <c r="GK3014" s="37"/>
      <c r="GL3014" s="37"/>
      <c r="GM3014" s="37"/>
      <c r="GN3014" s="37"/>
      <c r="GO3014" s="37"/>
      <c r="GP3014" s="37"/>
      <c r="GQ3014" s="37"/>
      <c r="GR3014" s="37"/>
      <c r="GS3014" s="37"/>
      <c r="GT3014" s="37"/>
      <c r="GU3014" s="37"/>
      <c r="GV3014" s="37"/>
      <c r="GW3014" s="37"/>
      <c r="GX3014" s="37"/>
      <c r="GY3014" s="37"/>
      <c r="GZ3014" s="37"/>
      <c r="HA3014" s="37"/>
      <c r="HB3014" s="37"/>
      <c r="HC3014" s="37"/>
      <c r="HD3014" s="37"/>
      <c r="HE3014" s="37"/>
      <c r="HF3014" s="37"/>
      <c r="HG3014" s="37"/>
      <c r="HH3014" s="37"/>
      <c r="HI3014" s="37"/>
      <c r="HJ3014" s="37"/>
      <c r="HK3014" s="37"/>
      <c r="HL3014" s="37"/>
      <c r="HM3014" s="37"/>
      <c r="HN3014" s="37"/>
      <c r="HO3014" s="37"/>
      <c r="HP3014" s="37"/>
      <c r="HQ3014" s="37"/>
      <c r="HR3014" s="37"/>
      <c r="HS3014" s="37"/>
      <c r="HT3014" s="37"/>
      <c r="HU3014" s="37"/>
      <c r="HV3014" s="37"/>
      <c r="HW3014" s="37"/>
      <c r="HX3014" s="37"/>
      <c r="HY3014" s="37"/>
      <c r="HZ3014" s="37"/>
      <c r="IA3014" s="37"/>
      <c r="IB3014" s="37"/>
      <c r="IC3014" s="37"/>
      <c r="ID3014" s="37"/>
      <c r="IE3014" s="37"/>
      <c r="IF3014" s="37"/>
      <c r="IG3014" s="37"/>
      <c r="IH3014" s="37"/>
      <c r="II3014" s="37"/>
      <c r="IJ3014" s="37"/>
      <c r="IK3014" s="37"/>
      <c r="IL3014" s="37"/>
      <c r="IM3014" s="37"/>
      <c r="IN3014" s="37"/>
      <c r="IO3014" s="37"/>
      <c r="IP3014" s="37"/>
      <c r="IQ3014" s="37"/>
      <c r="IR3014" s="37"/>
      <c r="IS3014" s="37"/>
      <c r="IT3014" s="37"/>
      <c r="IU3014" s="37"/>
      <c r="IV3014" s="37"/>
      <c r="IW3014" s="37"/>
      <c r="IX3014" s="37"/>
      <c r="IY3014" s="37"/>
      <c r="IZ3014" s="37"/>
      <c r="JA3014" s="37"/>
      <c r="JB3014" s="37"/>
      <c r="JC3014" s="37"/>
      <c r="JD3014" s="37"/>
      <c r="JE3014" s="37"/>
      <c r="JF3014" s="37"/>
      <c r="JG3014" s="37"/>
      <c r="JH3014" s="37"/>
      <c r="JI3014" s="37"/>
      <c r="JJ3014" s="37"/>
      <c r="JK3014" s="37"/>
      <c r="JL3014" s="37"/>
      <c r="JM3014" s="37"/>
      <c r="JN3014" s="37"/>
      <c r="JO3014" s="37"/>
      <c r="JP3014" s="37"/>
      <c r="JQ3014" s="37"/>
      <c r="JR3014" s="37"/>
      <c r="JS3014" s="37"/>
      <c r="JT3014" s="37"/>
      <c r="JU3014" s="37"/>
      <c r="JV3014" s="37"/>
      <c r="JW3014" s="37"/>
      <c r="JX3014" s="37"/>
      <c r="JY3014" s="37"/>
      <c r="JZ3014" s="37"/>
      <c r="KA3014" s="37"/>
      <c r="KB3014" s="37"/>
      <c r="KC3014" s="37"/>
      <c r="KD3014" s="37"/>
      <c r="KE3014" s="37"/>
      <c r="KF3014" s="37"/>
      <c r="KG3014" s="37"/>
      <c r="KH3014" s="37"/>
      <c r="KI3014" s="37"/>
      <c r="KJ3014" s="37"/>
      <c r="KK3014" s="37"/>
      <c r="KL3014" s="37"/>
      <c r="KM3014" s="37"/>
      <c r="KN3014" s="37"/>
      <c r="KO3014" s="37"/>
      <c r="KP3014" s="37"/>
      <c r="KQ3014" s="37"/>
      <c r="KR3014" s="37"/>
      <c r="KS3014" s="37"/>
      <c r="KT3014" s="37"/>
      <c r="KU3014" s="37"/>
      <c r="KV3014" s="37"/>
      <c r="KW3014" s="37"/>
      <c r="KX3014" s="37"/>
      <c r="KY3014" s="37"/>
      <c r="KZ3014" s="37"/>
      <c r="LA3014" s="37"/>
      <c r="LB3014" s="37"/>
      <c r="LC3014" s="37"/>
      <c r="LD3014" s="37"/>
      <c r="LE3014" s="37"/>
      <c r="LF3014" s="37"/>
      <c r="LG3014" s="37"/>
      <c r="LH3014" s="37"/>
      <c r="LI3014" s="37"/>
      <c r="LJ3014" s="37"/>
      <c r="LK3014" s="37"/>
      <c r="LL3014" s="37"/>
      <c r="LM3014" s="37"/>
      <c r="LN3014" s="37"/>
      <c r="LO3014" s="37"/>
      <c r="LP3014" s="37"/>
      <c r="LQ3014" s="37"/>
      <c r="LR3014" s="37"/>
      <c r="LS3014" s="37"/>
      <c r="LT3014" s="37"/>
      <c r="LU3014" s="37"/>
      <c r="LV3014" s="37"/>
      <c r="LW3014" s="37"/>
      <c r="LX3014" s="37"/>
      <c r="LY3014" s="37"/>
      <c r="LZ3014" s="37"/>
      <c r="MA3014" s="37"/>
      <c r="MB3014" s="37"/>
      <c r="MC3014" s="37"/>
      <c r="MD3014" s="37"/>
      <c r="ME3014" s="37"/>
      <c r="MF3014" s="37"/>
      <c r="MG3014" s="37"/>
      <c r="MH3014" s="37"/>
      <c r="MI3014" s="37"/>
      <c r="MJ3014" s="37"/>
      <c r="MK3014" s="37"/>
      <c r="ML3014" s="37"/>
      <c r="MM3014" s="37"/>
      <c r="MN3014" s="37"/>
      <c r="MO3014" s="37"/>
      <c r="MP3014" s="37"/>
      <c r="MQ3014" s="37"/>
      <c r="MR3014" s="37"/>
      <c r="MS3014" s="37"/>
      <c r="MT3014" s="37"/>
      <c r="MU3014" s="37"/>
      <c r="MV3014" s="37"/>
      <c r="MW3014" s="37"/>
      <c r="MX3014" s="37"/>
      <c r="MY3014" s="37"/>
      <c r="MZ3014" s="37"/>
      <c r="NA3014" s="37"/>
      <c r="NB3014" s="37"/>
      <c r="NC3014" s="37"/>
      <c r="ND3014" s="37"/>
      <c r="NE3014" s="37"/>
      <c r="NF3014" s="37"/>
      <c r="NG3014" s="37"/>
      <c r="NH3014" s="37"/>
      <c r="NI3014" s="37"/>
      <c r="NJ3014" s="37"/>
      <c r="NK3014" s="37"/>
      <c r="NL3014" s="37"/>
      <c r="NM3014" s="37"/>
      <c r="NN3014" s="37"/>
      <c r="NO3014" s="37"/>
      <c r="NP3014" s="37"/>
      <c r="NQ3014" s="37"/>
      <c r="NR3014" s="37"/>
      <c r="NS3014" s="37"/>
      <c r="NT3014" s="37"/>
      <c r="NU3014" s="37"/>
      <c r="NV3014" s="37"/>
      <c r="NW3014" s="37"/>
      <c r="NX3014" s="37"/>
      <c r="NY3014" s="37"/>
      <c r="NZ3014" s="37"/>
      <c r="OA3014" s="37"/>
      <c r="OB3014" s="37"/>
      <c r="OC3014" s="37"/>
      <c r="OD3014" s="37"/>
      <c r="OE3014" s="37"/>
      <c r="OF3014" s="37"/>
      <c r="OG3014" s="37"/>
      <c r="OH3014" s="37"/>
      <c r="OI3014" s="37"/>
      <c r="OJ3014" s="37"/>
      <c r="OK3014" s="37"/>
      <c r="OL3014" s="37"/>
      <c r="OM3014" s="37"/>
      <c r="ON3014" s="37"/>
      <c r="OO3014" s="37"/>
      <c r="OP3014" s="37"/>
      <c r="OQ3014" s="37"/>
      <c r="OR3014" s="37"/>
      <c r="OS3014" s="37"/>
      <c r="OT3014" s="37"/>
      <c r="OU3014" s="37"/>
      <c r="OV3014" s="37"/>
      <c r="OW3014" s="37"/>
      <c r="OX3014" s="37"/>
      <c r="OY3014" s="37"/>
      <c r="OZ3014" s="37"/>
      <c r="PA3014" s="37"/>
      <c r="PB3014" s="37"/>
      <c r="PC3014" s="37"/>
      <c r="PD3014" s="37"/>
      <c r="PE3014" s="37"/>
      <c r="PF3014" s="37"/>
      <c r="PG3014" s="37"/>
      <c r="PH3014" s="37"/>
      <c r="PI3014" s="37"/>
      <c r="PJ3014" s="37"/>
      <c r="PK3014" s="37"/>
      <c r="PL3014" s="37"/>
      <c r="PM3014" s="37"/>
      <c r="PN3014" s="37"/>
      <c r="PO3014" s="37"/>
      <c r="PP3014" s="37"/>
      <c r="PQ3014" s="37"/>
      <c r="PR3014" s="37"/>
      <c r="PS3014" s="37"/>
      <c r="PT3014" s="37"/>
      <c r="PU3014" s="37"/>
      <c r="PV3014" s="37"/>
      <c r="PW3014" s="37"/>
      <c r="PX3014" s="37"/>
      <c r="PY3014" s="37"/>
      <c r="PZ3014" s="37"/>
      <c r="QA3014" s="37"/>
      <c r="QB3014" s="37"/>
      <c r="QC3014" s="37"/>
      <c r="QD3014" s="37"/>
      <c r="QE3014" s="37"/>
      <c r="QF3014" s="37"/>
      <c r="QG3014" s="37"/>
      <c r="QH3014" s="37"/>
      <c r="QI3014" s="37"/>
      <c r="QJ3014" s="37"/>
      <c r="QK3014" s="37"/>
      <c r="QL3014" s="37"/>
      <c r="QM3014" s="37"/>
      <c r="QN3014" s="37"/>
      <c r="QO3014" s="37"/>
      <c r="QP3014" s="37"/>
      <c r="QQ3014" s="37"/>
      <c r="QR3014" s="37"/>
      <c r="QS3014" s="37"/>
      <c r="QT3014" s="37"/>
      <c r="QU3014" s="37"/>
      <c r="QV3014" s="37"/>
      <c r="QW3014" s="37"/>
      <c r="QX3014" s="37"/>
      <c r="QY3014" s="37"/>
      <c r="QZ3014" s="37"/>
      <c r="RA3014" s="37"/>
      <c r="RB3014" s="37"/>
      <c r="RC3014" s="37"/>
      <c r="RD3014" s="37"/>
      <c r="RE3014" s="37"/>
      <c r="RF3014" s="37"/>
      <c r="RG3014" s="37"/>
      <c r="RH3014" s="37"/>
      <c r="RI3014" s="37"/>
      <c r="RJ3014" s="37"/>
      <c r="RK3014" s="37"/>
      <c r="RL3014" s="37"/>
      <c r="RM3014" s="37"/>
      <c r="RN3014" s="37"/>
      <c r="RO3014" s="37"/>
      <c r="RP3014" s="37"/>
      <c r="RQ3014" s="37"/>
      <c r="RR3014" s="37"/>
      <c r="RS3014" s="37"/>
      <c r="RT3014" s="37"/>
      <c r="RU3014" s="37"/>
      <c r="RV3014" s="37"/>
      <c r="RW3014" s="37"/>
      <c r="RX3014" s="37"/>
      <c r="RY3014" s="37"/>
      <c r="RZ3014" s="37"/>
      <c r="SA3014" s="37"/>
      <c r="SB3014" s="37"/>
      <c r="SC3014" s="37"/>
      <c r="SD3014" s="37"/>
      <c r="SE3014" s="37"/>
      <c r="SF3014" s="37"/>
    </row>
    <row r="3015" spans="1:500">
      <c r="A3015" s="37"/>
      <c r="B3015" s="37"/>
      <c r="C3015" s="37"/>
      <c r="D3015" s="37"/>
      <c r="E3015" s="37"/>
      <c r="F3015" s="37"/>
      <c r="G3015" s="37"/>
      <c r="H3015" s="37"/>
      <c r="I3015" s="37"/>
      <c r="J3015" s="37"/>
      <c r="K3015" s="37"/>
      <c r="L3015" s="37"/>
      <c r="M3015" s="37"/>
      <c r="N3015" s="37"/>
      <c r="O3015" s="37"/>
      <c r="P3015" s="37"/>
      <c r="Q3015" s="37"/>
      <c r="R3015" s="37"/>
      <c r="S3015" s="37"/>
      <c r="T3015" s="37"/>
      <c r="U3015" s="37"/>
      <c r="V3015" s="37"/>
      <c r="W3015" s="37"/>
      <c r="X3015" s="37"/>
      <c r="Y3015" s="37"/>
      <c r="Z3015" s="37"/>
      <c r="AA3015" s="37"/>
      <c r="AB3015" s="37"/>
      <c r="AC3015" s="37"/>
      <c r="AD3015" s="37"/>
      <c r="AE3015" s="37"/>
      <c r="AF3015" s="37"/>
      <c r="AG3015" s="37"/>
      <c r="AH3015" s="37"/>
      <c r="AI3015" s="37"/>
      <c r="AJ3015" s="37"/>
      <c r="AK3015" s="37"/>
      <c r="AL3015" s="37"/>
      <c r="AM3015" s="37"/>
      <c r="AN3015" s="37"/>
      <c r="AO3015" s="37"/>
      <c r="AP3015" s="37"/>
      <c r="AQ3015" s="37"/>
      <c r="AR3015" s="37"/>
      <c r="AS3015" s="37"/>
      <c r="AT3015" s="37"/>
      <c r="AU3015" s="37"/>
      <c r="AV3015" s="37"/>
      <c r="AW3015" s="37"/>
      <c r="AX3015" s="37"/>
      <c r="AY3015" s="37"/>
      <c r="AZ3015" s="37"/>
      <c r="BA3015" s="37"/>
      <c r="BB3015" s="37"/>
      <c r="BC3015" s="37"/>
      <c r="BD3015" s="37"/>
      <c r="BE3015" s="37"/>
      <c r="BF3015" s="37"/>
      <c r="BG3015" s="37"/>
      <c r="BH3015" s="37"/>
      <c r="BI3015" s="37"/>
      <c r="BJ3015" s="37"/>
      <c r="BK3015" s="37"/>
      <c r="BL3015" s="37"/>
      <c r="BM3015" s="37"/>
      <c r="BN3015" s="37"/>
      <c r="BO3015" s="37"/>
      <c r="BP3015" s="37"/>
      <c r="BQ3015" s="37"/>
      <c r="BR3015" s="37"/>
      <c r="BS3015" s="37"/>
      <c r="BT3015" s="37"/>
      <c r="BU3015" s="37"/>
      <c r="BV3015" s="37"/>
      <c r="BW3015" s="37"/>
      <c r="BX3015" s="37"/>
      <c r="BY3015" s="37"/>
      <c r="BZ3015" s="37"/>
      <c r="CA3015" s="37"/>
      <c r="CB3015" s="37"/>
      <c r="CC3015" s="37"/>
      <c r="CD3015" s="37"/>
      <c r="CE3015" s="37"/>
      <c r="CF3015" s="37"/>
      <c r="CG3015" s="37"/>
      <c r="CH3015" s="37"/>
      <c r="CI3015" s="37"/>
      <c r="CJ3015" s="37"/>
      <c r="CK3015" s="37"/>
      <c r="CL3015" s="37"/>
      <c r="CM3015" s="37"/>
      <c r="CN3015" s="37"/>
      <c r="CO3015" s="37"/>
      <c r="CP3015" s="37"/>
      <c r="CQ3015" s="37"/>
      <c r="CR3015" s="37"/>
      <c r="CS3015" s="37"/>
      <c r="CT3015" s="37"/>
      <c r="CU3015" s="37"/>
      <c r="CV3015" s="37"/>
      <c r="CW3015" s="37"/>
      <c r="CX3015" s="37"/>
      <c r="CY3015" s="37"/>
      <c r="CZ3015" s="37"/>
      <c r="DA3015" s="37"/>
      <c r="DB3015" s="37"/>
      <c r="DC3015" s="37"/>
      <c r="DD3015" s="37"/>
      <c r="DE3015" s="37"/>
      <c r="DF3015" s="37"/>
      <c r="DG3015" s="37"/>
      <c r="DH3015" s="37"/>
      <c r="DI3015" s="37"/>
      <c r="DJ3015" s="37"/>
      <c r="DK3015" s="37"/>
      <c r="DL3015" s="37"/>
      <c r="DM3015" s="37"/>
      <c r="DN3015" s="37"/>
      <c r="DO3015" s="37"/>
      <c r="DP3015" s="37"/>
      <c r="DQ3015" s="37"/>
      <c r="DR3015" s="37"/>
      <c r="DS3015" s="37"/>
      <c r="DT3015" s="37"/>
      <c r="DU3015" s="37"/>
      <c r="DV3015" s="37"/>
      <c r="DW3015" s="37"/>
      <c r="DX3015" s="37"/>
      <c r="DY3015" s="37"/>
      <c r="DZ3015" s="37"/>
      <c r="EA3015" s="37"/>
      <c r="EB3015" s="37"/>
      <c r="EC3015" s="37"/>
      <c r="ED3015" s="37"/>
      <c r="EE3015" s="37"/>
      <c r="EF3015" s="37"/>
      <c r="EG3015" s="37"/>
      <c r="EH3015" s="37"/>
      <c r="EI3015" s="37"/>
      <c r="EJ3015" s="37"/>
      <c r="EK3015" s="37"/>
      <c r="EL3015" s="37"/>
      <c r="EM3015" s="37"/>
      <c r="EN3015" s="37"/>
      <c r="EO3015" s="37"/>
      <c r="EP3015" s="37"/>
      <c r="EQ3015" s="37"/>
      <c r="ER3015" s="37"/>
      <c r="ES3015" s="37"/>
      <c r="ET3015" s="37"/>
      <c r="EU3015" s="37"/>
      <c r="EV3015" s="37"/>
      <c r="EW3015" s="37"/>
      <c r="EX3015" s="37"/>
      <c r="EY3015" s="37"/>
      <c r="EZ3015" s="37"/>
      <c r="FA3015" s="37"/>
      <c r="FB3015" s="37"/>
      <c r="FC3015" s="37"/>
      <c r="FD3015" s="37"/>
      <c r="FE3015" s="37"/>
      <c r="FF3015" s="37"/>
      <c r="FG3015" s="37"/>
      <c r="FH3015" s="37"/>
      <c r="FI3015" s="37"/>
      <c r="FJ3015" s="37"/>
      <c r="FK3015" s="37"/>
      <c r="FL3015" s="37"/>
      <c r="FM3015" s="37"/>
      <c r="FN3015" s="37"/>
      <c r="FO3015" s="37"/>
      <c r="FP3015" s="37"/>
      <c r="FQ3015" s="37"/>
      <c r="FR3015" s="37"/>
      <c r="FS3015" s="37"/>
      <c r="FT3015" s="37"/>
      <c r="FU3015" s="37"/>
      <c r="FV3015" s="37"/>
      <c r="FW3015" s="37"/>
      <c r="FX3015" s="37"/>
      <c r="FY3015" s="37"/>
      <c r="FZ3015" s="37"/>
      <c r="GA3015" s="37"/>
      <c r="GB3015" s="37"/>
      <c r="GC3015" s="37"/>
      <c r="GD3015" s="37"/>
      <c r="GE3015" s="37"/>
      <c r="GF3015" s="37"/>
      <c r="GG3015" s="37"/>
      <c r="GH3015" s="37"/>
      <c r="GI3015" s="37"/>
      <c r="GJ3015" s="37"/>
      <c r="GK3015" s="37"/>
      <c r="GL3015" s="37"/>
      <c r="GM3015" s="37"/>
      <c r="GN3015" s="37"/>
      <c r="GO3015" s="37"/>
      <c r="GP3015" s="37"/>
      <c r="GQ3015" s="37"/>
      <c r="GR3015" s="37"/>
      <c r="GS3015" s="37"/>
      <c r="GT3015" s="37"/>
      <c r="GU3015" s="37"/>
      <c r="GV3015" s="37"/>
      <c r="GW3015" s="37"/>
      <c r="GX3015" s="37"/>
      <c r="GY3015" s="37"/>
      <c r="GZ3015" s="37"/>
      <c r="HA3015" s="37"/>
      <c r="HB3015" s="37"/>
      <c r="HC3015" s="37"/>
      <c r="HD3015" s="37"/>
      <c r="HE3015" s="37"/>
      <c r="HF3015" s="37"/>
      <c r="HG3015" s="37"/>
      <c r="HH3015" s="37"/>
      <c r="HI3015" s="37"/>
      <c r="HJ3015" s="37"/>
      <c r="HK3015" s="37"/>
      <c r="HL3015" s="37"/>
      <c r="HM3015" s="37"/>
      <c r="HN3015" s="37"/>
      <c r="HO3015" s="37"/>
      <c r="HP3015" s="37"/>
      <c r="HQ3015" s="37"/>
      <c r="HR3015" s="37"/>
      <c r="HS3015" s="37"/>
      <c r="HT3015" s="37"/>
      <c r="HU3015" s="37"/>
      <c r="HV3015" s="37"/>
      <c r="HW3015" s="37"/>
      <c r="HX3015" s="37"/>
      <c r="HY3015" s="37"/>
      <c r="HZ3015" s="37"/>
      <c r="IA3015" s="37"/>
      <c r="IB3015" s="37"/>
      <c r="IC3015" s="37"/>
      <c r="ID3015" s="37"/>
      <c r="IE3015" s="37"/>
      <c r="IF3015" s="37"/>
      <c r="IG3015" s="37"/>
      <c r="IH3015" s="37"/>
      <c r="II3015" s="37"/>
      <c r="IJ3015" s="37"/>
      <c r="IK3015" s="37"/>
      <c r="IL3015" s="37"/>
      <c r="IM3015" s="37"/>
      <c r="IN3015" s="37"/>
      <c r="IO3015" s="37"/>
      <c r="IP3015" s="37"/>
      <c r="IQ3015" s="37"/>
      <c r="IR3015" s="37"/>
      <c r="IS3015" s="37"/>
      <c r="IT3015" s="37"/>
      <c r="IU3015" s="37"/>
      <c r="IV3015" s="37"/>
      <c r="IW3015" s="37"/>
      <c r="IX3015" s="37"/>
      <c r="IY3015" s="37"/>
      <c r="IZ3015" s="37"/>
      <c r="JA3015" s="37"/>
      <c r="JB3015" s="37"/>
      <c r="JC3015" s="37"/>
      <c r="JD3015" s="37"/>
      <c r="JE3015" s="37"/>
      <c r="JF3015" s="37"/>
      <c r="JG3015" s="37"/>
      <c r="JH3015" s="37"/>
      <c r="JI3015" s="37"/>
      <c r="JJ3015" s="37"/>
      <c r="JK3015" s="37"/>
      <c r="JL3015" s="37"/>
      <c r="JM3015" s="37"/>
      <c r="JN3015" s="37"/>
      <c r="JO3015" s="37"/>
      <c r="JP3015" s="37"/>
      <c r="JQ3015" s="37"/>
      <c r="JR3015" s="37"/>
      <c r="JS3015" s="37"/>
      <c r="JT3015" s="37"/>
      <c r="JU3015" s="37"/>
      <c r="JV3015" s="37"/>
      <c r="JW3015" s="37"/>
      <c r="JX3015" s="37"/>
      <c r="JY3015" s="37"/>
      <c r="JZ3015" s="37"/>
      <c r="KA3015" s="37"/>
      <c r="KB3015" s="37"/>
      <c r="KC3015" s="37"/>
      <c r="KD3015" s="37"/>
      <c r="KE3015" s="37"/>
      <c r="KF3015" s="37"/>
      <c r="KG3015" s="37"/>
      <c r="KH3015" s="37"/>
      <c r="KI3015" s="37"/>
      <c r="KJ3015" s="37"/>
      <c r="KK3015" s="37"/>
      <c r="KL3015" s="37"/>
      <c r="KM3015" s="37"/>
      <c r="KN3015" s="37"/>
      <c r="KO3015" s="37"/>
      <c r="KP3015" s="37"/>
      <c r="KQ3015" s="37"/>
      <c r="KR3015" s="37"/>
      <c r="KS3015" s="37"/>
      <c r="KT3015" s="37"/>
      <c r="KU3015" s="37"/>
      <c r="KV3015" s="37"/>
      <c r="KW3015" s="37"/>
      <c r="KX3015" s="37"/>
      <c r="KY3015" s="37"/>
      <c r="KZ3015" s="37"/>
      <c r="LA3015" s="37"/>
      <c r="LB3015" s="37"/>
      <c r="LC3015" s="37"/>
      <c r="LD3015" s="37"/>
      <c r="LE3015" s="37"/>
      <c r="LF3015" s="37"/>
      <c r="LG3015" s="37"/>
      <c r="LH3015" s="37"/>
      <c r="LI3015" s="37"/>
      <c r="LJ3015" s="37"/>
      <c r="LK3015" s="37"/>
      <c r="LL3015" s="37"/>
      <c r="LM3015" s="37"/>
      <c r="LN3015" s="37"/>
      <c r="LO3015" s="37"/>
      <c r="LP3015" s="37"/>
      <c r="LQ3015" s="37"/>
      <c r="LR3015" s="37"/>
      <c r="LS3015" s="37"/>
      <c r="LT3015" s="37"/>
      <c r="LU3015" s="37"/>
      <c r="LV3015" s="37"/>
      <c r="LW3015" s="37"/>
      <c r="LX3015" s="37"/>
      <c r="LY3015" s="37"/>
      <c r="LZ3015" s="37"/>
      <c r="MA3015" s="37"/>
      <c r="MB3015" s="37"/>
      <c r="MC3015" s="37"/>
      <c r="MD3015" s="37"/>
      <c r="ME3015" s="37"/>
      <c r="MF3015" s="37"/>
      <c r="MG3015" s="37"/>
      <c r="MH3015" s="37"/>
      <c r="MI3015" s="37"/>
      <c r="MJ3015" s="37"/>
      <c r="MK3015" s="37"/>
      <c r="ML3015" s="37"/>
      <c r="MM3015" s="37"/>
      <c r="MN3015" s="37"/>
      <c r="MO3015" s="37"/>
      <c r="MP3015" s="37"/>
      <c r="MQ3015" s="37"/>
      <c r="MR3015" s="37"/>
      <c r="MS3015" s="37"/>
      <c r="MT3015" s="37"/>
      <c r="MU3015" s="37"/>
      <c r="MV3015" s="37"/>
      <c r="MW3015" s="37"/>
      <c r="MX3015" s="37"/>
      <c r="MY3015" s="37"/>
      <c r="MZ3015" s="37"/>
      <c r="NA3015" s="37"/>
      <c r="NB3015" s="37"/>
      <c r="NC3015" s="37"/>
      <c r="ND3015" s="37"/>
      <c r="NE3015" s="37"/>
      <c r="NF3015" s="37"/>
      <c r="NG3015" s="37"/>
      <c r="NH3015" s="37"/>
      <c r="NI3015" s="37"/>
      <c r="NJ3015" s="37"/>
      <c r="NK3015" s="37"/>
      <c r="NL3015" s="37"/>
      <c r="NM3015" s="37"/>
      <c r="NN3015" s="37"/>
      <c r="NO3015" s="37"/>
      <c r="NP3015" s="37"/>
      <c r="NQ3015" s="37"/>
      <c r="NR3015" s="37"/>
      <c r="NS3015" s="37"/>
      <c r="NT3015" s="37"/>
      <c r="NU3015" s="37"/>
      <c r="NV3015" s="37"/>
      <c r="NW3015" s="37"/>
      <c r="NX3015" s="37"/>
      <c r="NY3015" s="37"/>
      <c r="NZ3015" s="37"/>
      <c r="OA3015" s="37"/>
      <c r="OB3015" s="37"/>
      <c r="OC3015" s="37"/>
      <c r="OD3015" s="37"/>
      <c r="OE3015" s="37"/>
      <c r="OF3015" s="37"/>
      <c r="OG3015" s="37"/>
      <c r="OH3015" s="37"/>
      <c r="OI3015" s="37"/>
      <c r="OJ3015" s="37"/>
      <c r="OK3015" s="37"/>
      <c r="OL3015" s="37"/>
      <c r="OM3015" s="37"/>
      <c r="ON3015" s="37"/>
      <c r="OO3015" s="37"/>
      <c r="OP3015" s="37"/>
      <c r="OQ3015" s="37"/>
      <c r="OR3015" s="37"/>
      <c r="OS3015" s="37"/>
      <c r="OT3015" s="37"/>
      <c r="OU3015" s="37"/>
      <c r="OV3015" s="37"/>
      <c r="OW3015" s="37"/>
      <c r="OX3015" s="37"/>
      <c r="OY3015" s="37"/>
      <c r="OZ3015" s="37"/>
      <c r="PA3015" s="37"/>
      <c r="PB3015" s="37"/>
      <c r="PC3015" s="37"/>
      <c r="PD3015" s="37"/>
      <c r="PE3015" s="37"/>
      <c r="PF3015" s="37"/>
      <c r="PG3015" s="37"/>
      <c r="PH3015" s="37"/>
      <c r="PI3015" s="37"/>
      <c r="PJ3015" s="37"/>
      <c r="PK3015" s="37"/>
      <c r="PL3015" s="37"/>
      <c r="PM3015" s="37"/>
      <c r="PN3015" s="37"/>
      <c r="PO3015" s="37"/>
      <c r="PP3015" s="37"/>
      <c r="PQ3015" s="37"/>
      <c r="PR3015" s="37"/>
      <c r="PS3015" s="37"/>
      <c r="PT3015" s="37"/>
      <c r="PU3015" s="37"/>
      <c r="PV3015" s="37"/>
      <c r="PW3015" s="37"/>
      <c r="PX3015" s="37"/>
      <c r="PY3015" s="37"/>
      <c r="PZ3015" s="37"/>
      <c r="QA3015" s="37"/>
      <c r="QB3015" s="37"/>
      <c r="QC3015" s="37"/>
      <c r="QD3015" s="37"/>
      <c r="QE3015" s="37"/>
      <c r="QF3015" s="37"/>
      <c r="QG3015" s="37"/>
      <c r="QH3015" s="37"/>
      <c r="QI3015" s="37"/>
      <c r="QJ3015" s="37"/>
      <c r="QK3015" s="37"/>
      <c r="QL3015" s="37"/>
      <c r="QM3015" s="37"/>
      <c r="QN3015" s="37"/>
      <c r="QO3015" s="37"/>
      <c r="QP3015" s="37"/>
      <c r="QQ3015" s="37"/>
      <c r="QR3015" s="37"/>
      <c r="QS3015" s="37"/>
      <c r="QT3015" s="37"/>
      <c r="QU3015" s="37"/>
      <c r="QV3015" s="37"/>
      <c r="QW3015" s="37"/>
      <c r="QX3015" s="37"/>
      <c r="QY3015" s="37"/>
      <c r="QZ3015" s="37"/>
      <c r="RA3015" s="37"/>
      <c r="RB3015" s="37"/>
      <c r="RC3015" s="37"/>
      <c r="RD3015" s="37"/>
      <c r="RE3015" s="37"/>
      <c r="RF3015" s="37"/>
      <c r="RG3015" s="37"/>
      <c r="RH3015" s="37"/>
      <c r="RI3015" s="37"/>
      <c r="RJ3015" s="37"/>
      <c r="RK3015" s="37"/>
      <c r="RL3015" s="37"/>
      <c r="RM3015" s="37"/>
      <c r="RN3015" s="37"/>
      <c r="RO3015" s="37"/>
      <c r="RP3015" s="37"/>
      <c r="RQ3015" s="37"/>
      <c r="RR3015" s="37"/>
      <c r="RS3015" s="37"/>
      <c r="RT3015" s="37"/>
      <c r="RU3015" s="37"/>
      <c r="RV3015" s="37"/>
      <c r="RW3015" s="37"/>
      <c r="RX3015" s="37"/>
      <c r="RY3015" s="37"/>
      <c r="RZ3015" s="37"/>
      <c r="SA3015" s="37"/>
      <c r="SB3015" s="37"/>
      <c r="SC3015" s="37"/>
      <c r="SD3015" s="37"/>
      <c r="SE3015" s="37"/>
      <c r="SF3015" s="37"/>
    </row>
    <row r="3016" spans="1:500">
      <c r="A3016" s="37"/>
      <c r="B3016" s="37"/>
      <c r="C3016" s="37"/>
      <c r="D3016" s="37"/>
      <c r="E3016" s="37"/>
      <c r="F3016" s="37"/>
      <c r="G3016" s="37"/>
      <c r="H3016" s="37"/>
      <c r="I3016" s="37"/>
      <c r="J3016" s="37"/>
      <c r="K3016" s="37"/>
      <c r="L3016" s="37"/>
      <c r="M3016" s="37"/>
      <c r="N3016" s="37"/>
      <c r="O3016" s="37"/>
      <c r="P3016" s="37"/>
      <c r="Q3016" s="37"/>
      <c r="R3016" s="37"/>
      <c r="S3016" s="37"/>
      <c r="T3016" s="37"/>
      <c r="U3016" s="37"/>
      <c r="V3016" s="37"/>
      <c r="W3016" s="37"/>
      <c r="X3016" s="37"/>
      <c r="Y3016" s="37"/>
      <c r="Z3016" s="37"/>
      <c r="AA3016" s="37"/>
      <c r="AB3016" s="37"/>
      <c r="AC3016" s="37"/>
      <c r="AD3016" s="37"/>
      <c r="AE3016" s="37"/>
      <c r="AF3016" s="37"/>
      <c r="AG3016" s="37"/>
      <c r="AH3016" s="37"/>
      <c r="AI3016" s="37"/>
      <c r="AJ3016" s="37"/>
      <c r="AK3016" s="37"/>
      <c r="AL3016" s="37"/>
      <c r="AM3016" s="37"/>
      <c r="AN3016" s="37"/>
      <c r="AO3016" s="37"/>
      <c r="AP3016" s="37"/>
      <c r="AQ3016" s="37"/>
      <c r="AR3016" s="37"/>
      <c r="AS3016" s="37"/>
      <c r="AT3016" s="37"/>
      <c r="AU3016" s="37"/>
      <c r="AV3016" s="37"/>
      <c r="AW3016" s="37"/>
      <c r="AX3016" s="37"/>
      <c r="AY3016" s="37"/>
      <c r="AZ3016" s="37"/>
      <c r="BA3016" s="37"/>
      <c r="BB3016" s="37"/>
      <c r="BC3016" s="37"/>
      <c r="BD3016" s="37"/>
      <c r="BE3016" s="37"/>
      <c r="BF3016" s="37"/>
      <c r="BG3016" s="37"/>
      <c r="BH3016" s="37"/>
      <c r="BI3016" s="37"/>
      <c r="BJ3016" s="37"/>
      <c r="BK3016" s="37"/>
      <c r="BL3016" s="37"/>
      <c r="BM3016" s="37"/>
      <c r="BN3016" s="37"/>
      <c r="BO3016" s="37"/>
      <c r="BP3016" s="37"/>
      <c r="BQ3016" s="37"/>
      <c r="BR3016" s="37"/>
      <c r="BS3016" s="37"/>
      <c r="BT3016" s="37"/>
      <c r="BU3016" s="37"/>
      <c r="BV3016" s="37"/>
      <c r="BW3016" s="37"/>
      <c r="BX3016" s="37"/>
      <c r="BY3016" s="37"/>
      <c r="BZ3016" s="37"/>
      <c r="CA3016" s="37"/>
      <c r="CB3016" s="37"/>
      <c r="CC3016" s="37"/>
      <c r="CD3016" s="37"/>
      <c r="CE3016" s="37"/>
      <c r="CF3016" s="37"/>
      <c r="CG3016" s="37"/>
      <c r="CH3016" s="37"/>
      <c r="CI3016" s="37"/>
      <c r="CJ3016" s="37"/>
      <c r="CK3016" s="37"/>
      <c r="CL3016" s="37"/>
      <c r="CM3016" s="37"/>
      <c r="CN3016" s="37"/>
      <c r="CO3016" s="37"/>
      <c r="CP3016" s="37"/>
      <c r="CQ3016" s="37"/>
      <c r="CR3016" s="37"/>
      <c r="CS3016" s="37"/>
      <c r="CT3016" s="37"/>
      <c r="CU3016" s="37"/>
      <c r="CV3016" s="37"/>
      <c r="CW3016" s="37"/>
      <c r="CX3016" s="37"/>
      <c r="CY3016" s="37"/>
      <c r="CZ3016" s="37"/>
      <c r="DA3016" s="37"/>
      <c r="DB3016" s="37"/>
      <c r="DC3016" s="37"/>
      <c r="DD3016" s="37"/>
      <c r="DE3016" s="37"/>
      <c r="DF3016" s="37"/>
      <c r="DG3016" s="37"/>
      <c r="DH3016" s="37"/>
      <c r="DI3016" s="37"/>
      <c r="DJ3016" s="37"/>
      <c r="DK3016" s="37"/>
      <c r="DL3016" s="37"/>
      <c r="DM3016" s="37"/>
      <c r="DN3016" s="37"/>
      <c r="DO3016" s="37"/>
      <c r="DP3016" s="37"/>
      <c r="DQ3016" s="37"/>
      <c r="DR3016" s="37"/>
      <c r="DS3016" s="37"/>
      <c r="DT3016" s="37"/>
      <c r="DU3016" s="37"/>
      <c r="DV3016" s="37"/>
      <c r="DW3016" s="37"/>
      <c r="DX3016" s="37"/>
      <c r="DY3016" s="37"/>
      <c r="DZ3016" s="37"/>
      <c r="EA3016" s="37"/>
      <c r="EB3016" s="37"/>
      <c r="EC3016" s="37"/>
      <c r="ED3016" s="37"/>
      <c r="EE3016" s="37"/>
      <c r="EF3016" s="37"/>
      <c r="EG3016" s="37"/>
      <c r="EH3016" s="37"/>
      <c r="EI3016" s="37"/>
      <c r="EJ3016" s="37"/>
      <c r="EK3016" s="37"/>
      <c r="EL3016" s="37"/>
      <c r="EM3016" s="37"/>
      <c r="EN3016" s="37"/>
      <c r="EO3016" s="37"/>
      <c r="EP3016" s="37"/>
      <c r="EQ3016" s="37"/>
      <c r="ER3016" s="37"/>
      <c r="ES3016" s="37"/>
      <c r="ET3016" s="37"/>
      <c r="EU3016" s="37"/>
      <c r="EV3016" s="37"/>
      <c r="EW3016" s="37"/>
      <c r="EX3016" s="37"/>
      <c r="EY3016" s="37"/>
      <c r="EZ3016" s="37"/>
      <c r="FA3016" s="37"/>
      <c r="FB3016" s="37"/>
      <c r="FC3016" s="37"/>
      <c r="FD3016" s="37"/>
      <c r="FE3016" s="37"/>
      <c r="FF3016" s="37"/>
      <c r="FG3016" s="37"/>
      <c r="FH3016" s="37"/>
      <c r="FI3016" s="37"/>
      <c r="FJ3016" s="37"/>
      <c r="FK3016" s="37"/>
      <c r="FL3016" s="37"/>
      <c r="FM3016" s="37"/>
      <c r="FN3016" s="37"/>
      <c r="FO3016" s="37"/>
      <c r="FP3016" s="37"/>
      <c r="FQ3016" s="37"/>
      <c r="FR3016" s="37"/>
      <c r="FS3016" s="37"/>
      <c r="FT3016" s="37"/>
      <c r="FU3016" s="37"/>
      <c r="FV3016" s="37"/>
      <c r="FW3016" s="37"/>
      <c r="FX3016" s="37"/>
      <c r="FY3016" s="37"/>
      <c r="FZ3016" s="37"/>
      <c r="GA3016" s="37"/>
      <c r="GB3016" s="37"/>
      <c r="GC3016" s="37"/>
      <c r="GD3016" s="37"/>
      <c r="GE3016" s="37"/>
      <c r="GF3016" s="37"/>
      <c r="GG3016" s="37"/>
      <c r="GH3016" s="37"/>
      <c r="GI3016" s="37"/>
      <c r="GJ3016" s="37"/>
      <c r="GK3016" s="37"/>
      <c r="GL3016" s="37"/>
      <c r="GM3016" s="37"/>
      <c r="GN3016" s="37"/>
      <c r="GO3016" s="37"/>
      <c r="GP3016" s="37"/>
      <c r="GQ3016" s="37"/>
      <c r="GR3016" s="37"/>
      <c r="GS3016" s="37"/>
      <c r="GT3016" s="37"/>
      <c r="GU3016" s="37"/>
      <c r="GV3016" s="37"/>
      <c r="GW3016" s="37"/>
      <c r="GX3016" s="37"/>
      <c r="GY3016" s="37"/>
      <c r="GZ3016" s="37"/>
      <c r="HA3016" s="37"/>
      <c r="HB3016" s="37"/>
      <c r="HC3016" s="37"/>
      <c r="HD3016" s="37"/>
      <c r="HE3016" s="37"/>
      <c r="HF3016" s="37"/>
      <c r="HG3016" s="37"/>
      <c r="HH3016" s="37"/>
      <c r="HI3016" s="37"/>
      <c r="HJ3016" s="37"/>
      <c r="HK3016" s="37"/>
      <c r="HL3016" s="37"/>
      <c r="HM3016" s="37"/>
      <c r="HN3016" s="37"/>
      <c r="HO3016" s="37"/>
      <c r="HP3016" s="37"/>
      <c r="HQ3016" s="37"/>
      <c r="HR3016" s="37"/>
      <c r="HS3016" s="37"/>
      <c r="HT3016" s="37"/>
      <c r="HU3016" s="37"/>
      <c r="HV3016" s="37"/>
      <c r="HW3016" s="37"/>
      <c r="HX3016" s="37"/>
      <c r="HY3016" s="37"/>
      <c r="HZ3016" s="37"/>
      <c r="IA3016" s="37"/>
      <c r="IB3016" s="37"/>
      <c r="IC3016" s="37"/>
      <c r="ID3016" s="37"/>
      <c r="IE3016" s="37"/>
      <c r="IF3016" s="37"/>
      <c r="IG3016" s="37"/>
      <c r="IH3016" s="37"/>
      <c r="II3016" s="37"/>
      <c r="IJ3016" s="37"/>
      <c r="IK3016" s="37"/>
      <c r="IL3016" s="37"/>
      <c r="IM3016" s="37"/>
      <c r="IN3016" s="37"/>
      <c r="IO3016" s="37"/>
      <c r="IP3016" s="37"/>
      <c r="IQ3016" s="37"/>
      <c r="IR3016" s="37"/>
      <c r="IS3016" s="37"/>
      <c r="IT3016" s="37"/>
      <c r="IU3016" s="37"/>
      <c r="IV3016" s="37"/>
      <c r="IW3016" s="37"/>
      <c r="IX3016" s="37"/>
      <c r="IY3016" s="37"/>
      <c r="IZ3016" s="37"/>
      <c r="JA3016" s="37"/>
      <c r="JB3016" s="37"/>
      <c r="JC3016" s="37"/>
      <c r="JD3016" s="37"/>
      <c r="JE3016" s="37"/>
      <c r="JF3016" s="37"/>
      <c r="JG3016" s="37"/>
      <c r="JH3016" s="37"/>
      <c r="JI3016" s="37"/>
      <c r="JJ3016" s="37"/>
      <c r="JK3016" s="37"/>
      <c r="JL3016" s="37"/>
      <c r="JM3016" s="37"/>
      <c r="JN3016" s="37"/>
      <c r="JO3016" s="37"/>
      <c r="JP3016" s="37"/>
      <c r="JQ3016" s="37"/>
      <c r="JR3016" s="37"/>
      <c r="JS3016" s="37"/>
      <c r="JT3016" s="37"/>
      <c r="JU3016" s="37"/>
      <c r="JV3016" s="37"/>
      <c r="JW3016" s="37"/>
      <c r="JX3016" s="37"/>
      <c r="JY3016" s="37"/>
      <c r="JZ3016" s="37"/>
      <c r="KA3016" s="37"/>
      <c r="KB3016" s="37"/>
      <c r="KC3016" s="37"/>
      <c r="KD3016" s="37"/>
      <c r="KE3016" s="37"/>
      <c r="KF3016" s="37"/>
      <c r="KG3016" s="37"/>
      <c r="KH3016" s="37"/>
      <c r="KI3016" s="37"/>
      <c r="KJ3016" s="37"/>
      <c r="KK3016" s="37"/>
      <c r="KL3016" s="37"/>
      <c r="KM3016" s="37"/>
      <c r="KN3016" s="37"/>
      <c r="KO3016" s="37"/>
      <c r="KP3016" s="37"/>
      <c r="KQ3016" s="37"/>
      <c r="KR3016" s="37"/>
      <c r="KS3016" s="37"/>
      <c r="KT3016" s="37"/>
      <c r="KU3016" s="37"/>
      <c r="KV3016" s="37"/>
      <c r="KW3016" s="37"/>
      <c r="KX3016" s="37"/>
      <c r="KY3016" s="37"/>
      <c r="KZ3016" s="37"/>
      <c r="LA3016" s="37"/>
      <c r="LB3016" s="37"/>
      <c r="LC3016" s="37"/>
      <c r="LD3016" s="37"/>
      <c r="LE3016" s="37"/>
      <c r="LF3016" s="37"/>
      <c r="LG3016" s="37"/>
      <c r="LH3016" s="37"/>
      <c r="LI3016" s="37"/>
      <c r="LJ3016" s="37"/>
      <c r="LK3016" s="37"/>
      <c r="LL3016" s="37"/>
      <c r="LM3016" s="37"/>
      <c r="LN3016" s="37"/>
      <c r="LO3016" s="37"/>
      <c r="LP3016" s="37"/>
      <c r="LQ3016" s="37"/>
      <c r="LR3016" s="37"/>
      <c r="LS3016" s="37"/>
      <c r="LT3016" s="37"/>
      <c r="LU3016" s="37"/>
      <c r="LV3016" s="37"/>
      <c r="LW3016" s="37"/>
      <c r="LX3016" s="37"/>
      <c r="LY3016" s="37"/>
      <c r="LZ3016" s="37"/>
      <c r="MA3016" s="37"/>
      <c r="MB3016" s="37"/>
      <c r="MC3016" s="37"/>
      <c r="MD3016" s="37"/>
      <c r="ME3016" s="37"/>
      <c r="MF3016" s="37"/>
      <c r="MG3016" s="37"/>
      <c r="MH3016" s="37"/>
      <c r="MI3016" s="37"/>
      <c r="MJ3016" s="37"/>
      <c r="MK3016" s="37"/>
      <c r="ML3016" s="37"/>
      <c r="MM3016" s="37"/>
      <c r="MN3016" s="37"/>
      <c r="MO3016" s="37"/>
      <c r="MP3016" s="37"/>
      <c r="MQ3016" s="37"/>
      <c r="MR3016" s="37"/>
      <c r="MS3016" s="37"/>
      <c r="MT3016" s="37"/>
      <c r="MU3016" s="37"/>
      <c r="MV3016" s="37"/>
      <c r="MW3016" s="37"/>
      <c r="MX3016" s="37"/>
      <c r="MY3016" s="37"/>
      <c r="MZ3016" s="37"/>
      <c r="NA3016" s="37"/>
      <c r="NB3016" s="37"/>
      <c r="NC3016" s="37"/>
      <c r="ND3016" s="37"/>
      <c r="NE3016" s="37"/>
      <c r="NF3016" s="37"/>
      <c r="NG3016" s="37"/>
      <c r="NH3016" s="37"/>
      <c r="NI3016" s="37"/>
      <c r="NJ3016" s="37"/>
      <c r="NK3016" s="37"/>
      <c r="NL3016" s="37"/>
      <c r="NM3016" s="37"/>
      <c r="NN3016" s="37"/>
      <c r="NO3016" s="37"/>
      <c r="NP3016" s="37"/>
      <c r="NQ3016" s="37"/>
      <c r="NR3016" s="37"/>
      <c r="NS3016" s="37"/>
      <c r="NT3016" s="37"/>
      <c r="NU3016" s="37"/>
      <c r="NV3016" s="37"/>
      <c r="NW3016" s="37"/>
      <c r="NX3016" s="37"/>
      <c r="NY3016" s="37"/>
      <c r="NZ3016" s="37"/>
      <c r="OA3016" s="37"/>
      <c r="OB3016" s="37"/>
      <c r="OC3016" s="37"/>
      <c r="OD3016" s="37"/>
      <c r="OE3016" s="37"/>
      <c r="OF3016" s="37"/>
      <c r="OG3016" s="37"/>
      <c r="OH3016" s="37"/>
      <c r="OI3016" s="37"/>
      <c r="OJ3016" s="37"/>
      <c r="OK3016" s="37"/>
      <c r="OL3016" s="37"/>
      <c r="OM3016" s="37"/>
      <c r="ON3016" s="37"/>
      <c r="OO3016" s="37"/>
      <c r="OP3016" s="37"/>
      <c r="OQ3016" s="37"/>
      <c r="OR3016" s="37"/>
      <c r="OS3016" s="37"/>
      <c r="OT3016" s="37"/>
      <c r="OU3016" s="37"/>
      <c r="OV3016" s="37"/>
      <c r="OW3016" s="37"/>
      <c r="OX3016" s="37"/>
      <c r="OY3016" s="37"/>
      <c r="OZ3016" s="37"/>
      <c r="PA3016" s="37"/>
      <c r="PB3016" s="37"/>
      <c r="PC3016" s="37"/>
      <c r="PD3016" s="37"/>
      <c r="PE3016" s="37"/>
      <c r="PF3016" s="37"/>
      <c r="PG3016" s="37"/>
      <c r="PH3016" s="37"/>
      <c r="PI3016" s="37"/>
      <c r="PJ3016" s="37"/>
      <c r="PK3016" s="37"/>
      <c r="PL3016" s="37"/>
      <c r="PM3016" s="37"/>
      <c r="PN3016" s="37"/>
      <c r="PO3016" s="37"/>
      <c r="PP3016" s="37"/>
      <c r="PQ3016" s="37"/>
      <c r="PR3016" s="37"/>
      <c r="PS3016" s="37"/>
      <c r="PT3016" s="37"/>
      <c r="PU3016" s="37"/>
      <c r="PV3016" s="37"/>
      <c r="PW3016" s="37"/>
      <c r="PX3016" s="37"/>
      <c r="PY3016" s="37"/>
      <c r="PZ3016" s="37"/>
      <c r="QA3016" s="37"/>
      <c r="QB3016" s="37"/>
      <c r="QC3016" s="37"/>
      <c r="QD3016" s="37"/>
      <c r="QE3016" s="37"/>
      <c r="QF3016" s="37"/>
      <c r="QG3016" s="37"/>
      <c r="QH3016" s="37"/>
      <c r="QI3016" s="37"/>
      <c r="QJ3016" s="37"/>
      <c r="QK3016" s="37"/>
      <c r="QL3016" s="37"/>
      <c r="QM3016" s="37"/>
      <c r="QN3016" s="37"/>
      <c r="QO3016" s="37"/>
      <c r="QP3016" s="37"/>
      <c r="QQ3016" s="37"/>
      <c r="QR3016" s="37"/>
      <c r="QS3016" s="37"/>
      <c r="QT3016" s="37"/>
      <c r="QU3016" s="37"/>
      <c r="QV3016" s="37"/>
      <c r="QW3016" s="37"/>
      <c r="QX3016" s="37"/>
      <c r="QY3016" s="37"/>
      <c r="QZ3016" s="37"/>
      <c r="RA3016" s="37"/>
      <c r="RB3016" s="37"/>
      <c r="RC3016" s="37"/>
      <c r="RD3016" s="37"/>
      <c r="RE3016" s="37"/>
      <c r="RF3016" s="37"/>
      <c r="RG3016" s="37"/>
      <c r="RH3016" s="37"/>
      <c r="RI3016" s="37"/>
      <c r="RJ3016" s="37"/>
      <c r="RK3016" s="37"/>
      <c r="RL3016" s="37"/>
      <c r="RM3016" s="37"/>
      <c r="RN3016" s="37"/>
      <c r="RO3016" s="37"/>
      <c r="RP3016" s="37"/>
      <c r="RQ3016" s="37"/>
      <c r="RR3016" s="37"/>
      <c r="RS3016" s="37"/>
      <c r="RT3016" s="37"/>
      <c r="RU3016" s="37"/>
      <c r="RV3016" s="37"/>
      <c r="RW3016" s="37"/>
      <c r="RX3016" s="37"/>
      <c r="RY3016" s="37"/>
      <c r="RZ3016" s="37"/>
      <c r="SA3016" s="37"/>
      <c r="SB3016" s="37"/>
      <c r="SC3016" s="37"/>
      <c r="SD3016" s="37"/>
      <c r="SE3016" s="37"/>
      <c r="SF3016" s="37"/>
    </row>
    <row r="3017" spans="1:500">
      <c r="A3017" s="37"/>
      <c r="B3017" s="37"/>
      <c r="C3017" s="37"/>
      <c r="D3017" s="37"/>
      <c r="E3017" s="37"/>
      <c r="F3017" s="37"/>
      <c r="G3017" s="37"/>
      <c r="H3017" s="37"/>
      <c r="I3017" s="37"/>
      <c r="J3017" s="37"/>
      <c r="K3017" s="37"/>
      <c r="L3017" s="37"/>
      <c r="M3017" s="37"/>
      <c r="N3017" s="37"/>
      <c r="O3017" s="37"/>
      <c r="P3017" s="37"/>
      <c r="Q3017" s="37"/>
      <c r="R3017" s="37"/>
      <c r="S3017" s="37"/>
      <c r="T3017" s="37"/>
      <c r="U3017" s="37"/>
      <c r="V3017" s="37"/>
      <c r="W3017" s="37"/>
      <c r="X3017" s="37"/>
      <c r="Y3017" s="37"/>
      <c r="Z3017" s="37"/>
      <c r="AA3017" s="37"/>
      <c r="AB3017" s="37"/>
      <c r="AC3017" s="37"/>
      <c r="AD3017" s="37"/>
      <c r="AE3017" s="37"/>
      <c r="AF3017" s="37"/>
      <c r="AG3017" s="37"/>
      <c r="AH3017" s="37"/>
      <c r="AI3017" s="37"/>
      <c r="AJ3017" s="37"/>
      <c r="AK3017" s="37"/>
      <c r="AL3017" s="37"/>
      <c r="AM3017" s="37"/>
      <c r="AN3017" s="37"/>
      <c r="AO3017" s="37"/>
      <c r="AP3017" s="37"/>
      <c r="AQ3017" s="37"/>
      <c r="AR3017" s="37"/>
      <c r="AS3017" s="37"/>
      <c r="AT3017" s="37"/>
      <c r="AU3017" s="37"/>
      <c r="AV3017" s="37"/>
      <c r="AW3017" s="37"/>
      <c r="AX3017" s="37"/>
      <c r="AY3017" s="37"/>
      <c r="AZ3017" s="37"/>
      <c r="BA3017" s="37"/>
      <c r="BB3017" s="37"/>
      <c r="BC3017" s="37"/>
      <c r="BD3017" s="37"/>
      <c r="BE3017" s="37"/>
      <c r="BF3017" s="37"/>
      <c r="BG3017" s="37"/>
      <c r="BH3017" s="37"/>
      <c r="BI3017" s="37"/>
      <c r="BJ3017" s="37"/>
      <c r="BK3017" s="37"/>
      <c r="BL3017" s="37"/>
      <c r="BM3017" s="37"/>
      <c r="BN3017" s="37"/>
      <c r="BO3017" s="37"/>
      <c r="BP3017" s="37"/>
      <c r="BQ3017" s="37"/>
      <c r="BR3017" s="37"/>
      <c r="BS3017" s="37"/>
      <c r="BT3017" s="37"/>
      <c r="BU3017" s="37"/>
      <c r="BV3017" s="37"/>
      <c r="BW3017" s="37"/>
      <c r="BX3017" s="37"/>
      <c r="BY3017" s="37"/>
      <c r="BZ3017" s="37"/>
      <c r="CA3017" s="37"/>
      <c r="CB3017" s="37"/>
      <c r="CC3017" s="37"/>
      <c r="CD3017" s="37"/>
      <c r="CE3017" s="37"/>
      <c r="CF3017" s="37"/>
      <c r="CG3017" s="37"/>
      <c r="CH3017" s="37"/>
      <c r="CI3017" s="37"/>
      <c r="CJ3017" s="37"/>
      <c r="CK3017" s="37"/>
      <c r="CL3017" s="37"/>
      <c r="CM3017" s="37"/>
      <c r="CN3017" s="37"/>
      <c r="CO3017" s="37"/>
      <c r="CP3017" s="37"/>
      <c r="CQ3017" s="37"/>
      <c r="CR3017" s="37"/>
      <c r="CS3017" s="37"/>
      <c r="CT3017" s="37"/>
      <c r="CU3017" s="37"/>
      <c r="CV3017" s="37"/>
      <c r="CW3017" s="37"/>
      <c r="CX3017" s="37"/>
      <c r="CY3017" s="37"/>
      <c r="CZ3017" s="37"/>
      <c r="DA3017" s="37"/>
      <c r="DB3017" s="37"/>
      <c r="DC3017" s="37"/>
      <c r="DD3017" s="37"/>
      <c r="DE3017" s="37"/>
      <c r="DF3017" s="37"/>
      <c r="DG3017" s="37"/>
      <c r="DH3017" s="37"/>
      <c r="DI3017" s="37"/>
      <c r="DJ3017" s="37"/>
      <c r="DK3017" s="37"/>
      <c r="DL3017" s="37"/>
      <c r="DM3017" s="37"/>
      <c r="DN3017" s="37"/>
      <c r="DO3017" s="37"/>
      <c r="DP3017" s="37"/>
      <c r="DQ3017" s="37"/>
      <c r="DR3017" s="37"/>
      <c r="DS3017" s="37"/>
      <c r="DT3017" s="37"/>
      <c r="DU3017" s="37"/>
      <c r="DV3017" s="37"/>
      <c r="DW3017" s="37"/>
      <c r="DX3017" s="37"/>
      <c r="DY3017" s="37"/>
      <c r="DZ3017" s="37"/>
      <c r="EA3017" s="37"/>
      <c r="EB3017" s="37"/>
      <c r="EC3017" s="37"/>
      <c r="ED3017" s="37"/>
      <c r="EE3017" s="37"/>
      <c r="EF3017" s="37"/>
      <c r="EG3017" s="37"/>
      <c r="EH3017" s="37"/>
      <c r="EI3017" s="37"/>
      <c r="EJ3017" s="37"/>
      <c r="EK3017" s="37"/>
      <c r="EL3017" s="37"/>
      <c r="EM3017" s="37"/>
      <c r="EN3017" s="37"/>
      <c r="EO3017" s="37"/>
      <c r="EP3017" s="37"/>
      <c r="EQ3017" s="37"/>
      <c r="ER3017" s="37"/>
      <c r="ES3017" s="37"/>
      <c r="ET3017" s="37"/>
      <c r="EU3017" s="37"/>
      <c r="EV3017" s="37"/>
      <c r="EW3017" s="37"/>
      <c r="EX3017" s="37"/>
      <c r="EY3017" s="37"/>
      <c r="EZ3017" s="37"/>
      <c r="FA3017" s="37"/>
      <c r="FB3017" s="37"/>
      <c r="FC3017" s="37"/>
      <c r="FD3017" s="37"/>
      <c r="FE3017" s="37"/>
      <c r="FF3017" s="37"/>
      <c r="FG3017" s="37"/>
      <c r="FH3017" s="37"/>
      <c r="FI3017" s="37"/>
      <c r="FJ3017" s="37"/>
      <c r="FK3017" s="37"/>
      <c r="FL3017" s="37"/>
      <c r="FM3017" s="37"/>
      <c r="FN3017" s="37"/>
      <c r="FO3017" s="37"/>
      <c r="FP3017" s="37"/>
      <c r="FQ3017" s="37"/>
      <c r="FR3017" s="37"/>
      <c r="FS3017" s="37"/>
      <c r="FT3017" s="37"/>
      <c r="FU3017" s="37"/>
      <c r="FV3017" s="37"/>
      <c r="FW3017" s="37"/>
      <c r="FX3017" s="37"/>
      <c r="FY3017" s="37"/>
      <c r="FZ3017" s="37"/>
      <c r="GA3017" s="37"/>
      <c r="GB3017" s="37"/>
      <c r="GC3017" s="37"/>
      <c r="GD3017" s="37"/>
      <c r="GE3017" s="37"/>
      <c r="GF3017" s="37"/>
      <c r="GG3017" s="37"/>
      <c r="GH3017" s="37"/>
      <c r="GI3017" s="37"/>
      <c r="GJ3017" s="37"/>
      <c r="GK3017" s="37"/>
      <c r="GL3017" s="37"/>
      <c r="GM3017" s="37"/>
      <c r="GN3017" s="37"/>
      <c r="GO3017" s="37"/>
      <c r="GP3017" s="37"/>
      <c r="GQ3017" s="37"/>
      <c r="GR3017" s="37"/>
      <c r="GS3017" s="37"/>
      <c r="GT3017" s="37"/>
      <c r="GU3017" s="37"/>
      <c r="GV3017" s="37"/>
      <c r="GW3017" s="37"/>
      <c r="GX3017" s="37"/>
      <c r="GY3017" s="37"/>
      <c r="GZ3017" s="37"/>
      <c r="HA3017" s="37"/>
      <c r="HB3017" s="37"/>
      <c r="HC3017" s="37"/>
      <c r="HD3017" s="37"/>
      <c r="HE3017" s="37"/>
      <c r="HF3017" s="37"/>
      <c r="HG3017" s="37"/>
      <c r="HH3017" s="37"/>
      <c r="HI3017" s="37"/>
      <c r="HJ3017" s="37"/>
      <c r="HK3017" s="37"/>
      <c r="HL3017" s="37"/>
      <c r="HM3017" s="37"/>
      <c r="HN3017" s="37"/>
      <c r="HO3017" s="37"/>
      <c r="HP3017" s="37"/>
      <c r="HQ3017" s="37"/>
      <c r="HR3017" s="37"/>
      <c r="HS3017" s="37"/>
      <c r="HT3017" s="37"/>
      <c r="HU3017" s="37"/>
      <c r="HV3017" s="37"/>
      <c r="HW3017" s="37"/>
      <c r="HX3017" s="37"/>
      <c r="HY3017" s="37"/>
      <c r="HZ3017" s="37"/>
      <c r="IA3017" s="37"/>
      <c r="IB3017" s="37"/>
      <c r="IC3017" s="37"/>
      <c r="ID3017" s="37"/>
      <c r="IE3017" s="37"/>
      <c r="IF3017" s="37"/>
      <c r="IG3017" s="37"/>
      <c r="IH3017" s="37"/>
      <c r="II3017" s="37"/>
      <c r="IJ3017" s="37"/>
      <c r="IK3017" s="37"/>
      <c r="IL3017" s="37"/>
      <c r="IM3017" s="37"/>
      <c r="IN3017" s="37"/>
      <c r="IO3017" s="37"/>
      <c r="IP3017" s="37"/>
      <c r="IQ3017" s="37"/>
      <c r="IR3017" s="37"/>
      <c r="IS3017" s="37"/>
      <c r="IT3017" s="37"/>
      <c r="IU3017" s="37"/>
      <c r="IV3017" s="37"/>
      <c r="IW3017" s="37"/>
      <c r="IX3017" s="37"/>
      <c r="IY3017" s="37"/>
      <c r="IZ3017" s="37"/>
      <c r="JA3017" s="37"/>
      <c r="JB3017" s="37"/>
      <c r="JC3017" s="37"/>
      <c r="JD3017" s="37"/>
      <c r="JE3017" s="37"/>
      <c r="JF3017" s="37"/>
      <c r="JG3017" s="37"/>
      <c r="JH3017" s="37"/>
      <c r="JI3017" s="37"/>
      <c r="JJ3017" s="37"/>
      <c r="JK3017" s="37"/>
      <c r="JL3017" s="37"/>
      <c r="JM3017" s="37"/>
      <c r="JN3017" s="37"/>
      <c r="JO3017" s="37"/>
      <c r="JP3017" s="37"/>
      <c r="JQ3017" s="37"/>
      <c r="JR3017" s="37"/>
      <c r="JS3017" s="37"/>
      <c r="JT3017" s="37"/>
      <c r="JU3017" s="37"/>
      <c r="JV3017" s="37"/>
      <c r="JW3017" s="37"/>
      <c r="JX3017" s="37"/>
      <c r="JY3017" s="37"/>
      <c r="JZ3017" s="37"/>
      <c r="KA3017" s="37"/>
      <c r="KB3017" s="37"/>
      <c r="KC3017" s="37"/>
      <c r="KD3017" s="37"/>
      <c r="KE3017" s="37"/>
      <c r="KF3017" s="37"/>
      <c r="KG3017" s="37"/>
      <c r="KH3017" s="37"/>
      <c r="KI3017" s="37"/>
      <c r="KJ3017" s="37"/>
      <c r="KK3017" s="37"/>
      <c r="KL3017" s="37"/>
      <c r="KM3017" s="37"/>
      <c r="KN3017" s="37"/>
      <c r="KO3017" s="37"/>
      <c r="KP3017" s="37"/>
      <c r="KQ3017" s="37"/>
      <c r="KR3017" s="37"/>
      <c r="KS3017" s="37"/>
      <c r="KT3017" s="37"/>
      <c r="KU3017" s="37"/>
      <c r="KV3017" s="37"/>
      <c r="KW3017" s="37"/>
      <c r="KX3017" s="37"/>
      <c r="KY3017" s="37"/>
      <c r="KZ3017" s="37"/>
      <c r="LA3017" s="37"/>
      <c r="LB3017" s="37"/>
      <c r="LC3017" s="37"/>
      <c r="LD3017" s="37"/>
      <c r="LE3017" s="37"/>
      <c r="LF3017" s="37"/>
      <c r="LG3017" s="37"/>
      <c r="LH3017" s="37"/>
      <c r="LI3017" s="37"/>
      <c r="LJ3017" s="37"/>
      <c r="LK3017" s="37"/>
      <c r="LL3017" s="37"/>
      <c r="LM3017" s="37"/>
      <c r="LN3017" s="37"/>
      <c r="LO3017" s="37"/>
      <c r="LP3017" s="37"/>
      <c r="LQ3017" s="37"/>
      <c r="LR3017" s="37"/>
      <c r="LS3017" s="37"/>
      <c r="LT3017" s="37"/>
      <c r="LU3017" s="37"/>
      <c r="LV3017" s="37"/>
      <c r="LW3017" s="37"/>
      <c r="LX3017" s="37"/>
      <c r="LY3017" s="37"/>
      <c r="LZ3017" s="37"/>
      <c r="MA3017" s="37"/>
      <c r="MB3017" s="37"/>
      <c r="MC3017" s="37"/>
      <c r="MD3017" s="37"/>
      <c r="ME3017" s="37"/>
      <c r="MF3017" s="37"/>
      <c r="MG3017" s="37"/>
      <c r="MH3017" s="37"/>
      <c r="MI3017" s="37"/>
      <c r="MJ3017" s="37"/>
      <c r="MK3017" s="37"/>
      <c r="ML3017" s="37"/>
      <c r="MM3017" s="37"/>
      <c r="MN3017" s="37"/>
      <c r="MO3017" s="37"/>
      <c r="MP3017" s="37"/>
      <c r="MQ3017" s="37"/>
      <c r="MR3017" s="37"/>
      <c r="MS3017" s="37"/>
      <c r="MT3017" s="37"/>
      <c r="MU3017" s="37"/>
      <c r="MV3017" s="37"/>
      <c r="MW3017" s="37"/>
      <c r="MX3017" s="37"/>
      <c r="MY3017" s="37"/>
      <c r="MZ3017" s="37"/>
      <c r="NA3017" s="37"/>
      <c r="NB3017" s="37"/>
      <c r="NC3017" s="37"/>
      <c r="ND3017" s="37"/>
      <c r="NE3017" s="37"/>
      <c r="NF3017" s="37"/>
      <c r="NG3017" s="37"/>
      <c r="NH3017" s="37"/>
      <c r="NI3017" s="37"/>
      <c r="NJ3017" s="37"/>
      <c r="NK3017" s="37"/>
      <c r="NL3017" s="37"/>
      <c r="NM3017" s="37"/>
      <c r="NN3017" s="37"/>
      <c r="NO3017" s="37"/>
      <c r="NP3017" s="37"/>
      <c r="NQ3017" s="37"/>
      <c r="NR3017" s="37"/>
      <c r="NS3017" s="37"/>
      <c r="NT3017" s="37"/>
      <c r="NU3017" s="37"/>
      <c r="NV3017" s="37"/>
      <c r="NW3017" s="37"/>
      <c r="NX3017" s="37"/>
      <c r="NY3017" s="37"/>
      <c r="NZ3017" s="37"/>
      <c r="OA3017" s="37"/>
      <c r="OB3017" s="37"/>
      <c r="OC3017" s="37"/>
      <c r="OD3017" s="37"/>
      <c r="OE3017" s="37"/>
      <c r="OF3017" s="37"/>
      <c r="OG3017" s="37"/>
      <c r="OH3017" s="37"/>
      <c r="OI3017" s="37"/>
      <c r="OJ3017" s="37"/>
      <c r="OK3017" s="37"/>
      <c r="OL3017" s="37"/>
      <c r="OM3017" s="37"/>
      <c r="ON3017" s="37"/>
      <c r="OO3017" s="37"/>
      <c r="OP3017" s="37"/>
      <c r="OQ3017" s="37"/>
      <c r="OR3017" s="37"/>
      <c r="OS3017" s="37"/>
      <c r="OT3017" s="37"/>
      <c r="OU3017" s="37"/>
      <c r="OV3017" s="37"/>
      <c r="OW3017" s="37"/>
      <c r="OX3017" s="37"/>
      <c r="OY3017" s="37"/>
      <c r="OZ3017" s="37"/>
      <c r="PA3017" s="37"/>
      <c r="PB3017" s="37"/>
      <c r="PC3017" s="37"/>
      <c r="PD3017" s="37"/>
      <c r="PE3017" s="37"/>
      <c r="PF3017" s="37"/>
      <c r="PG3017" s="37"/>
      <c r="PH3017" s="37"/>
      <c r="PI3017" s="37"/>
      <c r="PJ3017" s="37"/>
      <c r="PK3017" s="37"/>
      <c r="PL3017" s="37"/>
      <c r="PM3017" s="37"/>
      <c r="PN3017" s="37"/>
      <c r="PO3017" s="37"/>
      <c r="PP3017" s="37"/>
      <c r="PQ3017" s="37"/>
      <c r="PR3017" s="37"/>
      <c r="PS3017" s="37"/>
      <c r="PT3017" s="37"/>
      <c r="PU3017" s="37"/>
      <c r="PV3017" s="37"/>
      <c r="PW3017" s="37"/>
      <c r="PX3017" s="37"/>
      <c r="PY3017" s="37"/>
      <c r="PZ3017" s="37"/>
      <c r="QA3017" s="37"/>
      <c r="QB3017" s="37"/>
      <c r="QC3017" s="37"/>
      <c r="QD3017" s="37"/>
      <c r="QE3017" s="37"/>
      <c r="QF3017" s="37"/>
      <c r="QG3017" s="37"/>
      <c r="QH3017" s="37"/>
      <c r="QI3017" s="37"/>
      <c r="QJ3017" s="37"/>
      <c r="QK3017" s="37"/>
      <c r="QL3017" s="37"/>
      <c r="QM3017" s="37"/>
      <c r="QN3017" s="37"/>
      <c r="QO3017" s="37"/>
      <c r="QP3017" s="37"/>
      <c r="QQ3017" s="37"/>
      <c r="QR3017" s="37"/>
      <c r="QS3017" s="37"/>
      <c r="QT3017" s="37"/>
      <c r="QU3017" s="37"/>
      <c r="QV3017" s="37"/>
      <c r="QW3017" s="37"/>
      <c r="QX3017" s="37"/>
      <c r="QY3017" s="37"/>
      <c r="QZ3017" s="37"/>
      <c r="RA3017" s="37"/>
      <c r="RB3017" s="37"/>
      <c r="RC3017" s="37"/>
      <c r="RD3017" s="37"/>
      <c r="RE3017" s="37"/>
      <c r="RF3017" s="37"/>
      <c r="RG3017" s="37"/>
      <c r="RH3017" s="37"/>
      <c r="RI3017" s="37"/>
      <c r="RJ3017" s="37"/>
      <c r="RK3017" s="37"/>
      <c r="RL3017" s="37"/>
      <c r="RM3017" s="37"/>
      <c r="RN3017" s="37"/>
      <c r="RO3017" s="37"/>
      <c r="RP3017" s="37"/>
      <c r="RQ3017" s="37"/>
      <c r="RR3017" s="37"/>
      <c r="RS3017" s="37"/>
      <c r="RT3017" s="37"/>
      <c r="RU3017" s="37"/>
      <c r="RV3017" s="37"/>
      <c r="RW3017" s="37"/>
      <c r="RX3017" s="37"/>
      <c r="RY3017" s="37"/>
      <c r="RZ3017" s="37"/>
      <c r="SA3017" s="37"/>
      <c r="SB3017" s="37"/>
      <c r="SC3017" s="37"/>
      <c r="SD3017" s="37"/>
      <c r="SE3017" s="37"/>
      <c r="SF3017" s="37"/>
    </row>
    <row r="3018" spans="1:500">
      <c r="A3018" s="37"/>
      <c r="B3018" s="37"/>
      <c r="C3018" s="37"/>
      <c r="D3018" s="37"/>
      <c r="E3018" s="37"/>
      <c r="F3018" s="37"/>
      <c r="G3018" s="37"/>
      <c r="H3018" s="37"/>
      <c r="I3018" s="37"/>
      <c r="J3018" s="37"/>
      <c r="K3018" s="37"/>
      <c r="L3018" s="37"/>
      <c r="M3018" s="37"/>
      <c r="N3018" s="37"/>
      <c r="O3018" s="37"/>
      <c r="P3018" s="37"/>
      <c r="Q3018" s="37"/>
      <c r="R3018" s="37"/>
      <c r="S3018" s="37"/>
      <c r="T3018" s="37"/>
      <c r="U3018" s="37"/>
      <c r="V3018" s="37"/>
      <c r="W3018" s="37"/>
      <c r="X3018" s="37"/>
      <c r="Y3018" s="37"/>
      <c r="Z3018" s="37"/>
      <c r="AA3018" s="37"/>
      <c r="AB3018" s="37"/>
      <c r="AC3018" s="37"/>
      <c r="AD3018" s="37"/>
      <c r="AE3018" s="37"/>
      <c r="AF3018" s="37"/>
      <c r="AG3018" s="37"/>
      <c r="AH3018" s="37"/>
      <c r="AI3018" s="37"/>
      <c r="AJ3018" s="37"/>
      <c r="AK3018" s="37"/>
      <c r="AL3018" s="37"/>
      <c r="AM3018" s="37"/>
      <c r="AN3018" s="37"/>
      <c r="AO3018" s="37"/>
      <c r="AP3018" s="37"/>
      <c r="AQ3018" s="37"/>
      <c r="AR3018" s="37"/>
      <c r="AS3018" s="37"/>
      <c r="AT3018" s="37"/>
      <c r="AU3018" s="37"/>
      <c r="AV3018" s="37"/>
      <c r="AW3018" s="37"/>
      <c r="AX3018" s="37"/>
      <c r="AY3018" s="37"/>
      <c r="AZ3018" s="37"/>
      <c r="BA3018" s="37"/>
      <c r="BB3018" s="37"/>
      <c r="BC3018" s="37"/>
      <c r="BD3018" s="37"/>
      <c r="BE3018" s="37"/>
      <c r="BF3018" s="37"/>
      <c r="BG3018" s="37"/>
      <c r="BH3018" s="37"/>
      <c r="BI3018" s="37"/>
      <c r="BJ3018" s="37"/>
      <c r="BK3018" s="37"/>
      <c r="BL3018" s="37"/>
      <c r="BM3018" s="37"/>
      <c r="BN3018" s="37"/>
      <c r="BO3018" s="37"/>
      <c r="BP3018" s="37"/>
      <c r="BQ3018" s="37"/>
      <c r="BR3018" s="37"/>
      <c r="BS3018" s="37"/>
      <c r="BT3018" s="37"/>
      <c r="BU3018" s="37"/>
      <c r="BV3018" s="37"/>
      <c r="BW3018" s="37"/>
      <c r="BX3018" s="37"/>
      <c r="BY3018" s="37"/>
      <c r="BZ3018" s="37"/>
      <c r="CA3018" s="37"/>
      <c r="CB3018" s="37"/>
      <c r="CC3018" s="37"/>
      <c r="CD3018" s="37"/>
      <c r="CE3018" s="37"/>
      <c r="CF3018" s="37"/>
      <c r="CG3018" s="37"/>
      <c r="CH3018" s="37"/>
      <c r="CI3018" s="37"/>
      <c r="CJ3018" s="37"/>
      <c r="CK3018" s="37"/>
      <c r="CL3018" s="37"/>
      <c r="CM3018" s="37"/>
      <c r="CN3018" s="37"/>
      <c r="CO3018" s="37"/>
      <c r="CP3018" s="37"/>
      <c r="CQ3018" s="37"/>
      <c r="CR3018" s="37"/>
      <c r="CS3018" s="37"/>
      <c r="CT3018" s="37"/>
      <c r="CU3018" s="37"/>
      <c r="CV3018" s="37"/>
      <c r="CW3018" s="37"/>
      <c r="CX3018" s="37"/>
      <c r="CY3018" s="37"/>
      <c r="CZ3018" s="37"/>
      <c r="DA3018" s="37"/>
      <c r="DB3018" s="37"/>
      <c r="DC3018" s="37"/>
      <c r="DD3018" s="37"/>
      <c r="DE3018" s="37"/>
      <c r="DF3018" s="37"/>
      <c r="DG3018" s="37"/>
      <c r="DH3018" s="37"/>
      <c r="DI3018" s="37"/>
      <c r="DJ3018" s="37"/>
      <c r="DK3018" s="37"/>
      <c r="DL3018" s="37"/>
      <c r="DM3018" s="37"/>
      <c r="DN3018" s="37"/>
      <c r="DO3018" s="37"/>
      <c r="DP3018" s="37"/>
      <c r="DQ3018" s="37"/>
      <c r="DR3018" s="37"/>
      <c r="DS3018" s="37"/>
      <c r="DT3018" s="37"/>
      <c r="DU3018" s="37"/>
      <c r="DV3018" s="37"/>
      <c r="DW3018" s="37"/>
      <c r="DX3018" s="37"/>
      <c r="DY3018" s="37"/>
      <c r="DZ3018" s="37"/>
      <c r="EA3018" s="37"/>
      <c r="EB3018" s="37"/>
      <c r="EC3018" s="37"/>
      <c r="ED3018" s="37"/>
      <c r="EE3018" s="37"/>
      <c r="EF3018" s="37"/>
      <c r="EG3018" s="37"/>
      <c r="EH3018" s="37"/>
      <c r="EI3018" s="37"/>
      <c r="EJ3018" s="37"/>
      <c r="EK3018" s="37"/>
      <c r="EL3018" s="37"/>
      <c r="EM3018" s="37"/>
      <c r="EN3018" s="37"/>
      <c r="EO3018" s="37"/>
      <c r="EP3018" s="37"/>
      <c r="EQ3018" s="37"/>
      <c r="ER3018" s="37"/>
      <c r="ES3018" s="37"/>
      <c r="ET3018" s="37"/>
      <c r="EU3018" s="37"/>
      <c r="EV3018" s="37"/>
      <c r="EW3018" s="37"/>
      <c r="EX3018" s="37"/>
      <c r="EY3018" s="37"/>
      <c r="EZ3018" s="37"/>
      <c r="FA3018" s="37"/>
      <c r="FB3018" s="37"/>
      <c r="FC3018" s="37"/>
      <c r="FD3018" s="37"/>
      <c r="FE3018" s="37"/>
      <c r="FF3018" s="37"/>
      <c r="FG3018" s="37"/>
      <c r="FH3018" s="37"/>
      <c r="FI3018" s="37"/>
      <c r="FJ3018" s="37"/>
      <c r="FK3018" s="37"/>
      <c r="FL3018" s="37"/>
      <c r="FM3018" s="37"/>
      <c r="FN3018" s="37"/>
      <c r="FO3018" s="37"/>
      <c r="FP3018" s="37"/>
      <c r="FQ3018" s="37"/>
      <c r="FR3018" s="37"/>
      <c r="FS3018" s="37"/>
      <c r="FT3018" s="37"/>
      <c r="FU3018" s="37"/>
      <c r="FV3018" s="37"/>
      <c r="FW3018" s="37"/>
      <c r="FX3018" s="37"/>
      <c r="FY3018" s="37"/>
      <c r="FZ3018" s="37"/>
      <c r="GA3018" s="37"/>
      <c r="GB3018" s="37"/>
      <c r="GC3018" s="37"/>
      <c r="GD3018" s="37"/>
      <c r="GE3018" s="37"/>
      <c r="GF3018" s="37"/>
      <c r="GG3018" s="37"/>
      <c r="GH3018" s="37"/>
      <c r="GI3018" s="37"/>
      <c r="GJ3018" s="37"/>
      <c r="GK3018" s="37"/>
      <c r="GL3018" s="37"/>
      <c r="GM3018" s="37"/>
      <c r="GN3018" s="37"/>
      <c r="GO3018" s="37"/>
      <c r="GP3018" s="37"/>
      <c r="GQ3018" s="37"/>
      <c r="GR3018" s="37"/>
      <c r="GS3018" s="37"/>
      <c r="GT3018" s="37"/>
      <c r="GU3018" s="37"/>
      <c r="GV3018" s="37"/>
      <c r="GW3018" s="37"/>
      <c r="GX3018" s="37"/>
      <c r="GY3018" s="37"/>
      <c r="GZ3018" s="37"/>
      <c r="HA3018" s="37"/>
      <c r="HB3018" s="37"/>
      <c r="HC3018" s="37"/>
      <c r="HD3018" s="37"/>
      <c r="HE3018" s="37"/>
      <c r="HF3018" s="37"/>
      <c r="HG3018" s="37"/>
      <c r="HH3018" s="37"/>
      <c r="HI3018" s="37"/>
      <c r="HJ3018" s="37"/>
      <c r="HK3018" s="37"/>
      <c r="HL3018" s="37"/>
      <c r="HM3018" s="37"/>
      <c r="HN3018" s="37"/>
      <c r="HO3018" s="37"/>
      <c r="HP3018" s="37"/>
      <c r="HQ3018" s="37"/>
      <c r="HR3018" s="37"/>
      <c r="HS3018" s="37"/>
      <c r="HT3018" s="37"/>
      <c r="HU3018" s="37"/>
      <c r="HV3018" s="37"/>
      <c r="HW3018" s="37"/>
      <c r="HX3018" s="37"/>
      <c r="HY3018" s="37"/>
      <c r="HZ3018" s="37"/>
      <c r="IA3018" s="37"/>
      <c r="IB3018" s="37"/>
      <c r="IC3018" s="37"/>
      <c r="ID3018" s="37"/>
      <c r="IE3018" s="37"/>
      <c r="IF3018" s="37"/>
      <c r="IG3018" s="37"/>
      <c r="IH3018" s="37"/>
      <c r="II3018" s="37"/>
      <c r="IJ3018" s="37"/>
      <c r="IK3018" s="37"/>
      <c r="IL3018" s="37"/>
      <c r="IM3018" s="37"/>
      <c r="IN3018" s="37"/>
      <c r="IO3018" s="37"/>
      <c r="IP3018" s="37"/>
      <c r="IQ3018" s="37"/>
      <c r="IR3018" s="37"/>
      <c r="IS3018" s="37"/>
      <c r="IT3018" s="37"/>
      <c r="IU3018" s="37"/>
      <c r="IV3018" s="37"/>
      <c r="IW3018" s="37"/>
      <c r="IX3018" s="37"/>
      <c r="IY3018" s="37"/>
      <c r="IZ3018" s="37"/>
      <c r="JA3018" s="37"/>
      <c r="JB3018" s="37"/>
      <c r="JC3018" s="37"/>
      <c r="JD3018" s="37"/>
      <c r="JE3018" s="37"/>
      <c r="JF3018" s="37"/>
      <c r="JG3018" s="37"/>
      <c r="JH3018" s="37"/>
      <c r="JI3018" s="37"/>
      <c r="JJ3018" s="37"/>
      <c r="JK3018" s="37"/>
      <c r="JL3018" s="37"/>
      <c r="JM3018" s="37"/>
      <c r="JN3018" s="37"/>
      <c r="JO3018" s="37"/>
      <c r="JP3018" s="37"/>
      <c r="JQ3018" s="37"/>
      <c r="JR3018" s="37"/>
      <c r="JS3018" s="37"/>
      <c r="JT3018" s="37"/>
      <c r="JU3018" s="37"/>
      <c r="JV3018" s="37"/>
      <c r="JW3018" s="37"/>
      <c r="JX3018" s="37"/>
      <c r="JY3018" s="37"/>
      <c r="JZ3018" s="37"/>
      <c r="KA3018" s="37"/>
      <c r="KB3018" s="37"/>
      <c r="KC3018" s="37"/>
      <c r="KD3018" s="37"/>
      <c r="KE3018" s="37"/>
      <c r="KF3018" s="37"/>
      <c r="KG3018" s="37"/>
      <c r="KH3018" s="37"/>
      <c r="KI3018" s="37"/>
      <c r="KJ3018" s="37"/>
      <c r="KK3018" s="37"/>
      <c r="KL3018" s="37"/>
      <c r="KM3018" s="37"/>
      <c r="KN3018" s="37"/>
      <c r="KO3018" s="37"/>
      <c r="KP3018" s="37"/>
      <c r="KQ3018" s="37"/>
      <c r="KR3018" s="37"/>
      <c r="KS3018" s="37"/>
      <c r="KT3018" s="37"/>
      <c r="KU3018" s="37"/>
      <c r="KV3018" s="37"/>
      <c r="KW3018" s="37"/>
      <c r="KX3018" s="37"/>
      <c r="KY3018" s="37"/>
      <c r="KZ3018" s="37"/>
      <c r="LA3018" s="37"/>
      <c r="LB3018" s="37"/>
      <c r="LC3018" s="37"/>
      <c r="LD3018" s="37"/>
      <c r="LE3018" s="37"/>
      <c r="LF3018" s="37"/>
      <c r="LG3018" s="37"/>
      <c r="LH3018" s="37"/>
      <c r="LI3018" s="37"/>
      <c r="LJ3018" s="37"/>
      <c r="LK3018" s="37"/>
      <c r="LL3018" s="37"/>
      <c r="LM3018" s="37"/>
      <c r="LN3018" s="37"/>
      <c r="LO3018" s="37"/>
      <c r="LP3018" s="37"/>
      <c r="LQ3018" s="37"/>
      <c r="LR3018" s="37"/>
      <c r="LS3018" s="37"/>
      <c r="LT3018" s="37"/>
      <c r="LU3018" s="37"/>
      <c r="LV3018" s="37"/>
      <c r="LW3018" s="37"/>
      <c r="LX3018" s="37"/>
      <c r="LY3018" s="37"/>
      <c r="LZ3018" s="37"/>
      <c r="MA3018" s="37"/>
      <c r="MB3018" s="37"/>
      <c r="MC3018" s="37"/>
      <c r="MD3018" s="37"/>
      <c r="ME3018" s="37"/>
      <c r="MF3018" s="37"/>
      <c r="MG3018" s="37"/>
      <c r="MH3018" s="37"/>
      <c r="MI3018" s="37"/>
      <c r="MJ3018" s="37"/>
      <c r="MK3018" s="37"/>
      <c r="ML3018" s="37"/>
      <c r="MM3018" s="37"/>
      <c r="MN3018" s="37"/>
      <c r="MO3018" s="37"/>
      <c r="MP3018" s="37"/>
      <c r="MQ3018" s="37"/>
      <c r="MR3018" s="37"/>
      <c r="MS3018" s="37"/>
      <c r="MT3018" s="37"/>
      <c r="MU3018" s="37"/>
      <c r="MV3018" s="37"/>
      <c r="MW3018" s="37"/>
      <c r="MX3018" s="37"/>
      <c r="MY3018" s="37"/>
      <c r="MZ3018" s="37"/>
      <c r="NA3018" s="37"/>
      <c r="NB3018" s="37"/>
      <c r="NC3018" s="37"/>
      <c r="ND3018" s="37"/>
      <c r="NE3018" s="37"/>
      <c r="NF3018" s="37"/>
      <c r="NG3018" s="37"/>
      <c r="NH3018" s="37"/>
      <c r="NI3018" s="37"/>
      <c r="NJ3018" s="37"/>
      <c r="NK3018" s="37"/>
      <c r="NL3018" s="37"/>
      <c r="NM3018" s="37"/>
      <c r="NN3018" s="37"/>
      <c r="NO3018" s="37"/>
      <c r="NP3018" s="37"/>
      <c r="NQ3018" s="37"/>
      <c r="NR3018" s="37"/>
      <c r="NS3018" s="37"/>
      <c r="NT3018" s="37"/>
      <c r="NU3018" s="37"/>
      <c r="NV3018" s="37"/>
      <c r="NW3018" s="37"/>
      <c r="NX3018" s="37"/>
      <c r="NY3018" s="37"/>
      <c r="NZ3018" s="37"/>
      <c r="OA3018" s="37"/>
      <c r="OB3018" s="37"/>
      <c r="OC3018" s="37"/>
      <c r="OD3018" s="37"/>
      <c r="OE3018" s="37"/>
      <c r="OF3018" s="37"/>
      <c r="OG3018" s="37"/>
      <c r="OH3018" s="37"/>
      <c r="OI3018" s="37"/>
      <c r="OJ3018" s="37"/>
      <c r="OK3018" s="37"/>
      <c r="OL3018" s="37"/>
      <c r="OM3018" s="37"/>
      <c r="ON3018" s="37"/>
      <c r="OO3018" s="37"/>
      <c r="OP3018" s="37"/>
      <c r="OQ3018" s="37"/>
      <c r="OR3018" s="37"/>
      <c r="OS3018" s="37"/>
      <c r="OT3018" s="37"/>
      <c r="OU3018" s="37"/>
      <c r="OV3018" s="37"/>
      <c r="OW3018" s="37"/>
      <c r="OX3018" s="37"/>
      <c r="OY3018" s="37"/>
      <c r="OZ3018" s="37"/>
      <c r="PA3018" s="37"/>
      <c r="PB3018" s="37"/>
      <c r="PC3018" s="37"/>
      <c r="PD3018" s="37"/>
      <c r="PE3018" s="37"/>
      <c r="PF3018" s="37"/>
      <c r="PG3018" s="37"/>
      <c r="PH3018" s="37"/>
      <c r="PI3018" s="37"/>
      <c r="PJ3018" s="37"/>
      <c r="PK3018" s="37"/>
      <c r="PL3018" s="37"/>
      <c r="PM3018" s="37"/>
      <c r="PN3018" s="37"/>
      <c r="PO3018" s="37"/>
      <c r="PP3018" s="37"/>
      <c r="PQ3018" s="37"/>
      <c r="PR3018" s="37"/>
      <c r="PS3018" s="37"/>
      <c r="PT3018" s="37"/>
      <c r="PU3018" s="37"/>
      <c r="PV3018" s="37"/>
      <c r="PW3018" s="37"/>
      <c r="PX3018" s="37"/>
      <c r="PY3018" s="37"/>
      <c r="PZ3018" s="37"/>
      <c r="QA3018" s="37"/>
      <c r="QB3018" s="37"/>
      <c r="QC3018" s="37"/>
      <c r="QD3018" s="37"/>
      <c r="QE3018" s="37"/>
      <c r="QF3018" s="37"/>
      <c r="QG3018" s="37"/>
      <c r="QH3018" s="37"/>
      <c r="QI3018" s="37"/>
      <c r="QJ3018" s="37"/>
      <c r="QK3018" s="37"/>
      <c r="QL3018" s="37"/>
      <c r="QM3018" s="37"/>
      <c r="QN3018" s="37"/>
      <c r="QO3018" s="37"/>
      <c r="QP3018" s="37"/>
      <c r="QQ3018" s="37"/>
      <c r="QR3018" s="37"/>
      <c r="QS3018" s="37"/>
      <c r="QT3018" s="37"/>
      <c r="QU3018" s="37"/>
      <c r="QV3018" s="37"/>
      <c r="QW3018" s="37"/>
      <c r="QX3018" s="37"/>
      <c r="QY3018" s="37"/>
      <c r="QZ3018" s="37"/>
      <c r="RA3018" s="37"/>
      <c r="RB3018" s="37"/>
      <c r="RC3018" s="37"/>
      <c r="RD3018" s="37"/>
      <c r="RE3018" s="37"/>
      <c r="RF3018" s="37"/>
      <c r="RG3018" s="37"/>
      <c r="RH3018" s="37"/>
      <c r="RI3018" s="37"/>
      <c r="RJ3018" s="37"/>
      <c r="RK3018" s="37"/>
      <c r="RL3018" s="37"/>
      <c r="RM3018" s="37"/>
      <c r="RN3018" s="37"/>
      <c r="RO3018" s="37"/>
      <c r="RP3018" s="37"/>
      <c r="RQ3018" s="37"/>
      <c r="RR3018" s="37"/>
      <c r="RS3018" s="37"/>
      <c r="RT3018" s="37"/>
      <c r="RU3018" s="37"/>
      <c r="RV3018" s="37"/>
      <c r="RW3018" s="37"/>
      <c r="RX3018" s="37"/>
      <c r="RY3018" s="37"/>
      <c r="RZ3018" s="37"/>
      <c r="SA3018" s="37"/>
      <c r="SB3018" s="37"/>
      <c r="SC3018" s="37"/>
      <c r="SD3018" s="37"/>
      <c r="SE3018" s="37"/>
      <c r="SF3018" s="37"/>
    </row>
    <row r="3019" spans="1:500">
      <c r="A3019" s="37"/>
      <c r="B3019" s="37"/>
      <c r="C3019" s="37"/>
      <c r="D3019" s="37"/>
      <c r="E3019" s="37"/>
      <c r="F3019" s="37"/>
      <c r="G3019" s="37"/>
      <c r="H3019" s="37"/>
      <c r="I3019" s="37"/>
      <c r="J3019" s="37"/>
      <c r="K3019" s="37"/>
      <c r="L3019" s="37"/>
      <c r="M3019" s="37"/>
      <c r="N3019" s="37"/>
      <c r="O3019" s="37"/>
      <c r="P3019" s="37"/>
      <c r="Q3019" s="37"/>
      <c r="R3019" s="37"/>
      <c r="S3019" s="37"/>
      <c r="T3019" s="37"/>
      <c r="U3019" s="37"/>
      <c r="V3019" s="37"/>
      <c r="W3019" s="37"/>
      <c r="X3019" s="37"/>
      <c r="Y3019" s="37"/>
      <c r="Z3019" s="37"/>
      <c r="AA3019" s="37"/>
      <c r="AB3019" s="37"/>
      <c r="AC3019" s="37"/>
      <c r="AD3019" s="37"/>
      <c r="AE3019" s="37"/>
      <c r="AF3019" s="37"/>
      <c r="AG3019" s="37"/>
      <c r="AH3019" s="37"/>
      <c r="AI3019" s="37"/>
      <c r="AJ3019" s="37"/>
      <c r="AK3019" s="37"/>
      <c r="AL3019" s="37"/>
      <c r="AM3019" s="37"/>
      <c r="AN3019" s="37"/>
      <c r="AO3019" s="37"/>
      <c r="AP3019" s="37"/>
      <c r="AQ3019" s="37"/>
      <c r="AR3019" s="37"/>
      <c r="AS3019" s="37"/>
      <c r="AT3019" s="37"/>
      <c r="AU3019" s="37"/>
      <c r="AV3019" s="37"/>
      <c r="AW3019" s="37"/>
      <c r="AX3019" s="37"/>
      <c r="AY3019" s="37"/>
      <c r="AZ3019" s="37"/>
      <c r="BA3019" s="37"/>
      <c r="BB3019" s="37"/>
      <c r="BC3019" s="37"/>
      <c r="BD3019" s="37"/>
      <c r="BE3019" s="37"/>
      <c r="BF3019" s="37"/>
      <c r="BG3019" s="37"/>
      <c r="BH3019" s="37"/>
      <c r="BI3019" s="37"/>
      <c r="BJ3019" s="37"/>
      <c r="BK3019" s="37"/>
      <c r="BL3019" s="37"/>
      <c r="BM3019" s="37"/>
      <c r="BN3019" s="37"/>
      <c r="BO3019" s="37"/>
      <c r="BP3019" s="37"/>
      <c r="BQ3019" s="37"/>
      <c r="BR3019" s="37"/>
      <c r="BS3019" s="37"/>
      <c r="BT3019" s="37"/>
      <c r="BU3019" s="37"/>
      <c r="BV3019" s="37"/>
      <c r="BW3019" s="37"/>
      <c r="BX3019" s="37"/>
      <c r="BY3019" s="37"/>
      <c r="BZ3019" s="37"/>
      <c r="CA3019" s="37"/>
      <c r="CB3019" s="37"/>
      <c r="CC3019" s="37"/>
      <c r="CD3019" s="37"/>
      <c r="CE3019" s="37"/>
      <c r="CF3019" s="37"/>
      <c r="CG3019" s="37"/>
      <c r="CH3019" s="37"/>
      <c r="CI3019" s="37"/>
      <c r="CJ3019" s="37"/>
      <c r="CK3019" s="37"/>
      <c r="CL3019" s="37"/>
      <c r="CM3019" s="37"/>
      <c r="CN3019" s="37"/>
      <c r="CO3019" s="37"/>
      <c r="CP3019" s="37"/>
      <c r="CQ3019" s="37"/>
      <c r="CR3019" s="37"/>
      <c r="CS3019" s="37"/>
      <c r="CT3019" s="37"/>
      <c r="CU3019" s="37"/>
      <c r="CV3019" s="37"/>
      <c r="CW3019" s="37"/>
      <c r="CX3019" s="37"/>
      <c r="CY3019" s="37"/>
      <c r="CZ3019" s="37"/>
      <c r="DA3019" s="37"/>
      <c r="DB3019" s="37"/>
      <c r="DC3019" s="37"/>
      <c r="DD3019" s="37"/>
      <c r="DE3019" s="37"/>
      <c r="DF3019" s="37"/>
      <c r="DG3019" s="37"/>
      <c r="DH3019" s="37"/>
      <c r="DI3019" s="37"/>
      <c r="DJ3019" s="37"/>
      <c r="DK3019" s="37"/>
      <c r="DL3019" s="37"/>
      <c r="DM3019" s="37"/>
      <c r="DN3019" s="37"/>
      <c r="DO3019" s="37"/>
      <c r="DP3019" s="37"/>
      <c r="DQ3019" s="37"/>
      <c r="DR3019" s="37"/>
      <c r="DS3019" s="37"/>
      <c r="DT3019" s="37"/>
      <c r="DU3019" s="37"/>
      <c r="DV3019" s="37"/>
      <c r="DW3019" s="37"/>
      <c r="DX3019" s="37"/>
      <c r="DY3019" s="37"/>
      <c r="DZ3019" s="37"/>
      <c r="EA3019" s="37"/>
      <c r="EB3019" s="37"/>
      <c r="EC3019" s="37"/>
      <c r="ED3019" s="37"/>
      <c r="EE3019" s="37"/>
      <c r="EF3019" s="37"/>
      <c r="EG3019" s="37"/>
      <c r="EH3019" s="37"/>
      <c r="EI3019" s="37"/>
      <c r="EJ3019" s="37"/>
      <c r="EK3019" s="37"/>
      <c r="EL3019" s="37"/>
      <c r="EM3019" s="37"/>
      <c r="EN3019" s="37"/>
      <c r="EO3019" s="37"/>
      <c r="EP3019" s="37"/>
      <c r="EQ3019" s="37"/>
      <c r="ER3019" s="37"/>
      <c r="ES3019" s="37"/>
      <c r="ET3019" s="37"/>
      <c r="EU3019" s="37"/>
      <c r="EV3019" s="37"/>
      <c r="EW3019" s="37"/>
      <c r="EX3019" s="37"/>
      <c r="EY3019" s="37"/>
      <c r="EZ3019" s="37"/>
      <c r="FA3019" s="37"/>
      <c r="FB3019" s="37"/>
      <c r="FC3019" s="37"/>
      <c r="FD3019" s="37"/>
      <c r="FE3019" s="37"/>
      <c r="FF3019" s="37"/>
      <c r="FG3019" s="37"/>
      <c r="FH3019" s="37"/>
      <c r="FI3019" s="37"/>
      <c r="FJ3019" s="37"/>
      <c r="FK3019" s="37"/>
      <c r="FL3019" s="37"/>
      <c r="FM3019" s="37"/>
      <c r="FN3019" s="37"/>
      <c r="FO3019" s="37"/>
      <c r="FP3019" s="37"/>
      <c r="FQ3019" s="37"/>
      <c r="FR3019" s="37"/>
      <c r="FS3019" s="37"/>
      <c r="FT3019" s="37"/>
      <c r="FU3019" s="37"/>
      <c r="FV3019" s="37"/>
      <c r="FW3019" s="37"/>
      <c r="FX3019" s="37"/>
      <c r="FY3019" s="37"/>
      <c r="FZ3019" s="37"/>
      <c r="GA3019" s="37"/>
      <c r="GB3019" s="37"/>
      <c r="GC3019" s="37"/>
      <c r="GD3019" s="37"/>
      <c r="GE3019" s="37"/>
      <c r="GF3019" s="37"/>
      <c r="GG3019" s="37"/>
      <c r="GH3019" s="37"/>
      <c r="GI3019" s="37"/>
      <c r="GJ3019" s="37"/>
      <c r="GK3019" s="37"/>
      <c r="GL3019" s="37"/>
      <c r="GM3019" s="37"/>
      <c r="GN3019" s="37"/>
      <c r="GO3019" s="37"/>
      <c r="GP3019" s="37"/>
      <c r="GQ3019" s="37"/>
      <c r="GR3019" s="37"/>
      <c r="GS3019" s="37"/>
      <c r="GT3019" s="37"/>
      <c r="GU3019" s="37"/>
      <c r="GV3019" s="37"/>
      <c r="GW3019" s="37"/>
      <c r="GX3019" s="37"/>
      <c r="GY3019" s="37"/>
      <c r="GZ3019" s="37"/>
      <c r="HA3019" s="37"/>
      <c r="HB3019" s="37"/>
      <c r="HC3019" s="37"/>
      <c r="HD3019" s="37"/>
      <c r="HE3019" s="37"/>
      <c r="HF3019" s="37"/>
      <c r="HG3019" s="37"/>
      <c r="HH3019" s="37"/>
      <c r="HI3019" s="37"/>
      <c r="HJ3019" s="37"/>
      <c r="HK3019" s="37"/>
      <c r="HL3019" s="37"/>
      <c r="HM3019" s="37"/>
      <c r="HN3019" s="37"/>
      <c r="HO3019" s="37"/>
      <c r="HP3019" s="37"/>
      <c r="HQ3019" s="37"/>
      <c r="HR3019" s="37"/>
      <c r="HS3019" s="37"/>
      <c r="HT3019" s="37"/>
      <c r="HU3019" s="37"/>
      <c r="HV3019" s="37"/>
      <c r="HW3019" s="37"/>
      <c r="HX3019" s="37"/>
      <c r="HY3019" s="37"/>
      <c r="HZ3019" s="37"/>
      <c r="IA3019" s="37"/>
      <c r="IB3019" s="37"/>
      <c r="IC3019" s="37"/>
      <c r="ID3019" s="37"/>
      <c r="IE3019" s="37"/>
      <c r="IF3019" s="37"/>
      <c r="IG3019" s="37"/>
      <c r="IH3019" s="37"/>
      <c r="II3019" s="37"/>
      <c r="IJ3019" s="37"/>
      <c r="IK3019" s="37"/>
      <c r="IL3019" s="37"/>
      <c r="IM3019" s="37"/>
      <c r="IN3019" s="37"/>
      <c r="IO3019" s="37"/>
      <c r="IP3019" s="37"/>
      <c r="IQ3019" s="37"/>
      <c r="IR3019" s="37"/>
      <c r="IS3019" s="37"/>
      <c r="IT3019" s="37"/>
      <c r="IU3019" s="37"/>
      <c r="IV3019" s="37"/>
      <c r="IW3019" s="37"/>
      <c r="IX3019" s="37"/>
      <c r="IY3019" s="37"/>
      <c r="IZ3019" s="37"/>
      <c r="JA3019" s="37"/>
      <c r="JB3019" s="37"/>
      <c r="JC3019" s="37"/>
      <c r="JD3019" s="37"/>
      <c r="JE3019" s="37"/>
      <c r="JF3019" s="37"/>
      <c r="JG3019" s="37"/>
      <c r="JH3019" s="37"/>
      <c r="JI3019" s="37"/>
      <c r="JJ3019" s="37"/>
      <c r="JK3019" s="37"/>
      <c r="JL3019" s="37"/>
      <c r="JM3019" s="37"/>
      <c r="JN3019" s="37"/>
      <c r="JO3019" s="37"/>
      <c r="JP3019" s="37"/>
      <c r="JQ3019" s="37"/>
      <c r="JR3019" s="37"/>
      <c r="JS3019" s="37"/>
      <c r="JT3019" s="37"/>
      <c r="JU3019" s="37"/>
      <c r="JV3019" s="37"/>
      <c r="JW3019" s="37"/>
      <c r="JX3019" s="37"/>
      <c r="JY3019" s="37"/>
      <c r="JZ3019" s="37"/>
      <c r="KA3019" s="37"/>
      <c r="KB3019" s="37"/>
      <c r="KC3019" s="37"/>
      <c r="KD3019" s="37"/>
      <c r="KE3019" s="37"/>
      <c r="KF3019" s="37"/>
      <c r="KG3019" s="37"/>
      <c r="KH3019" s="37"/>
      <c r="KI3019" s="37"/>
      <c r="KJ3019" s="37"/>
      <c r="KK3019" s="37"/>
      <c r="KL3019" s="37"/>
      <c r="KM3019" s="37"/>
      <c r="KN3019" s="37"/>
      <c r="KO3019" s="37"/>
      <c r="KP3019" s="37"/>
      <c r="KQ3019" s="37"/>
      <c r="KR3019" s="37"/>
      <c r="KS3019" s="37"/>
      <c r="KT3019" s="37"/>
      <c r="KU3019" s="37"/>
      <c r="KV3019" s="37"/>
      <c r="KW3019" s="37"/>
      <c r="KX3019" s="37"/>
      <c r="KY3019" s="37"/>
      <c r="KZ3019" s="37"/>
      <c r="LA3019" s="37"/>
      <c r="LB3019" s="37"/>
      <c r="LC3019" s="37"/>
      <c r="LD3019" s="37"/>
      <c r="LE3019" s="37"/>
      <c r="LF3019" s="37"/>
      <c r="LG3019" s="37"/>
      <c r="LH3019" s="37"/>
      <c r="LI3019" s="37"/>
      <c r="LJ3019" s="37"/>
      <c r="LK3019" s="37"/>
      <c r="LL3019" s="37"/>
      <c r="LM3019" s="37"/>
      <c r="LN3019" s="37"/>
      <c r="LO3019" s="37"/>
      <c r="LP3019" s="37"/>
      <c r="LQ3019" s="37"/>
      <c r="LR3019" s="37"/>
      <c r="LS3019" s="37"/>
      <c r="LT3019" s="37"/>
      <c r="LU3019" s="37"/>
      <c r="LV3019" s="37"/>
      <c r="LW3019" s="37"/>
      <c r="LX3019" s="37"/>
      <c r="LY3019" s="37"/>
      <c r="LZ3019" s="37"/>
      <c r="MA3019" s="37"/>
      <c r="MB3019" s="37"/>
      <c r="MC3019" s="37"/>
      <c r="MD3019" s="37"/>
      <c r="ME3019" s="37"/>
      <c r="MF3019" s="37"/>
      <c r="MG3019" s="37"/>
      <c r="MH3019" s="37"/>
      <c r="MI3019" s="37"/>
      <c r="MJ3019" s="37"/>
      <c r="MK3019" s="37"/>
      <c r="ML3019" s="37"/>
      <c r="MM3019" s="37"/>
      <c r="MN3019" s="37"/>
      <c r="MO3019" s="37"/>
      <c r="MP3019" s="37"/>
      <c r="MQ3019" s="37"/>
      <c r="MR3019" s="37"/>
      <c r="MS3019" s="37"/>
      <c r="MT3019" s="37"/>
      <c r="MU3019" s="37"/>
      <c r="MV3019" s="37"/>
      <c r="MW3019" s="37"/>
      <c r="MX3019" s="37"/>
      <c r="MY3019" s="37"/>
      <c r="MZ3019" s="37"/>
      <c r="NA3019" s="37"/>
      <c r="NB3019" s="37"/>
      <c r="NC3019" s="37"/>
      <c r="ND3019" s="37"/>
      <c r="NE3019" s="37"/>
      <c r="NF3019" s="37"/>
      <c r="NG3019" s="37"/>
      <c r="NH3019" s="37"/>
      <c r="NI3019" s="37"/>
      <c r="NJ3019" s="37"/>
      <c r="NK3019" s="37"/>
      <c r="NL3019" s="37"/>
      <c r="NM3019" s="37"/>
      <c r="NN3019" s="37"/>
      <c r="NO3019" s="37"/>
      <c r="NP3019" s="37"/>
      <c r="NQ3019" s="37"/>
      <c r="NR3019" s="37"/>
      <c r="NS3019" s="37"/>
      <c r="NT3019" s="37"/>
      <c r="NU3019" s="37"/>
      <c r="NV3019" s="37"/>
      <c r="NW3019" s="37"/>
      <c r="NX3019" s="37"/>
      <c r="NY3019" s="37"/>
      <c r="NZ3019" s="37"/>
      <c r="OA3019" s="37"/>
      <c r="OB3019" s="37"/>
      <c r="OC3019" s="37"/>
      <c r="OD3019" s="37"/>
      <c r="OE3019" s="37"/>
      <c r="OF3019" s="37"/>
      <c r="OG3019" s="37"/>
      <c r="OH3019" s="37"/>
      <c r="OI3019" s="37"/>
      <c r="OJ3019" s="37"/>
      <c r="OK3019" s="37"/>
      <c r="OL3019" s="37"/>
      <c r="OM3019" s="37"/>
      <c r="ON3019" s="37"/>
      <c r="OO3019" s="37"/>
      <c r="OP3019" s="37"/>
      <c r="OQ3019" s="37"/>
      <c r="OR3019" s="37"/>
      <c r="OS3019" s="37"/>
      <c r="OT3019" s="37"/>
      <c r="OU3019" s="37"/>
      <c r="OV3019" s="37"/>
      <c r="OW3019" s="37"/>
      <c r="OX3019" s="37"/>
      <c r="OY3019" s="37"/>
      <c r="OZ3019" s="37"/>
      <c r="PA3019" s="37"/>
      <c r="PB3019" s="37"/>
      <c r="PC3019" s="37"/>
      <c r="PD3019" s="37"/>
      <c r="PE3019" s="37"/>
      <c r="PF3019" s="37"/>
      <c r="PG3019" s="37"/>
      <c r="PH3019" s="37"/>
      <c r="PI3019" s="37"/>
      <c r="PJ3019" s="37"/>
      <c r="PK3019" s="37"/>
      <c r="PL3019" s="37"/>
      <c r="PM3019" s="37"/>
      <c r="PN3019" s="37"/>
      <c r="PO3019" s="37"/>
      <c r="PP3019" s="37"/>
      <c r="PQ3019" s="37"/>
      <c r="PR3019" s="37"/>
      <c r="PS3019" s="37"/>
      <c r="PT3019" s="37"/>
      <c r="PU3019" s="37"/>
      <c r="PV3019" s="37"/>
      <c r="PW3019" s="37"/>
      <c r="PX3019" s="37"/>
      <c r="PY3019" s="37"/>
      <c r="PZ3019" s="37"/>
      <c r="QA3019" s="37"/>
      <c r="QB3019" s="37"/>
      <c r="QC3019" s="37"/>
      <c r="QD3019" s="37"/>
      <c r="QE3019" s="37"/>
      <c r="QF3019" s="37"/>
      <c r="QG3019" s="37"/>
      <c r="QH3019" s="37"/>
      <c r="QI3019" s="37"/>
      <c r="QJ3019" s="37"/>
      <c r="QK3019" s="37"/>
      <c r="QL3019" s="37"/>
      <c r="QM3019" s="37"/>
      <c r="QN3019" s="37"/>
      <c r="QO3019" s="37"/>
      <c r="QP3019" s="37"/>
      <c r="QQ3019" s="37"/>
      <c r="QR3019" s="37"/>
      <c r="QS3019" s="37"/>
      <c r="QT3019" s="37"/>
      <c r="QU3019" s="37"/>
      <c r="QV3019" s="37"/>
      <c r="QW3019" s="37"/>
      <c r="QX3019" s="37"/>
      <c r="QY3019" s="37"/>
      <c r="QZ3019" s="37"/>
      <c r="RA3019" s="37"/>
      <c r="RB3019" s="37"/>
      <c r="RC3019" s="37"/>
      <c r="RD3019" s="37"/>
      <c r="RE3019" s="37"/>
      <c r="RF3019" s="37"/>
      <c r="RG3019" s="37"/>
      <c r="RH3019" s="37"/>
      <c r="RI3019" s="37"/>
      <c r="RJ3019" s="37"/>
      <c r="RK3019" s="37"/>
      <c r="RL3019" s="37"/>
      <c r="RM3019" s="37"/>
      <c r="RN3019" s="37"/>
      <c r="RO3019" s="37"/>
      <c r="RP3019" s="37"/>
      <c r="RQ3019" s="37"/>
      <c r="RR3019" s="37"/>
      <c r="RS3019" s="37"/>
      <c r="RT3019" s="37"/>
      <c r="RU3019" s="37"/>
      <c r="RV3019" s="37"/>
      <c r="RW3019" s="37"/>
      <c r="RX3019" s="37"/>
      <c r="RY3019" s="37"/>
      <c r="RZ3019" s="37"/>
      <c r="SA3019" s="37"/>
      <c r="SB3019" s="37"/>
      <c r="SC3019" s="37"/>
      <c r="SD3019" s="37"/>
      <c r="SE3019" s="37"/>
      <c r="SF3019" s="37"/>
    </row>
    <row r="3020" spans="1:500">
      <c r="A3020" s="37"/>
      <c r="B3020" s="37"/>
      <c r="C3020" s="37"/>
      <c r="D3020" s="37"/>
      <c r="E3020" s="37"/>
      <c r="F3020" s="37"/>
      <c r="G3020" s="37"/>
      <c r="H3020" s="37"/>
      <c r="I3020" s="37"/>
      <c r="J3020" s="37"/>
      <c r="K3020" s="37"/>
      <c r="L3020" s="37"/>
      <c r="M3020" s="37"/>
      <c r="N3020" s="37"/>
      <c r="O3020" s="37"/>
      <c r="P3020" s="37"/>
      <c r="Q3020" s="37"/>
      <c r="R3020" s="37"/>
      <c r="S3020" s="37"/>
      <c r="T3020" s="37"/>
      <c r="U3020" s="37"/>
      <c r="V3020" s="37"/>
      <c r="W3020" s="37"/>
      <c r="X3020" s="37"/>
      <c r="Y3020" s="37"/>
      <c r="Z3020" s="37"/>
      <c r="AA3020" s="37"/>
      <c r="AB3020" s="37"/>
      <c r="AC3020" s="37"/>
      <c r="AD3020" s="37"/>
      <c r="AE3020" s="37"/>
      <c r="AF3020" s="37"/>
      <c r="AG3020" s="37"/>
      <c r="AH3020" s="37"/>
      <c r="AI3020" s="37"/>
      <c r="AJ3020" s="37"/>
      <c r="AK3020" s="37"/>
      <c r="AL3020" s="37"/>
      <c r="AM3020" s="37"/>
      <c r="AN3020" s="37"/>
      <c r="AO3020" s="37"/>
      <c r="AP3020" s="37"/>
      <c r="AQ3020" s="37"/>
      <c r="AR3020" s="37"/>
      <c r="AS3020" s="37"/>
      <c r="AT3020" s="37"/>
      <c r="AU3020" s="37"/>
      <c r="AV3020" s="37"/>
      <c r="AW3020" s="37"/>
      <c r="AX3020" s="37"/>
      <c r="AY3020" s="37"/>
      <c r="AZ3020" s="37"/>
      <c r="BA3020" s="37"/>
      <c r="BB3020" s="37"/>
      <c r="BC3020" s="37"/>
      <c r="BD3020" s="37"/>
      <c r="BE3020" s="37"/>
      <c r="BF3020" s="37"/>
      <c r="BG3020" s="37"/>
      <c r="BH3020" s="37"/>
      <c r="BI3020" s="37"/>
      <c r="BJ3020" s="37"/>
      <c r="BK3020" s="37"/>
      <c r="BL3020" s="37"/>
      <c r="BM3020" s="37"/>
      <c r="BN3020" s="37"/>
      <c r="BO3020" s="37"/>
      <c r="BP3020" s="37"/>
      <c r="BQ3020" s="37"/>
      <c r="BR3020" s="37"/>
      <c r="BS3020" s="37"/>
      <c r="BT3020" s="37"/>
      <c r="BU3020" s="37"/>
      <c r="BV3020" s="37"/>
      <c r="BW3020" s="37"/>
      <c r="BX3020" s="37"/>
      <c r="BY3020" s="37"/>
      <c r="BZ3020" s="37"/>
      <c r="CA3020" s="37"/>
      <c r="CB3020" s="37"/>
      <c r="CC3020" s="37"/>
      <c r="CD3020" s="37"/>
      <c r="CE3020" s="37"/>
      <c r="CF3020" s="37"/>
      <c r="CG3020" s="37"/>
      <c r="CH3020" s="37"/>
      <c r="CI3020" s="37"/>
      <c r="CJ3020" s="37"/>
      <c r="CK3020" s="37"/>
      <c r="CL3020" s="37"/>
      <c r="CM3020" s="37"/>
      <c r="CN3020" s="37"/>
      <c r="CO3020" s="37"/>
      <c r="CP3020" s="37"/>
      <c r="CQ3020" s="37"/>
      <c r="CR3020" s="37"/>
      <c r="CS3020" s="37"/>
      <c r="CT3020" s="37"/>
      <c r="CU3020" s="37"/>
      <c r="CV3020" s="37"/>
      <c r="CW3020" s="37"/>
      <c r="CX3020" s="37"/>
      <c r="CY3020" s="37"/>
      <c r="CZ3020" s="37"/>
      <c r="DA3020" s="37"/>
      <c r="DB3020" s="37"/>
      <c r="DC3020" s="37"/>
      <c r="DD3020" s="37"/>
      <c r="DE3020" s="37"/>
      <c r="DF3020" s="37"/>
      <c r="DG3020" s="37"/>
      <c r="DH3020" s="37"/>
      <c r="DI3020" s="37"/>
      <c r="DJ3020" s="37"/>
      <c r="DK3020" s="37"/>
      <c r="DL3020" s="37"/>
      <c r="DM3020" s="37"/>
      <c r="DN3020" s="37"/>
      <c r="DO3020" s="37"/>
      <c r="DP3020" s="37"/>
      <c r="DQ3020" s="37"/>
      <c r="DR3020" s="37"/>
      <c r="DS3020" s="37"/>
      <c r="DT3020" s="37"/>
      <c r="DU3020" s="37"/>
      <c r="DV3020" s="37"/>
      <c r="DW3020" s="37"/>
      <c r="DX3020" s="37"/>
      <c r="DY3020" s="37"/>
      <c r="DZ3020" s="37"/>
      <c r="EA3020" s="37"/>
      <c r="EB3020" s="37"/>
      <c r="EC3020" s="37"/>
      <c r="ED3020" s="37"/>
      <c r="EE3020" s="37"/>
      <c r="EF3020" s="37"/>
      <c r="EG3020" s="37"/>
      <c r="EH3020" s="37"/>
      <c r="EI3020" s="37"/>
      <c r="EJ3020" s="37"/>
      <c r="EK3020" s="37"/>
      <c r="EL3020" s="37"/>
      <c r="EM3020" s="37"/>
      <c r="EN3020" s="37"/>
      <c r="EO3020" s="37"/>
      <c r="EP3020" s="37"/>
      <c r="EQ3020" s="37"/>
      <c r="ER3020" s="37"/>
      <c r="ES3020" s="37"/>
      <c r="ET3020" s="37"/>
      <c r="EU3020" s="37"/>
      <c r="EV3020" s="37"/>
      <c r="EW3020" s="37"/>
      <c r="EX3020" s="37"/>
      <c r="EY3020" s="37"/>
      <c r="EZ3020" s="37"/>
      <c r="FA3020" s="37"/>
      <c r="FB3020" s="37"/>
      <c r="FC3020" s="37"/>
      <c r="FD3020" s="37"/>
      <c r="FE3020" s="37"/>
      <c r="FF3020" s="37"/>
      <c r="FG3020" s="37"/>
      <c r="FH3020" s="37"/>
      <c r="FI3020" s="37"/>
      <c r="FJ3020" s="37"/>
      <c r="FK3020" s="37"/>
      <c r="FL3020" s="37"/>
      <c r="FM3020" s="37"/>
      <c r="FN3020" s="37"/>
      <c r="FO3020" s="37"/>
      <c r="FP3020" s="37"/>
      <c r="FQ3020" s="37"/>
      <c r="FR3020" s="37"/>
      <c r="FS3020" s="37"/>
      <c r="FT3020" s="37"/>
      <c r="FU3020" s="37"/>
      <c r="FV3020" s="37"/>
      <c r="FW3020" s="37"/>
      <c r="FX3020" s="37"/>
      <c r="FY3020" s="37"/>
      <c r="FZ3020" s="37"/>
      <c r="GA3020" s="37"/>
      <c r="GB3020" s="37"/>
      <c r="GC3020" s="37"/>
      <c r="GD3020" s="37"/>
      <c r="GE3020" s="37"/>
      <c r="GF3020" s="37"/>
      <c r="GG3020" s="37"/>
      <c r="GH3020" s="37"/>
      <c r="GI3020" s="37"/>
      <c r="GJ3020" s="37"/>
      <c r="GK3020" s="37"/>
      <c r="GL3020" s="37"/>
      <c r="GM3020" s="37"/>
      <c r="GN3020" s="37"/>
      <c r="GO3020" s="37"/>
      <c r="GP3020" s="37"/>
      <c r="GQ3020" s="37"/>
      <c r="GR3020" s="37"/>
      <c r="GS3020" s="37"/>
      <c r="GT3020" s="37"/>
      <c r="GU3020" s="37"/>
      <c r="GV3020" s="37"/>
      <c r="GW3020" s="37"/>
      <c r="GX3020" s="37"/>
      <c r="GY3020" s="37"/>
      <c r="GZ3020" s="37"/>
      <c r="HA3020" s="37"/>
      <c r="HB3020" s="37"/>
      <c r="HC3020" s="37"/>
      <c r="HD3020" s="37"/>
      <c r="HE3020" s="37"/>
      <c r="HF3020" s="37"/>
      <c r="HG3020" s="37"/>
      <c r="HH3020" s="37"/>
      <c r="HI3020" s="37"/>
      <c r="HJ3020" s="37"/>
      <c r="HK3020" s="37"/>
      <c r="HL3020" s="37"/>
      <c r="HM3020" s="37"/>
      <c r="HN3020" s="37"/>
      <c r="HO3020" s="37"/>
      <c r="HP3020" s="37"/>
      <c r="HQ3020" s="37"/>
      <c r="HR3020" s="37"/>
      <c r="HS3020" s="37"/>
      <c r="HT3020" s="37"/>
      <c r="HU3020" s="37"/>
      <c r="HV3020" s="37"/>
      <c r="HW3020" s="37"/>
      <c r="HX3020" s="37"/>
      <c r="HY3020" s="37"/>
      <c r="HZ3020" s="37"/>
      <c r="IA3020" s="37"/>
      <c r="IB3020" s="37"/>
      <c r="IC3020" s="37"/>
      <c r="ID3020" s="37"/>
      <c r="IE3020" s="37"/>
      <c r="IF3020" s="37"/>
      <c r="IG3020" s="37"/>
      <c r="IH3020" s="37"/>
      <c r="II3020" s="37"/>
      <c r="IJ3020" s="37"/>
      <c r="IK3020" s="37"/>
      <c r="IL3020" s="37"/>
      <c r="IM3020" s="37"/>
      <c r="IN3020" s="37"/>
      <c r="IO3020" s="37"/>
      <c r="IP3020" s="37"/>
      <c r="IQ3020" s="37"/>
      <c r="IR3020" s="37"/>
      <c r="IS3020" s="37"/>
      <c r="IT3020" s="37"/>
      <c r="IU3020" s="37"/>
      <c r="IV3020" s="37"/>
      <c r="IW3020" s="37"/>
      <c r="IX3020" s="37"/>
      <c r="IY3020" s="37"/>
      <c r="IZ3020" s="37"/>
      <c r="JA3020" s="37"/>
      <c r="JB3020" s="37"/>
      <c r="JC3020" s="37"/>
      <c r="JD3020" s="37"/>
      <c r="JE3020" s="37"/>
      <c r="JF3020" s="37"/>
      <c r="JG3020" s="37"/>
      <c r="JH3020" s="37"/>
      <c r="JI3020" s="37"/>
      <c r="JJ3020" s="37"/>
      <c r="JK3020" s="37"/>
      <c r="JL3020" s="37"/>
      <c r="JM3020" s="37"/>
      <c r="JN3020" s="37"/>
      <c r="JO3020" s="37"/>
      <c r="JP3020" s="37"/>
      <c r="JQ3020" s="37"/>
      <c r="JR3020" s="37"/>
      <c r="JS3020" s="37"/>
      <c r="JT3020" s="37"/>
      <c r="JU3020" s="37"/>
      <c r="JV3020" s="37"/>
      <c r="JW3020" s="37"/>
      <c r="JX3020" s="37"/>
      <c r="JY3020" s="37"/>
      <c r="JZ3020" s="37"/>
      <c r="KA3020" s="37"/>
      <c r="KB3020" s="37"/>
      <c r="KC3020" s="37"/>
      <c r="KD3020" s="37"/>
      <c r="KE3020" s="37"/>
      <c r="KF3020" s="37"/>
      <c r="KG3020" s="37"/>
      <c r="KH3020" s="37"/>
      <c r="KI3020" s="37"/>
      <c r="KJ3020" s="37"/>
      <c r="KK3020" s="37"/>
      <c r="KL3020" s="37"/>
      <c r="KM3020" s="37"/>
      <c r="KN3020" s="37"/>
      <c r="KO3020" s="37"/>
      <c r="KP3020" s="37"/>
      <c r="KQ3020" s="37"/>
      <c r="KR3020" s="37"/>
      <c r="KS3020" s="37"/>
      <c r="KT3020" s="37"/>
      <c r="KU3020" s="37"/>
      <c r="KV3020" s="37"/>
      <c r="KW3020" s="37"/>
      <c r="KX3020" s="37"/>
      <c r="KY3020" s="37"/>
      <c r="KZ3020" s="37"/>
      <c r="LA3020" s="37"/>
      <c r="LB3020" s="37"/>
      <c r="LC3020" s="37"/>
      <c r="LD3020" s="37"/>
      <c r="LE3020" s="37"/>
      <c r="LF3020" s="37"/>
      <c r="LG3020" s="37"/>
      <c r="LH3020" s="37"/>
      <c r="LI3020" s="37"/>
      <c r="LJ3020" s="37"/>
      <c r="LK3020" s="37"/>
      <c r="LL3020" s="37"/>
      <c r="LM3020" s="37"/>
      <c r="LN3020" s="37"/>
      <c r="LO3020" s="37"/>
      <c r="LP3020" s="37"/>
      <c r="LQ3020" s="37"/>
      <c r="LR3020" s="37"/>
      <c r="LS3020" s="37"/>
      <c r="LT3020" s="37"/>
      <c r="LU3020" s="37"/>
      <c r="LV3020" s="37"/>
      <c r="LW3020" s="37"/>
      <c r="LX3020" s="37"/>
      <c r="LY3020" s="37"/>
      <c r="LZ3020" s="37"/>
      <c r="MA3020" s="37"/>
      <c r="MB3020" s="37"/>
      <c r="MC3020" s="37"/>
      <c r="MD3020" s="37"/>
      <c r="ME3020" s="37"/>
      <c r="MF3020" s="37"/>
      <c r="MG3020" s="37"/>
      <c r="MH3020" s="37"/>
      <c r="MI3020" s="37"/>
      <c r="MJ3020" s="37"/>
      <c r="MK3020" s="37"/>
      <c r="ML3020" s="37"/>
      <c r="MM3020" s="37"/>
      <c r="MN3020" s="37"/>
      <c r="MO3020" s="37"/>
      <c r="MP3020" s="37"/>
      <c r="MQ3020" s="37"/>
      <c r="MR3020" s="37"/>
      <c r="MS3020" s="37"/>
      <c r="MT3020" s="37"/>
      <c r="MU3020" s="37"/>
      <c r="MV3020" s="37"/>
      <c r="MW3020" s="37"/>
      <c r="MX3020" s="37"/>
      <c r="MY3020" s="37"/>
      <c r="MZ3020" s="37"/>
      <c r="NA3020" s="37"/>
      <c r="NB3020" s="37"/>
      <c r="NC3020" s="37"/>
      <c r="ND3020" s="37"/>
      <c r="NE3020" s="37"/>
      <c r="NF3020" s="37"/>
      <c r="NG3020" s="37"/>
      <c r="NH3020" s="37"/>
      <c r="NI3020" s="37"/>
      <c r="NJ3020" s="37"/>
      <c r="NK3020" s="37"/>
      <c r="NL3020" s="37"/>
      <c r="NM3020" s="37"/>
      <c r="NN3020" s="37"/>
      <c r="NO3020" s="37"/>
      <c r="NP3020" s="37"/>
      <c r="NQ3020" s="37"/>
      <c r="NR3020" s="37"/>
      <c r="NS3020" s="37"/>
      <c r="NT3020" s="37"/>
      <c r="NU3020" s="37"/>
      <c r="NV3020" s="37"/>
      <c r="NW3020" s="37"/>
      <c r="NX3020" s="37"/>
      <c r="NY3020" s="37"/>
      <c r="NZ3020" s="37"/>
      <c r="OA3020" s="37"/>
      <c r="OB3020" s="37"/>
      <c r="OC3020" s="37"/>
      <c r="OD3020" s="37"/>
      <c r="OE3020" s="37"/>
      <c r="OF3020" s="37"/>
      <c r="OG3020" s="37"/>
      <c r="OH3020" s="37"/>
      <c r="OI3020" s="37"/>
      <c r="OJ3020" s="37"/>
      <c r="OK3020" s="37"/>
      <c r="OL3020" s="37"/>
      <c r="OM3020" s="37"/>
      <c r="ON3020" s="37"/>
      <c r="OO3020" s="37"/>
      <c r="OP3020" s="37"/>
      <c r="OQ3020" s="37"/>
      <c r="OR3020" s="37"/>
      <c r="OS3020" s="37"/>
      <c r="OT3020" s="37"/>
      <c r="OU3020" s="37"/>
      <c r="OV3020" s="37"/>
      <c r="OW3020" s="37"/>
      <c r="OX3020" s="37"/>
      <c r="OY3020" s="37"/>
      <c r="OZ3020" s="37"/>
      <c r="PA3020" s="37"/>
      <c r="PB3020" s="37"/>
      <c r="PC3020" s="37"/>
      <c r="PD3020" s="37"/>
      <c r="PE3020" s="37"/>
      <c r="PF3020" s="37"/>
      <c r="PG3020" s="37"/>
      <c r="PH3020" s="37"/>
      <c r="PI3020" s="37"/>
      <c r="PJ3020" s="37"/>
      <c r="PK3020" s="37"/>
      <c r="PL3020" s="37"/>
      <c r="PM3020" s="37"/>
      <c r="PN3020" s="37"/>
      <c r="PO3020" s="37"/>
      <c r="PP3020" s="37"/>
      <c r="PQ3020" s="37"/>
      <c r="PR3020" s="37"/>
      <c r="PS3020" s="37"/>
      <c r="PT3020" s="37"/>
      <c r="PU3020" s="37"/>
      <c r="PV3020" s="37"/>
      <c r="PW3020" s="37"/>
      <c r="PX3020" s="37"/>
      <c r="PY3020" s="37"/>
      <c r="PZ3020" s="37"/>
      <c r="QA3020" s="37"/>
      <c r="QB3020" s="37"/>
      <c r="QC3020" s="37"/>
      <c r="QD3020" s="37"/>
      <c r="QE3020" s="37"/>
      <c r="QF3020" s="37"/>
      <c r="QG3020" s="37"/>
      <c r="QH3020" s="37"/>
      <c r="QI3020" s="37"/>
      <c r="QJ3020" s="37"/>
      <c r="QK3020" s="37"/>
      <c r="QL3020" s="37"/>
      <c r="QM3020" s="37"/>
      <c r="QN3020" s="37"/>
      <c r="QO3020" s="37"/>
      <c r="QP3020" s="37"/>
      <c r="QQ3020" s="37"/>
      <c r="QR3020" s="37"/>
      <c r="QS3020" s="37"/>
      <c r="QT3020" s="37"/>
      <c r="QU3020" s="37"/>
      <c r="QV3020" s="37"/>
      <c r="QW3020" s="37"/>
      <c r="QX3020" s="37"/>
      <c r="QY3020" s="37"/>
      <c r="QZ3020" s="37"/>
      <c r="RA3020" s="37"/>
      <c r="RB3020" s="37"/>
      <c r="RC3020" s="37"/>
      <c r="RD3020" s="37"/>
      <c r="RE3020" s="37"/>
      <c r="RF3020" s="37"/>
      <c r="RG3020" s="37"/>
      <c r="RH3020" s="37"/>
      <c r="RI3020" s="37"/>
      <c r="RJ3020" s="37"/>
      <c r="RK3020" s="37"/>
      <c r="RL3020" s="37"/>
      <c r="RM3020" s="37"/>
      <c r="RN3020" s="37"/>
      <c r="RO3020" s="37"/>
      <c r="RP3020" s="37"/>
      <c r="RQ3020" s="37"/>
      <c r="RR3020" s="37"/>
      <c r="RS3020" s="37"/>
      <c r="RT3020" s="37"/>
      <c r="RU3020" s="37"/>
      <c r="RV3020" s="37"/>
      <c r="RW3020" s="37"/>
      <c r="RX3020" s="37"/>
      <c r="RY3020" s="37"/>
      <c r="RZ3020" s="37"/>
      <c r="SA3020" s="37"/>
      <c r="SB3020" s="37"/>
      <c r="SC3020" s="37"/>
      <c r="SD3020" s="37"/>
      <c r="SE3020" s="37"/>
      <c r="SF3020" s="37"/>
    </row>
    <row r="3021" spans="1:500">
      <c r="A3021" s="37"/>
      <c r="B3021" s="37"/>
      <c r="C3021" s="37"/>
      <c r="D3021" s="37"/>
      <c r="E3021" s="37"/>
      <c r="F3021" s="37"/>
      <c r="G3021" s="37"/>
      <c r="H3021" s="37"/>
      <c r="I3021" s="37"/>
      <c r="J3021" s="37"/>
      <c r="K3021" s="37"/>
      <c r="L3021" s="37"/>
      <c r="M3021" s="37"/>
      <c r="N3021" s="37"/>
      <c r="O3021" s="37"/>
      <c r="P3021" s="37"/>
      <c r="Q3021" s="37"/>
      <c r="R3021" s="37"/>
      <c r="S3021" s="37"/>
      <c r="T3021" s="37"/>
      <c r="U3021" s="37"/>
      <c r="V3021" s="37"/>
      <c r="W3021" s="37"/>
      <c r="X3021" s="37"/>
      <c r="Y3021" s="37"/>
      <c r="Z3021" s="37"/>
      <c r="AA3021" s="37"/>
      <c r="AB3021" s="37"/>
      <c r="AC3021" s="37"/>
      <c r="AD3021" s="37"/>
      <c r="AE3021" s="37"/>
      <c r="AF3021" s="37"/>
      <c r="AG3021" s="37"/>
      <c r="AH3021" s="37"/>
      <c r="AI3021" s="37"/>
      <c r="AJ3021" s="37"/>
      <c r="AK3021" s="37"/>
      <c r="AL3021" s="37"/>
      <c r="AM3021" s="37"/>
      <c r="AN3021" s="37"/>
      <c r="AO3021" s="37"/>
      <c r="AP3021" s="37"/>
      <c r="AQ3021" s="37"/>
      <c r="AR3021" s="37"/>
      <c r="AS3021" s="37"/>
      <c r="AT3021" s="37"/>
      <c r="AU3021" s="37"/>
      <c r="AV3021" s="37"/>
      <c r="AW3021" s="37"/>
      <c r="AX3021" s="37"/>
      <c r="AY3021" s="37"/>
      <c r="AZ3021" s="37"/>
      <c r="BA3021" s="37"/>
      <c r="BB3021" s="37"/>
      <c r="BC3021" s="37"/>
      <c r="BD3021" s="37"/>
      <c r="BE3021" s="37"/>
      <c r="BF3021" s="37"/>
      <c r="BG3021" s="37"/>
      <c r="BH3021" s="37"/>
      <c r="BI3021" s="37"/>
      <c r="BJ3021" s="37"/>
      <c r="BK3021" s="37"/>
      <c r="BL3021" s="37"/>
      <c r="BM3021" s="37"/>
      <c r="BN3021" s="37"/>
      <c r="BO3021" s="37"/>
      <c r="BP3021" s="37"/>
      <c r="BQ3021" s="37"/>
      <c r="BR3021" s="37"/>
      <c r="BS3021" s="37"/>
      <c r="BT3021" s="37"/>
      <c r="BU3021" s="37"/>
      <c r="BV3021" s="37"/>
      <c r="BW3021" s="37"/>
      <c r="BX3021" s="37"/>
      <c r="BY3021" s="37"/>
      <c r="BZ3021" s="37"/>
      <c r="CA3021" s="37"/>
      <c r="CB3021" s="37"/>
      <c r="CC3021" s="37"/>
      <c r="CD3021" s="37"/>
      <c r="CE3021" s="37"/>
      <c r="CF3021" s="37"/>
      <c r="CG3021" s="37"/>
      <c r="CH3021" s="37"/>
      <c r="CI3021" s="37"/>
      <c r="CJ3021" s="37"/>
      <c r="CK3021" s="37"/>
      <c r="CL3021" s="37"/>
      <c r="CM3021" s="37"/>
      <c r="CN3021" s="37"/>
      <c r="CO3021" s="37"/>
      <c r="CP3021" s="37"/>
      <c r="CQ3021" s="37"/>
      <c r="CR3021" s="37"/>
      <c r="CS3021" s="37"/>
      <c r="CT3021" s="37"/>
      <c r="CU3021" s="37"/>
      <c r="CV3021" s="37"/>
      <c r="CW3021" s="37"/>
      <c r="CX3021" s="37"/>
      <c r="CY3021" s="37"/>
      <c r="CZ3021" s="37"/>
      <c r="DA3021" s="37"/>
      <c r="DB3021" s="37"/>
      <c r="DC3021" s="37"/>
      <c r="DD3021" s="37"/>
      <c r="DE3021" s="37"/>
      <c r="DF3021" s="37"/>
      <c r="DG3021" s="37"/>
      <c r="DH3021" s="37"/>
      <c r="DI3021" s="37"/>
      <c r="DJ3021" s="37"/>
      <c r="DK3021" s="37"/>
      <c r="DL3021" s="37"/>
      <c r="DM3021" s="37"/>
      <c r="DN3021" s="37"/>
      <c r="DO3021" s="37"/>
      <c r="DP3021" s="37"/>
      <c r="DQ3021" s="37"/>
      <c r="DR3021" s="37"/>
      <c r="DS3021" s="37"/>
      <c r="DT3021" s="37"/>
      <c r="DU3021" s="37"/>
      <c r="DV3021" s="37"/>
      <c r="DW3021" s="37"/>
      <c r="DX3021" s="37"/>
      <c r="DY3021" s="37"/>
      <c r="DZ3021" s="37"/>
      <c r="EA3021" s="37"/>
      <c r="EB3021" s="37"/>
      <c r="EC3021" s="37"/>
      <c r="ED3021" s="37"/>
      <c r="EE3021" s="37"/>
      <c r="EF3021" s="37"/>
      <c r="EG3021" s="37"/>
      <c r="EH3021" s="37"/>
      <c r="EI3021" s="37"/>
      <c r="EJ3021" s="37"/>
      <c r="EK3021" s="37"/>
      <c r="EL3021" s="37"/>
      <c r="EM3021" s="37"/>
      <c r="EN3021" s="37"/>
      <c r="EO3021" s="37"/>
      <c r="EP3021" s="37"/>
      <c r="EQ3021" s="37"/>
      <c r="ER3021" s="37"/>
      <c r="ES3021" s="37"/>
      <c r="ET3021" s="37"/>
      <c r="EU3021" s="37"/>
      <c r="EV3021" s="37"/>
      <c r="EW3021" s="37"/>
      <c r="EX3021" s="37"/>
      <c r="EY3021" s="37"/>
      <c r="EZ3021" s="37"/>
      <c r="FA3021" s="37"/>
      <c r="FB3021" s="37"/>
      <c r="FC3021" s="37"/>
      <c r="FD3021" s="37"/>
      <c r="FE3021" s="37"/>
      <c r="FF3021" s="37"/>
      <c r="FG3021" s="37"/>
      <c r="FH3021" s="37"/>
      <c r="FI3021" s="37"/>
      <c r="FJ3021" s="37"/>
      <c r="FK3021" s="37"/>
      <c r="FL3021" s="37"/>
      <c r="FM3021" s="37"/>
      <c r="FN3021" s="37"/>
      <c r="FO3021" s="37"/>
      <c r="FP3021" s="37"/>
      <c r="FQ3021" s="37"/>
      <c r="FR3021" s="37"/>
      <c r="FS3021" s="37"/>
      <c r="FT3021" s="37"/>
      <c r="FU3021" s="37"/>
      <c r="FV3021" s="37"/>
      <c r="FW3021" s="37"/>
      <c r="FX3021" s="37"/>
      <c r="FY3021" s="37"/>
      <c r="FZ3021" s="37"/>
      <c r="GA3021" s="37"/>
      <c r="GB3021" s="37"/>
      <c r="GC3021" s="37"/>
      <c r="GD3021" s="37"/>
      <c r="GE3021" s="37"/>
      <c r="GF3021" s="37"/>
      <c r="GG3021" s="37"/>
      <c r="GH3021" s="37"/>
      <c r="GI3021" s="37"/>
      <c r="GJ3021" s="37"/>
      <c r="GK3021" s="37"/>
      <c r="GL3021" s="37"/>
      <c r="GM3021" s="37"/>
      <c r="GN3021" s="37"/>
      <c r="GO3021" s="37"/>
      <c r="GP3021" s="37"/>
      <c r="GQ3021" s="37"/>
      <c r="GR3021" s="37"/>
      <c r="GS3021" s="37"/>
      <c r="GT3021" s="37"/>
      <c r="GU3021" s="37"/>
      <c r="GV3021" s="37"/>
      <c r="GW3021" s="37"/>
      <c r="GX3021" s="37"/>
      <c r="GY3021" s="37"/>
      <c r="GZ3021" s="37"/>
      <c r="HA3021" s="37"/>
      <c r="HB3021" s="37"/>
      <c r="HC3021" s="37"/>
      <c r="HD3021" s="37"/>
      <c r="HE3021" s="37"/>
      <c r="HF3021" s="37"/>
      <c r="HG3021" s="37"/>
      <c r="HH3021" s="37"/>
      <c r="HI3021" s="37"/>
      <c r="HJ3021" s="37"/>
      <c r="HK3021" s="37"/>
      <c r="HL3021" s="37"/>
      <c r="HM3021" s="37"/>
      <c r="HN3021" s="37"/>
      <c r="HO3021" s="37"/>
      <c r="HP3021" s="37"/>
      <c r="HQ3021" s="37"/>
      <c r="HR3021" s="37"/>
      <c r="HS3021" s="37"/>
      <c r="HT3021" s="37"/>
      <c r="HU3021" s="37"/>
      <c r="HV3021" s="37"/>
      <c r="HW3021" s="37"/>
      <c r="HX3021" s="37"/>
      <c r="HY3021" s="37"/>
      <c r="HZ3021" s="37"/>
      <c r="IA3021" s="37"/>
      <c r="IB3021" s="37"/>
      <c r="IC3021" s="37"/>
      <c r="ID3021" s="37"/>
      <c r="IE3021" s="37"/>
      <c r="IF3021" s="37"/>
      <c r="IG3021" s="37"/>
      <c r="IH3021" s="37"/>
      <c r="II3021" s="37"/>
      <c r="IJ3021" s="37"/>
      <c r="IK3021" s="37"/>
      <c r="IL3021" s="37"/>
      <c r="IM3021" s="37"/>
      <c r="IN3021" s="37"/>
      <c r="IO3021" s="37"/>
      <c r="IP3021" s="37"/>
      <c r="IQ3021" s="37"/>
      <c r="IR3021" s="37"/>
      <c r="IS3021" s="37"/>
      <c r="IT3021" s="37"/>
      <c r="IU3021" s="37"/>
      <c r="IV3021" s="37"/>
      <c r="IW3021" s="37"/>
      <c r="IX3021" s="37"/>
      <c r="IY3021" s="37"/>
      <c r="IZ3021" s="37"/>
      <c r="JA3021" s="37"/>
      <c r="JB3021" s="37"/>
      <c r="JC3021" s="37"/>
      <c r="JD3021" s="37"/>
      <c r="JE3021" s="37"/>
      <c r="JF3021" s="37"/>
      <c r="JG3021" s="37"/>
      <c r="JH3021" s="37"/>
      <c r="JI3021" s="37"/>
      <c r="JJ3021" s="37"/>
      <c r="JK3021" s="37"/>
      <c r="JL3021" s="37"/>
      <c r="JM3021" s="37"/>
      <c r="JN3021" s="37"/>
      <c r="JO3021" s="37"/>
      <c r="JP3021" s="37"/>
      <c r="JQ3021" s="37"/>
      <c r="JR3021" s="37"/>
      <c r="JS3021" s="37"/>
      <c r="JT3021" s="37"/>
      <c r="JU3021" s="37"/>
      <c r="JV3021" s="37"/>
      <c r="JW3021" s="37"/>
      <c r="JX3021" s="37"/>
      <c r="JY3021" s="37"/>
      <c r="JZ3021" s="37"/>
      <c r="KA3021" s="37"/>
      <c r="KB3021" s="37"/>
      <c r="KC3021" s="37"/>
      <c r="KD3021" s="37"/>
      <c r="KE3021" s="37"/>
      <c r="KF3021" s="37"/>
      <c r="KG3021" s="37"/>
      <c r="KH3021" s="37"/>
      <c r="KI3021" s="37"/>
      <c r="KJ3021" s="37"/>
      <c r="KK3021" s="37"/>
      <c r="KL3021" s="37"/>
      <c r="KM3021" s="37"/>
      <c r="KN3021" s="37"/>
      <c r="KO3021" s="37"/>
      <c r="KP3021" s="37"/>
      <c r="KQ3021" s="37"/>
      <c r="KR3021" s="37"/>
      <c r="KS3021" s="37"/>
      <c r="KT3021" s="37"/>
      <c r="KU3021" s="37"/>
      <c r="KV3021" s="37"/>
      <c r="KW3021" s="37"/>
      <c r="KX3021" s="37"/>
      <c r="KY3021" s="37"/>
      <c r="KZ3021" s="37"/>
      <c r="LA3021" s="37"/>
      <c r="LB3021" s="37"/>
      <c r="LC3021" s="37"/>
      <c r="LD3021" s="37"/>
      <c r="LE3021" s="37"/>
      <c r="LF3021" s="37"/>
      <c r="LG3021" s="37"/>
      <c r="LH3021" s="37"/>
      <c r="LI3021" s="37"/>
      <c r="LJ3021" s="37"/>
      <c r="LK3021" s="37"/>
      <c r="LL3021" s="37"/>
      <c r="LM3021" s="37"/>
      <c r="LN3021" s="37"/>
      <c r="LO3021" s="37"/>
      <c r="LP3021" s="37"/>
      <c r="LQ3021" s="37"/>
      <c r="LR3021" s="37"/>
      <c r="LS3021" s="37"/>
      <c r="LT3021" s="37"/>
      <c r="LU3021" s="37"/>
      <c r="LV3021" s="37"/>
      <c r="LW3021" s="37"/>
      <c r="LX3021" s="37"/>
      <c r="LY3021" s="37"/>
      <c r="LZ3021" s="37"/>
      <c r="MA3021" s="37"/>
      <c r="MB3021" s="37"/>
      <c r="MC3021" s="37"/>
      <c r="MD3021" s="37"/>
      <c r="ME3021" s="37"/>
      <c r="MF3021" s="37"/>
      <c r="MG3021" s="37"/>
      <c r="MH3021" s="37"/>
      <c r="MI3021" s="37"/>
      <c r="MJ3021" s="37"/>
      <c r="MK3021" s="37"/>
      <c r="ML3021" s="37"/>
      <c r="MM3021" s="37"/>
      <c r="MN3021" s="37"/>
      <c r="MO3021" s="37"/>
      <c r="MP3021" s="37"/>
      <c r="MQ3021" s="37"/>
      <c r="MR3021" s="37"/>
      <c r="MS3021" s="37"/>
      <c r="MT3021" s="37"/>
      <c r="MU3021" s="37"/>
      <c r="MV3021" s="37"/>
      <c r="MW3021" s="37"/>
      <c r="MX3021" s="37"/>
      <c r="MY3021" s="37"/>
      <c r="MZ3021" s="37"/>
      <c r="NA3021" s="37"/>
      <c r="NB3021" s="37"/>
      <c r="NC3021" s="37"/>
      <c r="ND3021" s="37"/>
      <c r="NE3021" s="37"/>
      <c r="NF3021" s="37"/>
      <c r="NG3021" s="37"/>
      <c r="NH3021" s="37"/>
      <c r="NI3021" s="37"/>
      <c r="NJ3021" s="37"/>
      <c r="NK3021" s="37"/>
      <c r="NL3021" s="37"/>
      <c r="NM3021" s="37"/>
      <c r="NN3021" s="37"/>
      <c r="NO3021" s="37"/>
      <c r="NP3021" s="37"/>
      <c r="NQ3021" s="37"/>
      <c r="NR3021" s="37"/>
      <c r="NS3021" s="37"/>
      <c r="NT3021" s="37"/>
      <c r="NU3021" s="37"/>
      <c r="NV3021" s="37"/>
      <c r="NW3021" s="37"/>
      <c r="NX3021" s="37"/>
      <c r="NY3021" s="37"/>
      <c r="NZ3021" s="37"/>
      <c r="OA3021" s="37"/>
      <c r="OB3021" s="37"/>
      <c r="OC3021" s="37"/>
      <c r="OD3021" s="37"/>
      <c r="OE3021" s="37"/>
      <c r="OF3021" s="37"/>
      <c r="OG3021" s="37"/>
      <c r="OH3021" s="37"/>
      <c r="OI3021" s="37"/>
      <c r="OJ3021" s="37"/>
      <c r="OK3021" s="37"/>
      <c r="OL3021" s="37"/>
      <c r="OM3021" s="37"/>
      <c r="ON3021" s="37"/>
      <c r="OO3021" s="37"/>
      <c r="OP3021" s="37"/>
      <c r="OQ3021" s="37"/>
      <c r="OR3021" s="37"/>
      <c r="OS3021" s="37"/>
      <c r="OT3021" s="37"/>
      <c r="OU3021" s="37"/>
      <c r="OV3021" s="37"/>
      <c r="OW3021" s="37"/>
      <c r="OX3021" s="37"/>
      <c r="OY3021" s="37"/>
      <c r="OZ3021" s="37"/>
      <c r="PA3021" s="37"/>
      <c r="PB3021" s="37"/>
      <c r="PC3021" s="37"/>
      <c r="PD3021" s="37"/>
      <c r="PE3021" s="37"/>
      <c r="PF3021" s="37"/>
      <c r="PG3021" s="37"/>
      <c r="PH3021" s="37"/>
      <c r="PI3021" s="37"/>
      <c r="PJ3021" s="37"/>
      <c r="PK3021" s="37"/>
      <c r="PL3021" s="37"/>
      <c r="PM3021" s="37"/>
      <c r="PN3021" s="37"/>
      <c r="PO3021" s="37"/>
      <c r="PP3021" s="37"/>
      <c r="PQ3021" s="37"/>
      <c r="PR3021" s="37"/>
      <c r="PS3021" s="37"/>
      <c r="PT3021" s="37"/>
      <c r="PU3021" s="37"/>
      <c r="PV3021" s="37"/>
      <c r="PW3021" s="37"/>
      <c r="PX3021" s="37"/>
      <c r="PY3021" s="37"/>
      <c r="PZ3021" s="37"/>
      <c r="QA3021" s="37"/>
      <c r="QB3021" s="37"/>
      <c r="QC3021" s="37"/>
      <c r="QD3021" s="37"/>
      <c r="QE3021" s="37"/>
      <c r="QF3021" s="37"/>
      <c r="QG3021" s="37"/>
      <c r="QH3021" s="37"/>
      <c r="QI3021" s="37"/>
      <c r="QJ3021" s="37"/>
      <c r="QK3021" s="37"/>
      <c r="QL3021" s="37"/>
      <c r="QM3021" s="37"/>
      <c r="QN3021" s="37"/>
      <c r="QO3021" s="37"/>
      <c r="QP3021" s="37"/>
      <c r="QQ3021" s="37"/>
      <c r="QR3021" s="37"/>
      <c r="QS3021" s="37"/>
      <c r="QT3021" s="37"/>
      <c r="QU3021" s="37"/>
      <c r="QV3021" s="37"/>
      <c r="QW3021" s="37"/>
      <c r="QX3021" s="37"/>
      <c r="QY3021" s="37"/>
      <c r="QZ3021" s="37"/>
      <c r="RA3021" s="37"/>
      <c r="RB3021" s="37"/>
      <c r="RC3021" s="37"/>
      <c r="RD3021" s="37"/>
      <c r="RE3021" s="37"/>
      <c r="RF3021" s="37"/>
      <c r="RG3021" s="37"/>
      <c r="RH3021" s="37"/>
      <c r="RI3021" s="37"/>
      <c r="RJ3021" s="37"/>
      <c r="RK3021" s="37"/>
      <c r="RL3021" s="37"/>
      <c r="RM3021" s="37"/>
      <c r="RN3021" s="37"/>
      <c r="RO3021" s="37"/>
      <c r="RP3021" s="37"/>
      <c r="RQ3021" s="37"/>
      <c r="RR3021" s="37"/>
      <c r="RS3021" s="37"/>
      <c r="RT3021" s="37"/>
      <c r="RU3021" s="37"/>
      <c r="RV3021" s="37"/>
      <c r="RW3021" s="37"/>
      <c r="RX3021" s="37"/>
      <c r="RY3021" s="37"/>
      <c r="RZ3021" s="37"/>
      <c r="SA3021" s="37"/>
      <c r="SB3021" s="37"/>
      <c r="SC3021" s="37"/>
      <c r="SD3021" s="37"/>
      <c r="SE3021" s="37"/>
      <c r="SF3021" s="37"/>
    </row>
    <row r="3022" spans="1:500">
      <c r="A3022" s="37"/>
      <c r="B3022" s="37"/>
      <c r="C3022" s="37"/>
      <c r="D3022" s="37"/>
      <c r="E3022" s="37"/>
      <c r="F3022" s="37"/>
      <c r="G3022" s="37"/>
      <c r="H3022" s="37"/>
      <c r="I3022" s="37"/>
      <c r="J3022" s="37"/>
      <c r="K3022" s="37"/>
      <c r="L3022" s="37"/>
      <c r="M3022" s="37"/>
      <c r="N3022" s="37"/>
      <c r="O3022" s="37"/>
      <c r="P3022" s="37"/>
      <c r="Q3022" s="37"/>
      <c r="R3022" s="37"/>
      <c r="S3022" s="37"/>
      <c r="T3022" s="37"/>
      <c r="U3022" s="37"/>
      <c r="V3022" s="37"/>
      <c r="W3022" s="37"/>
      <c r="X3022" s="37"/>
      <c r="Y3022" s="37"/>
      <c r="Z3022" s="37"/>
      <c r="AA3022" s="37"/>
      <c r="AB3022" s="37"/>
      <c r="AC3022" s="37"/>
      <c r="AD3022" s="37"/>
      <c r="AE3022" s="37"/>
      <c r="AF3022" s="37"/>
      <c r="AG3022" s="37"/>
      <c r="AH3022" s="37"/>
      <c r="AI3022" s="37"/>
      <c r="AJ3022" s="37"/>
      <c r="AK3022" s="37"/>
      <c r="AL3022" s="37"/>
      <c r="AM3022" s="37"/>
      <c r="AN3022" s="37"/>
      <c r="AO3022" s="37"/>
      <c r="AP3022" s="37"/>
      <c r="AQ3022" s="37"/>
      <c r="AR3022" s="37"/>
      <c r="AS3022" s="37"/>
      <c r="AT3022" s="37"/>
      <c r="AU3022" s="37"/>
      <c r="AV3022" s="37"/>
      <c r="AW3022" s="37"/>
      <c r="AX3022" s="37"/>
      <c r="AY3022" s="37"/>
      <c r="AZ3022" s="37"/>
      <c r="BA3022" s="37"/>
      <c r="BB3022" s="37"/>
      <c r="BC3022" s="37"/>
      <c r="BD3022" s="37"/>
      <c r="BE3022" s="37"/>
      <c r="BF3022" s="37"/>
      <c r="BG3022" s="37"/>
      <c r="BH3022" s="37"/>
      <c r="BI3022" s="37"/>
      <c r="BJ3022" s="37"/>
      <c r="BK3022" s="37"/>
      <c r="BL3022" s="37"/>
      <c r="BM3022" s="37"/>
      <c r="BN3022" s="37"/>
      <c r="BO3022" s="37"/>
      <c r="BP3022" s="37"/>
      <c r="BQ3022" s="37"/>
      <c r="BR3022" s="37"/>
      <c r="BS3022" s="37"/>
      <c r="BT3022" s="37"/>
      <c r="BU3022" s="37"/>
      <c r="BV3022" s="37"/>
      <c r="BW3022" s="37"/>
      <c r="BX3022" s="37"/>
      <c r="BY3022" s="37"/>
      <c r="BZ3022" s="37"/>
      <c r="CA3022" s="37"/>
      <c r="CB3022" s="37"/>
      <c r="CC3022" s="37"/>
      <c r="CD3022" s="37"/>
      <c r="CE3022" s="37"/>
      <c r="CF3022" s="37"/>
      <c r="CG3022" s="37"/>
      <c r="CH3022" s="37"/>
      <c r="CI3022" s="37"/>
      <c r="CJ3022" s="37"/>
      <c r="CK3022" s="37"/>
      <c r="CL3022" s="37"/>
      <c r="CM3022" s="37"/>
      <c r="CN3022" s="37"/>
      <c r="CO3022" s="37"/>
      <c r="CP3022" s="37"/>
      <c r="CQ3022" s="37"/>
      <c r="CR3022" s="37"/>
      <c r="CS3022" s="37"/>
      <c r="CT3022" s="37"/>
      <c r="CU3022" s="37"/>
      <c r="CV3022" s="37"/>
      <c r="CW3022" s="37"/>
      <c r="CX3022" s="37"/>
      <c r="CY3022" s="37"/>
      <c r="CZ3022" s="37"/>
      <c r="DA3022" s="37"/>
      <c r="DB3022" s="37"/>
      <c r="DC3022" s="37"/>
      <c r="DD3022" s="37"/>
      <c r="DE3022" s="37"/>
      <c r="DF3022" s="37"/>
      <c r="DG3022" s="37"/>
      <c r="DH3022" s="37"/>
      <c r="DI3022" s="37"/>
      <c r="DJ3022" s="37"/>
      <c r="DK3022" s="37"/>
      <c r="DL3022" s="37"/>
      <c r="DM3022" s="37"/>
      <c r="DN3022" s="37"/>
      <c r="DO3022" s="37"/>
      <c r="DP3022" s="37"/>
      <c r="DQ3022" s="37"/>
      <c r="DR3022" s="37"/>
      <c r="DS3022" s="37"/>
      <c r="DT3022" s="37"/>
      <c r="DU3022" s="37"/>
      <c r="DV3022" s="37"/>
      <c r="DW3022" s="37"/>
      <c r="DX3022" s="37"/>
      <c r="DY3022" s="37"/>
      <c r="DZ3022" s="37"/>
      <c r="EA3022" s="37"/>
      <c r="EB3022" s="37"/>
      <c r="EC3022" s="37"/>
      <c r="ED3022" s="37"/>
      <c r="EE3022" s="37"/>
      <c r="EF3022" s="37"/>
      <c r="EG3022" s="37"/>
      <c r="EH3022" s="37"/>
      <c r="EI3022" s="37"/>
      <c r="EJ3022" s="37"/>
      <c r="EK3022" s="37"/>
      <c r="EL3022" s="37"/>
      <c r="EM3022" s="37"/>
      <c r="EN3022" s="37"/>
      <c r="EO3022" s="37"/>
      <c r="EP3022" s="37"/>
      <c r="EQ3022" s="37"/>
      <c r="ER3022" s="37"/>
      <c r="ES3022" s="37"/>
      <c r="ET3022" s="37"/>
      <c r="EU3022" s="37"/>
      <c r="EV3022" s="37"/>
      <c r="EW3022" s="37"/>
      <c r="EX3022" s="37"/>
      <c r="EY3022" s="37"/>
      <c r="EZ3022" s="37"/>
      <c r="FA3022" s="37"/>
      <c r="FB3022" s="37"/>
      <c r="FC3022" s="37"/>
      <c r="FD3022" s="37"/>
      <c r="FE3022" s="37"/>
      <c r="FF3022" s="37"/>
      <c r="FG3022" s="37"/>
      <c r="FH3022" s="37"/>
      <c r="FI3022" s="37"/>
      <c r="FJ3022" s="37"/>
      <c r="FK3022" s="37"/>
      <c r="FL3022" s="37"/>
      <c r="FM3022" s="37"/>
      <c r="FN3022" s="37"/>
      <c r="FO3022" s="37"/>
      <c r="FP3022" s="37"/>
      <c r="FQ3022" s="37"/>
      <c r="FR3022" s="37"/>
      <c r="FS3022" s="37"/>
      <c r="FT3022" s="37"/>
      <c r="FU3022" s="37"/>
      <c r="FV3022" s="37"/>
      <c r="FW3022" s="37"/>
      <c r="FX3022" s="37"/>
      <c r="FY3022" s="37"/>
      <c r="FZ3022" s="37"/>
      <c r="GA3022" s="37"/>
      <c r="GB3022" s="37"/>
      <c r="GC3022" s="37"/>
      <c r="GD3022" s="37"/>
      <c r="GE3022" s="37"/>
      <c r="GF3022" s="37"/>
      <c r="GG3022" s="37"/>
      <c r="GH3022" s="37"/>
      <c r="GI3022" s="37"/>
      <c r="GJ3022" s="37"/>
      <c r="GK3022" s="37"/>
      <c r="GL3022" s="37"/>
      <c r="GM3022" s="37"/>
      <c r="GN3022" s="37"/>
      <c r="GO3022" s="37"/>
      <c r="GP3022" s="37"/>
      <c r="GQ3022" s="37"/>
      <c r="GR3022" s="37"/>
      <c r="GS3022" s="37"/>
      <c r="GT3022" s="37"/>
      <c r="GU3022" s="37"/>
      <c r="GV3022" s="37"/>
      <c r="GW3022" s="37"/>
      <c r="GX3022" s="37"/>
      <c r="GY3022" s="37"/>
      <c r="GZ3022" s="37"/>
      <c r="HA3022" s="37"/>
      <c r="HB3022" s="37"/>
      <c r="HC3022" s="37"/>
      <c r="HD3022" s="37"/>
      <c r="HE3022" s="37"/>
      <c r="HF3022" s="37"/>
      <c r="HG3022" s="37"/>
      <c r="HH3022" s="37"/>
      <c r="HI3022" s="37"/>
      <c r="HJ3022" s="37"/>
      <c r="HK3022" s="37"/>
      <c r="HL3022" s="37"/>
      <c r="HM3022" s="37"/>
      <c r="HN3022" s="37"/>
      <c r="HO3022" s="37"/>
      <c r="HP3022" s="37"/>
      <c r="HQ3022" s="37"/>
      <c r="HR3022" s="37"/>
      <c r="HS3022" s="37"/>
      <c r="HT3022" s="37"/>
      <c r="HU3022" s="37"/>
      <c r="HV3022" s="37"/>
      <c r="HW3022" s="37"/>
      <c r="HX3022" s="37"/>
      <c r="HY3022" s="37"/>
      <c r="HZ3022" s="37"/>
      <c r="IA3022" s="37"/>
      <c r="IB3022" s="37"/>
      <c r="IC3022" s="37"/>
      <c r="ID3022" s="37"/>
      <c r="IE3022" s="37"/>
      <c r="IF3022" s="37"/>
      <c r="IG3022" s="37"/>
      <c r="IH3022" s="37"/>
      <c r="II3022" s="37"/>
      <c r="IJ3022" s="37"/>
      <c r="IK3022" s="37"/>
      <c r="IL3022" s="37"/>
      <c r="IM3022" s="37"/>
      <c r="IN3022" s="37"/>
      <c r="IO3022" s="37"/>
      <c r="IP3022" s="37"/>
      <c r="IQ3022" s="37"/>
      <c r="IR3022" s="37"/>
      <c r="IS3022" s="37"/>
      <c r="IT3022" s="37"/>
      <c r="IU3022" s="37"/>
      <c r="IV3022" s="37"/>
      <c r="IW3022" s="37"/>
      <c r="IX3022" s="37"/>
      <c r="IY3022" s="37"/>
      <c r="IZ3022" s="37"/>
      <c r="JA3022" s="37"/>
      <c r="JB3022" s="37"/>
      <c r="JC3022" s="37"/>
      <c r="JD3022" s="37"/>
      <c r="JE3022" s="37"/>
      <c r="JF3022" s="37"/>
      <c r="JG3022" s="37"/>
      <c r="JH3022" s="37"/>
      <c r="JI3022" s="37"/>
      <c r="JJ3022" s="37"/>
      <c r="JK3022" s="37"/>
      <c r="JL3022" s="37"/>
      <c r="JM3022" s="37"/>
      <c r="JN3022" s="37"/>
      <c r="JO3022" s="37"/>
      <c r="JP3022" s="37"/>
      <c r="JQ3022" s="37"/>
      <c r="JR3022" s="37"/>
      <c r="JS3022" s="37"/>
      <c r="JT3022" s="37"/>
      <c r="JU3022" s="37"/>
      <c r="JV3022" s="37"/>
      <c r="JW3022" s="37"/>
      <c r="JX3022" s="37"/>
      <c r="JY3022" s="37"/>
      <c r="JZ3022" s="37"/>
      <c r="KA3022" s="37"/>
      <c r="KB3022" s="37"/>
      <c r="KC3022" s="37"/>
      <c r="KD3022" s="37"/>
      <c r="KE3022" s="37"/>
      <c r="KF3022" s="37"/>
      <c r="KG3022" s="37"/>
      <c r="KH3022" s="37"/>
      <c r="KI3022" s="37"/>
      <c r="KJ3022" s="37"/>
      <c r="KK3022" s="37"/>
      <c r="KL3022" s="37"/>
      <c r="KM3022" s="37"/>
      <c r="KN3022" s="37"/>
      <c r="KO3022" s="37"/>
      <c r="KP3022" s="37"/>
      <c r="KQ3022" s="37"/>
      <c r="KR3022" s="37"/>
      <c r="KS3022" s="37"/>
      <c r="KT3022" s="37"/>
      <c r="KU3022" s="37"/>
      <c r="KV3022" s="37"/>
      <c r="KW3022" s="37"/>
      <c r="KX3022" s="37"/>
      <c r="KY3022" s="37"/>
      <c r="KZ3022" s="37"/>
      <c r="LA3022" s="37"/>
      <c r="LB3022" s="37"/>
      <c r="LC3022" s="37"/>
      <c r="LD3022" s="37"/>
      <c r="LE3022" s="37"/>
      <c r="LF3022" s="37"/>
      <c r="LG3022" s="37"/>
      <c r="LH3022" s="37"/>
      <c r="LI3022" s="37"/>
      <c r="LJ3022" s="37"/>
      <c r="LK3022" s="37"/>
      <c r="LL3022" s="37"/>
      <c r="LM3022" s="37"/>
      <c r="LN3022" s="37"/>
      <c r="LO3022" s="37"/>
      <c r="LP3022" s="37"/>
      <c r="LQ3022" s="37"/>
      <c r="LR3022" s="37"/>
      <c r="LS3022" s="37"/>
      <c r="LT3022" s="37"/>
      <c r="LU3022" s="37"/>
      <c r="LV3022" s="37"/>
      <c r="LW3022" s="37"/>
      <c r="LX3022" s="37"/>
      <c r="LY3022" s="37"/>
      <c r="LZ3022" s="37"/>
      <c r="MA3022" s="37"/>
      <c r="MB3022" s="37"/>
      <c r="MC3022" s="37"/>
      <c r="MD3022" s="37"/>
      <c r="ME3022" s="37"/>
      <c r="MF3022" s="37"/>
      <c r="MG3022" s="37"/>
      <c r="MH3022" s="37"/>
      <c r="MI3022" s="37"/>
      <c r="MJ3022" s="37"/>
      <c r="MK3022" s="37"/>
      <c r="ML3022" s="37"/>
      <c r="MM3022" s="37"/>
      <c r="MN3022" s="37"/>
      <c r="MO3022" s="37"/>
      <c r="MP3022" s="37"/>
      <c r="MQ3022" s="37"/>
      <c r="MR3022" s="37"/>
      <c r="MS3022" s="37"/>
      <c r="MT3022" s="37"/>
      <c r="MU3022" s="37"/>
      <c r="MV3022" s="37"/>
      <c r="MW3022" s="37"/>
      <c r="MX3022" s="37"/>
      <c r="MY3022" s="37"/>
      <c r="MZ3022" s="37"/>
      <c r="NA3022" s="37"/>
      <c r="NB3022" s="37"/>
      <c r="NC3022" s="37"/>
      <c r="ND3022" s="37"/>
      <c r="NE3022" s="37"/>
      <c r="NF3022" s="37"/>
      <c r="NG3022" s="37"/>
      <c r="NH3022" s="37"/>
      <c r="NI3022" s="37"/>
      <c r="NJ3022" s="37"/>
      <c r="NK3022" s="37"/>
      <c r="NL3022" s="37"/>
      <c r="NM3022" s="37"/>
      <c r="NN3022" s="37"/>
      <c r="NO3022" s="37"/>
      <c r="NP3022" s="37"/>
      <c r="NQ3022" s="37"/>
      <c r="NR3022" s="37"/>
      <c r="NS3022" s="37"/>
      <c r="NT3022" s="37"/>
      <c r="NU3022" s="37"/>
      <c r="NV3022" s="37"/>
      <c r="NW3022" s="37"/>
      <c r="NX3022" s="37"/>
      <c r="NY3022" s="37"/>
      <c r="NZ3022" s="37"/>
      <c r="OA3022" s="37"/>
      <c r="OB3022" s="37"/>
      <c r="OC3022" s="37"/>
      <c r="OD3022" s="37"/>
      <c r="OE3022" s="37"/>
      <c r="OF3022" s="37"/>
      <c r="OG3022" s="37"/>
      <c r="OH3022" s="37"/>
      <c r="OI3022" s="37"/>
      <c r="OJ3022" s="37"/>
      <c r="OK3022" s="37"/>
      <c r="OL3022" s="37"/>
      <c r="OM3022" s="37"/>
      <c r="ON3022" s="37"/>
      <c r="OO3022" s="37"/>
      <c r="OP3022" s="37"/>
      <c r="OQ3022" s="37"/>
      <c r="OR3022" s="37"/>
      <c r="OS3022" s="37"/>
      <c r="OT3022" s="37"/>
      <c r="OU3022" s="37"/>
      <c r="OV3022" s="37"/>
      <c r="OW3022" s="37"/>
      <c r="OX3022" s="37"/>
      <c r="OY3022" s="37"/>
      <c r="OZ3022" s="37"/>
      <c r="PA3022" s="37"/>
      <c r="PB3022" s="37"/>
      <c r="PC3022" s="37"/>
      <c r="PD3022" s="37"/>
      <c r="PE3022" s="37"/>
      <c r="PF3022" s="37"/>
      <c r="PG3022" s="37"/>
      <c r="PH3022" s="37"/>
      <c r="PI3022" s="37"/>
      <c r="PJ3022" s="37"/>
      <c r="PK3022" s="37"/>
      <c r="PL3022" s="37"/>
      <c r="PM3022" s="37"/>
      <c r="PN3022" s="37"/>
      <c r="PO3022" s="37"/>
      <c r="PP3022" s="37"/>
      <c r="PQ3022" s="37"/>
      <c r="PR3022" s="37"/>
      <c r="PS3022" s="37"/>
      <c r="PT3022" s="37"/>
      <c r="PU3022" s="37"/>
      <c r="PV3022" s="37"/>
      <c r="PW3022" s="37"/>
      <c r="PX3022" s="37"/>
      <c r="PY3022" s="37"/>
      <c r="PZ3022" s="37"/>
      <c r="QA3022" s="37"/>
      <c r="QB3022" s="37"/>
      <c r="QC3022" s="37"/>
      <c r="QD3022" s="37"/>
      <c r="QE3022" s="37"/>
      <c r="QF3022" s="37"/>
      <c r="QG3022" s="37"/>
      <c r="QH3022" s="37"/>
      <c r="QI3022" s="37"/>
      <c r="QJ3022" s="37"/>
      <c r="QK3022" s="37"/>
      <c r="QL3022" s="37"/>
      <c r="QM3022" s="37"/>
      <c r="QN3022" s="37"/>
      <c r="QO3022" s="37"/>
      <c r="QP3022" s="37"/>
      <c r="QQ3022" s="37"/>
      <c r="QR3022" s="37"/>
      <c r="QS3022" s="37"/>
      <c r="QT3022" s="37"/>
      <c r="QU3022" s="37"/>
      <c r="QV3022" s="37"/>
      <c r="QW3022" s="37"/>
      <c r="QX3022" s="37"/>
      <c r="QY3022" s="37"/>
      <c r="QZ3022" s="37"/>
      <c r="RA3022" s="37"/>
      <c r="RB3022" s="37"/>
      <c r="RC3022" s="37"/>
      <c r="RD3022" s="37"/>
      <c r="RE3022" s="37"/>
      <c r="RF3022" s="37"/>
      <c r="RG3022" s="37"/>
      <c r="RH3022" s="37"/>
      <c r="RI3022" s="37"/>
      <c r="RJ3022" s="37"/>
      <c r="RK3022" s="37"/>
      <c r="RL3022" s="37"/>
      <c r="RM3022" s="37"/>
      <c r="RN3022" s="37"/>
      <c r="RO3022" s="37"/>
      <c r="RP3022" s="37"/>
      <c r="RQ3022" s="37"/>
      <c r="RR3022" s="37"/>
      <c r="RS3022" s="37"/>
      <c r="RT3022" s="37"/>
      <c r="RU3022" s="37"/>
      <c r="RV3022" s="37"/>
      <c r="RW3022" s="37"/>
      <c r="RX3022" s="37"/>
      <c r="RY3022" s="37"/>
      <c r="RZ3022" s="37"/>
      <c r="SA3022" s="37"/>
      <c r="SB3022" s="37"/>
      <c r="SC3022" s="37"/>
      <c r="SD3022" s="37"/>
      <c r="SE3022" s="37"/>
      <c r="SF3022" s="37"/>
    </row>
    <row r="3023" spans="1:500">
      <c r="A3023" s="37"/>
      <c r="B3023" s="37"/>
      <c r="C3023" s="37"/>
      <c r="D3023" s="37"/>
      <c r="E3023" s="37"/>
      <c r="F3023" s="37"/>
      <c r="G3023" s="37"/>
      <c r="H3023" s="37"/>
      <c r="I3023" s="37"/>
      <c r="J3023" s="37"/>
      <c r="K3023" s="37"/>
      <c r="L3023" s="37"/>
      <c r="M3023" s="37"/>
      <c r="N3023" s="37"/>
      <c r="O3023" s="37"/>
      <c r="P3023" s="37"/>
      <c r="Q3023" s="37"/>
      <c r="R3023" s="37"/>
      <c r="S3023" s="37"/>
      <c r="T3023" s="37"/>
      <c r="U3023" s="37"/>
      <c r="V3023" s="37"/>
      <c r="W3023" s="37"/>
      <c r="X3023" s="37"/>
      <c r="Y3023" s="37"/>
      <c r="Z3023" s="37"/>
      <c r="AA3023" s="37"/>
      <c r="AB3023" s="37"/>
      <c r="AC3023" s="37"/>
      <c r="AD3023" s="37"/>
      <c r="AE3023" s="37"/>
      <c r="AF3023" s="37"/>
      <c r="AG3023" s="37"/>
      <c r="AH3023" s="37"/>
      <c r="AI3023" s="37"/>
      <c r="AJ3023" s="37"/>
      <c r="AK3023" s="37"/>
      <c r="AL3023" s="37"/>
      <c r="AM3023" s="37"/>
      <c r="AN3023" s="37"/>
      <c r="AO3023" s="37"/>
      <c r="AP3023" s="37"/>
      <c r="AQ3023" s="37"/>
      <c r="AR3023" s="37"/>
      <c r="AS3023" s="37"/>
      <c r="AT3023" s="37"/>
      <c r="AU3023" s="37"/>
      <c r="AV3023" s="37"/>
      <c r="AW3023" s="37"/>
      <c r="AX3023" s="37"/>
      <c r="AY3023" s="37"/>
      <c r="AZ3023" s="37"/>
      <c r="BA3023" s="37"/>
      <c r="BB3023" s="37"/>
      <c r="BC3023" s="37"/>
      <c r="BD3023" s="37"/>
      <c r="BE3023" s="37"/>
      <c r="BF3023" s="37"/>
      <c r="BG3023" s="37"/>
      <c r="BH3023" s="37"/>
      <c r="BI3023" s="37"/>
      <c r="BJ3023" s="37"/>
      <c r="BK3023" s="37"/>
      <c r="BL3023" s="37"/>
      <c r="BM3023" s="37"/>
      <c r="BN3023" s="37"/>
      <c r="BO3023" s="37"/>
      <c r="BP3023" s="37"/>
      <c r="BQ3023" s="37"/>
      <c r="BR3023" s="37"/>
      <c r="BS3023" s="37"/>
      <c r="BT3023" s="37"/>
      <c r="BU3023" s="37"/>
      <c r="BV3023" s="37"/>
      <c r="BW3023" s="37"/>
      <c r="BX3023" s="37"/>
      <c r="BY3023" s="37"/>
      <c r="BZ3023" s="37"/>
      <c r="CA3023" s="37"/>
      <c r="CB3023" s="37"/>
      <c r="CC3023" s="37"/>
      <c r="CD3023" s="37"/>
      <c r="CE3023" s="37"/>
      <c r="CF3023" s="37"/>
      <c r="CG3023" s="37"/>
      <c r="CH3023" s="37"/>
      <c r="CI3023" s="37"/>
      <c r="CJ3023" s="37"/>
      <c r="CK3023" s="37"/>
      <c r="CL3023" s="37"/>
      <c r="CM3023" s="37"/>
      <c r="CN3023" s="37"/>
      <c r="CO3023" s="37"/>
      <c r="CP3023" s="37"/>
      <c r="CQ3023" s="37"/>
      <c r="CR3023" s="37"/>
      <c r="CS3023" s="37"/>
      <c r="CT3023" s="37"/>
      <c r="CU3023" s="37"/>
      <c r="CV3023" s="37"/>
      <c r="CW3023" s="37"/>
      <c r="CX3023" s="37"/>
      <c r="CY3023" s="37"/>
      <c r="CZ3023" s="37"/>
      <c r="DA3023" s="37"/>
      <c r="DB3023" s="37"/>
      <c r="DC3023" s="37"/>
      <c r="DD3023" s="37"/>
      <c r="DE3023" s="37"/>
      <c r="DF3023" s="37"/>
      <c r="DG3023" s="37"/>
      <c r="DH3023" s="37"/>
      <c r="DI3023" s="37"/>
      <c r="DJ3023" s="37"/>
      <c r="DK3023" s="37"/>
      <c r="DL3023" s="37"/>
      <c r="DM3023" s="37"/>
      <c r="DN3023" s="37"/>
      <c r="DO3023" s="37"/>
      <c r="DP3023" s="37"/>
      <c r="DQ3023" s="37"/>
      <c r="DR3023" s="37"/>
      <c r="DS3023" s="37"/>
      <c r="DT3023" s="37"/>
      <c r="DU3023" s="37"/>
      <c r="DV3023" s="37"/>
      <c r="DW3023" s="37"/>
      <c r="DX3023" s="37"/>
      <c r="DY3023" s="37"/>
      <c r="DZ3023" s="37"/>
      <c r="EA3023" s="37"/>
      <c r="EB3023" s="37"/>
      <c r="EC3023" s="37"/>
      <c r="ED3023" s="37"/>
      <c r="EE3023" s="37"/>
      <c r="EF3023" s="37"/>
      <c r="EG3023" s="37"/>
      <c r="EH3023" s="37"/>
      <c r="EI3023" s="37"/>
      <c r="EJ3023" s="37"/>
      <c r="EK3023" s="37"/>
      <c r="EL3023" s="37"/>
      <c r="EM3023" s="37"/>
      <c r="EN3023" s="37"/>
      <c r="EO3023" s="37"/>
      <c r="EP3023" s="37"/>
      <c r="EQ3023" s="37"/>
      <c r="ER3023" s="37"/>
      <c r="ES3023" s="37"/>
      <c r="ET3023" s="37"/>
      <c r="EU3023" s="37"/>
      <c r="EV3023" s="37"/>
      <c r="EW3023" s="37"/>
      <c r="EX3023" s="37"/>
      <c r="EY3023" s="37"/>
      <c r="EZ3023" s="37"/>
      <c r="FA3023" s="37"/>
      <c r="FB3023" s="37"/>
      <c r="FC3023" s="37"/>
      <c r="FD3023" s="37"/>
      <c r="FE3023" s="37"/>
      <c r="FF3023" s="37"/>
      <c r="FG3023" s="37"/>
      <c r="FH3023" s="37"/>
      <c r="FI3023" s="37"/>
      <c r="FJ3023" s="37"/>
      <c r="FK3023" s="37"/>
      <c r="FL3023" s="37"/>
      <c r="FM3023" s="37"/>
      <c r="FN3023" s="37"/>
      <c r="FO3023" s="37"/>
      <c r="FP3023" s="37"/>
      <c r="FQ3023" s="37"/>
      <c r="FR3023" s="37"/>
      <c r="FS3023" s="37"/>
      <c r="FT3023" s="37"/>
      <c r="FU3023" s="37"/>
      <c r="FV3023" s="37"/>
      <c r="FW3023" s="37"/>
      <c r="FX3023" s="37"/>
      <c r="FY3023" s="37"/>
      <c r="FZ3023" s="37"/>
      <c r="GA3023" s="37"/>
      <c r="GB3023" s="37"/>
      <c r="GC3023" s="37"/>
      <c r="GD3023" s="37"/>
      <c r="GE3023" s="37"/>
      <c r="GF3023" s="37"/>
      <c r="GG3023" s="37"/>
      <c r="GH3023" s="37"/>
      <c r="GI3023" s="37"/>
      <c r="GJ3023" s="37"/>
      <c r="GK3023" s="37"/>
      <c r="GL3023" s="37"/>
      <c r="GM3023" s="37"/>
      <c r="GN3023" s="37"/>
      <c r="GO3023" s="37"/>
      <c r="GP3023" s="37"/>
      <c r="GQ3023" s="37"/>
      <c r="GR3023" s="37"/>
      <c r="GS3023" s="37"/>
      <c r="GT3023" s="37"/>
      <c r="GU3023" s="37"/>
      <c r="GV3023" s="37"/>
      <c r="GW3023" s="37"/>
      <c r="GX3023" s="37"/>
      <c r="GY3023" s="37"/>
      <c r="GZ3023" s="37"/>
      <c r="HA3023" s="37"/>
      <c r="HB3023" s="37"/>
      <c r="HC3023" s="37"/>
      <c r="HD3023" s="37"/>
      <c r="HE3023" s="37"/>
      <c r="HF3023" s="37"/>
      <c r="HG3023" s="37"/>
      <c r="HH3023" s="37"/>
      <c r="HI3023" s="37"/>
      <c r="HJ3023" s="37"/>
      <c r="HK3023" s="37"/>
      <c r="HL3023" s="37"/>
      <c r="HM3023" s="37"/>
      <c r="HN3023" s="37"/>
      <c r="HO3023" s="37"/>
      <c r="HP3023" s="37"/>
      <c r="HQ3023" s="37"/>
      <c r="HR3023" s="37"/>
      <c r="HS3023" s="37"/>
      <c r="HT3023" s="37"/>
      <c r="HU3023" s="37"/>
      <c r="HV3023" s="37"/>
      <c r="HW3023" s="37"/>
      <c r="HX3023" s="37"/>
      <c r="HY3023" s="37"/>
      <c r="HZ3023" s="37"/>
      <c r="IA3023" s="37"/>
      <c r="IB3023" s="37"/>
      <c r="IC3023" s="37"/>
      <c r="ID3023" s="37"/>
      <c r="IE3023" s="37"/>
      <c r="IF3023" s="37"/>
      <c r="IG3023" s="37"/>
      <c r="IH3023" s="37"/>
      <c r="II3023" s="37"/>
      <c r="IJ3023" s="37"/>
      <c r="IK3023" s="37"/>
      <c r="IL3023" s="37"/>
      <c r="IM3023" s="37"/>
      <c r="IN3023" s="37"/>
      <c r="IO3023" s="37"/>
      <c r="IP3023" s="37"/>
      <c r="IQ3023" s="37"/>
      <c r="IR3023" s="37"/>
      <c r="IS3023" s="37"/>
      <c r="IT3023" s="37"/>
      <c r="IU3023" s="37"/>
      <c r="IV3023" s="37"/>
      <c r="IW3023" s="37"/>
      <c r="IX3023" s="37"/>
      <c r="IY3023" s="37"/>
      <c r="IZ3023" s="37"/>
      <c r="JA3023" s="37"/>
      <c r="JB3023" s="37"/>
      <c r="JC3023" s="37"/>
      <c r="JD3023" s="37"/>
      <c r="JE3023" s="37"/>
      <c r="JF3023" s="37"/>
      <c r="JG3023" s="37"/>
      <c r="JH3023" s="37"/>
      <c r="JI3023" s="37"/>
      <c r="JJ3023" s="37"/>
      <c r="JK3023" s="37"/>
      <c r="JL3023" s="37"/>
      <c r="JM3023" s="37"/>
      <c r="JN3023" s="37"/>
      <c r="JO3023" s="37"/>
      <c r="JP3023" s="37"/>
      <c r="JQ3023" s="37"/>
      <c r="JR3023" s="37"/>
      <c r="JS3023" s="37"/>
      <c r="JT3023" s="37"/>
      <c r="JU3023" s="37"/>
      <c r="JV3023" s="37"/>
      <c r="JW3023" s="37"/>
      <c r="JX3023" s="37"/>
      <c r="JY3023" s="37"/>
      <c r="JZ3023" s="37"/>
      <c r="KA3023" s="37"/>
      <c r="KB3023" s="37"/>
      <c r="KC3023" s="37"/>
      <c r="KD3023" s="37"/>
      <c r="KE3023" s="37"/>
      <c r="KF3023" s="37"/>
      <c r="KG3023" s="37"/>
      <c r="KH3023" s="37"/>
      <c r="KI3023" s="37"/>
      <c r="KJ3023" s="37"/>
      <c r="KK3023" s="37"/>
      <c r="KL3023" s="37"/>
      <c r="KM3023" s="37"/>
      <c r="KN3023" s="37"/>
      <c r="KO3023" s="37"/>
      <c r="KP3023" s="37"/>
      <c r="KQ3023" s="37"/>
      <c r="KR3023" s="37"/>
      <c r="KS3023" s="37"/>
      <c r="KT3023" s="37"/>
      <c r="KU3023" s="37"/>
      <c r="KV3023" s="37"/>
      <c r="KW3023" s="37"/>
      <c r="KX3023" s="37"/>
      <c r="KY3023" s="37"/>
      <c r="KZ3023" s="37"/>
      <c r="LA3023" s="37"/>
      <c r="LB3023" s="37"/>
      <c r="LC3023" s="37"/>
      <c r="LD3023" s="37"/>
      <c r="LE3023" s="37"/>
      <c r="LF3023" s="37"/>
      <c r="LG3023" s="37"/>
      <c r="LH3023" s="37"/>
      <c r="LI3023" s="37"/>
      <c r="LJ3023" s="37"/>
      <c r="LK3023" s="37"/>
      <c r="LL3023" s="37"/>
      <c r="LM3023" s="37"/>
      <c r="LN3023" s="37"/>
      <c r="LO3023" s="37"/>
      <c r="LP3023" s="37"/>
      <c r="LQ3023" s="37"/>
      <c r="LR3023" s="37"/>
      <c r="LS3023" s="37"/>
      <c r="LT3023" s="37"/>
      <c r="LU3023" s="37"/>
      <c r="LV3023" s="37"/>
      <c r="LW3023" s="37"/>
      <c r="LX3023" s="37"/>
      <c r="LY3023" s="37"/>
      <c r="LZ3023" s="37"/>
      <c r="MA3023" s="37"/>
      <c r="MB3023" s="37"/>
      <c r="MC3023" s="37"/>
      <c r="MD3023" s="37"/>
      <c r="ME3023" s="37"/>
      <c r="MF3023" s="37"/>
      <c r="MG3023" s="37"/>
      <c r="MH3023" s="37"/>
      <c r="MI3023" s="37"/>
      <c r="MJ3023" s="37"/>
      <c r="MK3023" s="37"/>
      <c r="ML3023" s="37"/>
      <c r="MM3023" s="37"/>
      <c r="MN3023" s="37"/>
      <c r="MO3023" s="37"/>
      <c r="MP3023" s="37"/>
      <c r="MQ3023" s="37"/>
      <c r="MR3023" s="37"/>
      <c r="MS3023" s="37"/>
      <c r="MT3023" s="37"/>
      <c r="MU3023" s="37"/>
      <c r="MV3023" s="37"/>
      <c r="MW3023" s="37"/>
      <c r="MX3023" s="37"/>
      <c r="MY3023" s="37"/>
      <c r="MZ3023" s="37"/>
      <c r="NA3023" s="37"/>
      <c r="NB3023" s="37"/>
      <c r="NC3023" s="37"/>
      <c r="ND3023" s="37"/>
      <c r="NE3023" s="37"/>
      <c r="NF3023" s="37"/>
      <c r="NG3023" s="37"/>
      <c r="NH3023" s="37"/>
      <c r="NI3023" s="37"/>
      <c r="NJ3023" s="37"/>
      <c r="NK3023" s="37"/>
      <c r="NL3023" s="37"/>
      <c r="NM3023" s="37"/>
      <c r="NN3023" s="37"/>
      <c r="NO3023" s="37"/>
      <c r="NP3023" s="37"/>
      <c r="NQ3023" s="37"/>
      <c r="NR3023" s="37"/>
      <c r="NS3023" s="37"/>
      <c r="NT3023" s="37"/>
      <c r="NU3023" s="37"/>
      <c r="NV3023" s="37"/>
      <c r="NW3023" s="37"/>
      <c r="NX3023" s="37"/>
      <c r="NY3023" s="37"/>
      <c r="NZ3023" s="37"/>
      <c r="OA3023" s="37"/>
      <c r="OB3023" s="37"/>
      <c r="OC3023" s="37"/>
      <c r="OD3023" s="37"/>
      <c r="OE3023" s="37"/>
      <c r="OF3023" s="37"/>
      <c r="OG3023" s="37"/>
      <c r="OH3023" s="37"/>
      <c r="OI3023" s="37"/>
      <c r="OJ3023" s="37"/>
      <c r="OK3023" s="37"/>
      <c r="OL3023" s="37"/>
      <c r="OM3023" s="37"/>
      <c r="ON3023" s="37"/>
      <c r="OO3023" s="37"/>
      <c r="OP3023" s="37"/>
      <c r="OQ3023" s="37"/>
      <c r="OR3023" s="37"/>
      <c r="OS3023" s="37"/>
      <c r="OT3023" s="37"/>
      <c r="OU3023" s="37"/>
      <c r="OV3023" s="37"/>
      <c r="OW3023" s="37"/>
      <c r="OX3023" s="37"/>
      <c r="OY3023" s="37"/>
      <c r="OZ3023" s="37"/>
      <c r="PA3023" s="37"/>
      <c r="PB3023" s="37"/>
      <c r="PC3023" s="37"/>
      <c r="PD3023" s="37"/>
      <c r="PE3023" s="37"/>
      <c r="PF3023" s="37"/>
      <c r="PG3023" s="37"/>
      <c r="PH3023" s="37"/>
      <c r="PI3023" s="37"/>
      <c r="PJ3023" s="37"/>
      <c r="PK3023" s="37"/>
      <c r="PL3023" s="37"/>
      <c r="PM3023" s="37"/>
      <c r="PN3023" s="37"/>
      <c r="PO3023" s="37"/>
      <c r="PP3023" s="37"/>
      <c r="PQ3023" s="37"/>
      <c r="PR3023" s="37"/>
      <c r="PS3023" s="37"/>
      <c r="PT3023" s="37"/>
      <c r="PU3023" s="37"/>
      <c r="PV3023" s="37"/>
      <c r="PW3023" s="37"/>
      <c r="PX3023" s="37"/>
      <c r="PY3023" s="37"/>
      <c r="PZ3023" s="37"/>
      <c r="QA3023" s="37"/>
      <c r="QB3023" s="37"/>
      <c r="QC3023" s="37"/>
      <c r="QD3023" s="37"/>
      <c r="QE3023" s="37"/>
      <c r="QF3023" s="37"/>
      <c r="QG3023" s="37"/>
      <c r="QH3023" s="37"/>
      <c r="QI3023" s="37"/>
      <c r="QJ3023" s="37"/>
      <c r="QK3023" s="37"/>
      <c r="QL3023" s="37"/>
      <c r="QM3023" s="37"/>
      <c r="QN3023" s="37"/>
      <c r="QO3023" s="37"/>
      <c r="QP3023" s="37"/>
      <c r="QQ3023" s="37"/>
      <c r="QR3023" s="37"/>
      <c r="QS3023" s="37"/>
      <c r="QT3023" s="37"/>
      <c r="QU3023" s="37"/>
      <c r="QV3023" s="37"/>
      <c r="QW3023" s="37"/>
      <c r="QX3023" s="37"/>
      <c r="QY3023" s="37"/>
      <c r="QZ3023" s="37"/>
      <c r="RA3023" s="37"/>
      <c r="RB3023" s="37"/>
      <c r="RC3023" s="37"/>
      <c r="RD3023" s="37"/>
      <c r="RE3023" s="37"/>
      <c r="RF3023" s="37"/>
      <c r="RG3023" s="37"/>
      <c r="RH3023" s="37"/>
      <c r="RI3023" s="37"/>
      <c r="RJ3023" s="37"/>
      <c r="RK3023" s="37"/>
      <c r="RL3023" s="37"/>
      <c r="RM3023" s="37"/>
      <c r="RN3023" s="37"/>
      <c r="RO3023" s="37"/>
      <c r="RP3023" s="37"/>
      <c r="RQ3023" s="37"/>
      <c r="RR3023" s="37"/>
      <c r="RS3023" s="37"/>
      <c r="RT3023" s="37"/>
      <c r="RU3023" s="37"/>
      <c r="RV3023" s="37"/>
      <c r="RW3023" s="37"/>
      <c r="RX3023" s="37"/>
      <c r="RY3023" s="37"/>
      <c r="RZ3023" s="37"/>
      <c r="SA3023" s="37"/>
      <c r="SB3023" s="37"/>
      <c r="SC3023" s="37"/>
      <c r="SD3023" s="37"/>
      <c r="SE3023" s="37"/>
      <c r="SF3023" s="37"/>
    </row>
    <row r="3024" spans="1:500">
      <c r="A3024" s="37"/>
      <c r="B3024" s="37"/>
      <c r="C3024" s="37"/>
      <c r="D3024" s="37"/>
      <c r="E3024" s="37"/>
      <c r="F3024" s="37"/>
      <c r="G3024" s="37"/>
      <c r="H3024" s="37"/>
      <c r="I3024" s="37"/>
      <c r="J3024" s="37"/>
      <c r="K3024" s="37"/>
      <c r="L3024" s="37"/>
      <c r="M3024" s="37"/>
      <c r="N3024" s="37"/>
      <c r="O3024" s="37"/>
      <c r="P3024" s="37"/>
      <c r="Q3024" s="37"/>
      <c r="R3024" s="37"/>
      <c r="S3024" s="37"/>
      <c r="T3024" s="37"/>
      <c r="U3024" s="37"/>
      <c r="V3024" s="37"/>
      <c r="W3024" s="37"/>
      <c r="X3024" s="37"/>
      <c r="Y3024" s="37"/>
      <c r="Z3024" s="37"/>
      <c r="AA3024" s="37"/>
      <c r="AB3024" s="37"/>
      <c r="AC3024" s="37"/>
      <c r="AD3024" s="37"/>
      <c r="AE3024" s="37"/>
      <c r="AF3024" s="37"/>
      <c r="AG3024" s="37"/>
      <c r="AH3024" s="37"/>
      <c r="AI3024" s="37"/>
      <c r="AJ3024" s="37"/>
      <c r="AK3024" s="37"/>
      <c r="AL3024" s="37"/>
      <c r="AM3024" s="37"/>
      <c r="AN3024" s="37"/>
      <c r="AO3024" s="37"/>
      <c r="AP3024" s="37"/>
      <c r="AQ3024" s="37"/>
      <c r="AR3024" s="37"/>
      <c r="AS3024" s="37"/>
      <c r="AT3024" s="37"/>
      <c r="AU3024" s="37"/>
      <c r="AV3024" s="37"/>
      <c r="AW3024" s="37"/>
      <c r="AX3024" s="37"/>
      <c r="AY3024" s="37"/>
      <c r="AZ3024" s="37"/>
      <c r="BA3024" s="37"/>
      <c r="BB3024" s="37"/>
      <c r="BC3024" s="37"/>
      <c r="BD3024" s="37"/>
      <c r="BE3024" s="37"/>
      <c r="BF3024" s="37"/>
      <c r="BG3024" s="37"/>
      <c r="BH3024" s="37"/>
      <c r="BI3024" s="37"/>
      <c r="BJ3024" s="37"/>
      <c r="BK3024" s="37"/>
      <c r="BL3024" s="37"/>
      <c r="BM3024" s="37"/>
      <c r="BN3024" s="37"/>
      <c r="BO3024" s="37"/>
      <c r="BP3024" s="37"/>
      <c r="BQ3024" s="37"/>
      <c r="BR3024" s="37"/>
      <c r="BS3024" s="37"/>
      <c r="BT3024" s="37"/>
      <c r="BU3024" s="37"/>
      <c r="BV3024" s="37"/>
      <c r="BW3024" s="37"/>
      <c r="BX3024" s="37"/>
      <c r="BY3024" s="37"/>
      <c r="BZ3024" s="37"/>
      <c r="CA3024" s="37"/>
      <c r="CB3024" s="37"/>
      <c r="CC3024" s="37"/>
      <c r="CD3024" s="37"/>
      <c r="CE3024" s="37"/>
      <c r="CF3024" s="37"/>
      <c r="CG3024" s="37"/>
      <c r="CH3024" s="37"/>
      <c r="CI3024" s="37"/>
      <c r="CJ3024" s="37"/>
      <c r="CK3024" s="37"/>
      <c r="CL3024" s="37"/>
      <c r="CM3024" s="37"/>
      <c r="CN3024" s="37"/>
      <c r="CO3024" s="37"/>
      <c r="CP3024" s="37"/>
      <c r="CQ3024" s="37"/>
      <c r="CR3024" s="37"/>
      <c r="CS3024" s="37"/>
      <c r="CT3024" s="37"/>
      <c r="CU3024" s="37"/>
      <c r="CV3024" s="37"/>
      <c r="CW3024" s="37"/>
      <c r="CX3024" s="37"/>
      <c r="CY3024" s="37"/>
      <c r="CZ3024" s="37"/>
      <c r="DA3024" s="37"/>
      <c r="DB3024" s="37"/>
      <c r="DC3024" s="37"/>
      <c r="DD3024" s="37"/>
      <c r="DE3024" s="37"/>
      <c r="DF3024" s="37"/>
      <c r="DG3024" s="37"/>
      <c r="DH3024" s="37"/>
      <c r="DI3024" s="37"/>
      <c r="DJ3024" s="37"/>
      <c r="DK3024" s="37"/>
      <c r="DL3024" s="37"/>
      <c r="DM3024" s="37"/>
      <c r="DN3024" s="37"/>
      <c r="DO3024" s="37"/>
      <c r="DP3024" s="37"/>
      <c r="DQ3024" s="37"/>
      <c r="DR3024" s="37"/>
      <c r="DS3024" s="37"/>
      <c r="DT3024" s="37"/>
      <c r="DU3024" s="37"/>
      <c r="DV3024" s="37"/>
      <c r="DW3024" s="37"/>
      <c r="DX3024" s="37"/>
      <c r="DY3024" s="37"/>
      <c r="DZ3024" s="37"/>
      <c r="EA3024" s="37"/>
      <c r="EB3024" s="37"/>
      <c r="EC3024" s="37"/>
      <c r="ED3024" s="37"/>
      <c r="EE3024" s="37"/>
      <c r="EF3024" s="37"/>
      <c r="EG3024" s="37"/>
      <c r="EH3024" s="37"/>
      <c r="EI3024" s="37"/>
      <c r="EJ3024" s="37"/>
      <c r="EK3024" s="37"/>
      <c r="EL3024" s="37"/>
      <c r="EM3024" s="37"/>
      <c r="EN3024" s="37"/>
      <c r="EO3024" s="37"/>
      <c r="EP3024" s="37"/>
      <c r="EQ3024" s="37"/>
      <c r="ER3024" s="37"/>
      <c r="ES3024" s="37"/>
      <c r="ET3024" s="37"/>
      <c r="EU3024" s="37"/>
      <c r="EV3024" s="37"/>
      <c r="EW3024" s="37"/>
      <c r="EX3024" s="37"/>
      <c r="EY3024" s="37"/>
      <c r="EZ3024" s="37"/>
      <c r="FA3024" s="37"/>
      <c r="FB3024" s="37"/>
      <c r="FC3024" s="37"/>
      <c r="FD3024" s="37"/>
      <c r="FE3024" s="37"/>
      <c r="FF3024" s="37"/>
      <c r="FG3024" s="37"/>
      <c r="FH3024" s="37"/>
      <c r="FI3024" s="37"/>
      <c r="FJ3024" s="37"/>
      <c r="FK3024" s="37"/>
      <c r="FL3024" s="37"/>
      <c r="FM3024" s="37"/>
      <c r="FN3024" s="37"/>
      <c r="FO3024" s="37"/>
      <c r="FP3024" s="37"/>
      <c r="FQ3024" s="37"/>
      <c r="FR3024" s="37"/>
      <c r="FS3024" s="37"/>
      <c r="FT3024" s="37"/>
      <c r="FU3024" s="37"/>
      <c r="FV3024" s="37"/>
      <c r="FW3024" s="37"/>
      <c r="FX3024" s="37"/>
      <c r="FY3024" s="37"/>
      <c r="FZ3024" s="37"/>
      <c r="GA3024" s="37"/>
      <c r="GB3024" s="37"/>
      <c r="GC3024" s="37"/>
      <c r="GD3024" s="37"/>
      <c r="GE3024" s="37"/>
      <c r="GF3024" s="37"/>
      <c r="GG3024" s="37"/>
      <c r="GH3024" s="37"/>
      <c r="GI3024" s="37"/>
      <c r="GJ3024" s="37"/>
      <c r="GK3024" s="37"/>
      <c r="GL3024" s="37"/>
      <c r="GM3024" s="37"/>
      <c r="GN3024" s="37"/>
      <c r="GO3024" s="37"/>
      <c r="GP3024" s="37"/>
      <c r="GQ3024" s="37"/>
      <c r="GR3024" s="37"/>
      <c r="GS3024" s="37"/>
      <c r="GT3024" s="37"/>
      <c r="GU3024" s="37"/>
      <c r="GV3024" s="37"/>
      <c r="GW3024" s="37"/>
      <c r="GX3024" s="37"/>
      <c r="GY3024" s="37"/>
      <c r="GZ3024" s="37"/>
      <c r="HA3024" s="37"/>
      <c r="HB3024" s="37"/>
      <c r="HC3024" s="37"/>
      <c r="HD3024" s="37"/>
      <c r="HE3024" s="37"/>
      <c r="HF3024" s="37"/>
      <c r="HG3024" s="37"/>
      <c r="HH3024" s="37"/>
      <c r="HI3024" s="37"/>
      <c r="HJ3024" s="37"/>
      <c r="HK3024" s="37"/>
      <c r="HL3024" s="37"/>
      <c r="HM3024" s="37"/>
      <c r="HN3024" s="37"/>
      <c r="HO3024" s="37"/>
      <c r="HP3024" s="37"/>
      <c r="HQ3024" s="37"/>
      <c r="HR3024" s="37"/>
      <c r="HS3024" s="37"/>
      <c r="HT3024" s="37"/>
      <c r="HU3024" s="37"/>
      <c r="HV3024" s="37"/>
      <c r="HW3024" s="37"/>
      <c r="HX3024" s="37"/>
      <c r="HY3024" s="37"/>
      <c r="HZ3024" s="37"/>
      <c r="IA3024" s="37"/>
      <c r="IB3024" s="37"/>
      <c r="IC3024" s="37"/>
      <c r="ID3024" s="37"/>
      <c r="IE3024" s="37"/>
      <c r="IF3024" s="37"/>
      <c r="IG3024" s="37"/>
      <c r="IH3024" s="37"/>
      <c r="II3024" s="37"/>
      <c r="IJ3024" s="37"/>
      <c r="IK3024" s="37"/>
      <c r="IL3024" s="37"/>
      <c r="IM3024" s="37"/>
      <c r="IN3024" s="37"/>
      <c r="IO3024" s="37"/>
      <c r="IP3024" s="37"/>
      <c r="IQ3024" s="37"/>
      <c r="IR3024" s="37"/>
      <c r="IS3024" s="37"/>
      <c r="IT3024" s="37"/>
      <c r="IU3024" s="37"/>
      <c r="IV3024" s="37"/>
      <c r="IW3024" s="37"/>
      <c r="IX3024" s="37"/>
      <c r="IY3024" s="37"/>
      <c r="IZ3024" s="37"/>
      <c r="JA3024" s="37"/>
      <c r="JB3024" s="37"/>
      <c r="JC3024" s="37"/>
      <c r="JD3024" s="37"/>
      <c r="JE3024" s="37"/>
      <c r="JF3024" s="37"/>
      <c r="JG3024" s="37"/>
      <c r="JH3024" s="37"/>
      <c r="JI3024" s="37"/>
      <c r="JJ3024" s="37"/>
      <c r="JK3024" s="37"/>
      <c r="JL3024" s="37"/>
      <c r="JM3024" s="37"/>
      <c r="JN3024" s="37"/>
      <c r="JO3024" s="37"/>
      <c r="JP3024" s="37"/>
      <c r="JQ3024" s="37"/>
      <c r="JR3024" s="37"/>
      <c r="JS3024" s="37"/>
      <c r="JT3024" s="37"/>
      <c r="JU3024" s="37"/>
      <c r="JV3024" s="37"/>
      <c r="JW3024" s="37"/>
      <c r="JX3024" s="37"/>
      <c r="JY3024" s="37"/>
      <c r="JZ3024" s="37"/>
      <c r="KA3024" s="37"/>
      <c r="KB3024" s="37"/>
      <c r="KC3024" s="37"/>
      <c r="KD3024" s="37"/>
      <c r="KE3024" s="37"/>
      <c r="KF3024" s="37"/>
      <c r="KG3024" s="37"/>
      <c r="KH3024" s="37"/>
      <c r="KI3024" s="37"/>
      <c r="KJ3024" s="37"/>
      <c r="KK3024" s="37"/>
      <c r="KL3024" s="37"/>
      <c r="KM3024" s="37"/>
      <c r="KN3024" s="37"/>
      <c r="KO3024" s="37"/>
      <c r="KP3024" s="37"/>
      <c r="KQ3024" s="37"/>
      <c r="KR3024" s="37"/>
      <c r="KS3024" s="37"/>
      <c r="KT3024" s="37"/>
      <c r="KU3024" s="37"/>
      <c r="KV3024" s="37"/>
      <c r="KW3024" s="37"/>
      <c r="KX3024" s="37"/>
      <c r="KY3024" s="37"/>
      <c r="KZ3024" s="37"/>
      <c r="LA3024" s="37"/>
      <c r="LB3024" s="37"/>
      <c r="LC3024" s="37"/>
      <c r="LD3024" s="37"/>
      <c r="LE3024" s="37"/>
      <c r="LF3024" s="37"/>
      <c r="LG3024" s="37"/>
      <c r="LH3024" s="37"/>
      <c r="LI3024" s="37"/>
      <c r="LJ3024" s="37"/>
      <c r="LK3024" s="37"/>
      <c r="LL3024" s="37"/>
      <c r="LM3024" s="37"/>
      <c r="LN3024" s="37"/>
      <c r="LO3024" s="37"/>
      <c r="LP3024" s="37"/>
      <c r="LQ3024" s="37"/>
      <c r="LR3024" s="37"/>
      <c r="LS3024" s="37"/>
      <c r="LT3024" s="37"/>
      <c r="LU3024" s="37"/>
      <c r="LV3024" s="37"/>
      <c r="LW3024" s="37"/>
      <c r="LX3024" s="37"/>
      <c r="LY3024" s="37"/>
      <c r="LZ3024" s="37"/>
      <c r="MA3024" s="37"/>
      <c r="MB3024" s="37"/>
      <c r="MC3024" s="37"/>
      <c r="MD3024" s="37"/>
      <c r="ME3024" s="37"/>
      <c r="MF3024" s="37"/>
      <c r="MG3024" s="37"/>
      <c r="MH3024" s="37"/>
      <c r="MI3024" s="37"/>
      <c r="MJ3024" s="37"/>
      <c r="MK3024" s="37"/>
      <c r="ML3024" s="37"/>
      <c r="MM3024" s="37"/>
      <c r="MN3024" s="37"/>
      <c r="MO3024" s="37"/>
      <c r="MP3024" s="37"/>
      <c r="MQ3024" s="37"/>
      <c r="MR3024" s="37"/>
      <c r="MS3024" s="37"/>
      <c r="MT3024" s="37"/>
      <c r="MU3024" s="37"/>
      <c r="MV3024" s="37"/>
      <c r="MW3024" s="37"/>
      <c r="MX3024" s="37"/>
      <c r="MY3024" s="37"/>
      <c r="MZ3024" s="37"/>
      <c r="NA3024" s="37"/>
      <c r="NB3024" s="37"/>
      <c r="NC3024" s="37"/>
      <c r="ND3024" s="37"/>
      <c r="NE3024" s="37"/>
      <c r="NF3024" s="37"/>
      <c r="NG3024" s="37"/>
      <c r="NH3024" s="37"/>
      <c r="NI3024" s="37"/>
      <c r="NJ3024" s="37"/>
      <c r="NK3024" s="37"/>
      <c r="NL3024" s="37"/>
      <c r="NM3024" s="37"/>
      <c r="NN3024" s="37"/>
      <c r="NO3024" s="37"/>
      <c r="NP3024" s="37"/>
      <c r="NQ3024" s="37"/>
      <c r="NR3024" s="37"/>
      <c r="NS3024" s="37"/>
      <c r="NT3024" s="37"/>
      <c r="NU3024" s="37"/>
      <c r="NV3024" s="37"/>
      <c r="NW3024" s="37"/>
      <c r="NX3024" s="37"/>
      <c r="NY3024" s="37"/>
      <c r="NZ3024" s="37"/>
      <c r="OA3024" s="37"/>
      <c r="OB3024" s="37"/>
      <c r="OC3024" s="37"/>
      <c r="OD3024" s="37"/>
      <c r="OE3024" s="37"/>
      <c r="OF3024" s="37"/>
      <c r="OG3024" s="37"/>
      <c r="OH3024" s="37"/>
      <c r="OI3024" s="37"/>
      <c r="OJ3024" s="37"/>
      <c r="OK3024" s="37"/>
      <c r="OL3024" s="37"/>
      <c r="OM3024" s="37"/>
      <c r="ON3024" s="37"/>
      <c r="OO3024" s="37"/>
      <c r="OP3024" s="37"/>
      <c r="OQ3024" s="37"/>
      <c r="OR3024" s="37"/>
      <c r="OS3024" s="37"/>
      <c r="OT3024" s="37"/>
      <c r="OU3024" s="37"/>
      <c r="OV3024" s="37"/>
      <c r="OW3024" s="37"/>
      <c r="OX3024" s="37"/>
      <c r="OY3024" s="37"/>
      <c r="OZ3024" s="37"/>
      <c r="PA3024" s="37"/>
      <c r="PB3024" s="37"/>
      <c r="PC3024" s="37"/>
      <c r="PD3024" s="37"/>
      <c r="PE3024" s="37"/>
      <c r="PF3024" s="37"/>
      <c r="PG3024" s="37"/>
      <c r="PH3024" s="37"/>
      <c r="PI3024" s="37"/>
      <c r="PJ3024" s="37"/>
      <c r="PK3024" s="37"/>
      <c r="PL3024" s="37"/>
      <c r="PM3024" s="37"/>
      <c r="PN3024" s="37"/>
      <c r="PO3024" s="37"/>
      <c r="PP3024" s="37"/>
      <c r="PQ3024" s="37"/>
      <c r="PR3024" s="37"/>
      <c r="PS3024" s="37"/>
      <c r="PT3024" s="37"/>
      <c r="PU3024" s="37"/>
      <c r="PV3024" s="37"/>
      <c r="PW3024" s="37"/>
      <c r="PX3024" s="37"/>
      <c r="PY3024" s="37"/>
      <c r="PZ3024" s="37"/>
      <c r="QA3024" s="37"/>
      <c r="QB3024" s="37"/>
      <c r="QC3024" s="37"/>
      <c r="QD3024" s="37"/>
      <c r="QE3024" s="37"/>
      <c r="QF3024" s="37"/>
      <c r="QG3024" s="37"/>
      <c r="QH3024" s="37"/>
      <c r="QI3024" s="37"/>
      <c r="QJ3024" s="37"/>
      <c r="QK3024" s="37"/>
      <c r="QL3024" s="37"/>
      <c r="QM3024" s="37"/>
      <c r="QN3024" s="37"/>
      <c r="QO3024" s="37"/>
      <c r="QP3024" s="37"/>
      <c r="QQ3024" s="37"/>
      <c r="QR3024" s="37"/>
      <c r="QS3024" s="37"/>
      <c r="QT3024" s="37"/>
      <c r="QU3024" s="37"/>
      <c r="QV3024" s="37"/>
      <c r="QW3024" s="37"/>
      <c r="QX3024" s="37"/>
      <c r="QY3024" s="37"/>
      <c r="QZ3024" s="37"/>
      <c r="RA3024" s="37"/>
      <c r="RB3024" s="37"/>
      <c r="RC3024" s="37"/>
      <c r="RD3024" s="37"/>
      <c r="RE3024" s="37"/>
      <c r="RF3024" s="37"/>
      <c r="RG3024" s="37"/>
      <c r="RH3024" s="37"/>
      <c r="RI3024" s="37"/>
      <c r="RJ3024" s="37"/>
      <c r="RK3024" s="37"/>
      <c r="RL3024" s="37"/>
      <c r="RM3024" s="37"/>
      <c r="RN3024" s="37"/>
      <c r="RO3024" s="37"/>
      <c r="RP3024" s="37"/>
      <c r="RQ3024" s="37"/>
      <c r="RR3024" s="37"/>
      <c r="RS3024" s="37"/>
      <c r="RT3024" s="37"/>
      <c r="RU3024" s="37"/>
      <c r="RV3024" s="37"/>
      <c r="RW3024" s="37"/>
      <c r="RX3024" s="37"/>
      <c r="RY3024" s="37"/>
      <c r="RZ3024" s="37"/>
      <c r="SA3024" s="37"/>
      <c r="SB3024" s="37"/>
      <c r="SC3024" s="37"/>
      <c r="SD3024" s="37"/>
      <c r="SE3024" s="37"/>
      <c r="SF3024" s="37"/>
    </row>
    <row r="3025" spans="1:500">
      <c r="A3025" s="37"/>
      <c r="B3025" s="37"/>
      <c r="C3025" s="37"/>
      <c r="D3025" s="37"/>
      <c r="E3025" s="37"/>
      <c r="F3025" s="37"/>
      <c r="G3025" s="37"/>
      <c r="H3025" s="37"/>
      <c r="I3025" s="37"/>
      <c r="J3025" s="37"/>
      <c r="K3025" s="37"/>
      <c r="L3025" s="37"/>
      <c r="M3025" s="37"/>
      <c r="N3025" s="37"/>
      <c r="O3025" s="37"/>
      <c r="P3025" s="37"/>
      <c r="Q3025" s="37"/>
      <c r="R3025" s="37"/>
      <c r="S3025" s="37"/>
      <c r="T3025" s="37"/>
      <c r="U3025" s="37"/>
      <c r="V3025" s="37"/>
      <c r="W3025" s="37"/>
      <c r="X3025" s="37"/>
      <c r="Y3025" s="37"/>
      <c r="Z3025" s="37"/>
      <c r="AA3025" s="37"/>
      <c r="AB3025" s="37"/>
      <c r="AC3025" s="37"/>
      <c r="AD3025" s="37"/>
      <c r="AE3025" s="37"/>
      <c r="AF3025" s="37"/>
      <c r="AG3025" s="37"/>
      <c r="AH3025" s="37"/>
      <c r="AI3025" s="37"/>
      <c r="AJ3025" s="37"/>
      <c r="AK3025" s="37"/>
      <c r="AL3025" s="37"/>
      <c r="AM3025" s="37"/>
      <c r="AN3025" s="37"/>
      <c r="AO3025" s="37"/>
      <c r="AP3025" s="37"/>
      <c r="AQ3025" s="37"/>
      <c r="AR3025" s="37"/>
      <c r="AS3025" s="37"/>
      <c r="AT3025" s="37"/>
      <c r="AU3025" s="37"/>
      <c r="AV3025" s="37"/>
      <c r="AW3025" s="37"/>
      <c r="AX3025" s="37"/>
      <c r="AY3025" s="37"/>
      <c r="AZ3025" s="37"/>
      <c r="BA3025" s="37"/>
      <c r="BB3025" s="37"/>
      <c r="BC3025" s="37"/>
      <c r="BD3025" s="37"/>
      <c r="BE3025" s="37"/>
      <c r="BF3025" s="37"/>
      <c r="BG3025" s="37"/>
      <c r="BH3025" s="37"/>
      <c r="BI3025" s="37"/>
      <c r="BJ3025" s="37"/>
      <c r="BK3025" s="37"/>
      <c r="BL3025" s="37"/>
      <c r="BM3025" s="37"/>
      <c r="BN3025" s="37"/>
      <c r="BO3025" s="37"/>
      <c r="BP3025" s="37"/>
      <c r="BQ3025" s="37"/>
      <c r="BR3025" s="37"/>
      <c r="BS3025" s="37"/>
      <c r="BT3025" s="37"/>
      <c r="BU3025" s="37"/>
      <c r="BV3025" s="37"/>
      <c r="BW3025" s="37"/>
      <c r="BX3025" s="37"/>
      <c r="BY3025" s="37"/>
      <c r="BZ3025" s="37"/>
      <c r="CA3025" s="37"/>
      <c r="CB3025" s="37"/>
      <c r="CC3025" s="37"/>
      <c r="CD3025" s="37"/>
      <c r="CE3025" s="37"/>
      <c r="CF3025" s="37"/>
      <c r="CG3025" s="37"/>
      <c r="CH3025" s="37"/>
      <c r="CI3025" s="37"/>
      <c r="CJ3025" s="37"/>
      <c r="CK3025" s="37"/>
      <c r="CL3025" s="37"/>
      <c r="CM3025" s="37"/>
      <c r="CN3025" s="37"/>
      <c r="CO3025" s="37"/>
      <c r="CP3025" s="37"/>
      <c r="CQ3025" s="37"/>
      <c r="CR3025" s="37"/>
      <c r="CS3025" s="37"/>
      <c r="CT3025" s="37"/>
      <c r="CU3025" s="37"/>
      <c r="CV3025" s="37"/>
      <c r="CW3025" s="37"/>
      <c r="CX3025" s="37"/>
      <c r="CY3025" s="37"/>
      <c r="CZ3025" s="37"/>
      <c r="DA3025" s="37"/>
      <c r="DB3025" s="37"/>
      <c r="DC3025" s="37"/>
      <c r="DD3025" s="37"/>
      <c r="DE3025" s="37"/>
      <c r="DF3025" s="37"/>
      <c r="DG3025" s="37"/>
      <c r="DH3025" s="37"/>
      <c r="DI3025" s="37"/>
      <c r="DJ3025" s="37"/>
      <c r="DK3025" s="37"/>
      <c r="DL3025" s="37"/>
      <c r="DM3025" s="37"/>
      <c r="DN3025" s="37"/>
      <c r="DO3025" s="37"/>
      <c r="DP3025" s="37"/>
      <c r="DQ3025" s="37"/>
      <c r="DR3025" s="37"/>
      <c r="DS3025" s="37"/>
      <c r="DT3025" s="37"/>
      <c r="DU3025" s="37"/>
      <c r="DV3025" s="37"/>
      <c r="DW3025" s="37"/>
      <c r="DX3025" s="37"/>
      <c r="DY3025" s="37"/>
      <c r="DZ3025" s="37"/>
      <c r="EA3025" s="37"/>
      <c r="EB3025" s="37"/>
      <c r="EC3025" s="37"/>
      <c r="ED3025" s="37"/>
      <c r="EE3025" s="37"/>
      <c r="EF3025" s="37"/>
      <c r="EG3025" s="37"/>
      <c r="EH3025" s="37"/>
      <c r="EI3025" s="37"/>
      <c r="EJ3025" s="37"/>
      <c r="EK3025" s="37"/>
      <c r="EL3025" s="37"/>
      <c r="EM3025" s="37"/>
      <c r="EN3025" s="37"/>
      <c r="EO3025" s="37"/>
      <c r="EP3025" s="37"/>
      <c r="EQ3025" s="37"/>
      <c r="ER3025" s="37"/>
      <c r="ES3025" s="37"/>
      <c r="ET3025" s="37"/>
      <c r="EU3025" s="37"/>
      <c r="EV3025" s="37"/>
      <c r="EW3025" s="37"/>
      <c r="EX3025" s="37"/>
      <c r="EY3025" s="37"/>
      <c r="EZ3025" s="37"/>
      <c r="FA3025" s="37"/>
      <c r="FB3025" s="37"/>
      <c r="FC3025" s="37"/>
      <c r="FD3025" s="37"/>
      <c r="FE3025" s="37"/>
      <c r="FF3025" s="37"/>
      <c r="FG3025" s="37"/>
      <c r="FH3025" s="37"/>
      <c r="FI3025" s="37"/>
      <c r="FJ3025" s="37"/>
      <c r="FK3025" s="37"/>
      <c r="FL3025" s="37"/>
      <c r="FM3025" s="37"/>
      <c r="FN3025" s="37"/>
      <c r="FO3025" s="37"/>
      <c r="FP3025" s="37"/>
      <c r="FQ3025" s="37"/>
      <c r="FR3025" s="37"/>
      <c r="FS3025" s="37"/>
      <c r="FT3025" s="37"/>
      <c r="FU3025" s="37"/>
      <c r="FV3025" s="37"/>
      <c r="FW3025" s="37"/>
      <c r="FX3025" s="37"/>
      <c r="FY3025" s="37"/>
      <c r="FZ3025" s="37"/>
      <c r="GA3025" s="37"/>
      <c r="GB3025" s="37"/>
      <c r="GC3025" s="37"/>
      <c r="GD3025" s="37"/>
      <c r="GE3025" s="37"/>
      <c r="GF3025" s="37"/>
      <c r="GG3025" s="37"/>
      <c r="GH3025" s="37"/>
      <c r="GI3025" s="37"/>
      <c r="GJ3025" s="37"/>
      <c r="GK3025" s="37"/>
      <c r="GL3025" s="37"/>
      <c r="GM3025" s="37"/>
      <c r="GN3025" s="37"/>
      <c r="GO3025" s="37"/>
      <c r="GP3025" s="37"/>
      <c r="GQ3025" s="37"/>
      <c r="GR3025" s="37"/>
      <c r="GS3025" s="37"/>
      <c r="GT3025" s="37"/>
      <c r="GU3025" s="37"/>
      <c r="GV3025" s="37"/>
      <c r="GW3025" s="37"/>
      <c r="GX3025" s="37"/>
      <c r="GY3025" s="37"/>
      <c r="GZ3025" s="37"/>
      <c r="HA3025" s="37"/>
      <c r="HB3025" s="37"/>
      <c r="HC3025" s="37"/>
      <c r="HD3025" s="37"/>
      <c r="HE3025" s="37"/>
      <c r="HF3025" s="37"/>
      <c r="HG3025" s="37"/>
      <c r="HH3025" s="37"/>
      <c r="HI3025" s="37"/>
      <c r="HJ3025" s="37"/>
      <c r="HK3025" s="37"/>
      <c r="HL3025" s="37"/>
      <c r="HM3025" s="37"/>
      <c r="HN3025" s="37"/>
      <c r="HO3025" s="37"/>
      <c r="HP3025" s="37"/>
      <c r="HQ3025" s="37"/>
      <c r="HR3025" s="37"/>
      <c r="HS3025" s="37"/>
      <c r="HT3025" s="37"/>
      <c r="HU3025" s="37"/>
      <c r="HV3025" s="37"/>
      <c r="HW3025" s="37"/>
      <c r="HX3025" s="37"/>
      <c r="HY3025" s="37"/>
      <c r="HZ3025" s="37"/>
      <c r="IA3025" s="37"/>
      <c r="IB3025" s="37"/>
      <c r="IC3025" s="37"/>
      <c r="ID3025" s="37"/>
      <c r="IE3025" s="37"/>
      <c r="IF3025" s="37"/>
      <c r="IG3025" s="37"/>
      <c r="IH3025" s="37"/>
      <c r="II3025" s="37"/>
      <c r="IJ3025" s="37"/>
      <c r="IK3025" s="37"/>
      <c r="IL3025" s="37"/>
      <c r="IM3025" s="37"/>
      <c r="IN3025" s="37"/>
      <c r="IO3025" s="37"/>
      <c r="IP3025" s="37"/>
      <c r="IQ3025" s="37"/>
      <c r="IR3025" s="37"/>
      <c r="IS3025" s="37"/>
      <c r="IT3025" s="37"/>
      <c r="IU3025" s="37"/>
      <c r="IV3025" s="37"/>
      <c r="IW3025" s="37"/>
      <c r="IX3025" s="37"/>
      <c r="IY3025" s="37"/>
      <c r="IZ3025" s="37"/>
      <c r="JA3025" s="37"/>
      <c r="JB3025" s="37"/>
      <c r="JC3025" s="37"/>
      <c r="JD3025" s="37"/>
      <c r="JE3025" s="37"/>
      <c r="JF3025" s="37"/>
      <c r="JG3025" s="37"/>
      <c r="JH3025" s="37"/>
      <c r="JI3025" s="37"/>
      <c r="JJ3025" s="37"/>
      <c r="JK3025" s="37"/>
      <c r="JL3025" s="37"/>
      <c r="JM3025" s="37"/>
      <c r="JN3025" s="37"/>
      <c r="JO3025" s="37"/>
      <c r="JP3025" s="37"/>
      <c r="JQ3025" s="37"/>
      <c r="JR3025" s="37"/>
      <c r="JS3025" s="37"/>
      <c r="JT3025" s="37"/>
      <c r="JU3025" s="37"/>
      <c r="JV3025" s="37"/>
      <c r="JW3025" s="37"/>
      <c r="JX3025" s="37"/>
      <c r="JY3025" s="37"/>
      <c r="JZ3025" s="37"/>
      <c r="KA3025" s="37"/>
      <c r="KB3025" s="37"/>
      <c r="KC3025" s="37"/>
      <c r="KD3025" s="37"/>
      <c r="KE3025" s="37"/>
      <c r="KF3025" s="37"/>
      <c r="KG3025" s="37"/>
      <c r="KH3025" s="37"/>
      <c r="KI3025" s="37"/>
      <c r="KJ3025" s="37"/>
      <c r="KK3025" s="37"/>
      <c r="KL3025" s="37"/>
      <c r="KM3025" s="37"/>
      <c r="KN3025" s="37"/>
      <c r="KO3025" s="37"/>
      <c r="KP3025" s="37"/>
      <c r="KQ3025" s="37"/>
      <c r="KR3025" s="37"/>
      <c r="KS3025" s="37"/>
      <c r="KT3025" s="37"/>
      <c r="KU3025" s="37"/>
      <c r="KV3025" s="37"/>
      <c r="KW3025" s="37"/>
      <c r="KX3025" s="37"/>
      <c r="KY3025" s="37"/>
      <c r="KZ3025" s="37"/>
      <c r="LA3025" s="37"/>
      <c r="LB3025" s="37"/>
      <c r="LC3025" s="37"/>
      <c r="LD3025" s="37"/>
      <c r="LE3025" s="37"/>
      <c r="LF3025" s="37"/>
      <c r="LG3025" s="37"/>
      <c r="LH3025" s="37"/>
      <c r="LI3025" s="37"/>
      <c r="LJ3025" s="37"/>
      <c r="LK3025" s="37"/>
      <c r="LL3025" s="37"/>
      <c r="LM3025" s="37"/>
      <c r="LN3025" s="37"/>
      <c r="LO3025" s="37"/>
      <c r="LP3025" s="37"/>
      <c r="LQ3025" s="37"/>
      <c r="LR3025" s="37"/>
      <c r="LS3025" s="37"/>
      <c r="LT3025" s="37"/>
      <c r="LU3025" s="37"/>
      <c r="LV3025" s="37"/>
      <c r="LW3025" s="37"/>
      <c r="LX3025" s="37"/>
      <c r="LY3025" s="37"/>
      <c r="LZ3025" s="37"/>
      <c r="MA3025" s="37"/>
      <c r="MB3025" s="37"/>
      <c r="MC3025" s="37"/>
      <c r="MD3025" s="37"/>
      <c r="ME3025" s="37"/>
      <c r="MF3025" s="37"/>
      <c r="MG3025" s="37"/>
      <c r="MH3025" s="37"/>
      <c r="MI3025" s="37"/>
      <c r="MJ3025" s="37"/>
      <c r="MK3025" s="37"/>
      <c r="ML3025" s="37"/>
      <c r="MM3025" s="37"/>
      <c r="MN3025" s="37"/>
      <c r="MO3025" s="37"/>
      <c r="MP3025" s="37"/>
      <c r="MQ3025" s="37"/>
      <c r="MR3025" s="37"/>
      <c r="MS3025" s="37"/>
      <c r="MT3025" s="37"/>
      <c r="MU3025" s="37"/>
      <c r="MV3025" s="37"/>
      <c r="MW3025" s="37"/>
      <c r="MX3025" s="37"/>
      <c r="MY3025" s="37"/>
      <c r="MZ3025" s="37"/>
      <c r="NA3025" s="37"/>
      <c r="NB3025" s="37"/>
      <c r="NC3025" s="37"/>
      <c r="ND3025" s="37"/>
      <c r="NE3025" s="37"/>
      <c r="NF3025" s="37"/>
      <c r="NG3025" s="37"/>
      <c r="NH3025" s="37"/>
      <c r="NI3025" s="37"/>
      <c r="NJ3025" s="37"/>
      <c r="NK3025" s="37"/>
      <c r="NL3025" s="37"/>
      <c r="NM3025" s="37"/>
      <c r="NN3025" s="37"/>
      <c r="NO3025" s="37"/>
      <c r="NP3025" s="37"/>
      <c r="NQ3025" s="37"/>
      <c r="NR3025" s="37"/>
      <c r="NS3025" s="37"/>
      <c r="NT3025" s="37"/>
      <c r="NU3025" s="37"/>
      <c r="NV3025" s="37"/>
      <c r="NW3025" s="37"/>
      <c r="NX3025" s="37"/>
      <c r="NY3025" s="37"/>
      <c r="NZ3025" s="37"/>
      <c r="OA3025" s="37"/>
      <c r="OB3025" s="37"/>
      <c r="OC3025" s="37"/>
      <c r="OD3025" s="37"/>
      <c r="OE3025" s="37"/>
      <c r="OF3025" s="37"/>
      <c r="OG3025" s="37"/>
      <c r="OH3025" s="37"/>
      <c r="OI3025" s="37"/>
      <c r="OJ3025" s="37"/>
      <c r="OK3025" s="37"/>
      <c r="OL3025" s="37"/>
      <c r="OM3025" s="37"/>
      <c r="ON3025" s="37"/>
      <c r="OO3025" s="37"/>
      <c r="OP3025" s="37"/>
      <c r="OQ3025" s="37"/>
      <c r="OR3025" s="37"/>
      <c r="OS3025" s="37"/>
      <c r="OT3025" s="37"/>
      <c r="OU3025" s="37"/>
      <c r="OV3025" s="37"/>
      <c r="OW3025" s="37"/>
      <c r="OX3025" s="37"/>
      <c r="OY3025" s="37"/>
      <c r="OZ3025" s="37"/>
      <c r="PA3025" s="37"/>
      <c r="PB3025" s="37"/>
      <c r="PC3025" s="37"/>
      <c r="PD3025" s="37"/>
      <c r="PE3025" s="37"/>
      <c r="PF3025" s="37"/>
      <c r="PG3025" s="37"/>
      <c r="PH3025" s="37"/>
      <c r="PI3025" s="37"/>
      <c r="PJ3025" s="37"/>
      <c r="PK3025" s="37"/>
      <c r="PL3025" s="37"/>
      <c r="PM3025" s="37"/>
      <c r="PN3025" s="37"/>
      <c r="PO3025" s="37"/>
      <c r="PP3025" s="37"/>
      <c r="PQ3025" s="37"/>
      <c r="PR3025" s="37"/>
      <c r="PS3025" s="37"/>
      <c r="PT3025" s="37"/>
      <c r="PU3025" s="37"/>
      <c r="PV3025" s="37"/>
      <c r="PW3025" s="37"/>
      <c r="PX3025" s="37"/>
      <c r="PY3025" s="37"/>
      <c r="PZ3025" s="37"/>
      <c r="QA3025" s="37"/>
      <c r="QB3025" s="37"/>
      <c r="QC3025" s="37"/>
      <c r="QD3025" s="37"/>
      <c r="QE3025" s="37"/>
      <c r="QF3025" s="37"/>
      <c r="QG3025" s="37"/>
      <c r="QH3025" s="37"/>
      <c r="QI3025" s="37"/>
      <c r="QJ3025" s="37"/>
      <c r="QK3025" s="37"/>
      <c r="QL3025" s="37"/>
      <c r="QM3025" s="37"/>
      <c r="QN3025" s="37"/>
      <c r="QO3025" s="37"/>
      <c r="QP3025" s="37"/>
      <c r="QQ3025" s="37"/>
      <c r="QR3025" s="37"/>
      <c r="QS3025" s="37"/>
      <c r="QT3025" s="37"/>
      <c r="QU3025" s="37"/>
      <c r="QV3025" s="37"/>
      <c r="QW3025" s="37"/>
      <c r="QX3025" s="37"/>
      <c r="QY3025" s="37"/>
      <c r="QZ3025" s="37"/>
      <c r="RA3025" s="37"/>
      <c r="RB3025" s="37"/>
      <c r="RC3025" s="37"/>
      <c r="RD3025" s="37"/>
      <c r="RE3025" s="37"/>
      <c r="RF3025" s="37"/>
      <c r="RG3025" s="37"/>
      <c r="RH3025" s="37"/>
      <c r="RI3025" s="37"/>
      <c r="RJ3025" s="37"/>
      <c r="RK3025" s="37"/>
      <c r="RL3025" s="37"/>
      <c r="RM3025" s="37"/>
      <c r="RN3025" s="37"/>
      <c r="RO3025" s="37"/>
      <c r="RP3025" s="37"/>
      <c r="RQ3025" s="37"/>
      <c r="RR3025" s="37"/>
      <c r="RS3025" s="37"/>
      <c r="RT3025" s="37"/>
      <c r="RU3025" s="37"/>
      <c r="RV3025" s="37"/>
      <c r="RW3025" s="37"/>
      <c r="RX3025" s="37"/>
      <c r="RY3025" s="37"/>
      <c r="RZ3025" s="37"/>
      <c r="SA3025" s="37"/>
      <c r="SB3025" s="37"/>
      <c r="SC3025" s="37"/>
      <c r="SD3025" s="37"/>
      <c r="SE3025" s="37"/>
      <c r="SF3025" s="37"/>
    </row>
    <row r="3026" spans="1:500">
      <c r="A3026" s="37"/>
      <c r="B3026" s="37"/>
      <c r="C3026" s="37"/>
      <c r="D3026" s="37"/>
      <c r="E3026" s="37"/>
      <c r="F3026" s="37"/>
      <c r="G3026" s="37"/>
      <c r="H3026" s="37"/>
      <c r="I3026" s="37"/>
      <c r="J3026" s="37"/>
      <c r="K3026" s="37"/>
      <c r="L3026" s="37"/>
      <c r="M3026" s="37"/>
      <c r="N3026" s="37"/>
      <c r="O3026" s="37"/>
      <c r="P3026" s="37"/>
      <c r="Q3026" s="37"/>
      <c r="R3026" s="37"/>
      <c r="S3026" s="37"/>
      <c r="T3026" s="37"/>
      <c r="U3026" s="37"/>
      <c r="V3026" s="37"/>
      <c r="W3026" s="37"/>
      <c r="X3026" s="37"/>
      <c r="Y3026" s="37"/>
      <c r="Z3026" s="37"/>
      <c r="AA3026" s="37"/>
      <c r="AB3026" s="37"/>
      <c r="AC3026" s="37"/>
      <c r="AD3026" s="37"/>
      <c r="AE3026" s="37"/>
      <c r="AF3026" s="37"/>
      <c r="AG3026" s="37"/>
      <c r="AH3026" s="37"/>
      <c r="AI3026" s="37"/>
      <c r="AJ3026" s="37"/>
      <c r="AK3026" s="37"/>
      <c r="AL3026" s="37"/>
      <c r="AM3026" s="37"/>
      <c r="AN3026" s="37"/>
      <c r="AO3026" s="37"/>
      <c r="AP3026" s="37"/>
      <c r="AQ3026" s="37"/>
      <c r="AR3026" s="37"/>
      <c r="AS3026" s="37"/>
      <c r="AT3026" s="37"/>
      <c r="AU3026" s="37"/>
      <c r="AV3026" s="37"/>
      <c r="AW3026" s="37"/>
      <c r="AX3026" s="37"/>
      <c r="AY3026" s="37"/>
      <c r="AZ3026" s="37"/>
      <c r="BA3026" s="37"/>
      <c r="BB3026" s="37"/>
      <c r="BC3026" s="37"/>
      <c r="BD3026" s="37"/>
      <c r="BE3026" s="37"/>
      <c r="BF3026" s="37"/>
      <c r="BG3026" s="37"/>
      <c r="BH3026" s="37"/>
      <c r="BI3026" s="37"/>
      <c r="BJ3026" s="37"/>
      <c r="BK3026" s="37"/>
      <c r="BL3026" s="37"/>
      <c r="BM3026" s="37"/>
      <c r="BN3026" s="37"/>
      <c r="BO3026" s="37"/>
      <c r="BP3026" s="37"/>
      <c r="BQ3026" s="37"/>
      <c r="BR3026" s="37"/>
      <c r="BS3026" s="37"/>
      <c r="BT3026" s="37"/>
      <c r="BU3026" s="37"/>
      <c r="BV3026" s="37"/>
      <c r="BW3026" s="37"/>
      <c r="BX3026" s="37"/>
      <c r="BY3026" s="37"/>
      <c r="BZ3026" s="37"/>
      <c r="CA3026" s="37"/>
      <c r="CB3026" s="37"/>
      <c r="CC3026" s="37"/>
      <c r="CD3026" s="37"/>
      <c r="CE3026" s="37"/>
      <c r="CF3026" s="37"/>
      <c r="CG3026" s="37"/>
      <c r="CH3026" s="37"/>
      <c r="CI3026" s="37"/>
      <c r="CJ3026" s="37"/>
      <c r="CK3026" s="37"/>
      <c r="CL3026" s="37"/>
      <c r="CM3026" s="37"/>
      <c r="CN3026" s="37"/>
      <c r="CO3026" s="37"/>
      <c r="CP3026" s="37"/>
      <c r="CQ3026" s="37"/>
      <c r="CR3026" s="37"/>
      <c r="CS3026" s="37"/>
      <c r="CT3026" s="37"/>
      <c r="CU3026" s="37"/>
      <c r="CV3026" s="37"/>
      <c r="CW3026" s="37"/>
      <c r="CX3026" s="37"/>
      <c r="CY3026" s="37"/>
      <c r="CZ3026" s="37"/>
      <c r="DA3026" s="37"/>
      <c r="DB3026" s="37"/>
      <c r="DC3026" s="37"/>
      <c r="DD3026" s="37"/>
      <c r="DE3026" s="37"/>
      <c r="DF3026" s="37"/>
      <c r="DG3026" s="37"/>
      <c r="DH3026" s="37"/>
      <c r="DI3026" s="37"/>
      <c r="DJ3026" s="37"/>
      <c r="DK3026" s="37"/>
      <c r="DL3026" s="37"/>
      <c r="DM3026" s="37"/>
      <c r="DN3026" s="37"/>
      <c r="DO3026" s="37"/>
      <c r="DP3026" s="37"/>
      <c r="DQ3026" s="37"/>
      <c r="DR3026" s="37"/>
      <c r="DS3026" s="37"/>
      <c r="DT3026" s="37"/>
      <c r="DU3026" s="37"/>
      <c r="DV3026" s="37"/>
      <c r="DW3026" s="37"/>
      <c r="DX3026" s="37"/>
      <c r="DY3026" s="37"/>
      <c r="DZ3026" s="37"/>
      <c r="EA3026" s="37"/>
      <c r="EB3026" s="37"/>
      <c r="EC3026" s="37"/>
      <c r="ED3026" s="37"/>
      <c r="EE3026" s="37"/>
      <c r="EF3026" s="37"/>
      <c r="EG3026" s="37"/>
      <c r="EH3026" s="37"/>
      <c r="EI3026" s="37"/>
      <c r="EJ3026" s="37"/>
      <c r="EK3026" s="37"/>
      <c r="EL3026" s="37"/>
      <c r="EM3026" s="37"/>
      <c r="EN3026" s="37"/>
      <c r="EO3026" s="37"/>
      <c r="EP3026" s="37"/>
      <c r="EQ3026" s="37"/>
      <c r="ER3026" s="37"/>
      <c r="ES3026" s="37"/>
      <c r="ET3026" s="37"/>
      <c r="EU3026" s="37"/>
      <c r="EV3026" s="37"/>
      <c r="EW3026" s="37"/>
      <c r="EX3026" s="37"/>
      <c r="EY3026" s="37"/>
      <c r="EZ3026" s="37"/>
      <c r="FA3026" s="37"/>
      <c r="FB3026" s="37"/>
      <c r="FC3026" s="37"/>
      <c r="FD3026" s="37"/>
      <c r="FE3026" s="37"/>
      <c r="FF3026" s="37"/>
      <c r="FG3026" s="37"/>
      <c r="FH3026" s="37"/>
      <c r="FI3026" s="37"/>
      <c r="FJ3026" s="37"/>
      <c r="FK3026" s="37"/>
      <c r="FL3026" s="37"/>
      <c r="FM3026" s="37"/>
      <c r="FN3026" s="37"/>
      <c r="FO3026" s="37"/>
      <c r="FP3026" s="37"/>
      <c r="FQ3026" s="37"/>
      <c r="FR3026" s="37"/>
      <c r="FS3026" s="37"/>
      <c r="FT3026" s="37"/>
      <c r="FU3026" s="37"/>
      <c r="FV3026" s="37"/>
      <c r="FW3026" s="37"/>
      <c r="FX3026" s="37"/>
      <c r="FY3026" s="37"/>
      <c r="FZ3026" s="37"/>
      <c r="GA3026" s="37"/>
      <c r="GB3026" s="37"/>
      <c r="GC3026" s="37"/>
      <c r="GD3026" s="37"/>
      <c r="GE3026" s="37"/>
      <c r="GF3026" s="37"/>
      <c r="GG3026" s="37"/>
      <c r="GH3026" s="37"/>
      <c r="GI3026" s="37"/>
      <c r="GJ3026" s="37"/>
      <c r="GK3026" s="37"/>
      <c r="GL3026" s="37"/>
      <c r="GM3026" s="37"/>
      <c r="GN3026" s="37"/>
      <c r="GO3026" s="37"/>
      <c r="GP3026" s="37"/>
      <c r="GQ3026" s="37"/>
      <c r="GR3026" s="37"/>
      <c r="GS3026" s="37"/>
      <c r="GT3026" s="37"/>
      <c r="GU3026" s="37"/>
      <c r="GV3026" s="37"/>
      <c r="GW3026" s="37"/>
      <c r="GX3026" s="37"/>
      <c r="GY3026" s="37"/>
      <c r="GZ3026" s="37"/>
      <c r="HA3026" s="37"/>
      <c r="HB3026" s="37"/>
      <c r="HC3026" s="37"/>
      <c r="HD3026" s="37"/>
      <c r="HE3026" s="37"/>
      <c r="HF3026" s="37"/>
      <c r="HG3026" s="37"/>
      <c r="HH3026" s="37"/>
      <c r="HI3026" s="37"/>
      <c r="HJ3026" s="37"/>
      <c r="HK3026" s="37"/>
      <c r="HL3026" s="37"/>
      <c r="HM3026" s="37"/>
      <c r="HN3026" s="37"/>
      <c r="HO3026" s="37"/>
      <c r="HP3026" s="37"/>
      <c r="HQ3026" s="37"/>
      <c r="HR3026" s="37"/>
      <c r="HS3026" s="37"/>
      <c r="HT3026" s="37"/>
      <c r="HU3026" s="37"/>
      <c r="HV3026" s="37"/>
      <c r="HW3026" s="37"/>
      <c r="HX3026" s="37"/>
      <c r="HY3026" s="37"/>
      <c r="HZ3026" s="37"/>
      <c r="IA3026" s="37"/>
      <c r="IB3026" s="37"/>
      <c r="IC3026" s="37"/>
      <c r="ID3026" s="37"/>
      <c r="IE3026" s="37"/>
      <c r="IF3026" s="37"/>
      <c r="IG3026" s="37"/>
      <c r="IH3026" s="37"/>
      <c r="II3026" s="37"/>
      <c r="IJ3026" s="37"/>
      <c r="IK3026" s="37"/>
      <c r="IL3026" s="37"/>
      <c r="IM3026" s="37"/>
      <c r="IN3026" s="37"/>
      <c r="IO3026" s="37"/>
      <c r="IP3026" s="37"/>
      <c r="IQ3026" s="37"/>
      <c r="IR3026" s="37"/>
      <c r="IS3026" s="37"/>
      <c r="IT3026" s="37"/>
      <c r="IU3026" s="37"/>
      <c r="IV3026" s="37"/>
      <c r="IW3026" s="37"/>
      <c r="IX3026" s="37"/>
      <c r="IY3026" s="37"/>
      <c r="IZ3026" s="37"/>
      <c r="JA3026" s="37"/>
      <c r="JB3026" s="37"/>
      <c r="JC3026" s="37"/>
      <c r="JD3026" s="37"/>
      <c r="JE3026" s="37"/>
      <c r="JF3026" s="37"/>
      <c r="JG3026" s="37"/>
      <c r="JH3026" s="37"/>
      <c r="JI3026" s="37"/>
      <c r="JJ3026" s="37"/>
      <c r="JK3026" s="37"/>
      <c r="JL3026" s="37"/>
      <c r="JM3026" s="37"/>
      <c r="JN3026" s="37"/>
      <c r="JO3026" s="37"/>
      <c r="JP3026" s="37"/>
      <c r="JQ3026" s="37"/>
      <c r="JR3026" s="37"/>
      <c r="JS3026" s="37"/>
      <c r="JT3026" s="37"/>
      <c r="JU3026" s="37"/>
      <c r="JV3026" s="37"/>
      <c r="JW3026" s="37"/>
      <c r="JX3026" s="37"/>
      <c r="JY3026" s="37"/>
      <c r="JZ3026" s="37"/>
      <c r="KA3026" s="37"/>
      <c r="KB3026" s="37"/>
      <c r="KC3026" s="37"/>
      <c r="KD3026" s="37"/>
      <c r="KE3026" s="37"/>
      <c r="KF3026" s="37"/>
      <c r="KG3026" s="37"/>
      <c r="KH3026" s="37"/>
      <c r="KI3026" s="37"/>
      <c r="KJ3026" s="37"/>
      <c r="KK3026" s="37"/>
      <c r="KL3026" s="37"/>
      <c r="KM3026" s="37"/>
      <c r="KN3026" s="37"/>
      <c r="KO3026" s="37"/>
      <c r="KP3026" s="37"/>
      <c r="KQ3026" s="37"/>
      <c r="KR3026" s="37"/>
      <c r="KS3026" s="37"/>
      <c r="KT3026" s="37"/>
      <c r="KU3026" s="37"/>
      <c r="KV3026" s="37"/>
      <c r="KW3026" s="37"/>
      <c r="KX3026" s="37"/>
      <c r="KY3026" s="37"/>
      <c r="KZ3026" s="37"/>
      <c r="LA3026" s="37"/>
      <c r="LB3026" s="37"/>
      <c r="LC3026" s="37"/>
      <c r="LD3026" s="37"/>
      <c r="LE3026" s="37"/>
      <c r="LF3026" s="37"/>
      <c r="LG3026" s="37"/>
      <c r="LH3026" s="37"/>
      <c r="LI3026" s="37"/>
      <c r="LJ3026" s="37"/>
      <c r="LK3026" s="37"/>
      <c r="LL3026" s="37"/>
      <c r="LM3026" s="37"/>
      <c r="LN3026" s="37"/>
      <c r="LO3026" s="37"/>
      <c r="LP3026" s="37"/>
      <c r="LQ3026" s="37"/>
      <c r="LR3026" s="37"/>
      <c r="LS3026" s="37"/>
      <c r="LT3026" s="37"/>
      <c r="LU3026" s="37"/>
      <c r="LV3026" s="37"/>
      <c r="LW3026" s="37"/>
      <c r="LX3026" s="37"/>
      <c r="LY3026" s="37"/>
      <c r="LZ3026" s="37"/>
      <c r="MA3026" s="37"/>
      <c r="MB3026" s="37"/>
      <c r="MC3026" s="37"/>
      <c r="MD3026" s="37"/>
      <c r="ME3026" s="37"/>
      <c r="MF3026" s="37"/>
      <c r="MG3026" s="37"/>
      <c r="MH3026" s="37"/>
      <c r="MI3026" s="37"/>
      <c r="MJ3026" s="37"/>
      <c r="MK3026" s="37"/>
      <c r="ML3026" s="37"/>
      <c r="MM3026" s="37"/>
      <c r="MN3026" s="37"/>
      <c r="MO3026" s="37"/>
      <c r="MP3026" s="37"/>
      <c r="MQ3026" s="37"/>
      <c r="MR3026" s="37"/>
      <c r="MS3026" s="37"/>
      <c r="MT3026" s="37"/>
      <c r="MU3026" s="37"/>
      <c r="MV3026" s="37"/>
      <c r="MW3026" s="37"/>
      <c r="MX3026" s="37"/>
      <c r="MY3026" s="37"/>
      <c r="MZ3026" s="37"/>
      <c r="NA3026" s="37"/>
      <c r="NB3026" s="37"/>
      <c r="NC3026" s="37"/>
      <c r="ND3026" s="37"/>
      <c r="NE3026" s="37"/>
      <c r="NF3026" s="37"/>
      <c r="NG3026" s="37"/>
      <c r="NH3026" s="37"/>
      <c r="NI3026" s="37"/>
      <c r="NJ3026" s="37"/>
      <c r="NK3026" s="37"/>
      <c r="NL3026" s="37"/>
      <c r="NM3026" s="37"/>
      <c r="NN3026" s="37"/>
      <c r="NO3026" s="37"/>
      <c r="NP3026" s="37"/>
      <c r="NQ3026" s="37"/>
      <c r="NR3026" s="37"/>
      <c r="NS3026" s="37"/>
      <c r="NT3026" s="37"/>
      <c r="NU3026" s="37"/>
      <c r="NV3026" s="37"/>
      <c r="NW3026" s="37"/>
      <c r="NX3026" s="37"/>
      <c r="NY3026" s="37"/>
      <c r="NZ3026" s="37"/>
      <c r="OA3026" s="37"/>
      <c r="OB3026" s="37"/>
      <c r="OC3026" s="37"/>
      <c r="OD3026" s="37"/>
      <c r="OE3026" s="37"/>
      <c r="OF3026" s="37"/>
      <c r="OG3026" s="37"/>
      <c r="OH3026" s="37"/>
      <c r="OI3026" s="37"/>
      <c r="OJ3026" s="37"/>
      <c r="OK3026" s="37"/>
      <c r="OL3026" s="37"/>
      <c r="OM3026" s="37"/>
      <c r="ON3026" s="37"/>
      <c r="OO3026" s="37"/>
      <c r="OP3026" s="37"/>
      <c r="OQ3026" s="37"/>
      <c r="OR3026" s="37"/>
      <c r="OS3026" s="37"/>
      <c r="OT3026" s="37"/>
      <c r="OU3026" s="37"/>
      <c r="OV3026" s="37"/>
      <c r="OW3026" s="37"/>
      <c r="OX3026" s="37"/>
      <c r="OY3026" s="37"/>
      <c r="OZ3026" s="37"/>
      <c r="PA3026" s="37"/>
      <c r="PB3026" s="37"/>
      <c r="PC3026" s="37"/>
      <c r="PD3026" s="37"/>
      <c r="PE3026" s="37"/>
      <c r="PF3026" s="37"/>
      <c r="PG3026" s="37"/>
      <c r="PH3026" s="37"/>
      <c r="PI3026" s="37"/>
      <c r="PJ3026" s="37"/>
      <c r="PK3026" s="37"/>
      <c r="PL3026" s="37"/>
      <c r="PM3026" s="37"/>
      <c r="PN3026" s="37"/>
      <c r="PO3026" s="37"/>
      <c r="PP3026" s="37"/>
      <c r="PQ3026" s="37"/>
      <c r="PR3026" s="37"/>
      <c r="PS3026" s="37"/>
      <c r="PT3026" s="37"/>
      <c r="PU3026" s="37"/>
      <c r="PV3026" s="37"/>
      <c r="PW3026" s="37"/>
      <c r="PX3026" s="37"/>
      <c r="PY3026" s="37"/>
      <c r="PZ3026" s="37"/>
      <c r="QA3026" s="37"/>
      <c r="QB3026" s="37"/>
      <c r="QC3026" s="37"/>
      <c r="QD3026" s="37"/>
      <c r="QE3026" s="37"/>
      <c r="QF3026" s="37"/>
      <c r="QG3026" s="37"/>
      <c r="QH3026" s="37"/>
      <c r="QI3026" s="37"/>
      <c r="QJ3026" s="37"/>
      <c r="QK3026" s="37"/>
      <c r="QL3026" s="37"/>
      <c r="QM3026" s="37"/>
      <c r="QN3026" s="37"/>
      <c r="QO3026" s="37"/>
      <c r="QP3026" s="37"/>
      <c r="QQ3026" s="37"/>
      <c r="QR3026" s="37"/>
      <c r="QS3026" s="37"/>
      <c r="QT3026" s="37"/>
      <c r="QU3026" s="37"/>
      <c r="QV3026" s="37"/>
      <c r="QW3026" s="37"/>
      <c r="QX3026" s="37"/>
      <c r="QY3026" s="37"/>
      <c r="QZ3026" s="37"/>
      <c r="RA3026" s="37"/>
      <c r="RB3026" s="37"/>
      <c r="RC3026" s="37"/>
      <c r="RD3026" s="37"/>
      <c r="RE3026" s="37"/>
      <c r="RF3026" s="37"/>
      <c r="RG3026" s="37"/>
      <c r="RH3026" s="37"/>
      <c r="RI3026" s="37"/>
      <c r="RJ3026" s="37"/>
      <c r="RK3026" s="37"/>
      <c r="RL3026" s="37"/>
      <c r="RM3026" s="37"/>
      <c r="RN3026" s="37"/>
      <c r="RO3026" s="37"/>
      <c r="RP3026" s="37"/>
      <c r="RQ3026" s="37"/>
      <c r="RR3026" s="37"/>
      <c r="RS3026" s="37"/>
      <c r="RT3026" s="37"/>
      <c r="RU3026" s="37"/>
      <c r="RV3026" s="37"/>
      <c r="RW3026" s="37"/>
      <c r="RX3026" s="37"/>
      <c r="RY3026" s="37"/>
      <c r="RZ3026" s="37"/>
      <c r="SA3026" s="37"/>
      <c r="SB3026" s="37"/>
      <c r="SC3026" s="37"/>
      <c r="SD3026" s="37"/>
      <c r="SE3026" s="37"/>
      <c r="SF3026" s="37"/>
    </row>
    <row r="3027" spans="1:500">
      <c r="A3027" s="37"/>
      <c r="B3027" s="37"/>
      <c r="C3027" s="37"/>
      <c r="D3027" s="37"/>
      <c r="E3027" s="37"/>
      <c r="F3027" s="37"/>
      <c r="G3027" s="37"/>
      <c r="H3027" s="37"/>
      <c r="I3027" s="37"/>
      <c r="J3027" s="37"/>
      <c r="K3027" s="37"/>
      <c r="L3027" s="37"/>
      <c r="M3027" s="37"/>
      <c r="N3027" s="37"/>
      <c r="O3027" s="37"/>
      <c r="P3027" s="37"/>
      <c r="Q3027" s="37"/>
      <c r="R3027" s="37"/>
      <c r="S3027" s="37"/>
      <c r="T3027" s="37"/>
      <c r="U3027" s="37"/>
      <c r="V3027" s="37"/>
      <c r="W3027" s="37"/>
      <c r="X3027" s="37"/>
      <c r="Y3027" s="37"/>
      <c r="Z3027" s="37"/>
      <c r="AA3027" s="37"/>
      <c r="AB3027" s="37"/>
      <c r="AC3027" s="37"/>
      <c r="AD3027" s="37"/>
      <c r="AE3027" s="37"/>
      <c r="AF3027" s="37"/>
      <c r="AG3027" s="37"/>
      <c r="AH3027" s="37"/>
      <c r="AI3027" s="37"/>
      <c r="AJ3027" s="37"/>
      <c r="AK3027" s="37"/>
      <c r="AL3027" s="37"/>
      <c r="AM3027" s="37"/>
      <c r="AN3027" s="37"/>
      <c r="AO3027" s="37"/>
      <c r="AP3027" s="37"/>
      <c r="AQ3027" s="37"/>
      <c r="AR3027" s="37"/>
      <c r="AS3027" s="37"/>
      <c r="AT3027" s="37"/>
      <c r="AU3027" s="37"/>
      <c r="AV3027" s="37"/>
      <c r="AW3027" s="37"/>
      <c r="AX3027" s="37"/>
      <c r="AY3027" s="37"/>
      <c r="AZ3027" s="37"/>
      <c r="BA3027" s="37"/>
      <c r="BB3027" s="37"/>
      <c r="BC3027" s="37"/>
      <c r="BD3027" s="37"/>
      <c r="BE3027" s="37"/>
      <c r="BF3027" s="37"/>
      <c r="BG3027" s="37"/>
      <c r="BH3027" s="37"/>
      <c r="BI3027" s="37"/>
      <c r="BJ3027" s="37"/>
      <c r="BK3027" s="37"/>
      <c r="BL3027" s="37"/>
      <c r="BM3027" s="37"/>
      <c r="BN3027" s="37"/>
      <c r="BO3027" s="37"/>
      <c r="BP3027" s="37"/>
      <c r="BQ3027" s="37"/>
      <c r="BR3027" s="37"/>
      <c r="BS3027" s="37"/>
      <c r="BT3027" s="37"/>
      <c r="BU3027" s="37"/>
      <c r="BV3027" s="37"/>
      <c r="BW3027" s="37"/>
      <c r="BX3027" s="37"/>
      <c r="BY3027" s="37"/>
      <c r="BZ3027" s="37"/>
      <c r="CA3027" s="37"/>
      <c r="CB3027" s="37"/>
      <c r="CC3027" s="37"/>
      <c r="CD3027" s="37"/>
      <c r="CE3027" s="37"/>
      <c r="CF3027" s="37"/>
      <c r="CG3027" s="37"/>
      <c r="CH3027" s="37"/>
      <c r="CI3027" s="37"/>
      <c r="CJ3027" s="37"/>
      <c r="CK3027" s="37"/>
      <c r="CL3027" s="37"/>
      <c r="CM3027" s="37"/>
      <c r="CN3027" s="37"/>
      <c r="CO3027" s="37"/>
      <c r="CP3027" s="37"/>
      <c r="CQ3027" s="37"/>
      <c r="CR3027" s="37"/>
      <c r="CS3027" s="37"/>
      <c r="CT3027" s="37"/>
      <c r="CU3027" s="37"/>
      <c r="CV3027" s="37"/>
      <c r="CW3027" s="37"/>
      <c r="CX3027" s="37"/>
      <c r="CY3027" s="37"/>
      <c r="CZ3027" s="37"/>
      <c r="DA3027" s="37"/>
      <c r="DB3027" s="37"/>
      <c r="DC3027" s="37"/>
      <c r="DD3027" s="37"/>
      <c r="DE3027" s="37"/>
      <c r="DF3027" s="37"/>
      <c r="DG3027" s="37"/>
      <c r="DH3027" s="37"/>
      <c r="DI3027" s="37"/>
      <c r="DJ3027" s="37"/>
      <c r="DK3027" s="37"/>
      <c r="DL3027" s="37"/>
      <c r="DM3027" s="37"/>
      <c r="DN3027" s="37"/>
      <c r="DO3027" s="37"/>
      <c r="DP3027" s="37"/>
      <c r="DQ3027" s="37"/>
      <c r="DR3027" s="37"/>
      <c r="DS3027" s="37"/>
      <c r="DT3027" s="37"/>
      <c r="DU3027" s="37"/>
      <c r="DV3027" s="37"/>
      <c r="DW3027" s="37"/>
      <c r="DX3027" s="37"/>
      <c r="DY3027" s="37"/>
      <c r="DZ3027" s="37"/>
      <c r="EA3027" s="37"/>
      <c r="EB3027" s="37"/>
      <c r="EC3027" s="37"/>
      <c r="ED3027" s="37"/>
      <c r="EE3027" s="37"/>
      <c r="EF3027" s="37"/>
      <c r="EG3027" s="37"/>
      <c r="EH3027" s="37"/>
      <c r="EI3027" s="37"/>
      <c r="EJ3027" s="37"/>
      <c r="EK3027" s="37"/>
      <c r="EL3027" s="37"/>
      <c r="EM3027" s="37"/>
      <c r="EN3027" s="37"/>
      <c r="EO3027" s="37"/>
      <c r="EP3027" s="37"/>
      <c r="EQ3027" s="37"/>
      <c r="ER3027" s="37"/>
      <c r="ES3027" s="37"/>
      <c r="ET3027" s="37"/>
      <c r="EU3027" s="37"/>
      <c r="EV3027" s="37"/>
      <c r="EW3027" s="37"/>
      <c r="EX3027" s="37"/>
      <c r="EY3027" s="37"/>
      <c r="EZ3027" s="37"/>
      <c r="FA3027" s="37"/>
      <c r="FB3027" s="37"/>
      <c r="FC3027" s="37"/>
      <c r="FD3027" s="37"/>
      <c r="FE3027" s="37"/>
      <c r="FF3027" s="37"/>
      <c r="FG3027" s="37"/>
      <c r="FH3027" s="37"/>
      <c r="FI3027" s="37"/>
      <c r="FJ3027" s="37"/>
      <c r="FK3027" s="37"/>
      <c r="FL3027" s="37"/>
      <c r="FM3027" s="37"/>
      <c r="FN3027" s="37"/>
      <c r="FO3027" s="37"/>
      <c r="FP3027" s="37"/>
      <c r="FQ3027" s="37"/>
      <c r="FR3027" s="37"/>
      <c r="FS3027" s="37"/>
      <c r="FT3027" s="37"/>
      <c r="FU3027" s="37"/>
      <c r="FV3027" s="37"/>
      <c r="FW3027" s="37"/>
      <c r="FX3027" s="37"/>
      <c r="FY3027" s="37"/>
      <c r="FZ3027" s="37"/>
      <c r="GA3027" s="37"/>
      <c r="GB3027" s="37"/>
      <c r="GC3027" s="37"/>
      <c r="GD3027" s="37"/>
      <c r="GE3027" s="37"/>
      <c r="GF3027" s="37"/>
      <c r="GG3027" s="37"/>
      <c r="GH3027" s="37"/>
      <c r="GI3027" s="37"/>
      <c r="GJ3027" s="37"/>
      <c r="GK3027" s="37"/>
      <c r="GL3027" s="37"/>
      <c r="GM3027" s="37"/>
      <c r="GN3027" s="37"/>
      <c r="GO3027" s="37"/>
      <c r="GP3027" s="37"/>
      <c r="GQ3027" s="37"/>
      <c r="GR3027" s="37"/>
      <c r="GS3027" s="37"/>
      <c r="GT3027" s="37"/>
      <c r="GU3027" s="37"/>
      <c r="GV3027" s="37"/>
      <c r="GW3027" s="37"/>
      <c r="GX3027" s="37"/>
      <c r="GY3027" s="37"/>
      <c r="GZ3027" s="37"/>
      <c r="HA3027" s="37"/>
      <c r="HB3027" s="37"/>
      <c r="HC3027" s="37"/>
      <c r="HD3027" s="37"/>
      <c r="HE3027" s="37"/>
      <c r="HF3027" s="37"/>
      <c r="HG3027" s="37"/>
      <c r="HH3027" s="37"/>
      <c r="HI3027" s="37"/>
      <c r="HJ3027" s="37"/>
      <c r="HK3027" s="37"/>
      <c r="HL3027" s="37"/>
      <c r="HM3027" s="37"/>
      <c r="HN3027" s="37"/>
      <c r="HO3027" s="37"/>
      <c r="HP3027" s="37"/>
      <c r="HQ3027" s="37"/>
      <c r="HR3027" s="37"/>
      <c r="HS3027" s="37"/>
      <c r="HT3027" s="37"/>
      <c r="HU3027" s="37"/>
      <c r="HV3027" s="37"/>
      <c r="HW3027" s="37"/>
      <c r="HX3027" s="37"/>
      <c r="HY3027" s="37"/>
      <c r="HZ3027" s="37"/>
      <c r="IA3027" s="37"/>
      <c r="IB3027" s="37"/>
      <c r="IC3027" s="37"/>
      <c r="ID3027" s="37"/>
      <c r="IE3027" s="37"/>
      <c r="IF3027" s="37"/>
      <c r="IG3027" s="37"/>
      <c r="IH3027" s="37"/>
      <c r="II3027" s="37"/>
      <c r="IJ3027" s="37"/>
      <c r="IK3027" s="37"/>
      <c r="IL3027" s="37"/>
      <c r="IM3027" s="37"/>
      <c r="IN3027" s="37"/>
      <c r="IO3027" s="37"/>
      <c r="IP3027" s="37"/>
      <c r="IQ3027" s="37"/>
      <c r="IR3027" s="37"/>
      <c r="IS3027" s="37"/>
      <c r="IT3027" s="37"/>
      <c r="IU3027" s="37"/>
      <c r="IV3027" s="37"/>
      <c r="IW3027" s="37"/>
      <c r="IX3027" s="37"/>
      <c r="IY3027" s="37"/>
      <c r="IZ3027" s="37"/>
      <c r="JA3027" s="37"/>
      <c r="JB3027" s="37"/>
      <c r="JC3027" s="37"/>
      <c r="JD3027" s="37"/>
      <c r="JE3027" s="37"/>
      <c r="JF3027" s="37"/>
      <c r="JG3027" s="37"/>
      <c r="JH3027" s="37"/>
      <c r="JI3027" s="37"/>
      <c r="JJ3027" s="37"/>
      <c r="JK3027" s="37"/>
      <c r="JL3027" s="37"/>
      <c r="JM3027" s="37"/>
      <c r="JN3027" s="37"/>
      <c r="JO3027" s="37"/>
      <c r="JP3027" s="37"/>
      <c r="JQ3027" s="37"/>
      <c r="JR3027" s="37"/>
      <c r="JS3027" s="37"/>
      <c r="JT3027" s="37"/>
      <c r="JU3027" s="37"/>
      <c r="JV3027" s="37"/>
      <c r="JW3027" s="37"/>
      <c r="JX3027" s="37"/>
      <c r="JY3027" s="37"/>
      <c r="JZ3027" s="37"/>
      <c r="KA3027" s="37"/>
      <c r="KB3027" s="37"/>
      <c r="KC3027" s="37"/>
      <c r="KD3027" s="37"/>
      <c r="KE3027" s="37"/>
      <c r="KF3027" s="37"/>
      <c r="KG3027" s="37"/>
      <c r="KH3027" s="37"/>
      <c r="KI3027" s="37"/>
      <c r="KJ3027" s="37"/>
      <c r="KK3027" s="37"/>
      <c r="KL3027" s="37"/>
      <c r="KM3027" s="37"/>
      <c r="KN3027" s="37"/>
      <c r="KO3027" s="37"/>
      <c r="KP3027" s="37"/>
      <c r="KQ3027" s="37"/>
      <c r="KR3027" s="37"/>
      <c r="KS3027" s="37"/>
      <c r="KT3027" s="37"/>
      <c r="KU3027" s="37"/>
      <c r="KV3027" s="37"/>
      <c r="KW3027" s="37"/>
      <c r="KX3027" s="37"/>
      <c r="KY3027" s="37"/>
      <c r="KZ3027" s="37"/>
      <c r="LA3027" s="37"/>
      <c r="LB3027" s="37"/>
      <c r="LC3027" s="37"/>
      <c r="LD3027" s="37"/>
      <c r="LE3027" s="37"/>
      <c r="LF3027" s="37"/>
      <c r="LG3027" s="37"/>
      <c r="LH3027" s="37"/>
      <c r="LI3027" s="37"/>
      <c r="LJ3027" s="37"/>
      <c r="LK3027" s="37"/>
      <c r="LL3027" s="37"/>
      <c r="LM3027" s="37"/>
      <c r="LN3027" s="37"/>
      <c r="LO3027" s="37"/>
      <c r="LP3027" s="37"/>
      <c r="LQ3027" s="37"/>
      <c r="LR3027" s="37"/>
      <c r="LS3027" s="37"/>
      <c r="LT3027" s="37"/>
      <c r="LU3027" s="37"/>
      <c r="LV3027" s="37"/>
      <c r="LW3027" s="37"/>
      <c r="LX3027" s="37"/>
      <c r="LY3027" s="37"/>
      <c r="LZ3027" s="37"/>
      <c r="MA3027" s="37"/>
      <c r="MB3027" s="37"/>
      <c r="MC3027" s="37"/>
      <c r="MD3027" s="37"/>
      <c r="ME3027" s="37"/>
      <c r="MF3027" s="37"/>
      <c r="MG3027" s="37"/>
      <c r="MH3027" s="37"/>
      <c r="MI3027" s="37"/>
      <c r="MJ3027" s="37"/>
      <c r="MK3027" s="37"/>
      <c r="ML3027" s="37"/>
      <c r="MM3027" s="37"/>
      <c r="MN3027" s="37"/>
      <c r="MO3027" s="37"/>
      <c r="MP3027" s="37"/>
      <c r="MQ3027" s="37"/>
      <c r="MR3027" s="37"/>
      <c r="MS3027" s="37"/>
      <c r="MT3027" s="37"/>
      <c r="MU3027" s="37"/>
      <c r="MV3027" s="37"/>
      <c r="MW3027" s="37"/>
      <c r="MX3027" s="37"/>
      <c r="MY3027" s="37"/>
      <c r="MZ3027" s="37"/>
      <c r="NA3027" s="37"/>
      <c r="NB3027" s="37"/>
      <c r="NC3027" s="37"/>
      <c r="ND3027" s="37"/>
      <c r="NE3027" s="37"/>
      <c r="NF3027" s="37"/>
      <c r="NG3027" s="37"/>
      <c r="NH3027" s="37"/>
      <c r="NI3027" s="37"/>
      <c r="NJ3027" s="37"/>
      <c r="NK3027" s="37"/>
      <c r="NL3027" s="37"/>
      <c r="NM3027" s="37"/>
      <c r="NN3027" s="37"/>
      <c r="NO3027" s="37"/>
      <c r="NP3027" s="37"/>
      <c r="NQ3027" s="37"/>
      <c r="NR3027" s="37"/>
      <c r="NS3027" s="37"/>
      <c r="NT3027" s="37"/>
      <c r="NU3027" s="37"/>
      <c r="NV3027" s="37"/>
      <c r="NW3027" s="37"/>
      <c r="NX3027" s="37"/>
      <c r="NY3027" s="37"/>
      <c r="NZ3027" s="37"/>
      <c r="OA3027" s="37"/>
      <c r="OB3027" s="37"/>
      <c r="OC3027" s="37"/>
      <c r="OD3027" s="37"/>
      <c r="OE3027" s="37"/>
      <c r="OF3027" s="37"/>
      <c r="OG3027" s="37"/>
      <c r="OH3027" s="37"/>
      <c r="OI3027" s="37"/>
      <c r="OJ3027" s="37"/>
      <c r="OK3027" s="37"/>
      <c r="OL3027" s="37"/>
      <c r="OM3027" s="37"/>
      <c r="ON3027" s="37"/>
      <c r="OO3027" s="37"/>
      <c r="OP3027" s="37"/>
      <c r="OQ3027" s="37"/>
      <c r="OR3027" s="37"/>
      <c r="OS3027" s="37"/>
      <c r="OT3027" s="37"/>
      <c r="OU3027" s="37"/>
      <c r="OV3027" s="37"/>
      <c r="OW3027" s="37"/>
      <c r="OX3027" s="37"/>
      <c r="OY3027" s="37"/>
      <c r="OZ3027" s="37"/>
      <c r="PA3027" s="37"/>
      <c r="PB3027" s="37"/>
      <c r="PC3027" s="37"/>
      <c r="PD3027" s="37"/>
      <c r="PE3027" s="37"/>
      <c r="PF3027" s="37"/>
      <c r="PG3027" s="37"/>
      <c r="PH3027" s="37"/>
      <c r="PI3027" s="37"/>
      <c r="PJ3027" s="37"/>
      <c r="PK3027" s="37"/>
      <c r="PL3027" s="37"/>
      <c r="PM3027" s="37"/>
      <c r="PN3027" s="37"/>
      <c r="PO3027" s="37"/>
      <c r="PP3027" s="37"/>
      <c r="PQ3027" s="37"/>
      <c r="PR3027" s="37"/>
      <c r="PS3027" s="37"/>
      <c r="PT3027" s="37"/>
      <c r="PU3027" s="37"/>
      <c r="PV3027" s="37"/>
      <c r="PW3027" s="37"/>
      <c r="PX3027" s="37"/>
      <c r="PY3027" s="37"/>
      <c r="PZ3027" s="37"/>
      <c r="QA3027" s="37"/>
      <c r="QB3027" s="37"/>
      <c r="QC3027" s="37"/>
      <c r="QD3027" s="37"/>
      <c r="QE3027" s="37"/>
      <c r="QF3027" s="37"/>
      <c r="QG3027" s="37"/>
      <c r="QH3027" s="37"/>
      <c r="QI3027" s="37"/>
      <c r="QJ3027" s="37"/>
      <c r="QK3027" s="37"/>
      <c r="QL3027" s="37"/>
      <c r="QM3027" s="37"/>
      <c r="QN3027" s="37"/>
      <c r="QO3027" s="37"/>
      <c r="QP3027" s="37"/>
      <c r="QQ3027" s="37"/>
      <c r="QR3027" s="37"/>
      <c r="QS3027" s="37"/>
      <c r="QT3027" s="37"/>
      <c r="QU3027" s="37"/>
      <c r="QV3027" s="37"/>
      <c r="QW3027" s="37"/>
      <c r="QX3027" s="37"/>
      <c r="QY3027" s="37"/>
      <c r="QZ3027" s="37"/>
      <c r="RA3027" s="37"/>
      <c r="RB3027" s="37"/>
      <c r="RC3027" s="37"/>
      <c r="RD3027" s="37"/>
      <c r="RE3027" s="37"/>
      <c r="RF3027" s="37"/>
      <c r="RG3027" s="37"/>
      <c r="RH3027" s="37"/>
      <c r="RI3027" s="37"/>
      <c r="RJ3027" s="37"/>
      <c r="RK3027" s="37"/>
      <c r="RL3027" s="37"/>
      <c r="RM3027" s="37"/>
      <c r="RN3027" s="37"/>
      <c r="RO3027" s="37"/>
      <c r="RP3027" s="37"/>
      <c r="RQ3027" s="37"/>
      <c r="RR3027" s="37"/>
      <c r="RS3027" s="37"/>
      <c r="RT3027" s="37"/>
      <c r="RU3027" s="37"/>
      <c r="RV3027" s="37"/>
      <c r="RW3027" s="37"/>
      <c r="RX3027" s="37"/>
      <c r="RY3027" s="37"/>
      <c r="RZ3027" s="37"/>
      <c r="SA3027" s="37"/>
      <c r="SB3027" s="37"/>
      <c r="SC3027" s="37"/>
      <c r="SD3027" s="37"/>
      <c r="SE3027" s="37"/>
      <c r="SF3027" s="37"/>
    </row>
    <row r="3028" spans="1:500">
      <c r="A3028" s="37"/>
      <c r="B3028" s="37"/>
      <c r="C3028" s="37"/>
      <c r="D3028" s="37"/>
      <c r="E3028" s="37"/>
      <c r="F3028" s="37"/>
      <c r="G3028" s="37"/>
      <c r="H3028" s="37"/>
      <c r="I3028" s="37"/>
      <c r="J3028" s="37"/>
      <c r="K3028" s="37"/>
      <c r="L3028" s="37"/>
      <c r="M3028" s="37"/>
      <c r="N3028" s="37"/>
      <c r="O3028" s="37"/>
      <c r="P3028" s="37"/>
      <c r="Q3028" s="37"/>
      <c r="R3028" s="37"/>
      <c r="S3028" s="37"/>
      <c r="T3028" s="37"/>
      <c r="U3028" s="37"/>
      <c r="V3028" s="37"/>
      <c r="W3028" s="37"/>
      <c r="X3028" s="37"/>
      <c r="Y3028" s="37"/>
      <c r="Z3028" s="37"/>
      <c r="AA3028" s="37"/>
      <c r="AB3028" s="37"/>
      <c r="AC3028" s="37"/>
      <c r="AD3028" s="37"/>
      <c r="AE3028" s="37"/>
      <c r="AF3028" s="37"/>
      <c r="AG3028" s="37"/>
      <c r="AH3028" s="37"/>
      <c r="AI3028" s="37"/>
      <c r="AJ3028" s="37"/>
      <c r="AK3028" s="37"/>
      <c r="AL3028" s="37"/>
      <c r="AM3028" s="37"/>
      <c r="AN3028" s="37"/>
      <c r="AO3028" s="37"/>
      <c r="AP3028" s="37"/>
      <c r="AQ3028" s="37"/>
      <c r="AR3028" s="37"/>
      <c r="AS3028" s="37"/>
      <c r="AT3028" s="37"/>
      <c r="AU3028" s="37"/>
      <c r="AV3028" s="37"/>
      <c r="AW3028" s="37"/>
      <c r="AX3028" s="37"/>
      <c r="AY3028" s="37"/>
      <c r="AZ3028" s="37"/>
      <c r="BA3028" s="37"/>
      <c r="BB3028" s="37"/>
      <c r="BC3028" s="37"/>
      <c r="BD3028" s="37"/>
      <c r="BE3028" s="37"/>
      <c r="BF3028" s="37"/>
      <c r="BG3028" s="37"/>
      <c r="BH3028" s="37"/>
      <c r="BI3028" s="37"/>
      <c r="BJ3028" s="37"/>
      <c r="BK3028" s="37"/>
      <c r="BL3028" s="37"/>
      <c r="BM3028" s="37"/>
      <c r="BN3028" s="37"/>
      <c r="BO3028" s="37"/>
      <c r="BP3028" s="37"/>
      <c r="BQ3028" s="37"/>
      <c r="BR3028" s="37"/>
      <c r="BS3028" s="37"/>
      <c r="BT3028" s="37"/>
      <c r="BU3028" s="37"/>
      <c r="BV3028" s="37"/>
      <c r="BW3028" s="37"/>
      <c r="BX3028" s="37"/>
      <c r="BY3028" s="37"/>
      <c r="BZ3028" s="37"/>
      <c r="CA3028" s="37"/>
      <c r="CB3028" s="37"/>
      <c r="CC3028" s="37"/>
      <c r="CD3028" s="37"/>
      <c r="CE3028" s="37"/>
      <c r="CF3028" s="37"/>
      <c r="CG3028" s="37"/>
      <c r="CH3028" s="37"/>
      <c r="CI3028" s="37"/>
      <c r="CJ3028" s="37"/>
      <c r="CK3028" s="37"/>
      <c r="CL3028" s="37"/>
      <c r="CM3028" s="37"/>
      <c r="CN3028" s="37"/>
      <c r="CO3028" s="37"/>
      <c r="CP3028" s="37"/>
      <c r="CQ3028" s="37"/>
      <c r="CR3028" s="37"/>
      <c r="CS3028" s="37"/>
      <c r="CT3028" s="37"/>
      <c r="CU3028" s="37"/>
      <c r="CV3028" s="37"/>
      <c r="CW3028" s="37"/>
      <c r="CX3028" s="37"/>
      <c r="CY3028" s="37"/>
      <c r="CZ3028" s="37"/>
      <c r="DA3028" s="37"/>
      <c r="DB3028" s="37"/>
      <c r="DC3028" s="37"/>
      <c r="DD3028" s="37"/>
      <c r="DE3028" s="37"/>
      <c r="DF3028" s="37"/>
      <c r="DG3028" s="37"/>
      <c r="DH3028" s="37"/>
      <c r="DI3028" s="37"/>
      <c r="DJ3028" s="37"/>
      <c r="DK3028" s="37"/>
      <c r="DL3028" s="37"/>
      <c r="DM3028" s="37"/>
      <c r="DN3028" s="37"/>
      <c r="DO3028" s="37"/>
      <c r="DP3028" s="37"/>
      <c r="DQ3028" s="37"/>
      <c r="DR3028" s="37"/>
      <c r="DS3028" s="37"/>
      <c r="DT3028" s="37"/>
      <c r="DU3028" s="37"/>
      <c r="DV3028" s="37"/>
      <c r="DW3028" s="37"/>
      <c r="DX3028" s="37"/>
      <c r="DY3028" s="37"/>
      <c r="DZ3028" s="37"/>
      <c r="EA3028" s="37"/>
      <c r="EB3028" s="37"/>
      <c r="EC3028" s="37"/>
      <c r="ED3028" s="37"/>
      <c r="EE3028" s="37"/>
      <c r="EF3028" s="37"/>
      <c r="EG3028" s="37"/>
      <c r="EH3028" s="37"/>
      <c r="EI3028" s="37"/>
      <c r="EJ3028" s="37"/>
      <c r="EK3028" s="37"/>
      <c r="EL3028" s="37"/>
      <c r="EM3028" s="37"/>
      <c r="EN3028" s="37"/>
      <c r="EO3028" s="37"/>
      <c r="EP3028" s="37"/>
      <c r="EQ3028" s="37"/>
      <c r="ER3028" s="37"/>
      <c r="ES3028" s="37"/>
      <c r="ET3028" s="37"/>
      <c r="EU3028" s="37"/>
      <c r="EV3028" s="37"/>
      <c r="EW3028" s="37"/>
      <c r="EX3028" s="37"/>
      <c r="EY3028" s="37"/>
      <c r="EZ3028" s="37"/>
      <c r="FA3028" s="37"/>
      <c r="FB3028" s="37"/>
      <c r="FC3028" s="37"/>
      <c r="FD3028" s="37"/>
      <c r="FE3028" s="37"/>
      <c r="FF3028" s="37"/>
      <c r="FG3028" s="37"/>
      <c r="FH3028" s="37"/>
      <c r="FI3028" s="37"/>
      <c r="FJ3028" s="37"/>
      <c r="FK3028" s="37"/>
      <c r="FL3028" s="37"/>
      <c r="FM3028" s="37"/>
      <c r="FN3028" s="37"/>
      <c r="FO3028" s="37"/>
      <c r="FP3028" s="37"/>
      <c r="FQ3028" s="37"/>
      <c r="FR3028" s="37"/>
      <c r="FS3028" s="37"/>
      <c r="FT3028" s="37"/>
      <c r="FU3028" s="37"/>
      <c r="FV3028" s="37"/>
      <c r="FW3028" s="37"/>
      <c r="FX3028" s="37"/>
      <c r="FY3028" s="37"/>
      <c r="FZ3028" s="37"/>
      <c r="GA3028" s="37"/>
      <c r="GB3028" s="37"/>
      <c r="GC3028" s="37"/>
      <c r="GD3028" s="37"/>
      <c r="GE3028" s="37"/>
      <c r="GF3028" s="37"/>
      <c r="GG3028" s="37"/>
      <c r="GH3028" s="37"/>
      <c r="GI3028" s="37"/>
      <c r="GJ3028" s="37"/>
      <c r="GK3028" s="37"/>
      <c r="GL3028" s="37"/>
      <c r="GM3028" s="37"/>
      <c r="GN3028" s="37"/>
      <c r="GO3028" s="37"/>
      <c r="GP3028" s="37"/>
      <c r="GQ3028" s="37"/>
      <c r="GR3028" s="37"/>
      <c r="GS3028" s="37"/>
      <c r="GT3028" s="37"/>
      <c r="GU3028" s="37"/>
      <c r="GV3028" s="37"/>
      <c r="GW3028" s="37"/>
      <c r="GX3028" s="37"/>
      <c r="GY3028" s="37"/>
      <c r="GZ3028" s="37"/>
      <c r="HA3028" s="37"/>
      <c r="HB3028" s="37"/>
      <c r="HC3028" s="37"/>
      <c r="HD3028" s="37"/>
      <c r="HE3028" s="37"/>
      <c r="HF3028" s="37"/>
      <c r="HG3028" s="37"/>
      <c r="HH3028" s="37"/>
      <c r="HI3028" s="37"/>
      <c r="HJ3028" s="37"/>
      <c r="HK3028" s="37"/>
      <c r="HL3028" s="37"/>
      <c r="HM3028" s="37"/>
      <c r="HN3028" s="37"/>
      <c r="HO3028" s="37"/>
      <c r="HP3028" s="37"/>
      <c r="HQ3028" s="37"/>
      <c r="HR3028" s="37"/>
      <c r="HS3028" s="37"/>
      <c r="HT3028" s="37"/>
      <c r="HU3028" s="37"/>
      <c r="HV3028" s="37"/>
      <c r="HW3028" s="37"/>
      <c r="HX3028" s="37"/>
      <c r="HY3028" s="37"/>
      <c r="HZ3028" s="37"/>
      <c r="IA3028" s="37"/>
      <c r="IB3028" s="37"/>
      <c r="IC3028" s="37"/>
      <c r="ID3028" s="37"/>
      <c r="IE3028" s="37"/>
      <c r="IF3028" s="37"/>
      <c r="IG3028" s="37"/>
      <c r="IH3028" s="37"/>
      <c r="II3028" s="37"/>
      <c r="IJ3028" s="37"/>
      <c r="IK3028" s="37"/>
      <c r="IL3028" s="37"/>
      <c r="IM3028" s="37"/>
      <c r="IN3028" s="37"/>
      <c r="IO3028" s="37"/>
      <c r="IP3028" s="37"/>
      <c r="IQ3028" s="37"/>
      <c r="IR3028" s="37"/>
      <c r="IS3028" s="37"/>
      <c r="IT3028" s="37"/>
      <c r="IU3028" s="37"/>
      <c r="IV3028" s="37"/>
      <c r="IW3028" s="37"/>
      <c r="IX3028" s="37"/>
      <c r="IY3028" s="37"/>
      <c r="IZ3028" s="37"/>
      <c r="JA3028" s="37"/>
      <c r="JB3028" s="37"/>
      <c r="JC3028" s="37"/>
      <c r="JD3028" s="37"/>
      <c r="JE3028" s="37"/>
      <c r="JF3028" s="37"/>
      <c r="JG3028" s="37"/>
      <c r="JH3028" s="37"/>
      <c r="JI3028" s="37"/>
      <c r="JJ3028" s="37"/>
      <c r="JK3028" s="37"/>
      <c r="JL3028" s="37"/>
      <c r="JM3028" s="37"/>
      <c r="JN3028" s="37"/>
      <c r="JO3028" s="37"/>
      <c r="JP3028" s="37"/>
      <c r="JQ3028" s="37"/>
      <c r="JR3028" s="37"/>
      <c r="JS3028" s="37"/>
      <c r="JT3028" s="37"/>
      <c r="JU3028" s="37"/>
      <c r="JV3028" s="37"/>
      <c r="JW3028" s="37"/>
      <c r="JX3028" s="37"/>
      <c r="JY3028" s="37"/>
      <c r="JZ3028" s="37"/>
      <c r="KA3028" s="37"/>
      <c r="KB3028" s="37"/>
      <c r="KC3028" s="37"/>
      <c r="KD3028" s="37"/>
      <c r="KE3028" s="37"/>
      <c r="KF3028" s="37"/>
      <c r="KG3028" s="37"/>
      <c r="KH3028" s="37"/>
      <c r="KI3028" s="37"/>
      <c r="KJ3028" s="37"/>
      <c r="KK3028" s="37"/>
      <c r="KL3028" s="37"/>
      <c r="KM3028" s="37"/>
      <c r="KN3028" s="37"/>
      <c r="KO3028" s="37"/>
      <c r="KP3028" s="37"/>
      <c r="KQ3028" s="37"/>
      <c r="KR3028" s="37"/>
      <c r="KS3028" s="37"/>
      <c r="KT3028" s="37"/>
      <c r="KU3028" s="37"/>
      <c r="KV3028" s="37"/>
      <c r="KW3028" s="37"/>
      <c r="KX3028" s="37"/>
      <c r="KY3028" s="37"/>
      <c r="KZ3028" s="37"/>
      <c r="LA3028" s="37"/>
      <c r="LB3028" s="37"/>
      <c r="LC3028" s="37"/>
      <c r="LD3028" s="37"/>
      <c r="LE3028" s="37"/>
      <c r="LF3028" s="37"/>
      <c r="LG3028" s="37"/>
      <c r="LH3028" s="37"/>
      <c r="LI3028" s="37"/>
      <c r="LJ3028" s="37"/>
      <c r="LK3028" s="37"/>
      <c r="LL3028" s="37"/>
      <c r="LM3028" s="37"/>
      <c r="LN3028" s="37"/>
      <c r="LO3028" s="37"/>
      <c r="LP3028" s="37"/>
      <c r="LQ3028" s="37"/>
      <c r="LR3028" s="37"/>
      <c r="LS3028" s="37"/>
      <c r="LT3028" s="37"/>
      <c r="LU3028" s="37"/>
      <c r="LV3028" s="37"/>
      <c r="LW3028" s="37"/>
      <c r="LX3028" s="37"/>
      <c r="LY3028" s="37"/>
      <c r="LZ3028" s="37"/>
      <c r="MA3028" s="37"/>
      <c r="MB3028" s="37"/>
      <c r="MC3028" s="37"/>
      <c r="MD3028" s="37"/>
      <c r="ME3028" s="37"/>
      <c r="MF3028" s="37"/>
      <c r="MG3028" s="37"/>
      <c r="MH3028" s="37"/>
      <c r="MI3028" s="37"/>
      <c r="MJ3028" s="37"/>
      <c r="MK3028" s="37"/>
      <c r="ML3028" s="37"/>
      <c r="MM3028" s="37"/>
      <c r="MN3028" s="37"/>
      <c r="MO3028" s="37"/>
      <c r="MP3028" s="37"/>
      <c r="MQ3028" s="37"/>
      <c r="MR3028" s="37"/>
      <c r="MS3028" s="37"/>
      <c r="MT3028" s="37"/>
      <c r="MU3028" s="37"/>
      <c r="MV3028" s="37"/>
      <c r="MW3028" s="37"/>
      <c r="MX3028" s="37"/>
      <c r="MY3028" s="37"/>
      <c r="MZ3028" s="37"/>
      <c r="NA3028" s="37"/>
      <c r="NB3028" s="37"/>
      <c r="NC3028" s="37"/>
      <c r="ND3028" s="37"/>
      <c r="NE3028" s="37"/>
      <c r="NF3028" s="37"/>
      <c r="NG3028" s="37"/>
      <c r="NH3028" s="37"/>
      <c r="NI3028" s="37"/>
      <c r="NJ3028" s="37"/>
      <c r="NK3028" s="37"/>
      <c r="NL3028" s="37"/>
      <c r="NM3028" s="37"/>
      <c r="NN3028" s="37"/>
      <c r="NO3028" s="37"/>
      <c r="NP3028" s="37"/>
      <c r="NQ3028" s="37"/>
      <c r="NR3028" s="37"/>
      <c r="NS3028" s="37"/>
      <c r="NT3028" s="37"/>
      <c r="NU3028" s="37"/>
      <c r="NV3028" s="37"/>
      <c r="NW3028" s="37"/>
      <c r="NX3028" s="37"/>
      <c r="NY3028" s="37"/>
      <c r="NZ3028" s="37"/>
      <c r="OA3028" s="37"/>
      <c r="OB3028" s="37"/>
      <c r="OC3028" s="37"/>
      <c r="OD3028" s="37"/>
      <c r="OE3028" s="37"/>
      <c r="OF3028" s="37"/>
      <c r="OG3028" s="37"/>
      <c r="OH3028" s="37"/>
      <c r="OI3028" s="37"/>
      <c r="OJ3028" s="37"/>
      <c r="OK3028" s="37"/>
      <c r="OL3028" s="37"/>
      <c r="OM3028" s="37"/>
      <c r="ON3028" s="37"/>
      <c r="OO3028" s="37"/>
      <c r="OP3028" s="37"/>
      <c r="OQ3028" s="37"/>
      <c r="OR3028" s="37"/>
      <c r="OS3028" s="37"/>
      <c r="OT3028" s="37"/>
      <c r="OU3028" s="37"/>
      <c r="OV3028" s="37"/>
      <c r="OW3028" s="37"/>
      <c r="OX3028" s="37"/>
      <c r="OY3028" s="37"/>
      <c r="OZ3028" s="37"/>
      <c r="PA3028" s="37"/>
      <c r="PB3028" s="37"/>
      <c r="PC3028" s="37"/>
      <c r="PD3028" s="37"/>
      <c r="PE3028" s="37"/>
      <c r="PF3028" s="37"/>
      <c r="PG3028" s="37"/>
      <c r="PH3028" s="37"/>
      <c r="PI3028" s="37"/>
      <c r="PJ3028" s="37"/>
      <c r="PK3028" s="37"/>
      <c r="PL3028" s="37"/>
      <c r="PM3028" s="37"/>
      <c r="PN3028" s="37"/>
      <c r="PO3028" s="37"/>
      <c r="PP3028" s="37"/>
      <c r="PQ3028" s="37"/>
      <c r="PR3028" s="37"/>
      <c r="PS3028" s="37"/>
      <c r="PT3028" s="37"/>
      <c r="PU3028" s="37"/>
      <c r="PV3028" s="37"/>
      <c r="PW3028" s="37"/>
      <c r="PX3028" s="37"/>
      <c r="PY3028" s="37"/>
      <c r="PZ3028" s="37"/>
      <c r="QA3028" s="37"/>
      <c r="QB3028" s="37"/>
      <c r="QC3028" s="37"/>
      <c r="QD3028" s="37"/>
      <c r="QE3028" s="37"/>
      <c r="QF3028" s="37"/>
      <c r="QG3028" s="37"/>
      <c r="QH3028" s="37"/>
      <c r="QI3028" s="37"/>
      <c r="QJ3028" s="37"/>
      <c r="QK3028" s="37"/>
      <c r="QL3028" s="37"/>
      <c r="QM3028" s="37"/>
      <c r="QN3028" s="37"/>
      <c r="QO3028" s="37"/>
      <c r="QP3028" s="37"/>
      <c r="QQ3028" s="37"/>
      <c r="QR3028" s="37"/>
      <c r="QS3028" s="37"/>
      <c r="QT3028" s="37"/>
      <c r="QU3028" s="37"/>
      <c r="QV3028" s="37"/>
      <c r="QW3028" s="37"/>
      <c r="QX3028" s="37"/>
      <c r="QY3028" s="37"/>
      <c r="QZ3028" s="37"/>
      <c r="RA3028" s="37"/>
      <c r="RB3028" s="37"/>
      <c r="RC3028" s="37"/>
      <c r="RD3028" s="37"/>
      <c r="RE3028" s="37"/>
      <c r="RF3028" s="37"/>
      <c r="RG3028" s="37"/>
      <c r="RH3028" s="37"/>
      <c r="RI3028" s="37"/>
      <c r="RJ3028" s="37"/>
      <c r="RK3028" s="37"/>
      <c r="RL3028" s="37"/>
      <c r="RM3028" s="37"/>
      <c r="RN3028" s="37"/>
      <c r="RO3028" s="37"/>
      <c r="RP3028" s="37"/>
      <c r="RQ3028" s="37"/>
      <c r="RR3028" s="37"/>
      <c r="RS3028" s="37"/>
      <c r="RT3028" s="37"/>
      <c r="RU3028" s="37"/>
      <c r="RV3028" s="37"/>
      <c r="RW3028" s="37"/>
      <c r="RX3028" s="37"/>
      <c r="RY3028" s="37"/>
      <c r="RZ3028" s="37"/>
      <c r="SA3028" s="37"/>
      <c r="SB3028" s="37"/>
      <c r="SC3028" s="37"/>
      <c r="SD3028" s="37"/>
      <c r="SE3028" s="37"/>
      <c r="SF3028" s="37"/>
    </row>
    <row r="3029" spans="1:500">
      <c r="A3029" s="37"/>
      <c r="B3029" s="37"/>
      <c r="C3029" s="37"/>
      <c r="D3029" s="37"/>
      <c r="E3029" s="37"/>
      <c r="F3029" s="37"/>
      <c r="G3029" s="37"/>
      <c r="H3029" s="37"/>
      <c r="I3029" s="37"/>
      <c r="J3029" s="37"/>
      <c r="K3029" s="37"/>
      <c r="L3029" s="37"/>
      <c r="M3029" s="37"/>
      <c r="N3029" s="37"/>
      <c r="O3029" s="37"/>
      <c r="P3029" s="37"/>
      <c r="Q3029" s="37"/>
      <c r="R3029" s="37"/>
      <c r="S3029" s="37"/>
      <c r="T3029" s="37"/>
      <c r="U3029" s="37"/>
      <c r="V3029" s="37"/>
      <c r="W3029" s="37"/>
      <c r="X3029" s="37"/>
      <c r="Y3029" s="37"/>
      <c r="Z3029" s="37"/>
      <c r="AA3029" s="37"/>
      <c r="AB3029" s="37"/>
      <c r="AC3029" s="37"/>
      <c r="AD3029" s="37"/>
      <c r="AE3029" s="37"/>
      <c r="AF3029" s="37"/>
      <c r="AG3029" s="37"/>
      <c r="AH3029" s="37"/>
      <c r="AI3029" s="37"/>
      <c r="AJ3029" s="37"/>
      <c r="AK3029" s="37"/>
      <c r="AL3029" s="37"/>
      <c r="AM3029" s="37"/>
      <c r="AN3029" s="37"/>
      <c r="AO3029" s="37"/>
      <c r="AP3029" s="37"/>
      <c r="AQ3029" s="37"/>
      <c r="AR3029" s="37"/>
      <c r="AS3029" s="37"/>
      <c r="AT3029" s="37"/>
      <c r="AU3029" s="37"/>
      <c r="AV3029" s="37"/>
      <c r="AW3029" s="37"/>
      <c r="AX3029" s="37"/>
      <c r="AY3029" s="37"/>
      <c r="AZ3029" s="37"/>
      <c r="BA3029" s="37"/>
      <c r="BB3029" s="37"/>
      <c r="BC3029" s="37"/>
      <c r="BD3029" s="37"/>
      <c r="BE3029" s="37"/>
      <c r="BF3029" s="37"/>
      <c r="BG3029" s="37"/>
      <c r="BH3029" s="37"/>
      <c r="BI3029" s="37"/>
      <c r="BJ3029" s="37"/>
      <c r="BK3029" s="37"/>
      <c r="BL3029" s="37"/>
      <c r="BM3029" s="37"/>
      <c r="BN3029" s="37"/>
      <c r="BO3029" s="37"/>
      <c r="BP3029" s="37"/>
      <c r="BQ3029" s="37"/>
      <c r="BR3029" s="37"/>
      <c r="BS3029" s="37"/>
      <c r="BT3029" s="37"/>
      <c r="BU3029" s="37"/>
      <c r="BV3029" s="37"/>
      <c r="BW3029" s="37"/>
      <c r="BX3029" s="37"/>
      <c r="BY3029" s="37"/>
      <c r="BZ3029" s="37"/>
      <c r="CA3029" s="37"/>
      <c r="CB3029" s="37"/>
      <c r="CC3029" s="37"/>
      <c r="CD3029" s="37"/>
      <c r="CE3029" s="37"/>
      <c r="CF3029" s="37"/>
      <c r="CG3029" s="37"/>
      <c r="CH3029" s="37"/>
      <c r="CI3029" s="37"/>
      <c r="CJ3029" s="37"/>
      <c r="CK3029" s="37"/>
      <c r="CL3029" s="37"/>
      <c r="CM3029" s="37"/>
      <c r="CN3029" s="37"/>
      <c r="CO3029" s="37"/>
      <c r="CP3029" s="37"/>
      <c r="CQ3029" s="37"/>
      <c r="CR3029" s="37"/>
      <c r="CS3029" s="37"/>
      <c r="CT3029" s="37"/>
      <c r="CU3029" s="37"/>
      <c r="CV3029" s="37"/>
      <c r="CW3029" s="37"/>
      <c r="CX3029" s="37"/>
      <c r="CY3029" s="37"/>
      <c r="CZ3029" s="37"/>
      <c r="DA3029" s="37"/>
      <c r="DB3029" s="37"/>
      <c r="DC3029" s="37"/>
      <c r="DD3029" s="37"/>
      <c r="DE3029" s="37"/>
      <c r="DF3029" s="37"/>
      <c r="DG3029" s="37"/>
      <c r="DH3029" s="37"/>
      <c r="DI3029" s="37"/>
      <c r="DJ3029" s="37"/>
      <c r="DK3029" s="37"/>
      <c r="DL3029" s="37"/>
      <c r="DM3029" s="37"/>
      <c r="DN3029" s="37"/>
      <c r="DO3029" s="37"/>
      <c r="DP3029" s="37"/>
      <c r="DQ3029" s="37"/>
      <c r="DR3029" s="37"/>
      <c r="DS3029" s="37"/>
      <c r="DT3029" s="37"/>
      <c r="DU3029" s="37"/>
      <c r="DV3029" s="37"/>
      <c r="DW3029" s="37"/>
      <c r="DX3029" s="37"/>
      <c r="DY3029" s="37"/>
      <c r="DZ3029" s="37"/>
      <c r="EA3029" s="37"/>
      <c r="EB3029" s="37"/>
      <c r="EC3029" s="37"/>
      <c r="ED3029" s="37"/>
      <c r="EE3029" s="37"/>
      <c r="EF3029" s="37"/>
      <c r="EG3029" s="37"/>
      <c r="EH3029" s="37"/>
      <c r="EI3029" s="37"/>
      <c r="EJ3029" s="37"/>
      <c r="EK3029" s="37"/>
      <c r="EL3029" s="37"/>
      <c r="EM3029" s="37"/>
      <c r="EN3029" s="37"/>
      <c r="EO3029" s="37"/>
      <c r="EP3029" s="37"/>
      <c r="EQ3029" s="37"/>
      <c r="ER3029" s="37"/>
      <c r="ES3029" s="37"/>
      <c r="ET3029" s="37"/>
      <c r="EU3029" s="37"/>
      <c r="EV3029" s="37"/>
      <c r="EW3029" s="37"/>
      <c r="EX3029" s="37"/>
      <c r="EY3029" s="37"/>
      <c r="EZ3029" s="37"/>
      <c r="FA3029" s="37"/>
      <c r="FB3029" s="37"/>
      <c r="FC3029" s="37"/>
      <c r="FD3029" s="37"/>
      <c r="FE3029" s="37"/>
      <c r="FF3029" s="37"/>
      <c r="FG3029" s="37"/>
      <c r="FH3029" s="37"/>
      <c r="FI3029" s="37"/>
      <c r="FJ3029" s="37"/>
      <c r="FK3029" s="37"/>
      <c r="FL3029" s="37"/>
      <c r="FM3029" s="37"/>
      <c r="FN3029" s="37"/>
      <c r="FO3029" s="37"/>
      <c r="FP3029" s="37"/>
      <c r="FQ3029" s="37"/>
      <c r="FR3029" s="37"/>
      <c r="FS3029" s="37"/>
      <c r="FT3029" s="37"/>
      <c r="FU3029" s="37"/>
      <c r="FV3029" s="37"/>
      <c r="FW3029" s="37"/>
      <c r="FX3029" s="37"/>
      <c r="FY3029" s="37"/>
      <c r="FZ3029" s="37"/>
      <c r="GA3029" s="37"/>
      <c r="GB3029" s="37"/>
      <c r="GC3029" s="37"/>
      <c r="GD3029" s="37"/>
      <c r="GE3029" s="37"/>
      <c r="GF3029" s="37"/>
      <c r="GG3029" s="37"/>
      <c r="GH3029" s="37"/>
      <c r="GI3029" s="37"/>
      <c r="GJ3029" s="37"/>
      <c r="GK3029" s="37"/>
      <c r="GL3029" s="37"/>
      <c r="GM3029" s="37"/>
      <c r="GN3029" s="37"/>
      <c r="GO3029" s="37"/>
      <c r="GP3029" s="37"/>
      <c r="GQ3029" s="37"/>
      <c r="GR3029" s="37"/>
      <c r="GS3029" s="37"/>
      <c r="GT3029" s="37"/>
      <c r="GU3029" s="37"/>
      <c r="GV3029" s="37"/>
      <c r="GW3029" s="37"/>
      <c r="GX3029" s="37"/>
      <c r="GY3029" s="37"/>
      <c r="GZ3029" s="37"/>
      <c r="HA3029" s="37"/>
      <c r="HB3029" s="37"/>
      <c r="HC3029" s="37"/>
      <c r="HD3029" s="37"/>
      <c r="HE3029" s="37"/>
      <c r="HF3029" s="37"/>
      <c r="HG3029" s="37"/>
      <c r="HH3029" s="37"/>
      <c r="HI3029" s="37"/>
      <c r="HJ3029" s="37"/>
      <c r="HK3029" s="37"/>
      <c r="HL3029" s="37"/>
      <c r="HM3029" s="37"/>
      <c r="HN3029" s="37"/>
      <c r="HO3029" s="37"/>
      <c r="HP3029" s="37"/>
      <c r="HQ3029" s="37"/>
      <c r="HR3029" s="37"/>
      <c r="HS3029" s="37"/>
      <c r="HT3029" s="37"/>
      <c r="HU3029" s="37"/>
      <c r="HV3029" s="37"/>
      <c r="HW3029" s="37"/>
      <c r="HX3029" s="37"/>
      <c r="HY3029" s="37"/>
      <c r="HZ3029" s="37"/>
      <c r="IA3029" s="37"/>
      <c r="IB3029" s="37"/>
      <c r="IC3029" s="37"/>
      <c r="ID3029" s="37"/>
      <c r="IE3029" s="37"/>
      <c r="IF3029" s="37"/>
      <c r="IG3029" s="37"/>
      <c r="IH3029" s="37"/>
      <c r="II3029" s="37"/>
      <c r="IJ3029" s="37"/>
      <c r="IK3029" s="37"/>
      <c r="IL3029" s="37"/>
      <c r="IM3029" s="37"/>
      <c r="IN3029" s="37"/>
      <c r="IO3029" s="37"/>
      <c r="IP3029" s="37"/>
      <c r="IQ3029" s="37"/>
      <c r="IR3029" s="37"/>
      <c r="IS3029" s="37"/>
      <c r="IT3029" s="37"/>
      <c r="IU3029" s="37"/>
      <c r="IV3029" s="37"/>
      <c r="IW3029" s="37"/>
      <c r="IX3029" s="37"/>
      <c r="IY3029" s="37"/>
      <c r="IZ3029" s="37"/>
      <c r="JA3029" s="37"/>
      <c r="JB3029" s="37"/>
      <c r="JC3029" s="37"/>
      <c r="JD3029" s="37"/>
      <c r="JE3029" s="37"/>
      <c r="JF3029" s="37"/>
      <c r="JG3029" s="37"/>
      <c r="JH3029" s="37"/>
      <c r="JI3029" s="37"/>
      <c r="JJ3029" s="37"/>
      <c r="JK3029" s="37"/>
      <c r="JL3029" s="37"/>
      <c r="JM3029" s="37"/>
      <c r="JN3029" s="37"/>
      <c r="JO3029" s="37"/>
      <c r="JP3029" s="37"/>
      <c r="JQ3029" s="37"/>
      <c r="JR3029" s="37"/>
      <c r="JS3029" s="37"/>
      <c r="JT3029" s="37"/>
      <c r="JU3029" s="37"/>
      <c r="JV3029" s="37"/>
      <c r="JW3029" s="37"/>
      <c r="JX3029" s="37"/>
      <c r="JY3029" s="37"/>
      <c r="JZ3029" s="37"/>
      <c r="KA3029" s="37"/>
      <c r="KB3029" s="37"/>
      <c r="KC3029" s="37"/>
      <c r="KD3029" s="37"/>
      <c r="KE3029" s="37"/>
      <c r="KF3029" s="37"/>
      <c r="KG3029" s="37"/>
      <c r="KH3029" s="37"/>
      <c r="KI3029" s="37"/>
      <c r="KJ3029" s="37"/>
      <c r="KK3029" s="37"/>
      <c r="KL3029" s="37"/>
      <c r="KM3029" s="37"/>
      <c r="KN3029" s="37"/>
      <c r="KO3029" s="37"/>
      <c r="KP3029" s="37"/>
      <c r="KQ3029" s="37"/>
      <c r="KR3029" s="37"/>
      <c r="KS3029" s="37"/>
      <c r="KT3029" s="37"/>
      <c r="KU3029" s="37"/>
      <c r="KV3029" s="37"/>
      <c r="KW3029" s="37"/>
      <c r="KX3029" s="37"/>
      <c r="KY3029" s="37"/>
      <c r="KZ3029" s="37"/>
      <c r="LA3029" s="37"/>
      <c r="LB3029" s="37"/>
      <c r="LC3029" s="37"/>
      <c r="LD3029" s="37"/>
      <c r="LE3029" s="37"/>
      <c r="LF3029" s="37"/>
      <c r="LG3029" s="37"/>
      <c r="LH3029" s="37"/>
      <c r="LI3029" s="37"/>
      <c r="LJ3029" s="37"/>
      <c r="LK3029" s="37"/>
      <c r="LL3029" s="37"/>
      <c r="LM3029" s="37"/>
      <c r="LN3029" s="37"/>
      <c r="LO3029" s="37"/>
      <c r="LP3029" s="37"/>
      <c r="LQ3029" s="37"/>
      <c r="LR3029" s="37"/>
      <c r="LS3029" s="37"/>
      <c r="LT3029" s="37"/>
      <c r="LU3029" s="37"/>
      <c r="LV3029" s="37"/>
      <c r="LW3029" s="37"/>
      <c r="LX3029" s="37"/>
      <c r="LY3029" s="37"/>
      <c r="LZ3029" s="37"/>
      <c r="MA3029" s="37"/>
      <c r="MB3029" s="37"/>
      <c r="MC3029" s="37"/>
      <c r="MD3029" s="37"/>
      <c r="ME3029" s="37"/>
      <c r="MF3029" s="37"/>
      <c r="MG3029" s="37"/>
      <c r="MH3029" s="37"/>
      <c r="MI3029" s="37"/>
      <c r="MJ3029" s="37"/>
      <c r="MK3029" s="37"/>
      <c r="ML3029" s="37"/>
      <c r="MM3029" s="37"/>
      <c r="MN3029" s="37"/>
      <c r="MO3029" s="37"/>
      <c r="MP3029" s="37"/>
      <c r="MQ3029" s="37"/>
      <c r="MR3029" s="37"/>
      <c r="MS3029" s="37"/>
      <c r="MT3029" s="37"/>
      <c r="MU3029" s="37"/>
      <c r="MV3029" s="37"/>
      <c r="MW3029" s="37"/>
      <c r="MX3029" s="37"/>
      <c r="MY3029" s="37"/>
      <c r="MZ3029" s="37"/>
      <c r="NA3029" s="37"/>
      <c r="NB3029" s="37"/>
      <c r="NC3029" s="37"/>
      <c r="ND3029" s="37"/>
      <c r="NE3029" s="37"/>
      <c r="NF3029" s="37"/>
      <c r="NG3029" s="37"/>
      <c r="NH3029" s="37"/>
      <c r="NI3029" s="37"/>
      <c r="NJ3029" s="37"/>
      <c r="NK3029" s="37"/>
      <c r="NL3029" s="37"/>
      <c r="NM3029" s="37"/>
      <c r="NN3029" s="37"/>
      <c r="NO3029" s="37"/>
      <c r="NP3029" s="37"/>
      <c r="NQ3029" s="37"/>
      <c r="NR3029" s="37"/>
      <c r="NS3029" s="37"/>
      <c r="NT3029" s="37"/>
      <c r="NU3029" s="37"/>
      <c r="NV3029" s="37"/>
      <c r="NW3029" s="37"/>
      <c r="NX3029" s="37"/>
      <c r="NY3029" s="37"/>
      <c r="NZ3029" s="37"/>
      <c r="OA3029" s="37"/>
      <c r="OB3029" s="37"/>
      <c r="OC3029" s="37"/>
      <c r="OD3029" s="37"/>
      <c r="OE3029" s="37"/>
      <c r="OF3029" s="37"/>
      <c r="OG3029" s="37"/>
      <c r="OH3029" s="37"/>
      <c r="OI3029" s="37"/>
      <c r="OJ3029" s="37"/>
      <c r="OK3029" s="37"/>
      <c r="OL3029" s="37"/>
      <c r="OM3029" s="37"/>
      <c r="ON3029" s="37"/>
      <c r="OO3029" s="37"/>
      <c r="OP3029" s="37"/>
      <c r="OQ3029" s="37"/>
      <c r="OR3029" s="37"/>
      <c r="OS3029" s="37"/>
      <c r="OT3029" s="37"/>
      <c r="OU3029" s="37"/>
      <c r="OV3029" s="37"/>
      <c r="OW3029" s="37"/>
      <c r="OX3029" s="37"/>
      <c r="OY3029" s="37"/>
      <c r="OZ3029" s="37"/>
      <c r="PA3029" s="37"/>
      <c r="PB3029" s="37"/>
      <c r="PC3029" s="37"/>
      <c r="PD3029" s="37"/>
      <c r="PE3029" s="37"/>
      <c r="PF3029" s="37"/>
      <c r="PG3029" s="37"/>
      <c r="PH3029" s="37"/>
      <c r="PI3029" s="37"/>
      <c r="PJ3029" s="37"/>
      <c r="PK3029" s="37"/>
      <c r="PL3029" s="37"/>
      <c r="PM3029" s="37"/>
      <c r="PN3029" s="37"/>
      <c r="PO3029" s="37"/>
      <c r="PP3029" s="37"/>
      <c r="PQ3029" s="37"/>
      <c r="PR3029" s="37"/>
      <c r="PS3029" s="37"/>
      <c r="PT3029" s="37"/>
      <c r="PU3029" s="37"/>
      <c r="PV3029" s="37"/>
      <c r="PW3029" s="37"/>
      <c r="PX3029" s="37"/>
      <c r="PY3029" s="37"/>
      <c r="PZ3029" s="37"/>
      <c r="QA3029" s="37"/>
      <c r="QB3029" s="37"/>
      <c r="QC3029" s="37"/>
      <c r="QD3029" s="37"/>
      <c r="QE3029" s="37"/>
      <c r="QF3029" s="37"/>
      <c r="QG3029" s="37"/>
      <c r="QH3029" s="37"/>
      <c r="QI3029" s="37"/>
      <c r="QJ3029" s="37"/>
      <c r="QK3029" s="37"/>
      <c r="QL3029" s="37"/>
      <c r="QM3029" s="37"/>
      <c r="QN3029" s="37"/>
      <c r="QO3029" s="37"/>
      <c r="QP3029" s="37"/>
      <c r="QQ3029" s="37"/>
      <c r="QR3029" s="37"/>
      <c r="QS3029" s="37"/>
      <c r="QT3029" s="37"/>
      <c r="QU3029" s="37"/>
      <c r="QV3029" s="37"/>
      <c r="QW3029" s="37"/>
      <c r="QX3029" s="37"/>
      <c r="QY3029" s="37"/>
      <c r="QZ3029" s="37"/>
      <c r="RA3029" s="37"/>
      <c r="RB3029" s="37"/>
      <c r="RC3029" s="37"/>
      <c r="RD3029" s="37"/>
      <c r="RE3029" s="37"/>
      <c r="RF3029" s="37"/>
      <c r="RG3029" s="37"/>
      <c r="RH3029" s="37"/>
      <c r="RI3029" s="37"/>
      <c r="RJ3029" s="37"/>
      <c r="RK3029" s="37"/>
      <c r="RL3029" s="37"/>
      <c r="RM3029" s="37"/>
      <c r="RN3029" s="37"/>
      <c r="RO3029" s="37"/>
      <c r="RP3029" s="37"/>
      <c r="RQ3029" s="37"/>
      <c r="RR3029" s="37"/>
      <c r="RS3029" s="37"/>
      <c r="RT3029" s="37"/>
      <c r="RU3029" s="37"/>
      <c r="RV3029" s="37"/>
      <c r="RW3029" s="37"/>
      <c r="RX3029" s="37"/>
      <c r="RY3029" s="37"/>
      <c r="RZ3029" s="37"/>
      <c r="SA3029" s="37"/>
      <c r="SB3029" s="37"/>
      <c r="SC3029" s="37"/>
      <c r="SD3029" s="37"/>
      <c r="SE3029" s="37"/>
      <c r="SF3029" s="37"/>
    </row>
    <row r="3030" spans="1:500">
      <c r="A3030" s="37"/>
      <c r="B3030" s="37"/>
      <c r="C3030" s="37"/>
      <c r="D3030" s="37"/>
      <c r="E3030" s="37"/>
      <c r="F3030" s="37"/>
      <c r="G3030" s="37"/>
      <c r="H3030" s="37"/>
      <c r="I3030" s="37"/>
      <c r="J3030" s="37"/>
      <c r="K3030" s="37"/>
      <c r="L3030" s="37"/>
      <c r="M3030" s="37"/>
      <c r="N3030" s="37"/>
      <c r="O3030" s="37"/>
      <c r="P3030" s="37"/>
      <c r="Q3030" s="37"/>
      <c r="R3030" s="37"/>
      <c r="S3030" s="37"/>
      <c r="T3030" s="37"/>
      <c r="U3030" s="37"/>
      <c r="V3030" s="37"/>
      <c r="W3030" s="37"/>
      <c r="X3030" s="37"/>
      <c r="Y3030" s="37"/>
      <c r="Z3030" s="37"/>
      <c r="AA3030" s="37"/>
      <c r="AB3030" s="37"/>
      <c r="AC3030" s="37"/>
      <c r="AD3030" s="37"/>
      <c r="AE3030" s="37"/>
      <c r="AF3030" s="37"/>
      <c r="AG3030" s="37"/>
      <c r="AH3030" s="37"/>
      <c r="AI3030" s="37"/>
      <c r="AJ3030" s="37"/>
      <c r="AK3030" s="37"/>
      <c r="AL3030" s="37"/>
      <c r="AM3030" s="37"/>
      <c r="AN3030" s="37"/>
      <c r="AO3030" s="37"/>
      <c r="AP3030" s="37"/>
      <c r="AQ3030" s="37"/>
      <c r="AR3030" s="37"/>
      <c r="AS3030" s="37"/>
      <c r="AT3030" s="37"/>
      <c r="AU3030" s="37"/>
      <c r="AV3030" s="37"/>
      <c r="AW3030" s="37"/>
      <c r="AX3030" s="37"/>
      <c r="AY3030" s="37"/>
      <c r="AZ3030" s="37"/>
      <c r="BA3030" s="37"/>
      <c r="BB3030" s="37"/>
      <c r="BC3030" s="37"/>
      <c r="BD3030" s="37"/>
      <c r="BE3030" s="37"/>
      <c r="BF3030" s="37"/>
      <c r="BG3030" s="37"/>
      <c r="BH3030" s="37"/>
      <c r="BI3030" s="37"/>
      <c r="BJ3030" s="37"/>
      <c r="BK3030" s="37"/>
      <c r="BL3030" s="37"/>
      <c r="BM3030" s="37"/>
      <c r="BN3030" s="37"/>
      <c r="BO3030" s="37"/>
      <c r="BP3030" s="37"/>
      <c r="BQ3030" s="37"/>
      <c r="BR3030" s="37"/>
      <c r="BS3030" s="37"/>
      <c r="BT3030" s="37"/>
      <c r="BU3030" s="37"/>
      <c r="BV3030" s="37"/>
      <c r="BW3030" s="37"/>
      <c r="BX3030" s="37"/>
      <c r="BY3030" s="37"/>
      <c r="BZ3030" s="37"/>
      <c r="CA3030" s="37"/>
      <c r="CB3030" s="37"/>
      <c r="CC3030" s="37"/>
      <c r="CD3030" s="37"/>
      <c r="CE3030" s="37"/>
      <c r="CF3030" s="37"/>
      <c r="CG3030" s="37"/>
      <c r="CH3030" s="37"/>
      <c r="CI3030" s="37"/>
      <c r="CJ3030" s="37"/>
      <c r="CK3030" s="37"/>
      <c r="CL3030" s="37"/>
      <c r="CM3030" s="37"/>
      <c r="CN3030" s="37"/>
      <c r="CO3030" s="37"/>
      <c r="CP3030" s="37"/>
      <c r="CQ3030" s="37"/>
      <c r="CR3030" s="37"/>
      <c r="CS3030" s="37"/>
      <c r="CT3030" s="37"/>
      <c r="CU3030" s="37"/>
      <c r="CV3030" s="37"/>
      <c r="CW3030" s="37"/>
      <c r="CX3030" s="37"/>
      <c r="CY3030" s="37"/>
      <c r="CZ3030" s="37"/>
      <c r="DA3030" s="37"/>
      <c r="DB3030" s="37"/>
      <c r="DC3030" s="37"/>
      <c r="DD3030" s="37"/>
      <c r="DE3030" s="37"/>
      <c r="DF3030" s="37"/>
      <c r="DG3030" s="37"/>
      <c r="DH3030" s="37"/>
      <c r="DI3030" s="37"/>
      <c r="DJ3030" s="37"/>
      <c r="DK3030" s="37"/>
      <c r="DL3030" s="37"/>
      <c r="DM3030" s="37"/>
      <c r="DN3030" s="37"/>
      <c r="DO3030" s="37"/>
      <c r="DP3030" s="37"/>
      <c r="DQ3030" s="37"/>
      <c r="DR3030" s="37"/>
      <c r="DS3030" s="37"/>
      <c r="DT3030" s="37"/>
      <c r="DU3030" s="37"/>
      <c r="DV3030" s="37"/>
      <c r="DW3030" s="37"/>
      <c r="DX3030" s="37"/>
      <c r="DY3030" s="37"/>
      <c r="DZ3030" s="37"/>
      <c r="EA3030" s="37"/>
      <c r="EB3030" s="37"/>
      <c r="EC3030" s="37"/>
      <c r="ED3030" s="37"/>
      <c r="EE3030" s="37"/>
      <c r="EF3030" s="37"/>
      <c r="EG3030" s="37"/>
      <c r="EH3030" s="37"/>
      <c r="EI3030" s="37"/>
      <c r="EJ3030" s="37"/>
      <c r="EK3030" s="37"/>
      <c r="EL3030" s="37"/>
      <c r="EM3030" s="37"/>
      <c r="EN3030" s="37"/>
      <c r="EO3030" s="37"/>
      <c r="EP3030" s="37"/>
      <c r="EQ3030" s="37"/>
      <c r="ER3030" s="37"/>
      <c r="ES3030" s="37"/>
      <c r="ET3030" s="37"/>
      <c r="EU3030" s="37"/>
      <c r="EV3030" s="37"/>
      <c r="EW3030" s="37"/>
      <c r="EX3030" s="37"/>
      <c r="EY3030" s="37"/>
      <c r="EZ3030" s="37"/>
      <c r="FA3030" s="37"/>
      <c r="FB3030" s="37"/>
      <c r="FC3030" s="37"/>
      <c r="FD3030" s="37"/>
      <c r="FE3030" s="37"/>
      <c r="FF3030" s="37"/>
      <c r="FG3030" s="37"/>
      <c r="FH3030" s="37"/>
      <c r="FI3030" s="37"/>
      <c r="FJ3030" s="37"/>
      <c r="FK3030" s="37"/>
      <c r="FL3030" s="37"/>
      <c r="FM3030" s="37"/>
      <c r="FN3030" s="37"/>
      <c r="FO3030" s="37"/>
      <c r="FP3030" s="37"/>
      <c r="FQ3030" s="37"/>
      <c r="FR3030" s="37"/>
      <c r="FS3030" s="37"/>
      <c r="FT3030" s="37"/>
      <c r="FU3030" s="37"/>
      <c r="FV3030" s="37"/>
      <c r="FW3030" s="37"/>
      <c r="FX3030" s="37"/>
      <c r="FY3030" s="37"/>
      <c r="FZ3030" s="37"/>
      <c r="GA3030" s="37"/>
      <c r="GB3030" s="37"/>
      <c r="GC3030" s="37"/>
      <c r="GD3030" s="37"/>
      <c r="GE3030" s="37"/>
      <c r="GF3030" s="37"/>
      <c r="GG3030" s="37"/>
      <c r="GH3030" s="37"/>
      <c r="GI3030" s="37"/>
      <c r="GJ3030" s="37"/>
      <c r="GK3030" s="37"/>
      <c r="GL3030" s="37"/>
      <c r="GM3030" s="37"/>
      <c r="GN3030" s="37"/>
      <c r="GO3030" s="37"/>
      <c r="GP3030" s="37"/>
      <c r="GQ3030" s="37"/>
      <c r="GR3030" s="37"/>
      <c r="GS3030" s="37"/>
      <c r="GT3030" s="37"/>
      <c r="GU3030" s="37"/>
      <c r="GV3030" s="37"/>
      <c r="GW3030" s="37"/>
      <c r="GX3030" s="37"/>
      <c r="GY3030" s="37"/>
      <c r="GZ3030" s="37"/>
      <c r="HA3030" s="37"/>
      <c r="HB3030" s="37"/>
      <c r="HC3030" s="37"/>
      <c r="HD3030" s="37"/>
      <c r="HE3030" s="37"/>
      <c r="HF3030" s="37"/>
      <c r="HG3030" s="37"/>
      <c r="HH3030" s="37"/>
      <c r="HI3030" s="37"/>
      <c r="HJ3030" s="37"/>
      <c r="HK3030" s="37"/>
      <c r="HL3030" s="37"/>
      <c r="HM3030" s="37"/>
      <c r="HN3030" s="37"/>
      <c r="HO3030" s="37"/>
      <c r="HP3030" s="37"/>
      <c r="HQ3030" s="37"/>
      <c r="HR3030" s="37"/>
      <c r="HS3030" s="37"/>
      <c r="HT3030" s="37"/>
      <c r="HU3030" s="37"/>
      <c r="HV3030" s="37"/>
      <c r="HW3030" s="37"/>
      <c r="HX3030" s="37"/>
      <c r="HY3030" s="37"/>
      <c r="HZ3030" s="37"/>
      <c r="IA3030" s="37"/>
      <c r="IB3030" s="37"/>
      <c r="IC3030" s="37"/>
      <c r="ID3030" s="37"/>
      <c r="IE3030" s="37"/>
      <c r="IF3030" s="37"/>
      <c r="IG3030" s="37"/>
      <c r="IH3030" s="37"/>
      <c r="II3030" s="37"/>
      <c r="IJ3030" s="37"/>
      <c r="IK3030" s="37"/>
      <c r="IL3030" s="37"/>
      <c r="IM3030" s="37"/>
      <c r="IN3030" s="37"/>
      <c r="IO3030" s="37"/>
      <c r="IP3030" s="37"/>
      <c r="IQ3030" s="37"/>
      <c r="IR3030" s="37"/>
      <c r="IS3030" s="37"/>
      <c r="IT3030" s="37"/>
      <c r="IU3030" s="37"/>
      <c r="IV3030" s="37"/>
      <c r="IW3030" s="37"/>
      <c r="IX3030" s="37"/>
      <c r="IY3030" s="37"/>
      <c r="IZ3030" s="37"/>
      <c r="JA3030" s="37"/>
      <c r="JB3030" s="37"/>
      <c r="JC3030" s="37"/>
      <c r="JD3030" s="37"/>
      <c r="JE3030" s="37"/>
      <c r="JF3030" s="37"/>
      <c r="JG3030" s="37"/>
      <c r="JH3030" s="37"/>
      <c r="JI3030" s="37"/>
      <c r="JJ3030" s="37"/>
      <c r="JK3030" s="37"/>
      <c r="JL3030" s="37"/>
      <c r="JM3030" s="37"/>
      <c r="JN3030" s="37"/>
      <c r="JO3030" s="37"/>
      <c r="JP3030" s="37"/>
      <c r="JQ3030" s="37"/>
      <c r="JR3030" s="37"/>
      <c r="JS3030" s="37"/>
      <c r="JT3030" s="37"/>
      <c r="JU3030" s="37"/>
      <c r="JV3030" s="37"/>
      <c r="JW3030" s="37"/>
      <c r="JX3030" s="37"/>
      <c r="JY3030" s="37"/>
      <c r="JZ3030" s="37"/>
      <c r="KA3030" s="37"/>
      <c r="KB3030" s="37"/>
      <c r="KC3030" s="37"/>
      <c r="KD3030" s="37"/>
      <c r="KE3030" s="37"/>
      <c r="KF3030" s="37"/>
      <c r="KG3030" s="37"/>
      <c r="KH3030" s="37"/>
      <c r="KI3030" s="37"/>
      <c r="KJ3030" s="37"/>
      <c r="KK3030" s="37"/>
      <c r="KL3030" s="37"/>
      <c r="KM3030" s="37"/>
      <c r="KN3030" s="37"/>
      <c r="KO3030" s="37"/>
      <c r="KP3030" s="37"/>
      <c r="KQ3030" s="37"/>
      <c r="KR3030" s="37"/>
      <c r="KS3030" s="37"/>
      <c r="KT3030" s="37"/>
      <c r="KU3030" s="37"/>
      <c r="KV3030" s="37"/>
      <c r="KW3030" s="37"/>
      <c r="KX3030" s="37"/>
      <c r="KY3030" s="37"/>
      <c r="KZ3030" s="37"/>
      <c r="LA3030" s="37"/>
      <c r="LB3030" s="37"/>
      <c r="LC3030" s="37"/>
      <c r="LD3030" s="37"/>
      <c r="LE3030" s="37"/>
      <c r="LF3030" s="37"/>
      <c r="LG3030" s="37"/>
      <c r="LH3030" s="37"/>
      <c r="LI3030" s="37"/>
      <c r="LJ3030" s="37"/>
      <c r="LK3030" s="37"/>
      <c r="LL3030" s="37"/>
      <c r="LM3030" s="37"/>
      <c r="LN3030" s="37"/>
      <c r="LO3030" s="37"/>
      <c r="LP3030" s="37"/>
      <c r="LQ3030" s="37"/>
      <c r="LR3030" s="37"/>
      <c r="LS3030" s="37"/>
      <c r="LT3030" s="37"/>
      <c r="LU3030" s="37"/>
      <c r="LV3030" s="37"/>
      <c r="LW3030" s="37"/>
      <c r="LX3030" s="37"/>
      <c r="LY3030" s="37"/>
      <c r="LZ3030" s="37"/>
      <c r="MA3030" s="37"/>
      <c r="MB3030" s="37"/>
      <c r="MC3030" s="37"/>
      <c r="MD3030" s="37"/>
      <c r="ME3030" s="37"/>
      <c r="MF3030" s="37"/>
      <c r="MG3030" s="37"/>
      <c r="MH3030" s="37"/>
      <c r="MI3030" s="37"/>
      <c r="MJ3030" s="37"/>
      <c r="MK3030" s="37"/>
      <c r="ML3030" s="37"/>
      <c r="MM3030" s="37"/>
      <c r="MN3030" s="37"/>
      <c r="MO3030" s="37"/>
      <c r="MP3030" s="37"/>
      <c r="MQ3030" s="37"/>
      <c r="MR3030" s="37"/>
      <c r="MS3030" s="37"/>
      <c r="MT3030" s="37"/>
      <c r="MU3030" s="37"/>
      <c r="MV3030" s="37"/>
      <c r="MW3030" s="37"/>
      <c r="MX3030" s="37"/>
      <c r="MY3030" s="37"/>
      <c r="MZ3030" s="37"/>
      <c r="NA3030" s="37"/>
      <c r="NB3030" s="37"/>
      <c r="NC3030" s="37"/>
      <c r="ND3030" s="37"/>
      <c r="NE3030" s="37"/>
      <c r="NF3030" s="37"/>
      <c r="NG3030" s="37"/>
      <c r="NH3030" s="37"/>
      <c r="NI3030" s="37"/>
      <c r="NJ3030" s="37"/>
      <c r="NK3030" s="37"/>
      <c r="NL3030" s="37"/>
      <c r="NM3030" s="37"/>
      <c r="NN3030" s="37"/>
      <c r="NO3030" s="37"/>
      <c r="NP3030" s="37"/>
      <c r="NQ3030" s="37"/>
      <c r="NR3030" s="37"/>
      <c r="NS3030" s="37"/>
      <c r="NT3030" s="37"/>
      <c r="NU3030" s="37"/>
      <c r="NV3030" s="37"/>
      <c r="NW3030" s="37"/>
      <c r="NX3030" s="37"/>
      <c r="NY3030" s="37"/>
      <c r="NZ3030" s="37"/>
      <c r="OA3030" s="37"/>
      <c r="OB3030" s="37"/>
      <c r="OC3030" s="37"/>
      <c r="OD3030" s="37"/>
      <c r="OE3030" s="37"/>
      <c r="OF3030" s="37"/>
      <c r="OG3030" s="37"/>
      <c r="OH3030" s="37"/>
      <c r="OI3030" s="37"/>
      <c r="OJ3030" s="37"/>
      <c r="OK3030" s="37"/>
      <c r="OL3030" s="37"/>
      <c r="OM3030" s="37"/>
      <c r="ON3030" s="37"/>
      <c r="OO3030" s="37"/>
      <c r="OP3030" s="37"/>
      <c r="OQ3030" s="37"/>
      <c r="OR3030" s="37"/>
      <c r="OS3030" s="37"/>
      <c r="OT3030" s="37"/>
      <c r="OU3030" s="37"/>
      <c r="OV3030" s="37"/>
      <c r="OW3030" s="37"/>
      <c r="OX3030" s="37"/>
      <c r="OY3030" s="37"/>
      <c r="OZ3030" s="37"/>
      <c r="PA3030" s="37"/>
      <c r="PB3030" s="37"/>
      <c r="PC3030" s="37"/>
      <c r="PD3030" s="37"/>
      <c r="PE3030" s="37"/>
      <c r="PF3030" s="37"/>
      <c r="PG3030" s="37"/>
      <c r="PH3030" s="37"/>
      <c r="PI3030" s="37"/>
      <c r="PJ3030" s="37"/>
      <c r="PK3030" s="37"/>
      <c r="PL3030" s="37"/>
      <c r="PM3030" s="37"/>
      <c r="PN3030" s="37"/>
      <c r="PO3030" s="37"/>
      <c r="PP3030" s="37"/>
      <c r="PQ3030" s="37"/>
      <c r="PR3030" s="37"/>
      <c r="PS3030" s="37"/>
      <c r="PT3030" s="37"/>
      <c r="PU3030" s="37"/>
      <c r="PV3030" s="37"/>
      <c r="PW3030" s="37"/>
      <c r="PX3030" s="37"/>
      <c r="PY3030" s="37"/>
      <c r="PZ3030" s="37"/>
      <c r="QA3030" s="37"/>
      <c r="QB3030" s="37"/>
      <c r="QC3030" s="37"/>
      <c r="QD3030" s="37"/>
      <c r="QE3030" s="37"/>
      <c r="QF3030" s="37"/>
      <c r="QG3030" s="37"/>
      <c r="QH3030" s="37"/>
      <c r="QI3030" s="37"/>
      <c r="QJ3030" s="37"/>
      <c r="QK3030" s="37"/>
      <c r="QL3030" s="37"/>
      <c r="QM3030" s="37"/>
      <c r="QN3030" s="37"/>
      <c r="QO3030" s="37"/>
      <c r="QP3030" s="37"/>
      <c r="QQ3030" s="37"/>
      <c r="QR3030" s="37"/>
      <c r="QS3030" s="37"/>
      <c r="QT3030" s="37"/>
      <c r="QU3030" s="37"/>
      <c r="QV3030" s="37"/>
      <c r="QW3030" s="37"/>
      <c r="QX3030" s="37"/>
      <c r="QY3030" s="37"/>
      <c r="QZ3030" s="37"/>
      <c r="RA3030" s="37"/>
      <c r="RB3030" s="37"/>
      <c r="RC3030" s="37"/>
      <c r="RD3030" s="37"/>
      <c r="RE3030" s="37"/>
      <c r="RF3030" s="37"/>
      <c r="RG3030" s="37"/>
      <c r="RH3030" s="37"/>
      <c r="RI3030" s="37"/>
      <c r="RJ3030" s="37"/>
      <c r="RK3030" s="37"/>
      <c r="RL3030" s="37"/>
      <c r="RM3030" s="37"/>
      <c r="RN3030" s="37"/>
      <c r="RO3030" s="37"/>
      <c r="RP3030" s="37"/>
      <c r="RQ3030" s="37"/>
      <c r="RR3030" s="37"/>
      <c r="RS3030" s="37"/>
      <c r="RT3030" s="37"/>
      <c r="RU3030" s="37"/>
      <c r="RV3030" s="37"/>
      <c r="RW3030" s="37"/>
      <c r="RX3030" s="37"/>
      <c r="RY3030" s="37"/>
      <c r="RZ3030" s="37"/>
      <c r="SA3030" s="37"/>
      <c r="SB3030" s="37"/>
      <c r="SC3030" s="37"/>
      <c r="SD3030" s="37"/>
      <c r="SE3030" s="37"/>
      <c r="SF3030" s="37"/>
    </row>
    <row r="3031" spans="1:500">
      <c r="A3031" s="37"/>
      <c r="B3031" s="37"/>
      <c r="C3031" s="37"/>
      <c r="D3031" s="37"/>
      <c r="E3031" s="37"/>
      <c r="F3031" s="37"/>
      <c r="G3031" s="37"/>
      <c r="H3031" s="37"/>
      <c r="I3031" s="37"/>
      <c r="J3031" s="37"/>
      <c r="K3031" s="37"/>
      <c r="L3031" s="37"/>
      <c r="M3031" s="37"/>
      <c r="N3031" s="37"/>
      <c r="O3031" s="37"/>
      <c r="P3031" s="37"/>
      <c r="Q3031" s="37"/>
      <c r="R3031" s="37"/>
      <c r="S3031" s="37"/>
      <c r="T3031" s="37"/>
      <c r="U3031" s="37"/>
      <c r="V3031" s="37"/>
      <c r="W3031" s="37"/>
      <c r="X3031" s="37"/>
      <c r="Y3031" s="37"/>
      <c r="Z3031" s="37"/>
      <c r="AA3031" s="37"/>
      <c r="AB3031" s="37"/>
      <c r="AC3031" s="37"/>
      <c r="AD3031" s="37"/>
      <c r="AE3031" s="37"/>
      <c r="AF3031" s="37"/>
      <c r="AG3031" s="37"/>
      <c r="AH3031" s="37"/>
      <c r="AI3031" s="37"/>
      <c r="AJ3031" s="37"/>
      <c r="AK3031" s="37"/>
      <c r="AL3031" s="37"/>
      <c r="AM3031" s="37"/>
      <c r="AN3031" s="37"/>
      <c r="AO3031" s="37"/>
      <c r="AP3031" s="37"/>
      <c r="AQ3031" s="37"/>
      <c r="AR3031" s="37"/>
      <c r="AS3031" s="37"/>
      <c r="AT3031" s="37"/>
      <c r="AU3031" s="37"/>
      <c r="AV3031" s="37"/>
      <c r="AW3031" s="37"/>
      <c r="AX3031" s="37"/>
      <c r="AY3031" s="37"/>
      <c r="AZ3031" s="37"/>
      <c r="BA3031" s="37"/>
      <c r="BB3031" s="37"/>
      <c r="BC3031" s="37"/>
      <c r="BD3031" s="37"/>
      <c r="BE3031" s="37"/>
      <c r="BF3031" s="37"/>
      <c r="BG3031" s="37"/>
      <c r="BH3031" s="37"/>
      <c r="BI3031" s="37"/>
      <c r="BJ3031" s="37"/>
      <c r="BK3031" s="37"/>
      <c r="BL3031" s="37"/>
      <c r="BM3031" s="37"/>
      <c r="BN3031" s="37"/>
      <c r="BO3031" s="37"/>
      <c r="BP3031" s="37"/>
      <c r="BQ3031" s="37"/>
      <c r="BR3031" s="37"/>
      <c r="BS3031" s="37"/>
      <c r="BT3031" s="37"/>
      <c r="BU3031" s="37"/>
      <c r="BV3031" s="37"/>
      <c r="BW3031" s="37"/>
      <c r="BX3031" s="37"/>
      <c r="BY3031" s="37"/>
      <c r="BZ3031" s="37"/>
      <c r="CA3031" s="37"/>
      <c r="CB3031" s="37"/>
      <c r="CC3031" s="37"/>
      <c r="CD3031" s="37"/>
      <c r="CE3031" s="37"/>
      <c r="CF3031" s="37"/>
      <c r="CG3031" s="37"/>
      <c r="CH3031" s="37"/>
      <c r="CI3031" s="37"/>
      <c r="CJ3031" s="37"/>
      <c r="CK3031" s="37"/>
      <c r="CL3031" s="37"/>
      <c r="CM3031" s="37"/>
      <c r="CN3031" s="37"/>
      <c r="CO3031" s="37"/>
      <c r="CP3031" s="37"/>
      <c r="CQ3031" s="37"/>
      <c r="CR3031" s="37"/>
      <c r="CS3031" s="37"/>
      <c r="CT3031" s="37"/>
      <c r="CU3031" s="37"/>
      <c r="CV3031" s="37"/>
      <c r="CW3031" s="37"/>
      <c r="CX3031" s="37"/>
      <c r="CY3031" s="37"/>
      <c r="CZ3031" s="37"/>
      <c r="DA3031" s="37"/>
      <c r="DB3031" s="37"/>
      <c r="DC3031" s="37"/>
      <c r="DD3031" s="37"/>
      <c r="DE3031" s="37"/>
      <c r="DF3031" s="37"/>
      <c r="DG3031" s="37"/>
      <c r="DH3031" s="37"/>
      <c r="DI3031" s="37"/>
      <c r="DJ3031" s="37"/>
      <c r="DK3031" s="37"/>
      <c r="DL3031" s="37"/>
      <c r="DM3031" s="37"/>
      <c r="DN3031" s="37"/>
      <c r="DO3031" s="37"/>
      <c r="DP3031" s="37"/>
      <c r="DQ3031" s="37"/>
      <c r="DR3031" s="37"/>
      <c r="DS3031" s="37"/>
      <c r="DT3031" s="37"/>
      <c r="DU3031" s="37"/>
      <c r="DV3031" s="37"/>
      <c r="DW3031" s="37"/>
      <c r="DX3031" s="37"/>
      <c r="DY3031" s="37"/>
      <c r="DZ3031" s="37"/>
      <c r="EA3031" s="37"/>
      <c r="EB3031" s="37"/>
      <c r="EC3031" s="37"/>
      <c r="ED3031" s="37"/>
      <c r="EE3031" s="37"/>
      <c r="EF3031" s="37"/>
      <c r="EG3031" s="37"/>
      <c r="EH3031" s="37"/>
      <c r="EI3031" s="37"/>
      <c r="EJ3031" s="37"/>
      <c r="EK3031" s="37"/>
      <c r="EL3031" s="37"/>
      <c r="EM3031" s="37"/>
      <c r="EN3031" s="37"/>
      <c r="EO3031" s="37"/>
      <c r="EP3031" s="37"/>
      <c r="EQ3031" s="37"/>
      <c r="ER3031" s="37"/>
      <c r="ES3031" s="37"/>
      <c r="ET3031" s="37"/>
      <c r="EU3031" s="37"/>
      <c r="EV3031" s="37"/>
      <c r="EW3031" s="37"/>
      <c r="EX3031" s="37"/>
      <c r="EY3031" s="37"/>
      <c r="EZ3031" s="37"/>
      <c r="FA3031" s="37"/>
      <c r="FB3031" s="37"/>
      <c r="FC3031" s="37"/>
      <c r="FD3031" s="37"/>
      <c r="FE3031" s="37"/>
      <c r="FF3031" s="37"/>
      <c r="FG3031" s="37"/>
      <c r="FH3031" s="37"/>
      <c r="FI3031" s="37"/>
      <c r="FJ3031" s="37"/>
      <c r="FK3031" s="37"/>
      <c r="FL3031" s="37"/>
      <c r="FM3031" s="37"/>
      <c r="FN3031" s="37"/>
      <c r="FO3031" s="37"/>
      <c r="FP3031" s="37"/>
      <c r="FQ3031" s="37"/>
      <c r="FR3031" s="37"/>
      <c r="FS3031" s="37"/>
      <c r="FT3031" s="37"/>
      <c r="FU3031" s="37"/>
      <c r="FV3031" s="37"/>
      <c r="FW3031" s="37"/>
      <c r="FX3031" s="37"/>
      <c r="FY3031" s="37"/>
      <c r="FZ3031" s="37"/>
      <c r="GA3031" s="37"/>
      <c r="GB3031" s="37"/>
      <c r="GC3031" s="37"/>
      <c r="GD3031" s="37"/>
      <c r="GE3031" s="37"/>
      <c r="GF3031" s="37"/>
      <c r="GG3031" s="37"/>
      <c r="GH3031" s="37"/>
      <c r="GI3031" s="37"/>
      <c r="GJ3031" s="37"/>
      <c r="GK3031" s="37"/>
      <c r="GL3031" s="37"/>
      <c r="GM3031" s="37"/>
      <c r="GN3031" s="37"/>
      <c r="GO3031" s="37"/>
      <c r="GP3031" s="37"/>
      <c r="GQ3031" s="37"/>
      <c r="GR3031" s="37"/>
      <c r="GS3031" s="37"/>
      <c r="GT3031" s="37"/>
      <c r="GU3031" s="37"/>
      <c r="GV3031" s="37"/>
      <c r="GW3031" s="37"/>
      <c r="GX3031" s="37"/>
      <c r="GY3031" s="37"/>
      <c r="GZ3031" s="37"/>
      <c r="HA3031" s="37"/>
      <c r="HB3031" s="37"/>
      <c r="HC3031" s="37"/>
      <c r="HD3031" s="37"/>
      <c r="HE3031" s="37"/>
      <c r="HF3031" s="37"/>
      <c r="HG3031" s="37"/>
      <c r="HH3031" s="37"/>
      <c r="HI3031" s="37"/>
      <c r="HJ3031" s="37"/>
      <c r="HK3031" s="37"/>
      <c r="HL3031" s="37"/>
      <c r="HM3031" s="37"/>
      <c r="HN3031" s="37"/>
      <c r="HO3031" s="37"/>
      <c r="HP3031" s="37"/>
      <c r="HQ3031" s="37"/>
      <c r="HR3031" s="37"/>
      <c r="HS3031" s="37"/>
      <c r="HT3031" s="37"/>
      <c r="HU3031" s="37"/>
      <c r="HV3031" s="37"/>
      <c r="HW3031" s="37"/>
      <c r="HX3031" s="37"/>
      <c r="HY3031" s="37"/>
      <c r="HZ3031" s="37"/>
      <c r="IA3031" s="37"/>
      <c r="IB3031" s="37"/>
      <c r="IC3031" s="37"/>
      <c r="ID3031" s="37"/>
      <c r="IE3031" s="37"/>
      <c r="IF3031" s="37"/>
      <c r="IG3031" s="37"/>
      <c r="IH3031" s="37"/>
      <c r="II3031" s="37"/>
      <c r="IJ3031" s="37"/>
      <c r="IK3031" s="37"/>
      <c r="IL3031" s="37"/>
      <c r="IM3031" s="37"/>
      <c r="IN3031" s="37"/>
      <c r="IO3031" s="37"/>
      <c r="IP3031" s="37"/>
      <c r="IQ3031" s="37"/>
      <c r="IR3031" s="37"/>
      <c r="IS3031" s="37"/>
      <c r="IT3031" s="37"/>
      <c r="IU3031" s="37"/>
      <c r="IV3031" s="37"/>
      <c r="IW3031" s="37"/>
      <c r="IX3031" s="37"/>
      <c r="IY3031" s="37"/>
      <c r="IZ3031" s="37"/>
      <c r="JA3031" s="37"/>
      <c r="JB3031" s="37"/>
      <c r="JC3031" s="37"/>
      <c r="JD3031" s="37"/>
      <c r="JE3031" s="37"/>
      <c r="JF3031" s="37"/>
      <c r="JG3031" s="37"/>
      <c r="JH3031" s="37"/>
      <c r="JI3031" s="37"/>
      <c r="JJ3031" s="37"/>
      <c r="JK3031" s="37"/>
      <c r="JL3031" s="37"/>
      <c r="JM3031" s="37"/>
      <c r="JN3031" s="37"/>
      <c r="JO3031" s="37"/>
      <c r="JP3031" s="37"/>
      <c r="JQ3031" s="37"/>
      <c r="JR3031" s="37"/>
      <c r="JS3031" s="37"/>
      <c r="JT3031" s="37"/>
      <c r="JU3031" s="37"/>
      <c r="JV3031" s="37"/>
      <c r="JW3031" s="37"/>
      <c r="JX3031" s="37"/>
      <c r="JY3031" s="37"/>
      <c r="JZ3031" s="37"/>
      <c r="KA3031" s="37"/>
      <c r="KB3031" s="37"/>
      <c r="KC3031" s="37"/>
      <c r="KD3031" s="37"/>
      <c r="KE3031" s="37"/>
      <c r="KF3031" s="37"/>
      <c r="KG3031" s="37"/>
      <c r="KH3031" s="37"/>
      <c r="KI3031" s="37"/>
      <c r="KJ3031" s="37"/>
      <c r="KK3031" s="37"/>
      <c r="KL3031" s="37"/>
      <c r="KM3031" s="37"/>
      <c r="KN3031" s="37"/>
      <c r="KO3031" s="37"/>
      <c r="KP3031" s="37"/>
      <c r="KQ3031" s="37"/>
      <c r="KR3031" s="37"/>
      <c r="KS3031" s="37"/>
      <c r="KT3031" s="37"/>
      <c r="KU3031" s="37"/>
      <c r="KV3031" s="37"/>
      <c r="KW3031" s="37"/>
      <c r="KX3031" s="37"/>
      <c r="KY3031" s="37"/>
      <c r="KZ3031" s="37"/>
      <c r="LA3031" s="37"/>
      <c r="LB3031" s="37"/>
      <c r="LC3031" s="37"/>
      <c r="LD3031" s="37"/>
      <c r="LE3031" s="37"/>
      <c r="LF3031" s="37"/>
      <c r="LG3031" s="37"/>
      <c r="LH3031" s="37"/>
      <c r="LI3031" s="37"/>
      <c r="LJ3031" s="37"/>
      <c r="LK3031" s="37"/>
      <c r="LL3031" s="37"/>
      <c r="LM3031" s="37"/>
      <c r="LN3031" s="37"/>
      <c r="LO3031" s="37"/>
      <c r="LP3031" s="37"/>
      <c r="LQ3031" s="37"/>
      <c r="LR3031" s="37"/>
      <c r="LS3031" s="37"/>
      <c r="LT3031" s="37"/>
      <c r="LU3031" s="37"/>
      <c r="LV3031" s="37"/>
      <c r="LW3031" s="37"/>
      <c r="LX3031" s="37"/>
      <c r="LY3031" s="37"/>
      <c r="LZ3031" s="37"/>
      <c r="MA3031" s="37"/>
      <c r="MB3031" s="37"/>
      <c r="MC3031" s="37"/>
      <c r="MD3031" s="37"/>
      <c r="ME3031" s="37"/>
      <c r="MF3031" s="37"/>
      <c r="MG3031" s="37"/>
      <c r="MH3031" s="37"/>
      <c r="MI3031" s="37"/>
      <c r="MJ3031" s="37"/>
      <c r="MK3031" s="37"/>
      <c r="ML3031" s="37"/>
      <c r="MM3031" s="37"/>
      <c r="MN3031" s="37"/>
      <c r="MO3031" s="37"/>
      <c r="MP3031" s="37"/>
      <c r="MQ3031" s="37"/>
      <c r="MR3031" s="37"/>
      <c r="MS3031" s="37"/>
      <c r="MT3031" s="37"/>
      <c r="MU3031" s="37"/>
      <c r="MV3031" s="37"/>
      <c r="MW3031" s="37"/>
      <c r="MX3031" s="37"/>
      <c r="MY3031" s="37"/>
      <c r="MZ3031" s="37"/>
      <c r="NA3031" s="37"/>
      <c r="NB3031" s="37"/>
      <c r="NC3031" s="37"/>
      <c r="ND3031" s="37"/>
      <c r="NE3031" s="37"/>
      <c r="NF3031" s="37"/>
      <c r="NG3031" s="37"/>
      <c r="NH3031" s="37"/>
      <c r="NI3031" s="37"/>
      <c r="NJ3031" s="37"/>
      <c r="NK3031" s="37"/>
      <c r="NL3031" s="37"/>
      <c r="NM3031" s="37"/>
      <c r="NN3031" s="37"/>
      <c r="NO3031" s="37"/>
      <c r="NP3031" s="37"/>
      <c r="NQ3031" s="37"/>
      <c r="NR3031" s="37"/>
      <c r="NS3031" s="37"/>
      <c r="NT3031" s="37"/>
      <c r="NU3031" s="37"/>
      <c r="NV3031" s="37"/>
      <c r="NW3031" s="37"/>
      <c r="NX3031" s="37"/>
      <c r="NY3031" s="37"/>
      <c r="NZ3031" s="37"/>
      <c r="OA3031" s="37"/>
      <c r="OB3031" s="37"/>
      <c r="OC3031" s="37"/>
      <c r="OD3031" s="37"/>
      <c r="OE3031" s="37"/>
      <c r="OF3031" s="37"/>
      <c r="OG3031" s="37"/>
      <c r="OH3031" s="37"/>
      <c r="OI3031" s="37"/>
      <c r="OJ3031" s="37"/>
      <c r="OK3031" s="37"/>
      <c r="OL3031" s="37"/>
      <c r="OM3031" s="37"/>
      <c r="ON3031" s="37"/>
      <c r="OO3031" s="37"/>
      <c r="OP3031" s="37"/>
      <c r="OQ3031" s="37"/>
      <c r="OR3031" s="37"/>
      <c r="OS3031" s="37"/>
      <c r="OT3031" s="37"/>
      <c r="OU3031" s="37"/>
      <c r="OV3031" s="37"/>
      <c r="OW3031" s="37"/>
      <c r="OX3031" s="37"/>
      <c r="OY3031" s="37"/>
      <c r="OZ3031" s="37"/>
      <c r="PA3031" s="37"/>
      <c r="PB3031" s="37"/>
      <c r="PC3031" s="37"/>
      <c r="PD3031" s="37"/>
      <c r="PE3031" s="37"/>
      <c r="PF3031" s="37"/>
      <c r="PG3031" s="37"/>
      <c r="PH3031" s="37"/>
      <c r="PI3031" s="37"/>
      <c r="PJ3031" s="37"/>
      <c r="PK3031" s="37"/>
      <c r="PL3031" s="37"/>
      <c r="PM3031" s="37"/>
      <c r="PN3031" s="37"/>
      <c r="PO3031" s="37"/>
      <c r="PP3031" s="37"/>
      <c r="PQ3031" s="37"/>
      <c r="PR3031" s="37"/>
      <c r="PS3031" s="37"/>
      <c r="PT3031" s="37"/>
      <c r="PU3031" s="37"/>
      <c r="PV3031" s="37"/>
      <c r="PW3031" s="37"/>
      <c r="PX3031" s="37"/>
      <c r="PY3031" s="37"/>
      <c r="PZ3031" s="37"/>
      <c r="QA3031" s="37"/>
      <c r="QB3031" s="37"/>
      <c r="QC3031" s="37"/>
      <c r="QD3031" s="37"/>
      <c r="QE3031" s="37"/>
      <c r="QF3031" s="37"/>
      <c r="QG3031" s="37"/>
      <c r="QH3031" s="37"/>
      <c r="QI3031" s="37"/>
      <c r="QJ3031" s="37"/>
      <c r="QK3031" s="37"/>
      <c r="QL3031" s="37"/>
      <c r="QM3031" s="37"/>
      <c r="QN3031" s="37"/>
      <c r="QO3031" s="37"/>
      <c r="QP3031" s="37"/>
      <c r="QQ3031" s="37"/>
      <c r="QR3031" s="37"/>
      <c r="QS3031" s="37"/>
      <c r="QT3031" s="37"/>
      <c r="QU3031" s="37"/>
      <c r="QV3031" s="37"/>
      <c r="QW3031" s="37"/>
      <c r="QX3031" s="37"/>
      <c r="QY3031" s="37"/>
      <c r="QZ3031" s="37"/>
      <c r="RA3031" s="37"/>
      <c r="RB3031" s="37"/>
      <c r="RC3031" s="37"/>
      <c r="RD3031" s="37"/>
      <c r="RE3031" s="37"/>
      <c r="RF3031" s="37"/>
      <c r="RG3031" s="37"/>
      <c r="RH3031" s="37"/>
      <c r="RI3031" s="37"/>
      <c r="RJ3031" s="37"/>
      <c r="RK3031" s="37"/>
      <c r="RL3031" s="37"/>
      <c r="RM3031" s="37"/>
      <c r="RN3031" s="37"/>
      <c r="RO3031" s="37"/>
      <c r="RP3031" s="37"/>
      <c r="RQ3031" s="37"/>
      <c r="RR3031" s="37"/>
      <c r="RS3031" s="37"/>
      <c r="RT3031" s="37"/>
      <c r="RU3031" s="37"/>
      <c r="RV3031" s="37"/>
      <c r="RW3031" s="37"/>
      <c r="RX3031" s="37"/>
      <c r="RY3031" s="37"/>
      <c r="RZ3031" s="37"/>
      <c r="SA3031" s="37"/>
      <c r="SB3031" s="37"/>
      <c r="SC3031" s="37"/>
      <c r="SD3031" s="37"/>
      <c r="SE3031" s="37"/>
      <c r="SF3031" s="37"/>
    </row>
    <row r="3032" spans="1:500">
      <c r="A3032" s="37"/>
      <c r="B3032" s="37"/>
      <c r="C3032" s="37"/>
      <c r="D3032" s="37"/>
      <c r="E3032" s="37"/>
      <c r="F3032" s="37"/>
      <c r="G3032" s="37"/>
      <c r="H3032" s="37"/>
      <c r="I3032" s="37"/>
      <c r="J3032" s="37"/>
      <c r="K3032" s="37"/>
      <c r="L3032" s="37"/>
      <c r="M3032" s="37"/>
      <c r="N3032" s="37"/>
      <c r="O3032" s="37"/>
      <c r="P3032" s="37"/>
      <c r="Q3032" s="37"/>
      <c r="R3032" s="37"/>
      <c r="S3032" s="37"/>
      <c r="T3032" s="37"/>
      <c r="U3032" s="37"/>
      <c r="V3032" s="37"/>
      <c r="W3032" s="37"/>
      <c r="X3032" s="37"/>
      <c r="Y3032" s="37"/>
      <c r="Z3032" s="37"/>
      <c r="AA3032" s="37"/>
      <c r="AB3032" s="37"/>
      <c r="AC3032" s="37"/>
      <c r="AD3032" s="37"/>
      <c r="AE3032" s="37"/>
      <c r="AF3032" s="37"/>
      <c r="AG3032" s="37"/>
      <c r="AH3032" s="37"/>
      <c r="AI3032" s="37"/>
      <c r="AJ3032" s="37"/>
      <c r="AK3032" s="37"/>
      <c r="AL3032" s="37"/>
      <c r="AM3032" s="37"/>
      <c r="AN3032" s="37"/>
      <c r="AO3032" s="37"/>
      <c r="AP3032" s="37"/>
      <c r="AQ3032" s="37"/>
      <c r="AR3032" s="37"/>
      <c r="AS3032" s="37"/>
      <c r="AT3032" s="37"/>
      <c r="AU3032" s="37"/>
      <c r="AV3032" s="37"/>
      <c r="AW3032" s="37"/>
      <c r="AX3032" s="37"/>
      <c r="AY3032" s="37"/>
      <c r="AZ3032" s="37"/>
      <c r="BA3032" s="37"/>
      <c r="BB3032" s="37"/>
      <c r="BC3032" s="37"/>
      <c r="BD3032" s="37"/>
      <c r="BE3032" s="37"/>
      <c r="BF3032" s="37"/>
      <c r="BG3032" s="37"/>
      <c r="BH3032" s="37"/>
      <c r="BI3032" s="37"/>
      <c r="BJ3032" s="37"/>
      <c r="BK3032" s="37"/>
      <c r="BL3032" s="37"/>
      <c r="BM3032" s="37"/>
      <c r="BN3032" s="37"/>
      <c r="BO3032" s="37"/>
      <c r="BP3032" s="37"/>
      <c r="BQ3032" s="37"/>
      <c r="BR3032" s="37"/>
      <c r="BS3032" s="37"/>
      <c r="BT3032" s="37"/>
      <c r="BU3032" s="37"/>
      <c r="BV3032" s="37"/>
      <c r="BW3032" s="37"/>
      <c r="BX3032" s="37"/>
      <c r="BY3032" s="37"/>
      <c r="BZ3032" s="37"/>
      <c r="CA3032" s="37"/>
      <c r="CB3032" s="37"/>
      <c r="CC3032" s="37"/>
      <c r="CD3032" s="37"/>
      <c r="CE3032" s="37"/>
      <c r="CF3032" s="37"/>
      <c r="CG3032" s="37"/>
      <c r="CH3032" s="37"/>
      <c r="CI3032" s="37"/>
      <c r="CJ3032" s="37"/>
      <c r="CK3032" s="37"/>
      <c r="CL3032" s="37"/>
      <c r="CM3032" s="37"/>
      <c r="CN3032" s="37"/>
      <c r="CO3032" s="37"/>
      <c r="CP3032" s="37"/>
      <c r="CQ3032" s="37"/>
      <c r="CR3032" s="37"/>
      <c r="CS3032" s="37"/>
      <c r="CT3032" s="37"/>
      <c r="CU3032" s="37"/>
      <c r="CV3032" s="37"/>
      <c r="CW3032" s="37"/>
      <c r="CX3032" s="37"/>
      <c r="CY3032" s="37"/>
      <c r="CZ3032" s="37"/>
      <c r="DA3032" s="37"/>
      <c r="DB3032" s="37"/>
      <c r="DC3032" s="37"/>
      <c r="DD3032" s="37"/>
      <c r="DE3032" s="37"/>
      <c r="DF3032" s="37"/>
      <c r="DG3032" s="37"/>
      <c r="DH3032" s="37"/>
      <c r="DI3032" s="37"/>
      <c r="DJ3032" s="37"/>
      <c r="DK3032" s="37"/>
      <c r="DL3032" s="37"/>
      <c r="DM3032" s="37"/>
      <c r="DN3032" s="37"/>
      <c r="DO3032" s="37"/>
      <c r="DP3032" s="37"/>
      <c r="DQ3032" s="37"/>
      <c r="DR3032" s="37"/>
      <c r="DS3032" s="37"/>
      <c r="DT3032" s="37"/>
      <c r="DU3032" s="37"/>
      <c r="DV3032" s="37"/>
      <c r="DW3032" s="37"/>
      <c r="DX3032" s="37"/>
      <c r="DY3032" s="37"/>
      <c r="DZ3032" s="37"/>
      <c r="EA3032" s="37"/>
      <c r="EB3032" s="37"/>
      <c r="EC3032" s="37"/>
      <c r="ED3032" s="37"/>
      <c r="EE3032" s="37"/>
      <c r="EF3032" s="37"/>
      <c r="EG3032" s="37"/>
      <c r="EH3032" s="37"/>
      <c r="EI3032" s="37"/>
      <c r="EJ3032" s="37"/>
      <c r="EK3032" s="37"/>
      <c r="EL3032" s="37"/>
      <c r="EM3032" s="37"/>
      <c r="EN3032" s="37"/>
      <c r="EO3032" s="37"/>
      <c r="EP3032" s="37"/>
      <c r="EQ3032" s="37"/>
      <c r="ER3032" s="37"/>
      <c r="ES3032" s="37"/>
      <c r="ET3032" s="37"/>
      <c r="EU3032" s="37"/>
      <c r="EV3032" s="37"/>
      <c r="EW3032" s="37"/>
      <c r="EX3032" s="37"/>
      <c r="EY3032" s="37"/>
      <c r="EZ3032" s="37"/>
      <c r="FA3032" s="37"/>
      <c r="FB3032" s="37"/>
      <c r="FC3032" s="37"/>
      <c r="FD3032" s="37"/>
      <c r="FE3032" s="37"/>
      <c r="FF3032" s="37"/>
      <c r="FG3032" s="37"/>
      <c r="FH3032" s="37"/>
      <c r="FI3032" s="37"/>
      <c r="FJ3032" s="37"/>
      <c r="FK3032" s="37"/>
      <c r="FL3032" s="37"/>
      <c r="FM3032" s="37"/>
      <c r="FN3032" s="37"/>
      <c r="FO3032" s="37"/>
      <c r="FP3032" s="37"/>
      <c r="FQ3032" s="37"/>
      <c r="FR3032" s="37"/>
      <c r="FS3032" s="37"/>
      <c r="FT3032" s="37"/>
      <c r="FU3032" s="37"/>
      <c r="FV3032" s="37"/>
      <c r="FW3032" s="37"/>
      <c r="FX3032" s="37"/>
      <c r="FY3032" s="37"/>
      <c r="FZ3032" s="37"/>
      <c r="GA3032" s="37"/>
      <c r="GB3032" s="37"/>
      <c r="GC3032" s="37"/>
      <c r="GD3032" s="37"/>
      <c r="GE3032" s="37"/>
      <c r="GF3032" s="37"/>
      <c r="GG3032" s="37"/>
      <c r="GH3032" s="37"/>
      <c r="GI3032" s="37"/>
      <c r="GJ3032" s="37"/>
      <c r="GK3032" s="37"/>
      <c r="GL3032" s="37"/>
      <c r="GM3032" s="37"/>
      <c r="GN3032" s="37"/>
      <c r="GO3032" s="37"/>
      <c r="GP3032" s="37"/>
      <c r="GQ3032" s="37"/>
      <c r="GR3032" s="37"/>
      <c r="GS3032" s="37"/>
      <c r="GT3032" s="37"/>
      <c r="GU3032" s="37"/>
      <c r="GV3032" s="37"/>
      <c r="GW3032" s="37"/>
      <c r="GX3032" s="37"/>
      <c r="GY3032" s="37"/>
      <c r="GZ3032" s="37"/>
      <c r="HA3032" s="37"/>
      <c r="HB3032" s="37"/>
      <c r="HC3032" s="37"/>
      <c r="HD3032" s="37"/>
      <c r="HE3032" s="37"/>
      <c r="HF3032" s="37"/>
      <c r="HG3032" s="37"/>
      <c r="HH3032" s="37"/>
      <c r="HI3032" s="37"/>
      <c r="HJ3032" s="37"/>
      <c r="HK3032" s="37"/>
      <c r="HL3032" s="37"/>
      <c r="HM3032" s="37"/>
      <c r="HN3032" s="37"/>
      <c r="HO3032" s="37"/>
      <c r="HP3032" s="37"/>
      <c r="HQ3032" s="37"/>
      <c r="HR3032" s="37"/>
      <c r="HS3032" s="37"/>
      <c r="HT3032" s="37"/>
      <c r="HU3032" s="37"/>
      <c r="HV3032" s="37"/>
      <c r="HW3032" s="37"/>
      <c r="HX3032" s="37"/>
      <c r="HY3032" s="37"/>
      <c r="HZ3032" s="37"/>
      <c r="IA3032" s="37"/>
      <c r="IB3032" s="37"/>
      <c r="IC3032" s="37"/>
      <c r="ID3032" s="37"/>
      <c r="IE3032" s="37"/>
      <c r="IF3032" s="37"/>
      <c r="IG3032" s="37"/>
      <c r="IH3032" s="37"/>
      <c r="II3032" s="37"/>
      <c r="IJ3032" s="37"/>
      <c r="IK3032" s="37"/>
      <c r="IL3032" s="37"/>
      <c r="IM3032" s="37"/>
      <c r="IN3032" s="37"/>
      <c r="IO3032" s="37"/>
      <c r="IP3032" s="37"/>
      <c r="IQ3032" s="37"/>
      <c r="IR3032" s="37"/>
      <c r="IS3032" s="37"/>
      <c r="IT3032" s="37"/>
      <c r="IU3032" s="37"/>
      <c r="IV3032" s="37"/>
      <c r="IW3032" s="37"/>
      <c r="IX3032" s="37"/>
      <c r="IY3032" s="37"/>
      <c r="IZ3032" s="37"/>
      <c r="JA3032" s="37"/>
      <c r="JB3032" s="37"/>
      <c r="JC3032" s="37"/>
      <c r="JD3032" s="37"/>
      <c r="JE3032" s="37"/>
      <c r="JF3032" s="37"/>
      <c r="JG3032" s="37"/>
      <c r="JH3032" s="37"/>
      <c r="JI3032" s="37"/>
      <c r="JJ3032" s="37"/>
      <c r="JK3032" s="37"/>
      <c r="JL3032" s="37"/>
      <c r="JM3032" s="37"/>
      <c r="JN3032" s="37"/>
      <c r="JO3032" s="37"/>
      <c r="JP3032" s="37"/>
      <c r="JQ3032" s="37"/>
      <c r="JR3032" s="37"/>
      <c r="JS3032" s="37"/>
      <c r="JT3032" s="37"/>
      <c r="JU3032" s="37"/>
      <c r="JV3032" s="37"/>
      <c r="JW3032" s="37"/>
      <c r="JX3032" s="37"/>
      <c r="JY3032" s="37"/>
      <c r="JZ3032" s="37"/>
      <c r="KA3032" s="37"/>
      <c r="KB3032" s="37"/>
      <c r="KC3032" s="37"/>
      <c r="KD3032" s="37"/>
      <c r="KE3032" s="37"/>
      <c r="KF3032" s="37"/>
      <c r="KG3032" s="37"/>
      <c r="KH3032" s="37"/>
      <c r="KI3032" s="37"/>
      <c r="KJ3032" s="37"/>
      <c r="KK3032" s="37"/>
      <c r="KL3032" s="37"/>
      <c r="KM3032" s="37"/>
      <c r="KN3032" s="37"/>
      <c r="KO3032" s="37"/>
      <c r="KP3032" s="37"/>
      <c r="KQ3032" s="37"/>
      <c r="KR3032" s="37"/>
      <c r="KS3032" s="37"/>
      <c r="KT3032" s="37"/>
      <c r="KU3032" s="37"/>
      <c r="KV3032" s="37"/>
      <c r="KW3032" s="37"/>
      <c r="KX3032" s="37"/>
      <c r="KY3032" s="37"/>
      <c r="KZ3032" s="37"/>
      <c r="LA3032" s="37"/>
      <c r="LB3032" s="37"/>
      <c r="LC3032" s="37"/>
      <c r="LD3032" s="37"/>
      <c r="LE3032" s="37"/>
      <c r="LF3032" s="37"/>
      <c r="LG3032" s="37"/>
      <c r="LH3032" s="37"/>
      <c r="LI3032" s="37"/>
      <c r="LJ3032" s="37"/>
      <c r="LK3032" s="37"/>
      <c r="LL3032" s="37"/>
      <c r="LM3032" s="37"/>
      <c r="LN3032" s="37"/>
      <c r="LO3032" s="37"/>
      <c r="LP3032" s="37"/>
      <c r="LQ3032" s="37"/>
      <c r="LR3032" s="37"/>
      <c r="LS3032" s="37"/>
      <c r="LT3032" s="37"/>
      <c r="LU3032" s="37"/>
      <c r="LV3032" s="37"/>
      <c r="LW3032" s="37"/>
      <c r="LX3032" s="37"/>
      <c r="LY3032" s="37"/>
      <c r="LZ3032" s="37"/>
      <c r="MA3032" s="37"/>
      <c r="MB3032" s="37"/>
      <c r="MC3032" s="37"/>
      <c r="MD3032" s="37"/>
      <c r="ME3032" s="37"/>
      <c r="MF3032" s="37"/>
      <c r="MG3032" s="37"/>
      <c r="MH3032" s="37"/>
      <c r="MI3032" s="37"/>
      <c r="MJ3032" s="37"/>
      <c r="MK3032" s="37"/>
      <c r="ML3032" s="37"/>
      <c r="MM3032" s="37"/>
      <c r="MN3032" s="37"/>
      <c r="MO3032" s="37"/>
      <c r="MP3032" s="37"/>
      <c r="MQ3032" s="37"/>
      <c r="MR3032" s="37"/>
      <c r="MS3032" s="37"/>
      <c r="MT3032" s="37"/>
      <c r="MU3032" s="37"/>
      <c r="MV3032" s="37"/>
      <c r="MW3032" s="37"/>
      <c r="MX3032" s="37"/>
      <c r="MY3032" s="37"/>
      <c r="MZ3032" s="37"/>
      <c r="NA3032" s="37"/>
      <c r="NB3032" s="37"/>
      <c r="NC3032" s="37"/>
      <c r="ND3032" s="37"/>
      <c r="NE3032" s="37"/>
      <c r="NF3032" s="37"/>
      <c r="NG3032" s="37"/>
      <c r="NH3032" s="37"/>
      <c r="NI3032" s="37"/>
      <c r="NJ3032" s="37"/>
      <c r="NK3032" s="37"/>
      <c r="NL3032" s="37"/>
      <c r="NM3032" s="37"/>
      <c r="NN3032" s="37"/>
      <c r="NO3032" s="37"/>
      <c r="NP3032" s="37"/>
      <c r="NQ3032" s="37"/>
      <c r="NR3032" s="37"/>
      <c r="NS3032" s="37"/>
      <c r="NT3032" s="37"/>
      <c r="NU3032" s="37"/>
      <c r="NV3032" s="37"/>
      <c r="NW3032" s="37"/>
      <c r="NX3032" s="37"/>
      <c r="NY3032" s="37"/>
      <c r="NZ3032" s="37"/>
      <c r="OA3032" s="37"/>
      <c r="OB3032" s="37"/>
      <c r="OC3032" s="37"/>
      <c r="OD3032" s="37"/>
      <c r="OE3032" s="37"/>
      <c r="OF3032" s="37"/>
      <c r="OG3032" s="37"/>
      <c r="OH3032" s="37"/>
      <c r="OI3032" s="37"/>
      <c r="OJ3032" s="37"/>
      <c r="OK3032" s="37"/>
      <c r="OL3032" s="37"/>
      <c r="OM3032" s="37"/>
      <c r="ON3032" s="37"/>
      <c r="OO3032" s="37"/>
      <c r="OP3032" s="37"/>
      <c r="OQ3032" s="37"/>
      <c r="OR3032" s="37"/>
      <c r="OS3032" s="37"/>
      <c r="OT3032" s="37"/>
      <c r="OU3032" s="37"/>
      <c r="OV3032" s="37"/>
      <c r="OW3032" s="37"/>
      <c r="OX3032" s="37"/>
      <c r="OY3032" s="37"/>
      <c r="OZ3032" s="37"/>
      <c r="PA3032" s="37"/>
      <c r="PB3032" s="37"/>
      <c r="PC3032" s="37"/>
      <c r="PD3032" s="37"/>
      <c r="PE3032" s="37"/>
      <c r="PF3032" s="37"/>
      <c r="PG3032" s="37"/>
      <c r="PH3032" s="37"/>
      <c r="PI3032" s="37"/>
      <c r="PJ3032" s="37"/>
      <c r="PK3032" s="37"/>
      <c r="PL3032" s="37"/>
      <c r="PM3032" s="37"/>
      <c r="PN3032" s="37"/>
      <c r="PO3032" s="37"/>
      <c r="PP3032" s="37"/>
      <c r="PQ3032" s="37"/>
      <c r="PR3032" s="37"/>
      <c r="PS3032" s="37"/>
      <c r="PT3032" s="37"/>
      <c r="PU3032" s="37"/>
      <c r="PV3032" s="37"/>
      <c r="PW3032" s="37"/>
      <c r="PX3032" s="37"/>
      <c r="PY3032" s="37"/>
      <c r="PZ3032" s="37"/>
      <c r="QA3032" s="37"/>
      <c r="QB3032" s="37"/>
      <c r="QC3032" s="37"/>
      <c r="QD3032" s="37"/>
      <c r="QE3032" s="37"/>
      <c r="QF3032" s="37"/>
      <c r="QG3032" s="37"/>
      <c r="QH3032" s="37"/>
      <c r="QI3032" s="37"/>
      <c r="QJ3032" s="37"/>
      <c r="QK3032" s="37"/>
      <c r="QL3032" s="37"/>
      <c r="QM3032" s="37"/>
      <c r="QN3032" s="37"/>
      <c r="QO3032" s="37"/>
      <c r="QP3032" s="37"/>
      <c r="QQ3032" s="37"/>
      <c r="QR3032" s="37"/>
      <c r="QS3032" s="37"/>
      <c r="QT3032" s="37"/>
      <c r="QU3032" s="37"/>
      <c r="QV3032" s="37"/>
      <c r="QW3032" s="37"/>
      <c r="QX3032" s="37"/>
      <c r="QY3032" s="37"/>
      <c r="QZ3032" s="37"/>
      <c r="RA3032" s="37"/>
      <c r="RB3032" s="37"/>
      <c r="RC3032" s="37"/>
      <c r="RD3032" s="37"/>
      <c r="RE3032" s="37"/>
      <c r="RF3032" s="37"/>
      <c r="RG3032" s="37"/>
      <c r="RH3032" s="37"/>
      <c r="RI3032" s="37"/>
      <c r="RJ3032" s="37"/>
      <c r="RK3032" s="37"/>
      <c r="RL3032" s="37"/>
      <c r="RM3032" s="37"/>
      <c r="RN3032" s="37"/>
      <c r="RO3032" s="37"/>
      <c r="RP3032" s="37"/>
      <c r="RQ3032" s="37"/>
      <c r="RR3032" s="37"/>
      <c r="RS3032" s="37"/>
      <c r="RT3032" s="37"/>
      <c r="RU3032" s="37"/>
      <c r="RV3032" s="37"/>
      <c r="RW3032" s="37"/>
      <c r="RX3032" s="37"/>
      <c r="RY3032" s="37"/>
      <c r="RZ3032" s="37"/>
      <c r="SA3032" s="37"/>
      <c r="SB3032" s="37"/>
      <c r="SC3032" s="37"/>
      <c r="SD3032" s="37"/>
      <c r="SE3032" s="37"/>
      <c r="SF3032" s="37"/>
    </row>
    <row r="3033" spans="1:500">
      <c r="A3033" s="37"/>
      <c r="B3033" s="37"/>
      <c r="C3033" s="37"/>
      <c r="D3033" s="37"/>
      <c r="E3033" s="37"/>
      <c r="F3033" s="37"/>
      <c r="G3033" s="37"/>
      <c r="H3033" s="37"/>
      <c r="I3033" s="37"/>
      <c r="J3033" s="37"/>
      <c r="K3033" s="37"/>
      <c r="L3033" s="37"/>
      <c r="M3033" s="37"/>
      <c r="N3033" s="37"/>
      <c r="O3033" s="37"/>
      <c r="P3033" s="37"/>
      <c r="Q3033" s="37"/>
      <c r="R3033" s="37"/>
      <c r="S3033" s="37"/>
      <c r="T3033" s="37"/>
      <c r="U3033" s="37"/>
      <c r="V3033" s="37"/>
      <c r="W3033" s="37"/>
      <c r="X3033" s="37"/>
      <c r="Y3033" s="37"/>
      <c r="Z3033" s="37"/>
      <c r="AA3033" s="37"/>
      <c r="AB3033" s="37"/>
      <c r="AC3033" s="37"/>
      <c r="AD3033" s="37"/>
      <c r="AE3033" s="37"/>
      <c r="AF3033" s="37"/>
      <c r="AG3033" s="37"/>
      <c r="AH3033" s="37"/>
      <c r="AI3033" s="37"/>
      <c r="AJ3033" s="37"/>
      <c r="AK3033" s="37"/>
      <c r="AL3033" s="37"/>
      <c r="AM3033" s="37"/>
      <c r="AN3033" s="37"/>
      <c r="AO3033" s="37"/>
      <c r="AP3033" s="37"/>
      <c r="AQ3033" s="37"/>
      <c r="AR3033" s="37"/>
      <c r="AS3033" s="37"/>
      <c r="AT3033" s="37"/>
      <c r="AU3033" s="37"/>
      <c r="AV3033" s="37"/>
      <c r="AW3033" s="37"/>
      <c r="AX3033" s="37"/>
      <c r="AY3033" s="37"/>
      <c r="AZ3033" s="37"/>
      <c r="BA3033" s="37"/>
      <c r="BB3033" s="37"/>
      <c r="BC3033" s="37"/>
      <c r="BD3033" s="37"/>
      <c r="BE3033" s="37"/>
      <c r="BF3033" s="37"/>
      <c r="BG3033" s="37"/>
      <c r="BH3033" s="37"/>
      <c r="BI3033" s="37"/>
      <c r="BJ3033" s="37"/>
      <c r="BK3033" s="37"/>
      <c r="BL3033" s="37"/>
      <c r="BM3033" s="37"/>
      <c r="BN3033" s="37"/>
      <c r="BO3033" s="37"/>
      <c r="BP3033" s="37"/>
      <c r="BQ3033" s="37"/>
      <c r="BR3033" s="37"/>
      <c r="BS3033" s="37"/>
      <c r="BT3033" s="37"/>
      <c r="BU3033" s="37"/>
      <c r="BV3033" s="37"/>
      <c r="BW3033" s="37"/>
      <c r="BX3033" s="37"/>
      <c r="BY3033" s="37"/>
      <c r="BZ3033" s="37"/>
      <c r="CA3033" s="37"/>
      <c r="CB3033" s="37"/>
      <c r="CC3033" s="37"/>
      <c r="CD3033" s="37"/>
      <c r="CE3033" s="37"/>
      <c r="CF3033" s="37"/>
      <c r="CG3033" s="37"/>
      <c r="CH3033" s="37"/>
      <c r="CI3033" s="37"/>
      <c r="CJ3033" s="37"/>
      <c r="CK3033" s="37"/>
      <c r="CL3033" s="37"/>
      <c r="CM3033" s="37"/>
      <c r="CN3033" s="37"/>
      <c r="CO3033" s="37"/>
      <c r="CP3033" s="37"/>
      <c r="CQ3033" s="37"/>
      <c r="CR3033" s="37"/>
      <c r="CS3033" s="37"/>
      <c r="CT3033" s="37"/>
      <c r="CU3033" s="37"/>
      <c r="CV3033" s="37"/>
      <c r="CW3033" s="37"/>
      <c r="CX3033" s="37"/>
      <c r="CY3033" s="37"/>
      <c r="CZ3033" s="37"/>
      <c r="DA3033" s="37"/>
      <c r="DB3033" s="37"/>
      <c r="DC3033" s="37"/>
      <c r="DD3033" s="37"/>
      <c r="DE3033" s="37"/>
      <c r="DF3033" s="37"/>
      <c r="DG3033" s="37"/>
      <c r="DH3033" s="37"/>
      <c r="DI3033" s="37"/>
      <c r="DJ3033" s="37"/>
      <c r="DK3033" s="37"/>
      <c r="DL3033" s="37"/>
      <c r="DM3033" s="37"/>
      <c r="DN3033" s="37"/>
      <c r="DO3033" s="37"/>
      <c r="DP3033" s="37"/>
      <c r="DQ3033" s="37"/>
      <c r="DR3033" s="37"/>
      <c r="DS3033" s="37"/>
      <c r="DT3033" s="37"/>
      <c r="DU3033" s="37"/>
      <c r="DV3033" s="37"/>
      <c r="DW3033" s="37"/>
      <c r="DX3033" s="37"/>
      <c r="DY3033" s="37"/>
      <c r="DZ3033" s="37"/>
      <c r="EA3033" s="37"/>
      <c r="EB3033" s="37"/>
      <c r="EC3033" s="37"/>
      <c r="ED3033" s="37"/>
      <c r="EE3033" s="37"/>
      <c r="EF3033" s="37"/>
      <c r="EG3033" s="37"/>
      <c r="EH3033" s="37"/>
      <c r="EI3033" s="37"/>
      <c r="EJ3033" s="37"/>
      <c r="EK3033" s="37"/>
      <c r="EL3033" s="37"/>
      <c r="EM3033" s="37"/>
      <c r="EN3033" s="37"/>
      <c r="EO3033" s="37"/>
      <c r="EP3033" s="37"/>
      <c r="EQ3033" s="37"/>
      <c r="ER3033" s="37"/>
      <c r="ES3033" s="37"/>
      <c r="ET3033" s="37"/>
      <c r="EU3033" s="37"/>
      <c r="EV3033" s="37"/>
      <c r="EW3033" s="37"/>
      <c r="EX3033" s="37"/>
      <c r="EY3033" s="37"/>
      <c r="EZ3033" s="37"/>
      <c r="FA3033" s="37"/>
      <c r="FB3033" s="37"/>
      <c r="FC3033" s="37"/>
      <c r="FD3033" s="37"/>
      <c r="FE3033" s="37"/>
      <c r="FF3033" s="37"/>
      <c r="FG3033" s="37"/>
      <c r="FH3033" s="37"/>
      <c r="FI3033" s="37"/>
      <c r="FJ3033" s="37"/>
      <c r="FK3033" s="37"/>
      <c r="FL3033" s="37"/>
      <c r="FM3033" s="37"/>
      <c r="FN3033" s="37"/>
      <c r="FO3033" s="37"/>
      <c r="FP3033" s="37"/>
      <c r="FQ3033" s="37"/>
      <c r="FR3033" s="37"/>
      <c r="FS3033" s="37"/>
      <c r="FT3033" s="37"/>
      <c r="FU3033" s="37"/>
      <c r="FV3033" s="37"/>
      <c r="FW3033" s="37"/>
      <c r="FX3033" s="37"/>
      <c r="FY3033" s="37"/>
      <c r="FZ3033" s="37"/>
      <c r="GA3033" s="37"/>
      <c r="GB3033" s="37"/>
      <c r="GC3033" s="37"/>
      <c r="GD3033" s="37"/>
      <c r="GE3033" s="37"/>
      <c r="GF3033" s="37"/>
      <c r="GG3033" s="37"/>
      <c r="GH3033" s="37"/>
      <c r="GI3033" s="37"/>
      <c r="GJ3033" s="37"/>
      <c r="GK3033" s="37"/>
      <c r="GL3033" s="37"/>
      <c r="GM3033" s="37"/>
      <c r="GN3033" s="37"/>
      <c r="GO3033" s="37"/>
      <c r="GP3033" s="37"/>
      <c r="GQ3033" s="37"/>
      <c r="GR3033" s="37"/>
      <c r="GS3033" s="37"/>
      <c r="GT3033" s="37"/>
      <c r="GU3033" s="37"/>
      <c r="GV3033" s="37"/>
      <c r="GW3033" s="37"/>
      <c r="GX3033" s="37"/>
      <c r="GY3033" s="37"/>
      <c r="GZ3033" s="37"/>
      <c r="HA3033" s="37"/>
      <c r="HB3033" s="37"/>
      <c r="HC3033" s="37"/>
      <c r="HD3033" s="37"/>
      <c r="HE3033" s="37"/>
      <c r="HF3033" s="37"/>
      <c r="HG3033" s="37"/>
      <c r="HH3033" s="37"/>
      <c r="HI3033" s="37"/>
      <c r="HJ3033" s="37"/>
      <c r="HK3033" s="37"/>
      <c r="HL3033" s="37"/>
      <c r="HM3033" s="37"/>
      <c r="HN3033" s="37"/>
      <c r="HO3033" s="37"/>
      <c r="HP3033" s="37"/>
      <c r="HQ3033" s="37"/>
      <c r="HR3033" s="37"/>
      <c r="HS3033" s="37"/>
      <c r="HT3033" s="37"/>
      <c r="HU3033" s="37"/>
      <c r="HV3033" s="37"/>
      <c r="HW3033" s="37"/>
      <c r="HX3033" s="37"/>
      <c r="HY3033" s="37"/>
      <c r="HZ3033" s="37"/>
      <c r="IA3033" s="37"/>
      <c r="IB3033" s="37"/>
      <c r="IC3033" s="37"/>
      <c r="ID3033" s="37"/>
      <c r="IE3033" s="37"/>
      <c r="IF3033" s="37"/>
      <c r="IG3033" s="37"/>
      <c r="IH3033" s="37"/>
      <c r="II3033" s="37"/>
      <c r="IJ3033" s="37"/>
      <c r="IK3033" s="37"/>
      <c r="IL3033" s="37"/>
      <c r="IM3033" s="37"/>
      <c r="IN3033" s="37"/>
      <c r="IO3033" s="37"/>
      <c r="IP3033" s="37"/>
      <c r="IQ3033" s="37"/>
      <c r="IR3033" s="37"/>
      <c r="IS3033" s="37"/>
      <c r="IT3033" s="37"/>
      <c r="IU3033" s="37"/>
      <c r="IV3033" s="37"/>
      <c r="IW3033" s="37"/>
      <c r="IX3033" s="37"/>
      <c r="IY3033" s="37"/>
      <c r="IZ3033" s="37"/>
      <c r="JA3033" s="37"/>
      <c r="JB3033" s="37"/>
      <c r="JC3033" s="37"/>
      <c r="JD3033" s="37"/>
      <c r="JE3033" s="37"/>
      <c r="JF3033" s="37"/>
      <c r="JG3033" s="37"/>
      <c r="JH3033" s="37"/>
      <c r="JI3033" s="37"/>
      <c r="JJ3033" s="37"/>
      <c r="JK3033" s="37"/>
      <c r="JL3033" s="37"/>
      <c r="JM3033" s="37"/>
      <c r="JN3033" s="37"/>
      <c r="JO3033" s="37"/>
      <c r="JP3033" s="37"/>
      <c r="JQ3033" s="37"/>
      <c r="JR3033" s="37"/>
      <c r="JS3033" s="37"/>
      <c r="JT3033" s="37"/>
      <c r="JU3033" s="37"/>
      <c r="JV3033" s="37"/>
      <c r="JW3033" s="37"/>
      <c r="JX3033" s="37"/>
      <c r="JY3033" s="37"/>
      <c r="JZ3033" s="37"/>
      <c r="KA3033" s="37"/>
      <c r="KB3033" s="37"/>
      <c r="KC3033" s="37"/>
      <c r="KD3033" s="37"/>
      <c r="KE3033" s="37"/>
      <c r="KF3033" s="37"/>
      <c r="KG3033" s="37"/>
      <c r="KH3033" s="37"/>
      <c r="KI3033" s="37"/>
      <c r="KJ3033" s="37"/>
      <c r="KK3033" s="37"/>
      <c r="KL3033" s="37"/>
      <c r="KM3033" s="37"/>
      <c r="KN3033" s="37"/>
      <c r="KO3033" s="37"/>
      <c r="KP3033" s="37"/>
      <c r="KQ3033" s="37"/>
      <c r="KR3033" s="37"/>
      <c r="KS3033" s="37"/>
      <c r="KT3033" s="37"/>
      <c r="KU3033" s="37"/>
      <c r="KV3033" s="37"/>
      <c r="KW3033" s="37"/>
      <c r="KX3033" s="37"/>
      <c r="KY3033" s="37"/>
      <c r="KZ3033" s="37"/>
      <c r="LA3033" s="37"/>
      <c r="LB3033" s="37"/>
      <c r="LC3033" s="37"/>
      <c r="LD3033" s="37"/>
      <c r="LE3033" s="37"/>
      <c r="LF3033" s="37"/>
      <c r="LG3033" s="37"/>
      <c r="LH3033" s="37"/>
      <c r="LI3033" s="37"/>
      <c r="LJ3033" s="37"/>
      <c r="LK3033" s="37"/>
      <c r="LL3033" s="37"/>
      <c r="LM3033" s="37"/>
      <c r="LN3033" s="37"/>
      <c r="LO3033" s="37"/>
      <c r="LP3033" s="37"/>
      <c r="LQ3033" s="37"/>
      <c r="LR3033" s="37"/>
      <c r="LS3033" s="37"/>
      <c r="LT3033" s="37"/>
      <c r="LU3033" s="37"/>
      <c r="LV3033" s="37"/>
      <c r="LW3033" s="37"/>
      <c r="LX3033" s="37"/>
      <c r="LY3033" s="37"/>
      <c r="LZ3033" s="37"/>
      <c r="MA3033" s="37"/>
      <c r="MB3033" s="37"/>
      <c r="MC3033" s="37"/>
      <c r="MD3033" s="37"/>
      <c r="ME3033" s="37"/>
      <c r="MF3033" s="37"/>
      <c r="MG3033" s="37"/>
      <c r="MH3033" s="37"/>
      <c r="MI3033" s="37"/>
      <c r="MJ3033" s="37"/>
      <c r="MK3033" s="37"/>
      <c r="ML3033" s="37"/>
      <c r="MM3033" s="37"/>
      <c r="MN3033" s="37"/>
      <c r="MO3033" s="37"/>
      <c r="MP3033" s="37"/>
      <c r="MQ3033" s="37"/>
      <c r="MR3033" s="37"/>
      <c r="MS3033" s="37"/>
      <c r="MT3033" s="37"/>
      <c r="MU3033" s="37"/>
      <c r="MV3033" s="37"/>
      <c r="MW3033" s="37"/>
      <c r="MX3033" s="37"/>
      <c r="MY3033" s="37"/>
      <c r="MZ3033" s="37"/>
      <c r="NA3033" s="37"/>
      <c r="NB3033" s="37"/>
      <c r="NC3033" s="37"/>
      <c r="ND3033" s="37"/>
      <c r="NE3033" s="37"/>
      <c r="NF3033" s="37"/>
      <c r="NG3033" s="37"/>
      <c r="NH3033" s="37"/>
      <c r="NI3033" s="37"/>
      <c r="NJ3033" s="37"/>
      <c r="NK3033" s="37"/>
      <c r="NL3033" s="37"/>
      <c r="NM3033" s="37"/>
      <c r="NN3033" s="37"/>
      <c r="NO3033" s="37"/>
      <c r="NP3033" s="37"/>
      <c r="NQ3033" s="37"/>
      <c r="NR3033" s="37"/>
      <c r="NS3033" s="37"/>
      <c r="NT3033" s="37"/>
      <c r="NU3033" s="37"/>
      <c r="NV3033" s="37"/>
      <c r="NW3033" s="37"/>
      <c r="NX3033" s="37"/>
      <c r="NY3033" s="37"/>
      <c r="NZ3033" s="37"/>
      <c r="OA3033" s="37"/>
      <c r="OB3033" s="37"/>
      <c r="OC3033" s="37"/>
      <c r="OD3033" s="37"/>
      <c r="OE3033" s="37"/>
      <c r="OF3033" s="37"/>
      <c r="OG3033" s="37"/>
      <c r="OH3033" s="37"/>
      <c r="OI3033" s="37"/>
      <c r="OJ3033" s="37"/>
      <c r="OK3033" s="37"/>
      <c r="OL3033" s="37"/>
      <c r="OM3033" s="37"/>
      <c r="ON3033" s="37"/>
      <c r="OO3033" s="37"/>
      <c r="OP3033" s="37"/>
      <c r="OQ3033" s="37"/>
      <c r="OR3033" s="37"/>
      <c r="OS3033" s="37"/>
      <c r="OT3033" s="37"/>
      <c r="OU3033" s="37"/>
      <c r="OV3033" s="37"/>
      <c r="OW3033" s="37"/>
      <c r="OX3033" s="37"/>
      <c r="OY3033" s="37"/>
      <c r="OZ3033" s="37"/>
      <c r="PA3033" s="37"/>
      <c r="PB3033" s="37"/>
      <c r="PC3033" s="37"/>
      <c r="PD3033" s="37"/>
      <c r="PE3033" s="37"/>
      <c r="PF3033" s="37"/>
      <c r="PG3033" s="37"/>
      <c r="PH3033" s="37"/>
      <c r="PI3033" s="37"/>
      <c r="PJ3033" s="37"/>
      <c r="PK3033" s="37"/>
      <c r="PL3033" s="37"/>
      <c r="PM3033" s="37"/>
      <c r="PN3033" s="37"/>
      <c r="PO3033" s="37"/>
      <c r="PP3033" s="37"/>
      <c r="PQ3033" s="37"/>
      <c r="PR3033" s="37"/>
      <c r="PS3033" s="37"/>
      <c r="PT3033" s="37"/>
      <c r="PU3033" s="37"/>
      <c r="PV3033" s="37"/>
      <c r="PW3033" s="37"/>
      <c r="PX3033" s="37"/>
      <c r="PY3033" s="37"/>
      <c r="PZ3033" s="37"/>
      <c r="QA3033" s="37"/>
      <c r="QB3033" s="37"/>
      <c r="QC3033" s="37"/>
      <c r="QD3033" s="37"/>
      <c r="QE3033" s="37"/>
      <c r="QF3033" s="37"/>
      <c r="QG3033" s="37"/>
      <c r="QH3033" s="37"/>
      <c r="QI3033" s="37"/>
      <c r="QJ3033" s="37"/>
      <c r="QK3033" s="37"/>
      <c r="QL3033" s="37"/>
      <c r="QM3033" s="37"/>
      <c r="QN3033" s="37"/>
      <c r="QO3033" s="37"/>
      <c r="QP3033" s="37"/>
      <c r="QQ3033" s="37"/>
      <c r="QR3033" s="37"/>
      <c r="QS3033" s="37"/>
      <c r="QT3033" s="37"/>
      <c r="QU3033" s="37"/>
      <c r="QV3033" s="37"/>
      <c r="QW3033" s="37"/>
      <c r="QX3033" s="37"/>
      <c r="QY3033" s="37"/>
      <c r="QZ3033" s="37"/>
      <c r="RA3033" s="37"/>
      <c r="RB3033" s="37"/>
      <c r="RC3033" s="37"/>
      <c r="RD3033" s="37"/>
      <c r="RE3033" s="37"/>
      <c r="RF3033" s="37"/>
      <c r="RG3033" s="37"/>
      <c r="RH3033" s="37"/>
      <c r="RI3033" s="37"/>
      <c r="RJ3033" s="37"/>
      <c r="RK3033" s="37"/>
      <c r="RL3033" s="37"/>
      <c r="RM3033" s="37"/>
      <c r="RN3033" s="37"/>
      <c r="RO3033" s="37"/>
      <c r="RP3033" s="37"/>
      <c r="RQ3033" s="37"/>
      <c r="RR3033" s="37"/>
      <c r="RS3033" s="37"/>
      <c r="RT3033" s="37"/>
      <c r="RU3033" s="37"/>
      <c r="RV3033" s="37"/>
      <c r="RW3033" s="37"/>
      <c r="RX3033" s="37"/>
      <c r="RY3033" s="37"/>
      <c r="RZ3033" s="37"/>
      <c r="SA3033" s="37"/>
      <c r="SB3033" s="37"/>
      <c r="SC3033" s="37"/>
      <c r="SD3033" s="37"/>
      <c r="SE3033" s="37"/>
      <c r="SF3033" s="37"/>
    </row>
    <row r="3034" spans="1:500">
      <c r="A3034" s="37"/>
      <c r="B3034" s="37"/>
      <c r="C3034" s="37"/>
      <c r="D3034" s="37"/>
      <c r="E3034" s="37"/>
      <c r="F3034" s="37"/>
      <c r="G3034" s="37"/>
      <c r="H3034" s="37"/>
      <c r="I3034" s="37"/>
      <c r="J3034" s="37"/>
      <c r="K3034" s="37"/>
      <c r="L3034" s="37"/>
      <c r="M3034" s="37"/>
      <c r="N3034" s="37"/>
      <c r="O3034" s="37"/>
      <c r="P3034" s="37"/>
      <c r="Q3034" s="37"/>
      <c r="R3034" s="37"/>
      <c r="S3034" s="37"/>
      <c r="T3034" s="37"/>
      <c r="U3034" s="37"/>
      <c r="V3034" s="37"/>
      <c r="W3034" s="37"/>
      <c r="X3034" s="37"/>
      <c r="Y3034" s="37"/>
      <c r="Z3034" s="37"/>
      <c r="AA3034" s="37"/>
      <c r="AB3034" s="37"/>
      <c r="AC3034" s="37"/>
      <c r="AD3034" s="37"/>
      <c r="AE3034" s="37"/>
      <c r="AF3034" s="37"/>
      <c r="AG3034" s="37"/>
      <c r="AH3034" s="37"/>
      <c r="AI3034" s="37"/>
      <c r="AJ3034" s="37"/>
      <c r="AK3034" s="37"/>
      <c r="AL3034" s="37"/>
      <c r="AM3034" s="37"/>
      <c r="AN3034" s="37"/>
      <c r="AO3034" s="37"/>
      <c r="AP3034" s="37"/>
      <c r="AQ3034" s="37"/>
      <c r="AR3034" s="37"/>
      <c r="AS3034" s="37"/>
      <c r="AT3034" s="37"/>
      <c r="AU3034" s="37"/>
      <c r="AV3034" s="37"/>
      <c r="AW3034" s="37"/>
      <c r="AX3034" s="37"/>
      <c r="AY3034" s="37"/>
      <c r="AZ3034" s="37"/>
      <c r="BA3034" s="37"/>
      <c r="BB3034" s="37"/>
      <c r="BC3034" s="37"/>
      <c r="BD3034" s="37"/>
      <c r="BE3034" s="37"/>
      <c r="BF3034" s="37"/>
      <c r="BG3034" s="37"/>
      <c r="BH3034" s="37"/>
      <c r="BI3034" s="37"/>
      <c r="BJ3034" s="37"/>
      <c r="BK3034" s="37"/>
      <c r="BL3034" s="37"/>
      <c r="BM3034" s="37"/>
      <c r="BN3034" s="37"/>
      <c r="BO3034" s="37"/>
      <c r="BP3034" s="37"/>
      <c r="BQ3034" s="37"/>
      <c r="BR3034" s="37"/>
      <c r="BS3034" s="37"/>
      <c r="BT3034" s="37"/>
      <c r="BU3034" s="37"/>
      <c r="BV3034" s="37"/>
      <c r="BW3034" s="37"/>
      <c r="BX3034" s="37"/>
      <c r="BY3034" s="37"/>
      <c r="BZ3034" s="37"/>
      <c r="CA3034" s="37"/>
      <c r="CB3034" s="37"/>
      <c r="CC3034" s="37"/>
      <c r="CD3034" s="37"/>
      <c r="CE3034" s="37"/>
      <c r="CF3034" s="37"/>
      <c r="CG3034" s="37"/>
      <c r="CH3034" s="37"/>
      <c r="CI3034" s="37"/>
      <c r="CJ3034" s="37"/>
      <c r="CK3034" s="37"/>
      <c r="CL3034" s="37"/>
      <c r="CM3034" s="37"/>
      <c r="CN3034" s="37"/>
      <c r="CO3034" s="37"/>
      <c r="CP3034" s="37"/>
      <c r="CQ3034" s="37"/>
      <c r="CR3034" s="37"/>
      <c r="CS3034" s="37"/>
      <c r="CT3034" s="37"/>
      <c r="CU3034" s="37"/>
      <c r="CV3034" s="37"/>
      <c r="CW3034" s="37"/>
      <c r="CX3034" s="37"/>
      <c r="CY3034" s="37"/>
      <c r="CZ3034" s="37"/>
      <c r="DA3034" s="37"/>
      <c r="DB3034" s="37"/>
      <c r="DC3034" s="37"/>
      <c r="DD3034" s="37"/>
      <c r="DE3034" s="37"/>
      <c r="DF3034" s="37"/>
      <c r="DG3034" s="37"/>
      <c r="DH3034" s="37"/>
      <c r="DI3034" s="37"/>
      <c r="DJ3034" s="37"/>
      <c r="DK3034" s="37"/>
      <c r="DL3034" s="37"/>
      <c r="DM3034" s="37"/>
      <c r="DN3034" s="37"/>
      <c r="DO3034" s="37"/>
      <c r="DP3034" s="37"/>
      <c r="DQ3034" s="37"/>
      <c r="DR3034" s="37"/>
      <c r="DS3034" s="37"/>
      <c r="DT3034" s="37"/>
      <c r="DU3034" s="37"/>
      <c r="DV3034" s="37"/>
      <c r="DW3034" s="37"/>
      <c r="DX3034" s="37"/>
      <c r="DY3034" s="37"/>
      <c r="DZ3034" s="37"/>
      <c r="EA3034" s="37"/>
      <c r="EB3034" s="37"/>
      <c r="EC3034" s="37"/>
      <c r="ED3034" s="37"/>
      <c r="EE3034" s="37"/>
      <c r="EF3034" s="37"/>
      <c r="EG3034" s="37"/>
      <c r="EH3034" s="37"/>
      <c r="EI3034" s="37"/>
      <c r="EJ3034" s="37"/>
      <c r="EK3034" s="37"/>
      <c r="EL3034" s="37"/>
      <c r="EM3034" s="37"/>
      <c r="EN3034" s="37"/>
      <c r="EO3034" s="37"/>
      <c r="EP3034" s="37"/>
      <c r="EQ3034" s="37"/>
      <c r="ER3034" s="37"/>
      <c r="ES3034" s="37"/>
      <c r="ET3034" s="37"/>
      <c r="EU3034" s="37"/>
      <c r="EV3034" s="37"/>
      <c r="EW3034" s="37"/>
      <c r="EX3034" s="37"/>
      <c r="EY3034" s="37"/>
      <c r="EZ3034" s="37"/>
      <c r="FA3034" s="37"/>
      <c r="FB3034" s="37"/>
      <c r="FC3034" s="37"/>
      <c r="FD3034" s="37"/>
      <c r="FE3034" s="37"/>
      <c r="FF3034" s="37"/>
      <c r="FG3034" s="37"/>
      <c r="FH3034" s="37"/>
      <c r="FI3034" s="37"/>
      <c r="FJ3034" s="37"/>
      <c r="FK3034" s="37"/>
      <c r="FL3034" s="37"/>
      <c r="FM3034" s="37"/>
      <c r="FN3034" s="37"/>
      <c r="FO3034" s="37"/>
      <c r="FP3034" s="37"/>
      <c r="FQ3034" s="37"/>
      <c r="FR3034" s="37"/>
      <c r="FS3034" s="37"/>
      <c r="FT3034" s="37"/>
      <c r="FU3034" s="37"/>
      <c r="FV3034" s="37"/>
      <c r="FW3034" s="37"/>
      <c r="FX3034" s="37"/>
      <c r="FY3034" s="37"/>
      <c r="FZ3034" s="37"/>
      <c r="GA3034" s="37"/>
      <c r="GB3034" s="37"/>
      <c r="GC3034" s="37"/>
      <c r="GD3034" s="37"/>
      <c r="GE3034" s="37"/>
      <c r="GF3034" s="37"/>
      <c r="GG3034" s="37"/>
      <c r="GH3034" s="37"/>
      <c r="GI3034" s="37"/>
      <c r="GJ3034" s="37"/>
      <c r="GK3034" s="37"/>
      <c r="GL3034" s="37"/>
      <c r="GM3034" s="37"/>
      <c r="GN3034" s="37"/>
      <c r="GO3034" s="37"/>
      <c r="GP3034" s="37"/>
      <c r="GQ3034" s="37"/>
      <c r="GR3034" s="37"/>
      <c r="GS3034" s="37"/>
      <c r="GT3034" s="37"/>
      <c r="GU3034" s="37"/>
      <c r="GV3034" s="37"/>
      <c r="GW3034" s="37"/>
      <c r="GX3034" s="37"/>
      <c r="GY3034" s="37"/>
      <c r="GZ3034" s="37"/>
      <c r="HA3034" s="37"/>
      <c r="HB3034" s="37"/>
      <c r="HC3034" s="37"/>
      <c r="HD3034" s="37"/>
      <c r="HE3034" s="37"/>
      <c r="HF3034" s="37"/>
      <c r="HG3034" s="37"/>
      <c r="HH3034" s="37"/>
      <c r="HI3034" s="37"/>
      <c r="HJ3034" s="37"/>
      <c r="HK3034" s="37"/>
      <c r="HL3034" s="37"/>
      <c r="HM3034" s="37"/>
      <c r="HN3034" s="37"/>
      <c r="HO3034" s="37"/>
      <c r="HP3034" s="37"/>
      <c r="HQ3034" s="37"/>
      <c r="HR3034" s="37"/>
      <c r="HS3034" s="37"/>
      <c r="HT3034" s="37"/>
      <c r="HU3034" s="37"/>
      <c r="HV3034" s="37"/>
      <c r="HW3034" s="37"/>
      <c r="HX3034" s="37"/>
      <c r="HY3034" s="37"/>
      <c r="HZ3034" s="37"/>
      <c r="IA3034" s="37"/>
      <c r="IB3034" s="37"/>
      <c r="IC3034" s="37"/>
      <c r="ID3034" s="37"/>
      <c r="IE3034" s="37"/>
      <c r="IF3034" s="37"/>
      <c r="IG3034" s="37"/>
      <c r="IH3034" s="37"/>
      <c r="II3034" s="37"/>
      <c r="IJ3034" s="37"/>
      <c r="IK3034" s="37"/>
      <c r="IL3034" s="37"/>
      <c r="IM3034" s="37"/>
      <c r="IN3034" s="37"/>
      <c r="IO3034" s="37"/>
      <c r="IP3034" s="37"/>
      <c r="IQ3034" s="37"/>
      <c r="IR3034" s="37"/>
      <c r="IS3034" s="37"/>
      <c r="IT3034" s="37"/>
      <c r="IU3034" s="37"/>
      <c r="IV3034" s="37"/>
      <c r="IW3034" s="37"/>
      <c r="IX3034" s="37"/>
      <c r="IY3034" s="37"/>
      <c r="IZ3034" s="37"/>
      <c r="JA3034" s="37"/>
      <c r="JB3034" s="37"/>
      <c r="JC3034" s="37"/>
      <c r="JD3034" s="37"/>
      <c r="JE3034" s="37"/>
      <c r="JF3034" s="37"/>
      <c r="JG3034" s="37"/>
      <c r="JH3034" s="37"/>
      <c r="JI3034" s="37"/>
      <c r="JJ3034" s="37"/>
      <c r="JK3034" s="37"/>
      <c r="JL3034" s="37"/>
      <c r="JM3034" s="37"/>
      <c r="JN3034" s="37"/>
      <c r="JO3034" s="37"/>
      <c r="JP3034" s="37"/>
      <c r="JQ3034" s="37"/>
      <c r="JR3034" s="37"/>
      <c r="JS3034" s="37"/>
      <c r="JT3034" s="37"/>
      <c r="JU3034" s="37"/>
      <c r="JV3034" s="37"/>
      <c r="JW3034" s="37"/>
      <c r="JX3034" s="37"/>
      <c r="JY3034" s="37"/>
      <c r="JZ3034" s="37"/>
      <c r="KA3034" s="37"/>
      <c r="KB3034" s="37"/>
      <c r="KC3034" s="37"/>
      <c r="KD3034" s="37"/>
      <c r="KE3034" s="37"/>
      <c r="KF3034" s="37"/>
      <c r="KG3034" s="37"/>
      <c r="KH3034" s="37"/>
      <c r="KI3034" s="37"/>
      <c r="KJ3034" s="37"/>
      <c r="KK3034" s="37"/>
      <c r="KL3034" s="37"/>
      <c r="KM3034" s="37"/>
      <c r="KN3034" s="37"/>
      <c r="KO3034" s="37"/>
      <c r="KP3034" s="37"/>
      <c r="KQ3034" s="37"/>
      <c r="KR3034" s="37"/>
      <c r="KS3034" s="37"/>
      <c r="KT3034" s="37"/>
      <c r="KU3034" s="37"/>
      <c r="KV3034" s="37"/>
      <c r="KW3034" s="37"/>
      <c r="KX3034" s="37"/>
      <c r="KY3034" s="37"/>
      <c r="KZ3034" s="37"/>
      <c r="LA3034" s="37"/>
      <c r="LB3034" s="37"/>
      <c r="LC3034" s="37"/>
      <c r="LD3034" s="37"/>
      <c r="LE3034" s="37"/>
      <c r="LF3034" s="37"/>
      <c r="LG3034" s="37"/>
      <c r="LH3034" s="37"/>
      <c r="LI3034" s="37"/>
      <c r="LJ3034" s="37"/>
      <c r="LK3034" s="37"/>
      <c r="LL3034" s="37"/>
      <c r="LM3034" s="37"/>
      <c r="LN3034" s="37"/>
      <c r="LO3034" s="37"/>
      <c r="LP3034" s="37"/>
      <c r="LQ3034" s="37"/>
      <c r="LR3034" s="37"/>
      <c r="LS3034" s="37"/>
      <c r="LT3034" s="37"/>
      <c r="LU3034" s="37"/>
      <c r="LV3034" s="37"/>
      <c r="LW3034" s="37"/>
      <c r="LX3034" s="37"/>
      <c r="LY3034" s="37"/>
      <c r="LZ3034" s="37"/>
      <c r="MA3034" s="37"/>
      <c r="MB3034" s="37"/>
      <c r="MC3034" s="37"/>
      <c r="MD3034" s="37"/>
      <c r="ME3034" s="37"/>
      <c r="MF3034" s="37"/>
      <c r="MG3034" s="37"/>
      <c r="MH3034" s="37"/>
      <c r="MI3034" s="37"/>
      <c r="MJ3034" s="37"/>
      <c r="MK3034" s="37"/>
      <c r="ML3034" s="37"/>
      <c r="MM3034" s="37"/>
      <c r="MN3034" s="37"/>
      <c r="MO3034" s="37"/>
      <c r="MP3034" s="37"/>
      <c r="MQ3034" s="37"/>
      <c r="MR3034" s="37"/>
      <c r="MS3034" s="37"/>
      <c r="MT3034" s="37"/>
      <c r="MU3034" s="37"/>
      <c r="MV3034" s="37"/>
      <c r="MW3034" s="37"/>
      <c r="MX3034" s="37"/>
      <c r="MY3034" s="37"/>
      <c r="MZ3034" s="37"/>
      <c r="NA3034" s="37"/>
      <c r="NB3034" s="37"/>
      <c r="NC3034" s="37"/>
      <c r="ND3034" s="37"/>
      <c r="NE3034" s="37"/>
      <c r="NF3034" s="37"/>
      <c r="NG3034" s="37"/>
      <c r="NH3034" s="37"/>
      <c r="NI3034" s="37"/>
      <c r="NJ3034" s="37"/>
      <c r="NK3034" s="37"/>
      <c r="NL3034" s="37"/>
      <c r="NM3034" s="37"/>
      <c r="NN3034" s="37"/>
      <c r="NO3034" s="37"/>
      <c r="NP3034" s="37"/>
      <c r="NQ3034" s="37"/>
      <c r="NR3034" s="37"/>
      <c r="NS3034" s="37"/>
      <c r="NT3034" s="37"/>
      <c r="NU3034" s="37"/>
      <c r="NV3034" s="37"/>
      <c r="NW3034" s="37"/>
      <c r="NX3034" s="37"/>
      <c r="NY3034" s="37"/>
      <c r="NZ3034" s="37"/>
      <c r="OA3034" s="37"/>
      <c r="OB3034" s="37"/>
      <c r="OC3034" s="37"/>
      <c r="OD3034" s="37"/>
      <c r="OE3034" s="37"/>
      <c r="OF3034" s="37"/>
      <c r="OG3034" s="37"/>
      <c r="OH3034" s="37"/>
      <c r="OI3034" s="37"/>
      <c r="OJ3034" s="37"/>
      <c r="OK3034" s="37"/>
      <c r="OL3034" s="37"/>
      <c r="OM3034" s="37"/>
      <c r="ON3034" s="37"/>
      <c r="OO3034" s="37"/>
      <c r="OP3034" s="37"/>
      <c r="OQ3034" s="37"/>
      <c r="OR3034" s="37"/>
      <c r="OS3034" s="37"/>
      <c r="OT3034" s="37"/>
      <c r="OU3034" s="37"/>
      <c r="OV3034" s="37"/>
      <c r="OW3034" s="37"/>
      <c r="OX3034" s="37"/>
      <c r="OY3034" s="37"/>
      <c r="OZ3034" s="37"/>
      <c r="PA3034" s="37"/>
      <c r="PB3034" s="37"/>
      <c r="PC3034" s="37"/>
      <c r="PD3034" s="37"/>
      <c r="PE3034" s="37"/>
      <c r="PF3034" s="37"/>
      <c r="PG3034" s="37"/>
      <c r="PH3034" s="37"/>
      <c r="PI3034" s="37"/>
      <c r="PJ3034" s="37"/>
      <c r="PK3034" s="37"/>
      <c r="PL3034" s="37"/>
      <c r="PM3034" s="37"/>
      <c r="PN3034" s="37"/>
      <c r="PO3034" s="37"/>
      <c r="PP3034" s="37"/>
      <c r="PQ3034" s="37"/>
      <c r="PR3034" s="37"/>
      <c r="PS3034" s="37"/>
      <c r="PT3034" s="37"/>
      <c r="PU3034" s="37"/>
      <c r="PV3034" s="37"/>
      <c r="PW3034" s="37"/>
      <c r="PX3034" s="37"/>
      <c r="PY3034" s="37"/>
      <c r="PZ3034" s="37"/>
      <c r="QA3034" s="37"/>
      <c r="QB3034" s="37"/>
      <c r="QC3034" s="37"/>
      <c r="QD3034" s="37"/>
      <c r="QE3034" s="37"/>
      <c r="QF3034" s="37"/>
      <c r="QG3034" s="37"/>
      <c r="QH3034" s="37"/>
      <c r="QI3034" s="37"/>
      <c r="QJ3034" s="37"/>
      <c r="QK3034" s="37"/>
      <c r="QL3034" s="37"/>
      <c r="QM3034" s="37"/>
      <c r="QN3034" s="37"/>
      <c r="QO3034" s="37"/>
      <c r="QP3034" s="37"/>
      <c r="QQ3034" s="37"/>
      <c r="QR3034" s="37"/>
      <c r="QS3034" s="37"/>
      <c r="QT3034" s="37"/>
      <c r="QU3034" s="37"/>
      <c r="QV3034" s="37"/>
      <c r="QW3034" s="37"/>
      <c r="QX3034" s="37"/>
      <c r="QY3034" s="37"/>
      <c r="QZ3034" s="37"/>
      <c r="RA3034" s="37"/>
      <c r="RB3034" s="37"/>
      <c r="RC3034" s="37"/>
      <c r="RD3034" s="37"/>
      <c r="RE3034" s="37"/>
      <c r="RF3034" s="37"/>
      <c r="RG3034" s="37"/>
      <c r="RH3034" s="37"/>
      <c r="RI3034" s="37"/>
      <c r="RJ3034" s="37"/>
      <c r="RK3034" s="37"/>
      <c r="RL3034" s="37"/>
      <c r="RM3034" s="37"/>
      <c r="RN3034" s="37"/>
      <c r="RO3034" s="37"/>
      <c r="RP3034" s="37"/>
      <c r="RQ3034" s="37"/>
      <c r="RR3034" s="37"/>
      <c r="RS3034" s="37"/>
      <c r="RT3034" s="37"/>
      <c r="RU3034" s="37"/>
      <c r="RV3034" s="37"/>
      <c r="RW3034" s="37"/>
      <c r="RX3034" s="37"/>
      <c r="RY3034" s="37"/>
      <c r="RZ3034" s="37"/>
      <c r="SA3034" s="37"/>
      <c r="SB3034" s="37"/>
      <c r="SC3034" s="37"/>
      <c r="SD3034" s="37"/>
      <c r="SE3034" s="37"/>
      <c r="SF3034" s="37"/>
    </row>
    <row r="3035" spans="1:500">
      <c r="A3035" s="37"/>
      <c r="B3035" s="37"/>
      <c r="C3035" s="37"/>
      <c r="D3035" s="37"/>
      <c r="E3035" s="37"/>
      <c r="F3035" s="37"/>
      <c r="G3035" s="37"/>
      <c r="H3035" s="37"/>
      <c r="I3035" s="37"/>
      <c r="J3035" s="37"/>
      <c r="K3035" s="37"/>
      <c r="L3035" s="37"/>
      <c r="M3035" s="37"/>
      <c r="N3035" s="37"/>
      <c r="O3035" s="37"/>
      <c r="P3035" s="37"/>
      <c r="Q3035" s="37"/>
      <c r="R3035" s="37"/>
      <c r="S3035" s="37"/>
      <c r="T3035" s="37"/>
      <c r="U3035" s="37"/>
      <c r="V3035" s="37"/>
      <c r="W3035" s="37"/>
      <c r="X3035" s="37"/>
      <c r="Y3035" s="37"/>
      <c r="Z3035" s="37"/>
      <c r="AA3035" s="37"/>
      <c r="AB3035" s="37"/>
      <c r="AC3035" s="37"/>
      <c r="AD3035" s="37"/>
      <c r="AE3035" s="37"/>
      <c r="AF3035" s="37"/>
      <c r="AG3035" s="37"/>
      <c r="AH3035" s="37"/>
      <c r="AI3035" s="37"/>
      <c r="AJ3035" s="37"/>
      <c r="AK3035" s="37"/>
      <c r="AL3035" s="37"/>
      <c r="AM3035" s="37"/>
      <c r="AN3035" s="37"/>
      <c r="AO3035" s="37"/>
      <c r="AP3035" s="37"/>
      <c r="AQ3035" s="37"/>
      <c r="AR3035" s="37"/>
      <c r="AS3035" s="37"/>
      <c r="AT3035" s="37"/>
      <c r="AU3035" s="37"/>
      <c r="AV3035" s="37"/>
      <c r="AW3035" s="37"/>
      <c r="AX3035" s="37"/>
      <c r="AY3035" s="37"/>
      <c r="AZ3035" s="37"/>
      <c r="BA3035" s="37"/>
      <c r="BB3035" s="37"/>
      <c r="BC3035" s="37"/>
      <c r="BD3035" s="37"/>
      <c r="BE3035" s="37"/>
      <c r="BF3035" s="37"/>
      <c r="BG3035" s="37"/>
      <c r="BH3035" s="37"/>
      <c r="BI3035" s="37"/>
      <c r="BJ3035" s="37"/>
      <c r="BK3035" s="37"/>
      <c r="BL3035" s="37"/>
      <c r="BM3035" s="37"/>
      <c r="BN3035" s="37"/>
      <c r="BO3035" s="37"/>
      <c r="BP3035" s="37"/>
      <c r="BQ3035" s="37"/>
      <c r="BR3035" s="37"/>
      <c r="BS3035" s="37"/>
      <c r="BT3035" s="37"/>
      <c r="BU3035" s="37"/>
      <c r="BV3035" s="37"/>
      <c r="BW3035" s="37"/>
      <c r="BX3035" s="37"/>
      <c r="BY3035" s="37"/>
      <c r="BZ3035" s="37"/>
      <c r="CA3035" s="37"/>
      <c r="CB3035" s="37"/>
      <c r="CC3035" s="37"/>
      <c r="CD3035" s="37"/>
      <c r="CE3035" s="37"/>
      <c r="CF3035" s="37"/>
      <c r="CG3035" s="37"/>
      <c r="CH3035" s="37"/>
      <c r="CI3035" s="37"/>
      <c r="CJ3035" s="37"/>
      <c r="CK3035" s="37"/>
      <c r="CL3035" s="37"/>
      <c r="CM3035" s="37"/>
      <c r="CN3035" s="37"/>
      <c r="CO3035" s="37"/>
      <c r="CP3035" s="37"/>
      <c r="CQ3035" s="37"/>
      <c r="CR3035" s="37"/>
      <c r="CS3035" s="37"/>
      <c r="CT3035" s="37"/>
      <c r="CU3035" s="37"/>
      <c r="CV3035" s="37"/>
      <c r="CW3035" s="37"/>
      <c r="CX3035" s="37"/>
      <c r="CY3035" s="37"/>
      <c r="CZ3035" s="37"/>
      <c r="DA3035" s="37"/>
      <c r="DB3035" s="37"/>
      <c r="DC3035" s="37"/>
      <c r="DD3035" s="37"/>
      <c r="DE3035" s="37"/>
      <c r="DF3035" s="37"/>
      <c r="DG3035" s="37"/>
      <c r="DH3035" s="37"/>
      <c r="DI3035" s="37"/>
      <c r="DJ3035" s="37"/>
      <c r="DK3035" s="37"/>
      <c r="DL3035" s="37"/>
      <c r="DM3035" s="37"/>
      <c r="DN3035" s="37"/>
      <c r="DO3035" s="37"/>
      <c r="DP3035" s="37"/>
      <c r="DQ3035" s="37"/>
      <c r="DR3035" s="37"/>
      <c r="DS3035" s="37"/>
      <c r="DT3035" s="37"/>
      <c r="DU3035" s="37"/>
      <c r="DV3035" s="37"/>
      <c r="DW3035" s="37"/>
      <c r="DX3035" s="37"/>
      <c r="DY3035" s="37"/>
      <c r="DZ3035" s="37"/>
      <c r="EA3035" s="37"/>
      <c r="EB3035" s="37"/>
      <c r="EC3035" s="37"/>
      <c r="ED3035" s="37"/>
      <c r="EE3035" s="37"/>
      <c r="EF3035" s="37"/>
      <c r="EG3035" s="37"/>
      <c r="EH3035" s="37"/>
      <c r="EI3035" s="37"/>
      <c r="EJ3035" s="37"/>
      <c r="EK3035" s="37"/>
      <c r="EL3035" s="37"/>
      <c r="EM3035" s="37"/>
      <c r="EN3035" s="37"/>
      <c r="EO3035" s="37"/>
      <c r="EP3035" s="37"/>
      <c r="EQ3035" s="37"/>
      <c r="ER3035" s="37"/>
      <c r="ES3035" s="37"/>
      <c r="ET3035" s="37"/>
      <c r="EU3035" s="37"/>
      <c r="EV3035" s="37"/>
      <c r="EW3035" s="37"/>
      <c r="EX3035" s="37"/>
      <c r="EY3035" s="37"/>
      <c r="EZ3035" s="37"/>
      <c r="FA3035" s="37"/>
      <c r="FB3035" s="37"/>
      <c r="FC3035" s="37"/>
      <c r="FD3035" s="37"/>
      <c r="FE3035" s="37"/>
      <c r="FF3035" s="37"/>
      <c r="FG3035" s="37"/>
      <c r="FH3035" s="37"/>
      <c r="FI3035" s="37"/>
      <c r="FJ3035" s="37"/>
      <c r="FK3035" s="37"/>
      <c r="FL3035" s="37"/>
      <c r="FM3035" s="37"/>
      <c r="FN3035" s="37"/>
      <c r="FO3035" s="37"/>
      <c r="FP3035" s="37"/>
      <c r="FQ3035" s="37"/>
      <c r="FR3035" s="37"/>
      <c r="FS3035" s="37"/>
      <c r="FT3035" s="37"/>
      <c r="FU3035" s="37"/>
      <c r="FV3035" s="37"/>
      <c r="FW3035" s="37"/>
      <c r="FX3035" s="37"/>
      <c r="FY3035" s="37"/>
      <c r="FZ3035" s="37"/>
      <c r="GA3035" s="37"/>
      <c r="GB3035" s="37"/>
      <c r="GC3035" s="37"/>
      <c r="GD3035" s="37"/>
      <c r="GE3035" s="37"/>
      <c r="GF3035" s="37"/>
      <c r="GG3035" s="37"/>
      <c r="GH3035" s="37"/>
      <c r="GI3035" s="37"/>
      <c r="GJ3035" s="37"/>
      <c r="GK3035" s="37"/>
      <c r="GL3035" s="37"/>
      <c r="GM3035" s="37"/>
      <c r="GN3035" s="37"/>
      <c r="GO3035" s="37"/>
      <c r="GP3035" s="37"/>
      <c r="GQ3035" s="37"/>
      <c r="GR3035" s="37"/>
      <c r="GS3035" s="37"/>
      <c r="GT3035" s="37"/>
      <c r="GU3035" s="37"/>
      <c r="GV3035" s="37"/>
      <c r="GW3035" s="37"/>
      <c r="GX3035" s="37"/>
      <c r="GY3035" s="37"/>
      <c r="GZ3035" s="37"/>
      <c r="HA3035" s="37"/>
      <c r="HB3035" s="37"/>
      <c r="HC3035" s="37"/>
      <c r="HD3035" s="37"/>
      <c r="HE3035" s="37"/>
      <c r="HF3035" s="37"/>
      <c r="HG3035" s="37"/>
      <c r="HH3035" s="37"/>
      <c r="HI3035" s="37"/>
      <c r="HJ3035" s="37"/>
      <c r="HK3035" s="37"/>
      <c r="HL3035" s="37"/>
      <c r="HM3035" s="37"/>
      <c r="HN3035" s="37"/>
      <c r="HO3035" s="37"/>
      <c r="HP3035" s="37"/>
      <c r="HQ3035" s="37"/>
      <c r="HR3035" s="37"/>
      <c r="HS3035" s="37"/>
      <c r="HT3035" s="37"/>
      <c r="HU3035" s="37"/>
      <c r="HV3035" s="37"/>
      <c r="HW3035" s="37"/>
      <c r="HX3035" s="37"/>
      <c r="HY3035" s="37"/>
      <c r="HZ3035" s="37"/>
      <c r="IA3035" s="37"/>
      <c r="IB3035" s="37"/>
      <c r="IC3035" s="37"/>
      <c r="ID3035" s="37"/>
      <c r="IE3035" s="37"/>
      <c r="IF3035" s="37"/>
      <c r="IG3035" s="37"/>
      <c r="IH3035" s="37"/>
      <c r="II3035" s="37"/>
      <c r="IJ3035" s="37"/>
      <c r="IK3035" s="37"/>
      <c r="IL3035" s="37"/>
      <c r="IM3035" s="37"/>
      <c r="IN3035" s="37"/>
      <c r="IO3035" s="37"/>
      <c r="IP3035" s="37"/>
      <c r="IQ3035" s="37"/>
      <c r="IR3035" s="37"/>
      <c r="IS3035" s="37"/>
      <c r="IT3035" s="37"/>
      <c r="IU3035" s="37"/>
      <c r="IV3035" s="37"/>
      <c r="IW3035" s="37"/>
      <c r="IX3035" s="37"/>
      <c r="IY3035" s="37"/>
      <c r="IZ3035" s="37"/>
      <c r="JA3035" s="37"/>
      <c r="JB3035" s="37"/>
      <c r="JC3035" s="37"/>
      <c r="JD3035" s="37"/>
      <c r="JE3035" s="37"/>
      <c r="JF3035" s="37"/>
      <c r="JG3035" s="37"/>
      <c r="JH3035" s="37"/>
      <c r="JI3035" s="37"/>
      <c r="JJ3035" s="37"/>
      <c r="JK3035" s="37"/>
      <c r="JL3035" s="37"/>
      <c r="JM3035" s="37"/>
      <c r="JN3035" s="37"/>
      <c r="JO3035" s="37"/>
      <c r="JP3035" s="37"/>
      <c r="JQ3035" s="37"/>
      <c r="JR3035" s="37"/>
      <c r="JS3035" s="37"/>
      <c r="JT3035" s="37"/>
      <c r="JU3035" s="37"/>
      <c r="JV3035" s="37"/>
      <c r="JW3035" s="37"/>
      <c r="JX3035" s="37"/>
      <c r="JY3035" s="37"/>
      <c r="JZ3035" s="37"/>
      <c r="KA3035" s="37"/>
      <c r="KB3035" s="37"/>
      <c r="KC3035" s="37"/>
      <c r="KD3035" s="37"/>
      <c r="KE3035" s="37"/>
      <c r="KF3035" s="37"/>
      <c r="KG3035" s="37"/>
      <c r="KH3035" s="37"/>
      <c r="KI3035" s="37"/>
      <c r="KJ3035" s="37"/>
      <c r="KK3035" s="37"/>
      <c r="KL3035" s="37"/>
      <c r="KM3035" s="37"/>
      <c r="KN3035" s="37"/>
      <c r="KO3035" s="37"/>
      <c r="KP3035" s="37"/>
      <c r="KQ3035" s="37"/>
      <c r="KR3035" s="37"/>
      <c r="KS3035" s="37"/>
      <c r="KT3035" s="37"/>
      <c r="KU3035" s="37"/>
      <c r="KV3035" s="37"/>
      <c r="KW3035" s="37"/>
      <c r="KX3035" s="37"/>
      <c r="KY3035" s="37"/>
      <c r="KZ3035" s="37"/>
      <c r="LA3035" s="37"/>
      <c r="LB3035" s="37"/>
      <c r="LC3035" s="37"/>
      <c r="LD3035" s="37"/>
      <c r="LE3035" s="37"/>
      <c r="LF3035" s="37"/>
      <c r="LG3035" s="37"/>
      <c r="LH3035" s="37"/>
      <c r="LI3035" s="37"/>
      <c r="LJ3035" s="37"/>
      <c r="LK3035" s="37"/>
      <c r="LL3035" s="37"/>
      <c r="LM3035" s="37"/>
      <c r="LN3035" s="37"/>
      <c r="LO3035" s="37"/>
      <c r="LP3035" s="37"/>
      <c r="LQ3035" s="37"/>
      <c r="LR3035" s="37"/>
      <c r="LS3035" s="37"/>
      <c r="LT3035" s="37"/>
      <c r="LU3035" s="37"/>
      <c r="LV3035" s="37"/>
      <c r="LW3035" s="37"/>
      <c r="LX3035" s="37"/>
      <c r="LY3035" s="37"/>
      <c r="LZ3035" s="37"/>
      <c r="MA3035" s="37"/>
      <c r="MB3035" s="37"/>
      <c r="MC3035" s="37"/>
      <c r="MD3035" s="37"/>
      <c r="ME3035" s="37"/>
      <c r="MF3035" s="37"/>
      <c r="MG3035" s="37"/>
      <c r="MH3035" s="37"/>
      <c r="MI3035" s="37"/>
      <c r="MJ3035" s="37"/>
      <c r="MK3035" s="37"/>
      <c r="ML3035" s="37"/>
      <c r="MM3035" s="37"/>
      <c r="MN3035" s="37"/>
      <c r="MO3035" s="37"/>
      <c r="MP3035" s="37"/>
      <c r="MQ3035" s="37"/>
      <c r="MR3035" s="37"/>
      <c r="MS3035" s="37"/>
      <c r="MT3035" s="37"/>
      <c r="MU3035" s="37"/>
      <c r="MV3035" s="37"/>
      <c r="MW3035" s="37"/>
      <c r="MX3035" s="37"/>
      <c r="MY3035" s="37"/>
      <c r="MZ3035" s="37"/>
      <c r="NA3035" s="37"/>
      <c r="NB3035" s="37"/>
      <c r="NC3035" s="37"/>
      <c r="ND3035" s="37"/>
      <c r="NE3035" s="37"/>
      <c r="NF3035" s="37"/>
      <c r="NG3035" s="37"/>
      <c r="NH3035" s="37"/>
      <c r="NI3035" s="37"/>
      <c r="NJ3035" s="37"/>
      <c r="NK3035" s="37"/>
      <c r="NL3035" s="37"/>
      <c r="NM3035" s="37"/>
      <c r="NN3035" s="37"/>
      <c r="NO3035" s="37"/>
      <c r="NP3035" s="37"/>
      <c r="NQ3035" s="37"/>
      <c r="NR3035" s="37"/>
      <c r="NS3035" s="37"/>
      <c r="NT3035" s="37"/>
      <c r="NU3035" s="37"/>
      <c r="NV3035" s="37"/>
      <c r="NW3035" s="37"/>
      <c r="NX3035" s="37"/>
      <c r="NY3035" s="37"/>
      <c r="NZ3035" s="37"/>
      <c r="OA3035" s="37"/>
      <c r="OB3035" s="37"/>
      <c r="OC3035" s="37"/>
      <c r="OD3035" s="37"/>
      <c r="OE3035" s="37"/>
      <c r="OF3035" s="37"/>
      <c r="OG3035" s="37"/>
      <c r="OH3035" s="37"/>
      <c r="OI3035" s="37"/>
      <c r="OJ3035" s="37"/>
      <c r="OK3035" s="37"/>
      <c r="OL3035" s="37"/>
      <c r="OM3035" s="37"/>
      <c r="ON3035" s="37"/>
      <c r="OO3035" s="37"/>
      <c r="OP3035" s="37"/>
      <c r="OQ3035" s="37"/>
      <c r="OR3035" s="37"/>
      <c r="OS3035" s="37"/>
      <c r="OT3035" s="37"/>
      <c r="OU3035" s="37"/>
      <c r="OV3035" s="37"/>
      <c r="OW3035" s="37"/>
      <c r="OX3035" s="37"/>
      <c r="OY3035" s="37"/>
      <c r="OZ3035" s="37"/>
      <c r="PA3035" s="37"/>
      <c r="PB3035" s="37"/>
      <c r="PC3035" s="37"/>
      <c r="PD3035" s="37"/>
      <c r="PE3035" s="37"/>
      <c r="PF3035" s="37"/>
      <c r="PG3035" s="37"/>
      <c r="PH3035" s="37"/>
      <c r="PI3035" s="37"/>
      <c r="PJ3035" s="37"/>
      <c r="PK3035" s="37"/>
      <c r="PL3035" s="37"/>
      <c r="PM3035" s="37"/>
      <c r="PN3035" s="37"/>
      <c r="PO3035" s="37"/>
      <c r="PP3035" s="37"/>
      <c r="PQ3035" s="37"/>
      <c r="PR3035" s="37"/>
      <c r="PS3035" s="37"/>
      <c r="PT3035" s="37"/>
      <c r="PU3035" s="37"/>
      <c r="PV3035" s="37"/>
      <c r="PW3035" s="37"/>
      <c r="PX3035" s="37"/>
      <c r="PY3035" s="37"/>
      <c r="PZ3035" s="37"/>
      <c r="QA3035" s="37"/>
      <c r="QB3035" s="37"/>
      <c r="QC3035" s="37"/>
      <c r="QD3035" s="37"/>
      <c r="QE3035" s="37"/>
      <c r="QF3035" s="37"/>
      <c r="QG3035" s="37"/>
      <c r="QH3035" s="37"/>
      <c r="QI3035" s="37"/>
      <c r="QJ3035" s="37"/>
      <c r="QK3035" s="37"/>
      <c r="QL3035" s="37"/>
      <c r="QM3035" s="37"/>
      <c r="QN3035" s="37"/>
      <c r="QO3035" s="37"/>
      <c r="QP3035" s="37"/>
      <c r="QQ3035" s="37"/>
      <c r="QR3035" s="37"/>
      <c r="QS3035" s="37"/>
      <c r="QT3035" s="37"/>
      <c r="QU3035" s="37"/>
      <c r="QV3035" s="37"/>
      <c r="QW3035" s="37"/>
      <c r="QX3035" s="37"/>
      <c r="QY3035" s="37"/>
      <c r="QZ3035" s="37"/>
      <c r="RA3035" s="37"/>
      <c r="RB3035" s="37"/>
      <c r="RC3035" s="37"/>
      <c r="RD3035" s="37"/>
      <c r="RE3035" s="37"/>
      <c r="RF3035" s="37"/>
      <c r="RG3035" s="37"/>
      <c r="RH3035" s="37"/>
      <c r="RI3035" s="37"/>
      <c r="RJ3035" s="37"/>
      <c r="RK3035" s="37"/>
      <c r="RL3035" s="37"/>
      <c r="RM3035" s="37"/>
      <c r="RN3035" s="37"/>
      <c r="RO3035" s="37"/>
      <c r="RP3035" s="37"/>
      <c r="RQ3035" s="37"/>
      <c r="RR3035" s="37"/>
      <c r="RS3035" s="37"/>
      <c r="RT3035" s="37"/>
      <c r="RU3035" s="37"/>
      <c r="RV3035" s="37"/>
      <c r="RW3035" s="37"/>
      <c r="RX3035" s="37"/>
      <c r="RY3035" s="37"/>
      <c r="RZ3035" s="37"/>
      <c r="SA3035" s="37"/>
      <c r="SB3035" s="37"/>
      <c r="SC3035" s="37"/>
      <c r="SD3035" s="37"/>
      <c r="SE3035" s="37"/>
      <c r="SF3035" s="37"/>
    </row>
    <row r="3036" spans="1:500">
      <c r="A3036" s="37"/>
      <c r="B3036" s="37"/>
      <c r="C3036" s="37"/>
      <c r="D3036" s="37"/>
      <c r="E3036" s="37"/>
      <c r="F3036" s="37"/>
      <c r="G3036" s="37"/>
      <c r="H3036" s="37"/>
      <c r="I3036" s="37"/>
      <c r="J3036" s="37"/>
      <c r="K3036" s="37"/>
      <c r="L3036" s="37"/>
      <c r="M3036" s="37"/>
      <c r="N3036" s="37"/>
      <c r="O3036" s="37"/>
      <c r="P3036" s="37"/>
      <c r="Q3036" s="37"/>
      <c r="R3036" s="37"/>
      <c r="S3036" s="37"/>
      <c r="T3036" s="37"/>
      <c r="U3036" s="37"/>
      <c r="V3036" s="37"/>
      <c r="W3036" s="37"/>
      <c r="X3036" s="37"/>
      <c r="Y3036" s="37"/>
      <c r="Z3036" s="37"/>
      <c r="AA3036" s="37"/>
      <c r="AB3036" s="37"/>
      <c r="AC3036" s="37"/>
      <c r="AD3036" s="37"/>
      <c r="AE3036" s="37"/>
      <c r="AF3036" s="37"/>
      <c r="AG3036" s="37"/>
      <c r="AH3036" s="37"/>
      <c r="AI3036" s="37"/>
      <c r="AJ3036" s="37"/>
      <c r="AK3036" s="37"/>
      <c r="AL3036" s="37"/>
      <c r="AM3036" s="37"/>
      <c r="AN3036" s="37"/>
      <c r="AO3036" s="37"/>
      <c r="AP3036" s="37"/>
      <c r="AQ3036" s="37"/>
      <c r="AR3036" s="37"/>
      <c r="AS3036" s="37"/>
      <c r="AT3036" s="37"/>
      <c r="AU3036" s="37"/>
      <c r="AV3036" s="37"/>
      <c r="AW3036" s="37"/>
      <c r="AX3036" s="37"/>
      <c r="AY3036" s="37"/>
      <c r="AZ3036" s="37"/>
      <c r="BA3036" s="37"/>
      <c r="BB3036" s="37"/>
      <c r="BC3036" s="37"/>
      <c r="BD3036" s="37"/>
      <c r="BE3036" s="37"/>
      <c r="BF3036" s="37"/>
      <c r="BG3036" s="37"/>
      <c r="BH3036" s="37"/>
      <c r="BI3036" s="37"/>
      <c r="BJ3036" s="37"/>
      <c r="BK3036" s="37"/>
      <c r="BL3036" s="37"/>
      <c r="BM3036" s="37"/>
      <c r="BN3036" s="37"/>
      <c r="BO3036" s="37"/>
      <c r="BP3036" s="37"/>
      <c r="BQ3036" s="37"/>
      <c r="BR3036" s="37"/>
      <c r="BS3036" s="37"/>
      <c r="BT3036" s="37"/>
      <c r="BU3036" s="37"/>
      <c r="BV3036" s="37"/>
      <c r="BW3036" s="37"/>
      <c r="BX3036" s="37"/>
      <c r="BY3036" s="37"/>
      <c r="BZ3036" s="37"/>
      <c r="CA3036" s="37"/>
      <c r="CB3036" s="37"/>
      <c r="CC3036" s="37"/>
      <c r="CD3036" s="37"/>
      <c r="CE3036" s="37"/>
      <c r="CF3036" s="37"/>
      <c r="CG3036" s="37"/>
      <c r="CH3036" s="37"/>
      <c r="CI3036" s="37"/>
      <c r="CJ3036" s="37"/>
      <c r="CK3036" s="37"/>
      <c r="CL3036" s="37"/>
      <c r="CM3036" s="37"/>
      <c r="CN3036" s="37"/>
      <c r="CO3036" s="37"/>
      <c r="CP3036" s="37"/>
      <c r="CQ3036" s="37"/>
      <c r="CR3036" s="37"/>
      <c r="CS3036" s="37"/>
      <c r="CT3036" s="37"/>
      <c r="CU3036" s="37"/>
      <c r="CV3036" s="37"/>
      <c r="CW3036" s="37"/>
      <c r="CX3036" s="37"/>
      <c r="CY3036" s="37"/>
      <c r="CZ3036" s="37"/>
      <c r="DA3036" s="37"/>
      <c r="DB3036" s="37"/>
      <c r="DC3036" s="37"/>
      <c r="DD3036" s="37"/>
      <c r="DE3036" s="37"/>
      <c r="DF3036" s="37"/>
      <c r="DG3036" s="37"/>
      <c r="DH3036" s="37"/>
      <c r="DI3036" s="37"/>
      <c r="DJ3036" s="37"/>
      <c r="DK3036" s="37"/>
      <c r="DL3036" s="37"/>
      <c r="DM3036" s="37"/>
      <c r="DN3036" s="37"/>
      <c r="DO3036" s="37"/>
      <c r="DP3036" s="37"/>
      <c r="DQ3036" s="37"/>
      <c r="DR3036" s="37"/>
      <c r="DS3036" s="37"/>
      <c r="DT3036" s="37"/>
      <c r="DU3036" s="37"/>
      <c r="DV3036" s="37"/>
      <c r="DW3036" s="37"/>
      <c r="DX3036" s="37"/>
      <c r="DY3036" s="37"/>
      <c r="DZ3036" s="37"/>
      <c r="EA3036" s="37"/>
      <c r="EB3036" s="37"/>
      <c r="EC3036" s="37"/>
      <c r="ED3036" s="37"/>
      <c r="EE3036" s="37"/>
      <c r="EF3036" s="37"/>
      <c r="EG3036" s="37"/>
      <c r="EH3036" s="37"/>
      <c r="EI3036" s="37"/>
      <c r="EJ3036" s="37"/>
      <c r="EK3036" s="37"/>
      <c r="EL3036" s="37"/>
      <c r="EM3036" s="37"/>
      <c r="EN3036" s="37"/>
      <c r="EO3036" s="37"/>
      <c r="EP3036" s="37"/>
      <c r="EQ3036" s="37"/>
      <c r="ER3036" s="37"/>
      <c r="ES3036" s="37"/>
      <c r="ET3036" s="37"/>
      <c r="EU3036" s="37"/>
      <c r="EV3036" s="37"/>
      <c r="EW3036" s="37"/>
      <c r="EX3036" s="37"/>
      <c r="EY3036" s="37"/>
      <c r="EZ3036" s="37"/>
      <c r="FA3036" s="37"/>
      <c r="FB3036" s="37"/>
      <c r="FC3036" s="37"/>
      <c r="FD3036" s="37"/>
      <c r="FE3036" s="37"/>
      <c r="FF3036" s="37"/>
      <c r="FG3036" s="37"/>
      <c r="FH3036" s="37"/>
      <c r="FI3036" s="37"/>
      <c r="FJ3036" s="37"/>
      <c r="FK3036" s="37"/>
      <c r="FL3036" s="37"/>
      <c r="FM3036" s="37"/>
      <c r="FN3036" s="37"/>
      <c r="FO3036" s="37"/>
      <c r="FP3036" s="37"/>
      <c r="FQ3036" s="37"/>
      <c r="FR3036" s="37"/>
      <c r="FS3036" s="37"/>
      <c r="FT3036" s="37"/>
      <c r="FU3036" s="37"/>
      <c r="FV3036" s="37"/>
      <c r="FW3036" s="37"/>
      <c r="FX3036" s="37"/>
      <c r="FY3036" s="37"/>
      <c r="FZ3036" s="37"/>
      <c r="GA3036" s="37"/>
      <c r="GB3036" s="37"/>
      <c r="GC3036" s="37"/>
      <c r="GD3036" s="37"/>
      <c r="GE3036" s="37"/>
      <c r="GF3036" s="37"/>
      <c r="GG3036" s="37"/>
      <c r="GH3036" s="37"/>
      <c r="GI3036" s="37"/>
      <c r="GJ3036" s="37"/>
      <c r="GK3036" s="37"/>
      <c r="GL3036" s="37"/>
      <c r="GM3036" s="37"/>
      <c r="GN3036" s="37"/>
      <c r="GO3036" s="37"/>
      <c r="GP3036" s="37"/>
      <c r="GQ3036" s="37"/>
      <c r="GR3036" s="37"/>
      <c r="GS3036" s="37"/>
      <c r="GT3036" s="37"/>
      <c r="GU3036" s="37"/>
      <c r="GV3036" s="37"/>
      <c r="GW3036" s="37"/>
      <c r="GX3036" s="37"/>
      <c r="GY3036" s="37"/>
      <c r="GZ3036" s="37"/>
      <c r="HA3036" s="37"/>
      <c r="HB3036" s="37"/>
      <c r="HC3036" s="37"/>
      <c r="HD3036" s="37"/>
      <c r="HE3036" s="37"/>
      <c r="HF3036" s="37"/>
      <c r="HG3036" s="37"/>
      <c r="HH3036" s="37"/>
      <c r="HI3036" s="37"/>
      <c r="HJ3036" s="37"/>
      <c r="HK3036" s="37"/>
      <c r="HL3036" s="37"/>
      <c r="HM3036" s="37"/>
      <c r="HN3036" s="37"/>
      <c r="HO3036" s="37"/>
      <c r="HP3036" s="37"/>
      <c r="HQ3036" s="37"/>
      <c r="HR3036" s="37"/>
      <c r="HS3036" s="37"/>
      <c r="HT3036" s="37"/>
      <c r="HU3036" s="37"/>
      <c r="HV3036" s="37"/>
      <c r="HW3036" s="37"/>
      <c r="HX3036" s="37"/>
      <c r="HY3036" s="37"/>
      <c r="HZ3036" s="37"/>
      <c r="IA3036" s="37"/>
      <c r="IB3036" s="37"/>
      <c r="IC3036" s="37"/>
      <c r="ID3036" s="37"/>
      <c r="IE3036" s="37"/>
      <c r="IF3036" s="37"/>
      <c r="IG3036" s="37"/>
      <c r="IH3036" s="37"/>
      <c r="II3036" s="37"/>
      <c r="IJ3036" s="37"/>
      <c r="IK3036" s="37"/>
      <c r="IL3036" s="37"/>
      <c r="IM3036" s="37"/>
      <c r="IN3036" s="37"/>
      <c r="IO3036" s="37"/>
      <c r="IP3036" s="37"/>
      <c r="IQ3036" s="37"/>
      <c r="IR3036" s="37"/>
      <c r="IS3036" s="37"/>
      <c r="IT3036" s="37"/>
      <c r="IU3036" s="37"/>
      <c r="IV3036" s="37"/>
      <c r="IW3036" s="37"/>
      <c r="IX3036" s="37"/>
      <c r="IY3036" s="37"/>
      <c r="IZ3036" s="37"/>
      <c r="JA3036" s="37"/>
      <c r="JB3036" s="37"/>
      <c r="JC3036" s="37"/>
      <c r="JD3036" s="37"/>
      <c r="JE3036" s="37"/>
      <c r="JF3036" s="37"/>
      <c r="JG3036" s="37"/>
      <c r="JH3036" s="37"/>
      <c r="JI3036" s="37"/>
      <c r="JJ3036" s="37"/>
      <c r="JK3036" s="37"/>
      <c r="JL3036" s="37"/>
      <c r="JM3036" s="37"/>
      <c r="JN3036" s="37"/>
      <c r="JO3036" s="37"/>
      <c r="JP3036" s="37"/>
      <c r="JQ3036" s="37"/>
      <c r="JR3036" s="37"/>
      <c r="JS3036" s="37"/>
      <c r="JT3036" s="37"/>
      <c r="JU3036" s="37"/>
      <c r="JV3036" s="37"/>
      <c r="JW3036" s="37"/>
      <c r="JX3036" s="37"/>
      <c r="JY3036" s="37"/>
      <c r="JZ3036" s="37"/>
      <c r="KA3036" s="37"/>
      <c r="KB3036" s="37"/>
      <c r="KC3036" s="37"/>
      <c r="KD3036" s="37"/>
      <c r="KE3036" s="37"/>
      <c r="KF3036" s="37"/>
      <c r="KG3036" s="37"/>
      <c r="KH3036" s="37"/>
      <c r="KI3036" s="37"/>
      <c r="KJ3036" s="37"/>
      <c r="KK3036" s="37"/>
      <c r="KL3036" s="37"/>
      <c r="KM3036" s="37"/>
      <c r="KN3036" s="37"/>
      <c r="KO3036" s="37"/>
      <c r="KP3036" s="37"/>
      <c r="KQ3036" s="37"/>
      <c r="KR3036" s="37"/>
      <c r="KS3036" s="37"/>
      <c r="KT3036" s="37"/>
      <c r="KU3036" s="37"/>
      <c r="KV3036" s="37"/>
      <c r="KW3036" s="37"/>
      <c r="KX3036" s="37"/>
      <c r="KY3036" s="37"/>
      <c r="KZ3036" s="37"/>
      <c r="LA3036" s="37"/>
      <c r="LB3036" s="37"/>
      <c r="LC3036" s="37"/>
      <c r="LD3036" s="37"/>
      <c r="LE3036" s="37"/>
      <c r="LF3036" s="37"/>
      <c r="LG3036" s="37"/>
      <c r="LH3036" s="37"/>
      <c r="LI3036" s="37"/>
      <c r="LJ3036" s="37"/>
      <c r="LK3036" s="37"/>
      <c r="LL3036" s="37"/>
      <c r="LM3036" s="37"/>
      <c r="LN3036" s="37"/>
      <c r="LO3036" s="37"/>
      <c r="LP3036" s="37"/>
      <c r="LQ3036" s="37"/>
      <c r="LR3036" s="37"/>
      <c r="LS3036" s="37"/>
      <c r="LT3036" s="37"/>
      <c r="LU3036" s="37"/>
      <c r="LV3036" s="37"/>
      <c r="LW3036" s="37"/>
      <c r="LX3036" s="37"/>
      <c r="LY3036" s="37"/>
      <c r="LZ3036" s="37"/>
      <c r="MA3036" s="37"/>
      <c r="MB3036" s="37"/>
      <c r="MC3036" s="37"/>
      <c r="MD3036" s="37"/>
      <c r="ME3036" s="37"/>
      <c r="MF3036" s="37"/>
      <c r="MG3036" s="37"/>
      <c r="MH3036" s="37"/>
      <c r="MI3036" s="37"/>
      <c r="MJ3036" s="37"/>
      <c r="MK3036" s="37"/>
      <c r="ML3036" s="37"/>
      <c r="MM3036" s="37"/>
      <c r="MN3036" s="37"/>
      <c r="MO3036" s="37"/>
      <c r="MP3036" s="37"/>
      <c r="MQ3036" s="37"/>
      <c r="MR3036" s="37"/>
      <c r="MS3036" s="37"/>
      <c r="MT3036" s="37"/>
      <c r="MU3036" s="37"/>
      <c r="MV3036" s="37"/>
      <c r="MW3036" s="37"/>
      <c r="MX3036" s="37"/>
      <c r="MY3036" s="37"/>
      <c r="MZ3036" s="37"/>
      <c r="NA3036" s="37"/>
      <c r="NB3036" s="37"/>
      <c r="NC3036" s="37"/>
      <c r="ND3036" s="37"/>
      <c r="NE3036" s="37"/>
      <c r="NF3036" s="37"/>
      <c r="NG3036" s="37"/>
      <c r="NH3036" s="37"/>
      <c r="NI3036" s="37"/>
      <c r="NJ3036" s="37"/>
      <c r="NK3036" s="37"/>
      <c r="NL3036" s="37"/>
      <c r="NM3036" s="37"/>
      <c r="NN3036" s="37"/>
      <c r="NO3036" s="37"/>
      <c r="NP3036" s="37"/>
      <c r="NQ3036" s="37"/>
      <c r="NR3036" s="37"/>
      <c r="NS3036" s="37"/>
      <c r="NT3036" s="37"/>
      <c r="NU3036" s="37"/>
      <c r="NV3036" s="37"/>
      <c r="NW3036" s="37"/>
      <c r="NX3036" s="37"/>
      <c r="NY3036" s="37"/>
      <c r="NZ3036" s="37"/>
      <c r="OA3036" s="37"/>
      <c r="OB3036" s="37"/>
      <c r="OC3036" s="37"/>
      <c r="OD3036" s="37"/>
      <c r="OE3036" s="37"/>
      <c r="OF3036" s="37"/>
      <c r="OG3036" s="37"/>
      <c r="OH3036" s="37"/>
      <c r="OI3036" s="37"/>
      <c r="OJ3036" s="37"/>
      <c r="OK3036" s="37"/>
      <c r="OL3036" s="37"/>
      <c r="OM3036" s="37"/>
      <c r="ON3036" s="37"/>
      <c r="OO3036" s="37"/>
      <c r="OP3036" s="37"/>
      <c r="OQ3036" s="37"/>
      <c r="OR3036" s="37"/>
      <c r="OS3036" s="37"/>
      <c r="OT3036" s="37"/>
      <c r="OU3036" s="37"/>
      <c r="OV3036" s="37"/>
      <c r="OW3036" s="37"/>
      <c r="OX3036" s="37"/>
      <c r="OY3036" s="37"/>
      <c r="OZ3036" s="37"/>
      <c r="PA3036" s="37"/>
      <c r="PB3036" s="37"/>
      <c r="PC3036" s="37"/>
      <c r="PD3036" s="37"/>
      <c r="PE3036" s="37"/>
      <c r="PF3036" s="37"/>
      <c r="PG3036" s="37"/>
      <c r="PH3036" s="37"/>
      <c r="PI3036" s="37"/>
      <c r="PJ3036" s="37"/>
      <c r="PK3036" s="37"/>
      <c r="PL3036" s="37"/>
      <c r="PM3036" s="37"/>
      <c r="PN3036" s="37"/>
      <c r="PO3036" s="37"/>
      <c r="PP3036" s="37"/>
      <c r="PQ3036" s="37"/>
      <c r="PR3036" s="37"/>
      <c r="PS3036" s="37"/>
      <c r="PT3036" s="37"/>
      <c r="PU3036" s="37"/>
      <c r="PV3036" s="37"/>
      <c r="PW3036" s="37"/>
      <c r="PX3036" s="37"/>
      <c r="PY3036" s="37"/>
      <c r="PZ3036" s="37"/>
      <c r="QA3036" s="37"/>
      <c r="QB3036" s="37"/>
      <c r="QC3036" s="37"/>
      <c r="QD3036" s="37"/>
      <c r="QE3036" s="37"/>
      <c r="QF3036" s="37"/>
      <c r="QG3036" s="37"/>
      <c r="QH3036" s="37"/>
      <c r="QI3036" s="37"/>
      <c r="QJ3036" s="37"/>
      <c r="QK3036" s="37"/>
      <c r="QL3036" s="37"/>
      <c r="QM3036" s="37"/>
      <c r="QN3036" s="37"/>
      <c r="QO3036" s="37"/>
      <c r="QP3036" s="37"/>
      <c r="QQ3036" s="37"/>
      <c r="QR3036" s="37"/>
      <c r="QS3036" s="37"/>
      <c r="QT3036" s="37"/>
      <c r="QU3036" s="37"/>
      <c r="QV3036" s="37"/>
      <c r="QW3036" s="37"/>
      <c r="QX3036" s="37"/>
      <c r="QY3036" s="37"/>
      <c r="QZ3036" s="37"/>
      <c r="RA3036" s="37"/>
      <c r="RB3036" s="37"/>
      <c r="RC3036" s="37"/>
      <c r="RD3036" s="37"/>
      <c r="RE3036" s="37"/>
      <c r="RF3036" s="37"/>
      <c r="RG3036" s="37"/>
      <c r="RH3036" s="37"/>
      <c r="RI3036" s="37"/>
      <c r="RJ3036" s="37"/>
      <c r="RK3036" s="37"/>
      <c r="RL3036" s="37"/>
      <c r="RM3036" s="37"/>
      <c r="RN3036" s="37"/>
      <c r="RO3036" s="37"/>
      <c r="RP3036" s="37"/>
      <c r="RQ3036" s="37"/>
      <c r="RR3036" s="37"/>
      <c r="RS3036" s="37"/>
      <c r="RT3036" s="37"/>
      <c r="RU3036" s="37"/>
      <c r="RV3036" s="37"/>
      <c r="RW3036" s="37"/>
      <c r="RX3036" s="37"/>
      <c r="RY3036" s="37"/>
      <c r="RZ3036" s="37"/>
      <c r="SA3036" s="37"/>
      <c r="SB3036" s="37"/>
      <c r="SC3036" s="37"/>
      <c r="SD3036" s="37"/>
      <c r="SE3036" s="37"/>
      <c r="SF3036" s="37"/>
    </row>
    <row r="3037" spans="1:500">
      <c r="A3037" s="37"/>
      <c r="B3037" s="37"/>
      <c r="C3037" s="37"/>
      <c r="D3037" s="37"/>
      <c r="E3037" s="37"/>
      <c r="F3037" s="37"/>
      <c r="G3037" s="37"/>
      <c r="H3037" s="37"/>
      <c r="I3037" s="37"/>
      <c r="J3037" s="37"/>
      <c r="K3037" s="37"/>
      <c r="L3037" s="37"/>
      <c r="M3037" s="37"/>
      <c r="N3037" s="37"/>
      <c r="O3037" s="37"/>
      <c r="P3037" s="37"/>
      <c r="Q3037" s="37"/>
      <c r="R3037" s="37"/>
      <c r="S3037" s="37"/>
      <c r="T3037" s="37"/>
      <c r="U3037" s="37"/>
      <c r="V3037" s="37"/>
      <c r="W3037" s="37"/>
      <c r="X3037" s="37"/>
      <c r="Y3037" s="37"/>
      <c r="Z3037" s="37"/>
      <c r="AA3037" s="37"/>
      <c r="AB3037" s="37"/>
      <c r="AC3037" s="37"/>
      <c r="AD3037" s="37"/>
      <c r="AE3037" s="37"/>
      <c r="AF3037" s="37"/>
      <c r="AG3037" s="37"/>
      <c r="AH3037" s="37"/>
      <c r="AI3037" s="37"/>
      <c r="AJ3037" s="37"/>
      <c r="AK3037" s="37"/>
      <c r="AL3037" s="37"/>
      <c r="AM3037" s="37"/>
      <c r="AN3037" s="37"/>
      <c r="AO3037" s="37"/>
      <c r="AP3037" s="37"/>
      <c r="AQ3037" s="37"/>
      <c r="AR3037" s="37"/>
      <c r="AS3037" s="37"/>
      <c r="AT3037" s="37"/>
      <c r="AU3037" s="37"/>
      <c r="AV3037" s="37"/>
      <c r="AW3037" s="37"/>
      <c r="AX3037" s="37"/>
      <c r="AY3037" s="37"/>
      <c r="AZ3037" s="37"/>
      <c r="BA3037" s="37"/>
      <c r="BB3037" s="37"/>
      <c r="BC3037" s="37"/>
      <c r="BD3037" s="37"/>
      <c r="BE3037" s="37"/>
      <c r="BF3037" s="37"/>
      <c r="BG3037" s="37"/>
      <c r="BH3037" s="37"/>
      <c r="BI3037" s="37"/>
      <c r="BJ3037" s="37"/>
      <c r="BK3037" s="37"/>
      <c r="BL3037" s="37"/>
      <c r="BM3037" s="37"/>
      <c r="BN3037" s="37"/>
      <c r="BO3037" s="37"/>
      <c r="BP3037" s="37"/>
      <c r="BQ3037" s="37"/>
      <c r="BR3037" s="37"/>
      <c r="BS3037" s="37"/>
      <c r="BT3037" s="37"/>
      <c r="BU3037" s="37"/>
      <c r="BV3037" s="37"/>
      <c r="BW3037" s="37"/>
      <c r="BX3037" s="37"/>
      <c r="BY3037" s="37"/>
      <c r="BZ3037" s="37"/>
      <c r="CA3037" s="37"/>
      <c r="CB3037" s="37"/>
      <c r="CC3037" s="37"/>
      <c r="CD3037" s="37"/>
      <c r="CE3037" s="37"/>
      <c r="CF3037" s="37"/>
      <c r="CG3037" s="37"/>
      <c r="CH3037" s="37"/>
      <c r="CI3037" s="37"/>
      <c r="CJ3037" s="37"/>
      <c r="CK3037" s="37"/>
      <c r="CL3037" s="37"/>
      <c r="CM3037" s="37"/>
      <c r="CN3037" s="37"/>
      <c r="CO3037" s="37"/>
      <c r="CP3037" s="37"/>
      <c r="CQ3037" s="37"/>
      <c r="CR3037" s="37"/>
      <c r="CS3037" s="37"/>
      <c r="CT3037" s="37"/>
      <c r="CU3037" s="37"/>
      <c r="CV3037" s="37"/>
      <c r="CW3037" s="37"/>
      <c r="CX3037" s="37"/>
      <c r="CY3037" s="37"/>
      <c r="CZ3037" s="37"/>
      <c r="DA3037" s="37"/>
      <c r="DB3037" s="37"/>
      <c r="DC3037" s="37"/>
      <c r="DD3037" s="37"/>
      <c r="DE3037" s="37"/>
      <c r="DF3037" s="37"/>
      <c r="DG3037" s="37"/>
      <c r="DH3037" s="37"/>
      <c r="DI3037" s="37"/>
      <c r="DJ3037" s="37"/>
      <c r="DK3037" s="37"/>
      <c r="DL3037" s="37"/>
      <c r="DM3037" s="37"/>
      <c r="DN3037" s="37"/>
      <c r="DO3037" s="37"/>
      <c r="DP3037" s="37"/>
      <c r="DQ3037" s="37"/>
      <c r="DR3037" s="37"/>
      <c r="DS3037" s="37"/>
      <c r="DT3037" s="37"/>
      <c r="DU3037" s="37"/>
      <c r="DV3037" s="37"/>
      <c r="DW3037" s="37"/>
      <c r="DX3037" s="37"/>
      <c r="DY3037" s="37"/>
      <c r="DZ3037" s="37"/>
      <c r="EA3037" s="37"/>
      <c r="EB3037" s="37"/>
      <c r="EC3037" s="37"/>
      <c r="ED3037" s="37"/>
      <c r="EE3037" s="37"/>
      <c r="EF3037" s="37"/>
      <c r="EG3037" s="37"/>
      <c r="EH3037" s="37"/>
      <c r="EI3037" s="37"/>
      <c r="EJ3037" s="37"/>
      <c r="EK3037" s="37"/>
      <c r="EL3037" s="37"/>
      <c r="EM3037" s="37"/>
      <c r="EN3037" s="37"/>
      <c r="EO3037" s="37"/>
      <c r="EP3037" s="37"/>
      <c r="EQ3037" s="37"/>
      <c r="ER3037" s="37"/>
      <c r="ES3037" s="37"/>
      <c r="ET3037" s="37"/>
      <c r="EU3037" s="37"/>
      <c r="EV3037" s="37"/>
      <c r="EW3037" s="37"/>
      <c r="EX3037" s="37"/>
      <c r="EY3037" s="37"/>
      <c r="EZ3037" s="37"/>
      <c r="FA3037" s="37"/>
      <c r="FB3037" s="37"/>
      <c r="FC3037" s="37"/>
      <c r="FD3037" s="37"/>
      <c r="FE3037" s="37"/>
      <c r="FF3037" s="37"/>
      <c r="FG3037" s="37"/>
      <c r="FH3037" s="37"/>
      <c r="FI3037" s="37"/>
      <c r="FJ3037" s="37"/>
      <c r="FK3037" s="37"/>
      <c r="FL3037" s="37"/>
      <c r="FM3037" s="37"/>
      <c r="FN3037" s="37"/>
      <c r="FO3037" s="37"/>
      <c r="FP3037" s="37"/>
      <c r="FQ3037" s="37"/>
      <c r="FR3037" s="37"/>
      <c r="FS3037" s="37"/>
      <c r="FT3037" s="37"/>
      <c r="FU3037" s="37"/>
      <c r="FV3037" s="37"/>
      <c r="FW3037" s="37"/>
      <c r="FX3037" s="37"/>
      <c r="FY3037" s="37"/>
      <c r="FZ3037" s="37"/>
      <c r="GA3037" s="37"/>
      <c r="GB3037" s="37"/>
      <c r="GC3037" s="37"/>
      <c r="GD3037" s="37"/>
      <c r="GE3037" s="37"/>
      <c r="GF3037" s="37"/>
      <c r="GG3037" s="37"/>
      <c r="GH3037" s="37"/>
      <c r="GI3037" s="37"/>
      <c r="GJ3037" s="37"/>
      <c r="GK3037" s="37"/>
      <c r="GL3037" s="37"/>
      <c r="GM3037" s="37"/>
      <c r="GN3037" s="37"/>
      <c r="GO3037" s="37"/>
      <c r="GP3037" s="37"/>
      <c r="GQ3037" s="37"/>
      <c r="GR3037" s="37"/>
      <c r="GS3037" s="37"/>
      <c r="GT3037" s="37"/>
      <c r="GU3037" s="37"/>
      <c r="GV3037" s="37"/>
      <c r="GW3037" s="37"/>
      <c r="GX3037" s="37"/>
      <c r="GY3037" s="37"/>
      <c r="GZ3037" s="37"/>
      <c r="HA3037" s="37"/>
      <c r="HB3037" s="37"/>
      <c r="HC3037" s="37"/>
      <c r="HD3037" s="37"/>
      <c r="HE3037" s="37"/>
      <c r="HF3037" s="37"/>
      <c r="HG3037" s="37"/>
      <c r="HH3037" s="37"/>
      <c r="HI3037" s="37"/>
      <c r="HJ3037" s="37"/>
      <c r="HK3037" s="37"/>
      <c r="HL3037" s="37"/>
      <c r="HM3037" s="37"/>
      <c r="HN3037" s="37"/>
      <c r="HO3037" s="37"/>
      <c r="HP3037" s="37"/>
      <c r="HQ3037" s="37"/>
      <c r="HR3037" s="37"/>
      <c r="HS3037" s="37"/>
      <c r="HT3037" s="37"/>
      <c r="HU3037" s="37"/>
      <c r="HV3037" s="37"/>
      <c r="HW3037" s="37"/>
      <c r="HX3037" s="37"/>
      <c r="HY3037" s="37"/>
      <c r="HZ3037" s="37"/>
      <c r="IA3037" s="37"/>
      <c r="IB3037" s="37"/>
      <c r="IC3037" s="37"/>
      <c r="ID3037" s="37"/>
      <c r="IE3037" s="37"/>
      <c r="IF3037" s="37"/>
      <c r="IG3037" s="37"/>
      <c r="IH3037" s="37"/>
      <c r="II3037" s="37"/>
      <c r="IJ3037" s="37"/>
      <c r="IK3037" s="37"/>
      <c r="IL3037" s="37"/>
      <c r="IM3037" s="37"/>
      <c r="IN3037" s="37"/>
      <c r="IO3037" s="37"/>
      <c r="IP3037" s="37"/>
      <c r="IQ3037" s="37"/>
      <c r="IR3037" s="37"/>
      <c r="IS3037" s="37"/>
      <c r="IT3037" s="37"/>
      <c r="IU3037" s="37"/>
      <c r="IV3037" s="37"/>
      <c r="IW3037" s="37"/>
      <c r="IX3037" s="37"/>
      <c r="IY3037" s="37"/>
      <c r="IZ3037" s="37"/>
      <c r="JA3037" s="37"/>
      <c r="JB3037" s="37"/>
      <c r="JC3037" s="37"/>
      <c r="JD3037" s="37"/>
      <c r="JE3037" s="37"/>
      <c r="JF3037" s="37"/>
      <c r="JG3037" s="37"/>
      <c r="JH3037" s="37"/>
      <c r="JI3037" s="37"/>
      <c r="JJ3037" s="37"/>
      <c r="JK3037" s="37"/>
      <c r="JL3037" s="37"/>
      <c r="JM3037" s="37"/>
      <c r="JN3037" s="37"/>
      <c r="JO3037" s="37"/>
      <c r="JP3037" s="37"/>
      <c r="JQ3037" s="37"/>
      <c r="JR3037" s="37"/>
      <c r="JS3037" s="37"/>
      <c r="JT3037" s="37"/>
      <c r="JU3037" s="37"/>
      <c r="JV3037" s="37"/>
      <c r="JW3037" s="37"/>
      <c r="JX3037" s="37"/>
      <c r="JY3037" s="37"/>
      <c r="JZ3037" s="37"/>
      <c r="KA3037" s="37"/>
      <c r="KB3037" s="37"/>
      <c r="KC3037" s="37"/>
      <c r="KD3037" s="37"/>
      <c r="KE3037" s="37"/>
      <c r="KF3037" s="37"/>
      <c r="KG3037" s="37"/>
      <c r="KH3037" s="37"/>
      <c r="KI3037" s="37"/>
      <c r="KJ3037" s="37"/>
      <c r="KK3037" s="37"/>
      <c r="KL3037" s="37"/>
      <c r="KM3037" s="37"/>
      <c r="KN3037" s="37"/>
      <c r="KO3037" s="37"/>
      <c r="KP3037" s="37"/>
      <c r="KQ3037" s="37"/>
      <c r="KR3037" s="37"/>
      <c r="KS3037" s="37"/>
      <c r="KT3037" s="37"/>
      <c r="KU3037" s="37"/>
      <c r="KV3037" s="37"/>
      <c r="KW3037" s="37"/>
      <c r="KX3037" s="37"/>
      <c r="KY3037" s="37"/>
      <c r="KZ3037" s="37"/>
      <c r="LA3037" s="37"/>
      <c r="LB3037" s="37"/>
      <c r="LC3037" s="37"/>
      <c r="LD3037" s="37"/>
      <c r="LE3037" s="37"/>
      <c r="LF3037" s="37"/>
      <c r="LG3037" s="37"/>
      <c r="LH3037" s="37"/>
      <c r="LI3037" s="37"/>
      <c r="LJ3037" s="37"/>
      <c r="LK3037" s="37"/>
      <c r="LL3037" s="37"/>
      <c r="LM3037" s="37"/>
      <c r="LN3037" s="37"/>
      <c r="LO3037" s="37"/>
      <c r="LP3037" s="37"/>
      <c r="LQ3037" s="37"/>
      <c r="LR3037" s="37"/>
      <c r="LS3037" s="37"/>
      <c r="LT3037" s="37"/>
      <c r="LU3037" s="37"/>
      <c r="LV3037" s="37"/>
      <c r="LW3037" s="37"/>
      <c r="LX3037" s="37"/>
      <c r="LY3037" s="37"/>
      <c r="LZ3037" s="37"/>
      <c r="MA3037" s="37"/>
      <c r="MB3037" s="37"/>
      <c r="MC3037" s="37"/>
      <c r="MD3037" s="37"/>
      <c r="ME3037" s="37"/>
      <c r="MF3037" s="37"/>
      <c r="MG3037" s="37"/>
      <c r="MH3037" s="37"/>
      <c r="MI3037" s="37"/>
      <c r="MJ3037" s="37"/>
      <c r="MK3037" s="37"/>
      <c r="ML3037" s="37"/>
      <c r="MM3037" s="37"/>
      <c r="MN3037" s="37"/>
      <c r="MO3037" s="37"/>
      <c r="MP3037" s="37"/>
      <c r="MQ3037" s="37"/>
      <c r="MR3037" s="37"/>
      <c r="MS3037" s="37"/>
      <c r="MT3037" s="37"/>
      <c r="MU3037" s="37"/>
      <c r="MV3037" s="37"/>
      <c r="MW3037" s="37"/>
      <c r="MX3037" s="37"/>
      <c r="MY3037" s="37"/>
      <c r="MZ3037" s="37"/>
      <c r="NA3037" s="37"/>
      <c r="NB3037" s="37"/>
      <c r="NC3037" s="37"/>
      <c r="ND3037" s="37"/>
      <c r="NE3037" s="37"/>
      <c r="NF3037" s="37"/>
      <c r="NG3037" s="37"/>
      <c r="NH3037" s="37"/>
      <c r="NI3037" s="37"/>
      <c r="NJ3037" s="37"/>
      <c r="NK3037" s="37"/>
      <c r="NL3037" s="37"/>
      <c r="NM3037" s="37"/>
      <c r="NN3037" s="37"/>
      <c r="NO3037" s="37"/>
      <c r="NP3037" s="37"/>
      <c r="NQ3037" s="37"/>
      <c r="NR3037" s="37"/>
      <c r="NS3037" s="37"/>
      <c r="NT3037" s="37"/>
      <c r="NU3037" s="37"/>
      <c r="NV3037" s="37"/>
      <c r="NW3037" s="37"/>
      <c r="NX3037" s="37"/>
      <c r="NY3037" s="37"/>
      <c r="NZ3037" s="37"/>
      <c r="OA3037" s="37"/>
      <c r="OB3037" s="37"/>
      <c r="OC3037" s="37"/>
      <c r="OD3037" s="37"/>
      <c r="OE3037" s="37"/>
      <c r="OF3037" s="37"/>
      <c r="OG3037" s="37"/>
      <c r="OH3037" s="37"/>
      <c r="OI3037" s="37"/>
      <c r="OJ3037" s="37"/>
      <c r="OK3037" s="37"/>
      <c r="OL3037" s="37"/>
      <c r="OM3037" s="37"/>
      <c r="ON3037" s="37"/>
      <c r="OO3037" s="37"/>
      <c r="OP3037" s="37"/>
      <c r="OQ3037" s="37"/>
      <c r="OR3037" s="37"/>
      <c r="OS3037" s="37"/>
      <c r="OT3037" s="37"/>
      <c r="OU3037" s="37"/>
      <c r="OV3037" s="37"/>
      <c r="OW3037" s="37"/>
      <c r="OX3037" s="37"/>
      <c r="OY3037" s="37"/>
      <c r="OZ3037" s="37"/>
      <c r="PA3037" s="37"/>
      <c r="PB3037" s="37"/>
      <c r="PC3037" s="37"/>
      <c r="PD3037" s="37"/>
      <c r="PE3037" s="37"/>
      <c r="PF3037" s="37"/>
      <c r="PG3037" s="37"/>
      <c r="PH3037" s="37"/>
      <c r="PI3037" s="37"/>
      <c r="PJ3037" s="37"/>
      <c r="PK3037" s="37"/>
      <c r="PL3037" s="37"/>
      <c r="PM3037" s="37"/>
      <c r="PN3037" s="37"/>
      <c r="PO3037" s="37"/>
      <c r="PP3037" s="37"/>
      <c r="PQ3037" s="37"/>
      <c r="PR3037" s="37"/>
      <c r="PS3037" s="37"/>
      <c r="PT3037" s="37"/>
      <c r="PU3037" s="37"/>
      <c r="PV3037" s="37"/>
      <c r="PW3037" s="37"/>
      <c r="PX3037" s="37"/>
      <c r="PY3037" s="37"/>
      <c r="PZ3037" s="37"/>
      <c r="QA3037" s="37"/>
      <c r="QB3037" s="37"/>
      <c r="QC3037" s="37"/>
      <c r="QD3037" s="37"/>
      <c r="QE3037" s="37"/>
      <c r="QF3037" s="37"/>
      <c r="QG3037" s="37"/>
      <c r="QH3037" s="37"/>
      <c r="QI3037" s="37"/>
      <c r="QJ3037" s="37"/>
      <c r="QK3037" s="37"/>
      <c r="QL3037" s="37"/>
      <c r="QM3037" s="37"/>
      <c r="QN3037" s="37"/>
      <c r="QO3037" s="37"/>
      <c r="QP3037" s="37"/>
      <c r="QQ3037" s="37"/>
      <c r="QR3037" s="37"/>
      <c r="QS3037" s="37"/>
      <c r="QT3037" s="37"/>
      <c r="QU3037" s="37"/>
      <c r="QV3037" s="37"/>
      <c r="QW3037" s="37"/>
      <c r="QX3037" s="37"/>
      <c r="QY3037" s="37"/>
      <c r="QZ3037" s="37"/>
      <c r="RA3037" s="37"/>
      <c r="RB3037" s="37"/>
      <c r="RC3037" s="37"/>
      <c r="RD3037" s="37"/>
      <c r="RE3037" s="37"/>
      <c r="RF3037" s="37"/>
      <c r="RG3037" s="37"/>
      <c r="RH3037" s="37"/>
      <c r="RI3037" s="37"/>
      <c r="RJ3037" s="37"/>
      <c r="RK3037" s="37"/>
      <c r="RL3037" s="37"/>
      <c r="RM3037" s="37"/>
      <c r="RN3037" s="37"/>
      <c r="RO3037" s="37"/>
      <c r="RP3037" s="37"/>
      <c r="RQ3037" s="37"/>
      <c r="RR3037" s="37"/>
      <c r="RS3037" s="37"/>
      <c r="RT3037" s="37"/>
      <c r="RU3037" s="37"/>
      <c r="RV3037" s="37"/>
      <c r="RW3037" s="37"/>
      <c r="RX3037" s="37"/>
      <c r="RY3037" s="37"/>
      <c r="RZ3037" s="37"/>
      <c r="SA3037" s="37"/>
      <c r="SB3037" s="37"/>
      <c r="SC3037" s="37"/>
      <c r="SD3037" s="37"/>
      <c r="SE3037" s="37"/>
      <c r="SF3037" s="37"/>
    </row>
    <row r="3038" spans="1:500">
      <c r="A3038" s="37"/>
      <c r="B3038" s="37"/>
      <c r="C3038" s="37"/>
      <c r="D3038" s="37"/>
      <c r="E3038" s="37"/>
      <c r="F3038" s="37"/>
      <c r="G3038" s="37"/>
      <c r="H3038" s="37"/>
      <c r="I3038" s="37"/>
      <c r="J3038" s="37"/>
      <c r="K3038" s="37"/>
      <c r="L3038" s="37"/>
      <c r="M3038" s="37"/>
      <c r="N3038" s="37"/>
      <c r="O3038" s="37"/>
      <c r="P3038" s="37"/>
      <c r="Q3038" s="37"/>
      <c r="R3038" s="37"/>
      <c r="S3038" s="37"/>
      <c r="T3038" s="37"/>
      <c r="U3038" s="37"/>
      <c r="V3038" s="37"/>
      <c r="W3038" s="37"/>
      <c r="X3038" s="37"/>
      <c r="Y3038" s="37"/>
      <c r="Z3038" s="37"/>
      <c r="AA3038" s="37"/>
      <c r="AB3038" s="37"/>
      <c r="AC3038" s="37"/>
      <c r="AD3038" s="37"/>
      <c r="AE3038" s="37"/>
      <c r="AF3038" s="37"/>
      <c r="AG3038" s="37"/>
      <c r="AH3038" s="37"/>
      <c r="AI3038" s="37"/>
      <c r="AJ3038" s="37"/>
      <c r="AK3038" s="37"/>
      <c r="AL3038" s="37"/>
      <c r="AM3038" s="37"/>
      <c r="AN3038" s="37"/>
      <c r="AO3038" s="37"/>
      <c r="AP3038" s="37"/>
      <c r="AQ3038" s="37"/>
      <c r="AR3038" s="37"/>
      <c r="AS3038" s="37"/>
      <c r="AT3038" s="37"/>
      <c r="AU3038" s="37"/>
      <c r="AV3038" s="37"/>
      <c r="AW3038" s="37"/>
      <c r="AX3038" s="37"/>
      <c r="AY3038" s="37"/>
      <c r="AZ3038" s="37"/>
      <c r="BA3038" s="37"/>
      <c r="BB3038" s="37"/>
      <c r="BC3038" s="37"/>
      <c r="BD3038" s="37"/>
      <c r="BE3038" s="37"/>
      <c r="BF3038" s="37"/>
      <c r="BG3038" s="37"/>
      <c r="BH3038" s="37"/>
      <c r="BI3038" s="37"/>
      <c r="BJ3038" s="37"/>
      <c r="BK3038" s="37"/>
      <c r="BL3038" s="37"/>
      <c r="BM3038" s="37"/>
      <c r="BN3038" s="37"/>
      <c r="BO3038" s="37"/>
      <c r="BP3038" s="37"/>
      <c r="BQ3038" s="37"/>
      <c r="BR3038" s="37"/>
      <c r="BS3038" s="37"/>
      <c r="BT3038" s="37"/>
      <c r="BU3038" s="37"/>
      <c r="BV3038" s="37"/>
      <c r="BW3038" s="37"/>
      <c r="BX3038" s="37"/>
      <c r="BY3038" s="37"/>
      <c r="BZ3038" s="37"/>
      <c r="CA3038" s="37"/>
      <c r="CB3038" s="37"/>
      <c r="CC3038" s="37"/>
      <c r="CD3038" s="37"/>
      <c r="CE3038" s="37"/>
      <c r="CF3038" s="37"/>
      <c r="CG3038" s="37"/>
      <c r="CH3038" s="37"/>
      <c r="CI3038" s="37"/>
      <c r="CJ3038" s="37"/>
      <c r="CK3038" s="37"/>
      <c r="CL3038" s="37"/>
      <c r="CM3038" s="37"/>
      <c r="CN3038" s="37"/>
      <c r="CO3038" s="37"/>
      <c r="CP3038" s="37"/>
      <c r="CQ3038" s="37"/>
      <c r="CR3038" s="37"/>
      <c r="CS3038" s="37"/>
      <c r="CT3038" s="37"/>
      <c r="CU3038" s="37"/>
      <c r="CV3038" s="37"/>
      <c r="CW3038" s="37"/>
      <c r="CX3038" s="37"/>
      <c r="CY3038" s="37"/>
      <c r="CZ3038" s="37"/>
      <c r="DA3038" s="37"/>
      <c r="DB3038" s="37"/>
      <c r="DC3038" s="37"/>
      <c r="DD3038" s="37"/>
      <c r="DE3038" s="37"/>
      <c r="DF3038" s="37"/>
      <c r="DG3038" s="37"/>
      <c r="DH3038" s="37"/>
      <c r="DI3038" s="37"/>
      <c r="DJ3038" s="37"/>
      <c r="DK3038" s="37"/>
      <c r="DL3038" s="37"/>
      <c r="DM3038" s="37"/>
      <c r="DN3038" s="37"/>
      <c r="DO3038" s="37"/>
      <c r="DP3038" s="37"/>
      <c r="DQ3038" s="37"/>
      <c r="DR3038" s="37"/>
      <c r="DS3038" s="37"/>
      <c r="DT3038" s="37"/>
      <c r="DU3038" s="37"/>
      <c r="DV3038" s="37"/>
      <c r="DW3038" s="37"/>
      <c r="DX3038" s="37"/>
      <c r="DY3038" s="37"/>
      <c r="DZ3038" s="37"/>
      <c r="EA3038" s="37"/>
      <c r="EB3038" s="37"/>
      <c r="EC3038" s="37"/>
      <c r="ED3038" s="37"/>
      <c r="EE3038" s="37"/>
      <c r="EF3038" s="37"/>
      <c r="EG3038" s="37"/>
      <c r="EH3038" s="37"/>
      <c r="EI3038" s="37"/>
      <c r="EJ3038" s="37"/>
      <c r="EK3038" s="37"/>
      <c r="EL3038" s="37"/>
      <c r="EM3038" s="37"/>
      <c r="EN3038" s="37"/>
      <c r="EO3038" s="37"/>
      <c r="EP3038" s="37"/>
      <c r="EQ3038" s="37"/>
      <c r="ER3038" s="37"/>
      <c r="ES3038" s="37"/>
      <c r="ET3038" s="37"/>
      <c r="EU3038" s="37"/>
      <c r="EV3038" s="37"/>
      <c r="EW3038" s="37"/>
      <c r="EX3038" s="37"/>
      <c r="EY3038" s="37"/>
      <c r="EZ3038" s="37"/>
      <c r="FA3038" s="37"/>
      <c r="FB3038" s="37"/>
      <c r="FC3038" s="37"/>
      <c r="FD3038" s="37"/>
      <c r="FE3038" s="37"/>
      <c r="FF3038" s="37"/>
      <c r="FG3038" s="37"/>
      <c r="FH3038" s="37"/>
      <c r="FI3038" s="37"/>
      <c r="FJ3038" s="37"/>
      <c r="FK3038" s="37"/>
      <c r="FL3038" s="37"/>
      <c r="FM3038" s="37"/>
      <c r="FN3038" s="37"/>
      <c r="FO3038" s="37"/>
      <c r="FP3038" s="37"/>
      <c r="FQ3038" s="37"/>
      <c r="FR3038" s="37"/>
      <c r="FS3038" s="37"/>
      <c r="FT3038" s="37"/>
      <c r="FU3038" s="37"/>
      <c r="FV3038" s="37"/>
      <c r="FW3038" s="37"/>
      <c r="FX3038" s="37"/>
      <c r="FY3038" s="37"/>
      <c r="FZ3038" s="37"/>
      <c r="GA3038" s="37"/>
      <c r="GB3038" s="37"/>
      <c r="GC3038" s="37"/>
      <c r="GD3038" s="37"/>
      <c r="GE3038" s="37"/>
      <c r="GF3038" s="37"/>
      <c r="GG3038" s="37"/>
      <c r="GH3038" s="37"/>
      <c r="GI3038" s="37"/>
      <c r="GJ3038" s="37"/>
      <c r="GK3038" s="37"/>
      <c r="GL3038" s="37"/>
      <c r="GM3038" s="37"/>
      <c r="GN3038" s="37"/>
      <c r="GO3038" s="37"/>
      <c r="GP3038" s="37"/>
      <c r="GQ3038" s="37"/>
      <c r="GR3038" s="37"/>
      <c r="GS3038" s="37"/>
      <c r="GT3038" s="37"/>
      <c r="GU3038" s="37"/>
      <c r="GV3038" s="37"/>
      <c r="GW3038" s="37"/>
      <c r="GX3038" s="37"/>
      <c r="GY3038" s="37"/>
      <c r="GZ3038" s="37"/>
      <c r="HA3038" s="37"/>
      <c r="HB3038" s="37"/>
      <c r="HC3038" s="37"/>
      <c r="HD3038" s="37"/>
      <c r="HE3038" s="37"/>
      <c r="HF3038" s="37"/>
      <c r="HG3038" s="37"/>
      <c r="HH3038" s="37"/>
      <c r="HI3038" s="37"/>
      <c r="HJ3038" s="37"/>
      <c r="HK3038" s="37"/>
      <c r="HL3038" s="37"/>
      <c r="HM3038" s="37"/>
      <c r="HN3038" s="37"/>
      <c r="HO3038" s="37"/>
      <c r="HP3038" s="37"/>
      <c r="HQ3038" s="37"/>
      <c r="HR3038" s="37"/>
      <c r="HS3038" s="37"/>
      <c r="HT3038" s="37"/>
      <c r="HU3038" s="37"/>
      <c r="HV3038" s="37"/>
      <c r="HW3038" s="37"/>
      <c r="HX3038" s="37"/>
      <c r="HY3038" s="37"/>
      <c r="HZ3038" s="37"/>
      <c r="IA3038" s="37"/>
      <c r="IB3038" s="37"/>
      <c r="IC3038" s="37"/>
      <c r="ID3038" s="37"/>
      <c r="IE3038" s="37"/>
      <c r="IF3038" s="37"/>
      <c r="IG3038" s="37"/>
      <c r="IH3038" s="37"/>
      <c r="II3038" s="37"/>
      <c r="IJ3038" s="37"/>
      <c r="IK3038" s="37"/>
      <c r="IL3038" s="37"/>
      <c r="IM3038" s="37"/>
      <c r="IN3038" s="37"/>
      <c r="IO3038" s="37"/>
      <c r="IP3038" s="37"/>
      <c r="IQ3038" s="37"/>
      <c r="IR3038" s="37"/>
      <c r="IS3038" s="37"/>
      <c r="IT3038" s="37"/>
      <c r="IU3038" s="37"/>
      <c r="IV3038" s="37"/>
      <c r="IW3038" s="37"/>
      <c r="IX3038" s="37"/>
      <c r="IY3038" s="37"/>
      <c r="IZ3038" s="37"/>
      <c r="JA3038" s="37"/>
      <c r="JB3038" s="37"/>
      <c r="JC3038" s="37"/>
      <c r="JD3038" s="37"/>
      <c r="JE3038" s="37"/>
      <c r="JF3038" s="37"/>
      <c r="JG3038" s="37"/>
      <c r="JH3038" s="37"/>
      <c r="JI3038" s="37"/>
      <c r="JJ3038" s="37"/>
      <c r="JK3038" s="37"/>
      <c r="JL3038" s="37"/>
      <c r="JM3038" s="37"/>
      <c r="JN3038" s="37"/>
      <c r="JO3038" s="37"/>
      <c r="JP3038" s="37"/>
      <c r="JQ3038" s="37"/>
      <c r="JR3038" s="37"/>
      <c r="JS3038" s="37"/>
      <c r="JT3038" s="37"/>
      <c r="JU3038" s="37"/>
      <c r="JV3038" s="37"/>
      <c r="JW3038" s="37"/>
      <c r="JX3038" s="37"/>
      <c r="JY3038" s="37"/>
      <c r="JZ3038" s="37"/>
      <c r="KA3038" s="37"/>
      <c r="KB3038" s="37"/>
      <c r="KC3038" s="37"/>
      <c r="KD3038" s="37"/>
      <c r="KE3038" s="37"/>
      <c r="KF3038" s="37"/>
      <c r="KG3038" s="37"/>
      <c r="KH3038" s="37"/>
      <c r="KI3038" s="37"/>
      <c r="KJ3038" s="37"/>
      <c r="KK3038" s="37"/>
      <c r="KL3038" s="37"/>
      <c r="KM3038" s="37"/>
      <c r="KN3038" s="37"/>
      <c r="KO3038" s="37"/>
      <c r="KP3038" s="37"/>
      <c r="KQ3038" s="37"/>
      <c r="KR3038" s="37"/>
      <c r="KS3038" s="37"/>
      <c r="KT3038" s="37"/>
      <c r="KU3038" s="37"/>
      <c r="KV3038" s="37"/>
      <c r="KW3038" s="37"/>
      <c r="KX3038" s="37"/>
      <c r="KY3038" s="37"/>
      <c r="KZ3038" s="37"/>
      <c r="LA3038" s="37"/>
      <c r="LB3038" s="37"/>
      <c r="LC3038" s="37"/>
      <c r="LD3038" s="37"/>
      <c r="LE3038" s="37"/>
      <c r="LF3038" s="37"/>
      <c r="LG3038" s="37"/>
      <c r="LH3038" s="37"/>
      <c r="LI3038" s="37"/>
      <c r="LJ3038" s="37"/>
      <c r="LK3038" s="37"/>
      <c r="LL3038" s="37"/>
      <c r="LM3038" s="37"/>
      <c r="LN3038" s="37"/>
      <c r="LO3038" s="37"/>
      <c r="LP3038" s="37"/>
      <c r="LQ3038" s="37"/>
      <c r="LR3038" s="37"/>
      <c r="LS3038" s="37"/>
      <c r="LT3038" s="37"/>
      <c r="LU3038" s="37"/>
      <c r="LV3038" s="37"/>
      <c r="LW3038" s="37"/>
      <c r="LX3038" s="37"/>
      <c r="LY3038" s="37"/>
      <c r="LZ3038" s="37"/>
      <c r="MA3038" s="37"/>
      <c r="MB3038" s="37"/>
      <c r="MC3038" s="37"/>
      <c r="MD3038" s="37"/>
      <c r="ME3038" s="37"/>
      <c r="MF3038" s="37"/>
      <c r="MG3038" s="37"/>
      <c r="MH3038" s="37"/>
      <c r="MI3038" s="37"/>
      <c r="MJ3038" s="37"/>
      <c r="MK3038" s="37"/>
      <c r="ML3038" s="37"/>
      <c r="MM3038" s="37"/>
      <c r="MN3038" s="37"/>
      <c r="MO3038" s="37"/>
      <c r="MP3038" s="37"/>
      <c r="MQ3038" s="37"/>
      <c r="MR3038" s="37"/>
      <c r="MS3038" s="37"/>
      <c r="MT3038" s="37"/>
      <c r="MU3038" s="37"/>
      <c r="MV3038" s="37"/>
      <c r="MW3038" s="37"/>
      <c r="MX3038" s="37"/>
      <c r="MY3038" s="37"/>
      <c r="MZ3038" s="37"/>
      <c r="NA3038" s="37"/>
      <c r="NB3038" s="37"/>
      <c r="NC3038" s="37"/>
      <c r="ND3038" s="37"/>
      <c r="NE3038" s="37"/>
      <c r="NF3038" s="37"/>
      <c r="NG3038" s="37"/>
      <c r="NH3038" s="37"/>
      <c r="NI3038" s="37"/>
      <c r="NJ3038" s="37"/>
      <c r="NK3038" s="37"/>
      <c r="NL3038" s="37"/>
      <c r="NM3038" s="37"/>
      <c r="NN3038" s="37"/>
      <c r="NO3038" s="37"/>
      <c r="NP3038" s="37"/>
      <c r="NQ3038" s="37"/>
      <c r="NR3038" s="37"/>
      <c r="NS3038" s="37"/>
      <c r="NT3038" s="37"/>
      <c r="NU3038" s="37"/>
      <c r="NV3038" s="37"/>
      <c r="NW3038" s="37"/>
      <c r="NX3038" s="37"/>
      <c r="NY3038" s="37"/>
      <c r="NZ3038" s="37"/>
      <c r="OA3038" s="37"/>
      <c r="OB3038" s="37"/>
      <c r="OC3038" s="37"/>
      <c r="OD3038" s="37"/>
      <c r="OE3038" s="37"/>
      <c r="OF3038" s="37"/>
      <c r="OG3038" s="37"/>
      <c r="OH3038" s="37"/>
      <c r="OI3038" s="37"/>
      <c r="OJ3038" s="37"/>
      <c r="OK3038" s="37"/>
      <c r="OL3038" s="37"/>
      <c r="OM3038" s="37"/>
      <c r="ON3038" s="37"/>
      <c r="OO3038" s="37"/>
      <c r="OP3038" s="37"/>
      <c r="OQ3038" s="37"/>
      <c r="OR3038" s="37"/>
      <c r="OS3038" s="37"/>
      <c r="OT3038" s="37"/>
      <c r="OU3038" s="37"/>
      <c r="OV3038" s="37"/>
      <c r="OW3038" s="37"/>
      <c r="OX3038" s="37"/>
      <c r="OY3038" s="37"/>
      <c r="OZ3038" s="37"/>
      <c r="PA3038" s="37"/>
      <c r="PB3038" s="37"/>
      <c r="PC3038" s="37"/>
      <c r="PD3038" s="37"/>
      <c r="PE3038" s="37"/>
      <c r="PF3038" s="37"/>
      <c r="PG3038" s="37"/>
      <c r="PH3038" s="37"/>
      <c r="PI3038" s="37"/>
      <c r="PJ3038" s="37"/>
      <c r="PK3038" s="37"/>
      <c r="PL3038" s="37"/>
      <c r="PM3038" s="37"/>
      <c r="PN3038" s="37"/>
      <c r="PO3038" s="37"/>
      <c r="PP3038" s="37"/>
      <c r="PQ3038" s="37"/>
      <c r="PR3038" s="37"/>
      <c r="PS3038" s="37"/>
      <c r="PT3038" s="37"/>
      <c r="PU3038" s="37"/>
      <c r="PV3038" s="37"/>
      <c r="PW3038" s="37"/>
      <c r="PX3038" s="37"/>
      <c r="PY3038" s="37"/>
      <c r="PZ3038" s="37"/>
      <c r="QA3038" s="37"/>
      <c r="QB3038" s="37"/>
      <c r="QC3038" s="37"/>
      <c r="QD3038" s="37"/>
      <c r="QE3038" s="37"/>
      <c r="QF3038" s="37"/>
      <c r="QG3038" s="37"/>
      <c r="QH3038" s="37"/>
      <c r="QI3038" s="37"/>
      <c r="QJ3038" s="37"/>
      <c r="QK3038" s="37"/>
      <c r="QL3038" s="37"/>
      <c r="QM3038" s="37"/>
      <c r="QN3038" s="37"/>
      <c r="QO3038" s="37"/>
      <c r="QP3038" s="37"/>
      <c r="QQ3038" s="37"/>
      <c r="QR3038" s="37"/>
      <c r="QS3038" s="37"/>
      <c r="QT3038" s="37"/>
      <c r="QU3038" s="37"/>
      <c r="QV3038" s="37"/>
      <c r="QW3038" s="37"/>
      <c r="QX3038" s="37"/>
      <c r="QY3038" s="37"/>
      <c r="QZ3038" s="37"/>
      <c r="RA3038" s="37"/>
      <c r="RB3038" s="37"/>
      <c r="RC3038" s="37"/>
      <c r="RD3038" s="37"/>
      <c r="RE3038" s="37"/>
      <c r="RF3038" s="37"/>
      <c r="RG3038" s="37"/>
      <c r="RH3038" s="37"/>
      <c r="RI3038" s="37"/>
      <c r="RJ3038" s="37"/>
      <c r="RK3038" s="37"/>
      <c r="RL3038" s="37"/>
      <c r="RM3038" s="37"/>
      <c r="RN3038" s="37"/>
      <c r="RO3038" s="37"/>
      <c r="RP3038" s="37"/>
      <c r="RQ3038" s="37"/>
      <c r="RR3038" s="37"/>
      <c r="RS3038" s="37"/>
      <c r="RT3038" s="37"/>
      <c r="RU3038" s="37"/>
      <c r="RV3038" s="37"/>
      <c r="RW3038" s="37"/>
      <c r="RX3038" s="37"/>
      <c r="RY3038" s="37"/>
      <c r="RZ3038" s="37"/>
      <c r="SA3038" s="37"/>
      <c r="SB3038" s="37"/>
      <c r="SC3038" s="37"/>
      <c r="SD3038" s="37"/>
      <c r="SE3038" s="37"/>
      <c r="SF3038" s="37"/>
    </row>
    <row r="3039" spans="1:500">
      <c r="A3039" s="37"/>
      <c r="B3039" s="37"/>
      <c r="C3039" s="37"/>
      <c r="D3039" s="37"/>
      <c r="E3039" s="37"/>
      <c r="F3039" s="37"/>
      <c r="G3039" s="37"/>
      <c r="H3039" s="37"/>
      <c r="I3039" s="37"/>
      <c r="J3039" s="37"/>
      <c r="K3039" s="37"/>
      <c r="L3039" s="37"/>
      <c r="M3039" s="37"/>
      <c r="N3039" s="37"/>
      <c r="O3039" s="37"/>
      <c r="P3039" s="37"/>
      <c r="Q3039" s="37"/>
      <c r="R3039" s="37"/>
      <c r="S3039" s="37"/>
      <c r="T3039" s="37"/>
      <c r="U3039" s="37"/>
      <c r="V3039" s="37"/>
      <c r="W3039" s="37"/>
      <c r="X3039" s="37"/>
      <c r="Y3039" s="37"/>
      <c r="Z3039" s="37"/>
      <c r="AA3039" s="37"/>
      <c r="AB3039" s="37"/>
      <c r="AC3039" s="37"/>
      <c r="AD3039" s="37"/>
      <c r="AE3039" s="37"/>
      <c r="AF3039" s="37"/>
      <c r="AG3039" s="37"/>
      <c r="AH3039" s="37"/>
      <c r="AI3039" s="37"/>
      <c r="AJ3039" s="37"/>
      <c r="AK3039" s="37"/>
      <c r="AL3039" s="37"/>
      <c r="AM3039" s="37"/>
      <c r="AN3039" s="37"/>
      <c r="AO3039" s="37"/>
      <c r="AP3039" s="37"/>
      <c r="AQ3039" s="37"/>
      <c r="AR3039" s="37"/>
      <c r="AS3039" s="37"/>
      <c r="AT3039" s="37"/>
      <c r="AU3039" s="37"/>
      <c r="AV3039" s="37"/>
      <c r="AW3039" s="37"/>
      <c r="AX3039" s="37"/>
      <c r="AY3039" s="37"/>
      <c r="AZ3039" s="37"/>
      <c r="BA3039" s="37"/>
      <c r="BB3039" s="37"/>
      <c r="BC3039" s="37"/>
      <c r="BD3039" s="37"/>
      <c r="BE3039" s="37"/>
      <c r="BF3039" s="37"/>
      <c r="BG3039" s="37"/>
      <c r="BH3039" s="37"/>
      <c r="BI3039" s="37"/>
      <c r="BJ3039" s="37"/>
      <c r="BK3039" s="37"/>
      <c r="BL3039" s="37"/>
      <c r="BM3039" s="37"/>
      <c r="BN3039" s="37"/>
      <c r="BO3039" s="37"/>
      <c r="BP3039" s="37"/>
      <c r="BQ3039" s="37"/>
      <c r="BR3039" s="37"/>
      <c r="BS3039" s="37"/>
      <c r="BT3039" s="37"/>
      <c r="BU3039" s="37"/>
      <c r="BV3039" s="37"/>
      <c r="BW3039" s="37"/>
      <c r="BX3039" s="37"/>
      <c r="BY3039" s="37"/>
      <c r="BZ3039" s="37"/>
      <c r="CA3039" s="37"/>
      <c r="CB3039" s="37"/>
      <c r="CC3039" s="37"/>
      <c r="CD3039" s="37"/>
      <c r="CE3039" s="37"/>
      <c r="CF3039" s="37"/>
      <c r="CG3039" s="37"/>
      <c r="CH3039" s="37"/>
      <c r="CI3039" s="37"/>
      <c r="CJ3039" s="37"/>
      <c r="CK3039" s="37"/>
      <c r="CL3039" s="37"/>
      <c r="CM3039" s="37"/>
      <c r="CN3039" s="37"/>
      <c r="CO3039" s="37"/>
      <c r="CP3039" s="37"/>
      <c r="CQ3039" s="37"/>
      <c r="CR3039" s="37"/>
      <c r="CS3039" s="37"/>
      <c r="CT3039" s="37"/>
      <c r="CU3039" s="37"/>
      <c r="CV3039" s="37"/>
      <c r="CW3039" s="37"/>
      <c r="CX3039" s="37"/>
      <c r="CY3039" s="37"/>
      <c r="CZ3039" s="37"/>
      <c r="DA3039" s="37"/>
      <c r="DB3039" s="37"/>
      <c r="DC3039" s="37"/>
      <c r="DD3039" s="37"/>
      <c r="DE3039" s="37"/>
      <c r="DF3039" s="37"/>
      <c r="DG3039" s="37"/>
      <c r="DH3039" s="37"/>
      <c r="DI3039" s="37"/>
      <c r="DJ3039" s="37"/>
      <c r="DK3039" s="37"/>
      <c r="DL3039" s="37"/>
      <c r="DM3039" s="37"/>
      <c r="DN3039" s="37"/>
      <c r="DO3039" s="37"/>
      <c r="DP3039" s="37"/>
      <c r="DQ3039" s="37"/>
      <c r="DR3039" s="37"/>
      <c r="DS3039" s="37"/>
      <c r="DT3039" s="37"/>
      <c r="DU3039" s="37"/>
      <c r="DV3039" s="37"/>
      <c r="DW3039" s="37"/>
      <c r="DX3039" s="37"/>
      <c r="DY3039" s="37"/>
      <c r="DZ3039" s="37"/>
      <c r="EA3039" s="37"/>
      <c r="EB3039" s="37"/>
      <c r="EC3039" s="37"/>
      <c r="ED3039" s="37"/>
      <c r="EE3039" s="37"/>
      <c r="EF3039" s="37"/>
      <c r="EG3039" s="37"/>
      <c r="EH3039" s="37"/>
      <c r="EI3039" s="37"/>
      <c r="EJ3039" s="37"/>
      <c r="EK3039" s="37"/>
      <c r="EL3039" s="37"/>
      <c r="EM3039" s="37"/>
      <c r="EN3039" s="37"/>
      <c r="EO3039" s="37"/>
      <c r="EP3039" s="37"/>
      <c r="EQ3039" s="37"/>
      <c r="ER3039" s="37"/>
      <c r="ES3039" s="37"/>
      <c r="ET3039" s="37"/>
      <c r="EU3039" s="37"/>
      <c r="EV3039" s="37"/>
      <c r="EW3039" s="37"/>
      <c r="EX3039" s="37"/>
      <c r="EY3039" s="37"/>
      <c r="EZ3039" s="37"/>
      <c r="FA3039" s="37"/>
      <c r="FB3039" s="37"/>
      <c r="FC3039" s="37"/>
      <c r="FD3039" s="37"/>
      <c r="FE3039" s="37"/>
      <c r="FF3039" s="37"/>
      <c r="FG3039" s="37"/>
      <c r="FH3039" s="37"/>
      <c r="FI3039" s="37"/>
      <c r="FJ3039" s="37"/>
      <c r="FK3039" s="37"/>
      <c r="FL3039" s="37"/>
      <c r="FM3039" s="37"/>
      <c r="FN3039" s="37"/>
      <c r="FO3039" s="37"/>
      <c r="FP3039" s="37"/>
      <c r="FQ3039" s="37"/>
      <c r="FR3039" s="37"/>
      <c r="FS3039" s="37"/>
      <c r="FT3039" s="37"/>
      <c r="FU3039" s="37"/>
      <c r="FV3039" s="37"/>
      <c r="FW3039" s="37"/>
      <c r="FX3039" s="37"/>
      <c r="FY3039" s="37"/>
      <c r="FZ3039" s="37"/>
      <c r="GA3039" s="37"/>
      <c r="GB3039" s="37"/>
      <c r="GC3039" s="37"/>
      <c r="GD3039" s="37"/>
      <c r="GE3039" s="37"/>
      <c r="GF3039" s="37"/>
      <c r="GG3039" s="37"/>
      <c r="GH3039" s="37"/>
      <c r="GI3039" s="37"/>
      <c r="GJ3039" s="37"/>
      <c r="GK3039" s="37"/>
      <c r="GL3039" s="37"/>
      <c r="GM3039" s="37"/>
      <c r="GN3039" s="37"/>
      <c r="GO3039" s="37"/>
      <c r="GP3039" s="37"/>
      <c r="GQ3039" s="37"/>
      <c r="GR3039" s="37"/>
      <c r="GS3039" s="37"/>
      <c r="GT3039" s="37"/>
      <c r="GU3039" s="37"/>
      <c r="GV3039" s="37"/>
      <c r="GW3039" s="37"/>
      <c r="GX3039" s="37"/>
      <c r="GY3039" s="37"/>
      <c r="GZ3039" s="37"/>
      <c r="HA3039" s="37"/>
      <c r="HB3039" s="37"/>
      <c r="HC3039" s="37"/>
      <c r="HD3039" s="37"/>
      <c r="HE3039" s="37"/>
      <c r="HF3039" s="37"/>
      <c r="HG3039" s="37"/>
      <c r="HH3039" s="37"/>
      <c r="HI3039" s="37"/>
      <c r="HJ3039" s="37"/>
      <c r="HK3039" s="37"/>
      <c r="HL3039" s="37"/>
      <c r="HM3039" s="37"/>
      <c r="HN3039" s="37"/>
      <c r="HO3039" s="37"/>
      <c r="HP3039" s="37"/>
      <c r="HQ3039" s="37"/>
      <c r="HR3039" s="37"/>
      <c r="HS3039" s="37"/>
      <c r="HT3039" s="37"/>
      <c r="HU3039" s="37"/>
      <c r="HV3039" s="37"/>
      <c r="HW3039" s="37"/>
      <c r="HX3039" s="37"/>
      <c r="HY3039" s="37"/>
      <c r="HZ3039" s="37"/>
      <c r="IA3039" s="37"/>
      <c r="IB3039" s="37"/>
      <c r="IC3039" s="37"/>
      <c r="ID3039" s="37"/>
      <c r="IE3039" s="37"/>
      <c r="IF3039" s="37"/>
      <c r="IG3039" s="37"/>
      <c r="IH3039" s="37"/>
      <c r="II3039" s="37"/>
      <c r="IJ3039" s="37"/>
      <c r="IK3039" s="37"/>
      <c r="IL3039" s="37"/>
      <c r="IM3039" s="37"/>
      <c r="IN3039" s="37"/>
      <c r="IO3039" s="37"/>
      <c r="IP3039" s="37"/>
      <c r="IQ3039" s="37"/>
      <c r="IR3039" s="37"/>
      <c r="IS3039" s="37"/>
      <c r="IT3039" s="37"/>
      <c r="IU3039" s="37"/>
      <c r="IV3039" s="37"/>
      <c r="IW3039" s="37"/>
      <c r="IX3039" s="37"/>
      <c r="IY3039" s="37"/>
      <c r="IZ3039" s="37"/>
      <c r="JA3039" s="37"/>
      <c r="JB3039" s="37"/>
      <c r="JC3039" s="37"/>
      <c r="JD3039" s="37"/>
      <c r="JE3039" s="37"/>
      <c r="JF3039" s="37"/>
      <c r="JG3039" s="37"/>
      <c r="JH3039" s="37"/>
      <c r="JI3039" s="37"/>
      <c r="JJ3039" s="37"/>
      <c r="JK3039" s="37"/>
      <c r="JL3039" s="37"/>
      <c r="JM3039" s="37"/>
      <c r="JN3039" s="37"/>
      <c r="JO3039" s="37"/>
      <c r="JP3039" s="37"/>
      <c r="JQ3039" s="37"/>
      <c r="JR3039" s="37"/>
      <c r="JS3039" s="37"/>
      <c r="JT3039" s="37"/>
      <c r="JU3039" s="37"/>
      <c r="JV3039" s="37"/>
      <c r="JW3039" s="37"/>
      <c r="JX3039" s="37"/>
      <c r="JY3039" s="37"/>
      <c r="JZ3039" s="37"/>
      <c r="KA3039" s="37"/>
      <c r="KB3039" s="37"/>
      <c r="KC3039" s="37"/>
      <c r="KD3039" s="37"/>
      <c r="KE3039" s="37"/>
      <c r="KF3039" s="37"/>
      <c r="KG3039" s="37"/>
      <c r="KH3039" s="37"/>
      <c r="KI3039" s="37"/>
      <c r="KJ3039" s="37"/>
      <c r="KK3039" s="37"/>
      <c r="KL3039" s="37"/>
      <c r="KM3039" s="37"/>
      <c r="KN3039" s="37"/>
      <c r="KO3039" s="37"/>
      <c r="KP3039" s="37"/>
      <c r="KQ3039" s="37"/>
      <c r="KR3039" s="37"/>
      <c r="KS3039" s="37"/>
      <c r="KT3039" s="37"/>
      <c r="KU3039" s="37"/>
      <c r="KV3039" s="37"/>
      <c r="KW3039" s="37"/>
      <c r="KX3039" s="37"/>
      <c r="KY3039" s="37"/>
      <c r="KZ3039" s="37"/>
      <c r="LA3039" s="37"/>
      <c r="LB3039" s="37"/>
      <c r="LC3039" s="37"/>
      <c r="LD3039" s="37"/>
      <c r="LE3039" s="37"/>
      <c r="LF3039" s="37"/>
      <c r="LG3039" s="37"/>
      <c r="LH3039" s="37"/>
      <c r="LI3039" s="37"/>
      <c r="LJ3039" s="37"/>
      <c r="LK3039" s="37"/>
      <c r="LL3039" s="37"/>
      <c r="LM3039" s="37"/>
      <c r="LN3039" s="37"/>
      <c r="LO3039" s="37"/>
      <c r="LP3039" s="37"/>
      <c r="LQ3039" s="37"/>
      <c r="LR3039" s="37"/>
      <c r="LS3039" s="37"/>
      <c r="LT3039" s="37"/>
      <c r="LU3039" s="37"/>
      <c r="LV3039" s="37"/>
      <c r="LW3039" s="37"/>
      <c r="LX3039" s="37"/>
      <c r="LY3039" s="37"/>
      <c r="LZ3039" s="37"/>
      <c r="MA3039" s="37"/>
      <c r="MB3039" s="37"/>
      <c r="MC3039" s="37"/>
      <c r="MD3039" s="37"/>
      <c r="ME3039" s="37"/>
      <c r="MF3039" s="37"/>
      <c r="MG3039" s="37"/>
      <c r="MH3039" s="37"/>
      <c r="MI3039" s="37"/>
      <c r="MJ3039" s="37"/>
      <c r="MK3039" s="37"/>
      <c r="ML3039" s="37"/>
      <c r="MM3039" s="37"/>
      <c r="MN3039" s="37"/>
      <c r="MO3039" s="37"/>
      <c r="MP3039" s="37"/>
      <c r="MQ3039" s="37"/>
      <c r="MR3039" s="37"/>
      <c r="MS3039" s="37"/>
      <c r="MT3039" s="37"/>
      <c r="MU3039" s="37"/>
      <c r="MV3039" s="37"/>
      <c r="MW3039" s="37"/>
      <c r="MX3039" s="37"/>
      <c r="MY3039" s="37"/>
      <c r="MZ3039" s="37"/>
      <c r="NA3039" s="37"/>
      <c r="NB3039" s="37"/>
      <c r="NC3039" s="37"/>
      <c r="ND3039" s="37"/>
      <c r="NE3039" s="37"/>
      <c r="NF3039" s="37"/>
      <c r="NG3039" s="37"/>
      <c r="NH3039" s="37"/>
      <c r="NI3039" s="37"/>
      <c r="NJ3039" s="37"/>
      <c r="NK3039" s="37"/>
      <c r="NL3039" s="37"/>
      <c r="NM3039" s="37"/>
      <c r="NN3039" s="37"/>
      <c r="NO3039" s="37"/>
      <c r="NP3039" s="37"/>
      <c r="NQ3039" s="37"/>
      <c r="NR3039" s="37"/>
      <c r="NS3039" s="37"/>
      <c r="NT3039" s="37"/>
      <c r="NU3039" s="37"/>
      <c r="NV3039" s="37"/>
      <c r="NW3039" s="37"/>
      <c r="NX3039" s="37"/>
      <c r="NY3039" s="37"/>
      <c r="NZ3039" s="37"/>
      <c r="OA3039" s="37"/>
      <c r="OB3039" s="37"/>
      <c r="OC3039" s="37"/>
      <c r="OD3039" s="37"/>
      <c r="OE3039" s="37"/>
      <c r="OF3039" s="37"/>
      <c r="OG3039" s="37"/>
      <c r="OH3039" s="37"/>
      <c r="OI3039" s="37"/>
      <c r="OJ3039" s="37"/>
      <c r="OK3039" s="37"/>
      <c r="OL3039" s="37"/>
      <c r="OM3039" s="37"/>
      <c r="ON3039" s="37"/>
      <c r="OO3039" s="37"/>
      <c r="OP3039" s="37"/>
      <c r="OQ3039" s="37"/>
      <c r="OR3039" s="37"/>
      <c r="OS3039" s="37"/>
      <c r="OT3039" s="37"/>
      <c r="OU3039" s="37"/>
      <c r="OV3039" s="37"/>
      <c r="OW3039" s="37"/>
      <c r="OX3039" s="37"/>
      <c r="OY3039" s="37"/>
      <c r="OZ3039" s="37"/>
      <c r="PA3039" s="37"/>
      <c r="PB3039" s="37"/>
      <c r="PC3039" s="37"/>
      <c r="PD3039" s="37"/>
      <c r="PE3039" s="37"/>
      <c r="PF3039" s="37"/>
      <c r="PG3039" s="37"/>
      <c r="PH3039" s="37"/>
      <c r="PI3039" s="37"/>
      <c r="PJ3039" s="37"/>
      <c r="PK3039" s="37"/>
      <c r="PL3039" s="37"/>
      <c r="PM3039" s="37"/>
      <c r="PN3039" s="37"/>
      <c r="PO3039" s="37"/>
      <c r="PP3039" s="37"/>
      <c r="PQ3039" s="37"/>
      <c r="PR3039" s="37"/>
      <c r="PS3039" s="37"/>
      <c r="PT3039" s="37"/>
      <c r="PU3039" s="37"/>
      <c r="PV3039" s="37"/>
      <c r="PW3039" s="37"/>
      <c r="PX3039" s="37"/>
      <c r="PY3039" s="37"/>
      <c r="PZ3039" s="37"/>
      <c r="QA3039" s="37"/>
      <c r="QB3039" s="37"/>
      <c r="QC3039" s="37"/>
      <c r="QD3039" s="37"/>
      <c r="QE3039" s="37"/>
      <c r="QF3039" s="37"/>
      <c r="QG3039" s="37"/>
      <c r="QH3039" s="37"/>
      <c r="QI3039" s="37"/>
      <c r="QJ3039" s="37"/>
      <c r="QK3039" s="37"/>
      <c r="QL3039" s="37"/>
      <c r="QM3039" s="37"/>
      <c r="QN3039" s="37"/>
      <c r="QO3039" s="37"/>
      <c r="QP3039" s="37"/>
      <c r="QQ3039" s="37"/>
      <c r="QR3039" s="37"/>
      <c r="QS3039" s="37"/>
      <c r="QT3039" s="37"/>
      <c r="QU3039" s="37"/>
      <c r="QV3039" s="37"/>
      <c r="QW3039" s="37"/>
      <c r="QX3039" s="37"/>
      <c r="QY3039" s="37"/>
      <c r="QZ3039" s="37"/>
      <c r="RA3039" s="37"/>
      <c r="RB3039" s="37"/>
      <c r="RC3039" s="37"/>
      <c r="RD3039" s="37"/>
      <c r="RE3039" s="37"/>
      <c r="RF3039" s="37"/>
      <c r="RG3039" s="37"/>
      <c r="RH3039" s="37"/>
      <c r="RI3039" s="37"/>
      <c r="RJ3039" s="37"/>
      <c r="RK3039" s="37"/>
      <c r="RL3039" s="37"/>
      <c r="RM3039" s="37"/>
      <c r="RN3039" s="37"/>
      <c r="RO3039" s="37"/>
      <c r="RP3039" s="37"/>
      <c r="RQ3039" s="37"/>
      <c r="RR3039" s="37"/>
      <c r="RS3039" s="37"/>
      <c r="RT3039" s="37"/>
      <c r="RU3039" s="37"/>
      <c r="RV3039" s="37"/>
      <c r="RW3039" s="37"/>
      <c r="RX3039" s="37"/>
      <c r="RY3039" s="37"/>
      <c r="RZ3039" s="37"/>
      <c r="SA3039" s="37"/>
      <c r="SB3039" s="37"/>
      <c r="SC3039" s="37"/>
      <c r="SD3039" s="37"/>
      <c r="SE3039" s="37"/>
      <c r="SF3039" s="37"/>
    </row>
    <row r="3040" spans="1:500">
      <c r="A3040" s="37"/>
      <c r="B3040" s="37"/>
      <c r="C3040" s="37"/>
      <c r="D3040" s="37"/>
      <c r="E3040" s="37"/>
      <c r="F3040" s="37"/>
      <c r="G3040" s="37"/>
      <c r="H3040" s="37"/>
      <c r="I3040" s="37"/>
      <c r="J3040" s="37"/>
      <c r="K3040" s="37"/>
      <c r="L3040" s="37"/>
      <c r="M3040" s="37"/>
      <c r="N3040" s="37"/>
      <c r="O3040" s="37"/>
      <c r="P3040" s="37"/>
      <c r="Q3040" s="37"/>
      <c r="R3040" s="37"/>
      <c r="S3040" s="37"/>
      <c r="T3040" s="37"/>
      <c r="U3040" s="37"/>
      <c r="V3040" s="37"/>
      <c r="W3040" s="37"/>
      <c r="X3040" s="37"/>
      <c r="Y3040" s="37"/>
      <c r="Z3040" s="37"/>
      <c r="AA3040" s="37"/>
      <c r="AB3040" s="37"/>
      <c r="AC3040" s="37"/>
      <c r="AD3040" s="37"/>
      <c r="AE3040" s="37"/>
      <c r="AF3040" s="37"/>
      <c r="AG3040" s="37"/>
      <c r="AH3040" s="37"/>
      <c r="AI3040" s="37"/>
      <c r="AJ3040" s="37"/>
      <c r="AK3040" s="37"/>
      <c r="AL3040" s="37"/>
      <c r="AM3040" s="37"/>
      <c r="AN3040" s="37"/>
      <c r="AO3040" s="37"/>
      <c r="AP3040" s="37"/>
      <c r="AQ3040" s="37"/>
      <c r="AR3040" s="37"/>
      <c r="AS3040" s="37"/>
      <c r="AT3040" s="37"/>
      <c r="AU3040" s="37"/>
      <c r="AV3040" s="37"/>
      <c r="AW3040" s="37"/>
      <c r="AX3040" s="37"/>
      <c r="AY3040" s="37"/>
      <c r="AZ3040" s="37"/>
      <c r="BA3040" s="37"/>
      <c r="BB3040" s="37"/>
      <c r="BC3040" s="37"/>
      <c r="BD3040" s="37"/>
      <c r="BE3040" s="37"/>
      <c r="BF3040" s="37"/>
      <c r="BG3040" s="37"/>
      <c r="BH3040" s="37"/>
      <c r="BI3040" s="37"/>
      <c r="BJ3040" s="37"/>
      <c r="BK3040" s="37"/>
      <c r="BL3040" s="37"/>
      <c r="BM3040" s="37"/>
      <c r="BN3040" s="37"/>
      <c r="BO3040" s="37"/>
      <c r="BP3040" s="37"/>
      <c r="BQ3040" s="37"/>
      <c r="BR3040" s="37"/>
      <c r="BS3040" s="37"/>
      <c r="BT3040" s="37"/>
      <c r="BU3040" s="37"/>
      <c r="BV3040" s="37"/>
      <c r="BW3040" s="37"/>
      <c r="BX3040" s="37"/>
      <c r="BY3040" s="37"/>
      <c r="BZ3040" s="37"/>
      <c r="CA3040" s="37"/>
      <c r="CB3040" s="37"/>
      <c r="CC3040" s="37"/>
      <c r="CD3040" s="37"/>
      <c r="CE3040" s="37"/>
      <c r="CF3040" s="37"/>
      <c r="CG3040" s="37"/>
      <c r="CH3040" s="37"/>
      <c r="CI3040" s="37"/>
      <c r="CJ3040" s="37"/>
      <c r="CK3040" s="37"/>
      <c r="CL3040" s="37"/>
      <c r="CM3040" s="37"/>
      <c r="CN3040" s="37"/>
      <c r="CO3040" s="37"/>
      <c r="CP3040" s="37"/>
      <c r="CQ3040" s="37"/>
      <c r="CR3040" s="37"/>
      <c r="CS3040" s="37"/>
      <c r="CT3040" s="37"/>
      <c r="CU3040" s="37"/>
      <c r="CV3040" s="37"/>
      <c r="CW3040" s="37"/>
      <c r="CX3040" s="37"/>
      <c r="CY3040" s="37"/>
      <c r="CZ3040" s="37"/>
      <c r="DA3040" s="37"/>
      <c r="DB3040" s="37"/>
      <c r="DC3040" s="37"/>
      <c r="DD3040" s="37"/>
      <c r="DE3040" s="37"/>
      <c r="DF3040" s="37"/>
      <c r="DG3040" s="37"/>
      <c r="DH3040" s="37"/>
      <c r="DI3040" s="37"/>
      <c r="DJ3040" s="37"/>
      <c r="DK3040" s="37"/>
      <c r="DL3040" s="37"/>
      <c r="DM3040" s="37"/>
      <c r="DN3040" s="37"/>
      <c r="DO3040" s="37"/>
      <c r="DP3040" s="37"/>
      <c r="DQ3040" s="37"/>
      <c r="DR3040" s="37"/>
      <c r="DS3040" s="37"/>
      <c r="DT3040" s="37"/>
      <c r="DU3040" s="37"/>
      <c r="DV3040" s="37"/>
      <c r="DW3040" s="37"/>
      <c r="DX3040" s="37"/>
      <c r="DY3040" s="37"/>
      <c r="DZ3040" s="37"/>
      <c r="EA3040" s="37"/>
      <c r="EB3040" s="37"/>
      <c r="EC3040" s="37"/>
      <c r="ED3040" s="37"/>
      <c r="EE3040" s="37"/>
      <c r="EF3040" s="37"/>
      <c r="EG3040" s="37"/>
      <c r="EH3040" s="37"/>
      <c r="EI3040" s="37"/>
      <c r="EJ3040" s="37"/>
      <c r="EK3040" s="37"/>
      <c r="EL3040" s="37"/>
      <c r="EM3040" s="37"/>
      <c r="EN3040" s="37"/>
      <c r="EO3040" s="37"/>
      <c r="EP3040" s="37"/>
      <c r="EQ3040" s="37"/>
      <c r="ER3040" s="37"/>
      <c r="ES3040" s="37"/>
      <c r="ET3040" s="37"/>
      <c r="EU3040" s="37"/>
      <c r="EV3040" s="37"/>
      <c r="EW3040" s="37"/>
      <c r="EX3040" s="37"/>
      <c r="EY3040" s="37"/>
      <c r="EZ3040" s="37"/>
      <c r="FA3040" s="37"/>
      <c r="FB3040" s="37"/>
      <c r="FC3040" s="37"/>
      <c r="FD3040" s="37"/>
      <c r="FE3040" s="37"/>
      <c r="FF3040" s="37"/>
      <c r="FG3040" s="37"/>
      <c r="FH3040" s="37"/>
      <c r="FI3040" s="37"/>
      <c r="FJ3040" s="37"/>
      <c r="FK3040" s="37"/>
      <c r="FL3040" s="37"/>
      <c r="FM3040" s="37"/>
      <c r="FN3040" s="37"/>
      <c r="FO3040" s="37"/>
      <c r="FP3040" s="37"/>
      <c r="FQ3040" s="37"/>
      <c r="FR3040" s="37"/>
      <c r="FS3040" s="37"/>
      <c r="FT3040" s="37"/>
      <c r="FU3040" s="37"/>
      <c r="FV3040" s="37"/>
      <c r="FW3040" s="37"/>
      <c r="FX3040" s="37"/>
      <c r="FY3040" s="37"/>
      <c r="FZ3040" s="37"/>
      <c r="GA3040" s="37"/>
      <c r="GB3040" s="37"/>
      <c r="GC3040" s="37"/>
      <c r="GD3040" s="37"/>
      <c r="GE3040" s="37"/>
      <c r="GF3040" s="37"/>
      <c r="GG3040" s="37"/>
      <c r="GH3040" s="37"/>
      <c r="GI3040" s="37"/>
      <c r="GJ3040" s="37"/>
      <c r="GK3040" s="37"/>
      <c r="GL3040" s="37"/>
      <c r="GM3040" s="37"/>
      <c r="GN3040" s="37"/>
      <c r="GO3040" s="37"/>
      <c r="GP3040" s="37"/>
      <c r="GQ3040" s="37"/>
      <c r="GR3040" s="37"/>
      <c r="GS3040" s="37"/>
      <c r="GT3040" s="37"/>
      <c r="GU3040" s="37"/>
      <c r="GV3040" s="37"/>
      <c r="GW3040" s="37"/>
      <c r="GX3040" s="37"/>
      <c r="GY3040" s="37"/>
      <c r="GZ3040" s="37"/>
      <c r="HA3040" s="37"/>
      <c r="HB3040" s="37"/>
      <c r="HC3040" s="37"/>
      <c r="HD3040" s="37"/>
      <c r="HE3040" s="37"/>
      <c r="HF3040" s="37"/>
      <c r="HG3040" s="37"/>
      <c r="HH3040" s="37"/>
      <c r="HI3040" s="37"/>
      <c r="HJ3040" s="37"/>
      <c r="HK3040" s="37"/>
      <c r="HL3040" s="37"/>
      <c r="HM3040" s="37"/>
      <c r="HN3040" s="37"/>
      <c r="HO3040" s="37"/>
      <c r="HP3040" s="37"/>
      <c r="HQ3040" s="37"/>
      <c r="HR3040" s="37"/>
      <c r="HS3040" s="37"/>
      <c r="HT3040" s="37"/>
      <c r="HU3040" s="37"/>
      <c r="HV3040" s="37"/>
      <c r="HW3040" s="37"/>
      <c r="HX3040" s="37"/>
      <c r="HY3040" s="37"/>
      <c r="HZ3040" s="37"/>
      <c r="IA3040" s="37"/>
      <c r="IB3040" s="37"/>
      <c r="IC3040" s="37"/>
      <c r="ID3040" s="37"/>
      <c r="IE3040" s="37"/>
      <c r="IF3040" s="37"/>
      <c r="IG3040" s="37"/>
      <c r="IH3040" s="37"/>
      <c r="II3040" s="37"/>
      <c r="IJ3040" s="37"/>
      <c r="IK3040" s="37"/>
      <c r="IL3040" s="37"/>
      <c r="IM3040" s="37"/>
      <c r="IN3040" s="37"/>
      <c r="IO3040" s="37"/>
      <c r="IP3040" s="37"/>
      <c r="IQ3040" s="37"/>
      <c r="IR3040" s="37"/>
      <c r="IS3040" s="37"/>
      <c r="IT3040" s="37"/>
      <c r="IU3040" s="37"/>
      <c r="IV3040" s="37"/>
      <c r="IW3040" s="37"/>
      <c r="IX3040" s="37"/>
      <c r="IY3040" s="37"/>
      <c r="IZ3040" s="37"/>
      <c r="JA3040" s="37"/>
      <c r="JB3040" s="37"/>
      <c r="JC3040" s="37"/>
      <c r="JD3040" s="37"/>
      <c r="JE3040" s="37"/>
      <c r="JF3040" s="37"/>
      <c r="JG3040" s="37"/>
      <c r="JH3040" s="37"/>
      <c r="JI3040" s="37"/>
      <c r="JJ3040" s="37"/>
      <c r="JK3040" s="37"/>
      <c r="JL3040" s="37"/>
      <c r="JM3040" s="37"/>
      <c r="JN3040" s="37"/>
      <c r="JO3040" s="37"/>
      <c r="JP3040" s="37"/>
      <c r="JQ3040" s="37"/>
      <c r="JR3040" s="37"/>
      <c r="JS3040" s="37"/>
      <c r="JT3040" s="37"/>
      <c r="JU3040" s="37"/>
      <c r="JV3040" s="37"/>
      <c r="JW3040" s="37"/>
      <c r="JX3040" s="37"/>
      <c r="JY3040" s="37"/>
      <c r="JZ3040" s="37"/>
      <c r="KA3040" s="37"/>
      <c r="KB3040" s="37"/>
      <c r="KC3040" s="37"/>
      <c r="KD3040" s="37"/>
      <c r="KE3040" s="37"/>
      <c r="KF3040" s="37"/>
      <c r="KG3040" s="37"/>
      <c r="KH3040" s="37"/>
      <c r="KI3040" s="37"/>
      <c r="KJ3040" s="37"/>
      <c r="KK3040" s="37"/>
      <c r="KL3040" s="37"/>
      <c r="KM3040" s="37"/>
      <c r="KN3040" s="37"/>
      <c r="KO3040" s="37"/>
      <c r="KP3040" s="37"/>
      <c r="KQ3040" s="37"/>
      <c r="KR3040" s="37"/>
      <c r="KS3040" s="37"/>
      <c r="KT3040" s="37"/>
      <c r="KU3040" s="37"/>
      <c r="KV3040" s="37"/>
      <c r="KW3040" s="37"/>
      <c r="KX3040" s="37"/>
      <c r="KY3040" s="37"/>
      <c r="KZ3040" s="37"/>
      <c r="LA3040" s="37"/>
      <c r="LB3040" s="37"/>
      <c r="LC3040" s="37"/>
      <c r="LD3040" s="37"/>
      <c r="LE3040" s="37"/>
      <c r="LF3040" s="37"/>
      <c r="LG3040" s="37"/>
      <c r="LH3040" s="37"/>
      <c r="LI3040" s="37"/>
      <c r="LJ3040" s="37"/>
      <c r="LK3040" s="37"/>
      <c r="LL3040" s="37"/>
      <c r="LM3040" s="37"/>
      <c r="LN3040" s="37"/>
      <c r="LO3040" s="37"/>
      <c r="LP3040" s="37"/>
      <c r="LQ3040" s="37"/>
      <c r="LR3040" s="37"/>
      <c r="LS3040" s="37"/>
      <c r="LT3040" s="37"/>
      <c r="LU3040" s="37"/>
      <c r="LV3040" s="37"/>
      <c r="LW3040" s="37"/>
      <c r="LX3040" s="37"/>
      <c r="LY3040" s="37"/>
      <c r="LZ3040" s="37"/>
      <c r="MA3040" s="37"/>
      <c r="MB3040" s="37"/>
      <c r="MC3040" s="37"/>
      <c r="MD3040" s="37"/>
      <c r="ME3040" s="37"/>
      <c r="MF3040" s="37"/>
      <c r="MG3040" s="37"/>
      <c r="MH3040" s="37"/>
      <c r="MI3040" s="37"/>
      <c r="MJ3040" s="37"/>
      <c r="MK3040" s="37"/>
      <c r="ML3040" s="37"/>
      <c r="MM3040" s="37"/>
      <c r="MN3040" s="37"/>
      <c r="MO3040" s="37"/>
      <c r="MP3040" s="37"/>
      <c r="MQ3040" s="37"/>
      <c r="MR3040" s="37"/>
      <c r="MS3040" s="37"/>
      <c r="MT3040" s="37"/>
      <c r="MU3040" s="37"/>
      <c r="MV3040" s="37"/>
      <c r="MW3040" s="37"/>
      <c r="MX3040" s="37"/>
      <c r="MY3040" s="37"/>
      <c r="MZ3040" s="37"/>
      <c r="NA3040" s="37"/>
      <c r="NB3040" s="37"/>
      <c r="NC3040" s="37"/>
      <c r="ND3040" s="37"/>
      <c r="NE3040" s="37"/>
      <c r="NF3040" s="37"/>
      <c r="NG3040" s="37"/>
      <c r="NH3040" s="37"/>
      <c r="NI3040" s="37"/>
      <c r="NJ3040" s="37"/>
      <c r="NK3040" s="37"/>
      <c r="NL3040" s="37"/>
      <c r="NM3040" s="37"/>
      <c r="NN3040" s="37"/>
      <c r="NO3040" s="37"/>
      <c r="NP3040" s="37"/>
      <c r="NQ3040" s="37"/>
      <c r="NR3040" s="37"/>
      <c r="NS3040" s="37"/>
      <c r="NT3040" s="37"/>
      <c r="NU3040" s="37"/>
      <c r="NV3040" s="37"/>
      <c r="NW3040" s="37"/>
      <c r="NX3040" s="37"/>
      <c r="NY3040" s="37"/>
      <c r="NZ3040" s="37"/>
      <c r="OA3040" s="37"/>
      <c r="OB3040" s="37"/>
      <c r="OC3040" s="37"/>
      <c r="OD3040" s="37"/>
      <c r="OE3040" s="37"/>
      <c r="OF3040" s="37"/>
      <c r="OG3040" s="37"/>
      <c r="OH3040" s="37"/>
      <c r="OI3040" s="37"/>
      <c r="OJ3040" s="37"/>
      <c r="OK3040" s="37"/>
      <c r="OL3040" s="37"/>
      <c r="OM3040" s="37"/>
      <c r="ON3040" s="37"/>
      <c r="OO3040" s="37"/>
      <c r="OP3040" s="37"/>
      <c r="OQ3040" s="37"/>
      <c r="OR3040" s="37"/>
      <c r="OS3040" s="37"/>
      <c r="OT3040" s="37"/>
      <c r="OU3040" s="37"/>
      <c r="OV3040" s="37"/>
      <c r="OW3040" s="37"/>
      <c r="OX3040" s="37"/>
      <c r="OY3040" s="37"/>
      <c r="OZ3040" s="37"/>
      <c r="PA3040" s="37"/>
      <c r="PB3040" s="37"/>
      <c r="PC3040" s="37"/>
      <c r="PD3040" s="37"/>
      <c r="PE3040" s="37"/>
      <c r="PF3040" s="37"/>
      <c r="PG3040" s="37"/>
      <c r="PH3040" s="37"/>
      <c r="PI3040" s="37"/>
      <c r="PJ3040" s="37"/>
      <c r="PK3040" s="37"/>
      <c r="PL3040" s="37"/>
      <c r="PM3040" s="37"/>
      <c r="PN3040" s="37"/>
      <c r="PO3040" s="37"/>
      <c r="PP3040" s="37"/>
      <c r="PQ3040" s="37"/>
      <c r="PR3040" s="37"/>
      <c r="PS3040" s="37"/>
      <c r="PT3040" s="37"/>
      <c r="PU3040" s="37"/>
      <c r="PV3040" s="37"/>
      <c r="PW3040" s="37"/>
      <c r="PX3040" s="37"/>
      <c r="PY3040" s="37"/>
      <c r="PZ3040" s="37"/>
      <c r="QA3040" s="37"/>
      <c r="QB3040" s="37"/>
      <c r="QC3040" s="37"/>
      <c r="QD3040" s="37"/>
      <c r="QE3040" s="37"/>
      <c r="QF3040" s="37"/>
      <c r="QG3040" s="37"/>
      <c r="QH3040" s="37"/>
      <c r="QI3040" s="37"/>
      <c r="QJ3040" s="37"/>
      <c r="QK3040" s="37"/>
      <c r="QL3040" s="37"/>
      <c r="QM3040" s="37"/>
      <c r="QN3040" s="37"/>
      <c r="QO3040" s="37"/>
      <c r="QP3040" s="37"/>
      <c r="QQ3040" s="37"/>
      <c r="QR3040" s="37"/>
      <c r="QS3040" s="37"/>
      <c r="QT3040" s="37"/>
      <c r="QU3040" s="37"/>
      <c r="QV3040" s="37"/>
      <c r="QW3040" s="37"/>
      <c r="QX3040" s="37"/>
      <c r="QY3040" s="37"/>
      <c r="QZ3040" s="37"/>
      <c r="RA3040" s="37"/>
      <c r="RB3040" s="37"/>
      <c r="RC3040" s="37"/>
      <c r="RD3040" s="37"/>
      <c r="RE3040" s="37"/>
      <c r="RF3040" s="37"/>
      <c r="RG3040" s="37"/>
      <c r="RH3040" s="37"/>
      <c r="RI3040" s="37"/>
      <c r="RJ3040" s="37"/>
      <c r="RK3040" s="37"/>
      <c r="RL3040" s="37"/>
      <c r="RM3040" s="37"/>
      <c r="RN3040" s="37"/>
      <c r="RO3040" s="37"/>
      <c r="RP3040" s="37"/>
      <c r="RQ3040" s="37"/>
      <c r="RR3040" s="37"/>
      <c r="RS3040" s="37"/>
      <c r="RT3040" s="37"/>
      <c r="RU3040" s="37"/>
      <c r="RV3040" s="37"/>
      <c r="RW3040" s="37"/>
      <c r="RX3040" s="37"/>
      <c r="RY3040" s="37"/>
      <c r="RZ3040" s="37"/>
      <c r="SA3040" s="37"/>
      <c r="SB3040" s="37"/>
      <c r="SC3040" s="37"/>
      <c r="SD3040" s="37"/>
      <c r="SE3040" s="37"/>
      <c r="SF3040" s="37"/>
    </row>
    <row r="3041" spans="1:500">
      <c r="A3041" s="37"/>
      <c r="B3041" s="37"/>
      <c r="C3041" s="37"/>
      <c r="D3041" s="37"/>
      <c r="E3041" s="37"/>
      <c r="F3041" s="37"/>
      <c r="G3041" s="37"/>
      <c r="H3041" s="37"/>
      <c r="I3041" s="37"/>
      <c r="J3041" s="37"/>
      <c r="K3041" s="37"/>
      <c r="L3041" s="37"/>
      <c r="M3041" s="37"/>
      <c r="N3041" s="37"/>
      <c r="O3041" s="37"/>
      <c r="P3041" s="37"/>
      <c r="Q3041" s="37"/>
      <c r="R3041" s="37"/>
      <c r="S3041" s="37"/>
      <c r="T3041" s="37"/>
      <c r="U3041" s="37"/>
      <c r="V3041" s="37"/>
      <c r="W3041" s="37"/>
      <c r="X3041" s="37"/>
      <c r="Y3041" s="37"/>
      <c r="Z3041" s="37"/>
      <c r="AA3041" s="37"/>
      <c r="AB3041" s="37"/>
      <c r="AC3041" s="37"/>
      <c r="AD3041" s="37"/>
      <c r="AE3041" s="37"/>
      <c r="AF3041" s="37"/>
      <c r="AG3041" s="37"/>
      <c r="AH3041" s="37"/>
      <c r="AI3041" s="37"/>
      <c r="AJ3041" s="37"/>
      <c r="AK3041" s="37"/>
      <c r="AL3041" s="37"/>
      <c r="AM3041" s="37"/>
      <c r="AN3041" s="37"/>
      <c r="AO3041" s="37"/>
      <c r="AP3041" s="37"/>
      <c r="AQ3041" s="37"/>
      <c r="AR3041" s="37"/>
      <c r="AS3041" s="37"/>
      <c r="AT3041" s="37"/>
      <c r="AU3041" s="37"/>
      <c r="AV3041" s="37"/>
      <c r="AW3041" s="37"/>
      <c r="AX3041" s="37"/>
      <c r="AY3041" s="37"/>
      <c r="AZ3041" s="37"/>
      <c r="BA3041" s="37"/>
      <c r="BB3041" s="37"/>
      <c r="BC3041" s="37"/>
      <c r="BD3041" s="37"/>
      <c r="BE3041" s="37"/>
      <c r="BF3041" s="37"/>
      <c r="BG3041" s="37"/>
      <c r="BH3041" s="37"/>
      <c r="BI3041" s="37"/>
      <c r="BJ3041" s="37"/>
      <c r="BK3041" s="37"/>
      <c r="BL3041" s="37"/>
      <c r="BM3041" s="37"/>
      <c r="BN3041" s="37"/>
      <c r="BO3041" s="37"/>
      <c r="BP3041" s="37"/>
      <c r="BQ3041" s="37"/>
      <c r="BR3041" s="37"/>
      <c r="BS3041" s="37"/>
      <c r="BT3041" s="37"/>
      <c r="BU3041" s="37"/>
      <c r="BV3041" s="37"/>
      <c r="BW3041" s="37"/>
      <c r="BX3041" s="37"/>
      <c r="BY3041" s="37"/>
      <c r="BZ3041" s="37"/>
      <c r="CA3041" s="37"/>
      <c r="CB3041" s="37"/>
      <c r="CC3041" s="37"/>
      <c r="CD3041" s="37"/>
      <c r="CE3041" s="37"/>
      <c r="CF3041" s="37"/>
      <c r="CG3041" s="37"/>
      <c r="CH3041" s="37"/>
      <c r="CI3041" s="37"/>
      <c r="CJ3041" s="37"/>
      <c r="CK3041" s="37"/>
      <c r="CL3041" s="37"/>
      <c r="CM3041" s="37"/>
      <c r="CN3041" s="37"/>
      <c r="CO3041" s="37"/>
      <c r="CP3041" s="37"/>
      <c r="CQ3041" s="37"/>
      <c r="CR3041" s="37"/>
      <c r="CS3041" s="37"/>
      <c r="CT3041" s="37"/>
      <c r="CU3041" s="37"/>
      <c r="CV3041" s="37"/>
      <c r="CW3041" s="37"/>
      <c r="CX3041" s="37"/>
      <c r="CY3041" s="37"/>
      <c r="CZ3041" s="37"/>
      <c r="DA3041" s="37"/>
      <c r="DB3041" s="37"/>
      <c r="DC3041" s="37"/>
      <c r="DD3041" s="37"/>
      <c r="DE3041" s="37"/>
      <c r="DF3041" s="37"/>
      <c r="DG3041" s="37"/>
      <c r="DH3041" s="37"/>
      <c r="DI3041" s="37"/>
      <c r="DJ3041" s="37"/>
      <c r="DK3041" s="37"/>
      <c r="DL3041" s="37"/>
      <c r="DM3041" s="37"/>
      <c r="DN3041" s="37"/>
      <c r="DO3041" s="37"/>
      <c r="DP3041" s="37"/>
      <c r="DQ3041" s="37"/>
      <c r="DR3041" s="37"/>
      <c r="DS3041" s="37"/>
      <c r="DT3041" s="37"/>
      <c r="DU3041" s="37"/>
      <c r="DV3041" s="37"/>
      <c r="DW3041" s="37"/>
      <c r="DX3041" s="37"/>
      <c r="DY3041" s="37"/>
      <c r="DZ3041" s="37"/>
      <c r="EA3041" s="37"/>
      <c r="EB3041" s="37"/>
      <c r="EC3041" s="37"/>
      <c r="ED3041" s="37"/>
      <c r="EE3041" s="37"/>
      <c r="EF3041" s="37"/>
      <c r="EG3041" s="37"/>
      <c r="EH3041" s="37"/>
      <c r="EI3041" s="37"/>
      <c r="EJ3041" s="37"/>
      <c r="EK3041" s="37"/>
      <c r="EL3041" s="37"/>
      <c r="EM3041" s="37"/>
      <c r="EN3041" s="37"/>
      <c r="EO3041" s="37"/>
      <c r="EP3041" s="37"/>
      <c r="EQ3041" s="37"/>
      <c r="ER3041" s="37"/>
      <c r="ES3041" s="37"/>
      <c r="ET3041" s="37"/>
      <c r="EU3041" s="37"/>
      <c r="EV3041" s="37"/>
      <c r="EW3041" s="37"/>
      <c r="EX3041" s="37"/>
      <c r="EY3041" s="37"/>
      <c r="EZ3041" s="37"/>
      <c r="FA3041" s="37"/>
      <c r="FB3041" s="37"/>
      <c r="FC3041" s="37"/>
      <c r="FD3041" s="37"/>
      <c r="FE3041" s="37"/>
      <c r="FF3041" s="37"/>
      <c r="FG3041" s="37"/>
      <c r="FH3041" s="37"/>
      <c r="FI3041" s="37"/>
      <c r="FJ3041" s="37"/>
      <c r="FK3041" s="37"/>
      <c r="FL3041" s="37"/>
      <c r="FM3041" s="37"/>
      <c r="FN3041" s="37"/>
      <c r="FO3041" s="37"/>
      <c r="FP3041" s="37"/>
      <c r="FQ3041" s="37"/>
      <c r="FR3041" s="37"/>
      <c r="FS3041" s="37"/>
      <c r="FT3041" s="37"/>
      <c r="FU3041" s="37"/>
      <c r="FV3041" s="37"/>
      <c r="FW3041" s="37"/>
      <c r="FX3041" s="37"/>
      <c r="FY3041" s="37"/>
      <c r="FZ3041" s="37"/>
      <c r="GA3041" s="37"/>
      <c r="GB3041" s="37"/>
      <c r="GC3041" s="37"/>
      <c r="GD3041" s="37"/>
      <c r="GE3041" s="37"/>
      <c r="GF3041" s="37"/>
      <c r="GG3041" s="37"/>
      <c r="GH3041" s="37"/>
      <c r="GI3041" s="37"/>
      <c r="GJ3041" s="37"/>
      <c r="GK3041" s="37"/>
      <c r="GL3041" s="37"/>
      <c r="GM3041" s="37"/>
      <c r="GN3041" s="37"/>
      <c r="GO3041" s="37"/>
      <c r="GP3041" s="37"/>
      <c r="GQ3041" s="37"/>
      <c r="GR3041" s="37"/>
      <c r="GS3041" s="37"/>
      <c r="GT3041" s="37"/>
      <c r="GU3041" s="37"/>
      <c r="GV3041" s="37"/>
      <c r="GW3041" s="37"/>
      <c r="GX3041" s="37"/>
      <c r="GY3041" s="37"/>
      <c r="GZ3041" s="37"/>
      <c r="HA3041" s="37"/>
      <c r="HB3041" s="37"/>
      <c r="HC3041" s="37"/>
      <c r="HD3041" s="37"/>
      <c r="HE3041" s="37"/>
      <c r="HF3041" s="37"/>
      <c r="HG3041" s="37"/>
      <c r="HH3041" s="37"/>
      <c r="HI3041" s="37"/>
      <c r="HJ3041" s="37"/>
      <c r="HK3041" s="37"/>
      <c r="HL3041" s="37"/>
      <c r="HM3041" s="37"/>
      <c r="HN3041" s="37"/>
      <c r="HO3041" s="37"/>
      <c r="HP3041" s="37"/>
      <c r="HQ3041" s="37"/>
      <c r="HR3041" s="37"/>
      <c r="HS3041" s="37"/>
      <c r="HT3041" s="37"/>
      <c r="HU3041" s="37"/>
      <c r="HV3041" s="37"/>
      <c r="HW3041" s="37"/>
      <c r="HX3041" s="37"/>
      <c r="HY3041" s="37"/>
      <c r="HZ3041" s="37"/>
      <c r="IA3041" s="37"/>
      <c r="IB3041" s="37"/>
      <c r="IC3041" s="37"/>
      <c r="ID3041" s="37"/>
      <c r="IE3041" s="37"/>
      <c r="IF3041" s="37"/>
      <c r="IG3041" s="37"/>
      <c r="IH3041" s="37"/>
      <c r="II3041" s="37"/>
      <c r="IJ3041" s="37"/>
      <c r="IK3041" s="37"/>
      <c r="IL3041" s="37"/>
      <c r="IM3041" s="37"/>
      <c r="IN3041" s="37"/>
      <c r="IO3041" s="37"/>
      <c r="IP3041" s="37"/>
      <c r="IQ3041" s="37"/>
      <c r="IR3041" s="37"/>
      <c r="IS3041" s="37"/>
      <c r="IT3041" s="37"/>
      <c r="IU3041" s="37"/>
      <c r="IV3041" s="37"/>
      <c r="IW3041" s="37"/>
      <c r="IX3041" s="37"/>
      <c r="IY3041" s="37"/>
      <c r="IZ3041" s="37"/>
      <c r="JA3041" s="37"/>
      <c r="JB3041" s="37"/>
      <c r="JC3041" s="37"/>
      <c r="JD3041" s="37"/>
      <c r="JE3041" s="37"/>
      <c r="JF3041" s="37"/>
      <c r="JG3041" s="37"/>
      <c r="JH3041" s="37"/>
      <c r="JI3041" s="37"/>
      <c r="JJ3041" s="37"/>
      <c r="JK3041" s="37"/>
      <c r="JL3041" s="37"/>
      <c r="JM3041" s="37"/>
      <c r="JN3041" s="37"/>
      <c r="JO3041" s="37"/>
      <c r="JP3041" s="37"/>
      <c r="JQ3041" s="37"/>
      <c r="JR3041" s="37"/>
      <c r="JS3041" s="37"/>
      <c r="JT3041" s="37"/>
      <c r="JU3041" s="37"/>
      <c r="JV3041" s="37"/>
      <c r="JW3041" s="37"/>
      <c r="JX3041" s="37"/>
      <c r="JY3041" s="37"/>
      <c r="JZ3041" s="37"/>
      <c r="KA3041" s="37"/>
      <c r="KB3041" s="37"/>
      <c r="KC3041" s="37"/>
      <c r="KD3041" s="37"/>
      <c r="KE3041" s="37"/>
      <c r="KF3041" s="37"/>
      <c r="KG3041" s="37"/>
      <c r="KH3041" s="37"/>
      <c r="KI3041" s="37"/>
      <c r="KJ3041" s="37"/>
      <c r="KK3041" s="37"/>
      <c r="KL3041" s="37"/>
      <c r="KM3041" s="37"/>
      <c r="KN3041" s="37"/>
      <c r="KO3041" s="37"/>
      <c r="KP3041" s="37"/>
      <c r="KQ3041" s="37"/>
      <c r="KR3041" s="37"/>
      <c r="KS3041" s="37"/>
      <c r="KT3041" s="37"/>
      <c r="KU3041" s="37"/>
      <c r="KV3041" s="37"/>
      <c r="KW3041" s="37"/>
      <c r="KX3041" s="37"/>
      <c r="KY3041" s="37"/>
      <c r="KZ3041" s="37"/>
      <c r="LA3041" s="37"/>
      <c r="LB3041" s="37"/>
      <c r="LC3041" s="37"/>
      <c r="LD3041" s="37"/>
      <c r="LE3041" s="37"/>
      <c r="LF3041" s="37"/>
      <c r="LG3041" s="37"/>
      <c r="LH3041" s="37"/>
      <c r="LI3041" s="37"/>
      <c r="LJ3041" s="37"/>
      <c r="LK3041" s="37"/>
      <c r="LL3041" s="37"/>
      <c r="LM3041" s="37"/>
      <c r="LN3041" s="37"/>
      <c r="LO3041" s="37"/>
      <c r="LP3041" s="37"/>
      <c r="LQ3041" s="37"/>
      <c r="LR3041" s="37"/>
      <c r="LS3041" s="37"/>
      <c r="LT3041" s="37"/>
      <c r="LU3041" s="37"/>
      <c r="LV3041" s="37"/>
      <c r="LW3041" s="37"/>
      <c r="LX3041" s="37"/>
      <c r="LY3041" s="37"/>
      <c r="LZ3041" s="37"/>
      <c r="MA3041" s="37"/>
      <c r="MB3041" s="37"/>
      <c r="MC3041" s="37"/>
      <c r="MD3041" s="37"/>
      <c r="ME3041" s="37"/>
      <c r="MF3041" s="37"/>
      <c r="MG3041" s="37"/>
      <c r="MH3041" s="37"/>
      <c r="MI3041" s="37"/>
      <c r="MJ3041" s="37"/>
      <c r="MK3041" s="37"/>
      <c r="ML3041" s="37"/>
      <c r="MM3041" s="37"/>
      <c r="MN3041" s="37"/>
      <c r="MO3041" s="37"/>
      <c r="MP3041" s="37"/>
      <c r="MQ3041" s="37"/>
      <c r="MR3041" s="37"/>
      <c r="MS3041" s="37"/>
      <c r="MT3041" s="37"/>
      <c r="MU3041" s="37"/>
      <c r="MV3041" s="37"/>
      <c r="MW3041" s="37"/>
      <c r="MX3041" s="37"/>
      <c r="MY3041" s="37"/>
      <c r="MZ3041" s="37"/>
      <c r="NA3041" s="37"/>
      <c r="NB3041" s="37"/>
      <c r="NC3041" s="37"/>
      <c r="ND3041" s="37"/>
      <c r="NE3041" s="37"/>
      <c r="NF3041" s="37"/>
      <c r="NG3041" s="37"/>
      <c r="NH3041" s="37"/>
      <c r="NI3041" s="37"/>
      <c r="NJ3041" s="37"/>
      <c r="NK3041" s="37"/>
      <c r="NL3041" s="37"/>
      <c r="NM3041" s="37"/>
      <c r="NN3041" s="37"/>
      <c r="NO3041" s="37"/>
      <c r="NP3041" s="37"/>
      <c r="NQ3041" s="37"/>
      <c r="NR3041" s="37"/>
      <c r="NS3041" s="37"/>
      <c r="NT3041" s="37"/>
      <c r="NU3041" s="37"/>
      <c r="NV3041" s="37"/>
      <c r="NW3041" s="37"/>
      <c r="NX3041" s="37"/>
      <c r="NY3041" s="37"/>
      <c r="NZ3041" s="37"/>
      <c r="OA3041" s="37"/>
      <c r="OB3041" s="37"/>
      <c r="OC3041" s="37"/>
      <c r="OD3041" s="37"/>
      <c r="OE3041" s="37"/>
      <c r="OF3041" s="37"/>
      <c r="OG3041" s="37"/>
      <c r="OH3041" s="37"/>
      <c r="OI3041" s="37"/>
      <c r="OJ3041" s="37"/>
      <c r="OK3041" s="37"/>
      <c r="OL3041" s="37"/>
      <c r="OM3041" s="37"/>
      <c r="ON3041" s="37"/>
      <c r="OO3041" s="37"/>
      <c r="OP3041" s="37"/>
      <c r="OQ3041" s="37"/>
      <c r="OR3041" s="37"/>
      <c r="OS3041" s="37"/>
      <c r="OT3041" s="37"/>
      <c r="OU3041" s="37"/>
      <c r="OV3041" s="37"/>
      <c r="OW3041" s="37"/>
      <c r="OX3041" s="37"/>
      <c r="OY3041" s="37"/>
      <c r="OZ3041" s="37"/>
      <c r="PA3041" s="37"/>
      <c r="PB3041" s="37"/>
      <c r="PC3041" s="37"/>
      <c r="PD3041" s="37"/>
      <c r="PE3041" s="37"/>
      <c r="PF3041" s="37"/>
      <c r="PG3041" s="37"/>
      <c r="PH3041" s="37"/>
      <c r="PI3041" s="37"/>
      <c r="PJ3041" s="37"/>
      <c r="PK3041" s="37"/>
      <c r="PL3041" s="37"/>
      <c r="PM3041" s="37"/>
      <c r="PN3041" s="37"/>
      <c r="PO3041" s="37"/>
      <c r="PP3041" s="37"/>
      <c r="PQ3041" s="37"/>
      <c r="PR3041" s="37"/>
      <c r="PS3041" s="37"/>
      <c r="PT3041" s="37"/>
      <c r="PU3041" s="37"/>
      <c r="PV3041" s="37"/>
      <c r="PW3041" s="37"/>
      <c r="PX3041" s="37"/>
      <c r="PY3041" s="37"/>
      <c r="PZ3041" s="37"/>
      <c r="QA3041" s="37"/>
      <c r="QB3041" s="37"/>
      <c r="QC3041" s="37"/>
      <c r="QD3041" s="37"/>
      <c r="QE3041" s="37"/>
      <c r="QF3041" s="37"/>
      <c r="QG3041" s="37"/>
      <c r="QH3041" s="37"/>
      <c r="QI3041" s="37"/>
      <c r="QJ3041" s="37"/>
      <c r="QK3041" s="37"/>
      <c r="QL3041" s="37"/>
      <c r="QM3041" s="37"/>
      <c r="QN3041" s="37"/>
      <c r="QO3041" s="37"/>
      <c r="QP3041" s="37"/>
      <c r="QQ3041" s="37"/>
      <c r="QR3041" s="37"/>
      <c r="QS3041" s="37"/>
      <c r="QT3041" s="37"/>
      <c r="QU3041" s="37"/>
      <c r="QV3041" s="37"/>
      <c r="QW3041" s="37"/>
      <c r="QX3041" s="37"/>
      <c r="QY3041" s="37"/>
      <c r="QZ3041" s="37"/>
      <c r="RA3041" s="37"/>
      <c r="RB3041" s="37"/>
      <c r="RC3041" s="37"/>
      <c r="RD3041" s="37"/>
      <c r="RE3041" s="37"/>
      <c r="RF3041" s="37"/>
      <c r="RG3041" s="37"/>
      <c r="RH3041" s="37"/>
      <c r="RI3041" s="37"/>
      <c r="RJ3041" s="37"/>
      <c r="RK3041" s="37"/>
      <c r="RL3041" s="37"/>
      <c r="RM3041" s="37"/>
      <c r="RN3041" s="37"/>
      <c r="RO3041" s="37"/>
      <c r="RP3041" s="37"/>
      <c r="RQ3041" s="37"/>
      <c r="RR3041" s="37"/>
      <c r="RS3041" s="37"/>
      <c r="RT3041" s="37"/>
      <c r="RU3041" s="37"/>
      <c r="RV3041" s="37"/>
      <c r="RW3041" s="37"/>
      <c r="RX3041" s="37"/>
      <c r="RY3041" s="37"/>
      <c r="RZ3041" s="37"/>
      <c r="SA3041" s="37"/>
      <c r="SB3041" s="37"/>
      <c r="SC3041" s="37"/>
      <c r="SD3041" s="37"/>
      <c r="SE3041" s="37"/>
      <c r="SF3041" s="37"/>
    </row>
    <row r="3042" spans="1:500">
      <c r="A3042" s="37"/>
      <c r="B3042" s="37"/>
      <c r="C3042" s="37"/>
      <c r="D3042" s="37"/>
      <c r="E3042" s="37"/>
      <c r="F3042" s="37"/>
      <c r="G3042" s="37"/>
      <c r="H3042" s="37"/>
      <c r="I3042" s="37"/>
      <c r="J3042" s="37"/>
      <c r="K3042" s="37"/>
      <c r="L3042" s="37"/>
      <c r="M3042" s="37"/>
      <c r="N3042" s="37"/>
      <c r="O3042" s="37"/>
      <c r="P3042" s="37"/>
      <c r="Q3042" s="37"/>
      <c r="R3042" s="37"/>
      <c r="S3042" s="37"/>
      <c r="T3042" s="37"/>
      <c r="U3042" s="37"/>
      <c r="V3042" s="37"/>
      <c r="W3042" s="37"/>
      <c r="X3042" s="37"/>
      <c r="Y3042" s="37"/>
      <c r="Z3042" s="37"/>
      <c r="AA3042" s="37"/>
      <c r="AB3042" s="37"/>
      <c r="AC3042" s="37"/>
      <c r="AD3042" s="37"/>
      <c r="AE3042" s="37"/>
      <c r="AF3042" s="37"/>
      <c r="AG3042" s="37"/>
      <c r="AH3042" s="37"/>
      <c r="AI3042" s="37"/>
      <c r="AJ3042" s="37"/>
      <c r="AK3042" s="37"/>
      <c r="AL3042" s="37"/>
      <c r="AM3042" s="37"/>
      <c r="AN3042" s="37"/>
      <c r="AO3042" s="37"/>
      <c r="AP3042" s="37"/>
      <c r="AQ3042" s="37"/>
      <c r="AR3042" s="37"/>
      <c r="AS3042" s="37"/>
      <c r="AT3042" s="37"/>
      <c r="AU3042" s="37"/>
      <c r="AV3042" s="37"/>
      <c r="AW3042" s="37"/>
      <c r="AX3042" s="37"/>
      <c r="AY3042" s="37"/>
      <c r="AZ3042" s="37"/>
      <c r="BA3042" s="37"/>
      <c r="BB3042" s="37"/>
      <c r="BC3042" s="37"/>
      <c r="BD3042" s="37"/>
      <c r="BE3042" s="37"/>
      <c r="BF3042" s="37"/>
      <c r="BG3042" s="37"/>
      <c r="BH3042" s="37"/>
      <c r="BI3042" s="37"/>
      <c r="BJ3042" s="37"/>
      <c r="BK3042" s="37"/>
      <c r="BL3042" s="37"/>
      <c r="BM3042" s="37"/>
      <c r="BN3042" s="37"/>
      <c r="BO3042" s="37"/>
      <c r="BP3042" s="37"/>
      <c r="BQ3042" s="37"/>
      <c r="BR3042" s="37"/>
      <c r="BS3042" s="37"/>
      <c r="BT3042" s="37"/>
      <c r="BU3042" s="37"/>
      <c r="BV3042" s="37"/>
      <c r="BW3042" s="37"/>
      <c r="BX3042" s="37"/>
      <c r="BY3042" s="37"/>
      <c r="BZ3042" s="37"/>
      <c r="CA3042" s="37"/>
      <c r="CB3042" s="37"/>
      <c r="CC3042" s="37"/>
      <c r="CD3042" s="37"/>
      <c r="CE3042" s="37"/>
      <c r="CF3042" s="37"/>
      <c r="CG3042" s="37"/>
      <c r="CH3042" s="37"/>
      <c r="CI3042" s="37"/>
      <c r="CJ3042" s="37"/>
      <c r="CK3042" s="37"/>
      <c r="CL3042" s="37"/>
      <c r="CM3042" s="37"/>
      <c r="CN3042" s="37"/>
      <c r="CO3042" s="37"/>
      <c r="CP3042" s="37"/>
      <c r="CQ3042" s="37"/>
      <c r="CR3042" s="37"/>
      <c r="CS3042" s="37"/>
      <c r="CT3042" s="37"/>
      <c r="CU3042" s="37"/>
      <c r="CV3042" s="37"/>
      <c r="CW3042" s="37"/>
      <c r="CX3042" s="37"/>
      <c r="CY3042" s="37"/>
      <c r="CZ3042" s="37"/>
      <c r="DA3042" s="37"/>
      <c r="DB3042" s="37"/>
      <c r="DC3042" s="37"/>
      <c r="DD3042" s="37"/>
      <c r="DE3042" s="37"/>
      <c r="DF3042" s="37"/>
      <c r="DG3042" s="37"/>
      <c r="DH3042" s="37"/>
      <c r="DI3042" s="37"/>
      <c r="DJ3042" s="37"/>
      <c r="DK3042" s="37"/>
      <c r="DL3042" s="37"/>
      <c r="DM3042" s="37"/>
      <c r="DN3042" s="37"/>
      <c r="DO3042" s="37"/>
      <c r="DP3042" s="37"/>
      <c r="DQ3042" s="37"/>
      <c r="DR3042" s="37"/>
      <c r="DS3042" s="37"/>
      <c r="DT3042" s="37"/>
      <c r="DU3042" s="37"/>
      <c r="DV3042" s="37"/>
      <c r="DW3042" s="37"/>
      <c r="DX3042" s="37"/>
      <c r="DY3042" s="37"/>
      <c r="DZ3042" s="37"/>
      <c r="EA3042" s="37"/>
      <c r="EB3042" s="37"/>
      <c r="EC3042" s="37"/>
      <c r="ED3042" s="37"/>
      <c r="EE3042" s="37"/>
      <c r="EF3042" s="37"/>
      <c r="EG3042" s="37"/>
      <c r="EH3042" s="37"/>
      <c r="EI3042" s="37"/>
      <c r="EJ3042" s="37"/>
      <c r="EK3042" s="37"/>
      <c r="EL3042" s="37"/>
      <c r="EM3042" s="37"/>
      <c r="EN3042" s="37"/>
      <c r="EO3042" s="37"/>
      <c r="EP3042" s="37"/>
      <c r="EQ3042" s="37"/>
      <c r="ER3042" s="37"/>
      <c r="ES3042" s="37"/>
      <c r="ET3042" s="37"/>
      <c r="EU3042" s="37"/>
      <c r="EV3042" s="37"/>
      <c r="EW3042" s="37"/>
      <c r="EX3042" s="37"/>
      <c r="EY3042" s="37"/>
      <c r="EZ3042" s="37"/>
      <c r="FA3042" s="37"/>
      <c r="FB3042" s="37"/>
      <c r="FC3042" s="37"/>
      <c r="FD3042" s="37"/>
      <c r="FE3042" s="37"/>
      <c r="FF3042" s="37"/>
      <c r="FG3042" s="37"/>
      <c r="FH3042" s="37"/>
      <c r="FI3042" s="37"/>
      <c r="FJ3042" s="37"/>
      <c r="FK3042" s="37"/>
      <c r="FL3042" s="37"/>
      <c r="FM3042" s="37"/>
      <c r="FN3042" s="37"/>
      <c r="FO3042" s="37"/>
      <c r="FP3042" s="37"/>
      <c r="FQ3042" s="37"/>
      <c r="FR3042" s="37"/>
      <c r="FS3042" s="37"/>
      <c r="FT3042" s="37"/>
      <c r="FU3042" s="37"/>
      <c r="FV3042" s="37"/>
      <c r="FW3042" s="37"/>
      <c r="FX3042" s="37"/>
      <c r="FY3042" s="37"/>
      <c r="FZ3042" s="37"/>
      <c r="GA3042" s="37"/>
      <c r="GB3042" s="37"/>
      <c r="GC3042" s="37"/>
      <c r="GD3042" s="37"/>
      <c r="GE3042" s="37"/>
      <c r="GF3042" s="37"/>
      <c r="GG3042" s="37"/>
      <c r="GH3042" s="37"/>
      <c r="GI3042" s="37"/>
      <c r="GJ3042" s="37"/>
      <c r="GK3042" s="37"/>
      <c r="GL3042" s="37"/>
      <c r="GM3042" s="37"/>
      <c r="GN3042" s="37"/>
      <c r="GO3042" s="37"/>
      <c r="GP3042" s="37"/>
      <c r="GQ3042" s="37"/>
      <c r="GR3042" s="37"/>
      <c r="GS3042" s="37"/>
      <c r="GT3042" s="37"/>
      <c r="GU3042" s="37"/>
      <c r="GV3042" s="37"/>
      <c r="GW3042" s="37"/>
      <c r="GX3042" s="37"/>
      <c r="GY3042" s="37"/>
      <c r="GZ3042" s="37"/>
      <c r="HA3042" s="37"/>
      <c r="HB3042" s="37"/>
      <c r="HC3042" s="37"/>
      <c r="HD3042" s="37"/>
      <c r="HE3042" s="37"/>
      <c r="HF3042" s="37"/>
      <c r="HG3042" s="37"/>
      <c r="HH3042" s="37"/>
      <c r="HI3042" s="37"/>
      <c r="HJ3042" s="37"/>
      <c r="HK3042" s="37"/>
      <c r="HL3042" s="37"/>
      <c r="HM3042" s="37"/>
      <c r="HN3042" s="37"/>
      <c r="HO3042" s="37"/>
      <c r="HP3042" s="37"/>
      <c r="HQ3042" s="37"/>
      <c r="HR3042" s="37"/>
      <c r="HS3042" s="37"/>
      <c r="HT3042" s="37"/>
      <c r="HU3042" s="37"/>
      <c r="HV3042" s="37"/>
      <c r="HW3042" s="37"/>
      <c r="HX3042" s="37"/>
      <c r="HY3042" s="37"/>
      <c r="HZ3042" s="37"/>
      <c r="IA3042" s="37"/>
      <c r="IB3042" s="37"/>
      <c r="IC3042" s="37"/>
      <c r="ID3042" s="37"/>
      <c r="IE3042" s="37"/>
      <c r="IF3042" s="37"/>
      <c r="IG3042" s="37"/>
      <c r="IH3042" s="37"/>
      <c r="II3042" s="37"/>
      <c r="IJ3042" s="37"/>
      <c r="IK3042" s="37"/>
      <c r="IL3042" s="37"/>
      <c r="IM3042" s="37"/>
      <c r="IN3042" s="37"/>
      <c r="IO3042" s="37"/>
      <c r="IP3042" s="37"/>
      <c r="IQ3042" s="37"/>
      <c r="IR3042" s="37"/>
      <c r="IS3042" s="37"/>
      <c r="IT3042" s="37"/>
      <c r="IU3042" s="37"/>
      <c r="IV3042" s="37"/>
      <c r="IW3042" s="37"/>
      <c r="IX3042" s="37"/>
      <c r="IY3042" s="37"/>
      <c r="IZ3042" s="37"/>
      <c r="JA3042" s="37"/>
      <c r="JB3042" s="37"/>
      <c r="JC3042" s="37"/>
      <c r="JD3042" s="37"/>
      <c r="JE3042" s="37"/>
      <c r="JF3042" s="37"/>
      <c r="JG3042" s="37"/>
      <c r="JH3042" s="37"/>
      <c r="JI3042" s="37"/>
      <c r="JJ3042" s="37"/>
      <c r="JK3042" s="37"/>
      <c r="JL3042" s="37"/>
      <c r="JM3042" s="37"/>
      <c r="JN3042" s="37"/>
      <c r="JO3042" s="37"/>
      <c r="JP3042" s="37"/>
      <c r="JQ3042" s="37"/>
      <c r="JR3042" s="37"/>
      <c r="JS3042" s="37"/>
      <c r="JT3042" s="37"/>
      <c r="JU3042" s="37"/>
      <c r="JV3042" s="37"/>
      <c r="JW3042" s="37"/>
      <c r="JX3042" s="37"/>
      <c r="JY3042" s="37"/>
      <c r="JZ3042" s="37"/>
      <c r="KA3042" s="37"/>
      <c r="KB3042" s="37"/>
      <c r="KC3042" s="37"/>
      <c r="KD3042" s="37"/>
      <c r="KE3042" s="37"/>
      <c r="KF3042" s="37"/>
      <c r="KG3042" s="37"/>
      <c r="KH3042" s="37"/>
      <c r="KI3042" s="37"/>
      <c r="KJ3042" s="37"/>
      <c r="KK3042" s="37"/>
      <c r="KL3042" s="37"/>
      <c r="KM3042" s="37"/>
      <c r="KN3042" s="37"/>
      <c r="KO3042" s="37"/>
      <c r="KP3042" s="37"/>
      <c r="KQ3042" s="37"/>
      <c r="KR3042" s="37"/>
      <c r="KS3042" s="37"/>
      <c r="KT3042" s="37"/>
      <c r="KU3042" s="37"/>
      <c r="KV3042" s="37"/>
      <c r="KW3042" s="37"/>
      <c r="KX3042" s="37"/>
      <c r="KY3042" s="37"/>
      <c r="KZ3042" s="37"/>
      <c r="LA3042" s="37"/>
      <c r="LB3042" s="37"/>
      <c r="LC3042" s="37"/>
      <c r="LD3042" s="37"/>
      <c r="LE3042" s="37"/>
      <c r="LF3042" s="37"/>
      <c r="LG3042" s="37"/>
      <c r="LH3042" s="37"/>
      <c r="LI3042" s="37"/>
      <c r="LJ3042" s="37"/>
      <c r="LK3042" s="37"/>
      <c r="LL3042" s="37"/>
      <c r="LM3042" s="37"/>
      <c r="LN3042" s="37"/>
      <c r="LO3042" s="37"/>
      <c r="LP3042" s="37"/>
      <c r="LQ3042" s="37"/>
      <c r="LR3042" s="37"/>
      <c r="LS3042" s="37"/>
      <c r="LT3042" s="37"/>
      <c r="LU3042" s="37"/>
      <c r="LV3042" s="37"/>
      <c r="LW3042" s="37"/>
      <c r="LX3042" s="37"/>
      <c r="LY3042" s="37"/>
      <c r="LZ3042" s="37"/>
      <c r="MA3042" s="37"/>
      <c r="MB3042" s="37"/>
      <c r="MC3042" s="37"/>
      <c r="MD3042" s="37"/>
      <c r="ME3042" s="37"/>
      <c r="MF3042" s="37"/>
      <c r="MG3042" s="37"/>
      <c r="MH3042" s="37"/>
      <c r="MI3042" s="37"/>
      <c r="MJ3042" s="37"/>
      <c r="MK3042" s="37"/>
      <c r="ML3042" s="37"/>
      <c r="MM3042" s="37"/>
      <c r="MN3042" s="37"/>
      <c r="MO3042" s="37"/>
      <c r="MP3042" s="37"/>
      <c r="MQ3042" s="37"/>
      <c r="MR3042" s="37"/>
      <c r="MS3042" s="37"/>
      <c r="MT3042" s="37"/>
      <c r="MU3042" s="37"/>
      <c r="MV3042" s="37"/>
      <c r="MW3042" s="37"/>
      <c r="MX3042" s="37"/>
      <c r="MY3042" s="37"/>
      <c r="MZ3042" s="37"/>
      <c r="NA3042" s="37"/>
      <c r="NB3042" s="37"/>
      <c r="NC3042" s="37"/>
      <c r="ND3042" s="37"/>
      <c r="NE3042" s="37"/>
      <c r="NF3042" s="37"/>
      <c r="NG3042" s="37"/>
      <c r="NH3042" s="37"/>
      <c r="NI3042" s="37"/>
      <c r="NJ3042" s="37"/>
      <c r="NK3042" s="37"/>
      <c r="NL3042" s="37"/>
      <c r="NM3042" s="37"/>
      <c r="NN3042" s="37"/>
      <c r="NO3042" s="37"/>
      <c r="NP3042" s="37"/>
      <c r="NQ3042" s="37"/>
      <c r="NR3042" s="37"/>
      <c r="NS3042" s="37"/>
      <c r="NT3042" s="37"/>
      <c r="NU3042" s="37"/>
      <c r="NV3042" s="37"/>
      <c r="NW3042" s="37"/>
      <c r="NX3042" s="37"/>
      <c r="NY3042" s="37"/>
      <c r="NZ3042" s="37"/>
      <c r="OA3042" s="37"/>
      <c r="OB3042" s="37"/>
      <c r="OC3042" s="37"/>
      <c r="OD3042" s="37"/>
      <c r="OE3042" s="37"/>
      <c r="OF3042" s="37"/>
      <c r="OG3042" s="37"/>
      <c r="OH3042" s="37"/>
      <c r="OI3042" s="37"/>
      <c r="OJ3042" s="37"/>
      <c r="OK3042" s="37"/>
      <c r="OL3042" s="37"/>
      <c r="OM3042" s="37"/>
      <c r="ON3042" s="37"/>
      <c r="OO3042" s="37"/>
      <c r="OP3042" s="37"/>
      <c r="OQ3042" s="37"/>
      <c r="OR3042" s="37"/>
      <c r="OS3042" s="37"/>
      <c r="OT3042" s="37"/>
      <c r="OU3042" s="37"/>
      <c r="OV3042" s="37"/>
      <c r="OW3042" s="37"/>
      <c r="OX3042" s="37"/>
      <c r="OY3042" s="37"/>
      <c r="OZ3042" s="37"/>
      <c r="PA3042" s="37"/>
      <c r="PB3042" s="37"/>
      <c r="PC3042" s="37"/>
      <c r="PD3042" s="37"/>
      <c r="PE3042" s="37"/>
      <c r="PF3042" s="37"/>
      <c r="PG3042" s="37"/>
      <c r="PH3042" s="37"/>
      <c r="PI3042" s="37"/>
      <c r="PJ3042" s="37"/>
      <c r="PK3042" s="37"/>
      <c r="PL3042" s="37"/>
      <c r="PM3042" s="37"/>
      <c r="PN3042" s="37"/>
      <c r="PO3042" s="37"/>
      <c r="PP3042" s="37"/>
      <c r="PQ3042" s="37"/>
      <c r="PR3042" s="37"/>
      <c r="PS3042" s="37"/>
      <c r="PT3042" s="37"/>
      <c r="PU3042" s="37"/>
      <c r="PV3042" s="37"/>
      <c r="PW3042" s="37"/>
      <c r="PX3042" s="37"/>
      <c r="PY3042" s="37"/>
      <c r="PZ3042" s="37"/>
      <c r="QA3042" s="37"/>
      <c r="QB3042" s="37"/>
      <c r="QC3042" s="37"/>
      <c r="QD3042" s="37"/>
      <c r="QE3042" s="37"/>
      <c r="QF3042" s="37"/>
      <c r="QG3042" s="37"/>
      <c r="QH3042" s="37"/>
      <c r="QI3042" s="37"/>
      <c r="QJ3042" s="37"/>
      <c r="QK3042" s="37"/>
      <c r="QL3042" s="37"/>
      <c r="QM3042" s="37"/>
      <c r="QN3042" s="37"/>
      <c r="QO3042" s="37"/>
      <c r="QP3042" s="37"/>
      <c r="QQ3042" s="37"/>
      <c r="QR3042" s="37"/>
      <c r="QS3042" s="37"/>
      <c r="QT3042" s="37"/>
      <c r="QU3042" s="37"/>
      <c r="QV3042" s="37"/>
      <c r="QW3042" s="37"/>
      <c r="QX3042" s="37"/>
      <c r="QY3042" s="37"/>
      <c r="QZ3042" s="37"/>
      <c r="RA3042" s="37"/>
      <c r="RB3042" s="37"/>
      <c r="RC3042" s="37"/>
      <c r="RD3042" s="37"/>
      <c r="RE3042" s="37"/>
      <c r="RF3042" s="37"/>
      <c r="RG3042" s="37"/>
      <c r="RH3042" s="37"/>
      <c r="RI3042" s="37"/>
      <c r="RJ3042" s="37"/>
      <c r="RK3042" s="37"/>
      <c r="RL3042" s="37"/>
      <c r="RM3042" s="37"/>
      <c r="RN3042" s="37"/>
      <c r="RO3042" s="37"/>
      <c r="RP3042" s="37"/>
      <c r="RQ3042" s="37"/>
      <c r="RR3042" s="37"/>
      <c r="RS3042" s="37"/>
      <c r="RT3042" s="37"/>
      <c r="RU3042" s="37"/>
      <c r="RV3042" s="37"/>
      <c r="RW3042" s="37"/>
      <c r="RX3042" s="37"/>
      <c r="RY3042" s="37"/>
      <c r="RZ3042" s="37"/>
      <c r="SA3042" s="37"/>
      <c r="SB3042" s="37"/>
      <c r="SC3042" s="37"/>
      <c r="SD3042" s="37"/>
      <c r="SE3042" s="37"/>
      <c r="SF3042" s="37"/>
    </row>
    <row r="3043" spans="1:500">
      <c r="A3043" s="37"/>
      <c r="B3043" s="37"/>
      <c r="C3043" s="37"/>
      <c r="D3043" s="37"/>
      <c r="E3043" s="37"/>
      <c r="F3043" s="37"/>
      <c r="G3043" s="37"/>
      <c r="H3043" s="37"/>
      <c r="I3043" s="37"/>
      <c r="J3043" s="37"/>
      <c r="K3043" s="37"/>
      <c r="L3043" s="37"/>
      <c r="M3043" s="37"/>
      <c r="N3043" s="37"/>
      <c r="O3043" s="37"/>
      <c r="P3043" s="37"/>
      <c r="Q3043" s="37"/>
      <c r="R3043" s="37"/>
      <c r="S3043" s="37"/>
      <c r="T3043" s="37"/>
      <c r="U3043" s="37"/>
      <c r="V3043" s="37"/>
      <c r="W3043" s="37"/>
      <c r="X3043" s="37"/>
      <c r="Y3043" s="37"/>
      <c r="Z3043" s="37"/>
      <c r="AA3043" s="37"/>
      <c r="AB3043" s="37"/>
      <c r="AC3043" s="37"/>
      <c r="AD3043" s="37"/>
      <c r="AE3043" s="37"/>
      <c r="AF3043" s="37"/>
      <c r="AG3043" s="37"/>
      <c r="AH3043" s="37"/>
      <c r="AI3043" s="37"/>
      <c r="AJ3043" s="37"/>
      <c r="AK3043" s="37"/>
      <c r="AL3043" s="37"/>
      <c r="AM3043" s="37"/>
      <c r="AN3043" s="37"/>
      <c r="AO3043" s="37"/>
      <c r="AP3043" s="37"/>
      <c r="AQ3043" s="37"/>
      <c r="AR3043" s="37"/>
      <c r="AS3043" s="37"/>
      <c r="AT3043" s="37"/>
      <c r="AU3043" s="37"/>
      <c r="AV3043" s="37"/>
      <c r="AW3043" s="37"/>
      <c r="AX3043" s="37"/>
      <c r="AY3043" s="37"/>
      <c r="AZ3043" s="37"/>
      <c r="BA3043" s="37"/>
      <c r="BB3043" s="37"/>
      <c r="BC3043" s="37"/>
      <c r="BD3043" s="37"/>
      <c r="BE3043" s="37"/>
      <c r="BF3043" s="37"/>
      <c r="BG3043" s="37"/>
      <c r="BH3043" s="37"/>
      <c r="BI3043" s="37"/>
      <c r="BJ3043" s="37"/>
      <c r="BK3043" s="37"/>
      <c r="BL3043" s="37"/>
      <c r="BM3043" s="37"/>
      <c r="BN3043" s="37"/>
      <c r="BO3043" s="37"/>
      <c r="BP3043" s="37"/>
      <c r="BQ3043" s="37"/>
      <c r="BR3043" s="37"/>
      <c r="BS3043" s="37"/>
      <c r="BT3043" s="37"/>
      <c r="BU3043" s="37"/>
      <c r="BV3043" s="37"/>
      <c r="BW3043" s="37"/>
      <c r="BX3043" s="37"/>
      <c r="BY3043" s="37"/>
      <c r="BZ3043" s="37"/>
      <c r="CA3043" s="37"/>
      <c r="CB3043" s="37"/>
      <c r="CC3043" s="37"/>
      <c r="CD3043" s="37"/>
      <c r="CE3043" s="37"/>
      <c r="CF3043" s="37"/>
      <c r="CG3043" s="37"/>
      <c r="CH3043" s="37"/>
      <c r="CI3043" s="37"/>
      <c r="CJ3043" s="37"/>
      <c r="CK3043" s="37"/>
      <c r="CL3043" s="37"/>
      <c r="CM3043" s="37"/>
      <c r="CN3043" s="37"/>
      <c r="CO3043" s="37"/>
      <c r="CP3043" s="37"/>
      <c r="CQ3043" s="37"/>
      <c r="CR3043" s="37"/>
      <c r="CS3043" s="37"/>
      <c r="CT3043" s="37"/>
      <c r="CU3043" s="37"/>
      <c r="CV3043" s="37"/>
      <c r="CW3043" s="37"/>
      <c r="CX3043" s="37"/>
      <c r="CY3043" s="37"/>
      <c r="CZ3043" s="37"/>
      <c r="DA3043" s="37"/>
      <c r="DB3043" s="37"/>
      <c r="DC3043" s="37"/>
      <c r="DD3043" s="37"/>
      <c r="DE3043" s="37"/>
      <c r="DF3043" s="37"/>
      <c r="DG3043" s="37"/>
      <c r="DH3043" s="37"/>
      <c r="DI3043" s="37"/>
      <c r="DJ3043" s="37"/>
      <c r="DK3043" s="37"/>
      <c r="DL3043" s="37"/>
      <c r="DM3043" s="37"/>
      <c r="DN3043" s="37"/>
      <c r="DO3043" s="37"/>
      <c r="DP3043" s="37"/>
      <c r="DQ3043" s="37"/>
      <c r="DR3043" s="37"/>
      <c r="DS3043" s="37"/>
      <c r="DT3043" s="37"/>
      <c r="DU3043" s="37"/>
      <c r="DV3043" s="37"/>
      <c r="DW3043" s="37"/>
      <c r="DX3043" s="37"/>
      <c r="DY3043" s="37"/>
      <c r="DZ3043" s="37"/>
      <c r="EA3043" s="37"/>
      <c r="EB3043" s="37"/>
      <c r="EC3043" s="37"/>
      <c r="ED3043" s="37"/>
      <c r="EE3043" s="37"/>
      <c r="EF3043" s="37"/>
      <c r="EG3043" s="37"/>
      <c r="EH3043" s="37"/>
      <c r="EI3043" s="37"/>
      <c r="EJ3043" s="37"/>
      <c r="EK3043" s="37"/>
      <c r="EL3043" s="37"/>
      <c r="EM3043" s="37"/>
      <c r="EN3043" s="37"/>
      <c r="EO3043" s="37"/>
      <c r="EP3043" s="37"/>
      <c r="EQ3043" s="37"/>
      <c r="ER3043" s="37"/>
      <c r="ES3043" s="37"/>
      <c r="ET3043" s="37"/>
      <c r="EU3043" s="37"/>
      <c r="EV3043" s="37"/>
      <c r="EW3043" s="37"/>
      <c r="EX3043" s="37"/>
      <c r="EY3043" s="37"/>
      <c r="EZ3043" s="37"/>
      <c r="FA3043" s="37"/>
      <c r="FB3043" s="37"/>
      <c r="FC3043" s="37"/>
      <c r="FD3043" s="37"/>
      <c r="FE3043" s="37"/>
      <c r="FF3043" s="37"/>
      <c r="FG3043" s="37"/>
      <c r="FH3043" s="37"/>
      <c r="FI3043" s="37"/>
      <c r="FJ3043" s="37"/>
      <c r="FK3043" s="37"/>
      <c r="FL3043" s="37"/>
      <c r="FM3043" s="37"/>
      <c r="FN3043" s="37"/>
      <c r="FO3043" s="37"/>
      <c r="FP3043" s="37"/>
      <c r="FQ3043" s="37"/>
      <c r="FR3043" s="37"/>
      <c r="FS3043" s="37"/>
      <c r="FT3043" s="37"/>
      <c r="FU3043" s="37"/>
      <c r="FV3043" s="37"/>
      <c r="FW3043" s="37"/>
      <c r="FX3043" s="37"/>
      <c r="FY3043" s="37"/>
      <c r="FZ3043" s="37"/>
      <c r="GA3043" s="37"/>
      <c r="GB3043" s="37"/>
      <c r="GC3043" s="37"/>
      <c r="GD3043" s="37"/>
      <c r="GE3043" s="37"/>
      <c r="GF3043" s="37"/>
      <c r="GG3043" s="37"/>
      <c r="GH3043" s="37"/>
      <c r="GI3043" s="37"/>
      <c r="GJ3043" s="37"/>
      <c r="GK3043" s="37"/>
      <c r="GL3043" s="37"/>
      <c r="GM3043" s="37"/>
      <c r="GN3043" s="37"/>
      <c r="GO3043" s="37"/>
      <c r="GP3043" s="37"/>
      <c r="GQ3043" s="37"/>
      <c r="GR3043" s="37"/>
      <c r="GS3043" s="37"/>
      <c r="GT3043" s="37"/>
      <c r="GU3043" s="37"/>
      <c r="GV3043" s="37"/>
      <c r="GW3043" s="37"/>
      <c r="GX3043" s="37"/>
      <c r="GY3043" s="37"/>
      <c r="GZ3043" s="37"/>
      <c r="HA3043" s="37"/>
      <c r="HB3043" s="37"/>
      <c r="HC3043" s="37"/>
      <c r="HD3043" s="37"/>
      <c r="HE3043" s="37"/>
      <c r="HF3043" s="37"/>
      <c r="HG3043" s="37"/>
      <c r="HH3043" s="37"/>
      <c r="HI3043" s="37"/>
      <c r="HJ3043" s="37"/>
      <c r="HK3043" s="37"/>
      <c r="HL3043" s="37"/>
      <c r="HM3043" s="37"/>
      <c r="HN3043" s="37"/>
      <c r="HO3043" s="37"/>
      <c r="HP3043" s="37"/>
      <c r="HQ3043" s="37"/>
      <c r="HR3043" s="37"/>
      <c r="HS3043" s="37"/>
      <c r="HT3043" s="37"/>
      <c r="HU3043" s="37"/>
      <c r="HV3043" s="37"/>
      <c r="HW3043" s="37"/>
      <c r="HX3043" s="37"/>
      <c r="HY3043" s="37"/>
      <c r="HZ3043" s="37"/>
      <c r="IA3043" s="37"/>
      <c r="IB3043" s="37"/>
      <c r="IC3043" s="37"/>
      <c r="ID3043" s="37"/>
      <c r="IE3043" s="37"/>
      <c r="IF3043" s="37"/>
      <c r="IG3043" s="37"/>
      <c r="IH3043" s="37"/>
      <c r="II3043" s="37"/>
      <c r="IJ3043" s="37"/>
      <c r="IK3043" s="37"/>
      <c r="IL3043" s="37"/>
      <c r="IM3043" s="37"/>
      <c r="IN3043" s="37"/>
      <c r="IO3043" s="37"/>
      <c r="IP3043" s="37"/>
      <c r="IQ3043" s="37"/>
      <c r="IR3043" s="37"/>
      <c r="IS3043" s="37"/>
      <c r="IT3043" s="37"/>
      <c r="IU3043" s="37"/>
      <c r="IV3043" s="37"/>
      <c r="IW3043" s="37"/>
      <c r="IX3043" s="37"/>
      <c r="IY3043" s="37"/>
      <c r="IZ3043" s="37"/>
      <c r="JA3043" s="37"/>
      <c r="JB3043" s="37"/>
      <c r="JC3043" s="37"/>
      <c r="JD3043" s="37"/>
      <c r="JE3043" s="37"/>
      <c r="JF3043" s="37"/>
      <c r="JG3043" s="37"/>
      <c r="JH3043" s="37"/>
      <c r="JI3043" s="37"/>
      <c r="JJ3043" s="37"/>
      <c r="JK3043" s="37"/>
      <c r="JL3043" s="37"/>
      <c r="JM3043" s="37"/>
      <c r="JN3043" s="37"/>
      <c r="JO3043" s="37"/>
      <c r="JP3043" s="37"/>
      <c r="JQ3043" s="37"/>
      <c r="JR3043" s="37"/>
      <c r="JS3043" s="37"/>
      <c r="JT3043" s="37"/>
      <c r="JU3043" s="37"/>
      <c r="JV3043" s="37"/>
      <c r="JW3043" s="37"/>
      <c r="JX3043" s="37"/>
      <c r="JY3043" s="37"/>
      <c r="JZ3043" s="37"/>
      <c r="KA3043" s="37"/>
      <c r="KB3043" s="37"/>
      <c r="KC3043" s="37"/>
      <c r="KD3043" s="37"/>
      <c r="KE3043" s="37"/>
      <c r="KF3043" s="37"/>
      <c r="KG3043" s="37"/>
      <c r="KH3043" s="37"/>
      <c r="KI3043" s="37"/>
      <c r="KJ3043" s="37"/>
      <c r="KK3043" s="37"/>
      <c r="KL3043" s="37"/>
      <c r="KM3043" s="37"/>
      <c r="KN3043" s="37"/>
      <c r="KO3043" s="37"/>
      <c r="KP3043" s="37"/>
      <c r="KQ3043" s="37"/>
      <c r="KR3043" s="37"/>
      <c r="KS3043" s="37"/>
      <c r="KT3043" s="37"/>
      <c r="KU3043" s="37"/>
      <c r="KV3043" s="37"/>
      <c r="KW3043" s="37"/>
      <c r="KX3043" s="37"/>
      <c r="KY3043" s="37"/>
      <c r="KZ3043" s="37"/>
      <c r="LA3043" s="37"/>
      <c r="LB3043" s="37"/>
      <c r="LC3043" s="37"/>
      <c r="LD3043" s="37"/>
      <c r="LE3043" s="37"/>
      <c r="LF3043" s="37"/>
      <c r="LG3043" s="37"/>
      <c r="LH3043" s="37"/>
      <c r="LI3043" s="37"/>
      <c r="LJ3043" s="37"/>
      <c r="LK3043" s="37"/>
      <c r="LL3043" s="37"/>
      <c r="LM3043" s="37"/>
      <c r="LN3043" s="37"/>
      <c r="LO3043" s="37"/>
      <c r="LP3043" s="37"/>
      <c r="LQ3043" s="37"/>
      <c r="LR3043" s="37"/>
      <c r="LS3043" s="37"/>
      <c r="LT3043" s="37"/>
      <c r="LU3043" s="37"/>
      <c r="LV3043" s="37"/>
      <c r="LW3043" s="37"/>
      <c r="LX3043" s="37"/>
      <c r="LY3043" s="37"/>
      <c r="LZ3043" s="37"/>
      <c r="MA3043" s="37"/>
      <c r="MB3043" s="37"/>
      <c r="MC3043" s="37"/>
      <c r="MD3043" s="37"/>
      <c r="ME3043" s="37"/>
      <c r="MF3043" s="37"/>
      <c r="MG3043" s="37"/>
      <c r="MH3043" s="37"/>
      <c r="MI3043" s="37"/>
      <c r="MJ3043" s="37"/>
      <c r="MK3043" s="37"/>
      <c r="ML3043" s="37"/>
      <c r="MM3043" s="37"/>
      <c r="MN3043" s="37"/>
      <c r="MO3043" s="37"/>
      <c r="MP3043" s="37"/>
      <c r="MQ3043" s="37"/>
      <c r="MR3043" s="37"/>
      <c r="MS3043" s="37"/>
      <c r="MT3043" s="37"/>
      <c r="MU3043" s="37"/>
      <c r="MV3043" s="37"/>
      <c r="MW3043" s="37"/>
      <c r="MX3043" s="37"/>
      <c r="MY3043" s="37"/>
      <c r="MZ3043" s="37"/>
      <c r="NA3043" s="37"/>
      <c r="NB3043" s="37"/>
      <c r="NC3043" s="37"/>
      <c r="ND3043" s="37"/>
      <c r="NE3043" s="37"/>
      <c r="NF3043" s="37"/>
      <c r="NG3043" s="37"/>
      <c r="NH3043" s="37"/>
      <c r="NI3043" s="37"/>
      <c r="NJ3043" s="37"/>
      <c r="NK3043" s="37"/>
      <c r="NL3043" s="37"/>
      <c r="NM3043" s="37"/>
      <c r="NN3043" s="37"/>
      <c r="NO3043" s="37"/>
      <c r="NP3043" s="37"/>
      <c r="NQ3043" s="37"/>
      <c r="NR3043" s="37"/>
      <c r="NS3043" s="37"/>
      <c r="NT3043" s="37"/>
      <c r="NU3043" s="37"/>
      <c r="NV3043" s="37"/>
      <c r="NW3043" s="37"/>
      <c r="NX3043" s="37"/>
      <c r="NY3043" s="37"/>
      <c r="NZ3043" s="37"/>
      <c r="OA3043" s="37"/>
      <c r="OB3043" s="37"/>
      <c r="OC3043" s="37"/>
      <c r="OD3043" s="37"/>
      <c r="OE3043" s="37"/>
      <c r="OF3043" s="37"/>
      <c r="OG3043" s="37"/>
      <c r="OH3043" s="37"/>
      <c r="OI3043" s="37"/>
      <c r="OJ3043" s="37"/>
      <c r="OK3043" s="37"/>
      <c r="OL3043" s="37"/>
      <c r="OM3043" s="37"/>
      <c r="ON3043" s="37"/>
      <c r="OO3043" s="37"/>
      <c r="OP3043" s="37"/>
      <c r="OQ3043" s="37"/>
      <c r="OR3043" s="37"/>
      <c r="OS3043" s="37"/>
      <c r="OT3043" s="37"/>
      <c r="OU3043" s="37"/>
      <c r="OV3043" s="37"/>
      <c r="OW3043" s="37"/>
      <c r="OX3043" s="37"/>
      <c r="OY3043" s="37"/>
      <c r="OZ3043" s="37"/>
      <c r="PA3043" s="37"/>
      <c r="PB3043" s="37"/>
      <c r="PC3043" s="37"/>
      <c r="PD3043" s="37"/>
      <c r="PE3043" s="37"/>
      <c r="PF3043" s="37"/>
      <c r="PG3043" s="37"/>
      <c r="PH3043" s="37"/>
      <c r="PI3043" s="37"/>
      <c r="PJ3043" s="37"/>
      <c r="PK3043" s="37"/>
      <c r="PL3043" s="37"/>
      <c r="PM3043" s="37"/>
      <c r="PN3043" s="37"/>
      <c r="PO3043" s="37"/>
      <c r="PP3043" s="37"/>
      <c r="PQ3043" s="37"/>
      <c r="PR3043" s="37"/>
      <c r="PS3043" s="37"/>
      <c r="PT3043" s="37"/>
      <c r="PU3043" s="37"/>
      <c r="PV3043" s="37"/>
      <c r="PW3043" s="37"/>
      <c r="PX3043" s="37"/>
      <c r="PY3043" s="37"/>
      <c r="PZ3043" s="37"/>
      <c r="QA3043" s="37"/>
      <c r="QB3043" s="37"/>
      <c r="QC3043" s="37"/>
      <c r="QD3043" s="37"/>
      <c r="QE3043" s="37"/>
      <c r="QF3043" s="37"/>
      <c r="QG3043" s="37"/>
      <c r="QH3043" s="37"/>
      <c r="QI3043" s="37"/>
      <c r="QJ3043" s="37"/>
      <c r="QK3043" s="37"/>
      <c r="QL3043" s="37"/>
      <c r="QM3043" s="37"/>
      <c r="QN3043" s="37"/>
      <c r="QO3043" s="37"/>
      <c r="QP3043" s="37"/>
      <c r="QQ3043" s="37"/>
      <c r="QR3043" s="37"/>
      <c r="QS3043" s="37"/>
      <c r="QT3043" s="37"/>
      <c r="QU3043" s="37"/>
      <c r="QV3043" s="37"/>
      <c r="QW3043" s="37"/>
      <c r="QX3043" s="37"/>
      <c r="QY3043" s="37"/>
      <c r="QZ3043" s="37"/>
      <c r="RA3043" s="37"/>
      <c r="RB3043" s="37"/>
      <c r="RC3043" s="37"/>
      <c r="RD3043" s="37"/>
      <c r="RE3043" s="37"/>
      <c r="RF3043" s="37"/>
      <c r="RG3043" s="37"/>
      <c r="RH3043" s="37"/>
      <c r="RI3043" s="37"/>
      <c r="RJ3043" s="37"/>
      <c r="RK3043" s="37"/>
      <c r="RL3043" s="37"/>
      <c r="RM3043" s="37"/>
      <c r="RN3043" s="37"/>
      <c r="RO3043" s="37"/>
      <c r="RP3043" s="37"/>
      <c r="RQ3043" s="37"/>
      <c r="RR3043" s="37"/>
      <c r="RS3043" s="37"/>
      <c r="RT3043" s="37"/>
      <c r="RU3043" s="37"/>
      <c r="RV3043" s="37"/>
      <c r="RW3043" s="37"/>
      <c r="RX3043" s="37"/>
      <c r="RY3043" s="37"/>
      <c r="RZ3043" s="37"/>
      <c r="SA3043" s="37"/>
      <c r="SB3043" s="37"/>
      <c r="SC3043" s="37"/>
      <c r="SD3043" s="37"/>
      <c r="SE3043" s="37"/>
      <c r="SF3043" s="37"/>
    </row>
    <row r="3044" spans="1:500">
      <c r="A3044" s="37"/>
      <c r="B3044" s="37"/>
      <c r="C3044" s="37"/>
      <c r="D3044" s="37"/>
      <c r="E3044" s="37"/>
      <c r="F3044" s="37"/>
      <c r="G3044" s="37"/>
      <c r="H3044" s="37"/>
      <c r="I3044" s="37"/>
      <c r="J3044" s="37"/>
      <c r="K3044" s="37"/>
      <c r="L3044" s="37"/>
      <c r="M3044" s="37"/>
      <c r="N3044" s="37"/>
      <c r="O3044" s="37"/>
      <c r="P3044" s="37"/>
      <c r="Q3044" s="37"/>
      <c r="R3044" s="37"/>
      <c r="S3044" s="37"/>
      <c r="T3044" s="37"/>
      <c r="U3044" s="37"/>
      <c r="V3044" s="37"/>
      <c r="W3044" s="37"/>
      <c r="X3044" s="37"/>
      <c r="Y3044" s="37"/>
      <c r="Z3044" s="37"/>
      <c r="AA3044" s="37"/>
      <c r="AB3044" s="37"/>
      <c r="AC3044" s="37"/>
      <c r="AD3044" s="37"/>
      <c r="AE3044" s="37"/>
      <c r="AF3044" s="37"/>
      <c r="AG3044" s="37"/>
      <c r="AH3044" s="37"/>
      <c r="AI3044" s="37"/>
      <c r="AJ3044" s="37"/>
      <c r="AK3044" s="37"/>
      <c r="AL3044" s="37"/>
      <c r="AM3044" s="37"/>
      <c r="AN3044" s="37"/>
      <c r="AO3044" s="37"/>
      <c r="AP3044" s="37"/>
      <c r="AQ3044" s="37"/>
      <c r="AR3044" s="37"/>
      <c r="AS3044" s="37"/>
      <c r="AT3044" s="37"/>
      <c r="AU3044" s="37"/>
      <c r="AV3044" s="37"/>
      <c r="AW3044" s="37"/>
      <c r="AX3044" s="37"/>
      <c r="AY3044" s="37"/>
      <c r="AZ3044" s="37"/>
      <c r="BA3044" s="37"/>
      <c r="BB3044" s="37"/>
      <c r="BC3044" s="37"/>
      <c r="BD3044" s="37"/>
      <c r="BE3044" s="37"/>
      <c r="BF3044" s="37"/>
      <c r="BG3044" s="37"/>
      <c r="BH3044" s="37"/>
      <c r="BI3044" s="37"/>
      <c r="BJ3044" s="37"/>
      <c r="BK3044" s="37"/>
      <c r="BL3044" s="37"/>
      <c r="BM3044" s="37"/>
      <c r="BN3044" s="37"/>
      <c r="BO3044" s="37"/>
      <c r="BP3044" s="37"/>
      <c r="BQ3044" s="37"/>
      <c r="BR3044" s="37"/>
      <c r="BS3044" s="37"/>
      <c r="BT3044" s="37"/>
      <c r="BU3044" s="37"/>
      <c r="BV3044" s="37"/>
      <c r="BW3044" s="37"/>
      <c r="BX3044" s="37"/>
      <c r="BY3044" s="37"/>
      <c r="BZ3044" s="37"/>
      <c r="CA3044" s="37"/>
      <c r="CB3044" s="37"/>
      <c r="CC3044" s="37"/>
      <c r="CD3044" s="37"/>
      <c r="CE3044" s="37"/>
      <c r="CF3044" s="37"/>
      <c r="CG3044" s="37"/>
      <c r="CH3044" s="37"/>
      <c r="CI3044" s="37"/>
      <c r="CJ3044" s="37"/>
      <c r="CK3044" s="37"/>
      <c r="CL3044" s="37"/>
      <c r="CM3044" s="37"/>
      <c r="CN3044" s="37"/>
      <c r="CO3044" s="37"/>
      <c r="CP3044" s="37"/>
      <c r="CQ3044" s="37"/>
      <c r="CR3044" s="37"/>
      <c r="CS3044" s="37"/>
      <c r="CT3044" s="37"/>
      <c r="CU3044" s="37"/>
      <c r="CV3044" s="37"/>
      <c r="CW3044" s="37"/>
      <c r="CX3044" s="37"/>
      <c r="CY3044" s="37"/>
      <c r="CZ3044" s="37"/>
      <c r="DA3044" s="37"/>
      <c r="DB3044" s="37"/>
      <c r="DC3044" s="37"/>
      <c r="DD3044" s="37"/>
      <c r="DE3044" s="37"/>
      <c r="DF3044" s="37"/>
      <c r="DG3044" s="37"/>
      <c r="DH3044" s="37"/>
      <c r="DI3044" s="37"/>
      <c r="DJ3044" s="37"/>
      <c r="DK3044" s="37"/>
      <c r="DL3044" s="37"/>
      <c r="DM3044" s="37"/>
      <c r="DN3044" s="37"/>
      <c r="DO3044" s="37"/>
      <c r="DP3044" s="37"/>
      <c r="DQ3044" s="37"/>
      <c r="DR3044" s="37"/>
      <c r="DS3044" s="37"/>
      <c r="DT3044" s="37"/>
      <c r="DU3044" s="37"/>
      <c r="DV3044" s="37"/>
      <c r="DW3044" s="37"/>
      <c r="DX3044" s="37"/>
      <c r="DY3044" s="37"/>
      <c r="DZ3044" s="37"/>
      <c r="EA3044" s="37"/>
      <c r="EB3044" s="37"/>
      <c r="EC3044" s="37"/>
      <c r="ED3044" s="37"/>
      <c r="EE3044" s="37"/>
      <c r="EF3044" s="37"/>
      <c r="EG3044" s="37"/>
      <c r="EH3044" s="37"/>
      <c r="EI3044" s="37"/>
      <c r="EJ3044" s="37"/>
      <c r="EK3044" s="37"/>
      <c r="EL3044" s="37"/>
      <c r="EM3044" s="37"/>
      <c r="EN3044" s="37"/>
      <c r="EO3044" s="37"/>
      <c r="EP3044" s="37"/>
      <c r="EQ3044" s="37"/>
      <c r="ER3044" s="37"/>
      <c r="ES3044" s="37"/>
      <c r="ET3044" s="37"/>
      <c r="EU3044" s="37"/>
      <c r="EV3044" s="37"/>
      <c r="EW3044" s="37"/>
      <c r="EX3044" s="37"/>
      <c r="EY3044" s="37"/>
      <c r="EZ3044" s="37"/>
      <c r="FA3044" s="37"/>
      <c r="FB3044" s="37"/>
      <c r="FC3044" s="37"/>
      <c r="FD3044" s="37"/>
      <c r="FE3044" s="37"/>
      <c r="FF3044" s="37"/>
      <c r="FG3044" s="37"/>
      <c r="FH3044" s="37"/>
      <c r="FI3044" s="37"/>
      <c r="FJ3044" s="37"/>
      <c r="FK3044" s="37"/>
      <c r="FL3044" s="37"/>
      <c r="FM3044" s="37"/>
      <c r="FN3044" s="37"/>
      <c r="FO3044" s="37"/>
      <c r="FP3044" s="37"/>
      <c r="FQ3044" s="37"/>
      <c r="FR3044" s="37"/>
      <c r="FS3044" s="37"/>
      <c r="FT3044" s="37"/>
      <c r="FU3044" s="37"/>
      <c r="FV3044" s="37"/>
      <c r="FW3044" s="37"/>
      <c r="FX3044" s="37"/>
      <c r="FY3044" s="37"/>
      <c r="FZ3044" s="37"/>
      <c r="GA3044" s="37"/>
      <c r="GB3044" s="37"/>
      <c r="GC3044" s="37"/>
      <c r="GD3044" s="37"/>
      <c r="GE3044" s="37"/>
      <c r="GF3044" s="37"/>
      <c r="GG3044" s="37"/>
      <c r="GH3044" s="37"/>
      <c r="GI3044" s="37"/>
      <c r="GJ3044" s="37"/>
      <c r="GK3044" s="37"/>
      <c r="GL3044" s="37"/>
      <c r="GM3044" s="37"/>
      <c r="GN3044" s="37"/>
      <c r="GO3044" s="37"/>
      <c r="GP3044" s="37"/>
      <c r="GQ3044" s="37"/>
      <c r="GR3044" s="37"/>
      <c r="GS3044" s="37"/>
      <c r="GT3044" s="37"/>
      <c r="GU3044" s="37"/>
      <c r="GV3044" s="37"/>
      <c r="GW3044" s="37"/>
      <c r="GX3044" s="37"/>
      <c r="GY3044" s="37"/>
      <c r="GZ3044" s="37"/>
      <c r="HA3044" s="37"/>
      <c r="HB3044" s="37"/>
      <c r="HC3044" s="37"/>
      <c r="HD3044" s="37"/>
      <c r="HE3044" s="37"/>
      <c r="HF3044" s="37"/>
      <c r="HG3044" s="37"/>
      <c r="HH3044" s="37"/>
      <c r="HI3044" s="37"/>
      <c r="HJ3044" s="37"/>
      <c r="HK3044" s="37"/>
      <c r="HL3044" s="37"/>
      <c r="HM3044" s="37"/>
      <c r="HN3044" s="37"/>
      <c r="HO3044" s="37"/>
      <c r="HP3044" s="37"/>
      <c r="HQ3044" s="37"/>
      <c r="HR3044" s="37"/>
      <c r="HS3044" s="37"/>
      <c r="HT3044" s="37"/>
      <c r="HU3044" s="37"/>
      <c r="HV3044" s="37"/>
      <c r="HW3044" s="37"/>
      <c r="HX3044" s="37"/>
      <c r="HY3044" s="37"/>
      <c r="HZ3044" s="37"/>
      <c r="IA3044" s="37"/>
      <c r="IB3044" s="37"/>
      <c r="IC3044" s="37"/>
      <c r="ID3044" s="37"/>
      <c r="IE3044" s="37"/>
      <c r="IF3044" s="37"/>
      <c r="IG3044" s="37"/>
      <c r="IH3044" s="37"/>
      <c r="II3044" s="37"/>
      <c r="IJ3044" s="37"/>
      <c r="IK3044" s="37"/>
      <c r="IL3044" s="37"/>
      <c r="IM3044" s="37"/>
      <c r="IN3044" s="37"/>
      <c r="IO3044" s="37"/>
      <c r="IP3044" s="37"/>
      <c r="IQ3044" s="37"/>
      <c r="IR3044" s="37"/>
      <c r="IS3044" s="37"/>
      <c r="IT3044" s="37"/>
      <c r="IU3044" s="37"/>
      <c r="IV3044" s="37"/>
      <c r="IW3044" s="37"/>
      <c r="IX3044" s="37"/>
      <c r="IY3044" s="37"/>
      <c r="IZ3044" s="37"/>
      <c r="JA3044" s="37"/>
      <c r="JB3044" s="37"/>
      <c r="JC3044" s="37"/>
      <c r="JD3044" s="37"/>
      <c r="JE3044" s="37"/>
      <c r="JF3044" s="37"/>
      <c r="JG3044" s="37"/>
      <c r="JH3044" s="37"/>
      <c r="JI3044" s="37"/>
      <c r="JJ3044" s="37"/>
      <c r="JK3044" s="37"/>
      <c r="JL3044" s="37"/>
      <c r="JM3044" s="37"/>
      <c r="JN3044" s="37"/>
      <c r="JO3044" s="37"/>
      <c r="JP3044" s="37"/>
      <c r="JQ3044" s="37"/>
      <c r="JR3044" s="37"/>
      <c r="JS3044" s="37"/>
      <c r="JT3044" s="37"/>
      <c r="JU3044" s="37"/>
      <c r="JV3044" s="37"/>
      <c r="JW3044" s="37"/>
      <c r="JX3044" s="37"/>
      <c r="JY3044" s="37"/>
      <c r="JZ3044" s="37"/>
      <c r="KA3044" s="37"/>
      <c r="KB3044" s="37"/>
      <c r="KC3044" s="37"/>
      <c r="KD3044" s="37"/>
      <c r="KE3044" s="37"/>
      <c r="KF3044" s="37"/>
      <c r="KG3044" s="37"/>
      <c r="KH3044" s="37"/>
      <c r="KI3044" s="37"/>
      <c r="KJ3044" s="37"/>
      <c r="KK3044" s="37"/>
      <c r="KL3044" s="37"/>
      <c r="KM3044" s="37"/>
      <c r="KN3044" s="37"/>
      <c r="KO3044" s="37"/>
      <c r="KP3044" s="37"/>
      <c r="KQ3044" s="37"/>
      <c r="KR3044" s="37"/>
      <c r="KS3044" s="37"/>
      <c r="KT3044" s="37"/>
      <c r="KU3044" s="37"/>
      <c r="KV3044" s="37"/>
      <c r="KW3044" s="37"/>
      <c r="KX3044" s="37"/>
      <c r="KY3044" s="37"/>
      <c r="KZ3044" s="37"/>
      <c r="LA3044" s="37"/>
      <c r="LB3044" s="37"/>
      <c r="LC3044" s="37"/>
      <c r="LD3044" s="37"/>
      <c r="LE3044" s="37"/>
      <c r="LF3044" s="37"/>
      <c r="LG3044" s="37"/>
      <c r="LH3044" s="37"/>
      <c r="LI3044" s="37"/>
      <c r="LJ3044" s="37"/>
      <c r="LK3044" s="37"/>
      <c r="LL3044" s="37"/>
      <c r="LM3044" s="37"/>
      <c r="LN3044" s="37"/>
      <c r="LO3044" s="37"/>
      <c r="LP3044" s="37"/>
      <c r="LQ3044" s="37"/>
      <c r="LR3044" s="37"/>
      <c r="LS3044" s="37"/>
      <c r="LT3044" s="37"/>
      <c r="LU3044" s="37"/>
      <c r="LV3044" s="37"/>
      <c r="LW3044" s="37"/>
      <c r="LX3044" s="37"/>
      <c r="LY3044" s="37"/>
      <c r="LZ3044" s="37"/>
      <c r="MA3044" s="37"/>
      <c r="MB3044" s="37"/>
      <c r="MC3044" s="37"/>
      <c r="MD3044" s="37"/>
      <c r="ME3044" s="37"/>
      <c r="MF3044" s="37"/>
      <c r="MG3044" s="37"/>
      <c r="MH3044" s="37"/>
      <c r="MI3044" s="37"/>
      <c r="MJ3044" s="37"/>
      <c r="MK3044" s="37"/>
      <c r="ML3044" s="37"/>
      <c r="MM3044" s="37"/>
      <c r="MN3044" s="37"/>
      <c r="MO3044" s="37"/>
      <c r="MP3044" s="37"/>
      <c r="MQ3044" s="37"/>
      <c r="MR3044" s="37"/>
      <c r="MS3044" s="37"/>
      <c r="MT3044" s="37"/>
      <c r="MU3044" s="37"/>
      <c r="MV3044" s="37"/>
      <c r="MW3044" s="37"/>
      <c r="MX3044" s="37"/>
      <c r="MY3044" s="37"/>
      <c r="MZ3044" s="37"/>
      <c r="NA3044" s="37"/>
      <c r="NB3044" s="37"/>
      <c r="NC3044" s="37"/>
      <c r="ND3044" s="37"/>
      <c r="NE3044" s="37"/>
      <c r="NF3044" s="37"/>
      <c r="NG3044" s="37"/>
      <c r="NH3044" s="37"/>
      <c r="NI3044" s="37"/>
      <c r="NJ3044" s="37"/>
      <c r="NK3044" s="37"/>
      <c r="NL3044" s="37"/>
      <c r="NM3044" s="37"/>
      <c r="NN3044" s="37"/>
      <c r="NO3044" s="37"/>
      <c r="NP3044" s="37"/>
      <c r="NQ3044" s="37"/>
      <c r="NR3044" s="37"/>
      <c r="NS3044" s="37"/>
      <c r="NT3044" s="37"/>
      <c r="NU3044" s="37"/>
      <c r="NV3044" s="37"/>
      <c r="NW3044" s="37"/>
      <c r="NX3044" s="37"/>
      <c r="NY3044" s="37"/>
      <c r="NZ3044" s="37"/>
      <c r="OA3044" s="37"/>
      <c r="OB3044" s="37"/>
      <c r="OC3044" s="37"/>
      <c r="OD3044" s="37"/>
      <c r="OE3044" s="37"/>
      <c r="OF3044" s="37"/>
      <c r="OG3044" s="37"/>
      <c r="OH3044" s="37"/>
      <c r="OI3044" s="37"/>
      <c r="OJ3044" s="37"/>
      <c r="OK3044" s="37"/>
      <c r="OL3044" s="37"/>
      <c r="OM3044" s="37"/>
      <c r="ON3044" s="37"/>
      <c r="OO3044" s="37"/>
      <c r="OP3044" s="37"/>
      <c r="OQ3044" s="37"/>
      <c r="OR3044" s="37"/>
      <c r="OS3044" s="37"/>
      <c r="OT3044" s="37"/>
      <c r="OU3044" s="37"/>
      <c r="OV3044" s="37"/>
      <c r="OW3044" s="37"/>
      <c r="OX3044" s="37"/>
      <c r="OY3044" s="37"/>
      <c r="OZ3044" s="37"/>
      <c r="PA3044" s="37"/>
      <c r="PB3044" s="37"/>
      <c r="PC3044" s="37"/>
      <c r="PD3044" s="37"/>
      <c r="PE3044" s="37"/>
      <c r="PF3044" s="37"/>
      <c r="PG3044" s="37"/>
      <c r="PH3044" s="37"/>
      <c r="PI3044" s="37"/>
      <c r="PJ3044" s="37"/>
      <c r="PK3044" s="37"/>
      <c r="PL3044" s="37"/>
      <c r="PM3044" s="37"/>
      <c r="PN3044" s="37"/>
      <c r="PO3044" s="37"/>
      <c r="PP3044" s="37"/>
      <c r="PQ3044" s="37"/>
      <c r="PR3044" s="37"/>
      <c r="PS3044" s="37"/>
      <c r="PT3044" s="37"/>
      <c r="PU3044" s="37"/>
      <c r="PV3044" s="37"/>
      <c r="PW3044" s="37"/>
      <c r="PX3044" s="37"/>
      <c r="PY3044" s="37"/>
      <c r="PZ3044" s="37"/>
      <c r="QA3044" s="37"/>
      <c r="QB3044" s="37"/>
      <c r="QC3044" s="37"/>
      <c r="QD3044" s="37"/>
      <c r="QE3044" s="37"/>
      <c r="QF3044" s="37"/>
      <c r="QG3044" s="37"/>
      <c r="QH3044" s="37"/>
      <c r="QI3044" s="37"/>
      <c r="QJ3044" s="37"/>
      <c r="QK3044" s="37"/>
      <c r="QL3044" s="37"/>
      <c r="QM3044" s="37"/>
      <c r="QN3044" s="37"/>
      <c r="QO3044" s="37"/>
      <c r="QP3044" s="37"/>
      <c r="QQ3044" s="37"/>
      <c r="QR3044" s="37"/>
      <c r="QS3044" s="37"/>
      <c r="QT3044" s="37"/>
      <c r="QU3044" s="37"/>
      <c r="QV3044" s="37"/>
      <c r="QW3044" s="37"/>
      <c r="QX3044" s="37"/>
      <c r="QY3044" s="37"/>
      <c r="QZ3044" s="37"/>
      <c r="RA3044" s="37"/>
      <c r="RB3044" s="37"/>
      <c r="RC3044" s="37"/>
      <c r="RD3044" s="37"/>
      <c r="RE3044" s="37"/>
      <c r="RF3044" s="37"/>
      <c r="RG3044" s="37"/>
      <c r="RH3044" s="37"/>
      <c r="RI3044" s="37"/>
      <c r="RJ3044" s="37"/>
      <c r="RK3044" s="37"/>
      <c r="RL3044" s="37"/>
      <c r="RM3044" s="37"/>
      <c r="RN3044" s="37"/>
      <c r="RO3044" s="37"/>
      <c r="RP3044" s="37"/>
      <c r="RQ3044" s="37"/>
      <c r="RR3044" s="37"/>
      <c r="RS3044" s="37"/>
      <c r="RT3044" s="37"/>
      <c r="RU3044" s="37"/>
      <c r="RV3044" s="37"/>
      <c r="RW3044" s="37"/>
      <c r="RX3044" s="37"/>
      <c r="RY3044" s="37"/>
      <c r="RZ3044" s="37"/>
      <c r="SA3044" s="37"/>
      <c r="SB3044" s="37"/>
      <c r="SC3044" s="37"/>
      <c r="SD3044" s="37"/>
      <c r="SE3044" s="37"/>
      <c r="SF3044" s="37"/>
    </row>
    <row r="3045" spans="1:500">
      <c r="A3045" s="37"/>
      <c r="B3045" s="37"/>
      <c r="C3045" s="37"/>
      <c r="D3045" s="37"/>
      <c r="E3045" s="37"/>
      <c r="F3045" s="37"/>
      <c r="G3045" s="37"/>
      <c r="H3045" s="37"/>
      <c r="I3045" s="37"/>
      <c r="J3045" s="37"/>
      <c r="K3045" s="37"/>
      <c r="L3045" s="37"/>
      <c r="M3045" s="37"/>
      <c r="N3045" s="37"/>
      <c r="O3045" s="37"/>
      <c r="P3045" s="37"/>
      <c r="Q3045" s="37"/>
      <c r="R3045" s="37"/>
      <c r="S3045" s="37"/>
      <c r="T3045" s="37"/>
      <c r="U3045" s="37"/>
      <c r="V3045" s="37"/>
      <c r="W3045" s="37"/>
      <c r="X3045" s="37"/>
      <c r="Y3045" s="37"/>
      <c r="Z3045" s="37"/>
      <c r="AA3045" s="37"/>
      <c r="AB3045" s="37"/>
      <c r="AC3045" s="37"/>
      <c r="AD3045" s="37"/>
      <c r="AE3045" s="37"/>
      <c r="AF3045" s="37"/>
      <c r="AG3045" s="37"/>
      <c r="AH3045" s="37"/>
      <c r="AI3045" s="37"/>
      <c r="AJ3045" s="37"/>
      <c r="AK3045" s="37"/>
      <c r="AL3045" s="37"/>
      <c r="AM3045" s="37"/>
      <c r="AN3045" s="37"/>
      <c r="AO3045" s="37"/>
      <c r="AP3045" s="37"/>
      <c r="AQ3045" s="37"/>
      <c r="AR3045" s="37"/>
      <c r="AS3045" s="37"/>
      <c r="AT3045" s="37"/>
      <c r="AU3045" s="37"/>
      <c r="AV3045" s="37"/>
      <c r="AW3045" s="37"/>
      <c r="AX3045" s="37"/>
      <c r="AY3045" s="37"/>
      <c r="AZ3045" s="37"/>
      <c r="BA3045" s="37"/>
      <c r="BB3045" s="37"/>
      <c r="BC3045" s="37"/>
      <c r="BD3045" s="37"/>
      <c r="BE3045" s="37"/>
      <c r="BF3045" s="37"/>
      <c r="BG3045" s="37"/>
      <c r="BH3045" s="37"/>
      <c r="BI3045" s="37"/>
      <c r="BJ3045" s="37"/>
      <c r="BK3045" s="37"/>
      <c r="BL3045" s="37"/>
      <c r="BM3045" s="37"/>
      <c r="BN3045" s="37"/>
      <c r="BO3045" s="37"/>
      <c r="BP3045" s="37"/>
      <c r="BQ3045" s="37"/>
      <c r="BR3045" s="37"/>
      <c r="BS3045" s="37"/>
      <c r="BT3045" s="37"/>
      <c r="BU3045" s="37"/>
      <c r="BV3045" s="37"/>
      <c r="BW3045" s="37"/>
      <c r="BX3045" s="37"/>
      <c r="BY3045" s="37"/>
      <c r="BZ3045" s="37"/>
      <c r="CA3045" s="37"/>
      <c r="CB3045" s="37"/>
      <c r="CC3045" s="37"/>
      <c r="CD3045" s="37"/>
      <c r="CE3045" s="37"/>
      <c r="CF3045" s="37"/>
      <c r="CG3045" s="37"/>
      <c r="CH3045" s="37"/>
      <c r="CI3045" s="37"/>
      <c r="CJ3045" s="37"/>
      <c r="CK3045" s="37"/>
      <c r="CL3045" s="37"/>
      <c r="CM3045" s="37"/>
      <c r="CN3045" s="37"/>
      <c r="CO3045" s="37"/>
      <c r="CP3045" s="37"/>
      <c r="CQ3045" s="37"/>
      <c r="CR3045" s="37"/>
      <c r="CS3045" s="37"/>
      <c r="CT3045" s="37"/>
      <c r="CU3045" s="37"/>
      <c r="CV3045" s="37"/>
      <c r="CW3045" s="37"/>
      <c r="CX3045" s="37"/>
      <c r="CY3045" s="37"/>
      <c r="CZ3045" s="37"/>
      <c r="DA3045" s="37"/>
      <c r="DB3045" s="37"/>
      <c r="DC3045" s="37"/>
      <c r="DD3045" s="37"/>
      <c r="DE3045" s="37"/>
      <c r="DF3045" s="37"/>
      <c r="DG3045" s="37"/>
      <c r="DH3045" s="37"/>
      <c r="DI3045" s="37"/>
      <c r="DJ3045" s="37"/>
      <c r="DK3045" s="37"/>
      <c r="DL3045" s="37"/>
      <c r="DM3045" s="37"/>
      <c r="DN3045" s="37"/>
      <c r="DO3045" s="37"/>
      <c r="DP3045" s="37"/>
      <c r="DQ3045" s="37"/>
      <c r="DR3045" s="37"/>
      <c r="DS3045" s="37"/>
      <c r="DT3045" s="37"/>
      <c r="DU3045" s="37"/>
      <c r="DV3045" s="37"/>
      <c r="DW3045" s="37"/>
      <c r="DX3045" s="37"/>
      <c r="DY3045" s="37"/>
      <c r="DZ3045" s="37"/>
      <c r="EA3045" s="37"/>
      <c r="EB3045" s="37"/>
      <c r="EC3045" s="37"/>
      <c r="ED3045" s="37"/>
      <c r="EE3045" s="37"/>
      <c r="EF3045" s="37"/>
      <c r="EG3045" s="37"/>
      <c r="EH3045" s="37"/>
      <c r="EI3045" s="37"/>
      <c r="EJ3045" s="37"/>
      <c r="EK3045" s="37"/>
      <c r="EL3045" s="37"/>
      <c r="EM3045" s="37"/>
      <c r="EN3045" s="37"/>
      <c r="EO3045" s="37"/>
      <c r="EP3045" s="37"/>
      <c r="EQ3045" s="37"/>
      <c r="ER3045" s="37"/>
      <c r="ES3045" s="37"/>
      <c r="ET3045" s="37"/>
      <c r="EU3045" s="37"/>
      <c r="EV3045" s="37"/>
      <c r="EW3045" s="37"/>
      <c r="EX3045" s="37"/>
      <c r="EY3045" s="37"/>
      <c r="EZ3045" s="37"/>
      <c r="FA3045" s="37"/>
      <c r="FB3045" s="37"/>
      <c r="FC3045" s="37"/>
      <c r="FD3045" s="37"/>
      <c r="FE3045" s="37"/>
      <c r="FF3045" s="37"/>
      <c r="FG3045" s="37"/>
      <c r="FH3045" s="37"/>
      <c r="FI3045" s="37"/>
      <c r="FJ3045" s="37"/>
      <c r="FK3045" s="37"/>
      <c r="FL3045" s="37"/>
      <c r="FM3045" s="37"/>
      <c r="FN3045" s="37"/>
      <c r="FO3045" s="37"/>
      <c r="FP3045" s="37"/>
      <c r="FQ3045" s="37"/>
      <c r="FR3045" s="37"/>
      <c r="FS3045" s="37"/>
      <c r="FT3045" s="37"/>
      <c r="FU3045" s="37"/>
      <c r="FV3045" s="37"/>
      <c r="FW3045" s="37"/>
      <c r="FX3045" s="37"/>
      <c r="FY3045" s="37"/>
      <c r="FZ3045" s="37"/>
      <c r="GA3045" s="37"/>
      <c r="GB3045" s="37"/>
      <c r="GC3045" s="37"/>
      <c r="GD3045" s="37"/>
      <c r="GE3045" s="37"/>
      <c r="GF3045" s="37"/>
      <c r="GG3045" s="37"/>
      <c r="GH3045" s="37"/>
      <c r="GI3045" s="37"/>
      <c r="GJ3045" s="37"/>
      <c r="GK3045" s="37"/>
      <c r="GL3045" s="37"/>
      <c r="GM3045" s="37"/>
      <c r="GN3045" s="37"/>
      <c r="GO3045" s="37"/>
      <c r="GP3045" s="37"/>
      <c r="GQ3045" s="37"/>
      <c r="GR3045" s="37"/>
      <c r="GS3045" s="37"/>
      <c r="GT3045" s="37"/>
      <c r="GU3045" s="37"/>
      <c r="GV3045" s="37"/>
      <c r="GW3045" s="37"/>
      <c r="GX3045" s="37"/>
      <c r="GY3045" s="37"/>
      <c r="GZ3045" s="37"/>
      <c r="HA3045" s="37"/>
      <c r="HB3045" s="37"/>
      <c r="HC3045" s="37"/>
      <c r="HD3045" s="37"/>
      <c r="HE3045" s="37"/>
      <c r="HF3045" s="37"/>
      <c r="HG3045" s="37"/>
      <c r="HH3045" s="37"/>
      <c r="HI3045" s="37"/>
      <c r="HJ3045" s="37"/>
      <c r="HK3045" s="37"/>
      <c r="HL3045" s="37"/>
      <c r="HM3045" s="37"/>
      <c r="HN3045" s="37"/>
      <c r="HO3045" s="37"/>
      <c r="HP3045" s="37"/>
      <c r="HQ3045" s="37"/>
      <c r="HR3045" s="37"/>
      <c r="HS3045" s="37"/>
      <c r="HT3045" s="37"/>
      <c r="HU3045" s="37"/>
      <c r="HV3045" s="37"/>
      <c r="HW3045" s="37"/>
      <c r="HX3045" s="37"/>
      <c r="HY3045" s="37"/>
      <c r="HZ3045" s="37"/>
      <c r="IA3045" s="37"/>
      <c r="IB3045" s="37"/>
      <c r="IC3045" s="37"/>
      <c r="ID3045" s="37"/>
      <c r="IE3045" s="37"/>
      <c r="IF3045" s="37"/>
      <c r="IG3045" s="37"/>
      <c r="IH3045" s="37"/>
      <c r="II3045" s="37"/>
      <c r="IJ3045" s="37"/>
      <c r="IK3045" s="37"/>
      <c r="IL3045" s="37"/>
      <c r="IM3045" s="37"/>
      <c r="IN3045" s="37"/>
      <c r="IO3045" s="37"/>
      <c r="IP3045" s="37"/>
      <c r="IQ3045" s="37"/>
      <c r="IR3045" s="37"/>
      <c r="IS3045" s="37"/>
      <c r="IT3045" s="37"/>
      <c r="IU3045" s="37"/>
      <c r="IV3045" s="37"/>
      <c r="IW3045" s="37"/>
      <c r="IX3045" s="37"/>
      <c r="IY3045" s="37"/>
      <c r="IZ3045" s="37"/>
      <c r="JA3045" s="37"/>
      <c r="JB3045" s="37"/>
      <c r="JC3045" s="37"/>
      <c r="JD3045" s="37"/>
      <c r="JE3045" s="37"/>
      <c r="JF3045" s="37"/>
      <c r="JG3045" s="37"/>
      <c r="JH3045" s="37"/>
      <c r="JI3045" s="37"/>
      <c r="JJ3045" s="37"/>
      <c r="JK3045" s="37"/>
      <c r="JL3045" s="37"/>
      <c r="JM3045" s="37"/>
      <c r="JN3045" s="37"/>
      <c r="JO3045" s="37"/>
      <c r="JP3045" s="37"/>
      <c r="JQ3045" s="37"/>
      <c r="JR3045" s="37"/>
      <c r="JS3045" s="37"/>
      <c r="JT3045" s="37"/>
      <c r="JU3045" s="37"/>
      <c r="JV3045" s="37"/>
      <c r="JW3045" s="37"/>
      <c r="JX3045" s="37"/>
      <c r="JY3045" s="37"/>
      <c r="JZ3045" s="37"/>
      <c r="KA3045" s="37"/>
      <c r="KB3045" s="37"/>
      <c r="KC3045" s="37"/>
      <c r="KD3045" s="37"/>
      <c r="KE3045" s="37"/>
      <c r="KF3045" s="37"/>
      <c r="KG3045" s="37"/>
      <c r="KH3045" s="37"/>
      <c r="KI3045" s="37"/>
      <c r="KJ3045" s="37"/>
      <c r="KK3045" s="37"/>
      <c r="KL3045" s="37"/>
      <c r="KM3045" s="37"/>
      <c r="KN3045" s="37"/>
      <c r="KO3045" s="37"/>
      <c r="KP3045" s="37"/>
      <c r="KQ3045" s="37"/>
      <c r="KR3045" s="37"/>
      <c r="KS3045" s="37"/>
      <c r="KT3045" s="37"/>
      <c r="KU3045" s="37"/>
      <c r="KV3045" s="37"/>
      <c r="KW3045" s="37"/>
      <c r="KX3045" s="37"/>
      <c r="KY3045" s="37"/>
      <c r="KZ3045" s="37"/>
      <c r="LA3045" s="37"/>
      <c r="LB3045" s="37"/>
      <c r="LC3045" s="37"/>
      <c r="LD3045" s="37"/>
      <c r="LE3045" s="37"/>
      <c r="LF3045" s="37"/>
      <c r="LG3045" s="37"/>
      <c r="LH3045" s="37"/>
      <c r="LI3045" s="37"/>
      <c r="LJ3045" s="37"/>
      <c r="LK3045" s="37"/>
      <c r="LL3045" s="37"/>
      <c r="LM3045" s="37"/>
      <c r="LN3045" s="37"/>
      <c r="LO3045" s="37"/>
      <c r="LP3045" s="37"/>
      <c r="LQ3045" s="37"/>
      <c r="LR3045" s="37"/>
      <c r="LS3045" s="37"/>
      <c r="LT3045" s="37"/>
      <c r="LU3045" s="37"/>
      <c r="LV3045" s="37"/>
      <c r="LW3045" s="37"/>
      <c r="LX3045" s="37"/>
      <c r="LY3045" s="37"/>
      <c r="LZ3045" s="37"/>
      <c r="MA3045" s="37"/>
      <c r="MB3045" s="37"/>
      <c r="MC3045" s="37"/>
      <c r="MD3045" s="37"/>
      <c r="ME3045" s="37"/>
      <c r="MF3045" s="37"/>
      <c r="MG3045" s="37"/>
      <c r="MH3045" s="37"/>
      <c r="MI3045" s="37"/>
      <c r="MJ3045" s="37"/>
      <c r="MK3045" s="37"/>
      <c r="ML3045" s="37"/>
      <c r="MM3045" s="37"/>
      <c r="MN3045" s="37"/>
      <c r="MO3045" s="37"/>
      <c r="MP3045" s="37"/>
      <c r="MQ3045" s="37"/>
      <c r="MR3045" s="37"/>
      <c r="MS3045" s="37"/>
      <c r="MT3045" s="37"/>
      <c r="MU3045" s="37"/>
      <c r="MV3045" s="37"/>
      <c r="MW3045" s="37"/>
      <c r="MX3045" s="37"/>
      <c r="MY3045" s="37"/>
      <c r="MZ3045" s="37"/>
      <c r="NA3045" s="37"/>
      <c r="NB3045" s="37"/>
      <c r="NC3045" s="37"/>
      <c r="ND3045" s="37"/>
      <c r="NE3045" s="37"/>
      <c r="NF3045" s="37"/>
      <c r="NG3045" s="37"/>
      <c r="NH3045" s="37"/>
      <c r="NI3045" s="37"/>
      <c r="NJ3045" s="37"/>
      <c r="NK3045" s="37"/>
      <c r="NL3045" s="37"/>
      <c r="NM3045" s="37"/>
      <c r="NN3045" s="37"/>
      <c r="NO3045" s="37"/>
      <c r="NP3045" s="37"/>
      <c r="NQ3045" s="37"/>
      <c r="NR3045" s="37"/>
      <c r="NS3045" s="37"/>
      <c r="NT3045" s="37"/>
      <c r="NU3045" s="37"/>
      <c r="NV3045" s="37"/>
      <c r="NW3045" s="37"/>
      <c r="NX3045" s="37"/>
      <c r="NY3045" s="37"/>
      <c r="NZ3045" s="37"/>
      <c r="OA3045" s="37"/>
      <c r="OB3045" s="37"/>
      <c r="OC3045" s="37"/>
      <c r="OD3045" s="37"/>
      <c r="OE3045" s="37"/>
      <c r="OF3045" s="37"/>
      <c r="OG3045" s="37"/>
      <c r="OH3045" s="37"/>
      <c r="OI3045" s="37"/>
      <c r="OJ3045" s="37"/>
      <c r="OK3045" s="37"/>
      <c r="OL3045" s="37"/>
      <c r="OM3045" s="37"/>
      <c r="ON3045" s="37"/>
      <c r="OO3045" s="37"/>
      <c r="OP3045" s="37"/>
      <c r="OQ3045" s="37"/>
      <c r="OR3045" s="37"/>
      <c r="OS3045" s="37"/>
      <c r="OT3045" s="37"/>
      <c r="OU3045" s="37"/>
      <c r="OV3045" s="37"/>
      <c r="OW3045" s="37"/>
      <c r="OX3045" s="37"/>
      <c r="OY3045" s="37"/>
      <c r="OZ3045" s="37"/>
      <c r="PA3045" s="37"/>
      <c r="PB3045" s="37"/>
      <c r="PC3045" s="37"/>
      <c r="PD3045" s="37"/>
      <c r="PE3045" s="37"/>
      <c r="PF3045" s="37"/>
      <c r="PG3045" s="37"/>
      <c r="PH3045" s="37"/>
      <c r="PI3045" s="37"/>
      <c r="PJ3045" s="37"/>
      <c r="PK3045" s="37"/>
      <c r="PL3045" s="37"/>
      <c r="PM3045" s="37"/>
      <c r="PN3045" s="37"/>
      <c r="PO3045" s="37"/>
      <c r="PP3045" s="37"/>
      <c r="PQ3045" s="37"/>
      <c r="PR3045" s="37"/>
      <c r="PS3045" s="37"/>
      <c r="PT3045" s="37"/>
      <c r="PU3045" s="37"/>
      <c r="PV3045" s="37"/>
      <c r="PW3045" s="37"/>
      <c r="PX3045" s="37"/>
      <c r="PY3045" s="37"/>
      <c r="PZ3045" s="37"/>
      <c r="QA3045" s="37"/>
      <c r="QB3045" s="37"/>
      <c r="QC3045" s="37"/>
      <c r="QD3045" s="37"/>
      <c r="QE3045" s="37"/>
      <c r="QF3045" s="37"/>
      <c r="QG3045" s="37"/>
      <c r="QH3045" s="37"/>
      <c r="QI3045" s="37"/>
      <c r="QJ3045" s="37"/>
      <c r="QK3045" s="37"/>
      <c r="QL3045" s="37"/>
      <c r="QM3045" s="37"/>
      <c r="QN3045" s="37"/>
      <c r="QO3045" s="37"/>
      <c r="QP3045" s="37"/>
      <c r="QQ3045" s="37"/>
      <c r="QR3045" s="37"/>
      <c r="QS3045" s="37"/>
      <c r="QT3045" s="37"/>
      <c r="QU3045" s="37"/>
      <c r="QV3045" s="37"/>
      <c r="QW3045" s="37"/>
      <c r="QX3045" s="37"/>
      <c r="QY3045" s="37"/>
      <c r="QZ3045" s="37"/>
      <c r="RA3045" s="37"/>
      <c r="RB3045" s="37"/>
      <c r="RC3045" s="37"/>
      <c r="RD3045" s="37"/>
      <c r="RE3045" s="37"/>
      <c r="RF3045" s="37"/>
      <c r="RG3045" s="37"/>
      <c r="RH3045" s="37"/>
      <c r="RI3045" s="37"/>
      <c r="RJ3045" s="37"/>
      <c r="RK3045" s="37"/>
      <c r="RL3045" s="37"/>
      <c r="RM3045" s="37"/>
      <c r="RN3045" s="37"/>
      <c r="RO3045" s="37"/>
      <c r="RP3045" s="37"/>
      <c r="RQ3045" s="37"/>
      <c r="RR3045" s="37"/>
      <c r="RS3045" s="37"/>
      <c r="RT3045" s="37"/>
      <c r="RU3045" s="37"/>
      <c r="RV3045" s="37"/>
      <c r="RW3045" s="37"/>
      <c r="RX3045" s="37"/>
      <c r="RY3045" s="37"/>
      <c r="RZ3045" s="37"/>
      <c r="SA3045" s="37"/>
      <c r="SB3045" s="37"/>
      <c r="SC3045" s="37"/>
      <c r="SD3045" s="37"/>
      <c r="SE3045" s="37"/>
      <c r="SF3045" s="37"/>
    </row>
    <row r="3046" spans="1:500">
      <c r="A3046" s="37"/>
      <c r="B3046" s="37"/>
      <c r="C3046" s="37"/>
      <c r="D3046" s="37"/>
      <c r="E3046" s="37"/>
      <c r="F3046" s="37"/>
      <c r="G3046" s="37"/>
      <c r="H3046" s="37"/>
      <c r="I3046" s="37"/>
      <c r="J3046" s="37"/>
      <c r="K3046" s="37"/>
      <c r="L3046" s="37"/>
      <c r="M3046" s="37"/>
      <c r="N3046" s="37"/>
      <c r="O3046" s="37"/>
      <c r="P3046" s="37"/>
      <c r="Q3046" s="37"/>
      <c r="R3046" s="37"/>
      <c r="S3046" s="37"/>
      <c r="T3046" s="37"/>
      <c r="U3046" s="37"/>
      <c r="V3046" s="37"/>
      <c r="W3046" s="37"/>
      <c r="X3046" s="37"/>
      <c r="Y3046" s="37"/>
      <c r="Z3046" s="37"/>
      <c r="AA3046" s="37"/>
      <c r="AB3046" s="37"/>
      <c r="AC3046" s="37"/>
      <c r="AD3046" s="37"/>
      <c r="AE3046" s="37"/>
      <c r="AF3046" s="37"/>
      <c r="AG3046" s="37"/>
      <c r="AH3046" s="37"/>
      <c r="AI3046" s="37"/>
      <c r="AJ3046" s="37"/>
      <c r="AK3046" s="37"/>
      <c r="AL3046" s="37"/>
      <c r="AM3046" s="37"/>
      <c r="AN3046" s="37"/>
      <c r="AO3046" s="37"/>
      <c r="AP3046" s="37"/>
      <c r="AQ3046" s="37"/>
      <c r="AR3046" s="37"/>
      <c r="AS3046" s="37"/>
      <c r="AT3046" s="37"/>
      <c r="AU3046" s="37"/>
      <c r="AV3046" s="37"/>
      <c r="AW3046" s="37"/>
      <c r="AX3046" s="37"/>
      <c r="AY3046" s="37"/>
      <c r="AZ3046" s="37"/>
      <c r="BA3046" s="37"/>
      <c r="BB3046" s="37"/>
      <c r="BC3046" s="37"/>
      <c r="BD3046" s="37"/>
      <c r="BE3046" s="37"/>
      <c r="BF3046" s="37"/>
      <c r="BG3046" s="37"/>
      <c r="BH3046" s="37"/>
      <c r="BI3046" s="37"/>
      <c r="BJ3046" s="37"/>
      <c r="BK3046" s="37"/>
      <c r="BL3046" s="37"/>
      <c r="BM3046" s="37"/>
      <c r="BN3046" s="37"/>
      <c r="BO3046" s="37"/>
      <c r="BP3046" s="37"/>
      <c r="BQ3046" s="37"/>
      <c r="BR3046" s="37"/>
      <c r="BS3046" s="37"/>
      <c r="BT3046" s="37"/>
      <c r="BU3046" s="37"/>
      <c r="BV3046" s="37"/>
      <c r="BW3046" s="37"/>
      <c r="BX3046" s="37"/>
      <c r="BY3046" s="37"/>
      <c r="BZ3046" s="37"/>
      <c r="CA3046" s="37"/>
      <c r="CB3046" s="37"/>
      <c r="CC3046" s="37"/>
      <c r="CD3046" s="37"/>
      <c r="CE3046" s="37"/>
      <c r="CF3046" s="37"/>
      <c r="CG3046" s="37"/>
      <c r="CH3046" s="37"/>
      <c r="CI3046" s="37"/>
      <c r="CJ3046" s="37"/>
      <c r="CK3046" s="37"/>
      <c r="CL3046" s="37"/>
      <c r="CM3046" s="37"/>
      <c r="CN3046" s="37"/>
      <c r="CO3046" s="37"/>
      <c r="CP3046" s="37"/>
      <c r="CQ3046" s="37"/>
      <c r="CR3046" s="37"/>
      <c r="CS3046" s="37"/>
      <c r="CT3046" s="37"/>
      <c r="CU3046" s="37"/>
      <c r="CV3046" s="37"/>
      <c r="CW3046" s="37"/>
      <c r="CX3046" s="37"/>
      <c r="CY3046" s="37"/>
      <c r="CZ3046" s="37"/>
      <c r="DA3046" s="37"/>
      <c r="DB3046" s="37"/>
      <c r="DC3046" s="37"/>
      <c r="DD3046" s="37"/>
      <c r="DE3046" s="37"/>
      <c r="DF3046" s="37"/>
      <c r="DG3046" s="37"/>
      <c r="DH3046" s="37"/>
      <c r="DI3046" s="37"/>
      <c r="DJ3046" s="37"/>
      <c r="DK3046" s="37"/>
      <c r="DL3046" s="37"/>
      <c r="DM3046" s="37"/>
      <c r="DN3046" s="37"/>
      <c r="DO3046" s="37"/>
      <c r="DP3046" s="37"/>
      <c r="DQ3046" s="37"/>
      <c r="DR3046" s="37"/>
      <c r="DS3046" s="37"/>
      <c r="DT3046" s="37"/>
      <c r="DU3046" s="37"/>
      <c r="DV3046" s="37"/>
      <c r="DW3046" s="37"/>
      <c r="DX3046" s="37"/>
      <c r="DY3046" s="37"/>
      <c r="DZ3046" s="37"/>
      <c r="EA3046" s="37"/>
      <c r="EB3046" s="37"/>
      <c r="EC3046" s="37"/>
      <c r="ED3046" s="37"/>
      <c r="EE3046" s="37"/>
      <c r="EF3046" s="37"/>
      <c r="EG3046" s="37"/>
      <c r="EH3046" s="37"/>
      <c r="EI3046" s="37"/>
      <c r="EJ3046" s="37"/>
      <c r="EK3046" s="37"/>
      <c r="EL3046" s="37"/>
      <c r="EM3046" s="37"/>
      <c r="EN3046" s="37"/>
      <c r="EO3046" s="37"/>
      <c r="EP3046" s="37"/>
      <c r="EQ3046" s="37"/>
      <c r="ER3046" s="37"/>
      <c r="ES3046" s="37"/>
      <c r="ET3046" s="37"/>
      <c r="EU3046" s="37"/>
      <c r="EV3046" s="37"/>
      <c r="EW3046" s="37"/>
      <c r="EX3046" s="37"/>
      <c r="EY3046" s="37"/>
      <c r="EZ3046" s="37"/>
      <c r="FA3046" s="37"/>
      <c r="FB3046" s="37"/>
      <c r="FC3046" s="37"/>
      <c r="FD3046" s="37"/>
      <c r="FE3046" s="37"/>
      <c r="FF3046" s="37"/>
      <c r="FG3046" s="37"/>
      <c r="FH3046" s="37"/>
      <c r="FI3046" s="37"/>
      <c r="FJ3046" s="37"/>
      <c r="FK3046" s="37"/>
      <c r="FL3046" s="37"/>
      <c r="FM3046" s="37"/>
      <c r="FN3046" s="37"/>
      <c r="FO3046" s="37"/>
      <c r="FP3046" s="37"/>
      <c r="FQ3046" s="37"/>
      <c r="FR3046" s="37"/>
      <c r="FS3046" s="37"/>
      <c r="FT3046" s="37"/>
      <c r="FU3046" s="37"/>
      <c r="FV3046" s="37"/>
      <c r="FW3046" s="37"/>
      <c r="FX3046" s="37"/>
      <c r="FY3046" s="37"/>
      <c r="FZ3046" s="37"/>
      <c r="GA3046" s="37"/>
      <c r="GB3046" s="37"/>
      <c r="GC3046" s="37"/>
      <c r="GD3046" s="37"/>
      <c r="GE3046" s="37"/>
      <c r="GF3046" s="37"/>
      <c r="GG3046" s="37"/>
      <c r="GH3046" s="37"/>
      <c r="GI3046" s="37"/>
      <c r="GJ3046" s="37"/>
      <c r="GK3046" s="37"/>
      <c r="GL3046" s="37"/>
      <c r="GM3046" s="37"/>
      <c r="GN3046" s="37"/>
      <c r="GO3046" s="37"/>
      <c r="GP3046" s="37"/>
      <c r="GQ3046" s="37"/>
      <c r="GR3046" s="37"/>
      <c r="GS3046" s="37"/>
      <c r="GT3046" s="37"/>
      <c r="GU3046" s="37"/>
      <c r="GV3046" s="37"/>
      <c r="GW3046" s="37"/>
      <c r="GX3046" s="37"/>
      <c r="GY3046" s="37"/>
      <c r="GZ3046" s="37"/>
      <c r="HA3046" s="37"/>
      <c r="HB3046" s="37"/>
      <c r="HC3046" s="37"/>
      <c r="HD3046" s="37"/>
      <c r="HE3046" s="37"/>
      <c r="HF3046" s="37"/>
      <c r="HG3046" s="37"/>
      <c r="HH3046" s="37"/>
      <c r="HI3046" s="37"/>
      <c r="HJ3046" s="37"/>
      <c r="HK3046" s="37"/>
      <c r="HL3046" s="37"/>
      <c r="HM3046" s="37"/>
      <c r="HN3046" s="37"/>
      <c r="HO3046" s="37"/>
      <c r="HP3046" s="37"/>
      <c r="HQ3046" s="37"/>
      <c r="HR3046" s="37"/>
      <c r="HS3046" s="37"/>
      <c r="HT3046" s="37"/>
      <c r="HU3046" s="37"/>
      <c r="HV3046" s="37"/>
      <c r="HW3046" s="37"/>
      <c r="HX3046" s="37"/>
      <c r="HY3046" s="37"/>
      <c r="HZ3046" s="37"/>
      <c r="IA3046" s="37"/>
      <c r="IB3046" s="37"/>
      <c r="IC3046" s="37"/>
      <c r="ID3046" s="37"/>
      <c r="IE3046" s="37"/>
      <c r="IF3046" s="37"/>
      <c r="IG3046" s="37"/>
      <c r="IH3046" s="37"/>
      <c r="II3046" s="37"/>
      <c r="IJ3046" s="37"/>
      <c r="IK3046" s="37"/>
      <c r="IL3046" s="37"/>
      <c r="IM3046" s="37"/>
      <c r="IN3046" s="37"/>
      <c r="IO3046" s="37"/>
      <c r="IP3046" s="37"/>
      <c r="IQ3046" s="37"/>
      <c r="IR3046" s="37"/>
      <c r="IS3046" s="37"/>
      <c r="IT3046" s="37"/>
      <c r="IU3046" s="37"/>
      <c r="IV3046" s="37"/>
      <c r="IW3046" s="37"/>
      <c r="IX3046" s="37"/>
      <c r="IY3046" s="37"/>
      <c r="IZ3046" s="37"/>
      <c r="JA3046" s="37"/>
      <c r="JB3046" s="37"/>
      <c r="JC3046" s="37"/>
      <c r="JD3046" s="37"/>
      <c r="JE3046" s="37"/>
      <c r="JF3046" s="37"/>
      <c r="JG3046" s="37"/>
      <c r="JH3046" s="37"/>
      <c r="JI3046" s="37"/>
      <c r="JJ3046" s="37"/>
      <c r="JK3046" s="37"/>
      <c r="JL3046" s="37"/>
      <c r="JM3046" s="37"/>
      <c r="JN3046" s="37"/>
      <c r="JO3046" s="37"/>
      <c r="JP3046" s="37"/>
      <c r="JQ3046" s="37"/>
      <c r="JR3046" s="37"/>
      <c r="JS3046" s="37"/>
      <c r="JT3046" s="37"/>
      <c r="JU3046" s="37"/>
      <c r="JV3046" s="37"/>
      <c r="JW3046" s="37"/>
      <c r="JX3046" s="37"/>
      <c r="JY3046" s="37"/>
      <c r="JZ3046" s="37"/>
      <c r="KA3046" s="37"/>
      <c r="KB3046" s="37"/>
      <c r="KC3046" s="37"/>
      <c r="KD3046" s="37"/>
      <c r="KE3046" s="37"/>
      <c r="KF3046" s="37"/>
      <c r="KG3046" s="37"/>
      <c r="KH3046" s="37"/>
      <c r="KI3046" s="37"/>
      <c r="KJ3046" s="37"/>
      <c r="KK3046" s="37"/>
      <c r="KL3046" s="37"/>
      <c r="KM3046" s="37"/>
      <c r="KN3046" s="37"/>
      <c r="KO3046" s="37"/>
      <c r="KP3046" s="37"/>
      <c r="KQ3046" s="37"/>
      <c r="KR3046" s="37"/>
      <c r="KS3046" s="37"/>
      <c r="KT3046" s="37"/>
      <c r="KU3046" s="37"/>
      <c r="KV3046" s="37"/>
      <c r="KW3046" s="37"/>
      <c r="KX3046" s="37"/>
      <c r="KY3046" s="37"/>
      <c r="KZ3046" s="37"/>
      <c r="LA3046" s="37"/>
      <c r="LB3046" s="37"/>
      <c r="LC3046" s="37"/>
      <c r="LD3046" s="37"/>
      <c r="LE3046" s="37"/>
      <c r="LF3046" s="37"/>
      <c r="LG3046" s="37"/>
      <c r="LH3046" s="37"/>
      <c r="LI3046" s="37"/>
      <c r="LJ3046" s="37"/>
      <c r="LK3046" s="37"/>
      <c r="LL3046" s="37"/>
      <c r="LM3046" s="37"/>
      <c r="LN3046" s="37"/>
      <c r="LO3046" s="37"/>
      <c r="LP3046" s="37"/>
      <c r="LQ3046" s="37"/>
      <c r="LR3046" s="37"/>
      <c r="LS3046" s="37"/>
      <c r="LT3046" s="37"/>
      <c r="LU3046" s="37"/>
      <c r="LV3046" s="37"/>
      <c r="LW3046" s="37"/>
      <c r="LX3046" s="37"/>
      <c r="LY3046" s="37"/>
      <c r="LZ3046" s="37"/>
      <c r="MA3046" s="37"/>
      <c r="MB3046" s="37"/>
      <c r="MC3046" s="37"/>
      <c r="MD3046" s="37"/>
      <c r="ME3046" s="37"/>
      <c r="MF3046" s="37"/>
      <c r="MG3046" s="37"/>
      <c r="MH3046" s="37"/>
      <c r="MI3046" s="37"/>
      <c r="MJ3046" s="37"/>
      <c r="MK3046" s="37"/>
      <c r="ML3046" s="37"/>
      <c r="MM3046" s="37"/>
      <c r="MN3046" s="37"/>
      <c r="MO3046" s="37"/>
      <c r="MP3046" s="37"/>
      <c r="MQ3046" s="37"/>
      <c r="MR3046" s="37"/>
      <c r="MS3046" s="37"/>
      <c r="MT3046" s="37"/>
      <c r="MU3046" s="37"/>
      <c r="MV3046" s="37"/>
      <c r="MW3046" s="37"/>
      <c r="MX3046" s="37"/>
      <c r="MY3046" s="37"/>
      <c r="MZ3046" s="37"/>
      <c r="NA3046" s="37"/>
      <c r="NB3046" s="37"/>
      <c r="NC3046" s="37"/>
      <c r="ND3046" s="37"/>
      <c r="NE3046" s="37"/>
      <c r="NF3046" s="37"/>
      <c r="NG3046" s="37"/>
      <c r="NH3046" s="37"/>
      <c r="NI3046" s="37"/>
      <c r="NJ3046" s="37"/>
      <c r="NK3046" s="37"/>
      <c r="NL3046" s="37"/>
      <c r="NM3046" s="37"/>
      <c r="NN3046" s="37"/>
      <c r="NO3046" s="37"/>
      <c r="NP3046" s="37"/>
      <c r="NQ3046" s="37"/>
      <c r="NR3046" s="37"/>
      <c r="NS3046" s="37"/>
      <c r="NT3046" s="37"/>
      <c r="NU3046" s="37"/>
      <c r="NV3046" s="37"/>
      <c r="NW3046" s="37"/>
      <c r="NX3046" s="37"/>
      <c r="NY3046" s="37"/>
      <c r="NZ3046" s="37"/>
      <c r="OA3046" s="37"/>
      <c r="OB3046" s="37"/>
      <c r="OC3046" s="37"/>
      <c r="OD3046" s="37"/>
      <c r="OE3046" s="37"/>
      <c r="OF3046" s="37"/>
      <c r="OG3046" s="37"/>
      <c r="OH3046" s="37"/>
      <c r="OI3046" s="37"/>
      <c r="OJ3046" s="37"/>
      <c r="OK3046" s="37"/>
      <c r="OL3046" s="37"/>
      <c r="OM3046" s="37"/>
      <c r="ON3046" s="37"/>
      <c r="OO3046" s="37"/>
      <c r="OP3046" s="37"/>
      <c r="OQ3046" s="37"/>
      <c r="OR3046" s="37"/>
      <c r="OS3046" s="37"/>
      <c r="OT3046" s="37"/>
      <c r="OU3046" s="37"/>
      <c r="OV3046" s="37"/>
      <c r="OW3046" s="37"/>
      <c r="OX3046" s="37"/>
      <c r="OY3046" s="37"/>
      <c r="OZ3046" s="37"/>
      <c r="PA3046" s="37"/>
      <c r="PB3046" s="37"/>
      <c r="PC3046" s="37"/>
      <c r="PD3046" s="37"/>
      <c r="PE3046" s="37"/>
      <c r="PF3046" s="37"/>
      <c r="PG3046" s="37"/>
      <c r="PH3046" s="37"/>
      <c r="PI3046" s="37"/>
      <c r="PJ3046" s="37"/>
      <c r="PK3046" s="37"/>
      <c r="PL3046" s="37"/>
      <c r="PM3046" s="37"/>
      <c r="PN3046" s="37"/>
      <c r="PO3046" s="37"/>
      <c r="PP3046" s="37"/>
      <c r="PQ3046" s="37"/>
      <c r="PR3046" s="37"/>
      <c r="PS3046" s="37"/>
      <c r="PT3046" s="37"/>
      <c r="PU3046" s="37"/>
      <c r="PV3046" s="37"/>
      <c r="PW3046" s="37"/>
      <c r="PX3046" s="37"/>
      <c r="PY3046" s="37"/>
      <c r="PZ3046" s="37"/>
      <c r="QA3046" s="37"/>
      <c r="QB3046" s="37"/>
      <c r="QC3046" s="37"/>
      <c r="QD3046" s="37"/>
      <c r="QE3046" s="37"/>
      <c r="QF3046" s="37"/>
      <c r="QG3046" s="37"/>
      <c r="QH3046" s="37"/>
      <c r="QI3046" s="37"/>
      <c r="QJ3046" s="37"/>
      <c r="QK3046" s="37"/>
      <c r="QL3046" s="37"/>
      <c r="QM3046" s="37"/>
      <c r="QN3046" s="37"/>
      <c r="QO3046" s="37"/>
      <c r="QP3046" s="37"/>
      <c r="QQ3046" s="37"/>
      <c r="QR3046" s="37"/>
      <c r="QS3046" s="37"/>
      <c r="QT3046" s="37"/>
      <c r="QU3046" s="37"/>
      <c r="QV3046" s="37"/>
      <c r="QW3046" s="37"/>
      <c r="QX3046" s="37"/>
      <c r="QY3046" s="37"/>
      <c r="QZ3046" s="37"/>
      <c r="RA3046" s="37"/>
      <c r="RB3046" s="37"/>
      <c r="RC3046" s="37"/>
      <c r="RD3046" s="37"/>
      <c r="RE3046" s="37"/>
      <c r="RF3046" s="37"/>
      <c r="RG3046" s="37"/>
      <c r="RH3046" s="37"/>
      <c r="RI3046" s="37"/>
      <c r="RJ3046" s="37"/>
      <c r="RK3046" s="37"/>
      <c r="RL3046" s="37"/>
      <c r="RM3046" s="37"/>
      <c r="RN3046" s="37"/>
      <c r="RO3046" s="37"/>
      <c r="RP3046" s="37"/>
      <c r="RQ3046" s="37"/>
      <c r="RR3046" s="37"/>
      <c r="RS3046" s="37"/>
      <c r="RT3046" s="37"/>
      <c r="RU3046" s="37"/>
      <c r="RV3046" s="37"/>
      <c r="RW3046" s="37"/>
      <c r="RX3046" s="37"/>
      <c r="RY3046" s="37"/>
      <c r="RZ3046" s="37"/>
      <c r="SA3046" s="37"/>
      <c r="SB3046" s="37"/>
      <c r="SC3046" s="37"/>
      <c r="SD3046" s="37"/>
      <c r="SE3046" s="37"/>
      <c r="SF3046" s="37"/>
    </row>
    <row r="3047" spans="1:500">
      <c r="A3047" s="37"/>
      <c r="B3047" s="37"/>
      <c r="C3047" s="37"/>
      <c r="D3047" s="37"/>
      <c r="E3047" s="37"/>
      <c r="F3047" s="37"/>
      <c r="G3047" s="37"/>
      <c r="H3047" s="37"/>
      <c r="I3047" s="37"/>
      <c r="J3047" s="37"/>
      <c r="K3047" s="37"/>
      <c r="L3047" s="37"/>
      <c r="M3047" s="37"/>
      <c r="N3047" s="37"/>
      <c r="O3047" s="37"/>
      <c r="P3047" s="37"/>
      <c r="Q3047" s="37"/>
      <c r="R3047" s="37"/>
      <c r="S3047" s="37"/>
      <c r="T3047" s="37"/>
      <c r="U3047" s="37"/>
      <c r="V3047" s="37"/>
      <c r="W3047" s="37"/>
      <c r="X3047" s="37"/>
      <c r="Y3047" s="37"/>
      <c r="Z3047" s="37"/>
      <c r="AA3047" s="37"/>
      <c r="AB3047" s="37"/>
      <c r="AC3047" s="37"/>
      <c r="AD3047" s="37"/>
      <c r="AE3047" s="37"/>
      <c r="AF3047" s="37"/>
      <c r="AG3047" s="37"/>
      <c r="AH3047" s="37"/>
      <c r="AI3047" s="37"/>
      <c r="AJ3047" s="37"/>
      <c r="AK3047" s="37"/>
      <c r="AL3047" s="37"/>
      <c r="AM3047" s="37"/>
      <c r="AN3047" s="37"/>
      <c r="AO3047" s="37"/>
      <c r="AP3047" s="37"/>
      <c r="AQ3047" s="37"/>
      <c r="AR3047" s="37"/>
      <c r="AS3047" s="37"/>
      <c r="AT3047" s="37"/>
      <c r="AU3047" s="37"/>
      <c r="AV3047" s="37"/>
      <c r="AW3047" s="37"/>
      <c r="AX3047" s="37"/>
      <c r="AY3047" s="37"/>
      <c r="AZ3047" s="37"/>
      <c r="BA3047" s="37"/>
      <c r="BB3047" s="37"/>
      <c r="BC3047" s="37"/>
      <c r="BD3047" s="37"/>
      <c r="BE3047" s="37"/>
      <c r="BF3047" s="37"/>
      <c r="BG3047" s="37"/>
      <c r="BH3047" s="37"/>
      <c r="BI3047" s="37"/>
      <c r="BJ3047" s="37"/>
      <c r="BK3047" s="37"/>
      <c r="BL3047" s="37"/>
      <c r="BM3047" s="37"/>
      <c r="BN3047" s="37"/>
      <c r="BO3047" s="37"/>
      <c r="BP3047" s="37"/>
      <c r="BQ3047" s="37"/>
      <c r="BR3047" s="37"/>
      <c r="BS3047" s="37"/>
      <c r="BT3047" s="37"/>
      <c r="BU3047" s="37"/>
      <c r="BV3047" s="37"/>
      <c r="BW3047" s="37"/>
      <c r="BX3047" s="37"/>
      <c r="BY3047" s="37"/>
      <c r="BZ3047" s="37"/>
      <c r="CA3047" s="37"/>
      <c r="CB3047" s="37"/>
      <c r="CC3047" s="37"/>
      <c r="CD3047" s="37"/>
      <c r="CE3047" s="37"/>
      <c r="CF3047" s="37"/>
      <c r="CG3047" s="37"/>
      <c r="CH3047" s="37"/>
      <c r="CI3047" s="37"/>
      <c r="CJ3047" s="37"/>
      <c r="CK3047" s="37"/>
      <c r="CL3047" s="37"/>
      <c r="CM3047" s="37"/>
      <c r="CN3047" s="37"/>
      <c r="CO3047" s="37"/>
      <c r="CP3047" s="37"/>
      <c r="CQ3047" s="37"/>
      <c r="CR3047" s="37"/>
      <c r="CS3047" s="37"/>
      <c r="CT3047" s="37"/>
      <c r="CU3047" s="37"/>
      <c r="CV3047" s="37"/>
      <c r="CW3047" s="37"/>
      <c r="CX3047" s="37"/>
      <c r="CY3047" s="37"/>
      <c r="CZ3047" s="37"/>
      <c r="DA3047" s="37"/>
      <c r="DB3047" s="37"/>
      <c r="DC3047" s="37"/>
      <c r="DD3047" s="37"/>
      <c r="DE3047" s="37"/>
      <c r="DF3047" s="37"/>
      <c r="DG3047" s="37"/>
      <c r="DH3047" s="37"/>
      <c r="DI3047" s="37"/>
      <c r="DJ3047" s="37"/>
      <c r="DK3047" s="37"/>
      <c r="DL3047" s="37"/>
      <c r="DM3047" s="37"/>
      <c r="DN3047" s="37"/>
      <c r="DO3047" s="37"/>
      <c r="DP3047" s="37"/>
      <c r="DQ3047" s="37"/>
      <c r="DR3047" s="37"/>
      <c r="DS3047" s="37"/>
      <c r="DT3047" s="37"/>
      <c r="DU3047" s="37"/>
      <c r="DV3047" s="37"/>
      <c r="DW3047" s="37"/>
      <c r="DX3047" s="37"/>
      <c r="DY3047" s="37"/>
      <c r="DZ3047" s="37"/>
      <c r="EA3047" s="37"/>
      <c r="EB3047" s="37"/>
      <c r="EC3047" s="37"/>
      <c r="ED3047" s="37"/>
      <c r="EE3047" s="37"/>
      <c r="EF3047" s="37"/>
      <c r="EG3047" s="37"/>
      <c r="EH3047" s="37"/>
      <c r="EI3047" s="37"/>
      <c r="EJ3047" s="37"/>
      <c r="EK3047" s="37"/>
      <c r="EL3047" s="37"/>
      <c r="EM3047" s="37"/>
      <c r="EN3047" s="37"/>
      <c r="EO3047" s="37"/>
      <c r="EP3047" s="37"/>
      <c r="EQ3047" s="37"/>
      <c r="ER3047" s="37"/>
      <c r="ES3047" s="37"/>
      <c r="ET3047" s="37"/>
      <c r="EU3047" s="37"/>
      <c r="EV3047" s="37"/>
      <c r="EW3047" s="37"/>
      <c r="EX3047" s="37"/>
      <c r="EY3047" s="37"/>
      <c r="EZ3047" s="37"/>
      <c r="FA3047" s="37"/>
      <c r="FB3047" s="37"/>
      <c r="FC3047" s="37"/>
      <c r="FD3047" s="37"/>
      <c r="FE3047" s="37"/>
      <c r="FF3047" s="37"/>
      <c r="FG3047" s="37"/>
      <c r="FH3047" s="37"/>
      <c r="FI3047" s="37"/>
      <c r="FJ3047" s="37"/>
      <c r="FK3047" s="37"/>
      <c r="FL3047" s="37"/>
      <c r="FM3047" s="37"/>
      <c r="FN3047" s="37"/>
      <c r="FO3047" s="37"/>
      <c r="FP3047" s="37"/>
      <c r="FQ3047" s="37"/>
      <c r="FR3047" s="37"/>
      <c r="FS3047" s="37"/>
      <c r="FT3047" s="37"/>
      <c r="FU3047" s="37"/>
      <c r="FV3047" s="37"/>
      <c r="FW3047" s="37"/>
      <c r="FX3047" s="37"/>
      <c r="FY3047" s="37"/>
      <c r="FZ3047" s="37"/>
      <c r="GA3047" s="37"/>
      <c r="GB3047" s="37"/>
      <c r="GC3047" s="37"/>
      <c r="GD3047" s="37"/>
      <c r="GE3047" s="37"/>
      <c r="GF3047" s="37"/>
      <c r="GG3047" s="37"/>
      <c r="GH3047" s="37"/>
      <c r="GI3047" s="37"/>
      <c r="GJ3047" s="37"/>
      <c r="GK3047" s="37"/>
      <c r="GL3047" s="37"/>
      <c r="GM3047" s="37"/>
      <c r="GN3047" s="37"/>
      <c r="GO3047" s="37"/>
      <c r="GP3047" s="37"/>
      <c r="GQ3047" s="37"/>
      <c r="GR3047" s="37"/>
      <c r="GS3047" s="37"/>
      <c r="GT3047" s="37"/>
      <c r="GU3047" s="37"/>
      <c r="GV3047" s="37"/>
      <c r="GW3047" s="37"/>
      <c r="GX3047" s="37"/>
      <c r="GY3047" s="37"/>
      <c r="GZ3047" s="37"/>
      <c r="HA3047" s="37"/>
      <c r="HB3047" s="37"/>
      <c r="HC3047" s="37"/>
      <c r="HD3047" s="37"/>
      <c r="HE3047" s="37"/>
      <c r="HF3047" s="37"/>
      <c r="HG3047" s="37"/>
      <c r="HH3047" s="37"/>
      <c r="HI3047" s="37"/>
      <c r="HJ3047" s="37"/>
      <c r="HK3047" s="37"/>
      <c r="HL3047" s="37"/>
      <c r="HM3047" s="37"/>
      <c r="HN3047" s="37"/>
      <c r="HO3047" s="37"/>
      <c r="HP3047" s="37"/>
      <c r="HQ3047" s="37"/>
      <c r="HR3047" s="37"/>
      <c r="HS3047" s="37"/>
      <c r="HT3047" s="37"/>
      <c r="HU3047" s="37"/>
      <c r="HV3047" s="37"/>
      <c r="HW3047" s="37"/>
      <c r="HX3047" s="37"/>
      <c r="HY3047" s="37"/>
      <c r="HZ3047" s="37"/>
      <c r="IA3047" s="37"/>
      <c r="IB3047" s="37"/>
      <c r="IC3047" s="37"/>
      <c r="ID3047" s="37"/>
      <c r="IE3047" s="37"/>
      <c r="IF3047" s="37"/>
      <c r="IG3047" s="37"/>
      <c r="IH3047" s="37"/>
      <c r="II3047" s="37"/>
      <c r="IJ3047" s="37"/>
      <c r="IK3047" s="37"/>
      <c r="IL3047" s="37"/>
      <c r="IM3047" s="37"/>
      <c r="IN3047" s="37"/>
      <c r="IO3047" s="37"/>
      <c r="IP3047" s="37"/>
      <c r="IQ3047" s="37"/>
      <c r="IR3047" s="37"/>
      <c r="IS3047" s="37"/>
      <c r="IT3047" s="37"/>
      <c r="IU3047" s="37"/>
      <c r="IV3047" s="37"/>
      <c r="IW3047" s="37"/>
      <c r="IX3047" s="37"/>
      <c r="IY3047" s="37"/>
      <c r="IZ3047" s="37"/>
      <c r="JA3047" s="37"/>
      <c r="JB3047" s="37"/>
      <c r="JC3047" s="37"/>
      <c r="JD3047" s="37"/>
      <c r="JE3047" s="37"/>
      <c r="JF3047" s="37"/>
      <c r="JG3047" s="37"/>
      <c r="JH3047" s="37"/>
      <c r="JI3047" s="37"/>
      <c r="JJ3047" s="37"/>
      <c r="JK3047" s="37"/>
      <c r="JL3047" s="37"/>
      <c r="JM3047" s="37"/>
      <c r="JN3047" s="37"/>
      <c r="JO3047" s="37"/>
      <c r="JP3047" s="37"/>
      <c r="JQ3047" s="37"/>
      <c r="JR3047" s="37"/>
      <c r="JS3047" s="37"/>
      <c r="JT3047" s="37"/>
      <c r="JU3047" s="37"/>
      <c r="JV3047" s="37"/>
      <c r="JW3047" s="37"/>
      <c r="JX3047" s="37"/>
      <c r="JY3047" s="37"/>
      <c r="JZ3047" s="37"/>
      <c r="KA3047" s="37"/>
      <c r="KB3047" s="37"/>
      <c r="KC3047" s="37"/>
      <c r="KD3047" s="37"/>
      <c r="KE3047" s="37"/>
      <c r="KF3047" s="37"/>
      <c r="KG3047" s="37"/>
      <c r="KH3047" s="37"/>
      <c r="KI3047" s="37"/>
      <c r="KJ3047" s="37"/>
      <c r="KK3047" s="37"/>
      <c r="KL3047" s="37"/>
      <c r="KM3047" s="37"/>
      <c r="KN3047" s="37"/>
      <c r="KO3047" s="37"/>
      <c r="KP3047" s="37"/>
      <c r="KQ3047" s="37"/>
      <c r="KR3047" s="37"/>
      <c r="KS3047" s="37"/>
      <c r="KT3047" s="37"/>
      <c r="KU3047" s="37"/>
      <c r="KV3047" s="37"/>
      <c r="KW3047" s="37"/>
      <c r="KX3047" s="37"/>
      <c r="KY3047" s="37"/>
      <c r="KZ3047" s="37"/>
      <c r="LA3047" s="37"/>
      <c r="LB3047" s="37"/>
      <c r="LC3047" s="37"/>
      <c r="LD3047" s="37"/>
      <c r="LE3047" s="37"/>
      <c r="LF3047" s="37"/>
      <c r="LG3047" s="37"/>
      <c r="LH3047" s="37"/>
      <c r="LI3047" s="37"/>
      <c r="LJ3047" s="37"/>
      <c r="LK3047" s="37"/>
      <c r="LL3047" s="37"/>
      <c r="LM3047" s="37"/>
      <c r="LN3047" s="37"/>
      <c r="LO3047" s="37"/>
      <c r="LP3047" s="37"/>
      <c r="LQ3047" s="37"/>
      <c r="LR3047" s="37"/>
      <c r="LS3047" s="37"/>
      <c r="LT3047" s="37"/>
      <c r="LU3047" s="37"/>
      <c r="LV3047" s="37"/>
      <c r="LW3047" s="37"/>
      <c r="LX3047" s="37"/>
      <c r="LY3047" s="37"/>
      <c r="LZ3047" s="37"/>
      <c r="MA3047" s="37"/>
      <c r="MB3047" s="37"/>
      <c r="MC3047" s="37"/>
      <c r="MD3047" s="37"/>
      <c r="ME3047" s="37"/>
      <c r="MF3047" s="37"/>
      <c r="MG3047" s="37"/>
      <c r="MH3047" s="37"/>
      <c r="MI3047" s="37"/>
      <c r="MJ3047" s="37"/>
      <c r="MK3047" s="37"/>
      <c r="ML3047" s="37"/>
      <c r="MM3047" s="37"/>
      <c r="MN3047" s="37"/>
      <c r="MO3047" s="37"/>
      <c r="MP3047" s="37"/>
      <c r="MQ3047" s="37"/>
      <c r="MR3047" s="37"/>
      <c r="MS3047" s="37"/>
      <c r="MT3047" s="37"/>
      <c r="MU3047" s="37"/>
      <c r="MV3047" s="37"/>
      <c r="MW3047" s="37"/>
      <c r="MX3047" s="37"/>
      <c r="MY3047" s="37"/>
      <c r="MZ3047" s="37"/>
      <c r="NA3047" s="37"/>
      <c r="NB3047" s="37"/>
      <c r="NC3047" s="37"/>
      <c r="ND3047" s="37"/>
      <c r="NE3047" s="37"/>
      <c r="NF3047" s="37"/>
      <c r="NG3047" s="37"/>
      <c r="NH3047" s="37"/>
      <c r="NI3047" s="37"/>
      <c r="NJ3047" s="37"/>
      <c r="NK3047" s="37"/>
      <c r="NL3047" s="37"/>
      <c r="NM3047" s="37"/>
      <c r="NN3047" s="37"/>
      <c r="NO3047" s="37"/>
      <c r="NP3047" s="37"/>
      <c r="NQ3047" s="37"/>
      <c r="NR3047" s="37"/>
      <c r="NS3047" s="37"/>
      <c r="NT3047" s="37"/>
      <c r="NU3047" s="37"/>
      <c r="NV3047" s="37"/>
      <c r="NW3047" s="37"/>
      <c r="NX3047" s="37"/>
      <c r="NY3047" s="37"/>
      <c r="NZ3047" s="37"/>
      <c r="OA3047" s="37"/>
      <c r="OB3047" s="37"/>
      <c r="OC3047" s="37"/>
      <c r="OD3047" s="37"/>
      <c r="OE3047" s="37"/>
      <c r="OF3047" s="37"/>
      <c r="OG3047" s="37"/>
      <c r="OH3047" s="37"/>
      <c r="OI3047" s="37"/>
      <c r="OJ3047" s="37"/>
      <c r="OK3047" s="37"/>
      <c r="OL3047" s="37"/>
      <c r="OM3047" s="37"/>
      <c r="ON3047" s="37"/>
      <c r="OO3047" s="37"/>
      <c r="OP3047" s="37"/>
      <c r="OQ3047" s="37"/>
      <c r="OR3047" s="37"/>
      <c r="OS3047" s="37"/>
      <c r="OT3047" s="37"/>
      <c r="OU3047" s="37"/>
      <c r="OV3047" s="37"/>
      <c r="OW3047" s="37"/>
      <c r="OX3047" s="37"/>
      <c r="OY3047" s="37"/>
      <c r="OZ3047" s="37"/>
      <c r="PA3047" s="37"/>
      <c r="PB3047" s="37"/>
      <c r="PC3047" s="37"/>
      <c r="PD3047" s="37"/>
      <c r="PE3047" s="37"/>
      <c r="PF3047" s="37"/>
      <c r="PG3047" s="37"/>
      <c r="PH3047" s="37"/>
      <c r="PI3047" s="37"/>
      <c r="PJ3047" s="37"/>
      <c r="PK3047" s="37"/>
      <c r="PL3047" s="37"/>
      <c r="PM3047" s="37"/>
      <c r="PN3047" s="37"/>
      <c r="PO3047" s="37"/>
      <c r="PP3047" s="37"/>
      <c r="PQ3047" s="37"/>
      <c r="PR3047" s="37"/>
      <c r="PS3047" s="37"/>
      <c r="PT3047" s="37"/>
      <c r="PU3047" s="37"/>
      <c r="PV3047" s="37"/>
      <c r="PW3047" s="37"/>
      <c r="PX3047" s="37"/>
      <c r="PY3047" s="37"/>
      <c r="PZ3047" s="37"/>
      <c r="QA3047" s="37"/>
      <c r="QB3047" s="37"/>
      <c r="QC3047" s="37"/>
      <c r="QD3047" s="37"/>
      <c r="QE3047" s="37"/>
      <c r="QF3047" s="37"/>
      <c r="QG3047" s="37"/>
      <c r="QH3047" s="37"/>
      <c r="QI3047" s="37"/>
      <c r="QJ3047" s="37"/>
      <c r="QK3047" s="37"/>
      <c r="QL3047" s="37"/>
      <c r="QM3047" s="37"/>
      <c r="QN3047" s="37"/>
      <c r="QO3047" s="37"/>
      <c r="QP3047" s="37"/>
      <c r="QQ3047" s="37"/>
      <c r="QR3047" s="37"/>
      <c r="QS3047" s="37"/>
      <c r="QT3047" s="37"/>
      <c r="QU3047" s="37"/>
      <c r="QV3047" s="37"/>
      <c r="QW3047" s="37"/>
      <c r="QX3047" s="37"/>
      <c r="QY3047" s="37"/>
      <c r="QZ3047" s="37"/>
      <c r="RA3047" s="37"/>
      <c r="RB3047" s="37"/>
      <c r="RC3047" s="37"/>
      <c r="RD3047" s="37"/>
      <c r="RE3047" s="37"/>
      <c r="RF3047" s="37"/>
      <c r="RG3047" s="37"/>
      <c r="RH3047" s="37"/>
      <c r="RI3047" s="37"/>
      <c r="RJ3047" s="37"/>
      <c r="RK3047" s="37"/>
      <c r="RL3047" s="37"/>
      <c r="RM3047" s="37"/>
      <c r="RN3047" s="37"/>
      <c r="RO3047" s="37"/>
      <c r="RP3047" s="37"/>
      <c r="RQ3047" s="37"/>
      <c r="RR3047" s="37"/>
      <c r="RS3047" s="37"/>
      <c r="RT3047" s="37"/>
      <c r="RU3047" s="37"/>
      <c r="RV3047" s="37"/>
      <c r="RW3047" s="37"/>
      <c r="RX3047" s="37"/>
      <c r="RY3047" s="37"/>
      <c r="RZ3047" s="37"/>
      <c r="SA3047" s="37"/>
      <c r="SB3047" s="37"/>
      <c r="SC3047" s="37"/>
      <c r="SD3047" s="37"/>
      <c r="SE3047" s="37"/>
      <c r="SF3047" s="37"/>
    </row>
    <row r="3048" spans="1:500">
      <c r="A3048" s="37"/>
      <c r="B3048" s="37"/>
      <c r="C3048" s="37"/>
      <c r="D3048" s="37"/>
      <c r="E3048" s="37"/>
      <c r="F3048" s="37"/>
      <c r="G3048" s="37"/>
      <c r="H3048" s="37"/>
      <c r="I3048" s="37"/>
      <c r="J3048" s="37"/>
      <c r="K3048" s="37"/>
      <c r="L3048" s="37"/>
      <c r="M3048" s="37"/>
      <c r="N3048" s="37"/>
      <c r="O3048" s="37"/>
      <c r="P3048" s="37"/>
      <c r="Q3048" s="37"/>
      <c r="R3048" s="37"/>
      <c r="S3048" s="37"/>
      <c r="T3048" s="37"/>
      <c r="U3048" s="37"/>
      <c r="V3048" s="37"/>
      <c r="W3048" s="37"/>
      <c r="X3048" s="37"/>
      <c r="Y3048" s="37"/>
      <c r="Z3048" s="37"/>
      <c r="AA3048" s="37"/>
      <c r="AB3048" s="37"/>
      <c r="AC3048" s="37"/>
      <c r="AD3048" s="37"/>
      <c r="AE3048" s="37"/>
      <c r="AF3048" s="37"/>
      <c r="AG3048" s="37"/>
      <c r="AH3048" s="37"/>
      <c r="AI3048" s="37"/>
      <c r="AJ3048" s="37"/>
      <c r="AK3048" s="37"/>
      <c r="AL3048" s="37"/>
      <c r="AM3048" s="37"/>
      <c r="AN3048" s="37"/>
      <c r="AO3048" s="37"/>
      <c r="AP3048" s="37"/>
      <c r="AQ3048" s="37"/>
      <c r="AR3048" s="37"/>
      <c r="AS3048" s="37"/>
      <c r="AT3048" s="37"/>
      <c r="AU3048" s="37"/>
      <c r="AV3048" s="37"/>
      <c r="AW3048" s="37"/>
      <c r="AX3048" s="37"/>
      <c r="AY3048" s="37"/>
      <c r="AZ3048" s="37"/>
      <c r="BA3048" s="37"/>
      <c r="BB3048" s="37"/>
      <c r="BC3048" s="37"/>
      <c r="BD3048" s="37"/>
      <c r="BE3048" s="37"/>
      <c r="BF3048" s="37"/>
      <c r="BG3048" s="37"/>
      <c r="BH3048" s="37"/>
      <c r="BI3048" s="37"/>
      <c r="BJ3048" s="37"/>
      <c r="BK3048" s="37"/>
      <c r="BL3048" s="37"/>
      <c r="BM3048" s="37"/>
      <c r="BN3048" s="37"/>
      <c r="BO3048" s="37"/>
      <c r="BP3048" s="37"/>
      <c r="BQ3048" s="37"/>
      <c r="BR3048" s="37"/>
      <c r="BS3048" s="37"/>
      <c r="BT3048" s="37"/>
      <c r="BU3048" s="37"/>
      <c r="BV3048" s="37"/>
      <c r="BW3048" s="37"/>
      <c r="BX3048" s="37"/>
      <c r="BY3048" s="37"/>
      <c r="BZ3048" s="37"/>
      <c r="CA3048" s="37"/>
      <c r="CB3048" s="37"/>
      <c r="CC3048" s="37"/>
      <c r="CD3048" s="37"/>
      <c r="CE3048" s="37"/>
      <c r="CF3048" s="37"/>
      <c r="CG3048" s="37"/>
      <c r="CH3048" s="37"/>
      <c r="CI3048" s="37"/>
      <c r="CJ3048" s="37"/>
      <c r="CK3048" s="37"/>
      <c r="CL3048" s="37"/>
      <c r="CM3048" s="37"/>
      <c r="CN3048" s="37"/>
      <c r="CO3048" s="37"/>
      <c r="CP3048" s="37"/>
      <c r="CQ3048" s="37"/>
      <c r="CR3048" s="37"/>
      <c r="CS3048" s="37"/>
      <c r="CT3048" s="37"/>
      <c r="CU3048" s="37"/>
      <c r="CV3048" s="37"/>
      <c r="CW3048" s="37"/>
      <c r="CX3048" s="37"/>
      <c r="CY3048" s="37"/>
      <c r="CZ3048" s="37"/>
      <c r="DA3048" s="37"/>
      <c r="DB3048" s="37"/>
      <c r="DC3048" s="37"/>
      <c r="DD3048" s="37"/>
      <c r="DE3048" s="37"/>
      <c r="DF3048" s="37"/>
      <c r="DG3048" s="37"/>
      <c r="DH3048" s="37"/>
      <c r="DI3048" s="37"/>
      <c r="DJ3048" s="37"/>
      <c r="DK3048" s="37"/>
      <c r="DL3048" s="37"/>
      <c r="DM3048" s="37"/>
      <c r="DN3048" s="37"/>
      <c r="DO3048" s="37"/>
      <c r="DP3048" s="37"/>
      <c r="DQ3048" s="37"/>
      <c r="DR3048" s="37"/>
      <c r="DS3048" s="37"/>
      <c r="DT3048" s="37"/>
      <c r="DU3048" s="37"/>
      <c r="DV3048" s="37"/>
      <c r="DW3048" s="37"/>
      <c r="DX3048" s="37"/>
      <c r="DY3048" s="37"/>
      <c r="DZ3048" s="37"/>
      <c r="EA3048" s="37"/>
      <c r="EB3048" s="37"/>
      <c r="EC3048" s="37"/>
      <c r="ED3048" s="37"/>
      <c r="EE3048" s="37"/>
      <c r="EF3048" s="37"/>
      <c r="EG3048" s="37"/>
      <c r="EH3048" s="37"/>
      <c r="EI3048" s="37"/>
      <c r="EJ3048" s="37"/>
      <c r="EK3048" s="37"/>
      <c r="EL3048" s="37"/>
      <c r="EM3048" s="37"/>
      <c r="EN3048" s="37"/>
      <c r="EO3048" s="37"/>
      <c r="EP3048" s="37"/>
      <c r="EQ3048" s="37"/>
      <c r="ER3048" s="37"/>
      <c r="ES3048" s="37"/>
      <c r="ET3048" s="37"/>
      <c r="EU3048" s="37"/>
      <c r="EV3048" s="37"/>
      <c r="EW3048" s="37"/>
      <c r="EX3048" s="37"/>
      <c r="EY3048" s="37"/>
      <c r="EZ3048" s="37"/>
      <c r="FA3048" s="37"/>
      <c r="FB3048" s="37"/>
      <c r="FC3048" s="37"/>
      <c r="FD3048" s="37"/>
      <c r="FE3048" s="37"/>
      <c r="FF3048" s="37"/>
      <c r="FG3048" s="37"/>
      <c r="FH3048" s="37"/>
      <c r="FI3048" s="37"/>
      <c r="FJ3048" s="37"/>
      <c r="FK3048" s="37"/>
      <c r="FL3048" s="37"/>
      <c r="FM3048" s="37"/>
      <c r="FN3048" s="37"/>
      <c r="FO3048" s="37"/>
      <c r="FP3048" s="37"/>
      <c r="FQ3048" s="37"/>
      <c r="FR3048" s="37"/>
      <c r="FS3048" s="37"/>
      <c r="FT3048" s="37"/>
      <c r="FU3048" s="37"/>
      <c r="FV3048" s="37"/>
      <c r="FW3048" s="37"/>
      <c r="FX3048" s="37"/>
      <c r="FY3048" s="37"/>
      <c r="FZ3048" s="37"/>
      <c r="GA3048" s="37"/>
      <c r="GB3048" s="37"/>
      <c r="GC3048" s="37"/>
      <c r="GD3048" s="37"/>
      <c r="GE3048" s="37"/>
      <c r="GF3048" s="37"/>
      <c r="GG3048" s="37"/>
      <c r="GH3048" s="37"/>
      <c r="GI3048" s="37"/>
      <c r="GJ3048" s="37"/>
      <c r="GK3048" s="37"/>
      <c r="GL3048" s="37"/>
      <c r="GM3048" s="37"/>
      <c r="GN3048" s="37"/>
      <c r="GO3048" s="37"/>
      <c r="GP3048" s="37"/>
      <c r="GQ3048" s="37"/>
      <c r="GR3048" s="37"/>
      <c r="GS3048" s="37"/>
      <c r="GT3048" s="37"/>
      <c r="GU3048" s="37"/>
      <c r="GV3048" s="37"/>
      <c r="GW3048" s="37"/>
      <c r="GX3048" s="37"/>
      <c r="GY3048" s="37"/>
      <c r="GZ3048" s="37"/>
      <c r="HA3048" s="37"/>
      <c r="HB3048" s="37"/>
      <c r="HC3048" s="37"/>
      <c r="HD3048" s="37"/>
      <c r="HE3048" s="37"/>
      <c r="HF3048" s="37"/>
      <c r="HG3048" s="37"/>
      <c r="HH3048" s="37"/>
      <c r="HI3048" s="37"/>
      <c r="HJ3048" s="37"/>
      <c r="HK3048" s="37"/>
      <c r="HL3048" s="37"/>
      <c r="HM3048" s="37"/>
      <c r="HN3048" s="37"/>
      <c r="HO3048" s="37"/>
      <c r="HP3048" s="37"/>
      <c r="HQ3048" s="37"/>
      <c r="HR3048" s="37"/>
      <c r="HS3048" s="37"/>
      <c r="HT3048" s="37"/>
      <c r="HU3048" s="37"/>
      <c r="HV3048" s="37"/>
      <c r="HW3048" s="37"/>
      <c r="HX3048" s="37"/>
      <c r="HY3048" s="37"/>
      <c r="HZ3048" s="37"/>
      <c r="IA3048" s="37"/>
      <c r="IB3048" s="37"/>
      <c r="IC3048" s="37"/>
      <c r="ID3048" s="37"/>
      <c r="IE3048" s="37"/>
      <c r="IF3048" s="37"/>
      <c r="IG3048" s="37"/>
      <c r="IH3048" s="37"/>
      <c r="II3048" s="37"/>
      <c r="IJ3048" s="37"/>
      <c r="IK3048" s="37"/>
      <c r="IL3048" s="37"/>
      <c r="IM3048" s="37"/>
      <c r="IN3048" s="37"/>
      <c r="IO3048" s="37"/>
      <c r="IP3048" s="37"/>
      <c r="IQ3048" s="37"/>
      <c r="IR3048" s="37"/>
      <c r="IS3048" s="37"/>
      <c r="IT3048" s="37"/>
      <c r="IU3048" s="37"/>
      <c r="IV3048" s="37"/>
      <c r="IW3048" s="37"/>
      <c r="IX3048" s="37"/>
      <c r="IY3048" s="37"/>
      <c r="IZ3048" s="37"/>
      <c r="JA3048" s="37"/>
      <c r="JB3048" s="37"/>
      <c r="JC3048" s="37"/>
      <c r="JD3048" s="37"/>
      <c r="JE3048" s="37"/>
      <c r="JF3048" s="37"/>
      <c r="JG3048" s="37"/>
      <c r="JH3048" s="37"/>
      <c r="JI3048" s="37"/>
      <c r="JJ3048" s="37"/>
      <c r="JK3048" s="37"/>
      <c r="JL3048" s="37"/>
      <c r="JM3048" s="37"/>
      <c r="JN3048" s="37"/>
      <c r="JO3048" s="37"/>
      <c r="JP3048" s="37"/>
      <c r="JQ3048" s="37"/>
      <c r="JR3048" s="37"/>
      <c r="JS3048" s="37"/>
      <c r="JT3048" s="37"/>
      <c r="JU3048" s="37"/>
      <c r="JV3048" s="37"/>
      <c r="JW3048" s="37"/>
      <c r="JX3048" s="37"/>
      <c r="JY3048" s="37"/>
      <c r="JZ3048" s="37"/>
      <c r="KA3048" s="37"/>
      <c r="KB3048" s="37"/>
      <c r="KC3048" s="37"/>
      <c r="KD3048" s="37"/>
      <c r="KE3048" s="37"/>
      <c r="KF3048" s="37"/>
      <c r="KG3048" s="37"/>
      <c r="KH3048" s="37"/>
      <c r="KI3048" s="37"/>
      <c r="KJ3048" s="37"/>
      <c r="KK3048" s="37"/>
      <c r="KL3048" s="37"/>
      <c r="KM3048" s="37"/>
      <c r="KN3048" s="37"/>
      <c r="KO3048" s="37"/>
      <c r="KP3048" s="37"/>
      <c r="KQ3048" s="37"/>
      <c r="KR3048" s="37"/>
      <c r="KS3048" s="37"/>
      <c r="KT3048" s="37"/>
      <c r="KU3048" s="37"/>
      <c r="KV3048" s="37"/>
      <c r="KW3048" s="37"/>
      <c r="KX3048" s="37"/>
      <c r="KY3048" s="37"/>
      <c r="KZ3048" s="37"/>
      <c r="LA3048" s="37"/>
      <c r="LB3048" s="37"/>
      <c r="LC3048" s="37"/>
      <c r="LD3048" s="37"/>
      <c r="LE3048" s="37"/>
      <c r="LF3048" s="37"/>
      <c r="LG3048" s="37"/>
      <c r="LH3048" s="37"/>
      <c r="LI3048" s="37"/>
      <c r="LJ3048" s="37"/>
      <c r="LK3048" s="37"/>
      <c r="LL3048" s="37"/>
      <c r="LM3048" s="37"/>
      <c r="LN3048" s="37"/>
      <c r="LO3048" s="37"/>
      <c r="LP3048" s="37"/>
      <c r="LQ3048" s="37"/>
      <c r="LR3048" s="37"/>
      <c r="LS3048" s="37"/>
      <c r="LT3048" s="37"/>
      <c r="LU3048" s="37"/>
      <c r="LV3048" s="37"/>
      <c r="LW3048" s="37"/>
      <c r="LX3048" s="37"/>
      <c r="LY3048" s="37"/>
      <c r="LZ3048" s="37"/>
      <c r="MA3048" s="37"/>
      <c r="MB3048" s="37"/>
      <c r="MC3048" s="37"/>
      <c r="MD3048" s="37"/>
      <c r="ME3048" s="37"/>
      <c r="MF3048" s="37"/>
      <c r="MG3048" s="37"/>
      <c r="MH3048" s="37"/>
      <c r="MI3048" s="37"/>
      <c r="MJ3048" s="37"/>
      <c r="MK3048" s="37"/>
      <c r="ML3048" s="37"/>
      <c r="MM3048" s="37"/>
      <c r="MN3048" s="37"/>
      <c r="MO3048" s="37"/>
      <c r="MP3048" s="37"/>
      <c r="MQ3048" s="37"/>
      <c r="MR3048" s="37"/>
      <c r="MS3048" s="37"/>
      <c r="MT3048" s="37"/>
      <c r="MU3048" s="37"/>
      <c r="MV3048" s="37"/>
      <c r="MW3048" s="37"/>
      <c r="MX3048" s="37"/>
      <c r="MY3048" s="37"/>
      <c r="MZ3048" s="37"/>
      <c r="NA3048" s="37"/>
      <c r="NB3048" s="37"/>
      <c r="NC3048" s="37"/>
      <c r="ND3048" s="37"/>
      <c r="NE3048" s="37"/>
      <c r="NF3048" s="37"/>
      <c r="NG3048" s="37"/>
      <c r="NH3048" s="37"/>
      <c r="NI3048" s="37"/>
      <c r="NJ3048" s="37"/>
      <c r="NK3048" s="37"/>
      <c r="NL3048" s="37"/>
      <c r="NM3048" s="37"/>
      <c r="NN3048" s="37"/>
      <c r="NO3048" s="37"/>
      <c r="NP3048" s="37"/>
      <c r="NQ3048" s="37"/>
      <c r="NR3048" s="37"/>
      <c r="NS3048" s="37"/>
      <c r="NT3048" s="37"/>
      <c r="NU3048" s="37"/>
      <c r="NV3048" s="37"/>
      <c r="NW3048" s="37"/>
      <c r="NX3048" s="37"/>
      <c r="NY3048" s="37"/>
      <c r="NZ3048" s="37"/>
      <c r="OA3048" s="37"/>
      <c r="OB3048" s="37"/>
      <c r="OC3048" s="37"/>
      <c r="OD3048" s="37"/>
      <c r="OE3048" s="37"/>
      <c r="OF3048" s="37"/>
      <c r="OG3048" s="37"/>
      <c r="OH3048" s="37"/>
      <c r="OI3048" s="37"/>
      <c r="OJ3048" s="37"/>
      <c r="OK3048" s="37"/>
      <c r="OL3048" s="37"/>
      <c r="OM3048" s="37"/>
      <c r="ON3048" s="37"/>
      <c r="OO3048" s="37"/>
      <c r="OP3048" s="37"/>
      <c r="OQ3048" s="37"/>
      <c r="OR3048" s="37"/>
      <c r="OS3048" s="37"/>
      <c r="OT3048" s="37"/>
      <c r="OU3048" s="37"/>
      <c r="OV3048" s="37"/>
      <c r="OW3048" s="37"/>
      <c r="OX3048" s="37"/>
      <c r="OY3048" s="37"/>
      <c r="OZ3048" s="37"/>
      <c r="PA3048" s="37"/>
      <c r="PB3048" s="37"/>
      <c r="PC3048" s="37"/>
      <c r="PD3048" s="37"/>
      <c r="PE3048" s="37"/>
      <c r="PF3048" s="37"/>
      <c r="PG3048" s="37"/>
      <c r="PH3048" s="37"/>
      <c r="PI3048" s="37"/>
      <c r="PJ3048" s="37"/>
      <c r="PK3048" s="37"/>
      <c r="PL3048" s="37"/>
      <c r="PM3048" s="37"/>
      <c r="PN3048" s="37"/>
      <c r="PO3048" s="37"/>
      <c r="PP3048" s="37"/>
      <c r="PQ3048" s="37"/>
      <c r="PR3048" s="37"/>
      <c r="PS3048" s="37"/>
      <c r="PT3048" s="37"/>
      <c r="PU3048" s="37"/>
      <c r="PV3048" s="37"/>
      <c r="PW3048" s="37"/>
      <c r="PX3048" s="37"/>
      <c r="PY3048" s="37"/>
      <c r="PZ3048" s="37"/>
      <c r="QA3048" s="37"/>
      <c r="QB3048" s="37"/>
      <c r="QC3048" s="37"/>
      <c r="QD3048" s="37"/>
      <c r="QE3048" s="37"/>
      <c r="QF3048" s="37"/>
      <c r="QG3048" s="37"/>
      <c r="QH3048" s="37"/>
      <c r="QI3048" s="37"/>
      <c r="QJ3048" s="37"/>
      <c r="QK3048" s="37"/>
      <c r="QL3048" s="37"/>
      <c r="QM3048" s="37"/>
      <c r="QN3048" s="37"/>
      <c r="QO3048" s="37"/>
      <c r="QP3048" s="37"/>
      <c r="QQ3048" s="37"/>
      <c r="QR3048" s="37"/>
      <c r="QS3048" s="37"/>
      <c r="QT3048" s="37"/>
      <c r="QU3048" s="37"/>
      <c r="QV3048" s="37"/>
      <c r="QW3048" s="37"/>
      <c r="QX3048" s="37"/>
      <c r="QY3048" s="37"/>
      <c r="QZ3048" s="37"/>
      <c r="RA3048" s="37"/>
      <c r="RB3048" s="37"/>
      <c r="RC3048" s="37"/>
      <c r="RD3048" s="37"/>
      <c r="RE3048" s="37"/>
      <c r="RF3048" s="37"/>
      <c r="RG3048" s="37"/>
      <c r="RH3048" s="37"/>
      <c r="RI3048" s="37"/>
      <c r="RJ3048" s="37"/>
      <c r="RK3048" s="37"/>
      <c r="RL3048" s="37"/>
      <c r="RM3048" s="37"/>
      <c r="RN3048" s="37"/>
      <c r="RO3048" s="37"/>
      <c r="RP3048" s="37"/>
      <c r="RQ3048" s="37"/>
      <c r="RR3048" s="37"/>
      <c r="RS3048" s="37"/>
      <c r="RT3048" s="37"/>
      <c r="RU3048" s="37"/>
      <c r="RV3048" s="37"/>
      <c r="RW3048" s="37"/>
      <c r="RX3048" s="37"/>
      <c r="RY3048" s="37"/>
      <c r="RZ3048" s="37"/>
      <c r="SA3048" s="37"/>
      <c r="SB3048" s="37"/>
      <c r="SC3048" s="37"/>
      <c r="SD3048" s="37"/>
      <c r="SE3048" s="37"/>
      <c r="SF3048" s="37"/>
    </row>
    <row r="3049" spans="1:500">
      <c r="A3049" s="37"/>
      <c r="B3049" s="37"/>
      <c r="C3049" s="37"/>
      <c r="D3049" s="37"/>
      <c r="E3049" s="37"/>
      <c r="F3049" s="37"/>
      <c r="G3049" s="37"/>
      <c r="H3049" s="37"/>
      <c r="I3049" s="37"/>
      <c r="J3049" s="37"/>
      <c r="K3049" s="37"/>
      <c r="L3049" s="37"/>
      <c r="M3049" s="37"/>
      <c r="N3049" s="37"/>
      <c r="O3049" s="37"/>
      <c r="P3049" s="37"/>
      <c r="Q3049" s="37"/>
      <c r="R3049" s="37"/>
      <c r="S3049" s="37"/>
      <c r="T3049" s="37"/>
      <c r="U3049" s="37"/>
      <c r="V3049" s="37"/>
      <c r="W3049" s="37"/>
      <c r="X3049" s="37"/>
      <c r="Y3049" s="37"/>
      <c r="Z3049" s="37"/>
      <c r="AA3049" s="37"/>
      <c r="AB3049" s="37"/>
      <c r="AC3049" s="37"/>
      <c r="AD3049" s="37"/>
      <c r="AE3049" s="37"/>
      <c r="AF3049" s="37"/>
      <c r="AG3049" s="37"/>
      <c r="AH3049" s="37"/>
      <c r="AI3049" s="37"/>
      <c r="AJ3049" s="37"/>
      <c r="AK3049" s="37"/>
      <c r="AL3049" s="37"/>
      <c r="AM3049" s="37"/>
      <c r="AN3049" s="37"/>
      <c r="AO3049" s="37"/>
      <c r="AP3049" s="37"/>
      <c r="AQ3049" s="37"/>
      <c r="AR3049" s="37"/>
      <c r="AS3049" s="37"/>
      <c r="AT3049" s="37"/>
      <c r="AU3049" s="37"/>
      <c r="AV3049" s="37"/>
      <c r="AW3049" s="37"/>
      <c r="AX3049" s="37"/>
      <c r="AY3049" s="37"/>
      <c r="AZ3049" s="37"/>
      <c r="BA3049" s="37"/>
      <c r="BB3049" s="37"/>
      <c r="BC3049" s="37"/>
      <c r="BD3049" s="37"/>
      <c r="BE3049" s="37"/>
      <c r="BF3049" s="37"/>
      <c r="BG3049" s="37"/>
      <c r="BH3049" s="37"/>
      <c r="BI3049" s="37"/>
      <c r="BJ3049" s="37"/>
      <c r="BK3049" s="37"/>
      <c r="BL3049" s="37"/>
      <c r="BM3049" s="37"/>
      <c r="BN3049" s="37"/>
      <c r="BO3049" s="37"/>
      <c r="BP3049" s="37"/>
      <c r="BQ3049" s="37"/>
      <c r="BR3049" s="37"/>
      <c r="BS3049" s="37"/>
      <c r="BT3049" s="37"/>
      <c r="BU3049" s="37"/>
      <c r="BV3049" s="37"/>
      <c r="BW3049" s="37"/>
      <c r="BX3049" s="37"/>
      <c r="BY3049" s="37"/>
      <c r="BZ3049" s="37"/>
      <c r="CA3049" s="37"/>
      <c r="CB3049" s="37"/>
      <c r="CC3049" s="37"/>
      <c r="CD3049" s="37"/>
      <c r="CE3049" s="37"/>
      <c r="CF3049" s="37"/>
      <c r="CG3049" s="37"/>
      <c r="CH3049" s="37"/>
      <c r="CI3049" s="37"/>
      <c r="CJ3049" s="37"/>
      <c r="CK3049" s="37"/>
      <c r="CL3049" s="37"/>
      <c r="CM3049" s="37"/>
      <c r="CN3049" s="37"/>
      <c r="CO3049" s="37"/>
      <c r="CP3049" s="37"/>
      <c r="CQ3049" s="37"/>
      <c r="CR3049" s="37"/>
      <c r="CS3049" s="37"/>
      <c r="CT3049" s="37"/>
      <c r="CU3049" s="37"/>
      <c r="CV3049" s="37"/>
      <c r="CW3049" s="37"/>
      <c r="CX3049" s="37"/>
      <c r="CY3049" s="37"/>
      <c r="CZ3049" s="37"/>
      <c r="DA3049" s="37"/>
      <c r="DB3049" s="37"/>
      <c r="DC3049" s="37"/>
      <c r="DD3049" s="37"/>
      <c r="DE3049" s="37"/>
      <c r="DF3049" s="37"/>
      <c r="DG3049" s="37"/>
      <c r="DH3049" s="37"/>
      <c r="DI3049" s="37"/>
      <c r="DJ3049" s="37"/>
      <c r="DK3049" s="37"/>
      <c r="DL3049" s="37"/>
      <c r="DM3049" s="37"/>
      <c r="DN3049" s="37"/>
      <c r="DO3049" s="37"/>
      <c r="DP3049" s="37"/>
      <c r="DQ3049" s="37"/>
      <c r="DR3049" s="37"/>
      <c r="DS3049" s="37"/>
      <c r="DT3049" s="37"/>
      <c r="DU3049" s="37"/>
      <c r="DV3049" s="37"/>
      <c r="DW3049" s="37"/>
      <c r="DX3049" s="37"/>
      <c r="DY3049" s="37"/>
      <c r="DZ3049" s="37"/>
      <c r="EA3049" s="37"/>
      <c r="EB3049" s="37"/>
      <c r="EC3049" s="37"/>
      <c r="ED3049" s="37"/>
      <c r="EE3049" s="37"/>
      <c r="EF3049" s="37"/>
      <c r="EG3049" s="37"/>
      <c r="EH3049" s="37"/>
      <c r="EI3049" s="37"/>
      <c r="EJ3049" s="37"/>
      <c r="EK3049" s="37"/>
      <c r="EL3049" s="37"/>
      <c r="EM3049" s="37"/>
      <c r="EN3049" s="37"/>
      <c r="EO3049" s="37"/>
      <c r="EP3049" s="37"/>
      <c r="EQ3049" s="37"/>
      <c r="ER3049" s="37"/>
      <c r="ES3049" s="37"/>
      <c r="ET3049" s="37"/>
      <c r="EU3049" s="37"/>
      <c r="EV3049" s="37"/>
      <c r="EW3049" s="37"/>
      <c r="EX3049" s="37"/>
      <c r="EY3049" s="37"/>
      <c r="EZ3049" s="37"/>
      <c r="FA3049" s="37"/>
      <c r="FB3049" s="37"/>
      <c r="FC3049" s="37"/>
      <c r="FD3049" s="37"/>
      <c r="FE3049" s="37"/>
      <c r="FF3049" s="37"/>
      <c r="FG3049" s="37"/>
      <c r="FH3049" s="37"/>
      <c r="FI3049" s="37"/>
      <c r="FJ3049" s="37"/>
      <c r="FK3049" s="37"/>
      <c r="FL3049" s="37"/>
      <c r="FM3049" s="37"/>
      <c r="FN3049" s="37"/>
      <c r="FO3049" s="37"/>
      <c r="FP3049" s="37"/>
      <c r="FQ3049" s="37"/>
      <c r="FR3049" s="37"/>
      <c r="FS3049" s="37"/>
      <c r="FT3049" s="37"/>
      <c r="FU3049" s="37"/>
      <c r="FV3049" s="37"/>
      <c r="FW3049" s="37"/>
      <c r="FX3049" s="37"/>
      <c r="FY3049" s="37"/>
      <c r="FZ3049" s="37"/>
      <c r="GA3049" s="37"/>
      <c r="GB3049" s="37"/>
      <c r="GC3049" s="37"/>
      <c r="GD3049" s="37"/>
      <c r="GE3049" s="37"/>
      <c r="GF3049" s="37"/>
      <c r="GG3049" s="37"/>
      <c r="GH3049" s="37"/>
      <c r="GI3049" s="37"/>
      <c r="GJ3049" s="37"/>
      <c r="GK3049" s="37"/>
      <c r="GL3049" s="37"/>
      <c r="GM3049" s="37"/>
      <c r="GN3049" s="37"/>
      <c r="GO3049" s="37"/>
      <c r="GP3049" s="37"/>
      <c r="GQ3049" s="37"/>
      <c r="GR3049" s="37"/>
      <c r="GS3049" s="37"/>
      <c r="GT3049" s="37"/>
      <c r="GU3049" s="37"/>
      <c r="GV3049" s="37"/>
      <c r="GW3049" s="37"/>
      <c r="GX3049" s="37"/>
      <c r="GY3049" s="37"/>
      <c r="GZ3049" s="37"/>
      <c r="HA3049" s="37"/>
      <c r="HB3049" s="37"/>
      <c r="HC3049" s="37"/>
      <c r="HD3049" s="37"/>
      <c r="HE3049" s="37"/>
      <c r="HF3049" s="37"/>
      <c r="HG3049" s="37"/>
      <c r="HH3049" s="37"/>
      <c r="HI3049" s="37"/>
      <c r="HJ3049" s="37"/>
      <c r="HK3049" s="37"/>
      <c r="HL3049" s="37"/>
      <c r="HM3049" s="37"/>
      <c r="HN3049" s="37"/>
      <c r="HO3049" s="37"/>
      <c r="HP3049" s="37"/>
      <c r="HQ3049" s="37"/>
      <c r="HR3049" s="37"/>
      <c r="HS3049" s="37"/>
      <c r="HT3049" s="37"/>
      <c r="HU3049" s="37"/>
      <c r="HV3049" s="37"/>
      <c r="HW3049" s="37"/>
      <c r="HX3049" s="37"/>
      <c r="HY3049" s="37"/>
      <c r="HZ3049" s="37"/>
      <c r="IA3049" s="37"/>
      <c r="IB3049" s="37"/>
      <c r="IC3049" s="37"/>
      <c r="ID3049" s="37"/>
      <c r="IE3049" s="37"/>
      <c r="IF3049" s="37"/>
      <c r="IG3049" s="37"/>
      <c r="IH3049" s="37"/>
      <c r="II3049" s="37"/>
      <c r="IJ3049" s="37"/>
      <c r="IK3049" s="37"/>
      <c r="IL3049" s="37"/>
      <c r="IM3049" s="37"/>
      <c r="IN3049" s="37"/>
      <c r="IO3049" s="37"/>
      <c r="IP3049" s="37"/>
      <c r="IQ3049" s="37"/>
      <c r="IR3049" s="37"/>
      <c r="IS3049" s="37"/>
      <c r="IT3049" s="37"/>
      <c r="IU3049" s="37"/>
      <c r="IV3049" s="37"/>
      <c r="IW3049" s="37"/>
      <c r="IX3049" s="37"/>
      <c r="IY3049" s="37"/>
      <c r="IZ3049" s="37"/>
      <c r="JA3049" s="37"/>
      <c r="JB3049" s="37"/>
      <c r="JC3049" s="37"/>
      <c r="JD3049" s="37"/>
      <c r="JE3049" s="37"/>
      <c r="JF3049" s="37"/>
      <c r="JG3049" s="37"/>
      <c r="JH3049" s="37"/>
      <c r="JI3049" s="37"/>
      <c r="JJ3049" s="37"/>
      <c r="JK3049" s="37"/>
      <c r="JL3049" s="37"/>
      <c r="JM3049" s="37"/>
      <c r="JN3049" s="37"/>
      <c r="JO3049" s="37"/>
      <c r="JP3049" s="37"/>
      <c r="JQ3049" s="37"/>
      <c r="JR3049" s="37"/>
      <c r="JS3049" s="37"/>
      <c r="JT3049" s="37"/>
      <c r="JU3049" s="37"/>
      <c r="JV3049" s="37"/>
      <c r="JW3049" s="37"/>
      <c r="JX3049" s="37"/>
      <c r="JY3049" s="37"/>
      <c r="JZ3049" s="37"/>
      <c r="KA3049" s="37"/>
      <c r="KB3049" s="37"/>
      <c r="KC3049" s="37"/>
      <c r="KD3049" s="37"/>
      <c r="KE3049" s="37"/>
      <c r="KF3049" s="37"/>
      <c r="KG3049" s="37"/>
      <c r="KH3049" s="37"/>
      <c r="KI3049" s="37"/>
      <c r="KJ3049" s="37"/>
      <c r="KK3049" s="37"/>
      <c r="KL3049" s="37"/>
      <c r="KM3049" s="37"/>
      <c r="KN3049" s="37"/>
      <c r="KO3049" s="37"/>
      <c r="KP3049" s="37"/>
      <c r="KQ3049" s="37"/>
      <c r="KR3049" s="37"/>
      <c r="KS3049" s="37"/>
      <c r="KT3049" s="37"/>
      <c r="KU3049" s="37"/>
      <c r="KV3049" s="37"/>
      <c r="KW3049" s="37"/>
      <c r="KX3049" s="37"/>
      <c r="KY3049" s="37"/>
      <c r="KZ3049" s="37"/>
      <c r="LA3049" s="37"/>
      <c r="LB3049" s="37"/>
      <c r="LC3049" s="37"/>
      <c r="LD3049" s="37"/>
      <c r="LE3049" s="37"/>
      <c r="LF3049" s="37"/>
      <c r="LG3049" s="37"/>
      <c r="LH3049" s="37"/>
      <c r="LI3049" s="37"/>
      <c r="LJ3049" s="37"/>
      <c r="LK3049" s="37"/>
      <c r="LL3049" s="37"/>
      <c r="LM3049" s="37"/>
      <c r="LN3049" s="37"/>
      <c r="LO3049" s="37"/>
      <c r="LP3049" s="37"/>
      <c r="LQ3049" s="37"/>
      <c r="LR3049" s="37"/>
      <c r="LS3049" s="37"/>
      <c r="LT3049" s="37"/>
      <c r="LU3049" s="37"/>
      <c r="LV3049" s="37"/>
      <c r="LW3049" s="37"/>
      <c r="LX3049" s="37"/>
      <c r="LY3049" s="37"/>
      <c r="LZ3049" s="37"/>
      <c r="MA3049" s="37"/>
      <c r="MB3049" s="37"/>
      <c r="MC3049" s="37"/>
      <c r="MD3049" s="37"/>
      <c r="ME3049" s="37"/>
      <c r="MF3049" s="37"/>
      <c r="MG3049" s="37"/>
      <c r="MH3049" s="37"/>
      <c r="MI3049" s="37"/>
      <c r="MJ3049" s="37"/>
      <c r="MK3049" s="37"/>
      <c r="ML3049" s="37"/>
      <c r="MM3049" s="37"/>
      <c r="MN3049" s="37"/>
      <c r="MO3049" s="37"/>
      <c r="MP3049" s="37"/>
      <c r="MQ3049" s="37"/>
      <c r="MR3049" s="37"/>
      <c r="MS3049" s="37"/>
      <c r="MT3049" s="37"/>
      <c r="MU3049" s="37"/>
      <c r="MV3049" s="37"/>
      <c r="MW3049" s="37"/>
      <c r="MX3049" s="37"/>
      <c r="MY3049" s="37"/>
      <c r="MZ3049" s="37"/>
      <c r="NA3049" s="37"/>
      <c r="NB3049" s="37"/>
      <c r="NC3049" s="37"/>
      <c r="ND3049" s="37"/>
      <c r="NE3049" s="37"/>
      <c r="NF3049" s="37"/>
      <c r="NG3049" s="37"/>
      <c r="NH3049" s="37"/>
      <c r="NI3049" s="37"/>
      <c r="NJ3049" s="37"/>
      <c r="NK3049" s="37"/>
      <c r="NL3049" s="37"/>
      <c r="NM3049" s="37"/>
      <c r="NN3049" s="37"/>
      <c r="NO3049" s="37"/>
      <c r="NP3049" s="37"/>
      <c r="NQ3049" s="37"/>
      <c r="NR3049" s="37"/>
      <c r="NS3049" s="37"/>
      <c r="NT3049" s="37"/>
      <c r="NU3049" s="37"/>
      <c r="NV3049" s="37"/>
      <c r="NW3049" s="37"/>
      <c r="NX3049" s="37"/>
      <c r="NY3049" s="37"/>
      <c r="NZ3049" s="37"/>
      <c r="OA3049" s="37"/>
      <c r="OB3049" s="37"/>
      <c r="OC3049" s="37"/>
      <c r="OD3049" s="37"/>
      <c r="OE3049" s="37"/>
      <c r="OF3049" s="37"/>
      <c r="OG3049" s="37"/>
      <c r="OH3049" s="37"/>
      <c r="OI3049" s="37"/>
      <c r="OJ3049" s="37"/>
      <c r="OK3049" s="37"/>
      <c r="OL3049" s="37"/>
      <c r="OM3049" s="37"/>
      <c r="ON3049" s="37"/>
      <c r="OO3049" s="37"/>
      <c r="OP3049" s="37"/>
      <c r="OQ3049" s="37"/>
      <c r="OR3049" s="37"/>
      <c r="OS3049" s="37"/>
      <c r="OT3049" s="37"/>
      <c r="OU3049" s="37"/>
      <c r="OV3049" s="37"/>
      <c r="OW3049" s="37"/>
      <c r="OX3049" s="37"/>
      <c r="OY3049" s="37"/>
      <c r="OZ3049" s="37"/>
      <c r="PA3049" s="37"/>
      <c r="PB3049" s="37"/>
      <c r="PC3049" s="37"/>
      <c r="PD3049" s="37"/>
      <c r="PE3049" s="37"/>
      <c r="PF3049" s="37"/>
      <c r="PG3049" s="37"/>
      <c r="PH3049" s="37"/>
      <c r="PI3049" s="37"/>
      <c r="PJ3049" s="37"/>
      <c r="PK3049" s="37"/>
      <c r="PL3049" s="37"/>
      <c r="PM3049" s="37"/>
      <c r="PN3049" s="37"/>
      <c r="PO3049" s="37"/>
      <c r="PP3049" s="37"/>
      <c r="PQ3049" s="37"/>
      <c r="PR3049" s="37"/>
      <c r="PS3049" s="37"/>
      <c r="PT3049" s="37"/>
      <c r="PU3049" s="37"/>
      <c r="PV3049" s="37"/>
      <c r="PW3049" s="37"/>
      <c r="PX3049" s="37"/>
      <c r="PY3049" s="37"/>
      <c r="PZ3049" s="37"/>
      <c r="QA3049" s="37"/>
      <c r="QB3049" s="37"/>
      <c r="QC3049" s="37"/>
      <c r="QD3049" s="37"/>
      <c r="QE3049" s="37"/>
      <c r="QF3049" s="37"/>
      <c r="QG3049" s="37"/>
      <c r="QH3049" s="37"/>
      <c r="QI3049" s="37"/>
      <c r="QJ3049" s="37"/>
      <c r="QK3049" s="37"/>
      <c r="QL3049" s="37"/>
      <c r="QM3049" s="37"/>
      <c r="QN3049" s="37"/>
      <c r="QO3049" s="37"/>
      <c r="QP3049" s="37"/>
      <c r="QQ3049" s="37"/>
      <c r="QR3049" s="37"/>
      <c r="QS3049" s="37"/>
      <c r="QT3049" s="37"/>
      <c r="QU3049" s="37"/>
      <c r="QV3049" s="37"/>
      <c r="QW3049" s="37"/>
      <c r="QX3049" s="37"/>
      <c r="QY3049" s="37"/>
      <c r="QZ3049" s="37"/>
      <c r="RA3049" s="37"/>
      <c r="RB3049" s="37"/>
      <c r="RC3049" s="37"/>
      <c r="RD3049" s="37"/>
      <c r="RE3049" s="37"/>
      <c r="RF3049" s="37"/>
      <c r="RG3049" s="37"/>
      <c r="RH3049" s="37"/>
      <c r="RI3049" s="37"/>
      <c r="RJ3049" s="37"/>
      <c r="RK3049" s="37"/>
      <c r="RL3049" s="37"/>
      <c r="RM3049" s="37"/>
      <c r="RN3049" s="37"/>
      <c r="RO3049" s="37"/>
      <c r="RP3049" s="37"/>
      <c r="RQ3049" s="37"/>
      <c r="RR3049" s="37"/>
      <c r="RS3049" s="37"/>
      <c r="RT3049" s="37"/>
      <c r="RU3049" s="37"/>
      <c r="RV3049" s="37"/>
      <c r="RW3049" s="37"/>
      <c r="RX3049" s="37"/>
      <c r="RY3049" s="37"/>
      <c r="RZ3049" s="37"/>
      <c r="SA3049" s="37"/>
      <c r="SB3049" s="37"/>
      <c r="SC3049" s="37"/>
      <c r="SD3049" s="37"/>
      <c r="SE3049" s="37"/>
      <c r="SF3049" s="37"/>
    </row>
    <row r="3050" spans="1:500">
      <c r="A3050" s="37"/>
      <c r="B3050" s="37"/>
      <c r="C3050" s="37"/>
      <c r="D3050" s="37"/>
      <c r="E3050" s="37"/>
      <c r="F3050" s="37"/>
      <c r="G3050" s="37"/>
      <c r="H3050" s="37"/>
      <c r="I3050" s="37"/>
      <c r="J3050" s="37"/>
      <c r="K3050" s="37"/>
      <c r="L3050" s="37"/>
      <c r="M3050" s="37"/>
      <c r="N3050" s="37"/>
      <c r="O3050" s="37"/>
      <c r="P3050" s="37"/>
      <c r="Q3050" s="37"/>
      <c r="R3050" s="37"/>
      <c r="S3050" s="37"/>
      <c r="T3050" s="37"/>
      <c r="U3050" s="37"/>
      <c r="V3050" s="37"/>
      <c r="W3050" s="37"/>
      <c r="X3050" s="37"/>
      <c r="Y3050" s="37"/>
      <c r="Z3050" s="37"/>
      <c r="AA3050" s="37"/>
      <c r="AB3050" s="37"/>
      <c r="AC3050" s="37"/>
      <c r="AD3050" s="37"/>
      <c r="AE3050" s="37"/>
      <c r="AF3050" s="37"/>
      <c r="AG3050" s="37"/>
      <c r="AH3050" s="37"/>
      <c r="AI3050" s="37"/>
      <c r="AJ3050" s="37"/>
      <c r="AK3050" s="37"/>
      <c r="AL3050" s="37"/>
      <c r="AM3050" s="37"/>
      <c r="AN3050" s="37"/>
      <c r="AO3050" s="37"/>
      <c r="AP3050" s="37"/>
      <c r="AQ3050" s="37"/>
      <c r="AR3050" s="37"/>
      <c r="AS3050" s="37"/>
      <c r="AT3050" s="37"/>
      <c r="AU3050" s="37"/>
      <c r="AV3050" s="37"/>
      <c r="AW3050" s="37"/>
      <c r="AX3050" s="37"/>
      <c r="AY3050" s="37"/>
      <c r="AZ3050" s="37"/>
      <c r="BA3050" s="37"/>
      <c r="BB3050" s="37"/>
      <c r="BC3050" s="37"/>
      <c r="BD3050" s="37"/>
      <c r="BE3050" s="37"/>
      <c r="BF3050" s="37"/>
      <c r="BG3050" s="37"/>
      <c r="BH3050" s="37"/>
      <c r="BI3050" s="37"/>
      <c r="BJ3050" s="37"/>
      <c r="BK3050" s="37"/>
      <c r="BL3050" s="37"/>
      <c r="BM3050" s="37"/>
      <c r="BN3050" s="37"/>
      <c r="BO3050" s="37"/>
      <c r="BP3050" s="37"/>
      <c r="BQ3050" s="37"/>
      <c r="BR3050" s="37"/>
      <c r="BS3050" s="37"/>
      <c r="BT3050" s="37"/>
      <c r="BU3050" s="37"/>
      <c r="BV3050" s="37"/>
      <c r="BW3050" s="37"/>
      <c r="BX3050" s="37"/>
      <c r="BY3050" s="37"/>
      <c r="BZ3050" s="37"/>
      <c r="CA3050" s="37"/>
      <c r="CB3050" s="37"/>
      <c r="CC3050" s="37"/>
      <c r="CD3050" s="37"/>
      <c r="CE3050" s="37"/>
      <c r="CF3050" s="37"/>
      <c r="CG3050" s="37"/>
      <c r="CH3050" s="37"/>
      <c r="CI3050" s="37"/>
      <c r="CJ3050" s="37"/>
      <c r="CK3050" s="37"/>
      <c r="CL3050" s="37"/>
      <c r="CM3050" s="37"/>
      <c r="CN3050" s="37"/>
      <c r="CO3050" s="37"/>
      <c r="CP3050" s="37"/>
      <c r="CQ3050" s="37"/>
      <c r="CR3050" s="37"/>
      <c r="CS3050" s="37"/>
      <c r="CT3050" s="37"/>
      <c r="CU3050" s="37"/>
      <c r="CV3050" s="37"/>
      <c r="CW3050" s="37"/>
      <c r="CX3050" s="37"/>
      <c r="CY3050" s="37"/>
      <c r="CZ3050" s="37"/>
      <c r="DA3050" s="37"/>
      <c r="DB3050" s="37"/>
      <c r="DC3050" s="37"/>
      <c r="DD3050" s="37"/>
      <c r="DE3050" s="37"/>
      <c r="DF3050" s="37"/>
      <c r="DG3050" s="37"/>
      <c r="DH3050" s="37"/>
      <c r="DI3050" s="37"/>
      <c r="DJ3050" s="37"/>
      <c r="DK3050" s="37"/>
      <c r="DL3050" s="37"/>
      <c r="DM3050" s="37"/>
      <c r="DN3050" s="37"/>
      <c r="DO3050" s="37"/>
      <c r="DP3050" s="37"/>
      <c r="DQ3050" s="37"/>
      <c r="DR3050" s="37"/>
      <c r="DS3050" s="37"/>
      <c r="DT3050" s="37"/>
      <c r="DU3050" s="37"/>
      <c r="DV3050" s="37"/>
      <c r="DW3050" s="37"/>
      <c r="DX3050" s="37"/>
      <c r="DY3050" s="37"/>
      <c r="DZ3050" s="37"/>
      <c r="EA3050" s="37"/>
      <c r="EB3050" s="37"/>
      <c r="EC3050" s="37"/>
      <c r="ED3050" s="37"/>
      <c r="EE3050" s="37"/>
      <c r="EF3050" s="37"/>
      <c r="EG3050" s="37"/>
      <c r="EH3050" s="37"/>
      <c r="EI3050" s="37"/>
      <c r="EJ3050" s="37"/>
      <c r="EK3050" s="37"/>
      <c r="EL3050" s="37"/>
      <c r="EM3050" s="37"/>
      <c r="EN3050" s="37"/>
      <c r="EO3050" s="37"/>
      <c r="EP3050" s="37"/>
      <c r="EQ3050" s="37"/>
      <c r="ER3050" s="37"/>
      <c r="ES3050" s="37"/>
      <c r="ET3050" s="37"/>
      <c r="EU3050" s="37"/>
      <c r="EV3050" s="37"/>
      <c r="EW3050" s="37"/>
      <c r="EX3050" s="37"/>
      <c r="EY3050" s="37"/>
      <c r="EZ3050" s="37"/>
      <c r="FA3050" s="37"/>
      <c r="FB3050" s="37"/>
      <c r="FC3050" s="37"/>
      <c r="FD3050" s="37"/>
      <c r="FE3050" s="37"/>
      <c r="FF3050" s="37"/>
      <c r="FG3050" s="37"/>
      <c r="FH3050" s="37"/>
      <c r="FI3050" s="37"/>
      <c r="FJ3050" s="37"/>
      <c r="FK3050" s="37"/>
      <c r="FL3050" s="37"/>
      <c r="FM3050" s="37"/>
      <c r="FN3050" s="37"/>
      <c r="FO3050" s="37"/>
      <c r="FP3050" s="37"/>
      <c r="FQ3050" s="37"/>
      <c r="FR3050" s="37"/>
      <c r="FS3050" s="37"/>
      <c r="FT3050" s="37"/>
      <c r="FU3050" s="37"/>
      <c r="FV3050" s="37"/>
      <c r="FW3050" s="37"/>
      <c r="FX3050" s="37"/>
      <c r="FY3050" s="37"/>
      <c r="FZ3050" s="37"/>
      <c r="GA3050" s="37"/>
      <c r="GB3050" s="37"/>
      <c r="GC3050" s="37"/>
      <c r="GD3050" s="37"/>
      <c r="GE3050" s="37"/>
      <c r="GF3050" s="37"/>
      <c r="GG3050" s="37"/>
      <c r="GH3050" s="37"/>
      <c r="GI3050" s="37"/>
      <c r="GJ3050" s="37"/>
      <c r="GK3050" s="37"/>
      <c r="GL3050" s="37"/>
      <c r="GM3050" s="37"/>
      <c r="GN3050" s="37"/>
      <c r="GO3050" s="37"/>
      <c r="GP3050" s="37"/>
      <c r="GQ3050" s="37"/>
      <c r="GR3050" s="37"/>
      <c r="GS3050" s="37"/>
      <c r="GT3050" s="37"/>
      <c r="GU3050" s="37"/>
      <c r="GV3050" s="37"/>
      <c r="GW3050" s="37"/>
      <c r="GX3050" s="37"/>
      <c r="GY3050" s="37"/>
      <c r="GZ3050" s="37"/>
      <c r="HA3050" s="37"/>
      <c r="HB3050" s="37"/>
      <c r="HC3050" s="37"/>
      <c r="HD3050" s="37"/>
      <c r="HE3050" s="37"/>
      <c r="HF3050" s="37"/>
      <c r="HG3050" s="37"/>
      <c r="HH3050" s="37"/>
      <c r="HI3050" s="37"/>
      <c r="HJ3050" s="37"/>
      <c r="HK3050" s="37"/>
      <c r="HL3050" s="37"/>
      <c r="HM3050" s="37"/>
      <c r="HN3050" s="37"/>
      <c r="HO3050" s="37"/>
      <c r="HP3050" s="37"/>
      <c r="HQ3050" s="37"/>
      <c r="HR3050" s="37"/>
      <c r="HS3050" s="37"/>
      <c r="HT3050" s="37"/>
      <c r="HU3050" s="37"/>
      <c r="HV3050" s="37"/>
      <c r="HW3050" s="37"/>
      <c r="HX3050" s="37"/>
      <c r="HY3050" s="37"/>
      <c r="HZ3050" s="37"/>
      <c r="IA3050" s="37"/>
      <c r="IB3050" s="37"/>
      <c r="IC3050" s="37"/>
      <c r="ID3050" s="37"/>
      <c r="IE3050" s="37"/>
      <c r="IF3050" s="37"/>
      <c r="IG3050" s="37"/>
      <c r="IH3050" s="37"/>
      <c r="II3050" s="37"/>
      <c r="IJ3050" s="37"/>
      <c r="IK3050" s="37"/>
      <c r="IL3050" s="37"/>
      <c r="IM3050" s="37"/>
      <c r="IN3050" s="37"/>
      <c r="IO3050" s="37"/>
      <c r="IP3050" s="37"/>
      <c r="IQ3050" s="37"/>
      <c r="IR3050" s="37"/>
      <c r="IS3050" s="37"/>
      <c r="IT3050" s="37"/>
      <c r="IU3050" s="37"/>
      <c r="IV3050" s="37"/>
      <c r="IW3050" s="37"/>
      <c r="IX3050" s="37"/>
      <c r="IY3050" s="37"/>
      <c r="IZ3050" s="37"/>
      <c r="JA3050" s="37"/>
      <c r="JB3050" s="37"/>
      <c r="JC3050" s="37"/>
      <c r="JD3050" s="37"/>
      <c r="JE3050" s="37"/>
      <c r="JF3050" s="37"/>
      <c r="JG3050" s="37"/>
      <c r="JH3050" s="37"/>
      <c r="JI3050" s="37"/>
      <c r="JJ3050" s="37"/>
      <c r="JK3050" s="37"/>
      <c r="JL3050" s="37"/>
      <c r="JM3050" s="37"/>
      <c r="JN3050" s="37"/>
      <c r="JO3050" s="37"/>
      <c r="JP3050" s="37"/>
      <c r="JQ3050" s="37"/>
      <c r="JR3050" s="37"/>
      <c r="JS3050" s="37"/>
      <c r="JT3050" s="37"/>
      <c r="JU3050" s="37"/>
      <c r="JV3050" s="37"/>
      <c r="JW3050" s="37"/>
      <c r="JX3050" s="37"/>
      <c r="JY3050" s="37"/>
      <c r="JZ3050" s="37"/>
      <c r="KA3050" s="37"/>
      <c r="KB3050" s="37"/>
      <c r="KC3050" s="37"/>
      <c r="KD3050" s="37"/>
      <c r="KE3050" s="37"/>
      <c r="KF3050" s="37"/>
      <c r="KG3050" s="37"/>
      <c r="KH3050" s="37"/>
      <c r="KI3050" s="37"/>
      <c r="KJ3050" s="37"/>
      <c r="KK3050" s="37"/>
      <c r="KL3050" s="37"/>
      <c r="KM3050" s="37"/>
      <c r="KN3050" s="37"/>
      <c r="KO3050" s="37"/>
      <c r="KP3050" s="37"/>
      <c r="KQ3050" s="37"/>
      <c r="KR3050" s="37"/>
      <c r="KS3050" s="37"/>
      <c r="KT3050" s="37"/>
      <c r="KU3050" s="37"/>
      <c r="KV3050" s="37"/>
      <c r="KW3050" s="37"/>
      <c r="KX3050" s="37"/>
      <c r="KY3050" s="37"/>
      <c r="KZ3050" s="37"/>
      <c r="LA3050" s="37"/>
      <c r="LB3050" s="37"/>
      <c r="LC3050" s="37"/>
      <c r="LD3050" s="37"/>
      <c r="LE3050" s="37"/>
      <c r="LF3050" s="37"/>
      <c r="LG3050" s="37"/>
      <c r="LH3050" s="37"/>
      <c r="LI3050" s="37"/>
      <c r="LJ3050" s="37"/>
      <c r="LK3050" s="37"/>
      <c r="LL3050" s="37"/>
      <c r="LM3050" s="37"/>
      <c r="LN3050" s="37"/>
      <c r="LO3050" s="37"/>
      <c r="LP3050" s="37"/>
      <c r="LQ3050" s="37"/>
      <c r="LR3050" s="37"/>
      <c r="LS3050" s="37"/>
      <c r="LT3050" s="37"/>
      <c r="LU3050" s="37"/>
      <c r="LV3050" s="37"/>
      <c r="LW3050" s="37"/>
      <c r="LX3050" s="37"/>
      <c r="LY3050" s="37"/>
      <c r="LZ3050" s="37"/>
      <c r="MA3050" s="37"/>
      <c r="MB3050" s="37"/>
      <c r="MC3050" s="37"/>
      <c r="MD3050" s="37"/>
      <c r="ME3050" s="37"/>
      <c r="MF3050" s="37"/>
      <c r="MG3050" s="37"/>
      <c r="MH3050" s="37"/>
      <c r="MI3050" s="37"/>
      <c r="MJ3050" s="37"/>
      <c r="MK3050" s="37"/>
      <c r="ML3050" s="37"/>
      <c r="MM3050" s="37"/>
      <c r="MN3050" s="37"/>
      <c r="MO3050" s="37"/>
      <c r="MP3050" s="37"/>
      <c r="MQ3050" s="37"/>
      <c r="MR3050" s="37"/>
      <c r="MS3050" s="37"/>
      <c r="MT3050" s="37"/>
      <c r="MU3050" s="37"/>
      <c r="MV3050" s="37"/>
      <c r="MW3050" s="37"/>
      <c r="MX3050" s="37"/>
      <c r="MY3050" s="37"/>
      <c r="MZ3050" s="37"/>
      <c r="NA3050" s="37"/>
      <c r="NB3050" s="37"/>
      <c r="NC3050" s="37"/>
      <c r="ND3050" s="37"/>
      <c r="NE3050" s="37"/>
      <c r="NF3050" s="37"/>
      <c r="NG3050" s="37"/>
      <c r="NH3050" s="37"/>
      <c r="NI3050" s="37"/>
      <c r="NJ3050" s="37"/>
      <c r="NK3050" s="37"/>
      <c r="NL3050" s="37"/>
      <c r="NM3050" s="37"/>
      <c r="NN3050" s="37"/>
      <c r="NO3050" s="37"/>
      <c r="NP3050" s="37"/>
      <c r="NQ3050" s="37"/>
      <c r="NR3050" s="37"/>
      <c r="NS3050" s="37"/>
      <c r="NT3050" s="37"/>
      <c r="NU3050" s="37"/>
      <c r="NV3050" s="37"/>
      <c r="NW3050" s="37"/>
      <c r="NX3050" s="37"/>
      <c r="NY3050" s="37"/>
      <c r="NZ3050" s="37"/>
      <c r="OA3050" s="37"/>
      <c r="OB3050" s="37"/>
      <c r="OC3050" s="37"/>
      <c r="OD3050" s="37"/>
      <c r="OE3050" s="37"/>
      <c r="OF3050" s="37"/>
      <c r="OG3050" s="37"/>
      <c r="OH3050" s="37"/>
      <c r="OI3050" s="37"/>
      <c r="OJ3050" s="37"/>
      <c r="OK3050" s="37"/>
      <c r="OL3050" s="37"/>
      <c r="OM3050" s="37"/>
      <c r="ON3050" s="37"/>
      <c r="OO3050" s="37"/>
      <c r="OP3050" s="37"/>
      <c r="OQ3050" s="37"/>
      <c r="OR3050" s="37"/>
      <c r="OS3050" s="37"/>
      <c r="OT3050" s="37"/>
      <c r="OU3050" s="37"/>
      <c r="OV3050" s="37"/>
      <c r="OW3050" s="37"/>
      <c r="OX3050" s="37"/>
      <c r="OY3050" s="37"/>
      <c r="OZ3050" s="37"/>
      <c r="PA3050" s="37"/>
      <c r="PB3050" s="37"/>
      <c r="PC3050" s="37"/>
      <c r="PD3050" s="37"/>
      <c r="PE3050" s="37"/>
      <c r="PF3050" s="37"/>
      <c r="PG3050" s="37"/>
      <c r="PH3050" s="37"/>
      <c r="PI3050" s="37"/>
      <c r="PJ3050" s="37"/>
      <c r="PK3050" s="37"/>
      <c r="PL3050" s="37"/>
      <c r="PM3050" s="37"/>
      <c r="PN3050" s="37"/>
      <c r="PO3050" s="37"/>
      <c r="PP3050" s="37"/>
      <c r="PQ3050" s="37"/>
      <c r="PR3050" s="37"/>
      <c r="PS3050" s="37"/>
      <c r="PT3050" s="37"/>
      <c r="PU3050" s="37"/>
      <c r="PV3050" s="37"/>
      <c r="PW3050" s="37"/>
      <c r="PX3050" s="37"/>
      <c r="PY3050" s="37"/>
      <c r="PZ3050" s="37"/>
      <c r="QA3050" s="37"/>
      <c r="QB3050" s="37"/>
      <c r="QC3050" s="37"/>
      <c r="QD3050" s="37"/>
      <c r="QE3050" s="37"/>
      <c r="QF3050" s="37"/>
      <c r="QG3050" s="37"/>
      <c r="QH3050" s="37"/>
      <c r="QI3050" s="37"/>
      <c r="QJ3050" s="37"/>
      <c r="QK3050" s="37"/>
      <c r="QL3050" s="37"/>
      <c r="QM3050" s="37"/>
      <c r="QN3050" s="37"/>
      <c r="QO3050" s="37"/>
      <c r="QP3050" s="37"/>
      <c r="QQ3050" s="37"/>
      <c r="QR3050" s="37"/>
      <c r="QS3050" s="37"/>
      <c r="QT3050" s="37"/>
      <c r="QU3050" s="37"/>
      <c r="QV3050" s="37"/>
      <c r="QW3050" s="37"/>
      <c r="QX3050" s="37"/>
      <c r="QY3050" s="37"/>
      <c r="QZ3050" s="37"/>
      <c r="RA3050" s="37"/>
      <c r="RB3050" s="37"/>
      <c r="RC3050" s="37"/>
      <c r="RD3050" s="37"/>
      <c r="RE3050" s="37"/>
      <c r="RF3050" s="37"/>
      <c r="RG3050" s="37"/>
      <c r="RH3050" s="37"/>
      <c r="RI3050" s="37"/>
      <c r="RJ3050" s="37"/>
      <c r="RK3050" s="37"/>
      <c r="RL3050" s="37"/>
      <c r="RM3050" s="37"/>
      <c r="RN3050" s="37"/>
      <c r="RO3050" s="37"/>
      <c r="RP3050" s="37"/>
      <c r="RQ3050" s="37"/>
      <c r="RR3050" s="37"/>
      <c r="RS3050" s="37"/>
      <c r="RT3050" s="37"/>
      <c r="RU3050" s="37"/>
      <c r="RV3050" s="37"/>
      <c r="RW3050" s="37"/>
      <c r="RX3050" s="37"/>
      <c r="RY3050" s="37"/>
      <c r="RZ3050" s="37"/>
      <c r="SA3050" s="37"/>
      <c r="SB3050" s="37"/>
      <c r="SC3050" s="37"/>
      <c r="SD3050" s="37"/>
      <c r="SE3050" s="37"/>
      <c r="SF3050" s="37"/>
    </row>
    <row r="3051" spans="1:500">
      <c r="A3051" s="37"/>
      <c r="B3051" s="37"/>
      <c r="C3051" s="37"/>
      <c r="D3051" s="37"/>
      <c r="E3051" s="37"/>
      <c r="F3051" s="37"/>
      <c r="G3051" s="37"/>
      <c r="H3051" s="37"/>
      <c r="I3051" s="37"/>
      <c r="J3051" s="37"/>
      <c r="K3051" s="37"/>
      <c r="L3051" s="37"/>
      <c r="M3051" s="37"/>
      <c r="N3051" s="37"/>
      <c r="O3051" s="37"/>
      <c r="P3051" s="37"/>
      <c r="Q3051" s="37"/>
      <c r="R3051" s="37"/>
      <c r="S3051" s="37"/>
      <c r="T3051" s="37"/>
      <c r="U3051" s="37"/>
      <c r="V3051" s="37"/>
      <c r="W3051" s="37"/>
      <c r="X3051" s="37"/>
      <c r="Y3051" s="37"/>
      <c r="Z3051" s="37"/>
      <c r="AA3051" s="37"/>
      <c r="AB3051" s="37"/>
      <c r="AC3051" s="37"/>
      <c r="AD3051" s="37"/>
      <c r="AE3051" s="37"/>
      <c r="AF3051" s="37"/>
      <c r="AG3051" s="37"/>
      <c r="AH3051" s="37"/>
      <c r="AI3051" s="37"/>
      <c r="AJ3051" s="37"/>
      <c r="AK3051" s="37"/>
      <c r="AL3051" s="37"/>
      <c r="AM3051" s="37"/>
      <c r="AN3051" s="37"/>
      <c r="AO3051" s="37"/>
      <c r="AP3051" s="37"/>
      <c r="AQ3051" s="37"/>
      <c r="AR3051" s="37"/>
      <c r="AS3051" s="37"/>
      <c r="AT3051" s="37"/>
      <c r="AU3051" s="37"/>
      <c r="AV3051" s="37"/>
      <c r="AW3051" s="37"/>
      <c r="AX3051" s="37"/>
      <c r="AY3051" s="37"/>
      <c r="AZ3051" s="37"/>
      <c r="BA3051" s="37"/>
      <c r="BB3051" s="37"/>
      <c r="BC3051" s="37"/>
      <c r="BD3051" s="37"/>
      <c r="BE3051" s="37"/>
      <c r="BF3051" s="37"/>
      <c r="BG3051" s="37"/>
      <c r="BH3051" s="37"/>
      <c r="BI3051" s="37"/>
      <c r="BJ3051" s="37"/>
      <c r="BK3051" s="37"/>
      <c r="BL3051" s="37"/>
      <c r="BM3051" s="37"/>
      <c r="BN3051" s="37"/>
      <c r="BO3051" s="37"/>
      <c r="BP3051" s="37"/>
      <c r="BQ3051" s="37"/>
      <c r="BR3051" s="37"/>
      <c r="BS3051" s="37"/>
      <c r="BT3051" s="37"/>
      <c r="BU3051" s="37"/>
      <c r="BV3051" s="37"/>
      <c r="BW3051" s="37"/>
      <c r="BX3051" s="37"/>
      <c r="BY3051" s="37"/>
      <c r="BZ3051" s="37"/>
      <c r="CA3051" s="37"/>
      <c r="CB3051" s="37"/>
      <c r="CC3051" s="37"/>
      <c r="CD3051" s="37"/>
      <c r="CE3051" s="37"/>
      <c r="CF3051" s="37"/>
      <c r="CG3051" s="37"/>
      <c r="CH3051" s="37"/>
      <c r="CI3051" s="37"/>
      <c r="CJ3051" s="37"/>
      <c r="CK3051" s="37"/>
      <c r="CL3051" s="37"/>
      <c r="CM3051" s="37"/>
      <c r="CN3051" s="37"/>
      <c r="CO3051" s="37"/>
      <c r="CP3051" s="37"/>
      <c r="CQ3051" s="37"/>
      <c r="CR3051" s="37"/>
      <c r="CS3051" s="37"/>
      <c r="CT3051" s="37"/>
      <c r="CU3051" s="37"/>
      <c r="CV3051" s="37"/>
      <c r="CW3051" s="37"/>
      <c r="CX3051" s="37"/>
      <c r="CY3051" s="37"/>
      <c r="CZ3051" s="37"/>
      <c r="DA3051" s="37"/>
      <c r="DB3051" s="37"/>
      <c r="DC3051" s="37"/>
      <c r="DD3051" s="37"/>
      <c r="DE3051" s="37"/>
      <c r="DF3051" s="37"/>
      <c r="DG3051" s="37"/>
      <c r="DH3051" s="37"/>
      <c r="DI3051" s="37"/>
      <c r="DJ3051" s="37"/>
      <c r="DK3051" s="37"/>
      <c r="DL3051" s="37"/>
      <c r="DM3051" s="37"/>
      <c r="DN3051" s="37"/>
      <c r="DO3051" s="37"/>
      <c r="DP3051" s="37"/>
      <c r="DQ3051" s="37"/>
      <c r="DR3051" s="37"/>
      <c r="DS3051" s="37"/>
      <c r="DT3051" s="37"/>
      <c r="DU3051" s="37"/>
      <c r="DV3051" s="37"/>
      <c r="DW3051" s="37"/>
      <c r="DX3051" s="37"/>
      <c r="DY3051" s="37"/>
      <c r="DZ3051" s="37"/>
      <c r="EA3051" s="37"/>
      <c r="EB3051" s="37"/>
      <c r="EC3051" s="37"/>
      <c r="ED3051" s="37"/>
      <c r="EE3051" s="37"/>
      <c r="EF3051" s="37"/>
      <c r="EG3051" s="37"/>
      <c r="EH3051" s="37"/>
      <c r="EI3051" s="37"/>
      <c r="EJ3051" s="37"/>
      <c r="EK3051" s="37"/>
      <c r="EL3051" s="37"/>
      <c r="EM3051" s="37"/>
      <c r="EN3051" s="37"/>
      <c r="EO3051" s="37"/>
      <c r="EP3051" s="37"/>
      <c r="EQ3051" s="37"/>
      <c r="ER3051" s="37"/>
      <c r="ES3051" s="37"/>
      <c r="ET3051" s="37"/>
      <c r="EU3051" s="37"/>
      <c r="EV3051" s="37"/>
      <c r="EW3051" s="37"/>
      <c r="EX3051" s="37"/>
      <c r="EY3051" s="37"/>
      <c r="EZ3051" s="37"/>
      <c r="FA3051" s="37"/>
      <c r="FB3051" s="37"/>
      <c r="FC3051" s="37"/>
      <c r="FD3051" s="37"/>
      <c r="FE3051" s="37"/>
      <c r="FF3051" s="37"/>
      <c r="FG3051" s="37"/>
      <c r="FH3051" s="37"/>
      <c r="FI3051" s="37"/>
      <c r="FJ3051" s="37"/>
      <c r="FK3051" s="37"/>
      <c r="FL3051" s="37"/>
      <c r="FM3051" s="37"/>
      <c r="FN3051" s="37"/>
      <c r="FO3051" s="37"/>
      <c r="FP3051" s="37"/>
      <c r="FQ3051" s="37"/>
      <c r="FR3051" s="37"/>
      <c r="FS3051" s="37"/>
      <c r="FT3051" s="37"/>
      <c r="FU3051" s="37"/>
      <c r="FV3051" s="37"/>
      <c r="FW3051" s="37"/>
      <c r="FX3051" s="37"/>
      <c r="FY3051" s="37"/>
      <c r="FZ3051" s="37"/>
      <c r="GA3051" s="37"/>
      <c r="GB3051" s="37"/>
      <c r="GC3051" s="37"/>
      <c r="GD3051" s="37"/>
      <c r="GE3051" s="37"/>
      <c r="GF3051" s="37"/>
      <c r="GG3051" s="37"/>
      <c r="GH3051" s="37"/>
      <c r="GI3051" s="37"/>
      <c r="GJ3051" s="37"/>
      <c r="GK3051" s="37"/>
      <c r="GL3051" s="37"/>
      <c r="GM3051" s="37"/>
      <c r="GN3051" s="37"/>
      <c r="GO3051" s="37"/>
      <c r="GP3051" s="37"/>
      <c r="GQ3051" s="37"/>
      <c r="GR3051" s="37"/>
      <c r="GS3051" s="37"/>
      <c r="GT3051" s="37"/>
      <c r="GU3051" s="37"/>
      <c r="GV3051" s="37"/>
      <c r="GW3051" s="37"/>
      <c r="GX3051" s="37"/>
      <c r="GY3051" s="37"/>
      <c r="GZ3051" s="37"/>
      <c r="HA3051" s="37"/>
      <c r="HB3051" s="37"/>
      <c r="HC3051" s="37"/>
      <c r="HD3051" s="37"/>
      <c r="HE3051" s="37"/>
      <c r="HF3051" s="37"/>
      <c r="HG3051" s="37"/>
      <c r="HH3051" s="37"/>
      <c r="HI3051" s="37"/>
      <c r="HJ3051" s="37"/>
      <c r="HK3051" s="37"/>
      <c r="HL3051" s="37"/>
      <c r="HM3051" s="37"/>
      <c r="HN3051" s="37"/>
      <c r="HO3051" s="37"/>
      <c r="HP3051" s="37"/>
      <c r="HQ3051" s="37"/>
      <c r="HR3051" s="37"/>
      <c r="HS3051" s="37"/>
      <c r="HT3051" s="37"/>
      <c r="HU3051" s="37"/>
      <c r="HV3051" s="37"/>
      <c r="HW3051" s="37"/>
      <c r="HX3051" s="37"/>
      <c r="HY3051" s="37"/>
      <c r="HZ3051" s="37"/>
      <c r="IA3051" s="37"/>
      <c r="IB3051" s="37"/>
      <c r="IC3051" s="37"/>
      <c r="ID3051" s="37"/>
      <c r="IE3051" s="37"/>
      <c r="IF3051" s="37"/>
      <c r="IG3051" s="37"/>
      <c r="IH3051" s="37"/>
      <c r="II3051" s="37"/>
      <c r="IJ3051" s="37"/>
      <c r="IK3051" s="37"/>
      <c r="IL3051" s="37"/>
      <c r="IM3051" s="37"/>
      <c r="IN3051" s="37"/>
      <c r="IO3051" s="37"/>
      <c r="IP3051" s="37"/>
      <c r="IQ3051" s="37"/>
      <c r="IR3051" s="37"/>
      <c r="IS3051" s="37"/>
      <c r="IT3051" s="37"/>
      <c r="IU3051" s="37"/>
      <c r="IV3051" s="37"/>
      <c r="IW3051" s="37"/>
      <c r="IX3051" s="37"/>
      <c r="IY3051" s="37"/>
      <c r="IZ3051" s="37"/>
      <c r="JA3051" s="37"/>
      <c r="JB3051" s="37"/>
      <c r="JC3051" s="37"/>
      <c r="JD3051" s="37"/>
      <c r="JE3051" s="37"/>
      <c r="JF3051" s="37"/>
      <c r="JG3051" s="37"/>
      <c r="JH3051" s="37"/>
      <c r="JI3051" s="37"/>
      <c r="JJ3051" s="37"/>
      <c r="JK3051" s="37"/>
      <c r="JL3051" s="37"/>
      <c r="JM3051" s="37"/>
      <c r="JN3051" s="37"/>
      <c r="JO3051" s="37"/>
      <c r="JP3051" s="37"/>
      <c r="JQ3051" s="37"/>
      <c r="JR3051" s="37"/>
      <c r="JS3051" s="37"/>
      <c r="JT3051" s="37"/>
      <c r="JU3051" s="37"/>
      <c r="JV3051" s="37"/>
      <c r="JW3051" s="37"/>
      <c r="JX3051" s="37"/>
      <c r="JY3051" s="37"/>
      <c r="JZ3051" s="37"/>
      <c r="KA3051" s="37"/>
      <c r="KB3051" s="37"/>
      <c r="KC3051" s="37"/>
      <c r="KD3051" s="37"/>
      <c r="KE3051" s="37"/>
      <c r="KF3051" s="37"/>
      <c r="KG3051" s="37"/>
      <c r="KH3051" s="37"/>
      <c r="KI3051" s="37"/>
      <c r="KJ3051" s="37"/>
      <c r="KK3051" s="37"/>
      <c r="KL3051" s="37"/>
      <c r="KM3051" s="37"/>
      <c r="KN3051" s="37"/>
      <c r="KO3051" s="37"/>
      <c r="KP3051" s="37"/>
      <c r="KQ3051" s="37"/>
      <c r="KR3051" s="37"/>
      <c r="KS3051" s="37"/>
      <c r="KT3051" s="37"/>
      <c r="KU3051" s="37"/>
      <c r="KV3051" s="37"/>
      <c r="KW3051" s="37"/>
      <c r="KX3051" s="37"/>
      <c r="KY3051" s="37"/>
      <c r="KZ3051" s="37"/>
      <c r="LA3051" s="37"/>
      <c r="LB3051" s="37"/>
      <c r="LC3051" s="37"/>
      <c r="LD3051" s="37"/>
      <c r="LE3051" s="37"/>
      <c r="LF3051" s="37"/>
      <c r="LG3051" s="37"/>
      <c r="LH3051" s="37"/>
      <c r="LI3051" s="37"/>
      <c r="LJ3051" s="37"/>
      <c r="LK3051" s="37"/>
      <c r="LL3051" s="37"/>
      <c r="LM3051" s="37"/>
      <c r="LN3051" s="37"/>
      <c r="LO3051" s="37"/>
      <c r="LP3051" s="37"/>
      <c r="LQ3051" s="37"/>
      <c r="LR3051" s="37"/>
      <c r="LS3051" s="37"/>
      <c r="LT3051" s="37"/>
      <c r="LU3051" s="37"/>
      <c r="LV3051" s="37"/>
      <c r="LW3051" s="37"/>
      <c r="LX3051" s="37"/>
      <c r="LY3051" s="37"/>
      <c r="LZ3051" s="37"/>
      <c r="MA3051" s="37"/>
      <c r="MB3051" s="37"/>
      <c r="MC3051" s="37"/>
      <c r="MD3051" s="37"/>
      <c r="ME3051" s="37"/>
      <c r="MF3051" s="37"/>
      <c r="MG3051" s="37"/>
      <c r="MH3051" s="37"/>
      <c r="MI3051" s="37"/>
      <c r="MJ3051" s="37"/>
      <c r="MK3051" s="37"/>
      <c r="ML3051" s="37"/>
      <c r="MM3051" s="37"/>
      <c r="MN3051" s="37"/>
      <c r="MO3051" s="37"/>
      <c r="MP3051" s="37"/>
      <c r="MQ3051" s="37"/>
      <c r="MR3051" s="37"/>
      <c r="MS3051" s="37"/>
      <c r="MT3051" s="37"/>
      <c r="MU3051" s="37"/>
      <c r="MV3051" s="37"/>
      <c r="MW3051" s="37"/>
      <c r="MX3051" s="37"/>
      <c r="MY3051" s="37"/>
      <c r="MZ3051" s="37"/>
      <c r="NA3051" s="37"/>
      <c r="NB3051" s="37"/>
      <c r="NC3051" s="37"/>
      <c r="ND3051" s="37"/>
      <c r="NE3051" s="37"/>
      <c r="NF3051" s="37"/>
      <c r="NG3051" s="37"/>
      <c r="NH3051" s="37"/>
      <c r="NI3051" s="37"/>
      <c r="NJ3051" s="37"/>
      <c r="NK3051" s="37"/>
      <c r="NL3051" s="37"/>
      <c r="NM3051" s="37"/>
      <c r="NN3051" s="37"/>
      <c r="NO3051" s="37"/>
      <c r="NP3051" s="37"/>
      <c r="NQ3051" s="37"/>
      <c r="NR3051" s="37"/>
      <c r="NS3051" s="37"/>
      <c r="NT3051" s="37"/>
      <c r="NU3051" s="37"/>
      <c r="NV3051" s="37"/>
      <c r="NW3051" s="37"/>
      <c r="NX3051" s="37"/>
      <c r="NY3051" s="37"/>
      <c r="NZ3051" s="37"/>
      <c r="OA3051" s="37"/>
      <c r="OB3051" s="37"/>
      <c r="OC3051" s="37"/>
      <c r="OD3051" s="37"/>
      <c r="OE3051" s="37"/>
      <c r="OF3051" s="37"/>
      <c r="OG3051" s="37"/>
      <c r="OH3051" s="37"/>
      <c r="OI3051" s="37"/>
      <c r="OJ3051" s="37"/>
      <c r="OK3051" s="37"/>
      <c r="OL3051" s="37"/>
      <c r="OM3051" s="37"/>
      <c r="ON3051" s="37"/>
      <c r="OO3051" s="37"/>
      <c r="OP3051" s="37"/>
      <c r="OQ3051" s="37"/>
      <c r="OR3051" s="37"/>
      <c r="OS3051" s="37"/>
      <c r="OT3051" s="37"/>
      <c r="OU3051" s="37"/>
      <c r="OV3051" s="37"/>
      <c r="OW3051" s="37"/>
      <c r="OX3051" s="37"/>
      <c r="OY3051" s="37"/>
      <c r="OZ3051" s="37"/>
      <c r="PA3051" s="37"/>
      <c r="PB3051" s="37"/>
      <c r="PC3051" s="37"/>
      <c r="PD3051" s="37"/>
      <c r="PE3051" s="37"/>
      <c r="PF3051" s="37"/>
      <c r="PG3051" s="37"/>
      <c r="PH3051" s="37"/>
      <c r="PI3051" s="37"/>
      <c r="PJ3051" s="37"/>
      <c r="PK3051" s="37"/>
      <c r="PL3051" s="37"/>
      <c r="PM3051" s="37"/>
      <c r="PN3051" s="37"/>
      <c r="PO3051" s="37"/>
      <c r="PP3051" s="37"/>
      <c r="PQ3051" s="37"/>
      <c r="PR3051" s="37"/>
      <c r="PS3051" s="37"/>
      <c r="PT3051" s="37"/>
      <c r="PU3051" s="37"/>
      <c r="PV3051" s="37"/>
      <c r="PW3051" s="37"/>
      <c r="PX3051" s="37"/>
      <c r="PY3051" s="37"/>
      <c r="PZ3051" s="37"/>
      <c r="QA3051" s="37"/>
      <c r="QB3051" s="37"/>
      <c r="QC3051" s="37"/>
      <c r="QD3051" s="37"/>
      <c r="QE3051" s="37"/>
      <c r="QF3051" s="37"/>
      <c r="QG3051" s="37"/>
      <c r="QH3051" s="37"/>
      <c r="QI3051" s="37"/>
      <c r="QJ3051" s="37"/>
      <c r="QK3051" s="37"/>
      <c r="QL3051" s="37"/>
      <c r="QM3051" s="37"/>
      <c r="QN3051" s="37"/>
      <c r="QO3051" s="37"/>
      <c r="QP3051" s="37"/>
      <c r="QQ3051" s="37"/>
      <c r="QR3051" s="37"/>
      <c r="QS3051" s="37"/>
      <c r="QT3051" s="37"/>
      <c r="QU3051" s="37"/>
      <c r="QV3051" s="37"/>
      <c r="QW3051" s="37"/>
      <c r="QX3051" s="37"/>
      <c r="QY3051" s="37"/>
      <c r="QZ3051" s="37"/>
      <c r="RA3051" s="37"/>
      <c r="RB3051" s="37"/>
      <c r="RC3051" s="37"/>
      <c r="RD3051" s="37"/>
      <c r="RE3051" s="37"/>
      <c r="RF3051" s="37"/>
      <c r="RG3051" s="37"/>
      <c r="RH3051" s="37"/>
      <c r="RI3051" s="37"/>
      <c r="RJ3051" s="37"/>
      <c r="RK3051" s="37"/>
      <c r="RL3051" s="37"/>
      <c r="RM3051" s="37"/>
      <c r="RN3051" s="37"/>
      <c r="RO3051" s="37"/>
      <c r="RP3051" s="37"/>
      <c r="RQ3051" s="37"/>
      <c r="RR3051" s="37"/>
      <c r="RS3051" s="37"/>
      <c r="RT3051" s="37"/>
      <c r="RU3051" s="37"/>
      <c r="RV3051" s="37"/>
      <c r="RW3051" s="37"/>
      <c r="RX3051" s="37"/>
      <c r="RY3051" s="37"/>
      <c r="RZ3051" s="37"/>
      <c r="SA3051" s="37"/>
      <c r="SB3051" s="37"/>
      <c r="SC3051" s="37"/>
      <c r="SD3051" s="37"/>
      <c r="SE3051" s="37"/>
      <c r="SF3051" s="37"/>
    </row>
    <row r="3052" spans="1:500">
      <c r="A3052" s="37"/>
      <c r="B3052" s="37"/>
      <c r="C3052" s="37"/>
      <c r="D3052" s="37"/>
      <c r="E3052" s="37"/>
      <c r="F3052" s="37"/>
      <c r="G3052" s="37"/>
      <c r="H3052" s="37"/>
      <c r="I3052" s="37"/>
      <c r="J3052" s="37"/>
      <c r="K3052" s="37"/>
      <c r="L3052" s="37"/>
      <c r="M3052" s="37"/>
      <c r="N3052" s="37"/>
      <c r="O3052" s="37"/>
      <c r="P3052" s="37"/>
      <c r="Q3052" s="37"/>
      <c r="R3052" s="37"/>
      <c r="S3052" s="37"/>
      <c r="T3052" s="37"/>
      <c r="U3052" s="37"/>
      <c r="V3052" s="37"/>
      <c r="W3052" s="37"/>
      <c r="X3052" s="37"/>
      <c r="Y3052" s="37"/>
      <c r="Z3052" s="37"/>
      <c r="AA3052" s="37"/>
      <c r="AB3052" s="37"/>
      <c r="AC3052" s="37"/>
      <c r="AD3052" s="37"/>
      <c r="AE3052" s="37"/>
      <c r="AF3052" s="37"/>
      <c r="AG3052" s="37"/>
      <c r="AH3052" s="37"/>
      <c r="AI3052" s="37"/>
      <c r="AJ3052" s="37"/>
      <c r="AK3052" s="37"/>
      <c r="AL3052" s="37"/>
      <c r="AM3052" s="37"/>
      <c r="AN3052" s="37"/>
      <c r="AO3052" s="37"/>
      <c r="AP3052" s="37"/>
      <c r="AQ3052" s="37"/>
      <c r="AR3052" s="37"/>
      <c r="AS3052" s="37"/>
      <c r="AT3052" s="37"/>
      <c r="AU3052" s="37"/>
      <c r="AV3052" s="37"/>
      <c r="AW3052" s="37"/>
      <c r="AX3052" s="37"/>
      <c r="AY3052" s="37"/>
      <c r="AZ3052" s="37"/>
      <c r="BA3052" s="37"/>
      <c r="BB3052" s="37"/>
      <c r="BC3052" s="37"/>
      <c r="BD3052" s="37"/>
      <c r="BE3052" s="37"/>
      <c r="BF3052" s="37"/>
      <c r="BG3052" s="37"/>
      <c r="BH3052" s="37"/>
      <c r="BI3052" s="37"/>
      <c r="BJ3052" s="37"/>
      <c r="BK3052" s="37"/>
      <c r="BL3052" s="37"/>
      <c r="BM3052" s="37"/>
      <c r="BN3052" s="37"/>
      <c r="BO3052" s="37"/>
      <c r="BP3052" s="37"/>
      <c r="BQ3052" s="37"/>
      <c r="BR3052" s="37"/>
      <c r="BS3052" s="37"/>
      <c r="BT3052" s="37"/>
      <c r="BU3052" s="37"/>
      <c r="BV3052" s="37"/>
      <c r="BW3052" s="37"/>
      <c r="BX3052" s="37"/>
      <c r="BY3052" s="37"/>
      <c r="BZ3052" s="37"/>
      <c r="CA3052" s="37"/>
      <c r="CB3052" s="37"/>
      <c r="CC3052" s="37"/>
      <c r="CD3052" s="37"/>
      <c r="CE3052" s="37"/>
      <c r="CF3052" s="37"/>
      <c r="CG3052" s="37"/>
      <c r="CH3052" s="37"/>
      <c r="CI3052" s="37"/>
      <c r="CJ3052" s="37"/>
      <c r="CK3052" s="37"/>
      <c r="CL3052" s="37"/>
      <c r="CM3052" s="37"/>
      <c r="CN3052" s="37"/>
      <c r="CO3052" s="37"/>
      <c r="CP3052" s="37"/>
      <c r="CQ3052" s="37"/>
      <c r="CR3052" s="37"/>
      <c r="CS3052" s="37"/>
      <c r="CT3052" s="37"/>
      <c r="CU3052" s="37"/>
      <c r="CV3052" s="37"/>
      <c r="CW3052" s="37"/>
      <c r="CX3052" s="37"/>
      <c r="CY3052" s="37"/>
      <c r="CZ3052" s="37"/>
      <c r="DA3052" s="37"/>
      <c r="DB3052" s="37"/>
      <c r="DC3052" s="37"/>
      <c r="DD3052" s="37"/>
      <c r="DE3052" s="37"/>
      <c r="DF3052" s="37"/>
      <c r="DG3052" s="37"/>
      <c r="DH3052" s="37"/>
      <c r="DI3052" s="37"/>
      <c r="DJ3052" s="37"/>
      <c r="DK3052" s="37"/>
      <c r="DL3052" s="37"/>
      <c r="DM3052" s="37"/>
      <c r="DN3052" s="37"/>
      <c r="DO3052" s="37"/>
      <c r="DP3052" s="37"/>
      <c r="DQ3052" s="37"/>
      <c r="DR3052" s="37"/>
      <c r="DS3052" s="37"/>
      <c r="DT3052" s="37"/>
      <c r="DU3052" s="37"/>
      <c r="DV3052" s="37"/>
      <c r="DW3052" s="37"/>
      <c r="DX3052" s="37"/>
      <c r="DY3052" s="37"/>
      <c r="DZ3052" s="37"/>
      <c r="EA3052" s="37"/>
      <c r="EB3052" s="37"/>
      <c r="EC3052" s="37"/>
      <c r="ED3052" s="37"/>
      <c r="EE3052" s="37"/>
      <c r="EF3052" s="37"/>
      <c r="EG3052" s="37"/>
      <c r="EH3052" s="37"/>
      <c r="EI3052" s="37"/>
      <c r="EJ3052" s="37"/>
      <c r="EK3052" s="37"/>
      <c r="EL3052" s="37"/>
      <c r="EM3052" s="37"/>
      <c r="EN3052" s="37"/>
      <c r="EO3052" s="37"/>
      <c r="EP3052" s="37"/>
      <c r="EQ3052" s="37"/>
      <c r="ER3052" s="37"/>
      <c r="ES3052" s="37"/>
      <c r="ET3052" s="37"/>
      <c r="EU3052" s="37"/>
      <c r="EV3052" s="37"/>
      <c r="EW3052" s="37"/>
      <c r="EX3052" s="37"/>
      <c r="EY3052" s="37"/>
      <c r="EZ3052" s="37"/>
      <c r="FA3052" s="37"/>
      <c r="FB3052" s="37"/>
      <c r="FC3052" s="37"/>
      <c r="FD3052" s="37"/>
      <c r="FE3052" s="37"/>
      <c r="FF3052" s="37"/>
      <c r="FG3052" s="37"/>
      <c r="FH3052" s="37"/>
      <c r="FI3052" s="37"/>
      <c r="FJ3052" s="37"/>
      <c r="FK3052" s="37"/>
      <c r="FL3052" s="37"/>
      <c r="FM3052" s="37"/>
      <c r="FN3052" s="37"/>
      <c r="FO3052" s="37"/>
      <c r="FP3052" s="37"/>
      <c r="FQ3052" s="37"/>
      <c r="FR3052" s="37"/>
      <c r="FS3052" s="37"/>
      <c r="FT3052" s="37"/>
      <c r="FU3052" s="37"/>
      <c r="FV3052" s="37"/>
      <c r="FW3052" s="37"/>
      <c r="FX3052" s="37"/>
      <c r="FY3052" s="37"/>
      <c r="FZ3052" s="37"/>
      <c r="GA3052" s="37"/>
      <c r="GB3052" s="37"/>
      <c r="GC3052" s="37"/>
      <c r="GD3052" s="37"/>
      <c r="GE3052" s="37"/>
      <c r="GF3052" s="37"/>
      <c r="GG3052" s="37"/>
      <c r="GH3052" s="37"/>
      <c r="GI3052" s="37"/>
      <c r="GJ3052" s="37"/>
      <c r="GK3052" s="37"/>
      <c r="GL3052" s="37"/>
      <c r="GM3052" s="37"/>
      <c r="GN3052" s="37"/>
      <c r="GO3052" s="37"/>
      <c r="GP3052" s="37"/>
      <c r="GQ3052" s="37"/>
      <c r="GR3052" s="37"/>
      <c r="GS3052" s="37"/>
      <c r="GT3052" s="37"/>
      <c r="GU3052" s="37"/>
      <c r="GV3052" s="37"/>
      <c r="GW3052" s="37"/>
      <c r="GX3052" s="37"/>
      <c r="GY3052" s="37"/>
      <c r="GZ3052" s="37"/>
      <c r="HA3052" s="37"/>
      <c r="HB3052" s="37"/>
      <c r="HC3052" s="37"/>
      <c r="HD3052" s="37"/>
      <c r="HE3052" s="37"/>
      <c r="HF3052" s="37"/>
      <c r="HG3052" s="37"/>
      <c r="HH3052" s="37"/>
      <c r="HI3052" s="37"/>
      <c r="HJ3052" s="37"/>
      <c r="HK3052" s="37"/>
      <c r="HL3052" s="37"/>
      <c r="HM3052" s="37"/>
      <c r="HN3052" s="37"/>
      <c r="HO3052" s="37"/>
      <c r="HP3052" s="37"/>
      <c r="HQ3052" s="37"/>
      <c r="HR3052" s="37"/>
      <c r="HS3052" s="37"/>
      <c r="HT3052" s="37"/>
      <c r="HU3052" s="37"/>
      <c r="HV3052" s="37"/>
      <c r="HW3052" s="37"/>
      <c r="HX3052" s="37"/>
      <c r="HY3052" s="37"/>
      <c r="HZ3052" s="37"/>
      <c r="IA3052" s="37"/>
      <c r="IB3052" s="37"/>
      <c r="IC3052" s="37"/>
      <c r="ID3052" s="37"/>
      <c r="IE3052" s="37"/>
      <c r="IF3052" s="37"/>
      <c r="IG3052" s="37"/>
      <c r="IH3052" s="37"/>
      <c r="II3052" s="37"/>
      <c r="IJ3052" s="37"/>
      <c r="IK3052" s="37"/>
      <c r="IL3052" s="37"/>
      <c r="IM3052" s="37"/>
      <c r="IN3052" s="37"/>
      <c r="IO3052" s="37"/>
      <c r="IP3052" s="37"/>
      <c r="IQ3052" s="37"/>
      <c r="IR3052" s="37"/>
      <c r="IS3052" s="37"/>
      <c r="IT3052" s="37"/>
      <c r="IU3052" s="37"/>
      <c r="IV3052" s="37"/>
      <c r="IW3052" s="37"/>
      <c r="IX3052" s="37"/>
      <c r="IY3052" s="37"/>
      <c r="IZ3052" s="37"/>
      <c r="JA3052" s="37"/>
      <c r="JB3052" s="37"/>
      <c r="JC3052" s="37"/>
      <c r="JD3052" s="37"/>
      <c r="JE3052" s="37"/>
      <c r="JF3052" s="37"/>
      <c r="JG3052" s="37"/>
      <c r="JH3052" s="37"/>
      <c r="JI3052" s="37"/>
      <c r="JJ3052" s="37"/>
      <c r="JK3052" s="37"/>
      <c r="JL3052" s="37"/>
      <c r="JM3052" s="37"/>
      <c r="JN3052" s="37"/>
      <c r="JO3052" s="37"/>
      <c r="JP3052" s="37"/>
      <c r="JQ3052" s="37"/>
      <c r="JR3052" s="37"/>
      <c r="JS3052" s="37"/>
      <c r="JT3052" s="37"/>
      <c r="JU3052" s="37"/>
      <c r="JV3052" s="37"/>
      <c r="JW3052" s="37"/>
      <c r="JX3052" s="37"/>
      <c r="JY3052" s="37"/>
      <c r="JZ3052" s="37"/>
      <c r="KA3052" s="37"/>
      <c r="KB3052" s="37"/>
      <c r="KC3052" s="37"/>
      <c r="KD3052" s="37"/>
      <c r="KE3052" s="37"/>
      <c r="KF3052" s="37"/>
      <c r="KG3052" s="37"/>
      <c r="KH3052" s="37"/>
      <c r="KI3052" s="37"/>
      <c r="KJ3052" s="37"/>
      <c r="KK3052" s="37"/>
      <c r="KL3052" s="37"/>
      <c r="KM3052" s="37"/>
      <c r="KN3052" s="37"/>
      <c r="KO3052" s="37"/>
      <c r="KP3052" s="37"/>
      <c r="KQ3052" s="37"/>
      <c r="KR3052" s="37"/>
      <c r="KS3052" s="37"/>
      <c r="KT3052" s="37"/>
      <c r="KU3052" s="37"/>
      <c r="KV3052" s="37"/>
      <c r="KW3052" s="37"/>
      <c r="KX3052" s="37"/>
      <c r="KY3052" s="37"/>
      <c r="KZ3052" s="37"/>
      <c r="LA3052" s="37"/>
      <c r="LB3052" s="37"/>
      <c r="LC3052" s="37"/>
      <c r="LD3052" s="37"/>
      <c r="LE3052" s="37"/>
      <c r="LF3052" s="37"/>
      <c r="LG3052" s="37"/>
      <c r="LH3052" s="37"/>
      <c r="LI3052" s="37"/>
      <c r="LJ3052" s="37"/>
      <c r="LK3052" s="37"/>
      <c r="LL3052" s="37"/>
      <c r="LM3052" s="37"/>
      <c r="LN3052" s="37"/>
      <c r="LO3052" s="37"/>
      <c r="LP3052" s="37"/>
      <c r="LQ3052" s="37"/>
      <c r="LR3052" s="37"/>
      <c r="LS3052" s="37"/>
      <c r="LT3052" s="37"/>
      <c r="LU3052" s="37"/>
      <c r="LV3052" s="37"/>
      <c r="LW3052" s="37"/>
      <c r="LX3052" s="37"/>
      <c r="LY3052" s="37"/>
      <c r="LZ3052" s="37"/>
      <c r="MA3052" s="37"/>
      <c r="MB3052" s="37"/>
      <c r="MC3052" s="37"/>
      <c r="MD3052" s="37"/>
      <c r="ME3052" s="37"/>
      <c r="MF3052" s="37"/>
      <c r="MG3052" s="37"/>
      <c r="MH3052" s="37"/>
      <c r="MI3052" s="37"/>
      <c r="MJ3052" s="37"/>
      <c r="MK3052" s="37"/>
      <c r="ML3052" s="37"/>
      <c r="MM3052" s="37"/>
      <c r="MN3052" s="37"/>
      <c r="MO3052" s="37"/>
      <c r="MP3052" s="37"/>
      <c r="MQ3052" s="37"/>
      <c r="MR3052" s="37"/>
      <c r="MS3052" s="37"/>
      <c r="MT3052" s="37"/>
      <c r="MU3052" s="37"/>
      <c r="MV3052" s="37"/>
      <c r="MW3052" s="37"/>
      <c r="MX3052" s="37"/>
      <c r="MY3052" s="37"/>
      <c r="MZ3052" s="37"/>
      <c r="NA3052" s="37"/>
      <c r="NB3052" s="37"/>
      <c r="NC3052" s="37"/>
      <c r="ND3052" s="37"/>
      <c r="NE3052" s="37"/>
      <c r="NF3052" s="37"/>
      <c r="NG3052" s="37"/>
      <c r="NH3052" s="37"/>
      <c r="NI3052" s="37"/>
      <c r="NJ3052" s="37"/>
      <c r="NK3052" s="37"/>
      <c r="NL3052" s="37"/>
      <c r="NM3052" s="37"/>
      <c r="NN3052" s="37"/>
      <c r="NO3052" s="37"/>
      <c r="NP3052" s="37"/>
      <c r="NQ3052" s="37"/>
      <c r="NR3052" s="37"/>
      <c r="NS3052" s="37"/>
      <c r="NT3052" s="37"/>
      <c r="NU3052" s="37"/>
      <c r="NV3052" s="37"/>
      <c r="NW3052" s="37"/>
      <c r="NX3052" s="37"/>
      <c r="NY3052" s="37"/>
      <c r="NZ3052" s="37"/>
      <c r="OA3052" s="37"/>
      <c r="OB3052" s="37"/>
      <c r="OC3052" s="37"/>
      <c r="OD3052" s="37"/>
      <c r="OE3052" s="37"/>
      <c r="OF3052" s="37"/>
      <c r="OG3052" s="37"/>
      <c r="OH3052" s="37"/>
      <c r="OI3052" s="37"/>
      <c r="OJ3052" s="37"/>
      <c r="OK3052" s="37"/>
      <c r="OL3052" s="37"/>
      <c r="OM3052" s="37"/>
      <c r="ON3052" s="37"/>
      <c r="OO3052" s="37"/>
      <c r="OP3052" s="37"/>
      <c r="OQ3052" s="37"/>
      <c r="OR3052" s="37"/>
      <c r="OS3052" s="37"/>
      <c r="OT3052" s="37"/>
      <c r="OU3052" s="37"/>
      <c r="OV3052" s="37"/>
      <c r="OW3052" s="37"/>
      <c r="OX3052" s="37"/>
      <c r="OY3052" s="37"/>
      <c r="OZ3052" s="37"/>
      <c r="PA3052" s="37"/>
      <c r="PB3052" s="37"/>
      <c r="PC3052" s="37"/>
      <c r="PD3052" s="37"/>
      <c r="PE3052" s="37"/>
      <c r="PF3052" s="37"/>
      <c r="PG3052" s="37"/>
      <c r="PH3052" s="37"/>
      <c r="PI3052" s="37"/>
      <c r="PJ3052" s="37"/>
      <c r="PK3052" s="37"/>
      <c r="PL3052" s="37"/>
      <c r="PM3052" s="37"/>
      <c r="PN3052" s="37"/>
      <c r="PO3052" s="37"/>
      <c r="PP3052" s="37"/>
      <c r="PQ3052" s="37"/>
      <c r="PR3052" s="37"/>
      <c r="PS3052" s="37"/>
      <c r="PT3052" s="37"/>
      <c r="PU3052" s="37"/>
      <c r="PV3052" s="37"/>
      <c r="PW3052" s="37"/>
      <c r="PX3052" s="37"/>
      <c r="PY3052" s="37"/>
      <c r="PZ3052" s="37"/>
      <c r="QA3052" s="37"/>
      <c r="QB3052" s="37"/>
      <c r="QC3052" s="37"/>
      <c r="QD3052" s="37"/>
      <c r="QE3052" s="37"/>
      <c r="QF3052" s="37"/>
      <c r="QG3052" s="37"/>
      <c r="QH3052" s="37"/>
      <c r="QI3052" s="37"/>
      <c r="QJ3052" s="37"/>
      <c r="QK3052" s="37"/>
      <c r="QL3052" s="37"/>
      <c r="QM3052" s="37"/>
      <c r="QN3052" s="37"/>
      <c r="QO3052" s="37"/>
      <c r="QP3052" s="37"/>
      <c r="QQ3052" s="37"/>
      <c r="QR3052" s="37"/>
      <c r="QS3052" s="37"/>
      <c r="QT3052" s="37"/>
      <c r="QU3052" s="37"/>
      <c r="QV3052" s="37"/>
      <c r="QW3052" s="37"/>
      <c r="QX3052" s="37"/>
      <c r="QY3052" s="37"/>
      <c r="QZ3052" s="37"/>
      <c r="RA3052" s="37"/>
      <c r="RB3052" s="37"/>
      <c r="RC3052" s="37"/>
      <c r="RD3052" s="37"/>
      <c r="RE3052" s="37"/>
      <c r="RF3052" s="37"/>
      <c r="RG3052" s="37"/>
      <c r="RH3052" s="37"/>
      <c r="RI3052" s="37"/>
      <c r="RJ3052" s="37"/>
      <c r="RK3052" s="37"/>
      <c r="RL3052" s="37"/>
      <c r="RM3052" s="37"/>
      <c r="RN3052" s="37"/>
      <c r="RO3052" s="37"/>
      <c r="RP3052" s="37"/>
      <c r="RQ3052" s="37"/>
      <c r="RR3052" s="37"/>
      <c r="RS3052" s="37"/>
      <c r="RT3052" s="37"/>
      <c r="RU3052" s="37"/>
      <c r="RV3052" s="37"/>
      <c r="RW3052" s="37"/>
      <c r="RX3052" s="37"/>
      <c r="RY3052" s="37"/>
      <c r="RZ3052" s="37"/>
      <c r="SA3052" s="37"/>
      <c r="SB3052" s="37"/>
      <c r="SC3052" s="37"/>
      <c r="SD3052" s="37"/>
      <c r="SE3052" s="37"/>
      <c r="SF3052" s="37"/>
    </row>
    <row r="3053" spans="1:500">
      <c r="A3053" s="37"/>
      <c r="B3053" s="37"/>
      <c r="C3053" s="37"/>
      <c r="D3053" s="37"/>
      <c r="E3053" s="37"/>
      <c r="F3053" s="37"/>
      <c r="G3053" s="37"/>
      <c r="H3053" s="37"/>
      <c r="I3053" s="37"/>
      <c r="J3053" s="37"/>
      <c r="K3053" s="37"/>
      <c r="L3053" s="37"/>
      <c r="M3053" s="37"/>
      <c r="N3053" s="37"/>
      <c r="O3053" s="37"/>
      <c r="P3053" s="37"/>
      <c r="Q3053" s="37"/>
      <c r="R3053" s="37"/>
      <c r="S3053" s="37"/>
      <c r="T3053" s="37"/>
      <c r="U3053" s="37"/>
      <c r="V3053" s="37"/>
      <c r="W3053" s="37"/>
      <c r="X3053" s="37"/>
      <c r="Y3053" s="37"/>
      <c r="Z3053" s="37"/>
      <c r="AA3053" s="37"/>
      <c r="AB3053" s="37"/>
      <c r="AC3053" s="37"/>
      <c r="AD3053" s="37"/>
      <c r="AE3053" s="37"/>
      <c r="AF3053" s="37"/>
      <c r="AG3053" s="37"/>
      <c r="AH3053" s="37"/>
      <c r="AI3053" s="37"/>
      <c r="AJ3053" s="37"/>
      <c r="AK3053" s="37"/>
      <c r="AL3053" s="37"/>
      <c r="AM3053" s="37"/>
      <c r="AN3053" s="37"/>
      <c r="AO3053" s="37"/>
      <c r="AP3053" s="37"/>
      <c r="AQ3053" s="37"/>
      <c r="AR3053" s="37"/>
      <c r="AS3053" s="37"/>
      <c r="AT3053" s="37"/>
      <c r="AU3053" s="37"/>
      <c r="AV3053" s="37"/>
      <c r="AW3053" s="37"/>
      <c r="AX3053" s="37"/>
      <c r="AY3053" s="37"/>
      <c r="AZ3053" s="37"/>
      <c r="BA3053" s="37"/>
      <c r="BB3053" s="37"/>
      <c r="BC3053" s="37"/>
      <c r="BD3053" s="37"/>
      <c r="BE3053" s="37"/>
      <c r="BF3053" s="37"/>
      <c r="BG3053" s="37"/>
      <c r="BH3053" s="37"/>
      <c r="BI3053" s="37"/>
      <c r="BJ3053" s="37"/>
      <c r="BK3053" s="37"/>
      <c r="BL3053" s="37"/>
      <c r="BM3053" s="37"/>
      <c r="BN3053" s="37"/>
      <c r="BO3053" s="37"/>
      <c r="BP3053" s="37"/>
      <c r="BQ3053" s="37"/>
      <c r="BR3053" s="37"/>
      <c r="BS3053" s="37"/>
      <c r="BT3053" s="37"/>
      <c r="BU3053" s="37"/>
      <c r="BV3053" s="37"/>
      <c r="BW3053" s="37"/>
      <c r="BX3053" s="37"/>
      <c r="BY3053" s="37"/>
      <c r="BZ3053" s="37"/>
      <c r="CA3053" s="37"/>
      <c r="CB3053" s="37"/>
      <c r="CC3053" s="37"/>
      <c r="CD3053" s="37"/>
      <c r="CE3053" s="37"/>
      <c r="CF3053" s="37"/>
      <c r="CG3053" s="37"/>
      <c r="CH3053" s="37"/>
      <c r="CI3053" s="37"/>
      <c r="CJ3053" s="37"/>
      <c r="CK3053" s="37"/>
      <c r="CL3053" s="37"/>
      <c r="CM3053" s="37"/>
      <c r="CN3053" s="37"/>
      <c r="CO3053" s="37"/>
      <c r="CP3053" s="37"/>
      <c r="CQ3053" s="37"/>
      <c r="CR3053" s="37"/>
      <c r="CS3053" s="37"/>
      <c r="CT3053" s="37"/>
      <c r="CU3053" s="37"/>
      <c r="CV3053" s="37"/>
      <c r="CW3053" s="37"/>
      <c r="CX3053" s="37"/>
      <c r="CY3053" s="37"/>
      <c r="CZ3053" s="37"/>
      <c r="DA3053" s="37"/>
      <c r="DB3053" s="37"/>
      <c r="DC3053" s="37"/>
      <c r="DD3053" s="37"/>
      <c r="DE3053" s="37"/>
      <c r="DF3053" s="37"/>
      <c r="DG3053" s="37"/>
      <c r="DH3053" s="37"/>
      <c r="DI3053" s="37"/>
      <c r="DJ3053" s="37"/>
      <c r="DK3053" s="37"/>
      <c r="DL3053" s="37"/>
      <c r="DM3053" s="37"/>
      <c r="DN3053" s="37"/>
      <c r="DO3053" s="37"/>
      <c r="DP3053" s="37"/>
      <c r="DQ3053" s="37"/>
      <c r="DR3053" s="37"/>
      <c r="DS3053" s="37"/>
      <c r="DT3053" s="37"/>
      <c r="DU3053" s="37"/>
      <c r="DV3053" s="37"/>
      <c r="DW3053" s="37"/>
      <c r="DX3053" s="37"/>
      <c r="DY3053" s="37"/>
      <c r="DZ3053" s="37"/>
      <c r="EA3053" s="37"/>
      <c r="EB3053" s="37"/>
      <c r="EC3053" s="37"/>
      <c r="ED3053" s="37"/>
      <c r="EE3053" s="37"/>
      <c r="EF3053" s="37"/>
      <c r="EG3053" s="37"/>
      <c r="EH3053" s="37"/>
      <c r="EI3053" s="37"/>
      <c r="EJ3053" s="37"/>
      <c r="EK3053" s="37"/>
      <c r="EL3053" s="37"/>
      <c r="EM3053" s="37"/>
      <c r="EN3053" s="37"/>
      <c r="EO3053" s="37"/>
      <c r="EP3053" s="37"/>
      <c r="EQ3053" s="37"/>
      <c r="ER3053" s="37"/>
      <c r="ES3053" s="37"/>
      <c r="ET3053" s="37"/>
      <c r="EU3053" s="37"/>
      <c r="EV3053" s="37"/>
      <c r="EW3053" s="37"/>
      <c r="EX3053" s="37"/>
      <c r="EY3053" s="37"/>
      <c r="EZ3053" s="37"/>
      <c r="FA3053" s="37"/>
      <c r="FB3053" s="37"/>
      <c r="FC3053" s="37"/>
      <c r="FD3053" s="37"/>
      <c r="FE3053" s="37"/>
      <c r="FF3053" s="37"/>
      <c r="FG3053" s="37"/>
      <c r="FH3053" s="37"/>
      <c r="FI3053" s="37"/>
      <c r="FJ3053" s="37"/>
      <c r="FK3053" s="37"/>
      <c r="FL3053" s="37"/>
      <c r="FM3053" s="37"/>
      <c r="FN3053" s="37"/>
      <c r="FO3053" s="37"/>
      <c r="FP3053" s="37"/>
      <c r="FQ3053" s="37"/>
      <c r="FR3053" s="37"/>
      <c r="FS3053" s="37"/>
      <c r="FT3053" s="37"/>
      <c r="FU3053" s="37"/>
      <c r="FV3053" s="37"/>
      <c r="FW3053" s="37"/>
      <c r="FX3053" s="37"/>
      <c r="FY3053" s="37"/>
      <c r="FZ3053" s="37"/>
      <c r="GA3053" s="37"/>
      <c r="GB3053" s="37"/>
      <c r="GC3053" s="37"/>
      <c r="GD3053" s="37"/>
      <c r="GE3053" s="37"/>
      <c r="GF3053" s="37"/>
      <c r="GG3053" s="37"/>
      <c r="GH3053" s="37"/>
      <c r="GI3053" s="37"/>
      <c r="GJ3053" s="37"/>
      <c r="GK3053" s="37"/>
      <c r="GL3053" s="37"/>
      <c r="GM3053" s="37"/>
      <c r="GN3053" s="37"/>
      <c r="GO3053" s="37"/>
      <c r="GP3053" s="37"/>
      <c r="GQ3053" s="37"/>
      <c r="GR3053" s="37"/>
      <c r="GS3053" s="37"/>
      <c r="GT3053" s="37"/>
      <c r="GU3053" s="37"/>
      <c r="GV3053" s="37"/>
      <c r="GW3053" s="37"/>
      <c r="GX3053" s="37"/>
      <c r="GY3053" s="37"/>
      <c r="GZ3053" s="37"/>
      <c r="HA3053" s="37"/>
      <c r="HB3053" s="37"/>
      <c r="HC3053" s="37"/>
      <c r="HD3053" s="37"/>
      <c r="HE3053" s="37"/>
      <c r="HF3053" s="37"/>
      <c r="HG3053" s="37"/>
      <c r="HH3053" s="37"/>
      <c r="HI3053" s="37"/>
      <c r="HJ3053" s="37"/>
      <c r="HK3053" s="37"/>
      <c r="HL3053" s="37"/>
      <c r="HM3053" s="37"/>
      <c r="HN3053" s="37"/>
      <c r="HO3053" s="37"/>
      <c r="HP3053" s="37"/>
      <c r="HQ3053" s="37"/>
      <c r="HR3053" s="37"/>
      <c r="HS3053" s="37"/>
      <c r="HT3053" s="37"/>
      <c r="HU3053" s="37"/>
      <c r="HV3053" s="37"/>
      <c r="HW3053" s="37"/>
      <c r="HX3053" s="37"/>
      <c r="HY3053" s="37"/>
      <c r="HZ3053" s="37"/>
      <c r="IA3053" s="37"/>
      <c r="IB3053" s="37"/>
      <c r="IC3053" s="37"/>
      <c r="ID3053" s="37"/>
      <c r="IE3053" s="37"/>
      <c r="IF3053" s="37"/>
      <c r="IG3053" s="37"/>
      <c r="IH3053" s="37"/>
      <c r="II3053" s="37"/>
      <c r="IJ3053" s="37"/>
      <c r="IK3053" s="37"/>
      <c r="IL3053" s="37"/>
      <c r="IM3053" s="37"/>
      <c r="IN3053" s="37"/>
      <c r="IO3053" s="37"/>
      <c r="IP3053" s="37"/>
      <c r="IQ3053" s="37"/>
      <c r="IR3053" s="37"/>
      <c r="IS3053" s="37"/>
      <c r="IT3053" s="37"/>
      <c r="IU3053" s="37"/>
      <c r="IV3053" s="37"/>
      <c r="IW3053" s="37"/>
      <c r="IX3053" s="37"/>
      <c r="IY3053" s="37"/>
      <c r="IZ3053" s="37"/>
      <c r="JA3053" s="37"/>
      <c r="JB3053" s="37"/>
      <c r="JC3053" s="37"/>
      <c r="JD3053" s="37"/>
      <c r="JE3053" s="37"/>
      <c r="JF3053" s="37"/>
      <c r="JG3053" s="37"/>
      <c r="JH3053" s="37"/>
      <c r="JI3053" s="37"/>
      <c r="JJ3053" s="37"/>
      <c r="JK3053" s="37"/>
      <c r="JL3053" s="37"/>
      <c r="JM3053" s="37"/>
      <c r="JN3053" s="37"/>
      <c r="JO3053" s="37"/>
      <c r="JP3053" s="37"/>
      <c r="JQ3053" s="37"/>
      <c r="JR3053" s="37"/>
      <c r="JS3053" s="37"/>
      <c r="JT3053" s="37"/>
      <c r="JU3053" s="37"/>
      <c r="JV3053" s="37"/>
      <c r="JW3053" s="37"/>
      <c r="JX3053" s="37"/>
      <c r="JY3053" s="37"/>
      <c r="JZ3053" s="37"/>
      <c r="KA3053" s="37"/>
      <c r="KB3053" s="37"/>
      <c r="KC3053" s="37"/>
      <c r="KD3053" s="37"/>
      <c r="KE3053" s="37"/>
      <c r="KF3053" s="37"/>
      <c r="KG3053" s="37"/>
      <c r="KH3053" s="37"/>
      <c r="KI3053" s="37"/>
      <c r="KJ3053" s="37"/>
      <c r="KK3053" s="37"/>
      <c r="KL3053" s="37"/>
      <c r="KM3053" s="37"/>
      <c r="KN3053" s="37"/>
      <c r="KO3053" s="37"/>
      <c r="KP3053" s="37"/>
      <c r="KQ3053" s="37"/>
      <c r="KR3053" s="37"/>
      <c r="KS3053" s="37"/>
      <c r="KT3053" s="37"/>
      <c r="KU3053" s="37"/>
      <c r="KV3053" s="37"/>
      <c r="KW3053" s="37"/>
      <c r="KX3053" s="37"/>
      <c r="KY3053" s="37"/>
      <c r="KZ3053" s="37"/>
      <c r="LA3053" s="37"/>
      <c r="LB3053" s="37"/>
      <c r="LC3053" s="37"/>
      <c r="LD3053" s="37"/>
      <c r="LE3053" s="37"/>
      <c r="LF3053" s="37"/>
      <c r="LG3053" s="37"/>
      <c r="LH3053" s="37"/>
      <c r="LI3053" s="37"/>
      <c r="LJ3053" s="37"/>
      <c r="LK3053" s="37"/>
      <c r="LL3053" s="37"/>
      <c r="LM3053" s="37"/>
      <c r="LN3053" s="37"/>
      <c r="LO3053" s="37"/>
      <c r="LP3053" s="37"/>
      <c r="LQ3053" s="37"/>
      <c r="LR3053" s="37"/>
      <c r="LS3053" s="37"/>
      <c r="LT3053" s="37"/>
      <c r="LU3053" s="37"/>
      <c r="LV3053" s="37"/>
      <c r="LW3053" s="37"/>
      <c r="LX3053" s="37"/>
      <c r="LY3053" s="37"/>
      <c r="LZ3053" s="37"/>
      <c r="MA3053" s="37"/>
      <c r="MB3053" s="37"/>
      <c r="MC3053" s="37"/>
      <c r="MD3053" s="37"/>
      <c r="ME3053" s="37"/>
      <c r="MF3053" s="37"/>
      <c r="MG3053" s="37"/>
      <c r="MH3053" s="37"/>
      <c r="MI3053" s="37"/>
      <c r="MJ3053" s="37"/>
      <c r="MK3053" s="37"/>
      <c r="ML3053" s="37"/>
      <c r="MM3053" s="37"/>
      <c r="MN3053" s="37"/>
      <c r="MO3053" s="37"/>
      <c r="MP3053" s="37"/>
      <c r="MQ3053" s="37"/>
      <c r="MR3053" s="37"/>
      <c r="MS3053" s="37"/>
      <c r="MT3053" s="37"/>
      <c r="MU3053" s="37"/>
      <c r="MV3053" s="37"/>
      <c r="MW3053" s="37"/>
      <c r="MX3053" s="37"/>
      <c r="MY3053" s="37"/>
      <c r="MZ3053" s="37"/>
      <c r="NA3053" s="37"/>
      <c r="NB3053" s="37"/>
      <c r="NC3053" s="37"/>
      <c r="ND3053" s="37"/>
      <c r="NE3053" s="37"/>
      <c r="NF3053" s="37"/>
      <c r="NG3053" s="37"/>
      <c r="NH3053" s="37"/>
      <c r="NI3053" s="37"/>
      <c r="NJ3053" s="37"/>
      <c r="NK3053" s="37"/>
      <c r="NL3053" s="37"/>
      <c r="NM3053" s="37"/>
      <c r="NN3053" s="37"/>
      <c r="NO3053" s="37"/>
      <c r="NP3053" s="37"/>
      <c r="NQ3053" s="37"/>
      <c r="NR3053" s="37"/>
      <c r="NS3053" s="37"/>
      <c r="NT3053" s="37"/>
      <c r="NU3053" s="37"/>
      <c r="NV3053" s="37"/>
      <c r="NW3053" s="37"/>
      <c r="NX3053" s="37"/>
      <c r="NY3053" s="37"/>
      <c r="NZ3053" s="37"/>
      <c r="OA3053" s="37"/>
      <c r="OB3053" s="37"/>
      <c r="OC3053" s="37"/>
      <c r="OD3053" s="37"/>
      <c r="OE3053" s="37"/>
      <c r="OF3053" s="37"/>
      <c r="OG3053" s="37"/>
      <c r="OH3053" s="37"/>
      <c r="OI3053" s="37"/>
      <c r="OJ3053" s="37"/>
      <c r="OK3053" s="37"/>
      <c r="OL3053" s="37"/>
      <c r="OM3053" s="37"/>
      <c r="ON3053" s="37"/>
      <c r="OO3053" s="37"/>
      <c r="OP3053" s="37"/>
      <c r="OQ3053" s="37"/>
      <c r="OR3053" s="37"/>
      <c r="OS3053" s="37"/>
      <c r="OT3053" s="37"/>
      <c r="OU3053" s="37"/>
      <c r="OV3053" s="37"/>
      <c r="OW3053" s="37"/>
      <c r="OX3053" s="37"/>
      <c r="OY3053" s="37"/>
      <c r="OZ3053" s="37"/>
      <c r="PA3053" s="37"/>
      <c r="PB3053" s="37"/>
      <c r="PC3053" s="37"/>
      <c r="PD3053" s="37"/>
      <c r="PE3053" s="37"/>
      <c r="PF3053" s="37"/>
      <c r="PG3053" s="37"/>
      <c r="PH3053" s="37"/>
      <c r="PI3053" s="37"/>
      <c r="PJ3053" s="37"/>
      <c r="PK3053" s="37"/>
      <c r="PL3053" s="37"/>
      <c r="PM3053" s="37"/>
      <c r="PN3053" s="37"/>
      <c r="PO3053" s="37"/>
      <c r="PP3053" s="37"/>
      <c r="PQ3053" s="37"/>
      <c r="PR3053" s="37"/>
      <c r="PS3053" s="37"/>
      <c r="PT3053" s="37"/>
      <c r="PU3053" s="37"/>
      <c r="PV3053" s="37"/>
      <c r="PW3053" s="37"/>
      <c r="PX3053" s="37"/>
      <c r="PY3053" s="37"/>
      <c r="PZ3053" s="37"/>
      <c r="QA3053" s="37"/>
      <c r="QB3053" s="37"/>
      <c r="QC3053" s="37"/>
      <c r="QD3053" s="37"/>
      <c r="QE3053" s="37"/>
      <c r="QF3053" s="37"/>
      <c r="QG3053" s="37"/>
      <c r="QH3053" s="37"/>
      <c r="QI3053" s="37"/>
      <c r="QJ3053" s="37"/>
      <c r="QK3053" s="37"/>
      <c r="QL3053" s="37"/>
      <c r="QM3053" s="37"/>
      <c r="QN3053" s="37"/>
      <c r="QO3053" s="37"/>
      <c r="QP3053" s="37"/>
      <c r="QQ3053" s="37"/>
      <c r="QR3053" s="37"/>
      <c r="QS3053" s="37"/>
      <c r="QT3053" s="37"/>
      <c r="QU3053" s="37"/>
      <c r="QV3053" s="37"/>
      <c r="QW3053" s="37"/>
      <c r="QX3053" s="37"/>
      <c r="QY3053" s="37"/>
      <c r="QZ3053" s="37"/>
      <c r="RA3053" s="37"/>
      <c r="RB3053" s="37"/>
      <c r="RC3053" s="37"/>
      <c r="RD3053" s="37"/>
      <c r="RE3053" s="37"/>
      <c r="RF3053" s="37"/>
      <c r="RG3053" s="37"/>
      <c r="RH3053" s="37"/>
      <c r="RI3053" s="37"/>
      <c r="RJ3053" s="37"/>
      <c r="RK3053" s="37"/>
      <c r="RL3053" s="37"/>
      <c r="RM3053" s="37"/>
      <c r="RN3053" s="37"/>
      <c r="RO3053" s="37"/>
      <c r="RP3053" s="37"/>
      <c r="RQ3053" s="37"/>
      <c r="RR3053" s="37"/>
      <c r="RS3053" s="37"/>
      <c r="RT3053" s="37"/>
      <c r="RU3053" s="37"/>
      <c r="RV3053" s="37"/>
      <c r="RW3053" s="37"/>
      <c r="RX3053" s="37"/>
      <c r="RY3053" s="37"/>
      <c r="RZ3053" s="37"/>
      <c r="SA3053" s="37"/>
      <c r="SB3053" s="37"/>
      <c r="SC3053" s="37"/>
      <c r="SD3053" s="37"/>
      <c r="SE3053" s="37"/>
      <c r="SF3053" s="37"/>
    </row>
    <row r="3054" spans="1:500">
      <c r="A3054" s="37"/>
      <c r="B3054" s="37"/>
      <c r="C3054" s="37"/>
      <c r="D3054" s="37"/>
      <c r="E3054" s="37"/>
      <c r="F3054" s="37"/>
      <c r="G3054" s="37"/>
      <c r="H3054" s="37"/>
      <c r="I3054" s="37"/>
      <c r="J3054" s="37"/>
      <c r="K3054" s="37"/>
      <c r="L3054" s="37"/>
      <c r="M3054" s="37"/>
      <c r="N3054" s="37"/>
      <c r="O3054" s="37"/>
      <c r="P3054" s="37"/>
      <c r="Q3054" s="37"/>
      <c r="R3054" s="37"/>
      <c r="S3054" s="37"/>
      <c r="T3054" s="37"/>
      <c r="U3054" s="37"/>
      <c r="V3054" s="37"/>
      <c r="W3054" s="37"/>
      <c r="X3054" s="37"/>
      <c r="Y3054" s="37"/>
      <c r="Z3054" s="37"/>
      <c r="AA3054" s="37"/>
      <c r="AB3054" s="37"/>
      <c r="AC3054" s="37"/>
      <c r="AD3054" s="37"/>
      <c r="AE3054" s="37"/>
      <c r="AF3054" s="37"/>
      <c r="AG3054" s="37"/>
      <c r="AH3054" s="37"/>
      <c r="AI3054" s="37"/>
      <c r="AJ3054" s="37"/>
      <c r="AK3054" s="37"/>
      <c r="AL3054" s="37"/>
      <c r="AM3054" s="37"/>
      <c r="AN3054" s="37"/>
      <c r="AO3054" s="37"/>
      <c r="AP3054" s="37"/>
      <c r="AQ3054" s="37"/>
      <c r="AR3054" s="37"/>
      <c r="AS3054" s="37"/>
      <c r="AT3054" s="37"/>
      <c r="AU3054" s="37"/>
      <c r="AV3054" s="37"/>
      <c r="AW3054" s="37"/>
      <c r="AX3054" s="37"/>
      <c r="AY3054" s="37"/>
      <c r="AZ3054" s="37"/>
      <c r="BA3054" s="37"/>
      <c r="BB3054" s="37"/>
      <c r="BC3054" s="37"/>
      <c r="BD3054" s="37"/>
      <c r="BE3054" s="37"/>
      <c r="BF3054" s="37"/>
      <c r="BG3054" s="37"/>
      <c r="BH3054" s="37"/>
      <c r="BI3054" s="37"/>
      <c r="BJ3054" s="37"/>
      <c r="BK3054" s="37"/>
      <c r="BL3054" s="37"/>
      <c r="BM3054" s="37"/>
      <c r="BN3054" s="37"/>
      <c r="BO3054" s="37"/>
      <c r="BP3054" s="37"/>
      <c r="BQ3054" s="37"/>
      <c r="BR3054" s="37"/>
      <c r="BS3054" s="37"/>
      <c r="BT3054" s="37"/>
      <c r="BU3054" s="37"/>
      <c r="BV3054" s="37"/>
      <c r="BW3054" s="37"/>
      <c r="BX3054" s="37"/>
      <c r="BY3054" s="37"/>
      <c r="BZ3054" s="37"/>
      <c r="CA3054" s="37"/>
      <c r="CB3054" s="37"/>
      <c r="CC3054" s="37"/>
      <c r="CD3054" s="37"/>
      <c r="CE3054" s="37"/>
      <c r="CF3054" s="37"/>
      <c r="CG3054" s="37"/>
      <c r="CH3054" s="37"/>
      <c r="CI3054" s="37"/>
      <c r="CJ3054" s="37"/>
      <c r="CK3054" s="37"/>
      <c r="CL3054" s="37"/>
      <c r="CM3054" s="37"/>
      <c r="CN3054" s="37"/>
      <c r="CO3054" s="37"/>
      <c r="CP3054" s="37"/>
      <c r="CQ3054" s="37"/>
      <c r="CR3054" s="37"/>
      <c r="CS3054" s="37"/>
      <c r="CT3054" s="37"/>
      <c r="CU3054" s="37"/>
      <c r="CV3054" s="37"/>
      <c r="CW3054" s="37"/>
      <c r="CX3054" s="37"/>
      <c r="CY3054" s="37"/>
      <c r="CZ3054" s="37"/>
      <c r="DA3054" s="37"/>
      <c r="DB3054" s="37"/>
      <c r="DC3054" s="37"/>
      <c r="DD3054" s="37"/>
      <c r="DE3054" s="37"/>
      <c r="DF3054" s="37"/>
      <c r="DG3054" s="37"/>
      <c r="DH3054" s="37"/>
      <c r="DI3054" s="37"/>
      <c r="DJ3054" s="37"/>
      <c r="DK3054" s="37"/>
      <c r="DL3054" s="37"/>
      <c r="DM3054" s="37"/>
      <c r="DN3054" s="37"/>
      <c r="DO3054" s="37"/>
      <c r="DP3054" s="37"/>
      <c r="DQ3054" s="37"/>
      <c r="DR3054" s="37"/>
      <c r="DS3054" s="37"/>
      <c r="DT3054" s="37"/>
      <c r="DU3054" s="37"/>
      <c r="DV3054" s="37"/>
      <c r="DW3054" s="37"/>
      <c r="DX3054" s="37"/>
      <c r="DY3054" s="37"/>
      <c r="DZ3054" s="37"/>
      <c r="EA3054" s="37"/>
      <c r="EB3054" s="37"/>
      <c r="EC3054" s="37"/>
      <c r="ED3054" s="37"/>
      <c r="EE3054" s="37"/>
      <c r="EF3054" s="37"/>
      <c r="EG3054" s="37"/>
      <c r="EH3054" s="37"/>
      <c r="EI3054" s="37"/>
      <c r="EJ3054" s="37"/>
      <c r="EK3054" s="37"/>
      <c r="EL3054" s="37"/>
      <c r="EM3054" s="37"/>
      <c r="EN3054" s="37"/>
      <c r="EO3054" s="37"/>
      <c r="EP3054" s="37"/>
      <c r="EQ3054" s="37"/>
      <c r="ER3054" s="37"/>
      <c r="ES3054" s="37"/>
      <c r="ET3054" s="37"/>
      <c r="EU3054" s="37"/>
      <c r="EV3054" s="37"/>
      <c r="EW3054" s="37"/>
      <c r="EX3054" s="37"/>
      <c r="EY3054" s="37"/>
      <c r="EZ3054" s="37"/>
      <c r="FA3054" s="37"/>
      <c r="FB3054" s="37"/>
      <c r="FC3054" s="37"/>
      <c r="FD3054" s="37"/>
      <c r="FE3054" s="37"/>
      <c r="FF3054" s="37"/>
      <c r="FG3054" s="37"/>
      <c r="FH3054" s="37"/>
      <c r="FI3054" s="37"/>
      <c r="FJ3054" s="37"/>
      <c r="FK3054" s="37"/>
      <c r="FL3054" s="37"/>
      <c r="FM3054" s="37"/>
      <c r="FN3054" s="37"/>
      <c r="FO3054" s="37"/>
      <c r="FP3054" s="37"/>
      <c r="FQ3054" s="37"/>
      <c r="FR3054" s="37"/>
      <c r="FS3054" s="37"/>
      <c r="FT3054" s="37"/>
      <c r="FU3054" s="37"/>
      <c r="FV3054" s="37"/>
      <c r="FW3054" s="37"/>
      <c r="FX3054" s="37"/>
      <c r="FY3054" s="37"/>
      <c r="FZ3054" s="37"/>
      <c r="GA3054" s="37"/>
      <c r="GB3054" s="37"/>
      <c r="GC3054" s="37"/>
      <c r="GD3054" s="37"/>
      <c r="GE3054" s="37"/>
      <c r="GF3054" s="37"/>
      <c r="GG3054" s="37"/>
      <c r="GH3054" s="37"/>
      <c r="GI3054" s="37"/>
      <c r="GJ3054" s="37"/>
      <c r="GK3054" s="37"/>
      <c r="GL3054" s="37"/>
      <c r="GM3054" s="37"/>
      <c r="GN3054" s="37"/>
      <c r="GO3054" s="37"/>
      <c r="GP3054" s="37"/>
      <c r="GQ3054" s="37"/>
      <c r="GR3054" s="37"/>
      <c r="GS3054" s="37"/>
      <c r="GT3054" s="37"/>
      <c r="GU3054" s="37"/>
      <c r="GV3054" s="37"/>
      <c r="GW3054" s="37"/>
      <c r="GX3054" s="37"/>
      <c r="GY3054" s="37"/>
      <c r="GZ3054" s="37"/>
      <c r="HA3054" s="37"/>
      <c r="HB3054" s="37"/>
      <c r="HC3054" s="37"/>
      <c r="HD3054" s="37"/>
      <c r="HE3054" s="37"/>
      <c r="HF3054" s="37"/>
      <c r="HG3054" s="37"/>
      <c r="HH3054" s="37"/>
      <c r="HI3054" s="37"/>
      <c r="HJ3054" s="37"/>
      <c r="HK3054" s="37"/>
      <c r="HL3054" s="37"/>
      <c r="HM3054" s="37"/>
      <c r="HN3054" s="37"/>
      <c r="HO3054" s="37"/>
      <c r="HP3054" s="37"/>
      <c r="HQ3054" s="37"/>
      <c r="HR3054" s="37"/>
      <c r="HS3054" s="37"/>
      <c r="HT3054" s="37"/>
      <c r="HU3054" s="37"/>
      <c r="HV3054" s="37"/>
      <c r="HW3054" s="37"/>
      <c r="HX3054" s="37"/>
      <c r="HY3054" s="37"/>
      <c r="HZ3054" s="37"/>
      <c r="IA3054" s="37"/>
      <c r="IB3054" s="37"/>
      <c r="IC3054" s="37"/>
      <c r="ID3054" s="37"/>
      <c r="IE3054" s="37"/>
      <c r="IF3054" s="37"/>
      <c r="IG3054" s="37"/>
      <c r="IH3054" s="37"/>
      <c r="II3054" s="37"/>
      <c r="IJ3054" s="37"/>
      <c r="IK3054" s="37"/>
      <c r="IL3054" s="37"/>
      <c r="IM3054" s="37"/>
      <c r="IN3054" s="37"/>
      <c r="IO3054" s="37"/>
      <c r="IP3054" s="37"/>
      <c r="IQ3054" s="37"/>
      <c r="IR3054" s="37"/>
      <c r="IS3054" s="37"/>
      <c r="IT3054" s="37"/>
      <c r="IU3054" s="37"/>
      <c r="IV3054" s="37"/>
      <c r="IW3054" s="37"/>
      <c r="IX3054" s="37"/>
      <c r="IY3054" s="37"/>
      <c r="IZ3054" s="37"/>
      <c r="JA3054" s="37"/>
      <c r="JB3054" s="37"/>
      <c r="JC3054" s="37"/>
      <c r="JD3054" s="37"/>
      <c r="JE3054" s="37"/>
      <c r="JF3054" s="37"/>
      <c r="JG3054" s="37"/>
      <c r="JH3054" s="37"/>
      <c r="JI3054" s="37"/>
      <c r="JJ3054" s="37"/>
      <c r="JK3054" s="37"/>
      <c r="JL3054" s="37"/>
      <c r="JM3054" s="37"/>
      <c r="JN3054" s="37"/>
      <c r="JO3054" s="37"/>
      <c r="JP3054" s="37"/>
      <c r="JQ3054" s="37"/>
      <c r="JR3054" s="37"/>
      <c r="JS3054" s="37"/>
      <c r="JT3054" s="37"/>
      <c r="JU3054" s="37"/>
      <c r="JV3054" s="37"/>
      <c r="JW3054" s="37"/>
      <c r="JX3054" s="37"/>
      <c r="JY3054" s="37"/>
      <c r="JZ3054" s="37"/>
      <c r="KA3054" s="37"/>
      <c r="KB3054" s="37"/>
      <c r="KC3054" s="37"/>
      <c r="KD3054" s="37"/>
      <c r="KE3054" s="37"/>
      <c r="KF3054" s="37"/>
      <c r="KG3054" s="37"/>
      <c r="KH3054" s="37"/>
      <c r="KI3054" s="37"/>
      <c r="KJ3054" s="37"/>
      <c r="KK3054" s="37"/>
      <c r="KL3054" s="37"/>
      <c r="KM3054" s="37"/>
      <c r="KN3054" s="37"/>
      <c r="KO3054" s="37"/>
      <c r="KP3054" s="37"/>
      <c r="KQ3054" s="37"/>
      <c r="KR3054" s="37"/>
      <c r="KS3054" s="37"/>
      <c r="KT3054" s="37"/>
      <c r="KU3054" s="37"/>
      <c r="KV3054" s="37"/>
      <c r="KW3054" s="37"/>
      <c r="KX3054" s="37"/>
      <c r="KY3054" s="37"/>
      <c r="KZ3054" s="37"/>
      <c r="LA3054" s="37"/>
      <c r="LB3054" s="37"/>
      <c r="LC3054" s="37"/>
      <c r="LD3054" s="37"/>
      <c r="LE3054" s="37"/>
      <c r="LF3054" s="37"/>
      <c r="LG3054" s="37"/>
      <c r="LH3054" s="37"/>
      <c r="LI3054" s="37"/>
      <c r="LJ3054" s="37"/>
      <c r="LK3054" s="37"/>
      <c r="LL3054" s="37"/>
      <c r="LM3054" s="37"/>
      <c r="LN3054" s="37"/>
      <c r="LO3054" s="37"/>
      <c r="LP3054" s="37"/>
      <c r="LQ3054" s="37"/>
      <c r="LR3054" s="37"/>
      <c r="LS3054" s="37"/>
      <c r="LT3054" s="37"/>
      <c r="LU3054" s="37"/>
      <c r="LV3054" s="37"/>
      <c r="LW3054" s="37"/>
      <c r="LX3054" s="37"/>
      <c r="LY3054" s="37"/>
      <c r="LZ3054" s="37"/>
      <c r="MA3054" s="37"/>
      <c r="MB3054" s="37"/>
      <c r="MC3054" s="37"/>
      <c r="MD3054" s="37"/>
      <c r="ME3054" s="37"/>
      <c r="MF3054" s="37"/>
      <c r="MG3054" s="37"/>
      <c r="MH3054" s="37"/>
      <c r="MI3054" s="37"/>
      <c r="MJ3054" s="37"/>
      <c r="MK3054" s="37"/>
      <c r="ML3054" s="37"/>
      <c r="MM3054" s="37"/>
      <c r="MN3054" s="37"/>
      <c r="MO3054" s="37"/>
      <c r="MP3054" s="37"/>
      <c r="MQ3054" s="37"/>
      <c r="MR3054" s="37"/>
      <c r="MS3054" s="37"/>
      <c r="MT3054" s="37"/>
      <c r="MU3054" s="37"/>
      <c r="MV3054" s="37"/>
      <c r="MW3054" s="37"/>
      <c r="MX3054" s="37"/>
      <c r="MY3054" s="37"/>
      <c r="MZ3054" s="37"/>
      <c r="NA3054" s="37"/>
      <c r="NB3054" s="37"/>
      <c r="NC3054" s="37"/>
      <c r="ND3054" s="37"/>
      <c r="NE3054" s="37"/>
      <c r="NF3054" s="37"/>
      <c r="NG3054" s="37"/>
      <c r="NH3054" s="37"/>
      <c r="NI3054" s="37"/>
      <c r="NJ3054" s="37"/>
      <c r="NK3054" s="37"/>
      <c r="NL3054" s="37"/>
      <c r="NM3054" s="37"/>
      <c r="NN3054" s="37"/>
      <c r="NO3054" s="37"/>
      <c r="NP3054" s="37"/>
      <c r="NQ3054" s="37"/>
      <c r="NR3054" s="37"/>
      <c r="NS3054" s="37"/>
      <c r="NT3054" s="37"/>
      <c r="NU3054" s="37"/>
      <c r="NV3054" s="37"/>
      <c r="NW3054" s="37"/>
      <c r="NX3054" s="37"/>
      <c r="NY3054" s="37"/>
      <c r="NZ3054" s="37"/>
      <c r="OA3054" s="37"/>
      <c r="OB3054" s="37"/>
      <c r="OC3054" s="37"/>
      <c r="OD3054" s="37"/>
      <c r="OE3054" s="37"/>
      <c r="OF3054" s="37"/>
      <c r="OG3054" s="37"/>
      <c r="OH3054" s="37"/>
      <c r="OI3054" s="37"/>
      <c r="OJ3054" s="37"/>
      <c r="OK3054" s="37"/>
      <c r="OL3054" s="37"/>
      <c r="OM3054" s="37"/>
      <c r="ON3054" s="37"/>
      <c r="OO3054" s="37"/>
      <c r="OP3054" s="37"/>
      <c r="OQ3054" s="37"/>
      <c r="OR3054" s="37"/>
      <c r="OS3054" s="37"/>
      <c r="OT3054" s="37"/>
      <c r="OU3054" s="37"/>
      <c r="OV3054" s="37"/>
      <c r="OW3054" s="37"/>
      <c r="OX3054" s="37"/>
      <c r="OY3054" s="37"/>
      <c r="OZ3054" s="37"/>
      <c r="PA3054" s="37"/>
      <c r="PB3054" s="37"/>
      <c r="PC3054" s="37"/>
      <c r="PD3054" s="37"/>
      <c r="PE3054" s="37"/>
      <c r="PF3054" s="37"/>
      <c r="PG3054" s="37"/>
      <c r="PH3054" s="37"/>
      <c r="PI3054" s="37"/>
      <c r="PJ3054" s="37"/>
      <c r="PK3054" s="37"/>
      <c r="PL3054" s="37"/>
      <c r="PM3054" s="37"/>
      <c r="PN3054" s="37"/>
      <c r="PO3054" s="37"/>
      <c r="PP3054" s="37"/>
      <c r="PQ3054" s="37"/>
      <c r="PR3054" s="37"/>
      <c r="PS3054" s="37"/>
      <c r="PT3054" s="37"/>
      <c r="PU3054" s="37"/>
      <c r="PV3054" s="37"/>
      <c r="PW3054" s="37"/>
      <c r="PX3054" s="37"/>
      <c r="PY3054" s="37"/>
      <c r="PZ3054" s="37"/>
      <c r="QA3054" s="37"/>
      <c r="QB3054" s="37"/>
      <c r="QC3054" s="37"/>
      <c r="QD3054" s="37"/>
      <c r="QE3054" s="37"/>
      <c r="QF3054" s="37"/>
      <c r="QG3054" s="37"/>
      <c r="QH3054" s="37"/>
      <c r="QI3054" s="37"/>
      <c r="QJ3054" s="37"/>
      <c r="QK3054" s="37"/>
      <c r="QL3054" s="37"/>
      <c r="QM3054" s="37"/>
      <c r="QN3054" s="37"/>
      <c r="QO3054" s="37"/>
      <c r="QP3054" s="37"/>
      <c r="QQ3054" s="37"/>
      <c r="QR3054" s="37"/>
      <c r="QS3054" s="37"/>
      <c r="QT3054" s="37"/>
      <c r="QU3054" s="37"/>
      <c r="QV3054" s="37"/>
      <c r="QW3054" s="37"/>
      <c r="QX3054" s="37"/>
      <c r="QY3054" s="37"/>
      <c r="QZ3054" s="37"/>
      <c r="RA3054" s="37"/>
      <c r="RB3054" s="37"/>
      <c r="RC3054" s="37"/>
      <c r="RD3054" s="37"/>
      <c r="RE3054" s="37"/>
      <c r="RF3054" s="37"/>
      <c r="RG3054" s="37"/>
      <c r="RH3054" s="37"/>
      <c r="RI3054" s="37"/>
      <c r="RJ3054" s="37"/>
      <c r="RK3054" s="37"/>
      <c r="RL3054" s="37"/>
      <c r="RM3054" s="37"/>
      <c r="RN3054" s="37"/>
      <c r="RO3054" s="37"/>
      <c r="RP3054" s="37"/>
      <c r="RQ3054" s="37"/>
      <c r="RR3054" s="37"/>
      <c r="RS3054" s="37"/>
      <c r="RT3054" s="37"/>
      <c r="RU3054" s="37"/>
      <c r="RV3054" s="37"/>
      <c r="RW3054" s="37"/>
      <c r="RX3054" s="37"/>
      <c r="RY3054" s="37"/>
      <c r="RZ3054" s="37"/>
      <c r="SA3054" s="37"/>
      <c r="SB3054" s="37"/>
      <c r="SC3054" s="37"/>
      <c r="SD3054" s="37"/>
      <c r="SE3054" s="37"/>
      <c r="SF3054" s="37"/>
    </row>
    <row r="3055" spans="1:500">
      <c r="A3055" s="37"/>
      <c r="B3055" s="37"/>
      <c r="C3055" s="37"/>
      <c r="D3055" s="37"/>
      <c r="E3055" s="37"/>
      <c r="F3055" s="37"/>
      <c r="G3055" s="37"/>
      <c r="H3055" s="37"/>
      <c r="I3055" s="37"/>
      <c r="J3055" s="37"/>
      <c r="K3055" s="37"/>
      <c r="L3055" s="37"/>
      <c r="M3055" s="37"/>
      <c r="N3055" s="37"/>
      <c r="O3055" s="37"/>
      <c r="P3055" s="37"/>
      <c r="Q3055" s="37"/>
      <c r="R3055" s="37"/>
      <c r="S3055" s="37"/>
      <c r="T3055" s="37"/>
      <c r="U3055" s="37"/>
      <c r="V3055" s="37"/>
      <c r="W3055" s="37"/>
      <c r="X3055" s="37"/>
      <c r="Y3055" s="37"/>
      <c r="Z3055" s="37"/>
      <c r="AA3055" s="37"/>
      <c r="AB3055" s="37"/>
      <c r="AC3055" s="37"/>
      <c r="AD3055" s="37"/>
      <c r="AE3055" s="37"/>
      <c r="AF3055" s="37"/>
      <c r="AG3055" s="37"/>
      <c r="AH3055" s="37"/>
      <c r="AI3055" s="37"/>
      <c r="AJ3055" s="37"/>
      <c r="AK3055" s="37"/>
      <c r="AL3055" s="37"/>
      <c r="AM3055" s="37"/>
      <c r="AN3055" s="37"/>
      <c r="AO3055" s="37"/>
      <c r="AP3055" s="37"/>
      <c r="AQ3055" s="37"/>
      <c r="AR3055" s="37"/>
      <c r="AS3055" s="37"/>
      <c r="AT3055" s="37"/>
      <c r="AU3055" s="37"/>
      <c r="AV3055" s="37"/>
      <c r="AW3055" s="37"/>
      <c r="AX3055" s="37"/>
      <c r="AY3055" s="37"/>
      <c r="AZ3055" s="37"/>
      <c r="BA3055" s="37"/>
      <c r="BB3055" s="37"/>
      <c r="BC3055" s="37"/>
      <c r="BD3055" s="37"/>
      <c r="BE3055" s="37"/>
      <c r="BF3055" s="37"/>
      <c r="BG3055" s="37"/>
      <c r="BH3055" s="37"/>
      <c r="BI3055" s="37"/>
      <c r="BJ3055" s="37"/>
      <c r="BK3055" s="37"/>
      <c r="BL3055" s="37"/>
      <c r="BM3055" s="37"/>
      <c r="BN3055" s="37"/>
      <c r="BO3055" s="37"/>
      <c r="BP3055" s="37"/>
      <c r="BQ3055" s="37"/>
      <c r="BR3055" s="37"/>
      <c r="BS3055" s="37"/>
      <c r="BT3055" s="37"/>
      <c r="BU3055" s="37"/>
      <c r="BV3055" s="37"/>
      <c r="BW3055" s="37"/>
      <c r="BX3055" s="37"/>
      <c r="BY3055" s="37"/>
      <c r="BZ3055" s="37"/>
      <c r="CA3055" s="37"/>
      <c r="CB3055" s="37"/>
      <c r="CC3055" s="37"/>
      <c r="CD3055" s="37"/>
      <c r="CE3055" s="37"/>
      <c r="CF3055" s="37"/>
      <c r="CG3055" s="37"/>
      <c r="CH3055" s="37"/>
      <c r="CI3055" s="37"/>
      <c r="CJ3055" s="37"/>
      <c r="CK3055" s="37"/>
      <c r="CL3055" s="37"/>
      <c r="CM3055" s="37"/>
      <c r="CN3055" s="37"/>
      <c r="CO3055" s="37"/>
      <c r="CP3055" s="37"/>
      <c r="CQ3055" s="37"/>
      <c r="CR3055" s="37"/>
      <c r="CS3055" s="37"/>
      <c r="CT3055" s="37"/>
      <c r="CU3055" s="37"/>
      <c r="CV3055" s="37"/>
      <c r="CW3055" s="37"/>
      <c r="CX3055" s="37"/>
      <c r="CY3055" s="37"/>
      <c r="CZ3055" s="37"/>
      <c r="DA3055" s="37"/>
      <c r="DB3055" s="37"/>
      <c r="DC3055" s="37"/>
      <c r="DD3055" s="37"/>
      <c r="DE3055" s="37"/>
      <c r="DF3055" s="37"/>
      <c r="DG3055" s="37"/>
      <c r="DH3055" s="37"/>
      <c r="DI3055" s="37"/>
      <c r="DJ3055" s="37"/>
      <c r="DK3055" s="37"/>
      <c r="DL3055" s="37"/>
      <c r="DM3055" s="37"/>
      <c r="DN3055" s="37"/>
      <c r="DO3055" s="37"/>
      <c r="DP3055" s="37"/>
      <c r="DQ3055" s="37"/>
      <c r="DR3055" s="37"/>
      <c r="DS3055" s="37"/>
      <c r="DT3055" s="37"/>
      <c r="DU3055" s="37"/>
      <c r="DV3055" s="37"/>
      <c r="DW3055" s="37"/>
      <c r="DX3055" s="37"/>
      <c r="DY3055" s="37"/>
      <c r="DZ3055" s="37"/>
      <c r="EA3055" s="37"/>
      <c r="EB3055" s="37"/>
      <c r="EC3055" s="37"/>
      <c r="ED3055" s="37"/>
      <c r="EE3055" s="37"/>
      <c r="EF3055" s="37"/>
      <c r="EG3055" s="37"/>
      <c r="EH3055" s="37"/>
      <c r="EI3055" s="37"/>
      <c r="EJ3055" s="37"/>
      <c r="EK3055" s="37"/>
      <c r="EL3055" s="37"/>
      <c r="EM3055" s="37"/>
      <c r="EN3055" s="37"/>
      <c r="EO3055" s="37"/>
      <c r="EP3055" s="37"/>
      <c r="EQ3055" s="37"/>
      <c r="ER3055" s="37"/>
      <c r="ES3055" s="37"/>
      <c r="ET3055" s="37"/>
      <c r="EU3055" s="37"/>
      <c r="EV3055" s="37"/>
      <c r="EW3055" s="37"/>
      <c r="EX3055" s="37"/>
      <c r="EY3055" s="37"/>
      <c r="EZ3055" s="37"/>
      <c r="FA3055" s="37"/>
      <c r="FB3055" s="37"/>
      <c r="FC3055" s="37"/>
      <c r="FD3055" s="37"/>
      <c r="FE3055" s="37"/>
      <c r="FF3055" s="37"/>
      <c r="FG3055" s="37"/>
      <c r="FH3055" s="37"/>
      <c r="FI3055" s="37"/>
      <c r="FJ3055" s="37"/>
      <c r="FK3055" s="37"/>
      <c r="FL3055" s="37"/>
      <c r="FM3055" s="37"/>
      <c r="FN3055" s="37"/>
      <c r="FO3055" s="37"/>
      <c r="FP3055" s="37"/>
      <c r="FQ3055" s="37"/>
      <c r="FR3055" s="37"/>
      <c r="FS3055" s="37"/>
      <c r="FT3055" s="37"/>
      <c r="FU3055" s="37"/>
      <c r="FV3055" s="37"/>
      <c r="FW3055" s="37"/>
      <c r="FX3055" s="37"/>
      <c r="FY3055" s="37"/>
      <c r="FZ3055" s="37"/>
      <c r="GA3055" s="37"/>
      <c r="GB3055" s="37"/>
      <c r="GC3055" s="37"/>
      <c r="GD3055" s="37"/>
      <c r="GE3055" s="37"/>
      <c r="GF3055" s="37"/>
      <c r="GG3055" s="37"/>
      <c r="GH3055" s="37"/>
      <c r="GI3055" s="37"/>
      <c r="GJ3055" s="37"/>
      <c r="GK3055" s="37"/>
      <c r="GL3055" s="37"/>
      <c r="GM3055" s="37"/>
      <c r="GN3055" s="37"/>
      <c r="GO3055" s="37"/>
      <c r="GP3055" s="37"/>
      <c r="GQ3055" s="37"/>
      <c r="GR3055" s="37"/>
      <c r="GS3055" s="37"/>
      <c r="GT3055" s="37"/>
      <c r="GU3055" s="37"/>
      <c r="GV3055" s="37"/>
      <c r="GW3055" s="37"/>
      <c r="GX3055" s="37"/>
      <c r="GY3055" s="37"/>
      <c r="GZ3055" s="37"/>
      <c r="HA3055" s="37"/>
      <c r="HB3055" s="37"/>
      <c r="HC3055" s="37"/>
      <c r="HD3055" s="37"/>
      <c r="HE3055" s="37"/>
      <c r="HF3055" s="37"/>
      <c r="HG3055" s="37"/>
      <c r="HH3055" s="37"/>
      <c r="HI3055" s="37"/>
      <c r="HJ3055" s="37"/>
      <c r="HK3055" s="37"/>
      <c r="HL3055" s="37"/>
      <c r="HM3055" s="37"/>
      <c r="HN3055" s="37"/>
      <c r="HO3055" s="37"/>
      <c r="HP3055" s="37"/>
      <c r="HQ3055" s="37"/>
      <c r="HR3055" s="37"/>
      <c r="HS3055" s="37"/>
      <c r="HT3055" s="37"/>
      <c r="HU3055" s="37"/>
      <c r="HV3055" s="37"/>
      <c r="HW3055" s="37"/>
      <c r="HX3055" s="37"/>
      <c r="HY3055" s="37"/>
      <c r="HZ3055" s="37"/>
      <c r="IA3055" s="37"/>
      <c r="IB3055" s="37"/>
      <c r="IC3055" s="37"/>
      <c r="ID3055" s="37"/>
      <c r="IE3055" s="37"/>
      <c r="IF3055" s="37"/>
      <c r="IG3055" s="37"/>
      <c r="IH3055" s="37"/>
      <c r="II3055" s="37"/>
      <c r="IJ3055" s="37"/>
      <c r="IK3055" s="37"/>
      <c r="IL3055" s="37"/>
      <c r="IM3055" s="37"/>
      <c r="IN3055" s="37"/>
      <c r="IO3055" s="37"/>
      <c r="IP3055" s="37"/>
      <c r="IQ3055" s="37"/>
      <c r="IR3055" s="37"/>
      <c r="IS3055" s="37"/>
      <c r="IT3055" s="37"/>
      <c r="IU3055" s="37"/>
      <c r="IV3055" s="37"/>
      <c r="IW3055" s="37"/>
      <c r="IX3055" s="37"/>
      <c r="IY3055" s="37"/>
      <c r="IZ3055" s="37"/>
      <c r="JA3055" s="37"/>
      <c r="JB3055" s="37"/>
      <c r="JC3055" s="37"/>
      <c r="JD3055" s="37"/>
      <c r="JE3055" s="37"/>
      <c r="JF3055" s="37"/>
      <c r="JG3055" s="37"/>
      <c r="JH3055" s="37"/>
      <c r="JI3055" s="37"/>
      <c r="JJ3055" s="37"/>
      <c r="JK3055" s="37"/>
      <c r="JL3055" s="37"/>
      <c r="JM3055" s="37"/>
      <c r="JN3055" s="37"/>
      <c r="JO3055" s="37"/>
      <c r="JP3055" s="37"/>
      <c r="JQ3055" s="37"/>
      <c r="JR3055" s="37"/>
      <c r="JS3055" s="37"/>
      <c r="JT3055" s="37"/>
      <c r="JU3055" s="37"/>
      <c r="JV3055" s="37"/>
      <c r="JW3055" s="37"/>
      <c r="JX3055" s="37"/>
      <c r="JY3055" s="37"/>
      <c r="JZ3055" s="37"/>
      <c r="KA3055" s="37"/>
      <c r="KB3055" s="37"/>
      <c r="KC3055" s="37"/>
      <c r="KD3055" s="37"/>
      <c r="KE3055" s="37"/>
      <c r="KF3055" s="37"/>
      <c r="KG3055" s="37"/>
      <c r="KH3055" s="37"/>
      <c r="KI3055" s="37"/>
      <c r="KJ3055" s="37"/>
      <c r="KK3055" s="37"/>
      <c r="KL3055" s="37"/>
      <c r="KM3055" s="37"/>
      <c r="KN3055" s="37"/>
      <c r="KO3055" s="37"/>
      <c r="KP3055" s="37"/>
      <c r="KQ3055" s="37"/>
      <c r="KR3055" s="37"/>
      <c r="KS3055" s="37"/>
      <c r="KT3055" s="37"/>
      <c r="KU3055" s="37"/>
      <c r="KV3055" s="37"/>
      <c r="KW3055" s="37"/>
      <c r="KX3055" s="37"/>
      <c r="KY3055" s="37"/>
      <c r="KZ3055" s="37"/>
      <c r="LA3055" s="37"/>
      <c r="LB3055" s="37"/>
      <c r="LC3055" s="37"/>
      <c r="LD3055" s="37"/>
      <c r="LE3055" s="37"/>
      <c r="LF3055" s="37"/>
      <c r="LG3055" s="37"/>
      <c r="LH3055" s="37"/>
      <c r="LI3055" s="37"/>
      <c r="LJ3055" s="37"/>
      <c r="LK3055" s="37"/>
      <c r="LL3055" s="37"/>
      <c r="LM3055" s="37"/>
      <c r="LN3055" s="37"/>
      <c r="LO3055" s="37"/>
      <c r="LP3055" s="37"/>
      <c r="LQ3055" s="37"/>
      <c r="LR3055" s="37"/>
      <c r="LS3055" s="37"/>
      <c r="LT3055" s="37"/>
      <c r="LU3055" s="37"/>
      <c r="LV3055" s="37"/>
      <c r="LW3055" s="37"/>
      <c r="LX3055" s="37"/>
      <c r="LY3055" s="37"/>
      <c r="LZ3055" s="37"/>
      <c r="MA3055" s="37"/>
      <c r="MB3055" s="37"/>
      <c r="MC3055" s="37"/>
      <c r="MD3055" s="37"/>
      <c r="ME3055" s="37"/>
      <c r="MF3055" s="37"/>
      <c r="MG3055" s="37"/>
      <c r="MH3055" s="37"/>
      <c r="MI3055" s="37"/>
      <c r="MJ3055" s="37"/>
      <c r="MK3055" s="37"/>
      <c r="ML3055" s="37"/>
      <c r="MM3055" s="37"/>
      <c r="MN3055" s="37"/>
      <c r="MO3055" s="37"/>
      <c r="MP3055" s="37"/>
      <c r="MQ3055" s="37"/>
      <c r="MR3055" s="37"/>
      <c r="MS3055" s="37"/>
      <c r="MT3055" s="37"/>
      <c r="MU3055" s="37"/>
      <c r="MV3055" s="37"/>
      <c r="MW3055" s="37"/>
      <c r="MX3055" s="37"/>
      <c r="MY3055" s="37"/>
      <c r="MZ3055" s="37"/>
      <c r="NA3055" s="37"/>
      <c r="NB3055" s="37"/>
      <c r="NC3055" s="37"/>
      <c r="ND3055" s="37"/>
      <c r="NE3055" s="37"/>
      <c r="NF3055" s="37"/>
      <c r="NG3055" s="37"/>
      <c r="NH3055" s="37"/>
      <c r="NI3055" s="37"/>
      <c r="NJ3055" s="37"/>
      <c r="NK3055" s="37"/>
      <c r="NL3055" s="37"/>
      <c r="NM3055" s="37"/>
      <c r="NN3055" s="37"/>
      <c r="NO3055" s="37"/>
      <c r="NP3055" s="37"/>
      <c r="NQ3055" s="37"/>
      <c r="NR3055" s="37"/>
      <c r="NS3055" s="37"/>
      <c r="NT3055" s="37"/>
      <c r="NU3055" s="37"/>
      <c r="NV3055" s="37"/>
      <c r="NW3055" s="37"/>
      <c r="NX3055" s="37"/>
      <c r="NY3055" s="37"/>
      <c r="NZ3055" s="37"/>
      <c r="OA3055" s="37"/>
      <c r="OB3055" s="37"/>
      <c r="OC3055" s="37"/>
      <c r="OD3055" s="37"/>
      <c r="OE3055" s="37"/>
      <c r="OF3055" s="37"/>
      <c r="OG3055" s="37"/>
      <c r="OH3055" s="37"/>
      <c r="OI3055" s="37"/>
      <c r="OJ3055" s="37"/>
      <c r="OK3055" s="37"/>
      <c r="OL3055" s="37"/>
      <c r="OM3055" s="37"/>
      <c r="ON3055" s="37"/>
      <c r="OO3055" s="37"/>
      <c r="OP3055" s="37"/>
      <c r="OQ3055" s="37"/>
      <c r="OR3055" s="37"/>
      <c r="OS3055" s="37"/>
      <c r="OT3055" s="37"/>
      <c r="OU3055" s="37"/>
      <c r="OV3055" s="37"/>
      <c r="OW3055" s="37"/>
      <c r="OX3055" s="37"/>
      <c r="OY3055" s="37"/>
      <c r="OZ3055" s="37"/>
      <c r="PA3055" s="37"/>
      <c r="PB3055" s="37"/>
      <c r="PC3055" s="37"/>
      <c r="PD3055" s="37"/>
      <c r="PE3055" s="37"/>
      <c r="PF3055" s="37"/>
      <c r="PG3055" s="37"/>
      <c r="PH3055" s="37"/>
      <c r="PI3055" s="37"/>
      <c r="PJ3055" s="37"/>
      <c r="PK3055" s="37"/>
      <c r="PL3055" s="37"/>
      <c r="PM3055" s="37"/>
      <c r="PN3055" s="37"/>
      <c r="PO3055" s="37"/>
      <c r="PP3055" s="37"/>
      <c r="PQ3055" s="37"/>
      <c r="PR3055" s="37"/>
      <c r="PS3055" s="37"/>
      <c r="PT3055" s="37"/>
      <c r="PU3055" s="37"/>
      <c r="PV3055" s="37"/>
      <c r="PW3055" s="37"/>
      <c r="PX3055" s="37"/>
      <c r="PY3055" s="37"/>
      <c r="PZ3055" s="37"/>
      <c r="QA3055" s="37"/>
      <c r="QB3055" s="37"/>
      <c r="QC3055" s="37"/>
      <c r="QD3055" s="37"/>
      <c r="QE3055" s="37"/>
      <c r="QF3055" s="37"/>
      <c r="QG3055" s="37"/>
      <c r="QH3055" s="37"/>
      <c r="QI3055" s="37"/>
      <c r="QJ3055" s="37"/>
      <c r="QK3055" s="37"/>
      <c r="QL3055" s="37"/>
      <c r="QM3055" s="37"/>
      <c r="QN3055" s="37"/>
      <c r="QO3055" s="37"/>
      <c r="QP3055" s="37"/>
      <c r="QQ3055" s="37"/>
      <c r="QR3055" s="37"/>
      <c r="QS3055" s="37"/>
      <c r="QT3055" s="37"/>
      <c r="QU3055" s="37"/>
      <c r="QV3055" s="37"/>
      <c r="QW3055" s="37"/>
      <c r="QX3055" s="37"/>
      <c r="QY3055" s="37"/>
      <c r="QZ3055" s="37"/>
      <c r="RA3055" s="37"/>
      <c r="RB3055" s="37"/>
      <c r="RC3055" s="37"/>
      <c r="RD3055" s="37"/>
      <c r="RE3055" s="37"/>
      <c r="RF3055" s="37"/>
      <c r="RG3055" s="37"/>
      <c r="RH3055" s="37"/>
      <c r="RI3055" s="37"/>
      <c r="RJ3055" s="37"/>
      <c r="RK3055" s="37"/>
      <c r="RL3055" s="37"/>
      <c r="RM3055" s="37"/>
      <c r="RN3055" s="37"/>
      <c r="RO3055" s="37"/>
      <c r="RP3055" s="37"/>
      <c r="RQ3055" s="37"/>
      <c r="RR3055" s="37"/>
      <c r="RS3055" s="37"/>
      <c r="RT3055" s="37"/>
      <c r="RU3055" s="37"/>
      <c r="RV3055" s="37"/>
      <c r="RW3055" s="37"/>
      <c r="RX3055" s="37"/>
      <c r="RY3055" s="37"/>
      <c r="RZ3055" s="37"/>
      <c r="SA3055" s="37"/>
      <c r="SB3055" s="37"/>
      <c r="SC3055" s="37"/>
      <c r="SD3055" s="37"/>
      <c r="SE3055" s="37"/>
      <c r="SF3055" s="37"/>
    </row>
    <row r="3056" spans="1:500">
      <c r="A3056" s="37"/>
      <c r="B3056" s="37"/>
      <c r="C3056" s="37"/>
      <c r="D3056" s="37"/>
      <c r="E3056" s="37"/>
      <c r="F3056" s="37"/>
      <c r="G3056" s="37"/>
      <c r="H3056" s="37"/>
      <c r="I3056" s="37"/>
      <c r="J3056" s="37"/>
      <c r="K3056" s="37"/>
      <c r="L3056" s="37"/>
      <c r="M3056" s="37"/>
      <c r="N3056" s="37"/>
      <c r="O3056" s="37"/>
      <c r="P3056" s="37"/>
      <c r="Q3056" s="37"/>
      <c r="R3056" s="37"/>
      <c r="S3056" s="37"/>
      <c r="T3056" s="37"/>
      <c r="U3056" s="37"/>
      <c r="V3056" s="37"/>
      <c r="W3056" s="37"/>
      <c r="X3056" s="37"/>
      <c r="Y3056" s="37"/>
      <c r="Z3056" s="37"/>
      <c r="AA3056" s="37"/>
      <c r="AB3056" s="37"/>
      <c r="AC3056" s="37"/>
      <c r="AD3056" s="37"/>
      <c r="AE3056" s="37"/>
      <c r="AF3056" s="37"/>
      <c r="AG3056" s="37"/>
      <c r="AH3056" s="37"/>
      <c r="AI3056" s="37"/>
      <c r="AJ3056" s="37"/>
      <c r="AK3056" s="37"/>
      <c r="AL3056" s="37"/>
      <c r="AM3056" s="37"/>
      <c r="AN3056" s="37"/>
      <c r="AO3056" s="37"/>
      <c r="AP3056" s="37"/>
      <c r="AQ3056" s="37"/>
      <c r="AR3056" s="37"/>
      <c r="AS3056" s="37"/>
      <c r="AT3056" s="37"/>
      <c r="AU3056" s="37"/>
      <c r="AV3056" s="37"/>
      <c r="AW3056" s="37"/>
      <c r="AX3056" s="37"/>
      <c r="AY3056" s="37"/>
      <c r="AZ3056" s="37"/>
      <c r="BA3056" s="37"/>
      <c r="BB3056" s="37"/>
      <c r="BC3056" s="37"/>
      <c r="BD3056" s="37"/>
      <c r="BE3056" s="37"/>
      <c r="BF3056" s="37"/>
      <c r="BG3056" s="37"/>
      <c r="BH3056" s="37"/>
      <c r="BI3056" s="37"/>
      <c r="BJ3056" s="37"/>
      <c r="BK3056" s="37"/>
      <c r="BL3056" s="37"/>
      <c r="BM3056" s="37"/>
      <c r="BN3056" s="37"/>
      <c r="BO3056" s="37"/>
      <c r="BP3056" s="37"/>
      <c r="BQ3056" s="37"/>
      <c r="BR3056" s="37"/>
      <c r="BS3056" s="37"/>
      <c r="BT3056" s="37"/>
      <c r="BU3056" s="37"/>
      <c r="BV3056" s="37"/>
      <c r="BW3056" s="37"/>
      <c r="BX3056" s="37"/>
      <c r="BY3056" s="37"/>
      <c r="BZ3056" s="37"/>
      <c r="CA3056" s="37"/>
      <c r="CB3056" s="37"/>
      <c r="CC3056" s="37"/>
      <c r="CD3056" s="37"/>
      <c r="CE3056" s="37"/>
      <c r="CF3056" s="37"/>
      <c r="CG3056" s="37"/>
      <c r="CH3056" s="37"/>
      <c r="CI3056" s="37"/>
      <c r="CJ3056" s="37"/>
      <c r="CK3056" s="37"/>
      <c r="CL3056" s="37"/>
      <c r="CM3056" s="37"/>
      <c r="CN3056" s="37"/>
      <c r="CO3056" s="37"/>
      <c r="CP3056" s="37"/>
      <c r="CQ3056" s="37"/>
      <c r="CR3056" s="37"/>
      <c r="CS3056" s="37"/>
      <c r="CT3056" s="37"/>
      <c r="CU3056" s="37"/>
      <c r="CV3056" s="37"/>
      <c r="CW3056" s="37"/>
      <c r="CX3056" s="37"/>
      <c r="CY3056" s="37"/>
      <c r="CZ3056" s="37"/>
      <c r="DA3056" s="37"/>
      <c r="DB3056" s="37"/>
      <c r="DC3056" s="37"/>
      <c r="DD3056" s="37"/>
      <c r="DE3056" s="37"/>
      <c r="DF3056" s="37"/>
      <c r="DG3056" s="37"/>
      <c r="DH3056" s="37"/>
      <c r="DI3056" s="37"/>
      <c r="DJ3056" s="37"/>
      <c r="DK3056" s="37"/>
      <c r="DL3056" s="37"/>
      <c r="DM3056" s="37"/>
      <c r="DN3056" s="37"/>
      <c r="DO3056" s="37"/>
      <c r="DP3056" s="37"/>
      <c r="DQ3056" s="37"/>
      <c r="DR3056" s="37"/>
      <c r="DS3056" s="37"/>
      <c r="DT3056" s="37"/>
      <c r="DU3056" s="37"/>
      <c r="DV3056" s="37"/>
      <c r="DW3056" s="37"/>
      <c r="DX3056" s="37"/>
      <c r="DY3056" s="37"/>
      <c r="DZ3056" s="37"/>
      <c r="EA3056" s="37"/>
      <c r="EB3056" s="37"/>
      <c r="EC3056" s="37"/>
      <c r="ED3056" s="37"/>
      <c r="EE3056" s="37"/>
      <c r="EF3056" s="37"/>
      <c r="EG3056" s="37"/>
      <c r="EH3056" s="37"/>
      <c r="EI3056" s="37"/>
      <c r="EJ3056" s="37"/>
      <c r="EK3056" s="37"/>
      <c r="EL3056" s="37"/>
      <c r="EM3056" s="37"/>
      <c r="EN3056" s="37"/>
      <c r="EO3056" s="37"/>
      <c r="EP3056" s="37"/>
      <c r="EQ3056" s="37"/>
      <c r="ER3056" s="37"/>
      <c r="ES3056" s="37"/>
      <c r="ET3056" s="37"/>
      <c r="EU3056" s="37"/>
      <c r="EV3056" s="37"/>
      <c r="EW3056" s="37"/>
      <c r="EX3056" s="37"/>
      <c r="EY3056" s="37"/>
      <c r="EZ3056" s="37"/>
      <c r="FA3056" s="37"/>
      <c r="FB3056" s="37"/>
      <c r="FC3056" s="37"/>
      <c r="FD3056" s="37"/>
      <c r="FE3056" s="37"/>
      <c r="FF3056" s="37"/>
      <c r="FG3056" s="37"/>
      <c r="FH3056" s="37"/>
      <c r="FI3056" s="37"/>
      <c r="FJ3056" s="37"/>
      <c r="FK3056" s="37"/>
      <c r="FL3056" s="37"/>
      <c r="FM3056" s="37"/>
      <c r="FN3056" s="37"/>
      <c r="FO3056" s="37"/>
      <c r="FP3056" s="37"/>
      <c r="FQ3056" s="37"/>
      <c r="FR3056" s="37"/>
      <c r="FS3056" s="37"/>
      <c r="FT3056" s="37"/>
      <c r="FU3056" s="37"/>
      <c r="FV3056" s="37"/>
      <c r="FW3056" s="37"/>
      <c r="FX3056" s="37"/>
      <c r="FY3056" s="37"/>
      <c r="FZ3056" s="37"/>
      <c r="GA3056" s="37"/>
      <c r="GB3056" s="37"/>
      <c r="GC3056" s="37"/>
      <c r="GD3056" s="37"/>
      <c r="GE3056" s="37"/>
      <c r="GF3056" s="37"/>
      <c r="GG3056" s="37"/>
      <c r="GH3056" s="37"/>
      <c r="GI3056" s="37"/>
      <c r="GJ3056" s="37"/>
      <c r="GK3056" s="37"/>
      <c r="GL3056" s="37"/>
      <c r="GM3056" s="37"/>
      <c r="GN3056" s="37"/>
      <c r="GO3056" s="37"/>
      <c r="GP3056" s="37"/>
      <c r="GQ3056" s="37"/>
      <c r="GR3056" s="37"/>
      <c r="GS3056" s="37"/>
      <c r="GT3056" s="37"/>
      <c r="GU3056" s="37"/>
      <c r="GV3056" s="37"/>
      <c r="GW3056" s="37"/>
      <c r="GX3056" s="37"/>
      <c r="GY3056" s="37"/>
      <c r="GZ3056" s="37"/>
      <c r="HA3056" s="37"/>
      <c r="HB3056" s="37"/>
      <c r="HC3056" s="37"/>
      <c r="HD3056" s="37"/>
      <c r="HE3056" s="37"/>
      <c r="HF3056" s="37"/>
      <c r="HG3056" s="37"/>
      <c r="HH3056" s="37"/>
      <c r="HI3056" s="37"/>
      <c r="HJ3056" s="37"/>
      <c r="HK3056" s="37"/>
      <c r="HL3056" s="37"/>
      <c r="HM3056" s="37"/>
      <c r="HN3056" s="37"/>
      <c r="HO3056" s="37"/>
      <c r="HP3056" s="37"/>
      <c r="HQ3056" s="37"/>
      <c r="HR3056" s="37"/>
      <c r="HS3056" s="37"/>
      <c r="HT3056" s="37"/>
      <c r="HU3056" s="37"/>
      <c r="HV3056" s="37"/>
      <c r="HW3056" s="37"/>
      <c r="HX3056" s="37"/>
      <c r="HY3056" s="37"/>
      <c r="HZ3056" s="37"/>
      <c r="IA3056" s="37"/>
      <c r="IB3056" s="37"/>
      <c r="IC3056" s="37"/>
      <c r="ID3056" s="37"/>
      <c r="IE3056" s="37"/>
      <c r="IF3056" s="37"/>
      <c r="IG3056" s="37"/>
      <c r="IH3056" s="37"/>
      <c r="II3056" s="37"/>
      <c r="IJ3056" s="37"/>
      <c r="IK3056" s="37"/>
      <c r="IL3056" s="37"/>
      <c r="IM3056" s="37"/>
      <c r="IN3056" s="37"/>
      <c r="IO3056" s="37"/>
      <c r="IP3056" s="37"/>
      <c r="IQ3056" s="37"/>
      <c r="IR3056" s="37"/>
      <c r="IS3056" s="37"/>
      <c r="IT3056" s="37"/>
      <c r="IU3056" s="37"/>
      <c r="IV3056" s="37"/>
      <c r="IW3056" s="37"/>
      <c r="IX3056" s="37"/>
      <c r="IY3056" s="37"/>
      <c r="IZ3056" s="37"/>
      <c r="JA3056" s="37"/>
      <c r="JB3056" s="37"/>
      <c r="JC3056" s="37"/>
      <c r="JD3056" s="37"/>
      <c r="JE3056" s="37"/>
      <c r="JF3056" s="37"/>
      <c r="JG3056" s="37"/>
      <c r="JH3056" s="37"/>
      <c r="JI3056" s="37"/>
      <c r="JJ3056" s="37"/>
      <c r="JK3056" s="37"/>
      <c r="JL3056" s="37"/>
      <c r="JM3056" s="37"/>
      <c r="JN3056" s="37"/>
      <c r="JO3056" s="37"/>
      <c r="JP3056" s="37"/>
      <c r="JQ3056" s="37"/>
      <c r="JR3056" s="37"/>
      <c r="JS3056" s="37"/>
      <c r="JT3056" s="37"/>
      <c r="JU3056" s="37"/>
      <c r="JV3056" s="37"/>
      <c r="JW3056" s="37"/>
      <c r="JX3056" s="37"/>
      <c r="JY3056" s="37"/>
      <c r="JZ3056" s="37"/>
      <c r="KA3056" s="37"/>
      <c r="KB3056" s="37"/>
      <c r="KC3056" s="37"/>
      <c r="KD3056" s="37"/>
      <c r="KE3056" s="37"/>
      <c r="KF3056" s="37"/>
      <c r="KG3056" s="37"/>
      <c r="KH3056" s="37"/>
      <c r="KI3056" s="37"/>
      <c r="KJ3056" s="37"/>
      <c r="KK3056" s="37"/>
      <c r="KL3056" s="37"/>
      <c r="KM3056" s="37"/>
      <c r="KN3056" s="37"/>
      <c r="KO3056" s="37"/>
      <c r="KP3056" s="37"/>
      <c r="KQ3056" s="37"/>
      <c r="KR3056" s="37"/>
      <c r="KS3056" s="37"/>
      <c r="KT3056" s="37"/>
      <c r="KU3056" s="37"/>
      <c r="KV3056" s="37"/>
      <c r="KW3056" s="37"/>
      <c r="KX3056" s="37"/>
      <c r="KY3056" s="37"/>
      <c r="KZ3056" s="37"/>
      <c r="LA3056" s="37"/>
      <c r="LB3056" s="37"/>
      <c r="LC3056" s="37"/>
      <c r="LD3056" s="37"/>
      <c r="LE3056" s="37"/>
      <c r="LF3056" s="37"/>
      <c r="LG3056" s="37"/>
      <c r="LH3056" s="37"/>
      <c r="LI3056" s="37"/>
      <c r="LJ3056" s="37"/>
      <c r="LK3056" s="37"/>
      <c r="LL3056" s="37"/>
      <c r="LM3056" s="37"/>
      <c r="LN3056" s="37"/>
      <c r="LO3056" s="37"/>
      <c r="LP3056" s="37"/>
      <c r="LQ3056" s="37"/>
      <c r="LR3056" s="37"/>
      <c r="LS3056" s="37"/>
      <c r="LT3056" s="37"/>
      <c r="LU3056" s="37"/>
      <c r="LV3056" s="37"/>
      <c r="LW3056" s="37"/>
      <c r="LX3056" s="37"/>
      <c r="LY3056" s="37"/>
      <c r="LZ3056" s="37"/>
      <c r="MA3056" s="37"/>
      <c r="MB3056" s="37"/>
      <c r="MC3056" s="37"/>
      <c r="MD3056" s="37"/>
      <c r="ME3056" s="37"/>
      <c r="MF3056" s="37"/>
      <c r="MG3056" s="37"/>
      <c r="MH3056" s="37"/>
      <c r="MI3056" s="37"/>
      <c r="MJ3056" s="37"/>
      <c r="MK3056" s="37"/>
      <c r="ML3056" s="37"/>
      <c r="MM3056" s="37"/>
      <c r="MN3056" s="37"/>
      <c r="MO3056" s="37"/>
      <c r="MP3056" s="37"/>
      <c r="MQ3056" s="37"/>
      <c r="MR3056" s="37"/>
      <c r="MS3056" s="37"/>
      <c r="MT3056" s="37"/>
      <c r="MU3056" s="37"/>
      <c r="MV3056" s="37"/>
      <c r="MW3056" s="37"/>
      <c r="MX3056" s="37"/>
      <c r="MY3056" s="37"/>
      <c r="MZ3056" s="37"/>
      <c r="NA3056" s="37"/>
      <c r="NB3056" s="37"/>
      <c r="NC3056" s="37"/>
      <c r="ND3056" s="37"/>
      <c r="NE3056" s="37"/>
      <c r="NF3056" s="37"/>
      <c r="NG3056" s="37"/>
      <c r="NH3056" s="37"/>
      <c r="NI3056" s="37"/>
      <c r="NJ3056" s="37"/>
      <c r="NK3056" s="37"/>
      <c r="NL3056" s="37"/>
      <c r="NM3056" s="37"/>
      <c r="NN3056" s="37"/>
      <c r="NO3056" s="37"/>
      <c r="NP3056" s="37"/>
      <c r="NQ3056" s="37"/>
      <c r="NR3056" s="37"/>
      <c r="NS3056" s="37"/>
      <c r="NT3056" s="37"/>
      <c r="NU3056" s="37"/>
      <c r="NV3056" s="37"/>
      <c r="NW3056" s="37"/>
      <c r="NX3056" s="37"/>
      <c r="NY3056" s="37"/>
      <c r="NZ3056" s="37"/>
      <c r="OA3056" s="37"/>
      <c r="OB3056" s="37"/>
      <c r="OC3056" s="37"/>
      <c r="OD3056" s="37"/>
      <c r="OE3056" s="37"/>
      <c r="OF3056" s="37"/>
      <c r="OG3056" s="37"/>
      <c r="OH3056" s="37"/>
      <c r="OI3056" s="37"/>
      <c r="OJ3056" s="37"/>
      <c r="OK3056" s="37"/>
      <c r="OL3056" s="37"/>
      <c r="OM3056" s="37"/>
      <c r="ON3056" s="37"/>
      <c r="OO3056" s="37"/>
      <c r="OP3056" s="37"/>
      <c r="OQ3056" s="37"/>
      <c r="OR3056" s="37"/>
      <c r="OS3056" s="37"/>
      <c r="OT3056" s="37"/>
      <c r="OU3056" s="37"/>
      <c r="OV3056" s="37"/>
      <c r="OW3056" s="37"/>
      <c r="OX3056" s="37"/>
      <c r="OY3056" s="37"/>
      <c r="OZ3056" s="37"/>
      <c r="PA3056" s="37"/>
      <c r="PB3056" s="37"/>
      <c r="PC3056" s="37"/>
      <c r="PD3056" s="37"/>
      <c r="PE3056" s="37"/>
      <c r="PF3056" s="37"/>
      <c r="PG3056" s="37"/>
      <c r="PH3056" s="37"/>
      <c r="PI3056" s="37"/>
      <c r="PJ3056" s="37"/>
      <c r="PK3056" s="37"/>
      <c r="PL3056" s="37"/>
      <c r="PM3056" s="37"/>
      <c r="PN3056" s="37"/>
      <c r="PO3056" s="37"/>
      <c r="PP3056" s="37"/>
      <c r="PQ3056" s="37"/>
      <c r="PR3056" s="37"/>
      <c r="PS3056" s="37"/>
      <c r="PT3056" s="37"/>
      <c r="PU3056" s="37"/>
      <c r="PV3056" s="37"/>
      <c r="PW3056" s="37"/>
      <c r="PX3056" s="37"/>
      <c r="PY3056" s="37"/>
      <c r="PZ3056" s="37"/>
      <c r="QA3056" s="37"/>
      <c r="QB3056" s="37"/>
      <c r="QC3056" s="37"/>
      <c r="QD3056" s="37"/>
      <c r="QE3056" s="37"/>
      <c r="QF3056" s="37"/>
      <c r="QG3056" s="37"/>
      <c r="QH3056" s="37"/>
      <c r="QI3056" s="37"/>
      <c r="QJ3056" s="37"/>
      <c r="QK3056" s="37"/>
      <c r="QL3056" s="37"/>
      <c r="QM3056" s="37"/>
      <c r="QN3056" s="37"/>
      <c r="QO3056" s="37"/>
      <c r="QP3056" s="37"/>
      <c r="QQ3056" s="37"/>
      <c r="QR3056" s="37"/>
      <c r="QS3056" s="37"/>
      <c r="QT3056" s="37"/>
      <c r="QU3056" s="37"/>
      <c r="QV3056" s="37"/>
      <c r="QW3056" s="37"/>
      <c r="QX3056" s="37"/>
      <c r="QY3056" s="37"/>
      <c r="QZ3056" s="37"/>
      <c r="RA3056" s="37"/>
      <c r="RB3056" s="37"/>
      <c r="RC3056" s="37"/>
      <c r="RD3056" s="37"/>
      <c r="RE3056" s="37"/>
      <c r="RF3056" s="37"/>
      <c r="RG3056" s="37"/>
      <c r="RH3056" s="37"/>
      <c r="RI3056" s="37"/>
      <c r="RJ3056" s="37"/>
      <c r="RK3056" s="37"/>
      <c r="RL3056" s="37"/>
      <c r="RM3056" s="37"/>
      <c r="RN3056" s="37"/>
      <c r="RO3056" s="37"/>
      <c r="RP3056" s="37"/>
      <c r="RQ3056" s="37"/>
      <c r="RR3056" s="37"/>
      <c r="RS3056" s="37"/>
      <c r="RT3056" s="37"/>
      <c r="RU3056" s="37"/>
      <c r="RV3056" s="37"/>
      <c r="RW3056" s="37"/>
      <c r="RX3056" s="37"/>
      <c r="RY3056" s="37"/>
      <c r="RZ3056" s="37"/>
      <c r="SA3056" s="37"/>
      <c r="SB3056" s="37"/>
      <c r="SC3056" s="37"/>
      <c r="SD3056" s="37"/>
      <c r="SE3056" s="37"/>
      <c r="SF3056" s="37"/>
    </row>
    <row r="3057" spans="1:500">
      <c r="A3057" s="37"/>
      <c r="B3057" s="37"/>
      <c r="C3057" s="37"/>
      <c r="D3057" s="37"/>
      <c r="E3057" s="37"/>
      <c r="F3057" s="37"/>
      <c r="G3057" s="37"/>
      <c r="H3057" s="37"/>
      <c r="I3057" s="37"/>
      <c r="J3057" s="37"/>
      <c r="K3057" s="37"/>
      <c r="L3057" s="37"/>
      <c r="M3057" s="37"/>
      <c r="N3057" s="37"/>
      <c r="O3057" s="37"/>
      <c r="P3057" s="37"/>
      <c r="Q3057" s="37"/>
      <c r="R3057" s="37"/>
      <c r="S3057" s="37"/>
      <c r="T3057" s="37"/>
      <c r="U3057" s="37"/>
      <c r="V3057" s="37"/>
      <c r="W3057" s="37"/>
      <c r="X3057" s="37"/>
      <c r="Y3057" s="37"/>
      <c r="Z3057" s="37"/>
      <c r="AA3057" s="37"/>
      <c r="AB3057" s="37"/>
      <c r="AC3057" s="37"/>
      <c r="AD3057" s="37"/>
      <c r="AE3057" s="37"/>
      <c r="AF3057" s="37"/>
      <c r="AG3057" s="37"/>
      <c r="AH3057" s="37"/>
      <c r="AI3057" s="37"/>
      <c r="AJ3057" s="37"/>
      <c r="AK3057" s="37"/>
      <c r="AL3057" s="37"/>
      <c r="AM3057" s="37"/>
      <c r="AN3057" s="37"/>
      <c r="AO3057" s="37"/>
      <c r="AP3057" s="37"/>
      <c r="AQ3057" s="37"/>
      <c r="AR3057" s="37"/>
      <c r="AS3057" s="37"/>
      <c r="AT3057" s="37"/>
      <c r="AU3057" s="37"/>
      <c r="AV3057" s="37"/>
      <c r="AW3057" s="37"/>
      <c r="AX3057" s="37"/>
      <c r="AY3057" s="37"/>
      <c r="AZ3057" s="37"/>
      <c r="BA3057" s="37"/>
      <c r="BB3057" s="37"/>
      <c r="BC3057" s="37"/>
      <c r="BD3057" s="37"/>
      <c r="BE3057" s="37"/>
      <c r="BF3057" s="37"/>
      <c r="BG3057" s="37"/>
      <c r="BH3057" s="37"/>
      <c r="BI3057" s="37"/>
      <c r="BJ3057" s="37"/>
      <c r="BK3057" s="37"/>
      <c r="BL3057" s="37"/>
      <c r="BM3057" s="37"/>
      <c r="BN3057" s="37"/>
      <c r="BO3057" s="37"/>
      <c r="BP3057" s="37"/>
      <c r="BQ3057" s="37"/>
      <c r="BR3057" s="37"/>
      <c r="BS3057" s="37"/>
      <c r="BT3057" s="37"/>
      <c r="BU3057" s="37"/>
      <c r="BV3057" s="37"/>
      <c r="BW3057" s="37"/>
      <c r="BX3057" s="37"/>
      <c r="BY3057" s="37"/>
      <c r="BZ3057" s="37"/>
      <c r="CA3057" s="37"/>
      <c r="CB3057" s="37"/>
      <c r="CC3057" s="37"/>
      <c r="CD3057" s="37"/>
      <c r="CE3057" s="37"/>
      <c r="CF3057" s="37"/>
      <c r="CG3057" s="37"/>
      <c r="CH3057" s="37"/>
      <c r="CI3057" s="37"/>
      <c r="CJ3057" s="37"/>
      <c r="CK3057" s="37"/>
      <c r="CL3057" s="37"/>
      <c r="CM3057" s="37"/>
      <c r="CN3057" s="37"/>
      <c r="CO3057" s="37"/>
      <c r="CP3057" s="37"/>
      <c r="CQ3057" s="37"/>
      <c r="CR3057" s="37"/>
      <c r="CS3057" s="37"/>
      <c r="CT3057" s="37"/>
      <c r="CU3057" s="37"/>
      <c r="CV3057" s="37"/>
      <c r="CW3057" s="37"/>
      <c r="CX3057" s="37"/>
      <c r="CY3057" s="37"/>
      <c r="CZ3057" s="37"/>
      <c r="DA3057" s="37"/>
      <c r="DB3057" s="37"/>
      <c r="DC3057" s="37"/>
      <c r="DD3057" s="37"/>
      <c r="DE3057" s="37"/>
      <c r="DF3057" s="37"/>
      <c r="DG3057" s="37"/>
      <c r="DH3057" s="37"/>
      <c r="DI3057" s="37"/>
      <c r="DJ3057" s="37"/>
      <c r="DK3057" s="37"/>
      <c r="DL3057" s="37"/>
      <c r="DM3057" s="37"/>
      <c r="DN3057" s="37"/>
      <c r="DO3057" s="37"/>
      <c r="DP3057" s="37"/>
      <c r="DQ3057" s="37"/>
      <c r="DR3057" s="37"/>
      <c r="DS3057" s="37"/>
      <c r="DT3057" s="37"/>
      <c r="DU3057" s="37"/>
      <c r="DV3057" s="37"/>
      <c r="DW3057" s="37"/>
      <c r="DX3057" s="37"/>
      <c r="DY3057" s="37"/>
      <c r="DZ3057" s="37"/>
      <c r="EA3057" s="37"/>
      <c r="EB3057" s="37"/>
      <c r="EC3057" s="37"/>
      <c r="ED3057" s="37"/>
      <c r="EE3057" s="37"/>
      <c r="EF3057" s="37"/>
      <c r="EG3057" s="37"/>
      <c r="EH3057" s="37"/>
      <c r="EI3057" s="37"/>
      <c r="EJ3057" s="37"/>
      <c r="EK3057" s="37"/>
      <c r="EL3057" s="37"/>
      <c r="EM3057" s="37"/>
      <c r="EN3057" s="37"/>
      <c r="EO3057" s="37"/>
      <c r="EP3057" s="37"/>
      <c r="EQ3057" s="37"/>
      <c r="ER3057" s="37"/>
      <c r="ES3057" s="37"/>
      <c r="ET3057" s="37"/>
      <c r="EU3057" s="37"/>
      <c r="EV3057" s="37"/>
      <c r="EW3057" s="37"/>
      <c r="EX3057" s="37"/>
      <c r="EY3057" s="37"/>
      <c r="EZ3057" s="37"/>
      <c r="FA3057" s="37"/>
      <c r="FB3057" s="37"/>
      <c r="FC3057" s="37"/>
      <c r="FD3057" s="37"/>
      <c r="FE3057" s="37"/>
      <c r="FF3057" s="37"/>
      <c r="FG3057" s="37"/>
      <c r="FH3057" s="37"/>
      <c r="FI3057" s="37"/>
      <c r="FJ3057" s="37"/>
      <c r="FK3057" s="37"/>
      <c r="FL3057" s="37"/>
      <c r="FM3057" s="37"/>
      <c r="FN3057" s="37"/>
      <c r="FO3057" s="37"/>
      <c r="FP3057" s="37"/>
      <c r="FQ3057" s="37"/>
      <c r="FR3057" s="37"/>
      <c r="FS3057" s="37"/>
      <c r="FT3057" s="37"/>
      <c r="FU3057" s="37"/>
      <c r="FV3057" s="37"/>
      <c r="FW3057" s="37"/>
      <c r="FX3057" s="37"/>
      <c r="FY3057" s="37"/>
      <c r="FZ3057" s="37"/>
      <c r="GA3057" s="37"/>
      <c r="GB3057" s="37"/>
      <c r="GC3057" s="37"/>
      <c r="GD3057" s="37"/>
      <c r="GE3057" s="37"/>
      <c r="GF3057" s="37"/>
      <c r="GG3057" s="37"/>
      <c r="GH3057" s="37"/>
      <c r="GI3057" s="37"/>
      <c r="GJ3057" s="37"/>
      <c r="GK3057" s="37"/>
      <c r="GL3057" s="37"/>
      <c r="GM3057" s="37"/>
      <c r="GN3057" s="37"/>
      <c r="GO3057" s="37"/>
      <c r="GP3057" s="37"/>
      <c r="GQ3057" s="37"/>
      <c r="GR3057" s="37"/>
      <c r="GS3057" s="37"/>
      <c r="GT3057" s="37"/>
      <c r="GU3057" s="37"/>
      <c r="GV3057" s="37"/>
      <c r="GW3057" s="37"/>
      <c r="GX3057" s="37"/>
      <c r="GY3057" s="37"/>
      <c r="GZ3057" s="37"/>
      <c r="HA3057" s="37"/>
      <c r="HB3057" s="37"/>
      <c r="HC3057" s="37"/>
      <c r="HD3057" s="37"/>
      <c r="HE3057" s="37"/>
      <c r="HF3057" s="37"/>
      <c r="HG3057" s="37"/>
      <c r="HH3057" s="37"/>
      <c r="HI3057" s="37"/>
      <c r="HJ3057" s="37"/>
      <c r="HK3057" s="37"/>
      <c r="HL3057" s="37"/>
      <c r="HM3057" s="37"/>
      <c r="HN3057" s="37"/>
      <c r="HO3057" s="37"/>
      <c r="HP3057" s="37"/>
      <c r="HQ3057" s="37"/>
      <c r="HR3057" s="37"/>
      <c r="HS3057" s="37"/>
      <c r="HT3057" s="37"/>
      <c r="HU3057" s="37"/>
      <c r="HV3057" s="37"/>
      <c r="HW3057" s="37"/>
      <c r="HX3057" s="37"/>
      <c r="HY3057" s="37"/>
      <c r="HZ3057" s="37"/>
      <c r="IA3057" s="37"/>
      <c r="IB3057" s="37"/>
      <c r="IC3057" s="37"/>
      <c r="ID3057" s="37"/>
      <c r="IE3057" s="37"/>
      <c r="IF3057" s="37"/>
      <c r="IG3057" s="37"/>
      <c r="IH3057" s="37"/>
      <c r="II3057" s="37"/>
      <c r="IJ3057" s="37"/>
      <c r="IK3057" s="37"/>
      <c r="IL3057" s="37"/>
      <c r="IM3057" s="37"/>
      <c r="IN3057" s="37"/>
      <c r="IO3057" s="37"/>
      <c r="IP3057" s="37"/>
      <c r="IQ3057" s="37"/>
      <c r="IR3057" s="37"/>
      <c r="IS3057" s="37"/>
      <c r="IT3057" s="37"/>
      <c r="IU3057" s="37"/>
      <c r="IV3057" s="37"/>
      <c r="IW3057" s="37"/>
      <c r="IX3057" s="37"/>
      <c r="IY3057" s="37"/>
      <c r="IZ3057" s="37"/>
      <c r="JA3057" s="37"/>
      <c r="JB3057" s="37"/>
      <c r="JC3057" s="37"/>
      <c r="JD3057" s="37"/>
      <c r="JE3057" s="37"/>
      <c r="JF3057" s="37"/>
      <c r="JG3057" s="37"/>
      <c r="JH3057" s="37"/>
      <c r="JI3057" s="37"/>
      <c r="JJ3057" s="37"/>
      <c r="JK3057" s="37"/>
      <c r="JL3057" s="37"/>
      <c r="JM3057" s="37"/>
      <c r="JN3057" s="37"/>
      <c r="JO3057" s="37"/>
      <c r="JP3057" s="37"/>
      <c r="JQ3057" s="37"/>
      <c r="JR3057" s="37"/>
      <c r="JS3057" s="37"/>
      <c r="JT3057" s="37"/>
      <c r="JU3057" s="37"/>
      <c r="JV3057" s="37"/>
      <c r="JW3057" s="37"/>
      <c r="JX3057" s="37"/>
      <c r="JY3057" s="37"/>
      <c r="JZ3057" s="37"/>
      <c r="KA3057" s="37"/>
      <c r="KB3057" s="37"/>
      <c r="KC3057" s="37"/>
      <c r="KD3057" s="37"/>
      <c r="KE3057" s="37"/>
      <c r="KF3057" s="37"/>
      <c r="KG3057" s="37"/>
      <c r="KH3057" s="37"/>
      <c r="KI3057" s="37"/>
      <c r="KJ3057" s="37"/>
      <c r="KK3057" s="37"/>
      <c r="KL3057" s="37"/>
      <c r="KM3057" s="37"/>
      <c r="KN3057" s="37"/>
      <c r="KO3057" s="37"/>
      <c r="KP3057" s="37"/>
      <c r="KQ3057" s="37"/>
      <c r="KR3057" s="37"/>
      <c r="KS3057" s="37"/>
      <c r="KT3057" s="37"/>
      <c r="KU3057" s="37"/>
      <c r="KV3057" s="37"/>
      <c r="KW3057" s="37"/>
      <c r="KX3057" s="37"/>
      <c r="KY3057" s="37"/>
      <c r="KZ3057" s="37"/>
      <c r="LA3057" s="37"/>
      <c r="LB3057" s="37"/>
      <c r="LC3057" s="37"/>
      <c r="LD3057" s="37"/>
      <c r="LE3057" s="37"/>
      <c r="LF3057" s="37"/>
      <c r="LG3057" s="37"/>
      <c r="LH3057" s="37"/>
      <c r="LI3057" s="37"/>
      <c r="LJ3057" s="37"/>
      <c r="LK3057" s="37"/>
      <c r="LL3057" s="37"/>
      <c r="LM3057" s="37"/>
      <c r="LN3057" s="37"/>
      <c r="LO3057" s="37"/>
      <c r="LP3057" s="37"/>
      <c r="LQ3057" s="37"/>
      <c r="LR3057" s="37"/>
      <c r="LS3057" s="37"/>
      <c r="LT3057" s="37"/>
      <c r="LU3057" s="37"/>
      <c r="LV3057" s="37"/>
      <c r="LW3057" s="37"/>
      <c r="LX3057" s="37"/>
      <c r="LY3057" s="37"/>
      <c r="LZ3057" s="37"/>
      <c r="MA3057" s="37"/>
      <c r="MB3057" s="37"/>
      <c r="MC3057" s="37"/>
      <c r="MD3057" s="37"/>
      <c r="ME3057" s="37"/>
      <c r="MF3057" s="37"/>
      <c r="MG3057" s="37"/>
      <c r="MH3057" s="37"/>
      <c r="MI3057" s="37"/>
      <c r="MJ3057" s="37"/>
      <c r="MK3057" s="37"/>
      <c r="ML3057" s="37"/>
      <c r="MM3057" s="37"/>
      <c r="MN3057" s="37"/>
      <c r="MO3057" s="37"/>
      <c r="MP3057" s="37"/>
      <c r="MQ3057" s="37"/>
      <c r="MR3057" s="37"/>
      <c r="MS3057" s="37"/>
      <c r="MT3057" s="37"/>
      <c r="MU3057" s="37"/>
      <c r="MV3057" s="37"/>
      <c r="MW3057" s="37"/>
      <c r="MX3057" s="37"/>
      <c r="MY3057" s="37"/>
      <c r="MZ3057" s="37"/>
      <c r="NA3057" s="37"/>
      <c r="NB3057" s="37"/>
      <c r="NC3057" s="37"/>
      <c r="ND3057" s="37"/>
      <c r="NE3057" s="37"/>
      <c r="NF3057" s="37"/>
      <c r="NG3057" s="37"/>
      <c r="NH3057" s="37"/>
      <c r="NI3057" s="37"/>
      <c r="NJ3057" s="37"/>
      <c r="NK3057" s="37"/>
      <c r="NL3057" s="37"/>
      <c r="NM3057" s="37"/>
      <c r="NN3057" s="37"/>
      <c r="NO3057" s="37"/>
      <c r="NP3057" s="37"/>
      <c r="NQ3057" s="37"/>
      <c r="NR3057" s="37"/>
      <c r="NS3057" s="37"/>
      <c r="NT3057" s="37"/>
      <c r="NU3057" s="37"/>
      <c r="NV3057" s="37"/>
      <c r="NW3057" s="37"/>
      <c r="NX3057" s="37"/>
      <c r="NY3057" s="37"/>
      <c r="NZ3057" s="37"/>
      <c r="OA3057" s="37"/>
      <c r="OB3057" s="37"/>
      <c r="OC3057" s="37"/>
      <c r="OD3057" s="37"/>
      <c r="OE3057" s="37"/>
      <c r="OF3057" s="37"/>
      <c r="OG3057" s="37"/>
      <c r="OH3057" s="37"/>
      <c r="OI3057" s="37"/>
      <c r="OJ3057" s="37"/>
      <c r="OK3057" s="37"/>
      <c r="OL3057" s="37"/>
      <c r="OM3057" s="37"/>
      <c r="ON3057" s="37"/>
      <c r="OO3057" s="37"/>
      <c r="OP3057" s="37"/>
      <c r="OQ3057" s="37"/>
      <c r="OR3057" s="37"/>
      <c r="OS3057" s="37"/>
      <c r="OT3057" s="37"/>
      <c r="OU3057" s="37"/>
      <c r="OV3057" s="37"/>
      <c r="OW3057" s="37"/>
      <c r="OX3057" s="37"/>
      <c r="OY3057" s="37"/>
      <c r="OZ3057" s="37"/>
      <c r="PA3057" s="37"/>
      <c r="PB3057" s="37"/>
      <c r="PC3057" s="37"/>
      <c r="PD3057" s="37"/>
      <c r="PE3057" s="37"/>
      <c r="PF3057" s="37"/>
      <c r="PG3057" s="37"/>
      <c r="PH3057" s="37"/>
      <c r="PI3057" s="37"/>
      <c r="PJ3057" s="37"/>
      <c r="PK3057" s="37"/>
      <c r="PL3057" s="37"/>
      <c r="PM3057" s="37"/>
      <c r="PN3057" s="37"/>
      <c r="PO3057" s="37"/>
      <c r="PP3057" s="37"/>
      <c r="PQ3057" s="37"/>
      <c r="PR3057" s="37"/>
      <c r="PS3057" s="37"/>
      <c r="PT3057" s="37"/>
      <c r="PU3057" s="37"/>
      <c r="PV3057" s="37"/>
      <c r="PW3057" s="37"/>
      <c r="PX3057" s="37"/>
      <c r="PY3057" s="37"/>
      <c r="PZ3057" s="37"/>
      <c r="QA3057" s="37"/>
      <c r="QB3057" s="37"/>
      <c r="QC3057" s="37"/>
      <c r="QD3057" s="37"/>
      <c r="QE3057" s="37"/>
      <c r="QF3057" s="37"/>
      <c r="QG3057" s="37"/>
      <c r="QH3057" s="37"/>
      <c r="QI3057" s="37"/>
      <c r="QJ3057" s="37"/>
      <c r="QK3057" s="37"/>
      <c r="QL3057" s="37"/>
      <c r="QM3057" s="37"/>
      <c r="QN3057" s="37"/>
      <c r="QO3057" s="37"/>
      <c r="QP3057" s="37"/>
      <c r="QQ3057" s="37"/>
      <c r="QR3057" s="37"/>
      <c r="QS3057" s="37"/>
      <c r="QT3057" s="37"/>
      <c r="QU3057" s="37"/>
      <c r="QV3057" s="37"/>
      <c r="QW3057" s="37"/>
      <c r="QX3057" s="37"/>
      <c r="QY3057" s="37"/>
      <c r="QZ3057" s="37"/>
      <c r="RA3057" s="37"/>
      <c r="RB3057" s="37"/>
      <c r="RC3057" s="37"/>
      <c r="RD3057" s="37"/>
      <c r="RE3057" s="37"/>
      <c r="RF3057" s="37"/>
      <c r="RG3057" s="37"/>
      <c r="RH3057" s="37"/>
      <c r="RI3057" s="37"/>
      <c r="RJ3057" s="37"/>
      <c r="RK3057" s="37"/>
      <c r="RL3057" s="37"/>
      <c r="RM3057" s="37"/>
      <c r="RN3057" s="37"/>
      <c r="RO3057" s="37"/>
      <c r="RP3057" s="37"/>
      <c r="RQ3057" s="37"/>
      <c r="RR3057" s="37"/>
      <c r="RS3057" s="37"/>
      <c r="RT3057" s="37"/>
      <c r="RU3057" s="37"/>
      <c r="RV3057" s="37"/>
      <c r="RW3057" s="37"/>
      <c r="RX3057" s="37"/>
      <c r="RY3057" s="37"/>
      <c r="RZ3057" s="37"/>
      <c r="SA3057" s="37"/>
      <c r="SB3057" s="37"/>
      <c r="SC3057" s="37"/>
      <c r="SD3057" s="37"/>
      <c r="SE3057" s="37"/>
      <c r="SF3057" s="37"/>
    </row>
    <row r="3058" spans="1:500">
      <c r="A3058" s="37"/>
      <c r="B3058" s="37"/>
      <c r="C3058" s="37"/>
      <c r="D3058" s="37"/>
      <c r="E3058" s="37"/>
      <c r="F3058" s="37"/>
      <c r="G3058" s="37"/>
      <c r="H3058" s="37"/>
      <c r="I3058" s="37"/>
      <c r="J3058" s="37"/>
      <c r="K3058" s="37"/>
      <c r="L3058" s="37"/>
      <c r="M3058" s="37"/>
      <c r="N3058" s="37"/>
      <c r="O3058" s="37"/>
      <c r="P3058" s="37"/>
      <c r="Q3058" s="37"/>
      <c r="R3058" s="37"/>
      <c r="S3058" s="37"/>
      <c r="T3058" s="37"/>
      <c r="U3058" s="37"/>
      <c r="V3058" s="37"/>
      <c r="W3058" s="37"/>
      <c r="X3058" s="37"/>
      <c r="Y3058" s="37"/>
      <c r="Z3058" s="37"/>
      <c r="AA3058" s="37"/>
      <c r="AB3058" s="37"/>
      <c r="AC3058" s="37"/>
      <c r="AD3058" s="37"/>
      <c r="AE3058" s="37"/>
      <c r="AF3058" s="37"/>
      <c r="AG3058" s="37"/>
      <c r="AH3058" s="37"/>
      <c r="AI3058" s="37"/>
      <c r="AJ3058" s="37"/>
      <c r="AK3058" s="37"/>
      <c r="AL3058" s="37"/>
      <c r="AM3058" s="37"/>
      <c r="AN3058" s="37"/>
      <c r="AO3058" s="37"/>
      <c r="AP3058" s="37"/>
      <c r="AQ3058" s="37"/>
      <c r="AR3058" s="37"/>
      <c r="AS3058" s="37"/>
      <c r="AT3058" s="37"/>
      <c r="AU3058" s="37"/>
      <c r="AV3058" s="37"/>
      <c r="AW3058" s="37"/>
      <c r="AX3058" s="37"/>
      <c r="AY3058" s="37"/>
      <c r="AZ3058" s="37"/>
      <c r="BA3058" s="37"/>
      <c r="BB3058" s="37"/>
      <c r="BC3058" s="37"/>
      <c r="BD3058" s="37"/>
      <c r="BE3058" s="37"/>
      <c r="BF3058" s="37"/>
      <c r="BG3058" s="37"/>
      <c r="BH3058" s="37"/>
      <c r="BI3058" s="37"/>
      <c r="BJ3058" s="37"/>
      <c r="BK3058" s="37"/>
      <c r="BL3058" s="37"/>
      <c r="BM3058" s="37"/>
      <c r="BN3058" s="37"/>
      <c r="BO3058" s="37"/>
      <c r="BP3058" s="37"/>
      <c r="BQ3058" s="37"/>
      <c r="BR3058" s="37"/>
      <c r="BS3058" s="37"/>
      <c r="BT3058" s="37"/>
      <c r="BU3058" s="37"/>
      <c r="BV3058" s="37"/>
      <c r="BW3058" s="37"/>
      <c r="BX3058" s="37"/>
      <c r="BY3058" s="37"/>
      <c r="BZ3058" s="37"/>
      <c r="CA3058" s="37"/>
      <c r="CB3058" s="37"/>
      <c r="CC3058" s="37"/>
      <c r="CD3058" s="37"/>
      <c r="CE3058" s="37"/>
      <c r="CF3058" s="37"/>
      <c r="CG3058" s="37"/>
      <c r="CH3058" s="37"/>
      <c r="CI3058" s="37"/>
      <c r="CJ3058" s="37"/>
      <c r="CK3058" s="37"/>
      <c r="CL3058" s="37"/>
      <c r="CM3058" s="37"/>
      <c r="CN3058" s="37"/>
      <c r="CO3058" s="37"/>
      <c r="CP3058" s="37"/>
      <c r="CQ3058" s="37"/>
      <c r="CR3058" s="37"/>
      <c r="CS3058" s="37"/>
      <c r="CT3058" s="37"/>
      <c r="CU3058" s="37"/>
      <c r="CV3058" s="37"/>
      <c r="CW3058" s="37"/>
      <c r="CX3058" s="37"/>
      <c r="CY3058" s="37"/>
      <c r="CZ3058" s="37"/>
      <c r="DA3058" s="37"/>
      <c r="DB3058" s="37"/>
      <c r="DC3058" s="37"/>
      <c r="DD3058" s="37"/>
      <c r="DE3058" s="37"/>
      <c r="DF3058" s="37"/>
      <c r="DG3058" s="37"/>
      <c r="DH3058" s="37"/>
      <c r="DI3058" s="37"/>
      <c r="DJ3058" s="37"/>
      <c r="DK3058" s="37"/>
      <c r="DL3058" s="37"/>
      <c r="DM3058" s="37"/>
      <c r="DN3058" s="37"/>
      <c r="DO3058" s="37"/>
      <c r="DP3058" s="37"/>
      <c r="DQ3058" s="37"/>
      <c r="DR3058" s="37"/>
      <c r="DS3058" s="37"/>
      <c r="DT3058" s="37"/>
      <c r="DU3058" s="37"/>
      <c r="DV3058" s="37"/>
      <c r="DW3058" s="37"/>
      <c r="DX3058" s="37"/>
      <c r="DY3058" s="37"/>
      <c r="DZ3058" s="37"/>
      <c r="EA3058" s="37"/>
      <c r="EB3058" s="37"/>
      <c r="EC3058" s="37"/>
      <c r="ED3058" s="37"/>
      <c r="EE3058" s="37"/>
      <c r="EF3058" s="37"/>
      <c r="EG3058" s="37"/>
      <c r="EH3058" s="37"/>
      <c r="EI3058" s="37"/>
      <c r="EJ3058" s="37"/>
      <c r="EK3058" s="37"/>
      <c r="EL3058" s="37"/>
      <c r="EM3058" s="37"/>
      <c r="EN3058" s="37"/>
      <c r="EO3058" s="37"/>
      <c r="EP3058" s="37"/>
      <c r="EQ3058" s="37"/>
      <c r="ER3058" s="37"/>
      <c r="ES3058" s="37"/>
      <c r="ET3058" s="37"/>
      <c r="EU3058" s="37"/>
      <c r="EV3058" s="37"/>
      <c r="EW3058" s="37"/>
      <c r="EX3058" s="37"/>
      <c r="EY3058" s="37"/>
      <c r="EZ3058" s="37"/>
      <c r="FA3058" s="37"/>
      <c r="FB3058" s="37"/>
      <c r="FC3058" s="37"/>
      <c r="FD3058" s="37"/>
      <c r="FE3058" s="37"/>
      <c r="FF3058" s="37"/>
      <c r="FG3058" s="37"/>
      <c r="FH3058" s="37"/>
      <c r="FI3058" s="37"/>
      <c r="FJ3058" s="37"/>
      <c r="FK3058" s="37"/>
      <c r="FL3058" s="37"/>
      <c r="FM3058" s="37"/>
      <c r="FN3058" s="37"/>
      <c r="FO3058" s="37"/>
      <c r="FP3058" s="37"/>
      <c r="FQ3058" s="37"/>
      <c r="FR3058" s="37"/>
      <c r="FS3058" s="37"/>
      <c r="FT3058" s="37"/>
      <c r="FU3058" s="37"/>
      <c r="FV3058" s="37"/>
      <c r="FW3058" s="37"/>
      <c r="FX3058" s="37"/>
      <c r="FY3058" s="37"/>
      <c r="FZ3058" s="37"/>
      <c r="GA3058" s="37"/>
      <c r="GB3058" s="37"/>
      <c r="GC3058" s="37"/>
      <c r="GD3058" s="37"/>
      <c r="GE3058" s="37"/>
      <c r="GF3058" s="37"/>
      <c r="GG3058" s="37"/>
      <c r="GH3058" s="37"/>
      <c r="GI3058" s="37"/>
      <c r="GJ3058" s="37"/>
      <c r="GK3058" s="37"/>
      <c r="GL3058" s="37"/>
      <c r="GM3058" s="37"/>
      <c r="GN3058" s="37"/>
      <c r="GO3058" s="37"/>
      <c r="GP3058" s="37"/>
      <c r="GQ3058" s="37"/>
      <c r="GR3058" s="37"/>
      <c r="GS3058" s="37"/>
      <c r="GT3058" s="37"/>
      <c r="GU3058" s="37"/>
      <c r="GV3058" s="37"/>
      <c r="GW3058" s="37"/>
      <c r="GX3058" s="37"/>
      <c r="GY3058" s="37"/>
      <c r="GZ3058" s="37"/>
      <c r="HA3058" s="37"/>
      <c r="HB3058" s="37"/>
      <c r="HC3058" s="37"/>
      <c r="HD3058" s="37"/>
      <c r="HE3058" s="37"/>
      <c r="HF3058" s="37"/>
      <c r="HG3058" s="37"/>
      <c r="HH3058" s="37"/>
      <c r="HI3058" s="37"/>
      <c r="HJ3058" s="37"/>
      <c r="HK3058" s="37"/>
      <c r="HL3058" s="37"/>
      <c r="HM3058" s="37"/>
      <c r="HN3058" s="37"/>
      <c r="HO3058" s="37"/>
      <c r="HP3058" s="37"/>
      <c r="HQ3058" s="37"/>
      <c r="HR3058" s="37"/>
      <c r="HS3058" s="37"/>
      <c r="HT3058" s="37"/>
      <c r="HU3058" s="37"/>
      <c r="HV3058" s="37"/>
      <c r="HW3058" s="37"/>
      <c r="HX3058" s="37"/>
      <c r="HY3058" s="37"/>
      <c r="HZ3058" s="37"/>
      <c r="IA3058" s="37"/>
      <c r="IB3058" s="37"/>
      <c r="IC3058" s="37"/>
      <c r="ID3058" s="37"/>
      <c r="IE3058" s="37"/>
      <c r="IF3058" s="37"/>
      <c r="IG3058" s="37"/>
      <c r="IH3058" s="37"/>
      <c r="II3058" s="37"/>
      <c r="IJ3058" s="37"/>
      <c r="IK3058" s="37"/>
      <c r="IL3058" s="37"/>
      <c r="IM3058" s="37"/>
      <c r="IN3058" s="37"/>
      <c r="IO3058" s="37"/>
      <c r="IP3058" s="37"/>
      <c r="IQ3058" s="37"/>
      <c r="IR3058" s="37"/>
      <c r="IS3058" s="37"/>
      <c r="IT3058" s="37"/>
      <c r="IU3058" s="37"/>
      <c r="IV3058" s="37"/>
      <c r="IW3058" s="37"/>
      <c r="IX3058" s="37"/>
      <c r="IY3058" s="37"/>
      <c r="IZ3058" s="37"/>
      <c r="JA3058" s="37"/>
      <c r="JB3058" s="37"/>
      <c r="JC3058" s="37"/>
      <c r="JD3058" s="37"/>
      <c r="JE3058" s="37"/>
      <c r="JF3058" s="37"/>
      <c r="JG3058" s="37"/>
      <c r="JH3058" s="37"/>
      <c r="JI3058" s="37"/>
      <c r="JJ3058" s="37"/>
      <c r="JK3058" s="37"/>
      <c r="JL3058" s="37"/>
      <c r="JM3058" s="37"/>
      <c r="JN3058" s="37"/>
      <c r="JO3058" s="37"/>
      <c r="JP3058" s="37"/>
      <c r="JQ3058" s="37"/>
      <c r="JR3058" s="37"/>
      <c r="JS3058" s="37"/>
      <c r="JT3058" s="37"/>
      <c r="JU3058" s="37"/>
      <c r="JV3058" s="37"/>
      <c r="JW3058" s="37"/>
      <c r="JX3058" s="37"/>
      <c r="JY3058" s="37"/>
      <c r="JZ3058" s="37"/>
      <c r="KA3058" s="37"/>
      <c r="KB3058" s="37"/>
      <c r="KC3058" s="37"/>
      <c r="KD3058" s="37"/>
      <c r="KE3058" s="37"/>
      <c r="KF3058" s="37"/>
      <c r="KG3058" s="37"/>
      <c r="KH3058" s="37"/>
      <c r="KI3058" s="37"/>
      <c r="KJ3058" s="37"/>
      <c r="KK3058" s="37"/>
      <c r="KL3058" s="37"/>
      <c r="KM3058" s="37"/>
      <c r="KN3058" s="37"/>
      <c r="KO3058" s="37"/>
      <c r="KP3058" s="37"/>
      <c r="KQ3058" s="37"/>
      <c r="KR3058" s="37"/>
      <c r="KS3058" s="37"/>
      <c r="KT3058" s="37"/>
      <c r="KU3058" s="37"/>
      <c r="KV3058" s="37"/>
      <c r="KW3058" s="37"/>
      <c r="KX3058" s="37"/>
      <c r="KY3058" s="37"/>
      <c r="KZ3058" s="37"/>
      <c r="LA3058" s="37"/>
      <c r="LB3058" s="37"/>
      <c r="LC3058" s="37"/>
      <c r="LD3058" s="37"/>
      <c r="LE3058" s="37"/>
      <c r="LF3058" s="37"/>
      <c r="LG3058" s="37"/>
      <c r="LH3058" s="37"/>
      <c r="LI3058" s="37"/>
      <c r="LJ3058" s="37"/>
      <c r="LK3058" s="37"/>
      <c r="LL3058" s="37"/>
      <c r="LM3058" s="37"/>
      <c r="LN3058" s="37"/>
      <c r="LO3058" s="37"/>
      <c r="LP3058" s="37"/>
      <c r="LQ3058" s="37"/>
      <c r="LR3058" s="37"/>
      <c r="LS3058" s="37"/>
      <c r="LT3058" s="37"/>
      <c r="LU3058" s="37"/>
      <c r="LV3058" s="37"/>
      <c r="LW3058" s="37"/>
      <c r="LX3058" s="37"/>
      <c r="LY3058" s="37"/>
      <c r="LZ3058" s="37"/>
      <c r="MA3058" s="37"/>
      <c r="MB3058" s="37"/>
      <c r="MC3058" s="37"/>
      <c r="MD3058" s="37"/>
      <c r="ME3058" s="37"/>
      <c r="MF3058" s="37"/>
      <c r="MG3058" s="37"/>
      <c r="MH3058" s="37"/>
      <c r="MI3058" s="37"/>
      <c r="MJ3058" s="37"/>
      <c r="MK3058" s="37"/>
      <c r="ML3058" s="37"/>
      <c r="MM3058" s="37"/>
      <c r="MN3058" s="37"/>
      <c r="MO3058" s="37"/>
      <c r="MP3058" s="37"/>
      <c r="MQ3058" s="37"/>
      <c r="MR3058" s="37"/>
      <c r="MS3058" s="37"/>
      <c r="MT3058" s="37"/>
      <c r="MU3058" s="37"/>
      <c r="MV3058" s="37"/>
      <c r="MW3058" s="37"/>
      <c r="MX3058" s="37"/>
      <c r="MY3058" s="37"/>
      <c r="MZ3058" s="37"/>
      <c r="NA3058" s="37"/>
      <c r="NB3058" s="37"/>
      <c r="NC3058" s="37"/>
      <c r="ND3058" s="37"/>
      <c r="NE3058" s="37"/>
      <c r="NF3058" s="37"/>
      <c r="NG3058" s="37"/>
      <c r="NH3058" s="37"/>
      <c r="NI3058" s="37"/>
      <c r="NJ3058" s="37"/>
      <c r="NK3058" s="37"/>
      <c r="NL3058" s="37"/>
      <c r="NM3058" s="37"/>
      <c r="NN3058" s="37"/>
      <c r="NO3058" s="37"/>
      <c r="NP3058" s="37"/>
      <c r="NQ3058" s="37"/>
      <c r="NR3058" s="37"/>
      <c r="NS3058" s="37"/>
      <c r="NT3058" s="37"/>
      <c r="NU3058" s="37"/>
      <c r="NV3058" s="37"/>
      <c r="NW3058" s="37"/>
      <c r="NX3058" s="37"/>
      <c r="NY3058" s="37"/>
      <c r="NZ3058" s="37"/>
      <c r="OA3058" s="37"/>
      <c r="OB3058" s="37"/>
      <c r="OC3058" s="37"/>
      <c r="OD3058" s="37"/>
      <c r="OE3058" s="37"/>
      <c r="OF3058" s="37"/>
      <c r="OG3058" s="37"/>
      <c r="OH3058" s="37"/>
      <c r="OI3058" s="37"/>
      <c r="OJ3058" s="37"/>
      <c r="OK3058" s="37"/>
      <c r="OL3058" s="37"/>
      <c r="OM3058" s="37"/>
      <c r="ON3058" s="37"/>
      <c r="OO3058" s="37"/>
      <c r="OP3058" s="37"/>
      <c r="OQ3058" s="37"/>
      <c r="OR3058" s="37"/>
      <c r="OS3058" s="37"/>
      <c r="OT3058" s="37"/>
      <c r="OU3058" s="37"/>
      <c r="OV3058" s="37"/>
      <c r="OW3058" s="37"/>
      <c r="OX3058" s="37"/>
      <c r="OY3058" s="37"/>
      <c r="OZ3058" s="37"/>
      <c r="PA3058" s="37"/>
      <c r="PB3058" s="37"/>
      <c r="PC3058" s="37"/>
      <c r="PD3058" s="37"/>
      <c r="PE3058" s="37"/>
      <c r="PF3058" s="37"/>
      <c r="PG3058" s="37"/>
      <c r="PH3058" s="37"/>
      <c r="PI3058" s="37"/>
      <c r="PJ3058" s="37"/>
      <c r="PK3058" s="37"/>
      <c r="PL3058" s="37"/>
      <c r="PM3058" s="37"/>
      <c r="PN3058" s="37"/>
      <c r="PO3058" s="37"/>
      <c r="PP3058" s="37"/>
      <c r="PQ3058" s="37"/>
      <c r="PR3058" s="37"/>
      <c r="PS3058" s="37"/>
      <c r="PT3058" s="37"/>
      <c r="PU3058" s="37"/>
      <c r="PV3058" s="37"/>
      <c r="PW3058" s="37"/>
      <c r="PX3058" s="37"/>
      <c r="PY3058" s="37"/>
      <c r="PZ3058" s="37"/>
      <c r="QA3058" s="37"/>
      <c r="QB3058" s="37"/>
      <c r="QC3058" s="37"/>
      <c r="QD3058" s="37"/>
      <c r="QE3058" s="37"/>
      <c r="QF3058" s="37"/>
      <c r="QG3058" s="37"/>
      <c r="QH3058" s="37"/>
      <c r="QI3058" s="37"/>
      <c r="QJ3058" s="37"/>
      <c r="QK3058" s="37"/>
      <c r="QL3058" s="37"/>
      <c r="QM3058" s="37"/>
      <c r="QN3058" s="37"/>
      <c r="QO3058" s="37"/>
      <c r="QP3058" s="37"/>
      <c r="QQ3058" s="37"/>
      <c r="QR3058" s="37"/>
      <c r="QS3058" s="37"/>
      <c r="QT3058" s="37"/>
      <c r="QU3058" s="37"/>
      <c r="QV3058" s="37"/>
      <c r="QW3058" s="37"/>
      <c r="QX3058" s="37"/>
      <c r="QY3058" s="37"/>
      <c r="QZ3058" s="37"/>
      <c r="RA3058" s="37"/>
      <c r="RB3058" s="37"/>
      <c r="RC3058" s="37"/>
      <c r="RD3058" s="37"/>
      <c r="RE3058" s="37"/>
      <c r="RF3058" s="37"/>
      <c r="RG3058" s="37"/>
      <c r="RH3058" s="37"/>
      <c r="RI3058" s="37"/>
      <c r="RJ3058" s="37"/>
      <c r="RK3058" s="37"/>
      <c r="RL3058" s="37"/>
      <c r="RM3058" s="37"/>
      <c r="RN3058" s="37"/>
      <c r="RO3058" s="37"/>
      <c r="RP3058" s="37"/>
      <c r="RQ3058" s="37"/>
      <c r="RR3058" s="37"/>
      <c r="RS3058" s="37"/>
      <c r="RT3058" s="37"/>
      <c r="RU3058" s="37"/>
      <c r="RV3058" s="37"/>
      <c r="RW3058" s="37"/>
      <c r="RX3058" s="37"/>
      <c r="RY3058" s="37"/>
      <c r="RZ3058" s="37"/>
      <c r="SA3058" s="37"/>
      <c r="SB3058" s="37"/>
      <c r="SC3058" s="37"/>
      <c r="SD3058" s="37"/>
      <c r="SE3058" s="37"/>
      <c r="SF3058" s="37"/>
    </row>
    <row r="3059" spans="1:500">
      <c r="A3059" s="37"/>
      <c r="B3059" s="37"/>
      <c r="C3059" s="37"/>
      <c r="D3059" s="37"/>
      <c r="E3059" s="37"/>
      <c r="F3059" s="37"/>
      <c r="G3059" s="37"/>
      <c r="H3059" s="37"/>
      <c r="I3059" s="37"/>
      <c r="J3059" s="37"/>
      <c r="K3059" s="37"/>
      <c r="L3059" s="37"/>
      <c r="M3059" s="37"/>
      <c r="N3059" s="37"/>
      <c r="O3059" s="37"/>
      <c r="P3059" s="37"/>
      <c r="Q3059" s="37"/>
      <c r="R3059" s="37"/>
      <c r="S3059" s="37"/>
      <c r="T3059" s="37"/>
      <c r="U3059" s="37"/>
      <c r="V3059" s="37"/>
      <c r="W3059" s="37"/>
      <c r="X3059" s="37"/>
      <c r="Y3059" s="37"/>
      <c r="Z3059" s="37"/>
      <c r="AA3059" s="37"/>
      <c r="AB3059" s="37"/>
      <c r="AC3059" s="37"/>
      <c r="AD3059" s="37"/>
      <c r="AE3059" s="37"/>
      <c r="AF3059" s="37"/>
      <c r="AG3059" s="37"/>
      <c r="AH3059" s="37"/>
      <c r="AI3059" s="37"/>
      <c r="AJ3059" s="37"/>
      <c r="AK3059" s="37"/>
      <c r="AL3059" s="37"/>
      <c r="AM3059" s="37"/>
      <c r="AN3059" s="37"/>
      <c r="AO3059" s="37"/>
      <c r="AP3059" s="37"/>
      <c r="AQ3059" s="37"/>
      <c r="AR3059" s="37"/>
      <c r="AS3059" s="37"/>
      <c r="AT3059" s="37"/>
      <c r="AU3059" s="37"/>
      <c r="AV3059" s="37"/>
      <c r="AW3059" s="37"/>
      <c r="AX3059" s="37"/>
      <c r="AY3059" s="37"/>
      <c r="AZ3059" s="37"/>
      <c r="BA3059" s="37"/>
      <c r="BB3059" s="37"/>
      <c r="BC3059" s="37"/>
      <c r="BD3059" s="37"/>
      <c r="BE3059" s="37"/>
      <c r="BF3059" s="37"/>
      <c r="BG3059" s="37"/>
      <c r="BH3059" s="37"/>
      <c r="BI3059" s="37"/>
      <c r="BJ3059" s="37"/>
      <c r="BK3059" s="37"/>
      <c r="BL3059" s="37"/>
      <c r="BM3059" s="37"/>
      <c r="BN3059" s="37"/>
      <c r="BO3059" s="37"/>
      <c r="BP3059" s="37"/>
      <c r="BQ3059" s="37"/>
      <c r="BR3059" s="37"/>
      <c r="BS3059" s="37"/>
      <c r="BT3059" s="37"/>
      <c r="BU3059" s="37"/>
      <c r="BV3059" s="37"/>
      <c r="BW3059" s="37"/>
      <c r="BX3059" s="37"/>
      <c r="BY3059" s="37"/>
      <c r="BZ3059" s="37"/>
      <c r="CA3059" s="37"/>
      <c r="CB3059" s="37"/>
      <c r="CC3059" s="37"/>
      <c r="CD3059" s="37"/>
      <c r="CE3059" s="37"/>
      <c r="CF3059" s="37"/>
      <c r="CG3059" s="37"/>
      <c r="CH3059" s="37"/>
      <c r="CI3059" s="37"/>
      <c r="CJ3059" s="37"/>
      <c r="CK3059" s="37"/>
      <c r="CL3059" s="37"/>
      <c r="CM3059" s="37"/>
      <c r="CN3059" s="37"/>
      <c r="CO3059" s="37"/>
      <c r="CP3059" s="37"/>
      <c r="CQ3059" s="37"/>
      <c r="CR3059" s="37"/>
      <c r="CS3059" s="37"/>
      <c r="CT3059" s="37"/>
      <c r="CU3059" s="37"/>
      <c r="CV3059" s="37"/>
      <c r="CW3059" s="37"/>
      <c r="CX3059" s="37"/>
      <c r="CY3059" s="37"/>
      <c r="CZ3059" s="37"/>
      <c r="DA3059" s="37"/>
      <c r="DB3059" s="37"/>
      <c r="DC3059" s="37"/>
      <c r="DD3059" s="37"/>
      <c r="DE3059" s="37"/>
      <c r="DF3059" s="37"/>
      <c r="DG3059" s="37"/>
      <c r="DH3059" s="37"/>
      <c r="DI3059" s="37"/>
      <c r="DJ3059" s="37"/>
      <c r="DK3059" s="37"/>
      <c r="DL3059" s="37"/>
      <c r="DM3059" s="37"/>
      <c r="DN3059" s="37"/>
      <c r="DO3059" s="37"/>
      <c r="DP3059" s="37"/>
      <c r="DQ3059" s="37"/>
      <c r="DR3059" s="37"/>
      <c r="DS3059" s="37"/>
      <c r="DT3059" s="37"/>
      <c r="DU3059" s="37"/>
      <c r="DV3059" s="37"/>
      <c r="DW3059" s="37"/>
      <c r="DX3059" s="37"/>
      <c r="DY3059" s="37"/>
      <c r="DZ3059" s="37"/>
      <c r="EA3059" s="37"/>
      <c r="EB3059" s="37"/>
      <c r="EC3059" s="37"/>
      <c r="ED3059" s="37"/>
      <c r="EE3059" s="37"/>
      <c r="EF3059" s="37"/>
      <c r="EG3059" s="37"/>
      <c r="EH3059" s="37"/>
      <c r="EI3059" s="37"/>
      <c r="EJ3059" s="37"/>
      <c r="EK3059" s="37"/>
      <c r="EL3059" s="37"/>
      <c r="EM3059" s="37"/>
      <c r="EN3059" s="37"/>
      <c r="EO3059" s="37"/>
      <c r="EP3059" s="37"/>
      <c r="EQ3059" s="37"/>
      <c r="ER3059" s="37"/>
      <c r="ES3059" s="37"/>
      <c r="ET3059" s="37"/>
      <c r="EU3059" s="37"/>
      <c r="EV3059" s="37"/>
      <c r="EW3059" s="37"/>
      <c r="EX3059" s="37"/>
      <c r="EY3059" s="37"/>
      <c r="EZ3059" s="37"/>
      <c r="FA3059" s="37"/>
      <c r="FB3059" s="37"/>
      <c r="FC3059" s="37"/>
      <c r="FD3059" s="37"/>
      <c r="FE3059" s="37"/>
      <c r="FF3059" s="37"/>
      <c r="FG3059" s="37"/>
      <c r="FH3059" s="37"/>
      <c r="FI3059" s="37"/>
      <c r="FJ3059" s="37"/>
      <c r="FK3059" s="37"/>
      <c r="FL3059" s="37"/>
      <c r="FM3059" s="37"/>
      <c r="FN3059" s="37"/>
      <c r="FO3059" s="37"/>
      <c r="FP3059" s="37"/>
      <c r="FQ3059" s="37"/>
      <c r="FR3059" s="37"/>
      <c r="FS3059" s="37"/>
      <c r="FT3059" s="37"/>
      <c r="FU3059" s="37"/>
      <c r="FV3059" s="37"/>
      <c r="FW3059" s="37"/>
      <c r="FX3059" s="37"/>
      <c r="FY3059" s="37"/>
      <c r="FZ3059" s="37"/>
      <c r="GA3059" s="37"/>
      <c r="GB3059" s="37"/>
      <c r="GC3059" s="37"/>
      <c r="GD3059" s="37"/>
      <c r="GE3059" s="37"/>
      <c r="GF3059" s="37"/>
      <c r="GG3059" s="37"/>
      <c r="GH3059" s="37"/>
      <c r="GI3059" s="37"/>
      <c r="GJ3059" s="37"/>
      <c r="GK3059" s="37"/>
      <c r="GL3059" s="37"/>
      <c r="GM3059" s="37"/>
      <c r="GN3059" s="37"/>
      <c r="GO3059" s="37"/>
      <c r="GP3059" s="37"/>
      <c r="GQ3059" s="37"/>
      <c r="GR3059" s="37"/>
      <c r="GS3059" s="37"/>
      <c r="GT3059" s="37"/>
      <c r="GU3059" s="37"/>
      <c r="GV3059" s="37"/>
      <c r="GW3059" s="37"/>
      <c r="GX3059" s="37"/>
      <c r="GY3059" s="37"/>
      <c r="GZ3059" s="37"/>
      <c r="HA3059" s="37"/>
      <c r="HB3059" s="37"/>
      <c r="HC3059" s="37"/>
      <c r="HD3059" s="37"/>
      <c r="HE3059" s="37"/>
      <c r="HF3059" s="37"/>
      <c r="HG3059" s="37"/>
      <c r="HH3059" s="37"/>
      <c r="HI3059" s="37"/>
      <c r="HJ3059" s="37"/>
      <c r="HK3059" s="37"/>
      <c r="HL3059" s="37"/>
      <c r="HM3059" s="37"/>
      <c r="HN3059" s="37"/>
      <c r="HO3059" s="37"/>
      <c r="HP3059" s="37"/>
      <c r="HQ3059" s="37"/>
      <c r="HR3059" s="37"/>
      <c r="HS3059" s="37"/>
      <c r="HT3059" s="37"/>
      <c r="HU3059" s="37"/>
      <c r="HV3059" s="37"/>
      <c r="HW3059" s="37"/>
      <c r="HX3059" s="37"/>
      <c r="HY3059" s="37"/>
      <c r="HZ3059" s="37"/>
      <c r="IA3059" s="37"/>
      <c r="IB3059" s="37"/>
      <c r="IC3059" s="37"/>
      <c r="ID3059" s="37"/>
      <c r="IE3059" s="37"/>
      <c r="IF3059" s="37"/>
      <c r="IG3059" s="37"/>
      <c r="IH3059" s="37"/>
      <c r="II3059" s="37"/>
      <c r="IJ3059" s="37"/>
      <c r="IK3059" s="37"/>
      <c r="IL3059" s="37"/>
      <c r="IM3059" s="37"/>
      <c r="IN3059" s="37"/>
      <c r="IO3059" s="37"/>
      <c r="IP3059" s="37"/>
      <c r="IQ3059" s="37"/>
      <c r="IR3059" s="37"/>
      <c r="IS3059" s="37"/>
      <c r="IT3059" s="37"/>
      <c r="IU3059" s="37"/>
      <c r="IV3059" s="37"/>
      <c r="IW3059" s="37"/>
      <c r="IX3059" s="37"/>
      <c r="IY3059" s="37"/>
      <c r="IZ3059" s="37"/>
      <c r="JA3059" s="37"/>
      <c r="JB3059" s="37"/>
      <c r="JC3059" s="37"/>
      <c r="JD3059" s="37"/>
      <c r="JE3059" s="37"/>
      <c r="JF3059" s="37"/>
      <c r="JG3059" s="37"/>
      <c r="JH3059" s="37"/>
      <c r="JI3059" s="37"/>
      <c r="JJ3059" s="37"/>
      <c r="JK3059" s="37"/>
      <c r="JL3059" s="37"/>
      <c r="JM3059" s="37"/>
      <c r="JN3059" s="37"/>
      <c r="JO3059" s="37"/>
      <c r="JP3059" s="37"/>
      <c r="JQ3059" s="37"/>
      <c r="JR3059" s="37"/>
      <c r="JS3059" s="37"/>
      <c r="JT3059" s="37"/>
      <c r="JU3059" s="37"/>
      <c r="JV3059" s="37"/>
      <c r="JW3059" s="37"/>
      <c r="JX3059" s="37"/>
      <c r="JY3059" s="37"/>
      <c r="JZ3059" s="37"/>
      <c r="KA3059" s="37"/>
      <c r="KB3059" s="37"/>
      <c r="KC3059" s="37"/>
      <c r="KD3059" s="37"/>
      <c r="KE3059" s="37"/>
      <c r="KF3059" s="37"/>
      <c r="KG3059" s="37"/>
      <c r="KH3059" s="37"/>
      <c r="KI3059" s="37"/>
      <c r="KJ3059" s="37"/>
      <c r="KK3059" s="37"/>
      <c r="KL3059" s="37"/>
      <c r="KM3059" s="37"/>
      <c r="KN3059" s="37"/>
      <c r="KO3059" s="37"/>
      <c r="KP3059" s="37"/>
      <c r="KQ3059" s="37"/>
      <c r="KR3059" s="37"/>
      <c r="KS3059" s="37"/>
      <c r="KT3059" s="37"/>
      <c r="KU3059" s="37"/>
      <c r="KV3059" s="37"/>
      <c r="KW3059" s="37"/>
      <c r="KX3059" s="37"/>
      <c r="KY3059" s="37"/>
      <c r="KZ3059" s="37"/>
      <c r="LA3059" s="37"/>
      <c r="LB3059" s="37"/>
      <c r="LC3059" s="37"/>
      <c r="LD3059" s="37"/>
      <c r="LE3059" s="37"/>
      <c r="LF3059" s="37"/>
      <c r="LG3059" s="37"/>
      <c r="LH3059" s="37"/>
      <c r="LI3059" s="37"/>
      <c r="LJ3059" s="37"/>
      <c r="LK3059" s="37"/>
      <c r="LL3059" s="37"/>
      <c r="LM3059" s="37"/>
      <c r="LN3059" s="37"/>
      <c r="LO3059" s="37"/>
      <c r="LP3059" s="37"/>
      <c r="LQ3059" s="37"/>
      <c r="LR3059" s="37"/>
      <c r="LS3059" s="37"/>
      <c r="LT3059" s="37"/>
      <c r="LU3059" s="37"/>
      <c r="LV3059" s="37"/>
      <c r="LW3059" s="37"/>
      <c r="LX3059" s="37"/>
      <c r="LY3059" s="37"/>
      <c r="LZ3059" s="37"/>
      <c r="MA3059" s="37"/>
      <c r="MB3059" s="37"/>
      <c r="MC3059" s="37"/>
      <c r="MD3059" s="37"/>
      <c r="ME3059" s="37"/>
      <c r="MF3059" s="37"/>
      <c r="MG3059" s="37"/>
      <c r="MH3059" s="37"/>
      <c r="MI3059" s="37"/>
      <c r="MJ3059" s="37"/>
      <c r="MK3059" s="37"/>
      <c r="ML3059" s="37"/>
      <c r="MM3059" s="37"/>
      <c r="MN3059" s="37"/>
      <c r="MO3059" s="37"/>
      <c r="MP3059" s="37"/>
      <c r="MQ3059" s="37"/>
      <c r="MR3059" s="37"/>
      <c r="MS3059" s="37"/>
      <c r="MT3059" s="37"/>
      <c r="MU3059" s="37"/>
      <c r="MV3059" s="37"/>
      <c r="MW3059" s="37"/>
      <c r="MX3059" s="37"/>
      <c r="MY3059" s="37"/>
      <c r="MZ3059" s="37"/>
      <c r="NA3059" s="37"/>
      <c r="NB3059" s="37"/>
      <c r="NC3059" s="37"/>
      <c r="ND3059" s="37"/>
      <c r="NE3059" s="37"/>
      <c r="NF3059" s="37"/>
      <c r="NG3059" s="37"/>
      <c r="NH3059" s="37"/>
      <c r="NI3059" s="37"/>
      <c r="NJ3059" s="37"/>
      <c r="NK3059" s="37"/>
      <c r="NL3059" s="37"/>
      <c r="NM3059" s="37"/>
      <c r="NN3059" s="37"/>
      <c r="NO3059" s="37"/>
      <c r="NP3059" s="37"/>
      <c r="NQ3059" s="37"/>
      <c r="NR3059" s="37"/>
      <c r="NS3059" s="37"/>
      <c r="NT3059" s="37"/>
      <c r="NU3059" s="37"/>
      <c r="NV3059" s="37"/>
      <c r="NW3059" s="37"/>
      <c r="NX3059" s="37"/>
      <c r="NY3059" s="37"/>
      <c r="NZ3059" s="37"/>
      <c r="OA3059" s="37"/>
      <c r="OB3059" s="37"/>
      <c r="OC3059" s="37"/>
      <c r="OD3059" s="37"/>
      <c r="OE3059" s="37"/>
      <c r="OF3059" s="37"/>
      <c r="OG3059" s="37"/>
      <c r="OH3059" s="37"/>
      <c r="OI3059" s="37"/>
      <c r="OJ3059" s="37"/>
      <c r="OK3059" s="37"/>
      <c r="OL3059" s="37"/>
      <c r="OM3059" s="37"/>
      <c r="ON3059" s="37"/>
      <c r="OO3059" s="37"/>
      <c r="OP3059" s="37"/>
      <c r="OQ3059" s="37"/>
      <c r="OR3059" s="37"/>
      <c r="OS3059" s="37"/>
      <c r="OT3059" s="37"/>
      <c r="OU3059" s="37"/>
      <c r="OV3059" s="37"/>
      <c r="OW3059" s="37"/>
      <c r="OX3059" s="37"/>
      <c r="OY3059" s="37"/>
      <c r="OZ3059" s="37"/>
      <c r="PA3059" s="37"/>
      <c r="PB3059" s="37"/>
      <c r="PC3059" s="37"/>
      <c r="PD3059" s="37"/>
      <c r="PE3059" s="37"/>
      <c r="PF3059" s="37"/>
      <c r="PG3059" s="37"/>
      <c r="PH3059" s="37"/>
      <c r="PI3059" s="37"/>
      <c r="PJ3059" s="37"/>
      <c r="PK3059" s="37"/>
      <c r="PL3059" s="37"/>
      <c r="PM3059" s="37"/>
      <c r="PN3059" s="37"/>
      <c r="PO3059" s="37"/>
      <c r="PP3059" s="37"/>
      <c r="PQ3059" s="37"/>
      <c r="PR3059" s="37"/>
      <c r="PS3059" s="37"/>
      <c r="PT3059" s="37"/>
      <c r="PU3059" s="37"/>
      <c r="PV3059" s="37"/>
      <c r="PW3059" s="37"/>
      <c r="PX3059" s="37"/>
      <c r="PY3059" s="37"/>
      <c r="PZ3059" s="37"/>
      <c r="QA3059" s="37"/>
      <c r="QB3059" s="37"/>
      <c r="QC3059" s="37"/>
      <c r="QD3059" s="37"/>
      <c r="QE3059" s="37"/>
      <c r="QF3059" s="37"/>
      <c r="QG3059" s="37"/>
      <c r="QH3059" s="37"/>
      <c r="QI3059" s="37"/>
      <c r="QJ3059" s="37"/>
      <c r="QK3059" s="37"/>
      <c r="QL3059" s="37"/>
      <c r="QM3059" s="37"/>
      <c r="QN3059" s="37"/>
      <c r="QO3059" s="37"/>
      <c r="QP3059" s="37"/>
      <c r="QQ3059" s="37"/>
      <c r="QR3059" s="37"/>
      <c r="QS3059" s="37"/>
      <c r="QT3059" s="37"/>
      <c r="QU3059" s="37"/>
      <c r="QV3059" s="37"/>
      <c r="QW3059" s="37"/>
      <c r="QX3059" s="37"/>
      <c r="QY3059" s="37"/>
      <c r="QZ3059" s="37"/>
      <c r="RA3059" s="37"/>
      <c r="RB3059" s="37"/>
      <c r="RC3059" s="37"/>
      <c r="RD3059" s="37"/>
      <c r="RE3059" s="37"/>
      <c r="RF3059" s="37"/>
      <c r="RG3059" s="37"/>
      <c r="RH3059" s="37"/>
      <c r="RI3059" s="37"/>
      <c r="RJ3059" s="37"/>
      <c r="RK3059" s="37"/>
      <c r="RL3059" s="37"/>
      <c r="RM3059" s="37"/>
      <c r="RN3059" s="37"/>
      <c r="RO3059" s="37"/>
      <c r="RP3059" s="37"/>
      <c r="RQ3059" s="37"/>
      <c r="RR3059" s="37"/>
      <c r="RS3059" s="37"/>
      <c r="RT3059" s="37"/>
      <c r="RU3059" s="37"/>
      <c r="RV3059" s="37"/>
      <c r="RW3059" s="37"/>
      <c r="RX3059" s="37"/>
      <c r="RY3059" s="37"/>
      <c r="RZ3059" s="37"/>
      <c r="SA3059" s="37"/>
      <c r="SB3059" s="37"/>
      <c r="SC3059" s="37"/>
      <c r="SD3059" s="37"/>
      <c r="SE3059" s="37"/>
      <c r="SF3059" s="37"/>
    </row>
    <row r="3060" spans="1:500">
      <c r="A3060" s="37"/>
      <c r="B3060" s="37"/>
      <c r="C3060" s="37"/>
      <c r="D3060" s="37"/>
      <c r="E3060" s="37"/>
      <c r="F3060" s="37"/>
      <c r="G3060" s="37"/>
      <c r="H3060" s="37"/>
      <c r="I3060" s="37"/>
      <c r="J3060" s="37"/>
      <c r="K3060" s="37"/>
      <c r="L3060" s="37"/>
      <c r="M3060" s="37"/>
      <c r="N3060" s="37"/>
      <c r="O3060" s="37"/>
      <c r="P3060" s="37"/>
      <c r="Q3060" s="37"/>
      <c r="R3060" s="37"/>
      <c r="S3060" s="37"/>
      <c r="T3060" s="37"/>
      <c r="U3060" s="37"/>
      <c r="V3060" s="37"/>
      <c r="W3060" s="37"/>
      <c r="X3060" s="37"/>
      <c r="Y3060" s="37"/>
      <c r="Z3060" s="37"/>
      <c r="AA3060" s="37"/>
      <c r="AB3060" s="37"/>
      <c r="AC3060" s="37"/>
      <c r="AD3060" s="37"/>
      <c r="AE3060" s="37"/>
      <c r="AF3060" s="37"/>
      <c r="AG3060" s="37"/>
      <c r="AH3060" s="37"/>
      <c r="AI3060" s="37"/>
      <c r="AJ3060" s="37"/>
      <c r="AK3060" s="37"/>
      <c r="AL3060" s="37"/>
      <c r="AM3060" s="37"/>
      <c r="AN3060" s="37"/>
      <c r="AO3060" s="37"/>
      <c r="AP3060" s="37"/>
      <c r="AQ3060" s="37"/>
      <c r="AR3060" s="37"/>
      <c r="AS3060" s="37"/>
      <c r="AT3060" s="37"/>
      <c r="AU3060" s="37"/>
      <c r="AV3060" s="37"/>
      <c r="AW3060" s="37"/>
      <c r="AX3060" s="37"/>
      <c r="AY3060" s="37"/>
      <c r="AZ3060" s="37"/>
      <c r="BA3060" s="37"/>
      <c r="BB3060" s="37"/>
      <c r="BC3060" s="37"/>
      <c r="BD3060" s="37"/>
      <c r="BE3060" s="37"/>
      <c r="BF3060" s="37"/>
      <c r="BG3060" s="37"/>
      <c r="BH3060" s="37"/>
      <c r="BI3060" s="37"/>
      <c r="BJ3060" s="37"/>
      <c r="BK3060" s="37"/>
      <c r="BL3060" s="37"/>
      <c r="BM3060" s="37"/>
      <c r="BN3060" s="37"/>
      <c r="BO3060" s="37"/>
      <c r="BP3060" s="37"/>
      <c r="BQ3060" s="37"/>
      <c r="BR3060" s="37"/>
      <c r="BS3060" s="37"/>
      <c r="BT3060" s="37"/>
      <c r="BU3060" s="37"/>
      <c r="BV3060" s="37"/>
      <c r="BW3060" s="37"/>
      <c r="BX3060" s="37"/>
      <c r="BY3060" s="37"/>
      <c r="BZ3060" s="37"/>
      <c r="CA3060" s="37"/>
      <c r="CB3060" s="37"/>
      <c r="CC3060" s="37"/>
      <c r="CD3060" s="37"/>
      <c r="CE3060" s="37"/>
      <c r="CF3060" s="37"/>
      <c r="CG3060" s="37"/>
      <c r="CH3060" s="37"/>
      <c r="CI3060" s="37"/>
      <c r="CJ3060" s="37"/>
      <c r="CK3060" s="37"/>
      <c r="CL3060" s="37"/>
      <c r="CM3060" s="37"/>
      <c r="CN3060" s="37"/>
      <c r="CO3060" s="37"/>
      <c r="CP3060" s="37"/>
      <c r="CQ3060" s="37"/>
      <c r="CR3060" s="37"/>
      <c r="CS3060" s="37"/>
      <c r="CT3060" s="37"/>
      <c r="CU3060" s="37"/>
      <c r="CV3060" s="37"/>
      <c r="CW3060" s="37"/>
      <c r="CX3060" s="37"/>
      <c r="CY3060" s="37"/>
      <c r="CZ3060" s="37"/>
      <c r="DA3060" s="37"/>
      <c r="DB3060" s="37"/>
      <c r="DC3060" s="37"/>
      <c r="DD3060" s="37"/>
      <c r="DE3060" s="37"/>
      <c r="DF3060" s="37"/>
      <c r="DG3060" s="37"/>
      <c r="DH3060" s="37"/>
      <c r="DI3060" s="37"/>
      <c r="DJ3060" s="37"/>
      <c r="DK3060" s="37"/>
      <c r="DL3060" s="37"/>
      <c r="DM3060" s="37"/>
      <c r="DN3060" s="37"/>
      <c r="DO3060" s="37"/>
      <c r="DP3060" s="37"/>
      <c r="DQ3060" s="37"/>
      <c r="DR3060" s="37"/>
      <c r="DS3060" s="37"/>
      <c r="DT3060" s="37"/>
      <c r="DU3060" s="37"/>
      <c r="DV3060" s="37"/>
      <c r="DW3060" s="37"/>
      <c r="DX3060" s="37"/>
      <c r="DY3060" s="37"/>
      <c r="DZ3060" s="37"/>
      <c r="EA3060" s="37"/>
      <c r="EB3060" s="37"/>
      <c r="EC3060" s="37"/>
      <c r="ED3060" s="37"/>
      <c r="EE3060" s="37"/>
      <c r="EF3060" s="37"/>
      <c r="EG3060" s="37"/>
      <c r="EH3060" s="37"/>
      <c r="EI3060" s="37"/>
      <c r="EJ3060" s="37"/>
      <c r="EK3060" s="37"/>
      <c r="EL3060" s="37"/>
      <c r="EM3060" s="37"/>
      <c r="EN3060" s="37"/>
      <c r="EO3060" s="37"/>
      <c r="EP3060" s="37"/>
      <c r="EQ3060" s="37"/>
      <c r="ER3060" s="37"/>
      <c r="ES3060" s="37"/>
      <c r="ET3060" s="37"/>
      <c r="EU3060" s="37"/>
      <c r="EV3060" s="37"/>
      <c r="EW3060" s="37"/>
      <c r="EX3060" s="37"/>
      <c r="EY3060" s="37"/>
      <c r="EZ3060" s="37"/>
      <c r="FA3060" s="37"/>
      <c r="FB3060" s="37"/>
      <c r="FC3060" s="37"/>
      <c r="FD3060" s="37"/>
      <c r="FE3060" s="37"/>
      <c r="FF3060" s="37"/>
      <c r="FG3060" s="37"/>
      <c r="FH3060" s="37"/>
      <c r="FI3060" s="37"/>
      <c r="FJ3060" s="37"/>
      <c r="FK3060" s="37"/>
      <c r="FL3060" s="37"/>
      <c r="FM3060" s="37"/>
      <c r="FN3060" s="37"/>
      <c r="FO3060" s="37"/>
      <c r="FP3060" s="37"/>
      <c r="FQ3060" s="37"/>
      <c r="FR3060" s="37"/>
      <c r="FS3060" s="37"/>
      <c r="FT3060" s="37"/>
      <c r="FU3060" s="37"/>
      <c r="FV3060" s="37"/>
      <c r="FW3060" s="37"/>
      <c r="FX3060" s="37"/>
      <c r="FY3060" s="37"/>
      <c r="FZ3060" s="37"/>
      <c r="GA3060" s="37"/>
      <c r="GB3060" s="37"/>
      <c r="GC3060" s="37"/>
      <c r="GD3060" s="37"/>
      <c r="GE3060" s="37"/>
      <c r="GF3060" s="37"/>
      <c r="GG3060" s="37"/>
      <c r="GH3060" s="37"/>
      <c r="GI3060" s="37"/>
      <c r="GJ3060" s="37"/>
      <c r="GK3060" s="37"/>
      <c r="GL3060" s="37"/>
      <c r="GM3060" s="37"/>
      <c r="GN3060" s="37"/>
      <c r="GO3060" s="37"/>
      <c r="GP3060" s="37"/>
      <c r="GQ3060" s="37"/>
      <c r="GR3060" s="37"/>
      <c r="GS3060" s="37"/>
      <c r="GT3060" s="37"/>
      <c r="GU3060" s="37"/>
      <c r="GV3060" s="37"/>
      <c r="GW3060" s="37"/>
      <c r="GX3060" s="37"/>
      <c r="GY3060" s="37"/>
      <c r="GZ3060" s="37"/>
      <c r="HA3060" s="37"/>
      <c r="HB3060" s="37"/>
      <c r="HC3060" s="37"/>
      <c r="HD3060" s="37"/>
      <c r="HE3060" s="37"/>
      <c r="HF3060" s="37"/>
      <c r="HG3060" s="37"/>
      <c r="HH3060" s="37"/>
      <c r="HI3060" s="37"/>
      <c r="HJ3060" s="37"/>
      <c r="HK3060" s="37"/>
      <c r="HL3060" s="37"/>
      <c r="HM3060" s="37"/>
      <c r="HN3060" s="37"/>
      <c r="HO3060" s="37"/>
      <c r="HP3060" s="37"/>
      <c r="HQ3060" s="37"/>
      <c r="HR3060" s="37"/>
      <c r="HS3060" s="37"/>
      <c r="HT3060" s="37"/>
      <c r="HU3060" s="37"/>
      <c r="HV3060" s="37"/>
      <c r="HW3060" s="37"/>
      <c r="HX3060" s="37"/>
      <c r="HY3060" s="37"/>
      <c r="HZ3060" s="37"/>
      <c r="IA3060" s="37"/>
      <c r="IB3060" s="37"/>
      <c r="IC3060" s="37"/>
      <c r="ID3060" s="37"/>
      <c r="IE3060" s="37"/>
      <c r="IF3060" s="37"/>
      <c r="IG3060" s="37"/>
      <c r="IH3060" s="37"/>
      <c r="II3060" s="37"/>
      <c r="IJ3060" s="37"/>
      <c r="IK3060" s="37"/>
      <c r="IL3060" s="37"/>
      <c r="IM3060" s="37"/>
      <c r="IN3060" s="37"/>
      <c r="IO3060" s="37"/>
      <c r="IP3060" s="37"/>
      <c r="IQ3060" s="37"/>
      <c r="IR3060" s="37"/>
      <c r="IS3060" s="37"/>
      <c r="IT3060" s="37"/>
      <c r="IU3060" s="37"/>
      <c r="IV3060" s="37"/>
      <c r="IW3060" s="37"/>
      <c r="IX3060" s="37"/>
      <c r="IY3060" s="37"/>
      <c r="IZ3060" s="37"/>
      <c r="JA3060" s="37"/>
      <c r="JB3060" s="37"/>
      <c r="JC3060" s="37"/>
      <c r="JD3060" s="37"/>
      <c r="JE3060" s="37"/>
      <c r="JF3060" s="37"/>
      <c r="JG3060" s="37"/>
      <c r="JH3060" s="37"/>
      <c r="JI3060" s="37"/>
      <c r="JJ3060" s="37"/>
      <c r="JK3060" s="37"/>
      <c r="JL3060" s="37"/>
      <c r="JM3060" s="37"/>
      <c r="JN3060" s="37"/>
      <c r="JO3060" s="37"/>
      <c r="JP3060" s="37"/>
      <c r="JQ3060" s="37"/>
      <c r="JR3060" s="37"/>
      <c r="JS3060" s="37"/>
      <c r="JT3060" s="37"/>
      <c r="JU3060" s="37"/>
      <c r="JV3060" s="37"/>
      <c r="JW3060" s="37"/>
      <c r="JX3060" s="37"/>
      <c r="JY3060" s="37"/>
      <c r="JZ3060" s="37"/>
      <c r="KA3060" s="37"/>
      <c r="KB3060" s="37"/>
      <c r="KC3060" s="37"/>
      <c r="KD3060" s="37"/>
      <c r="KE3060" s="37"/>
      <c r="KF3060" s="37"/>
      <c r="KG3060" s="37"/>
      <c r="KH3060" s="37"/>
      <c r="KI3060" s="37"/>
      <c r="KJ3060" s="37"/>
      <c r="KK3060" s="37"/>
      <c r="KL3060" s="37"/>
      <c r="KM3060" s="37"/>
      <c r="KN3060" s="37"/>
      <c r="KO3060" s="37"/>
      <c r="KP3060" s="37"/>
      <c r="KQ3060" s="37"/>
      <c r="KR3060" s="37"/>
      <c r="KS3060" s="37"/>
      <c r="KT3060" s="37"/>
      <c r="KU3060" s="37"/>
      <c r="KV3060" s="37"/>
      <c r="KW3060" s="37"/>
      <c r="KX3060" s="37"/>
      <c r="KY3060" s="37"/>
      <c r="KZ3060" s="37"/>
      <c r="LA3060" s="37"/>
      <c r="LB3060" s="37"/>
      <c r="LC3060" s="37"/>
      <c r="LD3060" s="37"/>
      <c r="LE3060" s="37"/>
      <c r="LF3060" s="37"/>
      <c r="LG3060" s="37"/>
      <c r="LH3060" s="37"/>
      <c r="LI3060" s="37"/>
      <c r="LJ3060" s="37"/>
      <c r="LK3060" s="37"/>
      <c r="LL3060" s="37"/>
      <c r="LM3060" s="37"/>
      <c r="LN3060" s="37"/>
      <c r="LO3060" s="37"/>
      <c r="LP3060" s="37"/>
      <c r="LQ3060" s="37"/>
      <c r="LR3060" s="37"/>
      <c r="LS3060" s="37"/>
      <c r="LT3060" s="37"/>
      <c r="LU3060" s="37"/>
      <c r="LV3060" s="37"/>
      <c r="LW3060" s="37"/>
      <c r="LX3060" s="37"/>
      <c r="LY3060" s="37"/>
      <c r="LZ3060" s="37"/>
      <c r="MA3060" s="37"/>
      <c r="MB3060" s="37"/>
      <c r="MC3060" s="37"/>
      <c r="MD3060" s="37"/>
      <c r="ME3060" s="37"/>
      <c r="MF3060" s="37"/>
      <c r="MG3060" s="37"/>
      <c r="MH3060" s="37"/>
      <c r="MI3060" s="37"/>
      <c r="MJ3060" s="37"/>
      <c r="MK3060" s="37"/>
      <c r="ML3060" s="37"/>
      <c r="MM3060" s="37"/>
      <c r="MN3060" s="37"/>
      <c r="MO3060" s="37"/>
      <c r="MP3060" s="37"/>
      <c r="MQ3060" s="37"/>
      <c r="MR3060" s="37"/>
      <c r="MS3060" s="37"/>
      <c r="MT3060" s="37"/>
      <c r="MU3060" s="37"/>
      <c r="MV3060" s="37"/>
      <c r="MW3060" s="37"/>
      <c r="MX3060" s="37"/>
      <c r="MY3060" s="37"/>
      <c r="MZ3060" s="37"/>
      <c r="NA3060" s="37"/>
      <c r="NB3060" s="37"/>
      <c r="NC3060" s="37"/>
      <c r="ND3060" s="37"/>
      <c r="NE3060" s="37"/>
      <c r="NF3060" s="37"/>
      <c r="NG3060" s="37"/>
      <c r="NH3060" s="37"/>
      <c r="NI3060" s="37"/>
      <c r="NJ3060" s="37"/>
      <c r="NK3060" s="37"/>
      <c r="NL3060" s="37"/>
      <c r="NM3060" s="37"/>
      <c r="NN3060" s="37"/>
      <c r="NO3060" s="37"/>
      <c r="NP3060" s="37"/>
      <c r="NQ3060" s="37"/>
      <c r="NR3060" s="37"/>
      <c r="NS3060" s="37"/>
      <c r="NT3060" s="37"/>
      <c r="NU3060" s="37"/>
      <c r="NV3060" s="37"/>
      <c r="NW3060" s="37"/>
      <c r="NX3060" s="37"/>
      <c r="NY3060" s="37"/>
      <c r="NZ3060" s="37"/>
      <c r="OA3060" s="37"/>
      <c r="OB3060" s="37"/>
      <c r="OC3060" s="37"/>
      <c r="OD3060" s="37"/>
      <c r="OE3060" s="37"/>
      <c r="OF3060" s="37"/>
      <c r="OG3060" s="37"/>
      <c r="OH3060" s="37"/>
      <c r="OI3060" s="37"/>
      <c r="OJ3060" s="37"/>
      <c r="OK3060" s="37"/>
      <c r="OL3060" s="37"/>
      <c r="OM3060" s="37"/>
      <c r="ON3060" s="37"/>
      <c r="OO3060" s="37"/>
      <c r="OP3060" s="37"/>
      <c r="OQ3060" s="37"/>
      <c r="OR3060" s="37"/>
      <c r="OS3060" s="37"/>
      <c r="OT3060" s="37"/>
      <c r="OU3060" s="37"/>
      <c r="OV3060" s="37"/>
      <c r="OW3060" s="37"/>
      <c r="OX3060" s="37"/>
      <c r="OY3060" s="37"/>
      <c r="OZ3060" s="37"/>
      <c r="PA3060" s="37"/>
      <c r="PB3060" s="37"/>
      <c r="PC3060" s="37"/>
      <c r="PD3060" s="37"/>
      <c r="PE3060" s="37"/>
      <c r="PF3060" s="37"/>
      <c r="PG3060" s="37"/>
      <c r="PH3060" s="37"/>
      <c r="PI3060" s="37"/>
      <c r="PJ3060" s="37"/>
      <c r="PK3060" s="37"/>
      <c r="PL3060" s="37"/>
      <c r="PM3060" s="37"/>
      <c r="PN3060" s="37"/>
      <c r="PO3060" s="37"/>
      <c r="PP3060" s="37"/>
      <c r="PQ3060" s="37"/>
      <c r="PR3060" s="37"/>
      <c r="PS3060" s="37"/>
      <c r="PT3060" s="37"/>
      <c r="PU3060" s="37"/>
      <c r="PV3060" s="37"/>
      <c r="PW3060" s="37"/>
      <c r="PX3060" s="37"/>
      <c r="PY3060" s="37"/>
      <c r="PZ3060" s="37"/>
      <c r="QA3060" s="37"/>
      <c r="QB3060" s="37"/>
      <c r="QC3060" s="37"/>
      <c r="QD3060" s="37"/>
      <c r="QE3060" s="37"/>
      <c r="QF3060" s="37"/>
      <c r="QG3060" s="37"/>
      <c r="QH3060" s="37"/>
      <c r="QI3060" s="37"/>
      <c r="QJ3060" s="37"/>
      <c r="QK3060" s="37"/>
      <c r="QL3060" s="37"/>
      <c r="QM3060" s="37"/>
      <c r="QN3060" s="37"/>
      <c r="QO3060" s="37"/>
      <c r="QP3060" s="37"/>
      <c r="QQ3060" s="37"/>
      <c r="QR3060" s="37"/>
      <c r="QS3060" s="37"/>
      <c r="QT3060" s="37"/>
      <c r="QU3060" s="37"/>
      <c r="QV3060" s="37"/>
      <c r="QW3060" s="37"/>
      <c r="QX3060" s="37"/>
      <c r="QY3060" s="37"/>
      <c r="QZ3060" s="37"/>
      <c r="RA3060" s="37"/>
      <c r="RB3060" s="37"/>
      <c r="RC3060" s="37"/>
      <c r="RD3060" s="37"/>
      <c r="RE3060" s="37"/>
      <c r="RF3060" s="37"/>
      <c r="RG3060" s="37"/>
      <c r="RH3060" s="37"/>
      <c r="RI3060" s="37"/>
      <c r="RJ3060" s="37"/>
      <c r="RK3060" s="37"/>
      <c r="RL3060" s="37"/>
      <c r="RM3060" s="37"/>
      <c r="RN3060" s="37"/>
      <c r="RO3060" s="37"/>
      <c r="RP3060" s="37"/>
      <c r="RQ3060" s="37"/>
      <c r="RR3060" s="37"/>
      <c r="RS3060" s="37"/>
      <c r="RT3060" s="37"/>
      <c r="RU3060" s="37"/>
      <c r="RV3060" s="37"/>
      <c r="RW3060" s="37"/>
      <c r="RX3060" s="37"/>
      <c r="RY3060" s="37"/>
      <c r="RZ3060" s="37"/>
      <c r="SA3060" s="37"/>
      <c r="SB3060" s="37"/>
      <c r="SC3060" s="37"/>
      <c r="SD3060" s="37"/>
      <c r="SE3060" s="37"/>
      <c r="SF3060" s="37"/>
    </row>
    <row r="3061" spans="1:500">
      <c r="A3061" s="37"/>
      <c r="B3061" s="37"/>
      <c r="C3061" s="37"/>
      <c r="D3061" s="37"/>
      <c r="E3061" s="37"/>
      <c r="F3061" s="37"/>
      <c r="G3061" s="37"/>
      <c r="H3061" s="37"/>
      <c r="I3061" s="37"/>
      <c r="J3061" s="37"/>
      <c r="K3061" s="37"/>
      <c r="L3061" s="37"/>
      <c r="M3061" s="37"/>
      <c r="N3061" s="37"/>
      <c r="O3061" s="37"/>
      <c r="P3061" s="37"/>
      <c r="Q3061" s="37"/>
      <c r="R3061" s="37"/>
      <c r="S3061" s="37"/>
      <c r="T3061" s="37"/>
      <c r="U3061" s="37"/>
      <c r="V3061" s="37"/>
      <c r="W3061" s="37"/>
      <c r="X3061" s="37"/>
      <c r="Y3061" s="37"/>
      <c r="Z3061" s="37"/>
      <c r="AA3061" s="37"/>
      <c r="AB3061" s="37"/>
      <c r="AC3061" s="37"/>
      <c r="AD3061" s="37"/>
      <c r="AE3061" s="37"/>
      <c r="AF3061" s="37"/>
      <c r="AG3061" s="37"/>
      <c r="AH3061" s="37"/>
      <c r="AI3061" s="37"/>
      <c r="AJ3061" s="37"/>
      <c r="AK3061" s="37"/>
      <c r="AL3061" s="37"/>
      <c r="AM3061" s="37"/>
      <c r="AN3061" s="37"/>
      <c r="AO3061" s="37"/>
      <c r="AP3061" s="37"/>
      <c r="AQ3061" s="37"/>
      <c r="AR3061" s="37"/>
      <c r="AS3061" s="37"/>
      <c r="AT3061" s="37"/>
      <c r="AU3061" s="37"/>
      <c r="AV3061" s="37"/>
      <c r="AW3061" s="37"/>
      <c r="AX3061" s="37"/>
      <c r="AY3061" s="37"/>
      <c r="AZ3061" s="37"/>
      <c r="BA3061" s="37"/>
      <c r="BB3061" s="37"/>
      <c r="BC3061" s="37"/>
      <c r="BD3061" s="37"/>
      <c r="BE3061" s="37"/>
      <c r="BF3061" s="37"/>
      <c r="BG3061" s="37"/>
      <c r="BH3061" s="37"/>
      <c r="BI3061" s="37"/>
      <c r="BJ3061" s="37"/>
      <c r="BK3061" s="37"/>
      <c r="BL3061" s="37"/>
      <c r="BM3061" s="37"/>
      <c r="BN3061" s="37"/>
      <c r="BO3061" s="37"/>
      <c r="BP3061" s="37"/>
      <c r="BQ3061" s="37"/>
      <c r="BR3061" s="37"/>
      <c r="BS3061" s="37"/>
      <c r="BT3061" s="37"/>
      <c r="BU3061" s="37"/>
      <c r="BV3061" s="37"/>
      <c r="BW3061" s="37"/>
      <c r="BX3061" s="37"/>
      <c r="BY3061" s="37"/>
      <c r="BZ3061" s="37"/>
      <c r="CA3061" s="37"/>
      <c r="CB3061" s="37"/>
      <c r="CC3061" s="37"/>
      <c r="CD3061" s="37"/>
      <c r="CE3061" s="37"/>
      <c r="CF3061" s="37"/>
      <c r="CG3061" s="37"/>
      <c r="CH3061" s="37"/>
      <c r="CI3061" s="37"/>
      <c r="CJ3061" s="37"/>
      <c r="CK3061" s="37"/>
      <c r="CL3061" s="37"/>
      <c r="CM3061" s="37"/>
      <c r="CN3061" s="37"/>
      <c r="CO3061" s="37"/>
      <c r="CP3061" s="37"/>
      <c r="CQ3061" s="37"/>
      <c r="CR3061" s="37"/>
      <c r="CS3061" s="37"/>
      <c r="CT3061" s="37"/>
      <c r="CU3061" s="37"/>
      <c r="CV3061" s="37"/>
      <c r="CW3061" s="37"/>
      <c r="CX3061" s="37"/>
      <c r="CY3061" s="37"/>
      <c r="CZ3061" s="37"/>
      <c r="DA3061" s="37"/>
      <c r="DB3061" s="37"/>
      <c r="DC3061" s="37"/>
      <c r="DD3061" s="37"/>
      <c r="DE3061" s="37"/>
      <c r="DF3061" s="37"/>
      <c r="DG3061" s="37"/>
      <c r="DH3061" s="37"/>
      <c r="DI3061" s="37"/>
      <c r="DJ3061" s="37"/>
      <c r="DK3061" s="37"/>
      <c r="DL3061" s="37"/>
      <c r="DM3061" s="37"/>
      <c r="DN3061" s="37"/>
      <c r="DO3061" s="37"/>
      <c r="DP3061" s="37"/>
      <c r="DQ3061" s="37"/>
      <c r="DR3061" s="37"/>
      <c r="DS3061" s="37"/>
      <c r="DT3061" s="37"/>
      <c r="DU3061" s="37"/>
      <c r="DV3061" s="37"/>
      <c r="DW3061" s="37"/>
      <c r="DX3061" s="37"/>
      <c r="DY3061" s="37"/>
      <c r="DZ3061" s="37"/>
      <c r="EA3061" s="37"/>
      <c r="EB3061" s="37"/>
      <c r="EC3061" s="37"/>
      <c r="ED3061" s="37"/>
      <c r="EE3061" s="37"/>
      <c r="EF3061" s="37"/>
      <c r="EG3061" s="37"/>
      <c r="EH3061" s="37"/>
      <c r="EI3061" s="37"/>
      <c r="EJ3061" s="37"/>
      <c r="EK3061" s="37"/>
      <c r="EL3061" s="37"/>
      <c r="EM3061" s="37"/>
      <c r="EN3061" s="37"/>
      <c r="EO3061" s="37"/>
      <c r="EP3061" s="37"/>
      <c r="EQ3061" s="37"/>
      <c r="ER3061" s="37"/>
      <c r="ES3061" s="37"/>
      <c r="ET3061" s="37"/>
      <c r="EU3061" s="37"/>
      <c r="EV3061" s="37"/>
      <c r="EW3061" s="37"/>
      <c r="EX3061" s="37"/>
      <c r="EY3061" s="37"/>
      <c r="EZ3061" s="37"/>
      <c r="FA3061" s="37"/>
      <c r="FB3061" s="37"/>
      <c r="FC3061" s="37"/>
      <c r="FD3061" s="37"/>
      <c r="FE3061" s="37"/>
      <c r="FF3061" s="37"/>
      <c r="FG3061" s="37"/>
      <c r="FH3061" s="37"/>
      <c r="FI3061" s="37"/>
      <c r="FJ3061" s="37"/>
      <c r="FK3061" s="37"/>
      <c r="FL3061" s="37"/>
      <c r="FM3061" s="37"/>
      <c r="FN3061" s="37"/>
      <c r="FO3061" s="37"/>
      <c r="FP3061" s="37"/>
      <c r="FQ3061" s="37"/>
      <c r="FR3061" s="37"/>
      <c r="FS3061" s="37"/>
      <c r="FT3061" s="37"/>
      <c r="FU3061" s="37"/>
      <c r="FV3061" s="37"/>
      <c r="FW3061" s="37"/>
      <c r="FX3061" s="37"/>
      <c r="FY3061" s="37"/>
      <c r="FZ3061" s="37"/>
      <c r="GA3061" s="37"/>
      <c r="GB3061" s="37"/>
      <c r="GC3061" s="37"/>
      <c r="GD3061" s="37"/>
      <c r="GE3061" s="37"/>
      <c r="GF3061" s="37"/>
      <c r="GG3061" s="37"/>
      <c r="GH3061" s="37"/>
      <c r="GI3061" s="37"/>
      <c r="GJ3061" s="37"/>
      <c r="GK3061" s="37"/>
      <c r="GL3061" s="37"/>
      <c r="GM3061" s="37"/>
      <c r="GN3061" s="37"/>
      <c r="GO3061" s="37"/>
      <c r="GP3061" s="37"/>
      <c r="GQ3061" s="37"/>
      <c r="GR3061" s="37"/>
      <c r="GS3061" s="37"/>
      <c r="GT3061" s="37"/>
      <c r="GU3061" s="37"/>
      <c r="GV3061" s="37"/>
      <c r="GW3061" s="37"/>
      <c r="GX3061" s="37"/>
      <c r="GY3061" s="37"/>
      <c r="GZ3061" s="37"/>
      <c r="HA3061" s="37"/>
      <c r="HB3061" s="37"/>
      <c r="HC3061" s="37"/>
      <c r="HD3061" s="37"/>
      <c r="HE3061" s="37"/>
      <c r="HF3061" s="37"/>
      <c r="HG3061" s="37"/>
      <c r="HH3061" s="37"/>
      <c r="HI3061" s="37"/>
      <c r="HJ3061" s="37"/>
      <c r="HK3061" s="37"/>
      <c r="HL3061" s="37"/>
      <c r="HM3061" s="37"/>
      <c r="HN3061" s="37"/>
      <c r="HO3061" s="37"/>
      <c r="HP3061" s="37"/>
      <c r="HQ3061" s="37"/>
      <c r="HR3061" s="37"/>
      <c r="HS3061" s="37"/>
      <c r="HT3061" s="37"/>
      <c r="HU3061" s="37"/>
      <c r="HV3061" s="37"/>
      <c r="HW3061" s="37"/>
      <c r="HX3061" s="37"/>
      <c r="HY3061" s="37"/>
      <c r="HZ3061" s="37"/>
      <c r="IA3061" s="37"/>
      <c r="IB3061" s="37"/>
      <c r="IC3061" s="37"/>
      <c r="ID3061" s="37"/>
      <c r="IE3061" s="37"/>
      <c r="IF3061" s="37"/>
      <c r="IG3061" s="37"/>
      <c r="IH3061" s="37"/>
      <c r="II3061" s="37"/>
      <c r="IJ3061" s="37"/>
      <c r="IK3061" s="37"/>
      <c r="IL3061" s="37"/>
      <c r="IM3061" s="37"/>
      <c r="IN3061" s="37"/>
      <c r="IO3061" s="37"/>
      <c r="IP3061" s="37"/>
      <c r="IQ3061" s="37"/>
      <c r="IR3061" s="37"/>
      <c r="IS3061" s="37"/>
      <c r="IT3061" s="37"/>
      <c r="IU3061" s="37"/>
      <c r="IV3061" s="37"/>
      <c r="IW3061" s="37"/>
      <c r="IX3061" s="37"/>
      <c r="IY3061" s="37"/>
      <c r="IZ3061" s="37"/>
      <c r="JA3061" s="37"/>
      <c r="JB3061" s="37"/>
      <c r="JC3061" s="37"/>
      <c r="JD3061" s="37"/>
      <c r="JE3061" s="37"/>
      <c r="JF3061" s="37"/>
      <c r="JG3061" s="37"/>
      <c r="JH3061" s="37"/>
      <c r="JI3061" s="37"/>
      <c r="JJ3061" s="37"/>
      <c r="JK3061" s="37"/>
      <c r="JL3061" s="37"/>
      <c r="JM3061" s="37"/>
      <c r="JN3061" s="37"/>
      <c r="JO3061" s="37"/>
      <c r="JP3061" s="37"/>
      <c r="JQ3061" s="37"/>
      <c r="JR3061" s="37"/>
      <c r="JS3061" s="37"/>
      <c r="JT3061" s="37"/>
      <c r="JU3061" s="37"/>
      <c r="JV3061" s="37"/>
      <c r="JW3061" s="37"/>
      <c r="JX3061" s="37"/>
      <c r="JY3061" s="37"/>
      <c r="JZ3061" s="37"/>
      <c r="KA3061" s="37"/>
      <c r="KB3061" s="37"/>
      <c r="KC3061" s="37"/>
      <c r="KD3061" s="37"/>
      <c r="KE3061" s="37"/>
      <c r="KF3061" s="37"/>
      <c r="KG3061" s="37"/>
      <c r="KH3061" s="37"/>
      <c r="KI3061" s="37"/>
      <c r="KJ3061" s="37"/>
      <c r="KK3061" s="37"/>
      <c r="KL3061" s="37"/>
      <c r="KM3061" s="37"/>
      <c r="KN3061" s="37"/>
      <c r="KO3061" s="37"/>
      <c r="KP3061" s="37"/>
      <c r="KQ3061" s="37"/>
      <c r="KR3061" s="37"/>
      <c r="KS3061" s="37"/>
      <c r="KT3061" s="37"/>
      <c r="KU3061" s="37"/>
      <c r="KV3061" s="37"/>
      <c r="KW3061" s="37"/>
      <c r="KX3061" s="37"/>
      <c r="KY3061" s="37"/>
      <c r="KZ3061" s="37"/>
      <c r="LA3061" s="37"/>
      <c r="LB3061" s="37"/>
      <c r="LC3061" s="37"/>
      <c r="LD3061" s="37"/>
      <c r="LE3061" s="37"/>
      <c r="LF3061" s="37"/>
      <c r="LG3061" s="37"/>
      <c r="LH3061" s="37"/>
      <c r="LI3061" s="37"/>
      <c r="LJ3061" s="37"/>
      <c r="LK3061" s="37"/>
      <c r="LL3061" s="37"/>
      <c r="LM3061" s="37"/>
      <c r="LN3061" s="37"/>
      <c r="LO3061" s="37"/>
      <c r="LP3061" s="37"/>
      <c r="LQ3061" s="37"/>
      <c r="LR3061" s="37"/>
      <c r="LS3061" s="37"/>
      <c r="LT3061" s="37"/>
      <c r="LU3061" s="37"/>
      <c r="LV3061" s="37"/>
      <c r="LW3061" s="37"/>
      <c r="LX3061" s="37"/>
      <c r="LY3061" s="37"/>
      <c r="LZ3061" s="37"/>
      <c r="MA3061" s="37"/>
      <c r="MB3061" s="37"/>
      <c r="MC3061" s="37"/>
      <c r="MD3061" s="37"/>
      <c r="ME3061" s="37"/>
      <c r="MF3061" s="37"/>
      <c r="MG3061" s="37"/>
      <c r="MH3061" s="37"/>
      <c r="MI3061" s="37"/>
      <c r="MJ3061" s="37"/>
      <c r="MK3061" s="37"/>
      <c r="ML3061" s="37"/>
      <c r="MM3061" s="37"/>
      <c r="MN3061" s="37"/>
      <c r="MO3061" s="37"/>
      <c r="MP3061" s="37"/>
      <c r="MQ3061" s="37"/>
      <c r="MR3061" s="37"/>
      <c r="MS3061" s="37"/>
      <c r="MT3061" s="37"/>
      <c r="MU3061" s="37"/>
      <c r="MV3061" s="37"/>
      <c r="MW3061" s="37"/>
      <c r="MX3061" s="37"/>
      <c r="MY3061" s="37"/>
      <c r="MZ3061" s="37"/>
      <c r="NA3061" s="37"/>
      <c r="NB3061" s="37"/>
      <c r="NC3061" s="37"/>
      <c r="ND3061" s="37"/>
      <c r="NE3061" s="37"/>
      <c r="NF3061" s="37"/>
      <c r="NG3061" s="37"/>
      <c r="NH3061" s="37"/>
      <c r="NI3061" s="37"/>
      <c r="NJ3061" s="37"/>
      <c r="NK3061" s="37"/>
      <c r="NL3061" s="37"/>
      <c r="NM3061" s="37"/>
      <c r="NN3061" s="37"/>
      <c r="NO3061" s="37"/>
      <c r="NP3061" s="37"/>
      <c r="NQ3061" s="37"/>
      <c r="NR3061" s="37"/>
      <c r="NS3061" s="37"/>
      <c r="NT3061" s="37"/>
      <c r="NU3061" s="37"/>
      <c r="NV3061" s="37"/>
      <c r="NW3061" s="37"/>
      <c r="NX3061" s="37"/>
      <c r="NY3061" s="37"/>
      <c r="NZ3061" s="37"/>
      <c r="OA3061" s="37"/>
      <c r="OB3061" s="37"/>
      <c r="OC3061" s="37"/>
      <c r="OD3061" s="37"/>
      <c r="OE3061" s="37"/>
      <c r="OF3061" s="37"/>
      <c r="OG3061" s="37"/>
      <c r="OH3061" s="37"/>
      <c r="OI3061" s="37"/>
      <c r="OJ3061" s="37"/>
      <c r="OK3061" s="37"/>
      <c r="OL3061" s="37"/>
      <c r="OM3061" s="37"/>
      <c r="ON3061" s="37"/>
      <c r="OO3061" s="37"/>
      <c r="OP3061" s="37"/>
      <c r="OQ3061" s="37"/>
      <c r="OR3061" s="37"/>
      <c r="OS3061" s="37"/>
      <c r="OT3061" s="37"/>
      <c r="OU3061" s="37"/>
      <c r="OV3061" s="37"/>
      <c r="OW3061" s="37"/>
      <c r="OX3061" s="37"/>
      <c r="OY3061" s="37"/>
      <c r="OZ3061" s="37"/>
      <c r="PA3061" s="37"/>
      <c r="PB3061" s="37"/>
      <c r="PC3061" s="37"/>
      <c r="PD3061" s="37"/>
      <c r="PE3061" s="37"/>
      <c r="PF3061" s="37"/>
      <c r="PG3061" s="37"/>
      <c r="PH3061" s="37"/>
      <c r="PI3061" s="37"/>
      <c r="PJ3061" s="37"/>
      <c r="PK3061" s="37"/>
      <c r="PL3061" s="37"/>
      <c r="PM3061" s="37"/>
      <c r="PN3061" s="37"/>
      <c r="PO3061" s="37"/>
      <c r="PP3061" s="37"/>
      <c r="PQ3061" s="37"/>
      <c r="PR3061" s="37"/>
      <c r="PS3061" s="37"/>
      <c r="PT3061" s="37"/>
      <c r="PU3061" s="37"/>
      <c r="PV3061" s="37"/>
      <c r="PW3061" s="37"/>
      <c r="PX3061" s="37"/>
      <c r="PY3061" s="37"/>
      <c r="PZ3061" s="37"/>
      <c r="QA3061" s="37"/>
      <c r="QB3061" s="37"/>
      <c r="QC3061" s="37"/>
      <c r="QD3061" s="37"/>
      <c r="QE3061" s="37"/>
      <c r="QF3061" s="37"/>
      <c r="QG3061" s="37"/>
      <c r="QH3061" s="37"/>
      <c r="QI3061" s="37"/>
      <c r="QJ3061" s="37"/>
      <c r="QK3061" s="37"/>
      <c r="QL3061" s="37"/>
      <c r="QM3061" s="37"/>
      <c r="QN3061" s="37"/>
      <c r="QO3061" s="37"/>
      <c r="QP3061" s="37"/>
      <c r="QQ3061" s="37"/>
      <c r="QR3061" s="37"/>
      <c r="QS3061" s="37"/>
      <c r="QT3061" s="37"/>
      <c r="QU3061" s="37"/>
      <c r="QV3061" s="37"/>
      <c r="QW3061" s="37"/>
      <c r="QX3061" s="37"/>
      <c r="QY3061" s="37"/>
      <c r="QZ3061" s="37"/>
      <c r="RA3061" s="37"/>
      <c r="RB3061" s="37"/>
      <c r="RC3061" s="37"/>
      <c r="RD3061" s="37"/>
      <c r="RE3061" s="37"/>
      <c r="RF3061" s="37"/>
      <c r="RG3061" s="37"/>
      <c r="RH3061" s="37"/>
      <c r="RI3061" s="37"/>
      <c r="RJ3061" s="37"/>
      <c r="RK3061" s="37"/>
      <c r="RL3061" s="37"/>
      <c r="RM3061" s="37"/>
      <c r="RN3061" s="37"/>
      <c r="RO3061" s="37"/>
      <c r="RP3061" s="37"/>
      <c r="RQ3061" s="37"/>
      <c r="RR3061" s="37"/>
      <c r="RS3061" s="37"/>
      <c r="RT3061" s="37"/>
      <c r="RU3061" s="37"/>
      <c r="RV3061" s="37"/>
      <c r="RW3061" s="37"/>
      <c r="RX3061" s="37"/>
      <c r="RY3061" s="37"/>
      <c r="RZ3061" s="37"/>
      <c r="SA3061" s="37"/>
      <c r="SB3061" s="37"/>
      <c r="SC3061" s="37"/>
      <c r="SD3061" s="37"/>
      <c r="SE3061" s="37"/>
      <c r="SF3061" s="37"/>
    </row>
    <row r="3062" spans="1:500">
      <c r="A3062" s="37"/>
      <c r="B3062" s="37"/>
      <c r="C3062" s="37"/>
      <c r="D3062" s="37"/>
      <c r="E3062" s="37"/>
      <c r="F3062" s="37"/>
      <c r="G3062" s="37"/>
      <c r="H3062" s="37"/>
      <c r="I3062" s="37"/>
      <c r="J3062" s="37"/>
      <c r="K3062" s="37"/>
      <c r="L3062" s="37"/>
      <c r="M3062" s="37"/>
      <c r="N3062" s="37"/>
      <c r="O3062" s="37"/>
      <c r="P3062" s="37"/>
      <c r="Q3062" s="37"/>
      <c r="R3062" s="37"/>
      <c r="S3062" s="37"/>
      <c r="T3062" s="37"/>
      <c r="U3062" s="37"/>
      <c r="V3062" s="37"/>
      <c r="W3062" s="37"/>
      <c r="X3062" s="37"/>
      <c r="Y3062" s="37"/>
      <c r="Z3062" s="37"/>
      <c r="AA3062" s="37"/>
      <c r="AB3062" s="37"/>
      <c r="AC3062" s="37"/>
      <c r="AD3062" s="37"/>
      <c r="AE3062" s="37"/>
      <c r="AF3062" s="37"/>
      <c r="AG3062" s="37"/>
      <c r="AH3062" s="37"/>
      <c r="AI3062" s="37"/>
      <c r="AJ3062" s="37"/>
      <c r="AK3062" s="37"/>
      <c r="AL3062" s="37"/>
      <c r="AM3062" s="37"/>
      <c r="AN3062" s="37"/>
      <c r="AO3062" s="37"/>
      <c r="AP3062" s="37"/>
      <c r="AQ3062" s="37"/>
      <c r="AR3062" s="37"/>
      <c r="AS3062" s="37"/>
      <c r="AT3062" s="37"/>
      <c r="AU3062" s="37"/>
      <c r="AV3062" s="37"/>
      <c r="AW3062" s="37"/>
      <c r="AX3062" s="37"/>
      <c r="AY3062" s="37"/>
      <c r="AZ3062" s="37"/>
      <c r="BA3062" s="37"/>
      <c r="BB3062" s="37"/>
      <c r="BC3062" s="37"/>
      <c r="BD3062" s="37"/>
      <c r="BE3062" s="37"/>
      <c r="BF3062" s="37"/>
      <c r="BG3062" s="37"/>
      <c r="BH3062" s="37"/>
      <c r="BI3062" s="37"/>
      <c r="BJ3062" s="37"/>
      <c r="BK3062" s="37"/>
      <c r="BL3062" s="37"/>
      <c r="BM3062" s="37"/>
      <c r="BN3062" s="37"/>
      <c r="BO3062" s="37"/>
      <c r="BP3062" s="37"/>
      <c r="BQ3062" s="37"/>
      <c r="BR3062" s="37"/>
      <c r="BS3062" s="37"/>
      <c r="BT3062" s="37"/>
      <c r="BU3062" s="37"/>
      <c r="BV3062" s="37"/>
      <c r="BW3062" s="37"/>
      <c r="BX3062" s="37"/>
      <c r="BY3062" s="37"/>
      <c r="BZ3062" s="37"/>
      <c r="CA3062" s="37"/>
      <c r="CB3062" s="37"/>
      <c r="CC3062" s="37"/>
      <c r="CD3062" s="37"/>
      <c r="CE3062" s="37"/>
      <c r="CF3062" s="37"/>
      <c r="CG3062" s="37"/>
      <c r="CH3062" s="37"/>
      <c r="CI3062" s="37"/>
      <c r="CJ3062" s="37"/>
      <c r="CK3062" s="37"/>
      <c r="CL3062" s="37"/>
      <c r="CM3062" s="37"/>
      <c r="CN3062" s="37"/>
      <c r="CO3062" s="37"/>
      <c r="CP3062" s="37"/>
      <c r="CQ3062" s="37"/>
      <c r="CR3062" s="37"/>
      <c r="CS3062" s="37"/>
      <c r="CT3062" s="37"/>
      <c r="CU3062" s="37"/>
      <c r="CV3062" s="37"/>
      <c r="CW3062" s="37"/>
      <c r="CX3062" s="37"/>
      <c r="CY3062" s="37"/>
      <c r="CZ3062" s="37"/>
      <c r="DA3062" s="37"/>
      <c r="DB3062" s="37"/>
      <c r="DC3062" s="37"/>
      <c r="DD3062" s="37"/>
      <c r="DE3062" s="37"/>
      <c r="DF3062" s="37"/>
      <c r="DG3062" s="37"/>
      <c r="DH3062" s="37"/>
      <c r="DI3062" s="37"/>
      <c r="DJ3062" s="37"/>
      <c r="DK3062" s="37"/>
      <c r="DL3062" s="37"/>
      <c r="DM3062" s="37"/>
      <c r="DN3062" s="37"/>
      <c r="DO3062" s="37"/>
      <c r="DP3062" s="37"/>
      <c r="DQ3062" s="37"/>
      <c r="DR3062" s="37"/>
      <c r="DS3062" s="37"/>
      <c r="DT3062" s="37"/>
      <c r="DU3062" s="37"/>
      <c r="DV3062" s="37"/>
      <c r="DW3062" s="37"/>
      <c r="DX3062" s="37"/>
      <c r="DY3062" s="37"/>
      <c r="DZ3062" s="37"/>
      <c r="EA3062" s="37"/>
      <c r="EB3062" s="37"/>
      <c r="EC3062" s="37"/>
      <c r="ED3062" s="37"/>
      <c r="EE3062" s="37"/>
      <c r="EF3062" s="37"/>
      <c r="EG3062" s="37"/>
      <c r="EH3062" s="37"/>
      <c r="EI3062" s="37"/>
      <c r="EJ3062" s="37"/>
      <c r="EK3062" s="37"/>
      <c r="EL3062" s="37"/>
      <c r="EM3062" s="37"/>
      <c r="EN3062" s="37"/>
      <c r="EO3062" s="37"/>
      <c r="EP3062" s="37"/>
      <c r="EQ3062" s="37"/>
      <c r="ER3062" s="37"/>
      <c r="ES3062" s="37"/>
      <c r="ET3062" s="37"/>
      <c r="EU3062" s="37"/>
      <c r="EV3062" s="37"/>
      <c r="EW3062" s="37"/>
      <c r="EX3062" s="37"/>
      <c r="EY3062" s="37"/>
      <c r="EZ3062" s="37"/>
      <c r="FA3062" s="37"/>
      <c r="FB3062" s="37"/>
      <c r="FC3062" s="37"/>
      <c r="FD3062" s="37"/>
      <c r="FE3062" s="37"/>
      <c r="FF3062" s="37"/>
      <c r="FG3062" s="37"/>
      <c r="FH3062" s="37"/>
      <c r="FI3062" s="37"/>
      <c r="FJ3062" s="37"/>
      <c r="FK3062" s="37"/>
      <c r="FL3062" s="37"/>
      <c r="FM3062" s="37"/>
      <c r="FN3062" s="37"/>
      <c r="FO3062" s="37"/>
      <c r="FP3062" s="37"/>
      <c r="FQ3062" s="37"/>
      <c r="FR3062" s="37"/>
      <c r="FS3062" s="37"/>
      <c r="FT3062" s="37"/>
      <c r="FU3062" s="37"/>
      <c r="FV3062" s="37"/>
      <c r="FW3062" s="37"/>
      <c r="FX3062" s="37"/>
      <c r="FY3062" s="37"/>
      <c r="FZ3062" s="37"/>
      <c r="GA3062" s="37"/>
      <c r="GB3062" s="37"/>
      <c r="GC3062" s="37"/>
      <c r="GD3062" s="37"/>
      <c r="GE3062" s="37"/>
      <c r="GF3062" s="37"/>
      <c r="GG3062" s="37"/>
      <c r="GH3062" s="37"/>
      <c r="GI3062" s="37"/>
      <c r="GJ3062" s="37"/>
      <c r="GK3062" s="37"/>
      <c r="GL3062" s="37"/>
      <c r="GM3062" s="37"/>
      <c r="GN3062" s="37"/>
      <c r="GO3062" s="37"/>
      <c r="GP3062" s="37"/>
      <c r="GQ3062" s="37"/>
      <c r="GR3062" s="37"/>
      <c r="GS3062" s="37"/>
      <c r="GT3062" s="37"/>
      <c r="GU3062" s="37"/>
      <c r="GV3062" s="37"/>
      <c r="GW3062" s="37"/>
      <c r="GX3062" s="37"/>
      <c r="GY3062" s="37"/>
      <c r="GZ3062" s="37"/>
      <c r="HA3062" s="37"/>
      <c r="HB3062" s="37"/>
      <c r="HC3062" s="37"/>
      <c r="HD3062" s="37"/>
      <c r="HE3062" s="37"/>
      <c r="HF3062" s="37"/>
      <c r="HG3062" s="37"/>
      <c r="HH3062" s="37"/>
      <c r="HI3062" s="37"/>
      <c r="HJ3062" s="37"/>
      <c r="HK3062" s="37"/>
      <c r="HL3062" s="37"/>
      <c r="HM3062" s="37"/>
      <c r="HN3062" s="37"/>
      <c r="HO3062" s="37"/>
      <c r="HP3062" s="37"/>
      <c r="HQ3062" s="37"/>
      <c r="HR3062" s="37"/>
      <c r="HS3062" s="37"/>
      <c r="HT3062" s="37"/>
      <c r="HU3062" s="37"/>
      <c r="HV3062" s="37"/>
      <c r="HW3062" s="37"/>
      <c r="HX3062" s="37"/>
      <c r="HY3062" s="37"/>
      <c r="HZ3062" s="37"/>
      <c r="IA3062" s="37"/>
      <c r="IB3062" s="37"/>
      <c r="IC3062" s="37"/>
      <c r="ID3062" s="37"/>
      <c r="IE3062" s="37"/>
      <c r="IF3062" s="37"/>
      <c r="IG3062" s="37"/>
      <c r="IH3062" s="37"/>
      <c r="II3062" s="37"/>
      <c r="IJ3062" s="37"/>
      <c r="IK3062" s="37"/>
      <c r="IL3062" s="37"/>
      <c r="IM3062" s="37"/>
      <c r="IN3062" s="37"/>
      <c r="IO3062" s="37"/>
      <c r="IP3062" s="37"/>
      <c r="IQ3062" s="37"/>
      <c r="IR3062" s="37"/>
      <c r="IS3062" s="37"/>
      <c r="IT3062" s="37"/>
      <c r="IU3062" s="37"/>
      <c r="IV3062" s="37"/>
      <c r="IW3062" s="37"/>
      <c r="IX3062" s="37"/>
      <c r="IY3062" s="37"/>
      <c r="IZ3062" s="37"/>
      <c r="JA3062" s="37"/>
      <c r="JB3062" s="37"/>
      <c r="JC3062" s="37"/>
      <c r="JD3062" s="37"/>
      <c r="JE3062" s="37"/>
      <c r="JF3062" s="37"/>
      <c r="JG3062" s="37"/>
      <c r="JH3062" s="37"/>
      <c r="JI3062" s="37"/>
      <c r="JJ3062" s="37"/>
      <c r="JK3062" s="37"/>
      <c r="JL3062" s="37"/>
      <c r="JM3062" s="37"/>
      <c r="JN3062" s="37"/>
      <c r="JO3062" s="37"/>
      <c r="JP3062" s="37"/>
      <c r="JQ3062" s="37"/>
      <c r="JR3062" s="37"/>
      <c r="JS3062" s="37"/>
      <c r="JT3062" s="37"/>
      <c r="JU3062" s="37"/>
      <c r="JV3062" s="37"/>
      <c r="JW3062" s="37"/>
      <c r="JX3062" s="37"/>
      <c r="JY3062" s="37"/>
      <c r="JZ3062" s="37"/>
      <c r="KA3062" s="37"/>
      <c r="KB3062" s="37"/>
      <c r="KC3062" s="37"/>
      <c r="KD3062" s="37"/>
      <c r="KE3062" s="37"/>
      <c r="KF3062" s="37"/>
      <c r="KG3062" s="37"/>
      <c r="KH3062" s="37"/>
      <c r="KI3062" s="37"/>
      <c r="KJ3062" s="37"/>
      <c r="KK3062" s="37"/>
      <c r="KL3062" s="37"/>
      <c r="KM3062" s="37"/>
      <c r="KN3062" s="37"/>
      <c r="KO3062" s="37"/>
      <c r="KP3062" s="37"/>
      <c r="KQ3062" s="37"/>
      <c r="KR3062" s="37"/>
      <c r="KS3062" s="37"/>
      <c r="KT3062" s="37"/>
      <c r="KU3062" s="37"/>
      <c r="KV3062" s="37"/>
      <c r="KW3062" s="37"/>
      <c r="KX3062" s="37"/>
      <c r="KY3062" s="37"/>
      <c r="KZ3062" s="37"/>
      <c r="LA3062" s="37"/>
      <c r="LB3062" s="37"/>
      <c r="LC3062" s="37"/>
      <c r="LD3062" s="37"/>
      <c r="LE3062" s="37"/>
      <c r="LF3062" s="37"/>
      <c r="LG3062" s="37"/>
      <c r="LH3062" s="37"/>
      <c r="LI3062" s="37"/>
      <c r="LJ3062" s="37"/>
      <c r="LK3062" s="37"/>
      <c r="LL3062" s="37"/>
      <c r="LM3062" s="37"/>
      <c r="LN3062" s="37"/>
      <c r="LO3062" s="37"/>
      <c r="LP3062" s="37"/>
      <c r="LQ3062" s="37"/>
      <c r="LR3062" s="37"/>
      <c r="LS3062" s="37"/>
      <c r="LT3062" s="37"/>
      <c r="LU3062" s="37"/>
      <c r="LV3062" s="37"/>
      <c r="LW3062" s="37"/>
      <c r="LX3062" s="37"/>
      <c r="LY3062" s="37"/>
      <c r="LZ3062" s="37"/>
      <c r="MA3062" s="37"/>
      <c r="MB3062" s="37"/>
      <c r="MC3062" s="37"/>
      <c r="MD3062" s="37"/>
      <c r="ME3062" s="37"/>
      <c r="MF3062" s="37"/>
      <c r="MG3062" s="37"/>
      <c r="MH3062" s="37"/>
      <c r="MI3062" s="37"/>
      <c r="MJ3062" s="37"/>
      <c r="MK3062" s="37"/>
      <c r="ML3062" s="37"/>
      <c r="MM3062" s="37"/>
      <c r="MN3062" s="37"/>
      <c r="MO3062" s="37"/>
      <c r="MP3062" s="37"/>
      <c r="MQ3062" s="37"/>
      <c r="MR3062" s="37"/>
      <c r="MS3062" s="37"/>
      <c r="MT3062" s="37"/>
      <c r="MU3062" s="37"/>
      <c r="MV3062" s="37"/>
      <c r="MW3062" s="37"/>
      <c r="MX3062" s="37"/>
      <c r="MY3062" s="37"/>
      <c r="MZ3062" s="37"/>
      <c r="NA3062" s="37"/>
      <c r="NB3062" s="37"/>
      <c r="NC3062" s="37"/>
      <c r="ND3062" s="37"/>
      <c r="NE3062" s="37"/>
      <c r="NF3062" s="37"/>
      <c r="NG3062" s="37"/>
      <c r="NH3062" s="37"/>
      <c r="NI3062" s="37"/>
      <c r="NJ3062" s="37"/>
      <c r="NK3062" s="37"/>
      <c r="NL3062" s="37"/>
      <c r="NM3062" s="37"/>
      <c r="NN3062" s="37"/>
      <c r="NO3062" s="37"/>
      <c r="NP3062" s="37"/>
      <c r="NQ3062" s="37"/>
      <c r="NR3062" s="37"/>
      <c r="NS3062" s="37"/>
      <c r="NT3062" s="37"/>
      <c r="NU3062" s="37"/>
      <c r="NV3062" s="37"/>
      <c r="NW3062" s="37"/>
      <c r="NX3062" s="37"/>
      <c r="NY3062" s="37"/>
      <c r="NZ3062" s="37"/>
      <c r="OA3062" s="37"/>
      <c r="OB3062" s="37"/>
      <c r="OC3062" s="37"/>
      <c r="OD3062" s="37"/>
      <c r="OE3062" s="37"/>
      <c r="OF3062" s="37"/>
      <c r="OG3062" s="37"/>
      <c r="OH3062" s="37"/>
      <c r="OI3062" s="37"/>
      <c r="OJ3062" s="37"/>
      <c r="OK3062" s="37"/>
      <c r="OL3062" s="37"/>
      <c r="OM3062" s="37"/>
      <c r="ON3062" s="37"/>
      <c r="OO3062" s="37"/>
      <c r="OP3062" s="37"/>
      <c r="OQ3062" s="37"/>
      <c r="OR3062" s="37"/>
      <c r="OS3062" s="37"/>
      <c r="OT3062" s="37"/>
      <c r="OU3062" s="37"/>
      <c r="OV3062" s="37"/>
      <c r="OW3062" s="37"/>
      <c r="OX3062" s="37"/>
      <c r="OY3062" s="37"/>
      <c r="OZ3062" s="37"/>
      <c r="PA3062" s="37"/>
      <c r="PB3062" s="37"/>
      <c r="PC3062" s="37"/>
      <c r="PD3062" s="37"/>
      <c r="PE3062" s="37"/>
      <c r="PF3062" s="37"/>
      <c r="PG3062" s="37"/>
      <c r="PH3062" s="37"/>
      <c r="PI3062" s="37"/>
      <c r="PJ3062" s="37"/>
      <c r="PK3062" s="37"/>
      <c r="PL3062" s="37"/>
      <c r="PM3062" s="37"/>
      <c r="PN3062" s="37"/>
      <c r="PO3062" s="37"/>
      <c r="PP3062" s="37"/>
      <c r="PQ3062" s="37"/>
      <c r="PR3062" s="37"/>
      <c r="PS3062" s="37"/>
      <c r="PT3062" s="37"/>
      <c r="PU3062" s="37"/>
      <c r="PV3062" s="37"/>
      <c r="PW3062" s="37"/>
      <c r="PX3062" s="37"/>
      <c r="PY3062" s="37"/>
      <c r="PZ3062" s="37"/>
      <c r="QA3062" s="37"/>
      <c r="QB3062" s="37"/>
      <c r="QC3062" s="37"/>
      <c r="QD3062" s="37"/>
      <c r="QE3062" s="37"/>
      <c r="QF3062" s="37"/>
      <c r="QG3062" s="37"/>
      <c r="QH3062" s="37"/>
      <c r="QI3062" s="37"/>
      <c r="QJ3062" s="37"/>
      <c r="QK3062" s="37"/>
      <c r="QL3062" s="37"/>
      <c r="QM3062" s="37"/>
      <c r="QN3062" s="37"/>
      <c r="QO3062" s="37"/>
      <c r="QP3062" s="37"/>
      <c r="QQ3062" s="37"/>
      <c r="QR3062" s="37"/>
      <c r="QS3062" s="37"/>
      <c r="QT3062" s="37"/>
      <c r="QU3062" s="37"/>
      <c r="QV3062" s="37"/>
      <c r="QW3062" s="37"/>
      <c r="QX3062" s="37"/>
      <c r="QY3062" s="37"/>
      <c r="QZ3062" s="37"/>
      <c r="RA3062" s="37"/>
      <c r="RB3062" s="37"/>
      <c r="RC3062" s="37"/>
      <c r="RD3062" s="37"/>
      <c r="RE3062" s="37"/>
      <c r="RF3062" s="37"/>
      <c r="RG3062" s="37"/>
      <c r="RH3062" s="37"/>
      <c r="RI3062" s="37"/>
      <c r="RJ3062" s="37"/>
      <c r="RK3062" s="37"/>
      <c r="RL3062" s="37"/>
      <c r="RM3062" s="37"/>
      <c r="RN3062" s="37"/>
      <c r="RO3062" s="37"/>
      <c r="RP3062" s="37"/>
      <c r="RQ3062" s="37"/>
      <c r="RR3062" s="37"/>
      <c r="RS3062" s="37"/>
      <c r="RT3062" s="37"/>
      <c r="RU3062" s="37"/>
      <c r="RV3062" s="37"/>
      <c r="RW3062" s="37"/>
      <c r="RX3062" s="37"/>
      <c r="RY3062" s="37"/>
      <c r="RZ3062" s="37"/>
      <c r="SA3062" s="37"/>
      <c r="SB3062" s="37"/>
      <c r="SC3062" s="37"/>
      <c r="SD3062" s="37"/>
      <c r="SE3062" s="37"/>
      <c r="SF3062" s="37"/>
    </row>
    <row r="3063" spans="1:500">
      <c r="A3063" s="37"/>
      <c r="B3063" s="37"/>
      <c r="C3063" s="37"/>
      <c r="D3063" s="37"/>
      <c r="E3063" s="37"/>
      <c r="F3063" s="37"/>
      <c r="G3063" s="37"/>
      <c r="H3063" s="37"/>
      <c r="I3063" s="37"/>
      <c r="J3063" s="37"/>
      <c r="K3063" s="37"/>
      <c r="L3063" s="37"/>
      <c r="M3063" s="37"/>
      <c r="N3063" s="37"/>
      <c r="O3063" s="37"/>
      <c r="P3063" s="37"/>
      <c r="Q3063" s="37"/>
      <c r="R3063" s="37"/>
      <c r="S3063" s="37"/>
      <c r="T3063" s="37"/>
      <c r="U3063" s="37"/>
      <c r="V3063" s="37"/>
      <c r="W3063" s="37"/>
      <c r="X3063" s="37"/>
      <c r="Y3063" s="37"/>
      <c r="Z3063" s="37"/>
      <c r="AA3063" s="37"/>
      <c r="AB3063" s="37"/>
      <c r="AC3063" s="37"/>
      <c r="AD3063" s="37"/>
      <c r="AE3063" s="37"/>
      <c r="AF3063" s="37"/>
      <c r="AG3063" s="37"/>
      <c r="AH3063" s="37"/>
      <c r="AI3063" s="37"/>
      <c r="AJ3063" s="37"/>
      <c r="AK3063" s="37"/>
      <c r="AL3063" s="37"/>
      <c r="AM3063" s="37"/>
      <c r="AN3063" s="37"/>
      <c r="AO3063" s="37"/>
      <c r="AP3063" s="37"/>
      <c r="AQ3063" s="37"/>
      <c r="AR3063" s="37"/>
      <c r="AS3063" s="37"/>
      <c r="AT3063" s="37"/>
      <c r="AU3063" s="37"/>
      <c r="AV3063" s="37"/>
      <c r="AW3063" s="37"/>
      <c r="AX3063" s="37"/>
      <c r="AY3063" s="37"/>
      <c r="AZ3063" s="37"/>
      <c r="BA3063" s="37"/>
      <c r="BB3063" s="37"/>
      <c r="BC3063" s="37"/>
      <c r="BD3063" s="37"/>
      <c r="BE3063" s="37"/>
      <c r="BF3063" s="37"/>
      <c r="BG3063" s="37"/>
      <c r="BH3063" s="37"/>
      <c r="BI3063" s="37"/>
      <c r="BJ3063" s="37"/>
      <c r="BK3063" s="37"/>
      <c r="BL3063" s="37"/>
      <c r="BM3063" s="37"/>
      <c r="BN3063" s="37"/>
      <c r="BO3063" s="37"/>
      <c r="BP3063" s="37"/>
      <c r="BQ3063" s="37"/>
      <c r="BR3063" s="37"/>
      <c r="BS3063" s="37"/>
      <c r="BT3063" s="37"/>
      <c r="BU3063" s="37"/>
      <c r="BV3063" s="37"/>
      <c r="BW3063" s="37"/>
      <c r="BX3063" s="37"/>
      <c r="BY3063" s="37"/>
      <c r="BZ3063" s="37"/>
      <c r="CA3063" s="37"/>
      <c r="CB3063" s="37"/>
      <c r="CC3063" s="37"/>
      <c r="CD3063" s="37"/>
      <c r="CE3063" s="37"/>
      <c r="CF3063" s="37"/>
      <c r="CG3063" s="37"/>
      <c r="CH3063" s="37"/>
      <c r="CI3063" s="37"/>
      <c r="CJ3063" s="37"/>
      <c r="CK3063" s="37"/>
      <c r="CL3063" s="37"/>
      <c r="CM3063" s="37"/>
      <c r="CN3063" s="37"/>
      <c r="CO3063" s="37"/>
      <c r="CP3063" s="37"/>
      <c r="CQ3063" s="37"/>
      <c r="CR3063" s="37"/>
      <c r="CS3063" s="37"/>
      <c r="CT3063" s="37"/>
      <c r="CU3063" s="37"/>
      <c r="CV3063" s="37"/>
      <c r="CW3063" s="37"/>
      <c r="CX3063" s="37"/>
      <c r="CY3063" s="37"/>
      <c r="CZ3063" s="37"/>
      <c r="DA3063" s="37"/>
      <c r="DB3063" s="37"/>
      <c r="DC3063" s="37"/>
      <c r="DD3063" s="37"/>
      <c r="DE3063" s="37"/>
      <c r="DF3063" s="37"/>
      <c r="DG3063" s="37"/>
      <c r="DH3063" s="37"/>
      <c r="DI3063" s="37"/>
      <c r="DJ3063" s="37"/>
      <c r="DK3063" s="37"/>
      <c r="DL3063" s="37"/>
      <c r="DM3063" s="37"/>
      <c r="DN3063" s="37"/>
      <c r="DO3063" s="37"/>
      <c r="DP3063" s="37"/>
      <c r="DQ3063" s="37"/>
      <c r="DR3063" s="37"/>
      <c r="DS3063" s="37"/>
      <c r="DT3063" s="37"/>
      <c r="DU3063" s="37"/>
      <c r="DV3063" s="37"/>
      <c r="DW3063" s="37"/>
      <c r="DX3063" s="37"/>
      <c r="DY3063" s="37"/>
      <c r="DZ3063" s="37"/>
      <c r="EA3063" s="37"/>
      <c r="EB3063" s="37"/>
      <c r="EC3063" s="37"/>
      <c r="ED3063" s="37"/>
      <c r="EE3063" s="37"/>
      <c r="EF3063" s="37"/>
      <c r="EG3063" s="37"/>
      <c r="EH3063" s="37"/>
      <c r="EI3063" s="37"/>
      <c r="EJ3063" s="37"/>
      <c r="EK3063" s="37"/>
      <c r="EL3063" s="37"/>
      <c r="EM3063" s="37"/>
      <c r="EN3063" s="37"/>
      <c r="EO3063" s="37"/>
      <c r="EP3063" s="37"/>
      <c r="EQ3063" s="37"/>
      <c r="ER3063" s="37"/>
      <c r="ES3063" s="37"/>
      <c r="ET3063" s="37"/>
      <c r="EU3063" s="37"/>
      <c r="EV3063" s="37"/>
      <c r="EW3063" s="37"/>
      <c r="EX3063" s="37"/>
      <c r="EY3063" s="37"/>
      <c r="EZ3063" s="37"/>
      <c r="FA3063" s="37"/>
      <c r="FB3063" s="37"/>
      <c r="FC3063" s="37"/>
      <c r="FD3063" s="37"/>
      <c r="FE3063" s="37"/>
      <c r="FF3063" s="37"/>
      <c r="FG3063" s="37"/>
      <c r="FH3063" s="37"/>
      <c r="FI3063" s="37"/>
      <c r="FJ3063" s="37"/>
      <c r="FK3063" s="37"/>
      <c r="FL3063" s="37"/>
      <c r="FM3063" s="37"/>
      <c r="FN3063" s="37"/>
      <c r="FO3063" s="37"/>
      <c r="FP3063" s="37"/>
      <c r="FQ3063" s="37"/>
      <c r="FR3063" s="37"/>
      <c r="FS3063" s="37"/>
      <c r="FT3063" s="37"/>
      <c r="FU3063" s="37"/>
      <c r="FV3063" s="37"/>
      <c r="FW3063" s="37"/>
      <c r="FX3063" s="37"/>
      <c r="FY3063" s="37"/>
      <c r="FZ3063" s="37"/>
      <c r="GA3063" s="37"/>
      <c r="GB3063" s="37"/>
      <c r="GC3063" s="37"/>
      <c r="GD3063" s="37"/>
      <c r="GE3063" s="37"/>
      <c r="GF3063" s="37"/>
      <c r="GG3063" s="37"/>
      <c r="GH3063" s="37"/>
      <c r="GI3063" s="37"/>
      <c r="GJ3063" s="37"/>
      <c r="GK3063" s="37"/>
      <c r="GL3063" s="37"/>
      <c r="GM3063" s="37"/>
      <c r="GN3063" s="37"/>
      <c r="GO3063" s="37"/>
      <c r="GP3063" s="37"/>
      <c r="GQ3063" s="37"/>
      <c r="GR3063" s="37"/>
      <c r="GS3063" s="37"/>
      <c r="GT3063" s="37"/>
      <c r="GU3063" s="37"/>
      <c r="GV3063" s="37"/>
      <c r="GW3063" s="37"/>
      <c r="GX3063" s="37"/>
      <c r="GY3063" s="37"/>
      <c r="GZ3063" s="37"/>
      <c r="HA3063" s="37"/>
      <c r="HB3063" s="37"/>
      <c r="HC3063" s="37"/>
      <c r="HD3063" s="37"/>
      <c r="HE3063" s="37"/>
      <c r="HF3063" s="37"/>
      <c r="HG3063" s="37"/>
      <c r="HH3063" s="37"/>
      <c r="HI3063" s="37"/>
      <c r="HJ3063" s="37"/>
      <c r="HK3063" s="37"/>
      <c r="HL3063" s="37"/>
      <c r="HM3063" s="37"/>
      <c r="HN3063" s="37"/>
      <c r="HO3063" s="37"/>
      <c r="HP3063" s="37"/>
      <c r="HQ3063" s="37"/>
      <c r="HR3063" s="37"/>
      <c r="HS3063" s="37"/>
      <c r="HT3063" s="37"/>
      <c r="HU3063" s="37"/>
      <c r="HV3063" s="37"/>
      <c r="HW3063" s="37"/>
      <c r="HX3063" s="37"/>
      <c r="HY3063" s="37"/>
      <c r="HZ3063" s="37"/>
      <c r="IA3063" s="37"/>
      <c r="IB3063" s="37"/>
      <c r="IC3063" s="37"/>
      <c r="ID3063" s="37"/>
      <c r="IE3063" s="37"/>
      <c r="IF3063" s="37"/>
      <c r="IG3063" s="37"/>
      <c r="IH3063" s="37"/>
      <c r="II3063" s="37"/>
      <c r="IJ3063" s="37"/>
      <c r="IK3063" s="37"/>
      <c r="IL3063" s="37"/>
      <c r="IM3063" s="37"/>
      <c r="IN3063" s="37"/>
      <c r="IO3063" s="37"/>
      <c r="IP3063" s="37"/>
      <c r="IQ3063" s="37"/>
      <c r="IR3063" s="37"/>
      <c r="IS3063" s="37"/>
      <c r="IT3063" s="37"/>
      <c r="IU3063" s="37"/>
      <c r="IV3063" s="37"/>
      <c r="IW3063" s="37"/>
      <c r="IX3063" s="37"/>
      <c r="IY3063" s="37"/>
      <c r="IZ3063" s="37"/>
      <c r="JA3063" s="37"/>
      <c r="JB3063" s="37"/>
      <c r="JC3063" s="37"/>
      <c r="JD3063" s="37"/>
      <c r="JE3063" s="37"/>
      <c r="JF3063" s="37"/>
      <c r="JG3063" s="37"/>
      <c r="JH3063" s="37"/>
      <c r="JI3063" s="37"/>
      <c r="JJ3063" s="37"/>
      <c r="JK3063" s="37"/>
      <c r="JL3063" s="37"/>
      <c r="JM3063" s="37"/>
      <c r="JN3063" s="37"/>
      <c r="JO3063" s="37"/>
      <c r="JP3063" s="37"/>
      <c r="JQ3063" s="37"/>
      <c r="JR3063" s="37"/>
      <c r="JS3063" s="37"/>
      <c r="JT3063" s="37"/>
      <c r="JU3063" s="37"/>
      <c r="JV3063" s="37"/>
      <c r="JW3063" s="37"/>
      <c r="JX3063" s="37"/>
      <c r="JY3063" s="37"/>
      <c r="JZ3063" s="37"/>
      <c r="KA3063" s="37"/>
      <c r="KB3063" s="37"/>
      <c r="KC3063" s="37"/>
      <c r="KD3063" s="37"/>
      <c r="KE3063" s="37"/>
      <c r="KF3063" s="37"/>
      <c r="KG3063" s="37"/>
      <c r="KH3063" s="37"/>
      <c r="KI3063" s="37"/>
      <c r="KJ3063" s="37"/>
      <c r="KK3063" s="37"/>
      <c r="KL3063" s="37"/>
      <c r="KM3063" s="37"/>
      <c r="KN3063" s="37"/>
      <c r="KO3063" s="37"/>
      <c r="KP3063" s="37"/>
      <c r="KQ3063" s="37"/>
      <c r="KR3063" s="37"/>
      <c r="KS3063" s="37"/>
      <c r="KT3063" s="37"/>
      <c r="KU3063" s="37"/>
      <c r="KV3063" s="37"/>
      <c r="KW3063" s="37"/>
      <c r="KX3063" s="37"/>
      <c r="KY3063" s="37"/>
      <c r="KZ3063" s="37"/>
      <c r="LA3063" s="37"/>
      <c r="LB3063" s="37"/>
      <c r="LC3063" s="37"/>
      <c r="LD3063" s="37"/>
      <c r="LE3063" s="37"/>
      <c r="LF3063" s="37"/>
      <c r="LG3063" s="37"/>
      <c r="LH3063" s="37"/>
      <c r="LI3063" s="37"/>
      <c r="LJ3063" s="37"/>
      <c r="LK3063" s="37"/>
      <c r="LL3063" s="37"/>
      <c r="LM3063" s="37"/>
      <c r="LN3063" s="37"/>
      <c r="LO3063" s="37"/>
      <c r="LP3063" s="37"/>
      <c r="LQ3063" s="37"/>
      <c r="LR3063" s="37"/>
      <c r="LS3063" s="37"/>
      <c r="LT3063" s="37"/>
      <c r="LU3063" s="37"/>
      <c r="LV3063" s="37"/>
      <c r="LW3063" s="37"/>
      <c r="LX3063" s="37"/>
      <c r="LY3063" s="37"/>
      <c r="LZ3063" s="37"/>
      <c r="MA3063" s="37"/>
      <c r="MB3063" s="37"/>
      <c r="MC3063" s="37"/>
      <c r="MD3063" s="37"/>
      <c r="ME3063" s="37"/>
      <c r="MF3063" s="37"/>
      <c r="MG3063" s="37"/>
      <c r="MH3063" s="37"/>
      <c r="MI3063" s="37"/>
      <c r="MJ3063" s="37"/>
      <c r="MK3063" s="37"/>
      <c r="ML3063" s="37"/>
      <c r="MM3063" s="37"/>
      <c r="MN3063" s="37"/>
      <c r="MO3063" s="37"/>
      <c r="MP3063" s="37"/>
      <c r="MQ3063" s="37"/>
      <c r="MR3063" s="37"/>
      <c r="MS3063" s="37"/>
      <c r="MT3063" s="37"/>
      <c r="MU3063" s="37"/>
      <c r="MV3063" s="37"/>
      <c r="MW3063" s="37"/>
      <c r="MX3063" s="37"/>
      <c r="MY3063" s="37"/>
      <c r="MZ3063" s="37"/>
      <c r="NA3063" s="37"/>
      <c r="NB3063" s="37"/>
      <c r="NC3063" s="37"/>
      <c r="ND3063" s="37"/>
      <c r="NE3063" s="37"/>
      <c r="NF3063" s="37"/>
      <c r="NG3063" s="37"/>
      <c r="NH3063" s="37"/>
      <c r="NI3063" s="37"/>
      <c r="NJ3063" s="37"/>
      <c r="NK3063" s="37"/>
      <c r="NL3063" s="37"/>
      <c r="NM3063" s="37"/>
      <c r="NN3063" s="37"/>
      <c r="NO3063" s="37"/>
      <c r="NP3063" s="37"/>
      <c r="NQ3063" s="37"/>
      <c r="NR3063" s="37"/>
      <c r="NS3063" s="37"/>
      <c r="NT3063" s="37"/>
      <c r="NU3063" s="37"/>
      <c r="NV3063" s="37"/>
      <c r="NW3063" s="37"/>
      <c r="NX3063" s="37"/>
      <c r="NY3063" s="37"/>
      <c r="NZ3063" s="37"/>
      <c r="OA3063" s="37"/>
      <c r="OB3063" s="37"/>
      <c r="OC3063" s="37"/>
      <c r="OD3063" s="37"/>
      <c r="OE3063" s="37"/>
      <c r="OF3063" s="37"/>
      <c r="OG3063" s="37"/>
      <c r="OH3063" s="37"/>
      <c r="OI3063" s="37"/>
      <c r="OJ3063" s="37"/>
      <c r="OK3063" s="37"/>
      <c r="OL3063" s="37"/>
      <c r="OM3063" s="37"/>
      <c r="ON3063" s="37"/>
      <c r="OO3063" s="37"/>
      <c r="OP3063" s="37"/>
      <c r="OQ3063" s="37"/>
      <c r="OR3063" s="37"/>
      <c r="OS3063" s="37"/>
      <c r="OT3063" s="37"/>
      <c r="OU3063" s="37"/>
      <c r="OV3063" s="37"/>
      <c r="OW3063" s="37"/>
      <c r="OX3063" s="37"/>
      <c r="OY3063" s="37"/>
      <c r="OZ3063" s="37"/>
      <c r="PA3063" s="37"/>
      <c r="PB3063" s="37"/>
      <c r="PC3063" s="37"/>
      <c r="PD3063" s="37"/>
      <c r="PE3063" s="37"/>
      <c r="PF3063" s="37"/>
      <c r="PG3063" s="37"/>
      <c r="PH3063" s="37"/>
      <c r="PI3063" s="37"/>
      <c r="PJ3063" s="37"/>
      <c r="PK3063" s="37"/>
      <c r="PL3063" s="37"/>
      <c r="PM3063" s="37"/>
      <c r="PN3063" s="37"/>
      <c r="PO3063" s="37"/>
      <c r="PP3063" s="37"/>
      <c r="PQ3063" s="37"/>
      <c r="PR3063" s="37"/>
      <c r="PS3063" s="37"/>
      <c r="PT3063" s="37"/>
      <c r="PU3063" s="37"/>
      <c r="PV3063" s="37"/>
      <c r="PW3063" s="37"/>
      <c r="PX3063" s="37"/>
      <c r="PY3063" s="37"/>
      <c r="PZ3063" s="37"/>
      <c r="QA3063" s="37"/>
      <c r="QB3063" s="37"/>
      <c r="QC3063" s="37"/>
      <c r="QD3063" s="37"/>
      <c r="QE3063" s="37"/>
      <c r="QF3063" s="37"/>
      <c r="QG3063" s="37"/>
      <c r="QH3063" s="37"/>
      <c r="QI3063" s="37"/>
      <c r="QJ3063" s="37"/>
      <c r="QK3063" s="37"/>
      <c r="QL3063" s="37"/>
      <c r="QM3063" s="37"/>
      <c r="QN3063" s="37"/>
      <c r="QO3063" s="37"/>
      <c r="QP3063" s="37"/>
      <c r="QQ3063" s="37"/>
      <c r="QR3063" s="37"/>
      <c r="QS3063" s="37"/>
      <c r="QT3063" s="37"/>
      <c r="QU3063" s="37"/>
      <c r="QV3063" s="37"/>
      <c r="QW3063" s="37"/>
      <c r="QX3063" s="37"/>
      <c r="QY3063" s="37"/>
      <c r="QZ3063" s="37"/>
      <c r="RA3063" s="37"/>
      <c r="RB3063" s="37"/>
      <c r="RC3063" s="37"/>
      <c r="RD3063" s="37"/>
      <c r="RE3063" s="37"/>
      <c r="RF3063" s="37"/>
      <c r="RG3063" s="37"/>
      <c r="RH3063" s="37"/>
      <c r="RI3063" s="37"/>
      <c r="RJ3063" s="37"/>
      <c r="RK3063" s="37"/>
      <c r="RL3063" s="37"/>
      <c r="RM3063" s="37"/>
      <c r="RN3063" s="37"/>
      <c r="RO3063" s="37"/>
      <c r="RP3063" s="37"/>
      <c r="RQ3063" s="37"/>
      <c r="RR3063" s="37"/>
      <c r="RS3063" s="37"/>
      <c r="RT3063" s="37"/>
      <c r="RU3063" s="37"/>
      <c r="RV3063" s="37"/>
      <c r="RW3063" s="37"/>
      <c r="RX3063" s="37"/>
      <c r="RY3063" s="37"/>
      <c r="RZ3063" s="37"/>
      <c r="SA3063" s="37"/>
      <c r="SB3063" s="37"/>
      <c r="SC3063" s="37"/>
      <c r="SD3063" s="37"/>
      <c r="SE3063" s="37"/>
      <c r="SF3063" s="37"/>
    </row>
    <row r="3064" spans="1:500">
      <c r="A3064" s="37"/>
      <c r="B3064" s="37"/>
      <c r="C3064" s="37"/>
      <c r="D3064" s="37"/>
      <c r="E3064" s="37"/>
      <c r="F3064" s="37"/>
      <c r="G3064" s="37"/>
      <c r="H3064" s="37"/>
      <c r="I3064" s="37"/>
      <c r="J3064" s="37"/>
      <c r="K3064" s="37"/>
      <c r="L3064" s="37"/>
      <c r="M3064" s="37"/>
      <c r="N3064" s="37"/>
      <c r="O3064" s="37"/>
      <c r="P3064" s="37"/>
      <c r="Q3064" s="37"/>
      <c r="R3064" s="37"/>
      <c r="S3064" s="37"/>
      <c r="T3064" s="37"/>
      <c r="U3064" s="37"/>
      <c r="V3064" s="37"/>
      <c r="W3064" s="37"/>
      <c r="X3064" s="37"/>
      <c r="Y3064" s="37"/>
      <c r="Z3064" s="37"/>
      <c r="AA3064" s="37"/>
      <c r="AB3064" s="37"/>
      <c r="AC3064" s="37"/>
      <c r="AD3064" s="37"/>
      <c r="AE3064" s="37"/>
      <c r="AF3064" s="37"/>
      <c r="AG3064" s="37"/>
      <c r="AH3064" s="37"/>
      <c r="AI3064" s="37"/>
      <c r="AJ3064" s="37"/>
      <c r="AK3064" s="37"/>
      <c r="AL3064" s="37"/>
      <c r="AM3064" s="37"/>
      <c r="AN3064" s="37"/>
      <c r="AO3064" s="37"/>
      <c r="AP3064" s="37"/>
      <c r="AQ3064" s="37"/>
      <c r="AR3064" s="37"/>
      <c r="AS3064" s="37"/>
      <c r="AT3064" s="37"/>
      <c r="AU3064" s="37"/>
      <c r="AV3064" s="37"/>
      <c r="AW3064" s="37"/>
      <c r="AX3064" s="37"/>
      <c r="AY3064" s="37"/>
      <c r="AZ3064" s="37"/>
      <c r="BA3064" s="37"/>
      <c r="BB3064" s="37"/>
      <c r="BC3064" s="37"/>
      <c r="BD3064" s="37"/>
      <c r="BE3064" s="37"/>
      <c r="BF3064" s="37"/>
      <c r="BG3064" s="37"/>
      <c r="BH3064" s="37"/>
      <c r="BI3064" s="37"/>
      <c r="BJ3064" s="37"/>
      <c r="BK3064" s="37"/>
      <c r="BL3064" s="37"/>
      <c r="BM3064" s="37"/>
      <c r="BN3064" s="37"/>
      <c r="BO3064" s="37"/>
      <c r="BP3064" s="37"/>
      <c r="BQ3064" s="37"/>
      <c r="BR3064" s="37"/>
      <c r="BS3064" s="37"/>
      <c r="BT3064" s="37"/>
      <c r="BU3064" s="37"/>
      <c r="BV3064" s="37"/>
      <c r="BW3064" s="37"/>
      <c r="BX3064" s="37"/>
      <c r="BY3064" s="37"/>
      <c r="BZ3064" s="37"/>
      <c r="CA3064" s="37"/>
      <c r="CB3064" s="37"/>
      <c r="CC3064" s="37"/>
      <c r="CD3064" s="37"/>
      <c r="CE3064" s="37"/>
      <c r="CF3064" s="37"/>
      <c r="CG3064" s="37"/>
      <c r="CH3064" s="37"/>
      <c r="CI3064" s="37"/>
      <c r="CJ3064" s="37"/>
      <c r="CK3064" s="37"/>
      <c r="CL3064" s="37"/>
      <c r="CM3064" s="37"/>
      <c r="CN3064" s="37"/>
      <c r="CO3064" s="37"/>
      <c r="CP3064" s="37"/>
      <c r="CQ3064" s="37"/>
      <c r="CR3064" s="37"/>
      <c r="CS3064" s="37"/>
      <c r="CT3064" s="37"/>
      <c r="CU3064" s="37"/>
      <c r="CV3064" s="37"/>
      <c r="CW3064" s="37"/>
      <c r="CX3064" s="37"/>
      <c r="CY3064" s="37"/>
      <c r="CZ3064" s="37"/>
      <c r="DA3064" s="37"/>
      <c r="DB3064" s="37"/>
      <c r="DC3064" s="37"/>
      <c r="DD3064" s="37"/>
      <c r="DE3064" s="37"/>
      <c r="DF3064" s="37"/>
      <c r="DG3064" s="37"/>
      <c r="DH3064" s="37"/>
      <c r="DI3064" s="37"/>
      <c r="DJ3064" s="37"/>
      <c r="DK3064" s="37"/>
      <c r="DL3064" s="37"/>
      <c r="DM3064" s="37"/>
      <c r="DN3064" s="37"/>
      <c r="DO3064" s="37"/>
      <c r="DP3064" s="37"/>
      <c r="DQ3064" s="37"/>
      <c r="DR3064" s="37"/>
      <c r="DS3064" s="37"/>
      <c r="DT3064" s="37"/>
      <c r="DU3064" s="37"/>
      <c r="DV3064" s="37"/>
      <c r="DW3064" s="37"/>
      <c r="DX3064" s="37"/>
      <c r="DY3064" s="37"/>
      <c r="DZ3064" s="37"/>
      <c r="EA3064" s="37"/>
      <c r="EB3064" s="37"/>
      <c r="EC3064" s="37"/>
      <c r="ED3064" s="37"/>
      <c r="EE3064" s="37"/>
      <c r="EF3064" s="37"/>
      <c r="EG3064" s="37"/>
      <c r="EH3064" s="37"/>
      <c r="EI3064" s="37"/>
      <c r="EJ3064" s="37"/>
      <c r="EK3064" s="37"/>
      <c r="EL3064" s="37"/>
      <c r="EM3064" s="37"/>
      <c r="EN3064" s="37"/>
      <c r="EO3064" s="37"/>
      <c r="EP3064" s="37"/>
      <c r="EQ3064" s="37"/>
      <c r="ER3064" s="37"/>
      <c r="ES3064" s="37"/>
      <c r="ET3064" s="37"/>
      <c r="EU3064" s="37"/>
      <c r="EV3064" s="37"/>
      <c r="EW3064" s="37"/>
      <c r="EX3064" s="37"/>
      <c r="EY3064" s="37"/>
      <c r="EZ3064" s="37"/>
      <c r="FA3064" s="37"/>
      <c r="FB3064" s="37"/>
      <c r="FC3064" s="37"/>
      <c r="FD3064" s="37"/>
      <c r="FE3064" s="37"/>
      <c r="FF3064" s="37"/>
      <c r="FG3064" s="37"/>
      <c r="FH3064" s="37"/>
      <c r="FI3064" s="37"/>
      <c r="FJ3064" s="37"/>
      <c r="FK3064" s="37"/>
      <c r="FL3064" s="37"/>
      <c r="FM3064" s="37"/>
      <c r="FN3064" s="37"/>
      <c r="FO3064" s="37"/>
      <c r="FP3064" s="37"/>
      <c r="FQ3064" s="37"/>
      <c r="FR3064" s="37"/>
      <c r="FS3064" s="37"/>
      <c r="FT3064" s="37"/>
      <c r="FU3064" s="37"/>
      <c r="FV3064" s="37"/>
      <c r="FW3064" s="37"/>
      <c r="FX3064" s="37"/>
      <c r="FY3064" s="37"/>
      <c r="FZ3064" s="37"/>
      <c r="GA3064" s="37"/>
      <c r="GB3064" s="37"/>
      <c r="GC3064" s="37"/>
      <c r="GD3064" s="37"/>
      <c r="GE3064" s="37"/>
      <c r="GF3064" s="37"/>
      <c r="GG3064" s="37"/>
      <c r="GH3064" s="37"/>
      <c r="GI3064" s="37"/>
      <c r="GJ3064" s="37"/>
      <c r="GK3064" s="37"/>
      <c r="GL3064" s="37"/>
      <c r="GM3064" s="37"/>
      <c r="GN3064" s="37"/>
      <c r="GO3064" s="37"/>
      <c r="GP3064" s="37"/>
      <c r="GQ3064" s="37"/>
      <c r="GR3064" s="37"/>
      <c r="GS3064" s="37"/>
      <c r="GT3064" s="37"/>
      <c r="GU3064" s="37"/>
      <c r="GV3064" s="37"/>
      <c r="GW3064" s="37"/>
      <c r="GX3064" s="37"/>
      <c r="GY3064" s="37"/>
      <c r="GZ3064" s="37"/>
      <c r="HA3064" s="37"/>
      <c r="HB3064" s="37"/>
      <c r="HC3064" s="37"/>
      <c r="HD3064" s="37"/>
      <c r="HE3064" s="37"/>
      <c r="HF3064" s="37"/>
      <c r="HG3064" s="37"/>
      <c r="HH3064" s="37"/>
      <c r="HI3064" s="37"/>
      <c r="HJ3064" s="37"/>
      <c r="HK3064" s="37"/>
      <c r="HL3064" s="37"/>
      <c r="HM3064" s="37"/>
      <c r="HN3064" s="37"/>
      <c r="HO3064" s="37"/>
      <c r="HP3064" s="37"/>
      <c r="HQ3064" s="37"/>
      <c r="HR3064" s="37"/>
      <c r="HS3064" s="37"/>
      <c r="HT3064" s="37"/>
      <c r="HU3064" s="37"/>
      <c r="HV3064" s="37"/>
      <c r="HW3064" s="37"/>
      <c r="HX3064" s="37"/>
      <c r="HY3064" s="37"/>
      <c r="HZ3064" s="37"/>
      <c r="IA3064" s="37"/>
      <c r="IB3064" s="37"/>
      <c r="IC3064" s="37"/>
      <c r="ID3064" s="37"/>
      <c r="IE3064" s="37"/>
      <c r="IF3064" s="37"/>
      <c r="IG3064" s="37"/>
      <c r="IH3064" s="37"/>
      <c r="II3064" s="37"/>
      <c r="IJ3064" s="37"/>
      <c r="IK3064" s="37"/>
      <c r="IL3064" s="37"/>
      <c r="IM3064" s="37"/>
      <c r="IN3064" s="37"/>
      <c r="IO3064" s="37"/>
      <c r="IP3064" s="37"/>
      <c r="IQ3064" s="37"/>
      <c r="IR3064" s="37"/>
      <c r="IS3064" s="37"/>
      <c r="IT3064" s="37"/>
      <c r="IU3064" s="37"/>
      <c r="IV3064" s="37"/>
      <c r="IW3064" s="37"/>
      <c r="IX3064" s="37"/>
      <c r="IY3064" s="37"/>
      <c r="IZ3064" s="37"/>
      <c r="JA3064" s="37"/>
      <c r="JB3064" s="37"/>
      <c r="JC3064" s="37"/>
      <c r="JD3064" s="37"/>
      <c r="JE3064" s="37"/>
      <c r="JF3064" s="37"/>
      <c r="JG3064" s="37"/>
      <c r="JH3064" s="37"/>
      <c r="JI3064" s="37"/>
      <c r="JJ3064" s="37"/>
      <c r="JK3064" s="37"/>
      <c r="JL3064" s="37"/>
      <c r="JM3064" s="37"/>
      <c r="JN3064" s="37"/>
      <c r="JO3064" s="37"/>
      <c r="JP3064" s="37"/>
      <c r="JQ3064" s="37"/>
      <c r="JR3064" s="37"/>
      <c r="JS3064" s="37"/>
      <c r="JT3064" s="37"/>
      <c r="JU3064" s="37"/>
      <c r="JV3064" s="37"/>
      <c r="JW3064" s="37"/>
      <c r="JX3064" s="37"/>
      <c r="JY3064" s="37"/>
      <c r="JZ3064" s="37"/>
      <c r="KA3064" s="37"/>
      <c r="KB3064" s="37"/>
      <c r="KC3064" s="37"/>
      <c r="KD3064" s="37"/>
      <c r="KE3064" s="37"/>
      <c r="KF3064" s="37"/>
      <c r="KG3064" s="37"/>
      <c r="KH3064" s="37"/>
      <c r="KI3064" s="37"/>
      <c r="KJ3064" s="37"/>
      <c r="KK3064" s="37"/>
      <c r="KL3064" s="37"/>
      <c r="KM3064" s="37"/>
      <c r="KN3064" s="37"/>
      <c r="KO3064" s="37"/>
      <c r="KP3064" s="37"/>
      <c r="KQ3064" s="37"/>
      <c r="KR3064" s="37"/>
      <c r="KS3064" s="37"/>
      <c r="KT3064" s="37"/>
      <c r="KU3064" s="37"/>
      <c r="KV3064" s="37"/>
      <c r="KW3064" s="37"/>
      <c r="KX3064" s="37"/>
      <c r="KY3064" s="37"/>
      <c r="KZ3064" s="37"/>
      <c r="LA3064" s="37"/>
      <c r="LB3064" s="37"/>
      <c r="LC3064" s="37"/>
      <c r="LD3064" s="37"/>
      <c r="LE3064" s="37"/>
      <c r="LF3064" s="37"/>
      <c r="LG3064" s="37"/>
      <c r="LH3064" s="37"/>
      <c r="LI3064" s="37"/>
      <c r="LJ3064" s="37"/>
      <c r="LK3064" s="37"/>
      <c r="LL3064" s="37"/>
      <c r="LM3064" s="37"/>
      <c r="LN3064" s="37"/>
      <c r="LO3064" s="37"/>
      <c r="LP3064" s="37"/>
      <c r="LQ3064" s="37"/>
      <c r="LR3064" s="37"/>
      <c r="LS3064" s="37"/>
      <c r="LT3064" s="37"/>
      <c r="LU3064" s="37"/>
      <c r="LV3064" s="37"/>
      <c r="LW3064" s="37"/>
      <c r="LX3064" s="37"/>
      <c r="LY3064" s="37"/>
      <c r="LZ3064" s="37"/>
      <c r="MA3064" s="37"/>
      <c r="MB3064" s="37"/>
      <c r="MC3064" s="37"/>
      <c r="MD3064" s="37"/>
      <c r="ME3064" s="37"/>
      <c r="MF3064" s="37"/>
      <c r="MG3064" s="37"/>
      <c r="MH3064" s="37"/>
      <c r="MI3064" s="37"/>
      <c r="MJ3064" s="37"/>
      <c r="MK3064" s="37"/>
      <c r="ML3064" s="37"/>
      <c r="MM3064" s="37"/>
      <c r="MN3064" s="37"/>
      <c r="MO3064" s="37"/>
      <c r="MP3064" s="37"/>
      <c r="MQ3064" s="37"/>
      <c r="MR3064" s="37"/>
      <c r="MS3064" s="37"/>
      <c r="MT3064" s="37"/>
      <c r="MU3064" s="37"/>
      <c r="MV3064" s="37"/>
      <c r="MW3064" s="37"/>
      <c r="MX3064" s="37"/>
      <c r="MY3064" s="37"/>
      <c r="MZ3064" s="37"/>
      <c r="NA3064" s="37"/>
      <c r="NB3064" s="37"/>
      <c r="NC3064" s="37"/>
      <c r="ND3064" s="37"/>
      <c r="NE3064" s="37"/>
      <c r="NF3064" s="37"/>
      <c r="NG3064" s="37"/>
      <c r="NH3064" s="37"/>
      <c r="NI3064" s="37"/>
      <c r="NJ3064" s="37"/>
      <c r="NK3064" s="37"/>
      <c r="NL3064" s="37"/>
      <c r="NM3064" s="37"/>
      <c r="NN3064" s="37"/>
      <c r="NO3064" s="37"/>
      <c r="NP3064" s="37"/>
      <c r="NQ3064" s="37"/>
      <c r="NR3064" s="37"/>
      <c r="NS3064" s="37"/>
      <c r="NT3064" s="37"/>
      <c r="NU3064" s="37"/>
      <c r="NV3064" s="37"/>
      <c r="NW3064" s="37"/>
      <c r="NX3064" s="37"/>
      <c r="NY3064" s="37"/>
      <c r="NZ3064" s="37"/>
      <c r="OA3064" s="37"/>
      <c r="OB3064" s="37"/>
      <c r="OC3064" s="37"/>
      <c r="OD3064" s="37"/>
      <c r="OE3064" s="37"/>
      <c r="OF3064" s="37"/>
      <c r="OG3064" s="37"/>
      <c r="OH3064" s="37"/>
      <c r="OI3064" s="37"/>
      <c r="OJ3064" s="37"/>
      <c r="OK3064" s="37"/>
      <c r="OL3064" s="37"/>
      <c r="OM3064" s="37"/>
      <c r="ON3064" s="37"/>
      <c r="OO3064" s="37"/>
      <c r="OP3064" s="37"/>
      <c r="OQ3064" s="37"/>
      <c r="OR3064" s="37"/>
      <c r="OS3064" s="37"/>
      <c r="OT3064" s="37"/>
      <c r="OU3064" s="37"/>
      <c r="OV3064" s="37"/>
      <c r="OW3064" s="37"/>
      <c r="OX3064" s="37"/>
      <c r="OY3064" s="37"/>
      <c r="OZ3064" s="37"/>
      <c r="PA3064" s="37"/>
      <c r="PB3064" s="37"/>
      <c r="PC3064" s="37"/>
      <c r="PD3064" s="37"/>
      <c r="PE3064" s="37"/>
      <c r="PF3064" s="37"/>
      <c r="PG3064" s="37"/>
      <c r="PH3064" s="37"/>
      <c r="PI3064" s="37"/>
      <c r="PJ3064" s="37"/>
      <c r="PK3064" s="37"/>
      <c r="PL3064" s="37"/>
      <c r="PM3064" s="37"/>
      <c r="PN3064" s="37"/>
      <c r="PO3064" s="37"/>
      <c r="PP3064" s="37"/>
      <c r="PQ3064" s="37"/>
      <c r="PR3064" s="37"/>
      <c r="PS3064" s="37"/>
      <c r="PT3064" s="37"/>
      <c r="PU3064" s="37"/>
      <c r="PV3064" s="37"/>
      <c r="PW3064" s="37"/>
      <c r="PX3064" s="37"/>
      <c r="PY3064" s="37"/>
      <c r="PZ3064" s="37"/>
      <c r="QA3064" s="37"/>
      <c r="QB3064" s="37"/>
      <c r="QC3064" s="37"/>
      <c r="QD3064" s="37"/>
      <c r="QE3064" s="37"/>
      <c r="QF3064" s="37"/>
      <c r="QG3064" s="37"/>
      <c r="QH3064" s="37"/>
      <c r="QI3064" s="37"/>
      <c r="QJ3064" s="37"/>
      <c r="QK3064" s="37"/>
      <c r="QL3064" s="37"/>
      <c r="QM3064" s="37"/>
      <c r="QN3064" s="37"/>
      <c r="QO3064" s="37"/>
      <c r="QP3064" s="37"/>
      <c r="QQ3064" s="37"/>
      <c r="QR3064" s="37"/>
      <c r="QS3064" s="37"/>
      <c r="QT3064" s="37"/>
      <c r="QU3064" s="37"/>
      <c r="QV3064" s="37"/>
      <c r="QW3064" s="37"/>
      <c r="QX3064" s="37"/>
      <c r="QY3064" s="37"/>
      <c r="QZ3064" s="37"/>
      <c r="RA3064" s="37"/>
      <c r="RB3064" s="37"/>
      <c r="RC3064" s="37"/>
      <c r="RD3064" s="37"/>
      <c r="RE3064" s="37"/>
      <c r="RF3064" s="37"/>
      <c r="RG3064" s="37"/>
      <c r="RH3064" s="37"/>
      <c r="RI3064" s="37"/>
      <c r="RJ3064" s="37"/>
      <c r="RK3064" s="37"/>
      <c r="RL3064" s="37"/>
      <c r="RM3064" s="37"/>
      <c r="RN3064" s="37"/>
      <c r="RO3064" s="37"/>
      <c r="RP3064" s="37"/>
      <c r="RQ3064" s="37"/>
      <c r="RR3064" s="37"/>
      <c r="RS3064" s="37"/>
      <c r="RT3064" s="37"/>
      <c r="RU3064" s="37"/>
      <c r="RV3064" s="37"/>
      <c r="RW3064" s="37"/>
      <c r="RX3064" s="37"/>
      <c r="RY3064" s="37"/>
      <c r="RZ3064" s="37"/>
      <c r="SA3064" s="37"/>
      <c r="SB3064" s="37"/>
      <c r="SC3064" s="37"/>
      <c r="SD3064" s="37"/>
      <c r="SE3064" s="37"/>
      <c r="SF3064" s="37"/>
    </row>
    <row r="3065" spans="1:500">
      <c r="A3065" s="37"/>
      <c r="B3065" s="37"/>
      <c r="C3065" s="37"/>
      <c r="D3065" s="37"/>
      <c r="E3065" s="37"/>
      <c r="F3065" s="37"/>
      <c r="G3065" s="37"/>
      <c r="H3065" s="37"/>
      <c r="I3065" s="37"/>
      <c r="J3065" s="37"/>
      <c r="K3065" s="37"/>
      <c r="L3065" s="37"/>
      <c r="M3065" s="37"/>
      <c r="N3065" s="37"/>
      <c r="O3065" s="37"/>
      <c r="P3065" s="37"/>
      <c r="Q3065" s="37"/>
      <c r="R3065" s="37"/>
      <c r="S3065" s="37"/>
      <c r="T3065" s="37"/>
      <c r="U3065" s="37"/>
      <c r="V3065" s="37"/>
      <c r="W3065" s="37"/>
      <c r="X3065" s="37"/>
      <c r="Y3065" s="37"/>
      <c r="Z3065" s="37"/>
      <c r="AA3065" s="37"/>
      <c r="AB3065" s="37"/>
      <c r="AC3065" s="37"/>
      <c r="AD3065" s="37"/>
      <c r="AE3065" s="37"/>
      <c r="AF3065" s="37"/>
      <c r="AG3065" s="37"/>
      <c r="AH3065" s="37"/>
      <c r="AI3065" s="37"/>
      <c r="AJ3065" s="37"/>
      <c r="AK3065" s="37"/>
      <c r="AL3065" s="37"/>
      <c r="AM3065" s="37"/>
      <c r="AN3065" s="37"/>
      <c r="AO3065" s="37"/>
      <c r="AP3065" s="37"/>
      <c r="AQ3065" s="37"/>
      <c r="AR3065" s="37"/>
      <c r="AS3065" s="37"/>
      <c r="AT3065" s="37"/>
      <c r="AU3065" s="37"/>
      <c r="AV3065" s="37"/>
      <c r="AW3065" s="37"/>
      <c r="AX3065" s="37"/>
      <c r="AY3065" s="37"/>
      <c r="AZ3065" s="37"/>
      <c r="BA3065" s="37"/>
      <c r="BB3065" s="37"/>
      <c r="BC3065" s="37"/>
      <c r="BD3065" s="37"/>
      <c r="BE3065" s="37"/>
      <c r="BF3065" s="37"/>
      <c r="BG3065" s="37"/>
      <c r="BH3065" s="37"/>
      <c r="BI3065" s="37"/>
      <c r="BJ3065" s="37"/>
      <c r="BK3065" s="37"/>
      <c r="BL3065" s="37"/>
      <c r="BM3065" s="37"/>
      <c r="BN3065" s="37"/>
      <c r="BO3065" s="37"/>
      <c r="BP3065" s="37"/>
      <c r="BQ3065" s="37"/>
      <c r="BR3065" s="37"/>
      <c r="BS3065" s="37"/>
      <c r="BT3065" s="37"/>
      <c r="BU3065" s="37"/>
      <c r="BV3065" s="37"/>
      <c r="BW3065" s="37"/>
      <c r="BX3065" s="37"/>
      <c r="BY3065" s="37"/>
      <c r="BZ3065" s="37"/>
      <c r="CA3065" s="37"/>
      <c r="CB3065" s="37"/>
      <c r="CC3065" s="37"/>
      <c r="CD3065" s="37"/>
      <c r="CE3065" s="37"/>
      <c r="CF3065" s="37"/>
      <c r="CG3065" s="37"/>
      <c r="CH3065" s="37"/>
      <c r="CI3065" s="37"/>
      <c r="CJ3065" s="37"/>
      <c r="CK3065" s="37"/>
      <c r="CL3065" s="37"/>
      <c r="CM3065" s="37"/>
      <c r="CN3065" s="37"/>
      <c r="CO3065" s="37"/>
      <c r="CP3065" s="37"/>
      <c r="CQ3065" s="37"/>
      <c r="CR3065" s="37"/>
      <c r="CS3065" s="37"/>
      <c r="CT3065" s="37"/>
      <c r="CU3065" s="37"/>
      <c r="CV3065" s="37"/>
      <c r="CW3065" s="37"/>
      <c r="CX3065" s="37"/>
      <c r="CY3065" s="37"/>
      <c r="CZ3065" s="37"/>
      <c r="DA3065" s="37"/>
      <c r="DB3065" s="37"/>
      <c r="DC3065" s="37"/>
      <c r="DD3065" s="37"/>
      <c r="DE3065" s="37"/>
      <c r="DF3065" s="37"/>
      <c r="DG3065" s="37"/>
      <c r="DH3065" s="37"/>
      <c r="DI3065" s="37"/>
      <c r="DJ3065" s="37"/>
      <c r="DK3065" s="37"/>
      <c r="DL3065" s="37"/>
      <c r="DM3065" s="37"/>
      <c r="DN3065" s="37"/>
      <c r="DO3065" s="37"/>
      <c r="DP3065" s="37"/>
      <c r="DQ3065" s="37"/>
      <c r="DR3065" s="37"/>
      <c r="DS3065" s="37"/>
      <c r="DT3065" s="37"/>
      <c r="DU3065" s="37"/>
      <c r="DV3065" s="37"/>
      <c r="DW3065" s="37"/>
      <c r="DX3065" s="37"/>
      <c r="DY3065" s="37"/>
      <c r="DZ3065" s="37"/>
      <c r="EA3065" s="37"/>
      <c r="EB3065" s="37"/>
      <c r="EC3065" s="37"/>
      <c r="ED3065" s="37"/>
      <c r="EE3065" s="37"/>
      <c r="EF3065" s="37"/>
      <c r="EG3065" s="37"/>
      <c r="EH3065" s="37"/>
      <c r="EI3065" s="37"/>
      <c r="EJ3065" s="37"/>
      <c r="EK3065" s="37"/>
      <c r="EL3065" s="37"/>
      <c r="EM3065" s="37"/>
      <c r="EN3065" s="37"/>
      <c r="EO3065" s="37"/>
      <c r="EP3065" s="37"/>
      <c r="EQ3065" s="37"/>
      <c r="ER3065" s="37"/>
      <c r="ES3065" s="37"/>
      <c r="ET3065" s="37"/>
      <c r="EU3065" s="37"/>
      <c r="EV3065" s="37"/>
      <c r="EW3065" s="37"/>
      <c r="EX3065" s="37"/>
      <c r="EY3065" s="37"/>
      <c r="EZ3065" s="37"/>
      <c r="FA3065" s="37"/>
      <c r="FB3065" s="37"/>
      <c r="FC3065" s="37"/>
      <c r="FD3065" s="37"/>
      <c r="FE3065" s="37"/>
      <c r="FF3065" s="37"/>
      <c r="FG3065" s="37"/>
      <c r="FH3065" s="37"/>
      <c r="FI3065" s="37"/>
      <c r="FJ3065" s="37"/>
      <c r="FK3065" s="37"/>
      <c r="FL3065" s="37"/>
      <c r="FM3065" s="37"/>
      <c r="FN3065" s="37"/>
      <c r="FO3065" s="37"/>
      <c r="FP3065" s="37"/>
      <c r="FQ3065" s="37"/>
      <c r="FR3065" s="37"/>
      <c r="FS3065" s="37"/>
      <c r="FT3065" s="37"/>
      <c r="FU3065" s="37"/>
      <c r="FV3065" s="37"/>
      <c r="FW3065" s="37"/>
      <c r="FX3065" s="37"/>
      <c r="FY3065" s="37"/>
      <c r="FZ3065" s="37"/>
      <c r="GA3065" s="37"/>
      <c r="GB3065" s="37"/>
      <c r="GC3065" s="37"/>
      <c r="GD3065" s="37"/>
      <c r="GE3065" s="37"/>
      <c r="GF3065" s="37"/>
      <c r="GG3065" s="37"/>
      <c r="GH3065" s="37"/>
      <c r="GI3065" s="37"/>
      <c r="GJ3065" s="37"/>
      <c r="GK3065" s="37"/>
      <c r="GL3065" s="37"/>
      <c r="GM3065" s="37"/>
      <c r="GN3065" s="37"/>
      <c r="GO3065" s="37"/>
      <c r="GP3065" s="37"/>
      <c r="GQ3065" s="37"/>
      <c r="GR3065" s="37"/>
      <c r="GS3065" s="37"/>
      <c r="GT3065" s="37"/>
      <c r="GU3065" s="37"/>
      <c r="GV3065" s="37"/>
      <c r="GW3065" s="37"/>
      <c r="GX3065" s="37"/>
      <c r="GY3065" s="37"/>
      <c r="GZ3065" s="37"/>
      <c r="HA3065" s="37"/>
      <c r="HB3065" s="37"/>
      <c r="HC3065" s="37"/>
      <c r="HD3065" s="37"/>
      <c r="HE3065" s="37"/>
      <c r="HF3065" s="37"/>
      <c r="HG3065" s="37"/>
      <c r="HH3065" s="37"/>
      <c r="HI3065" s="37"/>
      <c r="HJ3065" s="37"/>
      <c r="HK3065" s="37"/>
      <c r="HL3065" s="37"/>
      <c r="HM3065" s="37"/>
      <c r="HN3065" s="37"/>
      <c r="HO3065" s="37"/>
      <c r="HP3065" s="37"/>
      <c r="HQ3065" s="37"/>
      <c r="HR3065" s="37"/>
      <c r="HS3065" s="37"/>
      <c r="HT3065" s="37"/>
      <c r="HU3065" s="37"/>
      <c r="HV3065" s="37"/>
      <c r="HW3065" s="37"/>
      <c r="HX3065" s="37"/>
      <c r="HY3065" s="37"/>
      <c r="HZ3065" s="37"/>
      <c r="IA3065" s="37"/>
      <c r="IB3065" s="37"/>
      <c r="IC3065" s="37"/>
      <c r="ID3065" s="37"/>
      <c r="IE3065" s="37"/>
      <c r="IF3065" s="37"/>
      <c r="IG3065" s="37"/>
      <c r="IH3065" s="37"/>
      <c r="II3065" s="37"/>
      <c r="IJ3065" s="37"/>
      <c r="IK3065" s="37"/>
      <c r="IL3065" s="37"/>
      <c r="IM3065" s="37"/>
      <c r="IN3065" s="37"/>
      <c r="IO3065" s="37"/>
      <c r="IP3065" s="37"/>
      <c r="IQ3065" s="37"/>
      <c r="IR3065" s="37"/>
      <c r="IS3065" s="37"/>
      <c r="IT3065" s="37"/>
      <c r="IU3065" s="37"/>
      <c r="IV3065" s="37"/>
      <c r="IW3065" s="37"/>
      <c r="IX3065" s="37"/>
      <c r="IY3065" s="37"/>
      <c r="IZ3065" s="37"/>
      <c r="JA3065" s="37"/>
      <c r="JB3065" s="37"/>
      <c r="JC3065" s="37"/>
      <c r="JD3065" s="37"/>
      <c r="JE3065" s="37"/>
      <c r="JF3065" s="37"/>
      <c r="JG3065" s="37"/>
      <c r="JH3065" s="37"/>
      <c r="JI3065" s="37"/>
      <c r="JJ3065" s="37"/>
      <c r="JK3065" s="37"/>
      <c r="JL3065" s="37"/>
      <c r="JM3065" s="37"/>
      <c r="JN3065" s="37"/>
      <c r="JO3065" s="37"/>
      <c r="JP3065" s="37"/>
      <c r="JQ3065" s="37"/>
      <c r="JR3065" s="37"/>
      <c r="JS3065" s="37"/>
      <c r="JT3065" s="37"/>
      <c r="JU3065" s="37"/>
      <c r="JV3065" s="37"/>
      <c r="JW3065" s="37"/>
      <c r="JX3065" s="37"/>
      <c r="JY3065" s="37"/>
      <c r="JZ3065" s="37"/>
      <c r="KA3065" s="37"/>
      <c r="KB3065" s="37"/>
      <c r="KC3065" s="37"/>
      <c r="KD3065" s="37"/>
      <c r="KE3065" s="37"/>
      <c r="KF3065" s="37"/>
      <c r="KG3065" s="37"/>
      <c r="KH3065" s="37"/>
      <c r="KI3065" s="37"/>
      <c r="KJ3065" s="37"/>
      <c r="KK3065" s="37"/>
      <c r="KL3065" s="37"/>
      <c r="KM3065" s="37"/>
      <c r="KN3065" s="37"/>
      <c r="KO3065" s="37"/>
      <c r="KP3065" s="37"/>
      <c r="KQ3065" s="37"/>
      <c r="KR3065" s="37"/>
      <c r="KS3065" s="37"/>
      <c r="KT3065" s="37"/>
      <c r="KU3065" s="37"/>
      <c r="KV3065" s="37"/>
      <c r="KW3065" s="37"/>
      <c r="KX3065" s="37"/>
      <c r="KY3065" s="37"/>
      <c r="KZ3065" s="37"/>
      <c r="LA3065" s="37"/>
      <c r="LB3065" s="37"/>
      <c r="LC3065" s="37"/>
      <c r="LD3065" s="37"/>
      <c r="LE3065" s="37"/>
      <c r="LF3065" s="37"/>
      <c r="LG3065" s="37"/>
      <c r="LH3065" s="37"/>
      <c r="LI3065" s="37"/>
      <c r="LJ3065" s="37"/>
      <c r="LK3065" s="37"/>
      <c r="LL3065" s="37"/>
      <c r="LM3065" s="37"/>
      <c r="LN3065" s="37"/>
      <c r="LO3065" s="37"/>
      <c r="LP3065" s="37"/>
      <c r="LQ3065" s="37"/>
      <c r="LR3065" s="37"/>
      <c r="LS3065" s="37"/>
      <c r="LT3065" s="37"/>
      <c r="LU3065" s="37"/>
      <c r="LV3065" s="37"/>
      <c r="LW3065" s="37"/>
      <c r="LX3065" s="37"/>
      <c r="LY3065" s="37"/>
      <c r="LZ3065" s="37"/>
      <c r="MA3065" s="37"/>
      <c r="MB3065" s="37"/>
      <c r="MC3065" s="37"/>
      <c r="MD3065" s="37"/>
      <c r="ME3065" s="37"/>
      <c r="MF3065" s="37"/>
      <c r="MG3065" s="37"/>
      <c r="MH3065" s="37"/>
      <c r="MI3065" s="37"/>
      <c r="MJ3065" s="37"/>
      <c r="MK3065" s="37"/>
      <c r="ML3065" s="37"/>
      <c r="MM3065" s="37"/>
      <c r="MN3065" s="37"/>
      <c r="MO3065" s="37"/>
      <c r="MP3065" s="37"/>
      <c r="MQ3065" s="37"/>
      <c r="MR3065" s="37"/>
      <c r="MS3065" s="37"/>
      <c r="MT3065" s="37"/>
      <c r="MU3065" s="37"/>
      <c r="MV3065" s="37"/>
      <c r="MW3065" s="37"/>
      <c r="MX3065" s="37"/>
      <c r="MY3065" s="37"/>
      <c r="MZ3065" s="37"/>
      <c r="NA3065" s="37"/>
      <c r="NB3065" s="37"/>
      <c r="NC3065" s="37"/>
      <c r="ND3065" s="37"/>
      <c r="NE3065" s="37"/>
      <c r="NF3065" s="37"/>
      <c r="NG3065" s="37"/>
      <c r="NH3065" s="37"/>
      <c r="NI3065" s="37"/>
      <c r="NJ3065" s="37"/>
      <c r="NK3065" s="37"/>
      <c r="NL3065" s="37"/>
      <c r="NM3065" s="37"/>
      <c r="NN3065" s="37"/>
      <c r="NO3065" s="37"/>
      <c r="NP3065" s="37"/>
      <c r="NQ3065" s="37"/>
      <c r="NR3065" s="37"/>
      <c r="NS3065" s="37"/>
      <c r="NT3065" s="37"/>
      <c r="NU3065" s="37"/>
      <c r="NV3065" s="37"/>
      <c r="NW3065" s="37"/>
      <c r="NX3065" s="37"/>
      <c r="NY3065" s="37"/>
      <c r="NZ3065" s="37"/>
      <c r="OA3065" s="37"/>
      <c r="OB3065" s="37"/>
      <c r="OC3065" s="37"/>
      <c r="OD3065" s="37"/>
      <c r="OE3065" s="37"/>
      <c r="OF3065" s="37"/>
      <c r="OG3065" s="37"/>
      <c r="OH3065" s="37"/>
      <c r="OI3065" s="37"/>
      <c r="OJ3065" s="37"/>
      <c r="OK3065" s="37"/>
      <c r="OL3065" s="37"/>
      <c r="OM3065" s="37"/>
      <c r="ON3065" s="37"/>
      <c r="OO3065" s="37"/>
      <c r="OP3065" s="37"/>
      <c r="OQ3065" s="37"/>
      <c r="OR3065" s="37"/>
      <c r="OS3065" s="37"/>
      <c r="OT3065" s="37"/>
      <c r="OU3065" s="37"/>
      <c r="OV3065" s="37"/>
      <c r="OW3065" s="37"/>
      <c r="OX3065" s="37"/>
      <c r="OY3065" s="37"/>
      <c r="OZ3065" s="37"/>
      <c r="PA3065" s="37"/>
      <c r="PB3065" s="37"/>
      <c r="PC3065" s="37"/>
      <c r="PD3065" s="37"/>
      <c r="PE3065" s="37"/>
      <c r="PF3065" s="37"/>
      <c r="PG3065" s="37"/>
      <c r="PH3065" s="37"/>
      <c r="PI3065" s="37"/>
      <c r="PJ3065" s="37"/>
      <c r="PK3065" s="37"/>
      <c r="PL3065" s="37"/>
      <c r="PM3065" s="37"/>
      <c r="PN3065" s="37"/>
      <c r="PO3065" s="37"/>
      <c r="PP3065" s="37"/>
      <c r="PQ3065" s="37"/>
      <c r="PR3065" s="37"/>
      <c r="PS3065" s="37"/>
      <c r="PT3065" s="37"/>
      <c r="PU3065" s="37"/>
      <c r="PV3065" s="37"/>
      <c r="PW3065" s="37"/>
      <c r="PX3065" s="37"/>
      <c r="PY3065" s="37"/>
      <c r="PZ3065" s="37"/>
      <c r="QA3065" s="37"/>
      <c r="QB3065" s="37"/>
      <c r="QC3065" s="37"/>
      <c r="QD3065" s="37"/>
      <c r="QE3065" s="37"/>
      <c r="QF3065" s="37"/>
      <c r="QG3065" s="37"/>
      <c r="QH3065" s="37"/>
      <c r="QI3065" s="37"/>
      <c r="QJ3065" s="37"/>
      <c r="QK3065" s="37"/>
      <c r="QL3065" s="37"/>
      <c r="QM3065" s="37"/>
      <c r="QN3065" s="37"/>
      <c r="QO3065" s="37"/>
      <c r="QP3065" s="37"/>
      <c r="QQ3065" s="37"/>
      <c r="QR3065" s="37"/>
      <c r="QS3065" s="37"/>
      <c r="QT3065" s="37"/>
      <c r="QU3065" s="37"/>
      <c r="QV3065" s="37"/>
      <c r="QW3065" s="37"/>
      <c r="QX3065" s="37"/>
      <c r="QY3065" s="37"/>
      <c r="QZ3065" s="37"/>
      <c r="RA3065" s="37"/>
      <c r="RB3065" s="37"/>
      <c r="RC3065" s="37"/>
      <c r="RD3065" s="37"/>
      <c r="RE3065" s="37"/>
      <c r="RF3065" s="37"/>
      <c r="RG3065" s="37"/>
      <c r="RH3065" s="37"/>
      <c r="RI3065" s="37"/>
      <c r="RJ3065" s="37"/>
      <c r="RK3065" s="37"/>
      <c r="RL3065" s="37"/>
      <c r="RM3065" s="37"/>
      <c r="RN3065" s="37"/>
      <c r="RO3065" s="37"/>
      <c r="RP3065" s="37"/>
      <c r="RQ3065" s="37"/>
      <c r="RR3065" s="37"/>
      <c r="RS3065" s="37"/>
      <c r="RT3065" s="37"/>
      <c r="RU3065" s="37"/>
      <c r="RV3065" s="37"/>
      <c r="RW3065" s="37"/>
      <c r="RX3065" s="37"/>
      <c r="RY3065" s="37"/>
      <c r="RZ3065" s="37"/>
      <c r="SA3065" s="37"/>
      <c r="SB3065" s="37"/>
      <c r="SC3065" s="37"/>
      <c r="SD3065" s="37"/>
      <c r="SE3065" s="37"/>
      <c r="SF3065" s="37"/>
    </row>
    <row r="3066" spans="1:500">
      <c r="A3066" s="37"/>
      <c r="B3066" s="37"/>
      <c r="C3066" s="37"/>
      <c r="D3066" s="37"/>
      <c r="E3066" s="37"/>
      <c r="F3066" s="37"/>
      <c r="G3066" s="37"/>
      <c r="H3066" s="37"/>
      <c r="I3066" s="37"/>
      <c r="J3066" s="37"/>
      <c r="K3066" s="37"/>
      <c r="L3066" s="37"/>
      <c r="M3066" s="37"/>
      <c r="N3066" s="37"/>
      <c r="O3066" s="37"/>
      <c r="P3066" s="37"/>
      <c r="Q3066" s="37"/>
      <c r="R3066" s="37"/>
      <c r="S3066" s="37"/>
      <c r="T3066" s="37"/>
      <c r="U3066" s="37"/>
      <c r="V3066" s="37"/>
      <c r="W3066" s="37"/>
      <c r="X3066" s="37"/>
      <c r="Y3066" s="37"/>
      <c r="Z3066" s="37"/>
      <c r="AA3066" s="37"/>
      <c r="AB3066" s="37"/>
      <c r="AC3066" s="37"/>
      <c r="AD3066" s="37"/>
      <c r="AE3066" s="37"/>
      <c r="AF3066" s="37"/>
      <c r="AG3066" s="37"/>
      <c r="AH3066" s="37"/>
      <c r="AI3066" s="37"/>
      <c r="AJ3066" s="37"/>
      <c r="AK3066" s="37"/>
      <c r="AL3066" s="37"/>
      <c r="AM3066" s="37"/>
      <c r="AN3066" s="37"/>
      <c r="AO3066" s="37"/>
      <c r="AP3066" s="37"/>
      <c r="AQ3066" s="37"/>
      <c r="AR3066" s="37"/>
      <c r="AS3066" s="37"/>
      <c r="AT3066" s="37"/>
      <c r="AU3066" s="37"/>
      <c r="AV3066" s="37"/>
      <c r="AW3066" s="37"/>
      <c r="AX3066" s="37"/>
      <c r="AY3066" s="37"/>
      <c r="AZ3066" s="37"/>
      <c r="BA3066" s="37"/>
      <c r="BB3066" s="37"/>
      <c r="BC3066" s="37"/>
      <c r="BD3066" s="37"/>
      <c r="BE3066" s="37"/>
      <c r="BF3066" s="37"/>
      <c r="BG3066" s="37"/>
      <c r="BH3066" s="37"/>
      <c r="BI3066" s="37"/>
      <c r="BJ3066" s="37"/>
      <c r="BK3066" s="37"/>
      <c r="BL3066" s="37"/>
      <c r="BM3066" s="37"/>
      <c r="BN3066" s="37"/>
      <c r="BO3066" s="37"/>
      <c r="BP3066" s="37"/>
      <c r="BQ3066" s="37"/>
      <c r="BR3066" s="37"/>
      <c r="BS3066" s="37"/>
      <c r="BT3066" s="37"/>
      <c r="BU3066" s="37"/>
      <c r="BV3066" s="37"/>
      <c r="BW3066" s="37"/>
      <c r="BX3066" s="37"/>
      <c r="BY3066" s="37"/>
      <c r="BZ3066" s="37"/>
      <c r="CA3066" s="37"/>
      <c r="CB3066" s="37"/>
      <c r="CC3066" s="37"/>
      <c r="CD3066" s="37"/>
      <c r="CE3066" s="37"/>
      <c r="CF3066" s="37"/>
      <c r="CG3066" s="37"/>
      <c r="CH3066" s="37"/>
      <c r="CI3066" s="37"/>
      <c r="CJ3066" s="37"/>
      <c r="CK3066" s="37"/>
      <c r="CL3066" s="37"/>
      <c r="CM3066" s="37"/>
      <c r="CN3066" s="37"/>
      <c r="CO3066" s="37"/>
      <c r="CP3066" s="37"/>
      <c r="CQ3066" s="37"/>
      <c r="CR3066" s="37"/>
      <c r="CS3066" s="37"/>
      <c r="CT3066" s="37"/>
      <c r="CU3066" s="37"/>
      <c r="CV3066" s="37"/>
      <c r="CW3066" s="37"/>
      <c r="CX3066" s="37"/>
      <c r="CY3066" s="37"/>
      <c r="CZ3066" s="37"/>
      <c r="DA3066" s="37"/>
      <c r="DB3066" s="37"/>
      <c r="DC3066" s="37"/>
      <c r="DD3066" s="37"/>
      <c r="DE3066" s="37"/>
      <c r="DF3066" s="37"/>
      <c r="DG3066" s="37"/>
      <c r="DH3066" s="37"/>
      <c r="DI3066" s="37"/>
      <c r="DJ3066" s="37"/>
      <c r="DK3066" s="37"/>
      <c r="DL3066" s="37"/>
      <c r="DM3066" s="37"/>
      <c r="DN3066" s="37"/>
      <c r="DO3066" s="37"/>
      <c r="DP3066" s="37"/>
      <c r="DQ3066" s="37"/>
      <c r="DR3066" s="37"/>
      <c r="DS3066" s="37"/>
      <c r="DT3066" s="37"/>
      <c r="DU3066" s="37"/>
      <c r="DV3066" s="37"/>
      <c r="DW3066" s="37"/>
      <c r="DX3066" s="37"/>
      <c r="DY3066" s="37"/>
      <c r="DZ3066" s="37"/>
      <c r="EA3066" s="37"/>
      <c r="EB3066" s="37"/>
      <c r="EC3066" s="37"/>
      <c r="ED3066" s="37"/>
      <c r="EE3066" s="37"/>
      <c r="EF3066" s="37"/>
      <c r="EG3066" s="37"/>
      <c r="EH3066" s="37"/>
      <c r="EI3066" s="37"/>
      <c r="EJ3066" s="37"/>
      <c r="EK3066" s="37"/>
      <c r="EL3066" s="37"/>
      <c r="EM3066" s="37"/>
      <c r="EN3066" s="37"/>
      <c r="EO3066" s="37"/>
      <c r="EP3066" s="37"/>
      <c r="EQ3066" s="37"/>
      <c r="ER3066" s="37"/>
      <c r="ES3066" s="37"/>
      <c r="ET3066" s="37"/>
      <c r="EU3066" s="37"/>
      <c r="EV3066" s="37"/>
      <c r="EW3066" s="37"/>
      <c r="EX3066" s="37"/>
      <c r="EY3066" s="37"/>
      <c r="EZ3066" s="37"/>
      <c r="FA3066" s="37"/>
      <c r="FB3066" s="37"/>
      <c r="FC3066" s="37"/>
      <c r="FD3066" s="37"/>
      <c r="FE3066" s="37"/>
      <c r="FF3066" s="37"/>
      <c r="FG3066" s="37"/>
      <c r="FH3066" s="37"/>
      <c r="FI3066" s="37"/>
      <c r="FJ3066" s="37"/>
      <c r="FK3066" s="37"/>
      <c r="FL3066" s="37"/>
      <c r="FM3066" s="37"/>
      <c r="FN3066" s="37"/>
      <c r="FO3066" s="37"/>
      <c r="FP3066" s="37"/>
      <c r="FQ3066" s="37"/>
      <c r="FR3066" s="37"/>
      <c r="FS3066" s="37"/>
      <c r="FT3066" s="37"/>
      <c r="FU3066" s="37"/>
      <c r="FV3066" s="37"/>
      <c r="FW3066" s="37"/>
      <c r="FX3066" s="37"/>
      <c r="FY3066" s="37"/>
      <c r="FZ3066" s="37"/>
      <c r="GA3066" s="37"/>
      <c r="GB3066" s="37"/>
      <c r="GC3066" s="37"/>
      <c r="GD3066" s="37"/>
      <c r="GE3066" s="37"/>
      <c r="GF3066" s="37"/>
      <c r="GG3066" s="37"/>
      <c r="GH3066" s="37"/>
      <c r="GI3066" s="37"/>
      <c r="GJ3066" s="37"/>
      <c r="GK3066" s="37"/>
      <c r="GL3066" s="37"/>
      <c r="GM3066" s="37"/>
      <c r="GN3066" s="37"/>
      <c r="GO3066" s="37"/>
      <c r="GP3066" s="37"/>
      <c r="GQ3066" s="37"/>
      <c r="GR3066" s="37"/>
      <c r="GS3066" s="37"/>
      <c r="GT3066" s="37"/>
      <c r="GU3066" s="37"/>
      <c r="GV3066" s="37"/>
      <c r="GW3066" s="37"/>
      <c r="GX3066" s="37"/>
      <c r="GY3066" s="37"/>
      <c r="GZ3066" s="37"/>
      <c r="HA3066" s="37"/>
      <c r="HB3066" s="37"/>
      <c r="HC3066" s="37"/>
      <c r="HD3066" s="37"/>
      <c r="HE3066" s="37"/>
      <c r="HF3066" s="37"/>
      <c r="HG3066" s="37"/>
      <c r="HH3066" s="37"/>
      <c r="HI3066" s="37"/>
      <c r="HJ3066" s="37"/>
      <c r="HK3066" s="37"/>
      <c r="HL3066" s="37"/>
      <c r="HM3066" s="37"/>
      <c r="HN3066" s="37"/>
      <c r="HO3066" s="37"/>
      <c r="HP3066" s="37"/>
      <c r="HQ3066" s="37"/>
      <c r="HR3066" s="37"/>
      <c r="HS3066" s="37"/>
      <c r="HT3066" s="37"/>
      <c r="HU3066" s="37"/>
      <c r="HV3066" s="37"/>
      <c r="HW3066" s="37"/>
      <c r="HX3066" s="37"/>
      <c r="HY3066" s="37"/>
      <c r="HZ3066" s="37"/>
      <c r="IA3066" s="37"/>
      <c r="IB3066" s="37"/>
      <c r="IC3066" s="37"/>
      <c r="ID3066" s="37"/>
      <c r="IE3066" s="37"/>
      <c r="IF3066" s="37"/>
      <c r="IG3066" s="37"/>
      <c r="IH3066" s="37"/>
      <c r="II3066" s="37"/>
      <c r="IJ3066" s="37"/>
      <c r="IK3066" s="37"/>
      <c r="IL3066" s="37"/>
      <c r="IM3066" s="37"/>
      <c r="IN3066" s="37"/>
      <c r="IO3066" s="37"/>
      <c r="IP3066" s="37"/>
      <c r="IQ3066" s="37"/>
      <c r="IR3066" s="37"/>
      <c r="IS3066" s="37"/>
      <c r="IT3066" s="37"/>
      <c r="IU3066" s="37"/>
      <c r="IV3066" s="37"/>
      <c r="IW3066" s="37"/>
      <c r="IX3066" s="37"/>
      <c r="IY3066" s="37"/>
      <c r="IZ3066" s="37"/>
      <c r="JA3066" s="37"/>
      <c r="JB3066" s="37"/>
      <c r="JC3066" s="37"/>
      <c r="JD3066" s="37"/>
      <c r="JE3066" s="37"/>
      <c r="JF3066" s="37"/>
      <c r="JG3066" s="37"/>
      <c r="JH3066" s="37"/>
      <c r="JI3066" s="37"/>
      <c r="JJ3066" s="37"/>
      <c r="JK3066" s="37"/>
      <c r="JL3066" s="37"/>
      <c r="JM3066" s="37"/>
      <c r="JN3066" s="37"/>
      <c r="JO3066" s="37"/>
      <c r="JP3066" s="37"/>
      <c r="JQ3066" s="37"/>
      <c r="JR3066" s="37"/>
      <c r="JS3066" s="37"/>
      <c r="JT3066" s="37"/>
      <c r="JU3066" s="37"/>
      <c r="JV3066" s="37"/>
      <c r="JW3066" s="37"/>
      <c r="JX3066" s="37"/>
      <c r="JY3066" s="37"/>
      <c r="JZ3066" s="37"/>
      <c r="KA3066" s="37"/>
      <c r="KB3066" s="37"/>
      <c r="KC3066" s="37"/>
      <c r="KD3066" s="37"/>
      <c r="KE3066" s="37"/>
      <c r="KF3066" s="37"/>
      <c r="KG3066" s="37"/>
      <c r="KH3066" s="37"/>
      <c r="KI3066" s="37"/>
      <c r="KJ3066" s="37"/>
      <c r="KK3066" s="37"/>
      <c r="KL3066" s="37"/>
      <c r="KM3066" s="37"/>
      <c r="KN3066" s="37"/>
      <c r="KO3066" s="37"/>
      <c r="KP3066" s="37"/>
      <c r="KQ3066" s="37"/>
      <c r="KR3066" s="37"/>
      <c r="KS3066" s="37"/>
      <c r="KT3066" s="37"/>
      <c r="KU3066" s="37"/>
      <c r="KV3066" s="37"/>
      <c r="KW3066" s="37"/>
      <c r="KX3066" s="37"/>
      <c r="KY3066" s="37"/>
      <c r="KZ3066" s="37"/>
      <c r="LA3066" s="37"/>
      <c r="LB3066" s="37"/>
      <c r="LC3066" s="37"/>
      <c r="LD3066" s="37"/>
      <c r="LE3066" s="37"/>
      <c r="LF3066" s="37"/>
      <c r="LG3066" s="37"/>
      <c r="LH3066" s="37"/>
      <c r="LI3066" s="37"/>
      <c r="LJ3066" s="37"/>
      <c r="LK3066" s="37"/>
      <c r="LL3066" s="37"/>
      <c r="LM3066" s="37"/>
      <c r="LN3066" s="37"/>
      <c r="LO3066" s="37"/>
      <c r="LP3066" s="37"/>
      <c r="LQ3066" s="37"/>
      <c r="LR3066" s="37"/>
      <c r="LS3066" s="37"/>
      <c r="LT3066" s="37"/>
      <c r="LU3066" s="37"/>
      <c r="LV3066" s="37"/>
      <c r="LW3066" s="37"/>
      <c r="LX3066" s="37"/>
      <c r="LY3066" s="37"/>
      <c r="LZ3066" s="37"/>
      <c r="MA3066" s="37"/>
      <c r="MB3066" s="37"/>
      <c r="MC3066" s="37"/>
      <c r="MD3066" s="37"/>
      <c r="ME3066" s="37"/>
      <c r="MF3066" s="37"/>
      <c r="MG3066" s="37"/>
      <c r="MH3066" s="37"/>
      <c r="MI3066" s="37"/>
      <c r="MJ3066" s="37"/>
      <c r="MK3066" s="37"/>
      <c r="ML3066" s="37"/>
      <c r="MM3066" s="37"/>
      <c r="MN3066" s="37"/>
      <c r="MO3066" s="37"/>
      <c r="MP3066" s="37"/>
      <c r="MQ3066" s="37"/>
      <c r="MR3066" s="37"/>
      <c r="MS3066" s="37"/>
      <c r="MT3066" s="37"/>
      <c r="MU3066" s="37"/>
      <c r="MV3066" s="37"/>
      <c r="MW3066" s="37"/>
      <c r="MX3066" s="37"/>
      <c r="MY3066" s="37"/>
      <c r="MZ3066" s="37"/>
      <c r="NA3066" s="37"/>
      <c r="NB3066" s="37"/>
      <c r="NC3066" s="37"/>
      <c r="ND3066" s="37"/>
      <c r="NE3066" s="37"/>
      <c r="NF3066" s="37"/>
      <c r="NG3066" s="37"/>
      <c r="NH3066" s="37"/>
      <c r="NI3066" s="37"/>
      <c r="NJ3066" s="37"/>
      <c r="NK3066" s="37"/>
      <c r="NL3066" s="37"/>
      <c r="NM3066" s="37"/>
      <c r="NN3066" s="37"/>
      <c r="NO3066" s="37"/>
      <c r="NP3066" s="37"/>
      <c r="NQ3066" s="37"/>
      <c r="NR3066" s="37"/>
      <c r="NS3066" s="37"/>
      <c r="NT3066" s="37"/>
      <c r="NU3066" s="37"/>
      <c r="NV3066" s="37"/>
      <c r="NW3066" s="37"/>
      <c r="NX3066" s="37"/>
      <c r="NY3066" s="37"/>
      <c r="NZ3066" s="37"/>
      <c r="OA3066" s="37"/>
      <c r="OB3066" s="37"/>
      <c r="OC3066" s="37"/>
      <c r="OD3066" s="37"/>
      <c r="OE3066" s="37"/>
      <c r="OF3066" s="37"/>
      <c r="OG3066" s="37"/>
      <c r="OH3066" s="37"/>
      <c r="OI3066" s="37"/>
      <c r="OJ3066" s="37"/>
      <c r="OK3066" s="37"/>
      <c r="OL3066" s="37"/>
      <c r="OM3066" s="37"/>
      <c r="ON3066" s="37"/>
      <c r="OO3066" s="37"/>
      <c r="OP3066" s="37"/>
      <c r="OQ3066" s="37"/>
      <c r="OR3066" s="37"/>
      <c r="OS3066" s="37"/>
      <c r="OT3066" s="37"/>
      <c r="OU3066" s="37"/>
      <c r="OV3066" s="37"/>
      <c r="OW3066" s="37"/>
      <c r="OX3066" s="37"/>
      <c r="OY3066" s="37"/>
      <c r="OZ3066" s="37"/>
      <c r="PA3066" s="37"/>
      <c r="PB3066" s="37"/>
      <c r="PC3066" s="37"/>
      <c r="PD3066" s="37"/>
      <c r="PE3066" s="37"/>
      <c r="PF3066" s="37"/>
      <c r="PG3066" s="37"/>
      <c r="PH3066" s="37"/>
      <c r="PI3066" s="37"/>
      <c r="PJ3066" s="37"/>
      <c r="PK3066" s="37"/>
      <c r="PL3066" s="37"/>
      <c r="PM3066" s="37"/>
      <c r="PN3066" s="37"/>
      <c r="PO3066" s="37"/>
      <c r="PP3066" s="37"/>
      <c r="PQ3066" s="37"/>
      <c r="PR3066" s="37"/>
      <c r="PS3066" s="37"/>
      <c r="PT3066" s="37"/>
      <c r="PU3066" s="37"/>
      <c r="PV3066" s="37"/>
      <c r="PW3066" s="37"/>
      <c r="PX3066" s="37"/>
      <c r="PY3066" s="37"/>
      <c r="PZ3066" s="37"/>
      <c r="QA3066" s="37"/>
      <c r="QB3066" s="37"/>
      <c r="QC3066" s="37"/>
      <c r="QD3066" s="37"/>
      <c r="QE3066" s="37"/>
      <c r="QF3066" s="37"/>
      <c r="QG3066" s="37"/>
      <c r="QH3066" s="37"/>
      <c r="QI3066" s="37"/>
      <c r="QJ3066" s="37"/>
      <c r="QK3066" s="37"/>
      <c r="QL3066" s="37"/>
      <c r="QM3066" s="37"/>
      <c r="QN3066" s="37"/>
      <c r="QO3066" s="37"/>
      <c r="QP3066" s="37"/>
      <c r="QQ3066" s="37"/>
      <c r="QR3066" s="37"/>
      <c r="QS3066" s="37"/>
      <c r="QT3066" s="37"/>
      <c r="QU3066" s="37"/>
      <c r="QV3066" s="37"/>
      <c r="QW3066" s="37"/>
      <c r="QX3066" s="37"/>
      <c r="QY3066" s="37"/>
      <c r="QZ3066" s="37"/>
      <c r="RA3066" s="37"/>
      <c r="RB3066" s="37"/>
      <c r="RC3066" s="37"/>
      <c r="RD3066" s="37"/>
      <c r="RE3066" s="37"/>
      <c r="RF3066" s="37"/>
      <c r="RG3066" s="37"/>
      <c r="RH3066" s="37"/>
      <c r="RI3066" s="37"/>
      <c r="RJ3066" s="37"/>
      <c r="RK3066" s="37"/>
      <c r="RL3066" s="37"/>
      <c r="RM3066" s="37"/>
      <c r="RN3066" s="37"/>
      <c r="RO3066" s="37"/>
      <c r="RP3066" s="37"/>
      <c r="RQ3066" s="37"/>
      <c r="RR3066" s="37"/>
      <c r="RS3066" s="37"/>
      <c r="RT3066" s="37"/>
      <c r="RU3066" s="37"/>
      <c r="RV3066" s="37"/>
      <c r="RW3066" s="37"/>
      <c r="RX3066" s="37"/>
      <c r="RY3066" s="37"/>
      <c r="RZ3066" s="37"/>
      <c r="SA3066" s="37"/>
      <c r="SB3066" s="37"/>
      <c r="SC3066" s="37"/>
      <c r="SD3066" s="37"/>
      <c r="SE3066" s="37"/>
      <c r="SF3066" s="37"/>
    </row>
    <row r="3067" spans="1:500">
      <c r="A3067" s="37"/>
      <c r="B3067" s="37"/>
      <c r="C3067" s="37"/>
      <c r="D3067" s="37"/>
      <c r="E3067" s="37"/>
      <c r="F3067" s="37"/>
      <c r="G3067" s="37"/>
      <c r="H3067" s="37"/>
      <c r="I3067" s="37"/>
      <c r="J3067" s="37"/>
      <c r="K3067" s="37"/>
      <c r="L3067" s="37"/>
      <c r="M3067" s="37"/>
      <c r="N3067" s="37"/>
      <c r="O3067" s="37"/>
      <c r="P3067" s="37"/>
      <c r="Q3067" s="37"/>
      <c r="R3067" s="37"/>
      <c r="S3067" s="37"/>
      <c r="T3067" s="37"/>
      <c r="U3067" s="37"/>
      <c r="V3067" s="37"/>
      <c r="W3067" s="37"/>
      <c r="X3067" s="37"/>
      <c r="Y3067" s="37"/>
      <c r="Z3067" s="37"/>
      <c r="AA3067" s="37"/>
      <c r="AB3067" s="37"/>
      <c r="AC3067" s="37"/>
      <c r="AD3067" s="37"/>
      <c r="AE3067" s="37"/>
      <c r="AF3067" s="37"/>
      <c r="AG3067" s="37"/>
      <c r="AH3067" s="37"/>
      <c r="AI3067" s="37"/>
      <c r="AJ3067" s="37"/>
      <c r="AK3067" s="37"/>
      <c r="AL3067" s="37"/>
      <c r="AM3067" s="37"/>
      <c r="AN3067" s="37"/>
      <c r="AO3067" s="37"/>
      <c r="AP3067" s="37"/>
      <c r="AQ3067" s="37"/>
      <c r="AR3067" s="37"/>
      <c r="AS3067" s="37"/>
      <c r="AT3067" s="37"/>
      <c r="AU3067" s="37"/>
      <c r="AV3067" s="37"/>
      <c r="AW3067" s="37"/>
      <c r="AX3067" s="37"/>
      <c r="AY3067" s="37"/>
      <c r="AZ3067" s="37"/>
      <c r="BA3067" s="37"/>
      <c r="BB3067" s="37"/>
      <c r="BC3067" s="37"/>
      <c r="BD3067" s="37"/>
      <c r="BE3067" s="37"/>
      <c r="BF3067" s="37"/>
      <c r="BG3067" s="37"/>
      <c r="BH3067" s="37"/>
      <c r="BI3067" s="37"/>
      <c r="BJ3067" s="37"/>
      <c r="BK3067" s="37"/>
      <c r="BL3067" s="37"/>
      <c r="BM3067" s="37"/>
      <c r="BN3067" s="37"/>
      <c r="BO3067" s="37"/>
      <c r="BP3067" s="37"/>
      <c r="BQ3067" s="37"/>
      <c r="BR3067" s="37"/>
      <c r="BS3067" s="37"/>
      <c r="BT3067" s="37"/>
      <c r="BU3067" s="37"/>
      <c r="BV3067" s="37"/>
      <c r="BW3067" s="37"/>
      <c r="BX3067" s="37"/>
      <c r="BY3067" s="37"/>
      <c r="BZ3067" s="37"/>
      <c r="CA3067" s="37"/>
      <c r="CB3067" s="37"/>
      <c r="CC3067" s="37"/>
      <c r="CD3067" s="37"/>
      <c r="CE3067" s="37"/>
      <c r="CF3067" s="37"/>
      <c r="CG3067" s="37"/>
      <c r="CH3067" s="37"/>
      <c r="CI3067" s="37"/>
      <c r="CJ3067" s="37"/>
      <c r="CK3067" s="37"/>
      <c r="CL3067" s="37"/>
      <c r="CM3067" s="37"/>
      <c r="CN3067" s="37"/>
      <c r="CO3067" s="37"/>
      <c r="CP3067" s="37"/>
      <c r="CQ3067" s="37"/>
      <c r="CR3067" s="37"/>
      <c r="CS3067" s="37"/>
      <c r="CT3067" s="37"/>
      <c r="CU3067" s="37"/>
      <c r="CV3067" s="37"/>
      <c r="CW3067" s="37"/>
      <c r="CX3067" s="37"/>
      <c r="CY3067" s="37"/>
      <c r="CZ3067" s="37"/>
      <c r="DA3067" s="37"/>
      <c r="DB3067" s="37"/>
      <c r="DC3067" s="37"/>
      <c r="DD3067" s="37"/>
      <c r="DE3067" s="37"/>
      <c r="DF3067" s="37"/>
      <c r="DG3067" s="37"/>
      <c r="DH3067" s="37"/>
      <c r="DI3067" s="37"/>
      <c r="DJ3067" s="37"/>
      <c r="DK3067" s="37"/>
      <c r="DL3067" s="37"/>
      <c r="DM3067" s="37"/>
      <c r="DN3067" s="37"/>
      <c r="DO3067" s="37"/>
      <c r="DP3067" s="37"/>
      <c r="DQ3067" s="37"/>
      <c r="DR3067" s="37"/>
      <c r="DS3067" s="37"/>
      <c r="DT3067" s="37"/>
      <c r="DU3067" s="37"/>
      <c r="DV3067" s="37"/>
      <c r="DW3067" s="37"/>
      <c r="DX3067" s="37"/>
      <c r="DY3067" s="37"/>
      <c r="DZ3067" s="37"/>
      <c r="EA3067" s="37"/>
      <c r="EB3067" s="37"/>
      <c r="EC3067" s="37"/>
      <c r="ED3067" s="37"/>
      <c r="EE3067" s="37"/>
      <c r="EF3067" s="37"/>
      <c r="EG3067" s="37"/>
      <c r="EH3067" s="37"/>
      <c r="EI3067" s="37"/>
      <c r="EJ3067" s="37"/>
      <c r="EK3067" s="37"/>
      <c r="EL3067" s="37"/>
      <c r="EM3067" s="37"/>
      <c r="EN3067" s="37"/>
      <c r="EO3067" s="37"/>
      <c r="EP3067" s="37"/>
      <c r="EQ3067" s="37"/>
      <c r="ER3067" s="37"/>
      <c r="ES3067" s="37"/>
      <c r="ET3067" s="37"/>
      <c r="EU3067" s="37"/>
      <c r="EV3067" s="37"/>
      <c r="EW3067" s="37"/>
      <c r="EX3067" s="37"/>
      <c r="EY3067" s="37"/>
      <c r="EZ3067" s="37"/>
      <c r="FA3067" s="37"/>
      <c r="FB3067" s="37"/>
      <c r="FC3067" s="37"/>
      <c r="FD3067" s="37"/>
      <c r="FE3067" s="37"/>
      <c r="FF3067" s="37"/>
      <c r="FG3067" s="37"/>
      <c r="FH3067" s="37"/>
      <c r="FI3067" s="37"/>
      <c r="FJ3067" s="37"/>
      <c r="FK3067" s="37"/>
      <c r="FL3067" s="37"/>
      <c r="FM3067" s="37"/>
      <c r="FN3067" s="37"/>
      <c r="FO3067" s="37"/>
      <c r="FP3067" s="37"/>
      <c r="FQ3067" s="37"/>
      <c r="FR3067" s="37"/>
      <c r="FS3067" s="37"/>
      <c r="FT3067" s="37"/>
      <c r="FU3067" s="37"/>
      <c r="FV3067" s="37"/>
      <c r="FW3067" s="37"/>
      <c r="FX3067" s="37"/>
      <c r="FY3067" s="37"/>
      <c r="FZ3067" s="37"/>
      <c r="GA3067" s="37"/>
      <c r="GB3067" s="37"/>
      <c r="GC3067" s="37"/>
      <c r="GD3067" s="37"/>
      <c r="GE3067" s="37"/>
      <c r="GF3067" s="37"/>
      <c r="GG3067" s="37"/>
      <c r="GH3067" s="37"/>
      <c r="GI3067" s="37"/>
      <c r="GJ3067" s="37"/>
      <c r="GK3067" s="37"/>
      <c r="GL3067" s="37"/>
      <c r="GM3067" s="37"/>
      <c r="GN3067" s="37"/>
      <c r="GO3067" s="37"/>
      <c r="GP3067" s="37"/>
      <c r="GQ3067" s="37"/>
      <c r="GR3067" s="37"/>
      <c r="GS3067" s="37"/>
      <c r="GT3067" s="37"/>
      <c r="GU3067" s="37"/>
      <c r="GV3067" s="37"/>
      <c r="GW3067" s="37"/>
      <c r="GX3067" s="37"/>
      <c r="GY3067" s="37"/>
      <c r="GZ3067" s="37"/>
      <c r="HA3067" s="37"/>
      <c r="HB3067" s="37"/>
      <c r="HC3067" s="37"/>
      <c r="HD3067" s="37"/>
      <c r="HE3067" s="37"/>
      <c r="HF3067" s="37"/>
      <c r="HG3067" s="37"/>
      <c r="HH3067" s="37"/>
      <c r="HI3067" s="37"/>
      <c r="HJ3067" s="37"/>
      <c r="HK3067" s="37"/>
      <c r="HL3067" s="37"/>
      <c r="HM3067" s="37"/>
      <c r="HN3067" s="37"/>
      <c r="HO3067" s="37"/>
      <c r="HP3067" s="37"/>
      <c r="HQ3067" s="37"/>
      <c r="HR3067" s="37"/>
      <c r="HS3067" s="37"/>
      <c r="HT3067" s="37"/>
      <c r="HU3067" s="37"/>
      <c r="HV3067" s="37"/>
      <c r="HW3067" s="37"/>
      <c r="HX3067" s="37"/>
      <c r="HY3067" s="37"/>
      <c r="HZ3067" s="37"/>
      <c r="IA3067" s="37"/>
      <c r="IB3067" s="37"/>
      <c r="IC3067" s="37"/>
      <c r="ID3067" s="37"/>
      <c r="IE3067" s="37"/>
      <c r="IF3067" s="37"/>
      <c r="IG3067" s="37"/>
      <c r="IH3067" s="37"/>
      <c r="II3067" s="37"/>
      <c r="IJ3067" s="37"/>
      <c r="IK3067" s="37"/>
      <c r="IL3067" s="37"/>
      <c r="IM3067" s="37"/>
      <c r="IN3067" s="37"/>
      <c r="IO3067" s="37"/>
      <c r="IP3067" s="37"/>
      <c r="IQ3067" s="37"/>
      <c r="IR3067" s="37"/>
      <c r="IS3067" s="37"/>
      <c r="IT3067" s="37"/>
      <c r="IU3067" s="37"/>
      <c r="IV3067" s="37"/>
      <c r="IW3067" s="37"/>
      <c r="IX3067" s="37"/>
      <c r="IY3067" s="37"/>
      <c r="IZ3067" s="37"/>
      <c r="JA3067" s="37"/>
      <c r="JB3067" s="37"/>
      <c r="JC3067" s="37"/>
      <c r="JD3067" s="37"/>
      <c r="JE3067" s="37"/>
      <c r="JF3067" s="37"/>
      <c r="JG3067" s="37"/>
      <c r="JH3067" s="37"/>
      <c r="JI3067" s="37"/>
      <c r="JJ3067" s="37"/>
      <c r="JK3067" s="37"/>
      <c r="JL3067" s="37"/>
      <c r="JM3067" s="37"/>
      <c r="JN3067" s="37"/>
      <c r="JO3067" s="37"/>
      <c r="JP3067" s="37"/>
      <c r="JQ3067" s="37"/>
      <c r="JR3067" s="37"/>
      <c r="JS3067" s="37"/>
      <c r="JT3067" s="37"/>
      <c r="JU3067" s="37"/>
      <c r="JV3067" s="37"/>
      <c r="JW3067" s="37"/>
      <c r="JX3067" s="37"/>
      <c r="JY3067" s="37"/>
      <c r="JZ3067" s="37"/>
      <c r="KA3067" s="37"/>
      <c r="KB3067" s="37"/>
      <c r="KC3067" s="37"/>
      <c r="KD3067" s="37"/>
      <c r="KE3067" s="37"/>
      <c r="KF3067" s="37"/>
      <c r="KG3067" s="37"/>
      <c r="KH3067" s="37"/>
      <c r="KI3067" s="37"/>
      <c r="KJ3067" s="37"/>
      <c r="KK3067" s="37"/>
      <c r="KL3067" s="37"/>
      <c r="KM3067" s="37"/>
      <c r="KN3067" s="37"/>
      <c r="KO3067" s="37"/>
      <c r="KP3067" s="37"/>
      <c r="KQ3067" s="37"/>
      <c r="KR3067" s="37"/>
      <c r="KS3067" s="37"/>
      <c r="KT3067" s="37"/>
      <c r="KU3067" s="37"/>
      <c r="KV3067" s="37"/>
      <c r="KW3067" s="37"/>
      <c r="KX3067" s="37"/>
      <c r="KY3067" s="37"/>
      <c r="KZ3067" s="37"/>
      <c r="LA3067" s="37"/>
      <c r="LB3067" s="37"/>
      <c r="LC3067" s="37"/>
      <c r="LD3067" s="37"/>
      <c r="LE3067" s="37"/>
      <c r="LF3067" s="37"/>
      <c r="LG3067" s="37"/>
      <c r="LH3067" s="37"/>
      <c r="LI3067" s="37"/>
      <c r="LJ3067" s="37"/>
      <c r="LK3067" s="37"/>
      <c r="LL3067" s="37"/>
      <c r="LM3067" s="37"/>
      <c r="LN3067" s="37"/>
      <c r="LO3067" s="37"/>
      <c r="LP3067" s="37"/>
      <c r="LQ3067" s="37"/>
      <c r="LR3067" s="37"/>
      <c r="LS3067" s="37"/>
      <c r="LT3067" s="37"/>
      <c r="LU3067" s="37"/>
      <c r="LV3067" s="37"/>
      <c r="LW3067" s="37"/>
      <c r="LX3067" s="37"/>
      <c r="LY3067" s="37"/>
      <c r="LZ3067" s="37"/>
      <c r="MA3067" s="37"/>
      <c r="MB3067" s="37"/>
      <c r="MC3067" s="37"/>
      <c r="MD3067" s="37"/>
      <c r="ME3067" s="37"/>
      <c r="MF3067" s="37"/>
      <c r="MG3067" s="37"/>
      <c r="MH3067" s="37"/>
      <c r="MI3067" s="37"/>
      <c r="MJ3067" s="37"/>
      <c r="MK3067" s="37"/>
      <c r="ML3067" s="37"/>
      <c r="MM3067" s="37"/>
      <c r="MN3067" s="37"/>
      <c r="MO3067" s="37"/>
      <c r="MP3067" s="37"/>
      <c r="MQ3067" s="37"/>
      <c r="MR3067" s="37"/>
      <c r="MS3067" s="37"/>
      <c r="MT3067" s="37"/>
      <c r="MU3067" s="37"/>
      <c r="MV3067" s="37"/>
      <c r="MW3067" s="37"/>
      <c r="MX3067" s="37"/>
      <c r="MY3067" s="37"/>
      <c r="MZ3067" s="37"/>
      <c r="NA3067" s="37"/>
      <c r="NB3067" s="37"/>
      <c r="NC3067" s="37"/>
      <c r="ND3067" s="37"/>
      <c r="NE3067" s="37"/>
      <c r="NF3067" s="37"/>
      <c r="NG3067" s="37"/>
      <c r="NH3067" s="37"/>
      <c r="NI3067" s="37"/>
      <c r="NJ3067" s="37"/>
      <c r="NK3067" s="37"/>
      <c r="NL3067" s="37"/>
      <c r="NM3067" s="37"/>
      <c r="NN3067" s="37"/>
      <c r="NO3067" s="37"/>
      <c r="NP3067" s="37"/>
      <c r="NQ3067" s="37"/>
      <c r="NR3067" s="37"/>
      <c r="NS3067" s="37"/>
      <c r="NT3067" s="37"/>
      <c r="NU3067" s="37"/>
      <c r="NV3067" s="37"/>
      <c r="NW3067" s="37"/>
      <c r="NX3067" s="37"/>
      <c r="NY3067" s="37"/>
      <c r="NZ3067" s="37"/>
      <c r="OA3067" s="37"/>
      <c r="OB3067" s="37"/>
      <c r="OC3067" s="37"/>
      <c r="OD3067" s="37"/>
      <c r="OE3067" s="37"/>
      <c r="OF3067" s="37"/>
      <c r="OG3067" s="37"/>
      <c r="OH3067" s="37"/>
      <c r="OI3067" s="37"/>
      <c r="OJ3067" s="37"/>
      <c r="OK3067" s="37"/>
      <c r="OL3067" s="37"/>
      <c r="OM3067" s="37"/>
      <c r="ON3067" s="37"/>
      <c r="OO3067" s="37"/>
      <c r="OP3067" s="37"/>
      <c r="OQ3067" s="37"/>
      <c r="OR3067" s="37"/>
      <c r="OS3067" s="37"/>
      <c r="OT3067" s="37"/>
      <c r="OU3067" s="37"/>
      <c r="OV3067" s="37"/>
      <c r="OW3067" s="37"/>
      <c r="OX3067" s="37"/>
      <c r="OY3067" s="37"/>
      <c r="OZ3067" s="37"/>
      <c r="PA3067" s="37"/>
      <c r="PB3067" s="37"/>
      <c r="PC3067" s="37"/>
      <c r="PD3067" s="37"/>
      <c r="PE3067" s="37"/>
      <c r="PF3067" s="37"/>
      <c r="PG3067" s="37"/>
      <c r="PH3067" s="37"/>
      <c r="PI3067" s="37"/>
      <c r="PJ3067" s="37"/>
      <c r="PK3067" s="37"/>
      <c r="PL3067" s="37"/>
      <c r="PM3067" s="37"/>
      <c r="PN3067" s="37"/>
      <c r="PO3067" s="37"/>
      <c r="PP3067" s="37"/>
      <c r="PQ3067" s="37"/>
      <c r="PR3067" s="37"/>
      <c r="PS3067" s="37"/>
      <c r="PT3067" s="37"/>
      <c r="PU3067" s="37"/>
      <c r="PV3067" s="37"/>
      <c r="PW3067" s="37"/>
      <c r="PX3067" s="37"/>
      <c r="PY3067" s="37"/>
      <c r="PZ3067" s="37"/>
      <c r="QA3067" s="37"/>
      <c r="QB3067" s="37"/>
      <c r="QC3067" s="37"/>
      <c r="QD3067" s="37"/>
      <c r="QE3067" s="37"/>
      <c r="QF3067" s="37"/>
      <c r="QG3067" s="37"/>
      <c r="QH3067" s="37"/>
      <c r="QI3067" s="37"/>
      <c r="QJ3067" s="37"/>
      <c r="QK3067" s="37"/>
      <c r="QL3067" s="37"/>
      <c r="QM3067" s="37"/>
      <c r="QN3067" s="37"/>
      <c r="QO3067" s="37"/>
      <c r="QP3067" s="37"/>
      <c r="QQ3067" s="37"/>
      <c r="QR3067" s="37"/>
      <c r="QS3067" s="37"/>
      <c r="QT3067" s="37"/>
      <c r="QU3067" s="37"/>
      <c r="QV3067" s="37"/>
      <c r="QW3067" s="37"/>
      <c r="QX3067" s="37"/>
      <c r="QY3067" s="37"/>
      <c r="QZ3067" s="37"/>
      <c r="RA3067" s="37"/>
      <c r="RB3067" s="37"/>
      <c r="RC3067" s="37"/>
      <c r="RD3067" s="37"/>
      <c r="RE3067" s="37"/>
      <c r="RF3067" s="37"/>
      <c r="RG3067" s="37"/>
      <c r="RH3067" s="37"/>
      <c r="RI3067" s="37"/>
      <c r="RJ3067" s="37"/>
      <c r="RK3067" s="37"/>
      <c r="RL3067" s="37"/>
      <c r="RM3067" s="37"/>
      <c r="RN3067" s="37"/>
      <c r="RO3067" s="37"/>
      <c r="RP3067" s="37"/>
      <c r="RQ3067" s="37"/>
      <c r="RR3067" s="37"/>
      <c r="RS3067" s="37"/>
      <c r="RT3067" s="37"/>
      <c r="RU3067" s="37"/>
      <c r="RV3067" s="37"/>
      <c r="RW3067" s="37"/>
      <c r="RX3067" s="37"/>
      <c r="RY3067" s="37"/>
      <c r="RZ3067" s="37"/>
      <c r="SA3067" s="37"/>
      <c r="SB3067" s="37"/>
      <c r="SC3067" s="37"/>
      <c r="SD3067" s="37"/>
      <c r="SE3067" s="37"/>
      <c r="SF3067" s="37"/>
    </row>
    <row r="3068" spans="1:500">
      <c r="A3068" s="37"/>
      <c r="B3068" s="37"/>
      <c r="C3068" s="37"/>
      <c r="D3068" s="37"/>
      <c r="E3068" s="37"/>
      <c r="F3068" s="37"/>
      <c r="G3068" s="37"/>
      <c r="H3068" s="37"/>
      <c r="I3068" s="37"/>
      <c r="J3068" s="37"/>
      <c r="K3068" s="37"/>
      <c r="L3068" s="37"/>
      <c r="M3068" s="37"/>
      <c r="N3068" s="37"/>
      <c r="O3068" s="37"/>
      <c r="P3068" s="37"/>
      <c r="Q3068" s="37"/>
      <c r="R3068" s="37"/>
      <c r="S3068" s="37"/>
      <c r="T3068" s="37"/>
      <c r="U3068" s="37"/>
      <c r="V3068" s="37"/>
      <c r="W3068" s="37"/>
      <c r="X3068" s="37"/>
      <c r="Y3068" s="37"/>
      <c r="Z3068" s="37"/>
      <c r="AA3068" s="37"/>
      <c r="AB3068" s="37"/>
      <c r="AC3068" s="37"/>
      <c r="AD3068" s="37"/>
      <c r="AE3068" s="37"/>
      <c r="AF3068" s="37"/>
      <c r="AG3068" s="37"/>
      <c r="AH3068" s="37"/>
      <c r="AI3068" s="37"/>
      <c r="AJ3068" s="37"/>
      <c r="AK3068" s="37"/>
      <c r="AL3068" s="37"/>
      <c r="AM3068" s="37"/>
      <c r="AN3068" s="37"/>
      <c r="AO3068" s="37"/>
      <c r="AP3068" s="37"/>
      <c r="AQ3068" s="37"/>
      <c r="AR3068" s="37"/>
      <c r="AS3068" s="37"/>
      <c r="AT3068" s="37"/>
      <c r="AU3068" s="37"/>
      <c r="AV3068" s="37"/>
      <c r="AW3068" s="37"/>
      <c r="AX3068" s="37"/>
      <c r="AY3068" s="37"/>
      <c r="AZ3068" s="37"/>
      <c r="BA3068" s="37"/>
      <c r="BB3068" s="37"/>
      <c r="BC3068" s="37"/>
      <c r="BD3068" s="37"/>
      <c r="BE3068" s="37"/>
      <c r="BF3068" s="37"/>
      <c r="BG3068" s="37"/>
      <c r="BH3068" s="37"/>
      <c r="BI3068" s="37"/>
      <c r="BJ3068" s="37"/>
      <c r="BK3068" s="37"/>
      <c r="BL3068" s="37"/>
      <c r="BM3068" s="37"/>
      <c r="BN3068" s="37"/>
      <c r="BO3068" s="37"/>
      <c r="BP3068" s="37"/>
      <c r="BQ3068" s="37"/>
      <c r="BR3068" s="37"/>
      <c r="BS3068" s="37"/>
      <c r="BT3068" s="37"/>
      <c r="BU3068" s="37"/>
      <c r="BV3068" s="37"/>
      <c r="BW3068" s="37"/>
      <c r="BX3068" s="37"/>
      <c r="BY3068" s="37"/>
      <c r="BZ3068" s="37"/>
      <c r="CA3068" s="37"/>
      <c r="CB3068" s="37"/>
      <c r="CC3068" s="37"/>
      <c r="CD3068" s="37"/>
      <c r="CE3068" s="37"/>
      <c r="CF3068" s="37"/>
      <c r="CG3068" s="37"/>
      <c r="CH3068" s="37"/>
      <c r="CI3068" s="37"/>
      <c r="CJ3068" s="37"/>
      <c r="CK3068" s="37"/>
      <c r="CL3068" s="37"/>
      <c r="CM3068" s="37"/>
      <c r="CN3068" s="37"/>
      <c r="CO3068" s="37"/>
      <c r="CP3068" s="37"/>
      <c r="CQ3068" s="37"/>
      <c r="CR3068" s="37"/>
      <c r="CS3068" s="37"/>
      <c r="CT3068" s="37"/>
      <c r="CU3068" s="37"/>
      <c r="CV3068" s="37"/>
      <c r="CW3068" s="37"/>
      <c r="CX3068" s="37"/>
      <c r="CY3068" s="37"/>
      <c r="CZ3068" s="37"/>
      <c r="DA3068" s="37"/>
      <c r="DB3068" s="37"/>
      <c r="DC3068" s="37"/>
      <c r="DD3068" s="37"/>
      <c r="DE3068" s="37"/>
      <c r="DF3068" s="37"/>
      <c r="DG3068" s="37"/>
      <c r="DH3068" s="37"/>
      <c r="DI3068" s="37"/>
      <c r="DJ3068" s="37"/>
      <c r="DK3068" s="37"/>
      <c r="DL3068" s="37"/>
      <c r="DM3068" s="37"/>
      <c r="DN3068" s="37"/>
      <c r="DO3068" s="37"/>
      <c r="DP3068" s="37"/>
      <c r="DQ3068" s="37"/>
      <c r="DR3068" s="37"/>
      <c r="DS3068" s="37"/>
      <c r="DT3068" s="37"/>
      <c r="DU3068" s="37"/>
      <c r="DV3068" s="37"/>
      <c r="DW3068" s="37"/>
      <c r="DX3068" s="37"/>
      <c r="DY3068" s="37"/>
      <c r="DZ3068" s="37"/>
      <c r="EA3068" s="37"/>
      <c r="EB3068" s="37"/>
      <c r="EC3068" s="37"/>
      <c r="ED3068" s="37"/>
      <c r="EE3068" s="37"/>
      <c r="EF3068" s="37"/>
      <c r="EG3068" s="37"/>
      <c r="EH3068" s="37"/>
      <c r="EI3068" s="37"/>
      <c r="EJ3068" s="37"/>
      <c r="EK3068" s="37"/>
      <c r="EL3068" s="37"/>
      <c r="EM3068" s="37"/>
      <c r="EN3068" s="37"/>
      <c r="EO3068" s="37"/>
      <c r="EP3068" s="37"/>
      <c r="EQ3068" s="37"/>
      <c r="ER3068" s="37"/>
      <c r="ES3068" s="37"/>
      <c r="ET3068" s="37"/>
      <c r="EU3068" s="37"/>
      <c r="EV3068" s="37"/>
      <c r="EW3068" s="37"/>
      <c r="EX3068" s="37"/>
      <c r="EY3068" s="37"/>
      <c r="EZ3068" s="37"/>
      <c r="FA3068" s="37"/>
      <c r="FB3068" s="37"/>
      <c r="FC3068" s="37"/>
      <c r="FD3068" s="37"/>
      <c r="FE3068" s="37"/>
      <c r="FF3068" s="37"/>
      <c r="FG3068" s="37"/>
      <c r="FH3068" s="37"/>
      <c r="FI3068" s="37"/>
      <c r="FJ3068" s="37"/>
      <c r="FK3068" s="37"/>
      <c r="FL3068" s="37"/>
      <c r="FM3068" s="37"/>
      <c r="FN3068" s="37"/>
      <c r="FO3068" s="37"/>
      <c r="FP3068" s="37"/>
      <c r="FQ3068" s="37"/>
      <c r="FR3068" s="37"/>
      <c r="FS3068" s="37"/>
      <c r="FT3068" s="37"/>
      <c r="FU3068" s="37"/>
      <c r="FV3068" s="37"/>
      <c r="FW3068" s="37"/>
      <c r="FX3068" s="37"/>
      <c r="FY3068" s="37"/>
      <c r="FZ3068" s="37"/>
      <c r="GA3068" s="37"/>
      <c r="GB3068" s="37"/>
      <c r="GC3068" s="37"/>
      <c r="GD3068" s="37"/>
      <c r="GE3068" s="37"/>
      <c r="GF3068" s="37"/>
      <c r="GG3068" s="37"/>
      <c r="GH3068" s="37"/>
      <c r="GI3068" s="37"/>
      <c r="GJ3068" s="37"/>
      <c r="GK3068" s="37"/>
      <c r="GL3068" s="37"/>
      <c r="GM3068" s="37"/>
      <c r="GN3068" s="37"/>
      <c r="GO3068" s="37"/>
      <c r="GP3068" s="37"/>
      <c r="GQ3068" s="37"/>
      <c r="GR3068" s="37"/>
      <c r="GS3068" s="37"/>
      <c r="GT3068" s="37"/>
      <c r="GU3068" s="37"/>
      <c r="GV3068" s="37"/>
      <c r="GW3068" s="37"/>
      <c r="GX3068" s="37"/>
      <c r="GY3068" s="37"/>
      <c r="GZ3068" s="37"/>
      <c r="HA3068" s="37"/>
      <c r="HB3068" s="37"/>
      <c r="HC3068" s="37"/>
      <c r="HD3068" s="37"/>
      <c r="HE3068" s="37"/>
      <c r="HF3068" s="37"/>
      <c r="HG3068" s="37"/>
      <c r="HH3068" s="37"/>
      <c r="HI3068" s="37"/>
      <c r="HJ3068" s="37"/>
      <c r="HK3068" s="37"/>
      <c r="HL3068" s="37"/>
      <c r="HM3068" s="37"/>
      <c r="HN3068" s="37"/>
      <c r="HO3068" s="37"/>
      <c r="HP3068" s="37"/>
      <c r="HQ3068" s="37"/>
      <c r="HR3068" s="37"/>
      <c r="HS3068" s="37"/>
      <c r="HT3068" s="37"/>
      <c r="HU3068" s="37"/>
      <c r="HV3068" s="37"/>
      <c r="HW3068" s="37"/>
      <c r="HX3068" s="37"/>
      <c r="HY3068" s="37"/>
      <c r="HZ3068" s="37"/>
      <c r="IA3068" s="37"/>
      <c r="IB3068" s="37"/>
      <c r="IC3068" s="37"/>
      <c r="ID3068" s="37"/>
      <c r="IE3068" s="37"/>
      <c r="IF3068" s="37"/>
      <c r="IG3068" s="37"/>
      <c r="IH3068" s="37"/>
      <c r="II3068" s="37"/>
      <c r="IJ3068" s="37"/>
      <c r="IK3068" s="37"/>
      <c r="IL3068" s="37"/>
      <c r="IM3068" s="37"/>
      <c r="IN3068" s="37"/>
      <c r="IO3068" s="37"/>
      <c r="IP3068" s="37"/>
      <c r="IQ3068" s="37"/>
      <c r="IR3068" s="37"/>
      <c r="IS3068" s="37"/>
      <c r="IT3068" s="37"/>
      <c r="IU3068" s="37"/>
      <c r="IV3068" s="37"/>
      <c r="IW3068" s="37"/>
      <c r="IX3068" s="37"/>
      <c r="IY3068" s="37"/>
      <c r="IZ3068" s="37"/>
      <c r="JA3068" s="37"/>
      <c r="JB3068" s="37"/>
      <c r="JC3068" s="37"/>
      <c r="JD3068" s="37"/>
      <c r="JE3068" s="37"/>
      <c r="JF3068" s="37"/>
      <c r="JG3068" s="37"/>
      <c r="JH3068" s="37"/>
      <c r="JI3068" s="37"/>
      <c r="JJ3068" s="37"/>
      <c r="JK3068" s="37"/>
      <c r="JL3068" s="37"/>
      <c r="JM3068" s="37"/>
      <c r="JN3068" s="37"/>
      <c r="JO3068" s="37"/>
      <c r="JP3068" s="37"/>
      <c r="JQ3068" s="37"/>
      <c r="JR3068" s="37"/>
      <c r="JS3068" s="37"/>
      <c r="JT3068" s="37"/>
      <c r="JU3068" s="37"/>
      <c r="JV3068" s="37"/>
      <c r="JW3068" s="37"/>
      <c r="JX3068" s="37"/>
      <c r="JY3068" s="37"/>
      <c r="JZ3068" s="37"/>
      <c r="KA3068" s="37"/>
      <c r="KB3068" s="37"/>
      <c r="KC3068" s="37"/>
      <c r="KD3068" s="37"/>
      <c r="KE3068" s="37"/>
      <c r="KF3068" s="37"/>
      <c r="KG3068" s="37"/>
      <c r="KH3068" s="37"/>
      <c r="KI3068" s="37"/>
      <c r="KJ3068" s="37"/>
      <c r="KK3068" s="37"/>
      <c r="KL3068" s="37"/>
      <c r="KM3068" s="37"/>
      <c r="KN3068" s="37"/>
      <c r="KO3068" s="37"/>
      <c r="KP3068" s="37"/>
      <c r="KQ3068" s="37"/>
      <c r="KR3068" s="37"/>
      <c r="KS3068" s="37"/>
      <c r="KT3068" s="37"/>
      <c r="KU3068" s="37"/>
      <c r="KV3068" s="37"/>
      <c r="KW3068" s="37"/>
      <c r="KX3068" s="37"/>
      <c r="KY3068" s="37"/>
      <c r="KZ3068" s="37"/>
      <c r="LA3068" s="37"/>
      <c r="LB3068" s="37"/>
      <c r="LC3068" s="37"/>
      <c r="LD3068" s="37"/>
      <c r="LE3068" s="37"/>
      <c r="LF3068" s="37"/>
      <c r="LG3068" s="37"/>
      <c r="LH3068" s="37"/>
      <c r="LI3068" s="37"/>
      <c r="LJ3068" s="37"/>
      <c r="LK3068" s="37"/>
      <c r="LL3068" s="37"/>
      <c r="LM3068" s="37"/>
      <c r="LN3068" s="37"/>
      <c r="LO3068" s="37"/>
      <c r="LP3068" s="37"/>
      <c r="LQ3068" s="37"/>
      <c r="LR3068" s="37"/>
      <c r="LS3068" s="37"/>
      <c r="LT3068" s="37"/>
      <c r="LU3068" s="37"/>
      <c r="LV3068" s="37"/>
      <c r="LW3068" s="37"/>
      <c r="LX3068" s="37"/>
      <c r="LY3068" s="37"/>
      <c r="LZ3068" s="37"/>
      <c r="MA3068" s="37"/>
      <c r="MB3068" s="37"/>
      <c r="MC3068" s="37"/>
      <c r="MD3068" s="37"/>
      <c r="ME3068" s="37"/>
      <c r="MF3068" s="37"/>
      <c r="MG3068" s="37"/>
      <c r="MH3068" s="37"/>
      <c r="MI3068" s="37"/>
      <c r="MJ3068" s="37"/>
      <c r="MK3068" s="37"/>
      <c r="ML3068" s="37"/>
      <c r="MM3068" s="37"/>
      <c r="MN3068" s="37"/>
      <c r="MO3068" s="37"/>
      <c r="MP3068" s="37"/>
      <c r="MQ3068" s="37"/>
      <c r="MR3068" s="37"/>
      <c r="MS3068" s="37"/>
      <c r="MT3068" s="37"/>
      <c r="MU3068" s="37"/>
      <c r="MV3068" s="37"/>
      <c r="MW3068" s="37"/>
      <c r="MX3068" s="37"/>
      <c r="MY3068" s="37"/>
      <c r="MZ3068" s="37"/>
      <c r="NA3068" s="37"/>
      <c r="NB3068" s="37"/>
      <c r="NC3068" s="37"/>
      <c r="ND3068" s="37"/>
      <c r="NE3068" s="37"/>
      <c r="NF3068" s="37"/>
      <c r="NG3068" s="37"/>
      <c r="NH3068" s="37"/>
      <c r="NI3068" s="37"/>
      <c r="NJ3068" s="37"/>
      <c r="NK3068" s="37"/>
      <c r="NL3068" s="37"/>
      <c r="NM3068" s="37"/>
      <c r="NN3068" s="37"/>
      <c r="NO3068" s="37"/>
      <c r="NP3068" s="37"/>
      <c r="NQ3068" s="37"/>
      <c r="NR3068" s="37"/>
      <c r="NS3068" s="37"/>
      <c r="NT3068" s="37"/>
      <c r="NU3068" s="37"/>
      <c r="NV3068" s="37"/>
      <c r="NW3068" s="37"/>
      <c r="NX3068" s="37"/>
      <c r="NY3068" s="37"/>
      <c r="NZ3068" s="37"/>
      <c r="OA3068" s="37"/>
      <c r="OB3068" s="37"/>
      <c r="OC3068" s="37"/>
      <c r="OD3068" s="37"/>
      <c r="OE3068" s="37"/>
      <c r="OF3068" s="37"/>
      <c r="OG3068" s="37"/>
      <c r="OH3068" s="37"/>
      <c r="OI3068" s="37"/>
      <c r="OJ3068" s="37"/>
      <c r="OK3068" s="37"/>
      <c r="OL3068" s="37"/>
      <c r="OM3068" s="37"/>
      <c r="ON3068" s="37"/>
      <c r="OO3068" s="37"/>
      <c r="OP3068" s="37"/>
      <c r="OQ3068" s="37"/>
      <c r="OR3068" s="37"/>
      <c r="OS3068" s="37"/>
      <c r="OT3068" s="37"/>
      <c r="OU3068" s="37"/>
      <c r="OV3068" s="37"/>
      <c r="OW3068" s="37"/>
      <c r="OX3068" s="37"/>
      <c r="OY3068" s="37"/>
      <c r="OZ3068" s="37"/>
      <c r="PA3068" s="37"/>
      <c r="PB3068" s="37"/>
      <c r="PC3068" s="37"/>
      <c r="PD3068" s="37"/>
      <c r="PE3068" s="37"/>
      <c r="PF3068" s="37"/>
      <c r="PG3068" s="37"/>
      <c r="PH3068" s="37"/>
      <c r="PI3068" s="37"/>
      <c r="PJ3068" s="37"/>
      <c r="PK3068" s="37"/>
      <c r="PL3068" s="37"/>
      <c r="PM3068" s="37"/>
      <c r="PN3068" s="37"/>
      <c r="PO3068" s="37"/>
      <c r="PP3068" s="37"/>
      <c r="PQ3068" s="37"/>
      <c r="PR3068" s="37"/>
      <c r="PS3068" s="37"/>
      <c r="PT3068" s="37"/>
      <c r="PU3068" s="37"/>
      <c r="PV3068" s="37"/>
      <c r="PW3068" s="37"/>
      <c r="PX3068" s="37"/>
      <c r="PY3068" s="37"/>
      <c r="PZ3068" s="37"/>
      <c r="QA3068" s="37"/>
      <c r="QB3068" s="37"/>
      <c r="QC3068" s="37"/>
      <c r="QD3068" s="37"/>
      <c r="QE3068" s="37"/>
      <c r="QF3068" s="37"/>
      <c r="QG3068" s="37"/>
      <c r="QH3068" s="37"/>
      <c r="QI3068" s="37"/>
      <c r="QJ3068" s="37"/>
      <c r="QK3068" s="37"/>
      <c r="QL3068" s="37"/>
      <c r="QM3068" s="37"/>
      <c r="QN3068" s="37"/>
      <c r="QO3068" s="37"/>
      <c r="QP3068" s="37"/>
      <c r="QQ3068" s="37"/>
      <c r="QR3068" s="37"/>
      <c r="QS3068" s="37"/>
      <c r="QT3068" s="37"/>
      <c r="QU3068" s="37"/>
      <c r="QV3068" s="37"/>
      <c r="QW3068" s="37"/>
      <c r="QX3068" s="37"/>
      <c r="QY3068" s="37"/>
      <c r="QZ3068" s="37"/>
      <c r="RA3068" s="37"/>
      <c r="RB3068" s="37"/>
      <c r="RC3068" s="37"/>
      <c r="RD3068" s="37"/>
      <c r="RE3068" s="37"/>
      <c r="RF3068" s="37"/>
      <c r="RG3068" s="37"/>
      <c r="RH3068" s="37"/>
      <c r="RI3068" s="37"/>
      <c r="RJ3068" s="37"/>
      <c r="RK3068" s="37"/>
      <c r="RL3068" s="37"/>
      <c r="RM3068" s="37"/>
      <c r="RN3068" s="37"/>
      <c r="RO3068" s="37"/>
      <c r="RP3068" s="37"/>
      <c r="RQ3068" s="37"/>
      <c r="RR3068" s="37"/>
      <c r="RS3068" s="37"/>
      <c r="RT3068" s="37"/>
      <c r="RU3068" s="37"/>
      <c r="RV3068" s="37"/>
      <c r="RW3068" s="37"/>
      <c r="RX3068" s="37"/>
      <c r="RY3068" s="37"/>
      <c r="RZ3068" s="37"/>
      <c r="SA3068" s="37"/>
      <c r="SB3068" s="37"/>
      <c r="SC3068" s="37"/>
      <c r="SD3068" s="37"/>
      <c r="SE3068" s="37"/>
      <c r="SF3068" s="37"/>
    </row>
    <row r="3069" spans="1:500">
      <c r="A3069" s="37"/>
      <c r="B3069" s="37"/>
      <c r="C3069" s="37"/>
      <c r="D3069" s="37"/>
      <c r="E3069" s="37"/>
      <c r="F3069" s="37"/>
      <c r="G3069" s="37"/>
      <c r="H3069" s="37"/>
      <c r="I3069" s="37"/>
      <c r="J3069" s="37"/>
      <c r="K3069" s="37"/>
      <c r="L3069" s="37"/>
      <c r="M3069" s="37"/>
      <c r="N3069" s="37"/>
      <c r="O3069" s="37"/>
      <c r="P3069" s="37"/>
      <c r="Q3069" s="37"/>
      <c r="R3069" s="37"/>
      <c r="S3069" s="37"/>
      <c r="T3069" s="37"/>
      <c r="U3069" s="37"/>
      <c r="V3069" s="37"/>
      <c r="W3069" s="37"/>
      <c r="X3069" s="37"/>
      <c r="Y3069" s="37"/>
      <c r="Z3069" s="37"/>
      <c r="AA3069" s="37"/>
      <c r="AB3069" s="37"/>
      <c r="AC3069" s="37"/>
      <c r="AD3069" s="37"/>
      <c r="AE3069" s="37"/>
      <c r="AF3069" s="37"/>
      <c r="AG3069" s="37"/>
      <c r="AH3069" s="37"/>
      <c r="AI3069" s="37"/>
      <c r="AJ3069" s="37"/>
      <c r="AK3069" s="37"/>
      <c r="AL3069" s="37"/>
      <c r="AM3069" s="37"/>
      <c r="AN3069" s="37"/>
      <c r="AO3069" s="37"/>
      <c r="AP3069" s="37"/>
      <c r="AQ3069" s="37"/>
      <c r="AR3069" s="37"/>
      <c r="AS3069" s="37"/>
      <c r="AT3069" s="37"/>
      <c r="AU3069" s="37"/>
      <c r="AV3069" s="37"/>
      <c r="AW3069" s="37"/>
      <c r="AX3069" s="37"/>
      <c r="AY3069" s="37"/>
      <c r="AZ3069" s="37"/>
      <c r="BA3069" s="37"/>
      <c r="BB3069" s="37"/>
      <c r="BC3069" s="37"/>
      <c r="BD3069" s="37"/>
      <c r="BE3069" s="37"/>
      <c r="BF3069" s="37"/>
      <c r="BG3069" s="37"/>
      <c r="BH3069" s="37"/>
      <c r="BI3069" s="37"/>
      <c r="BJ3069" s="37"/>
      <c r="BK3069" s="37"/>
      <c r="BL3069" s="37"/>
      <c r="BM3069" s="37"/>
      <c r="BN3069" s="37"/>
      <c r="BO3069" s="37"/>
      <c r="BP3069" s="37"/>
      <c r="BQ3069" s="37"/>
      <c r="BR3069" s="37"/>
      <c r="BS3069" s="37"/>
      <c r="BT3069" s="37"/>
      <c r="BU3069" s="37"/>
      <c r="BV3069" s="37"/>
      <c r="BW3069" s="37"/>
      <c r="BX3069" s="37"/>
      <c r="BY3069" s="37"/>
      <c r="BZ3069" s="37"/>
      <c r="CA3069" s="37"/>
      <c r="CB3069" s="37"/>
      <c r="CC3069" s="37"/>
      <c r="CD3069" s="37"/>
      <c r="CE3069" s="37"/>
      <c r="CF3069" s="37"/>
      <c r="CG3069" s="37"/>
      <c r="CH3069" s="37"/>
      <c r="CI3069" s="37"/>
      <c r="CJ3069" s="37"/>
      <c r="CK3069" s="37"/>
      <c r="CL3069" s="37"/>
      <c r="CM3069" s="37"/>
      <c r="CN3069" s="37"/>
      <c r="CO3069" s="37"/>
      <c r="CP3069" s="37"/>
      <c r="CQ3069" s="37"/>
      <c r="CR3069" s="37"/>
      <c r="CS3069" s="37"/>
      <c r="CT3069" s="37"/>
      <c r="CU3069" s="37"/>
      <c r="CV3069" s="37"/>
      <c r="CW3069" s="37"/>
      <c r="CX3069" s="37"/>
      <c r="CY3069" s="37"/>
      <c r="CZ3069" s="37"/>
      <c r="DA3069" s="37"/>
      <c r="DB3069" s="37"/>
      <c r="DC3069" s="37"/>
      <c r="DD3069" s="37"/>
      <c r="DE3069" s="37"/>
      <c r="DF3069" s="37"/>
      <c r="DG3069" s="37"/>
      <c r="DH3069" s="37"/>
      <c r="DI3069" s="37"/>
      <c r="DJ3069" s="37"/>
      <c r="DK3069" s="37"/>
      <c r="DL3069" s="37"/>
      <c r="DM3069" s="37"/>
      <c r="DN3069" s="37"/>
      <c r="DO3069" s="37"/>
      <c r="DP3069" s="37"/>
      <c r="DQ3069" s="37"/>
      <c r="DR3069" s="37"/>
      <c r="DS3069" s="37"/>
      <c r="DT3069" s="37"/>
      <c r="DU3069" s="37"/>
      <c r="DV3069" s="37"/>
      <c r="DW3069" s="37"/>
      <c r="DX3069" s="37"/>
      <c r="DY3069" s="37"/>
      <c r="DZ3069" s="37"/>
      <c r="EA3069" s="37"/>
      <c r="EB3069" s="37"/>
      <c r="EC3069" s="37"/>
      <c r="ED3069" s="37"/>
      <c r="EE3069" s="37"/>
      <c r="EF3069" s="37"/>
      <c r="EG3069" s="37"/>
      <c r="EH3069" s="37"/>
      <c r="EI3069" s="37"/>
      <c r="EJ3069" s="37"/>
      <c r="EK3069" s="37"/>
      <c r="EL3069" s="37"/>
      <c r="EM3069" s="37"/>
      <c r="EN3069" s="37"/>
      <c r="EO3069" s="37"/>
      <c r="EP3069" s="37"/>
      <c r="EQ3069" s="37"/>
      <c r="ER3069" s="37"/>
      <c r="ES3069" s="37"/>
      <c r="ET3069" s="37"/>
      <c r="EU3069" s="37"/>
      <c r="EV3069" s="37"/>
      <c r="EW3069" s="37"/>
      <c r="EX3069" s="37"/>
      <c r="EY3069" s="37"/>
      <c r="EZ3069" s="37"/>
      <c r="FA3069" s="37"/>
      <c r="FB3069" s="37"/>
      <c r="FC3069" s="37"/>
      <c r="FD3069" s="37"/>
      <c r="FE3069" s="37"/>
      <c r="FF3069" s="37"/>
      <c r="FG3069" s="37"/>
      <c r="FH3069" s="37"/>
      <c r="FI3069" s="37"/>
      <c r="FJ3069" s="37"/>
      <c r="FK3069" s="37"/>
      <c r="FL3069" s="37"/>
      <c r="FM3069" s="37"/>
      <c r="FN3069" s="37"/>
      <c r="FO3069" s="37"/>
      <c r="FP3069" s="37"/>
      <c r="FQ3069" s="37"/>
      <c r="FR3069" s="37"/>
      <c r="FS3069" s="37"/>
      <c r="FT3069" s="37"/>
      <c r="FU3069" s="37"/>
      <c r="FV3069" s="37"/>
      <c r="FW3069" s="37"/>
      <c r="FX3069" s="37"/>
      <c r="FY3069" s="37"/>
      <c r="FZ3069" s="37"/>
      <c r="GA3069" s="37"/>
      <c r="GB3069" s="37"/>
      <c r="GC3069" s="37"/>
      <c r="GD3069" s="37"/>
      <c r="GE3069" s="37"/>
      <c r="GF3069" s="37"/>
      <c r="GG3069" s="37"/>
      <c r="GH3069" s="37"/>
      <c r="GI3069" s="37"/>
      <c r="GJ3069" s="37"/>
      <c r="GK3069" s="37"/>
      <c r="GL3069" s="37"/>
      <c r="GM3069" s="37"/>
      <c r="GN3069" s="37"/>
      <c r="GO3069" s="37"/>
      <c r="GP3069" s="37"/>
      <c r="GQ3069" s="37"/>
      <c r="GR3069" s="37"/>
      <c r="GS3069" s="37"/>
      <c r="GT3069" s="37"/>
      <c r="GU3069" s="37"/>
      <c r="GV3069" s="37"/>
      <c r="GW3069" s="37"/>
      <c r="GX3069" s="37"/>
      <c r="GY3069" s="37"/>
      <c r="GZ3069" s="37"/>
      <c r="HA3069" s="37"/>
      <c r="HB3069" s="37"/>
      <c r="HC3069" s="37"/>
      <c r="HD3069" s="37"/>
      <c r="HE3069" s="37"/>
      <c r="HF3069" s="37"/>
      <c r="HG3069" s="37"/>
      <c r="HH3069" s="37"/>
      <c r="HI3069" s="37"/>
      <c r="HJ3069" s="37"/>
      <c r="HK3069" s="37"/>
      <c r="HL3069" s="37"/>
      <c r="HM3069" s="37"/>
      <c r="HN3069" s="37"/>
      <c r="HO3069" s="37"/>
      <c r="HP3069" s="37"/>
      <c r="HQ3069" s="37"/>
      <c r="HR3069" s="37"/>
      <c r="HS3069" s="37"/>
      <c r="HT3069" s="37"/>
      <c r="HU3069" s="37"/>
      <c r="HV3069" s="37"/>
      <c r="HW3069" s="37"/>
      <c r="HX3069" s="37"/>
      <c r="HY3069" s="37"/>
      <c r="HZ3069" s="37"/>
      <c r="IA3069" s="37"/>
      <c r="IB3069" s="37"/>
      <c r="IC3069" s="37"/>
      <c r="ID3069" s="37"/>
      <c r="IE3069" s="37"/>
      <c r="IF3069" s="37"/>
      <c r="IG3069" s="37"/>
      <c r="IH3069" s="37"/>
      <c r="II3069" s="37"/>
      <c r="IJ3069" s="37"/>
      <c r="IK3069" s="37"/>
      <c r="IL3069" s="37"/>
      <c r="IM3069" s="37"/>
      <c r="IN3069" s="37"/>
      <c r="IO3069" s="37"/>
      <c r="IP3069" s="37"/>
      <c r="IQ3069" s="37"/>
      <c r="IR3069" s="37"/>
      <c r="IS3069" s="37"/>
      <c r="IT3069" s="37"/>
      <c r="IU3069" s="37"/>
      <c r="IV3069" s="37"/>
      <c r="IW3069" s="37"/>
      <c r="IX3069" s="37"/>
      <c r="IY3069" s="37"/>
      <c r="IZ3069" s="37"/>
      <c r="JA3069" s="37"/>
      <c r="JB3069" s="37"/>
      <c r="JC3069" s="37"/>
      <c r="JD3069" s="37"/>
      <c r="JE3069" s="37"/>
      <c r="JF3069" s="37"/>
      <c r="JG3069" s="37"/>
      <c r="JH3069" s="37"/>
      <c r="JI3069" s="37"/>
      <c r="JJ3069" s="37"/>
      <c r="JK3069" s="37"/>
      <c r="JL3069" s="37"/>
      <c r="JM3069" s="37"/>
      <c r="JN3069" s="37"/>
      <c r="JO3069" s="37"/>
      <c r="JP3069" s="37"/>
      <c r="JQ3069" s="37"/>
      <c r="JR3069" s="37"/>
      <c r="JS3069" s="37"/>
      <c r="JT3069" s="37"/>
      <c r="JU3069" s="37"/>
      <c r="JV3069" s="37"/>
      <c r="JW3069" s="37"/>
      <c r="JX3069" s="37"/>
      <c r="JY3069" s="37"/>
      <c r="JZ3069" s="37"/>
      <c r="KA3069" s="37"/>
      <c r="KB3069" s="37"/>
      <c r="KC3069" s="37"/>
      <c r="KD3069" s="37"/>
      <c r="KE3069" s="37"/>
      <c r="KF3069" s="37"/>
      <c r="KG3069" s="37"/>
      <c r="KH3069" s="37"/>
      <c r="KI3069" s="37"/>
      <c r="KJ3069" s="37"/>
      <c r="KK3069" s="37"/>
      <c r="KL3069" s="37"/>
      <c r="KM3069" s="37"/>
      <c r="KN3069" s="37"/>
      <c r="KO3069" s="37"/>
      <c r="KP3069" s="37"/>
      <c r="KQ3069" s="37"/>
      <c r="KR3069" s="37"/>
      <c r="KS3069" s="37"/>
      <c r="KT3069" s="37"/>
      <c r="KU3069" s="37"/>
      <c r="KV3069" s="37"/>
      <c r="KW3069" s="37"/>
      <c r="KX3069" s="37"/>
      <c r="KY3069" s="37"/>
      <c r="KZ3069" s="37"/>
      <c r="LA3069" s="37"/>
      <c r="LB3069" s="37"/>
      <c r="LC3069" s="37"/>
      <c r="LD3069" s="37"/>
      <c r="LE3069" s="37"/>
      <c r="LF3069" s="37"/>
      <c r="LG3069" s="37"/>
      <c r="LH3069" s="37"/>
      <c r="LI3069" s="37"/>
      <c r="LJ3069" s="37"/>
      <c r="LK3069" s="37"/>
      <c r="LL3069" s="37"/>
      <c r="LM3069" s="37"/>
      <c r="LN3069" s="37"/>
      <c r="LO3069" s="37"/>
      <c r="LP3069" s="37"/>
      <c r="LQ3069" s="37"/>
      <c r="LR3069" s="37"/>
      <c r="LS3069" s="37"/>
      <c r="LT3069" s="37"/>
      <c r="LU3069" s="37"/>
      <c r="LV3069" s="37"/>
      <c r="LW3069" s="37"/>
      <c r="LX3069" s="37"/>
      <c r="LY3069" s="37"/>
      <c r="LZ3069" s="37"/>
      <c r="MA3069" s="37"/>
      <c r="MB3069" s="37"/>
      <c r="MC3069" s="37"/>
      <c r="MD3069" s="37"/>
      <c r="ME3069" s="37"/>
      <c r="MF3069" s="37"/>
      <c r="MG3069" s="37"/>
      <c r="MH3069" s="37"/>
      <c r="MI3069" s="37"/>
      <c r="MJ3069" s="37"/>
      <c r="MK3069" s="37"/>
      <c r="ML3069" s="37"/>
      <c r="MM3069" s="37"/>
      <c r="MN3069" s="37"/>
      <c r="MO3069" s="37"/>
      <c r="MP3069" s="37"/>
      <c r="MQ3069" s="37"/>
      <c r="MR3069" s="37"/>
      <c r="MS3069" s="37"/>
      <c r="MT3069" s="37"/>
      <c r="MU3069" s="37"/>
      <c r="MV3069" s="37"/>
      <c r="MW3069" s="37"/>
      <c r="MX3069" s="37"/>
      <c r="MY3069" s="37"/>
      <c r="MZ3069" s="37"/>
      <c r="NA3069" s="37"/>
      <c r="NB3069" s="37"/>
      <c r="NC3069" s="37"/>
      <c r="ND3069" s="37"/>
      <c r="NE3069" s="37"/>
      <c r="NF3069" s="37"/>
      <c r="NG3069" s="37"/>
      <c r="NH3069" s="37"/>
      <c r="NI3069" s="37"/>
      <c r="NJ3069" s="37"/>
      <c r="NK3069" s="37"/>
      <c r="NL3069" s="37"/>
      <c r="NM3069" s="37"/>
      <c r="NN3069" s="37"/>
      <c r="NO3069" s="37"/>
      <c r="NP3069" s="37"/>
      <c r="NQ3069" s="37"/>
      <c r="NR3069" s="37"/>
      <c r="NS3069" s="37"/>
      <c r="NT3069" s="37"/>
      <c r="NU3069" s="37"/>
      <c r="NV3069" s="37"/>
      <c r="NW3069" s="37"/>
      <c r="NX3069" s="37"/>
      <c r="NY3069" s="37"/>
      <c r="NZ3069" s="37"/>
      <c r="OA3069" s="37"/>
      <c r="OB3069" s="37"/>
      <c r="OC3069" s="37"/>
      <c r="OD3069" s="37"/>
      <c r="OE3069" s="37"/>
      <c r="OF3069" s="37"/>
      <c r="OG3069" s="37"/>
      <c r="OH3069" s="37"/>
      <c r="OI3069" s="37"/>
      <c r="OJ3069" s="37"/>
      <c r="OK3069" s="37"/>
      <c r="OL3069" s="37"/>
      <c r="OM3069" s="37"/>
      <c r="ON3069" s="37"/>
      <c r="OO3069" s="37"/>
      <c r="OP3069" s="37"/>
      <c r="OQ3069" s="37"/>
      <c r="OR3069" s="37"/>
      <c r="OS3069" s="37"/>
      <c r="OT3069" s="37"/>
      <c r="OU3069" s="37"/>
      <c r="OV3069" s="37"/>
      <c r="OW3069" s="37"/>
      <c r="OX3069" s="37"/>
      <c r="OY3069" s="37"/>
      <c r="OZ3069" s="37"/>
      <c r="PA3069" s="37"/>
      <c r="PB3069" s="37"/>
      <c r="PC3069" s="37"/>
      <c r="PD3069" s="37"/>
      <c r="PE3069" s="37"/>
      <c r="PF3069" s="37"/>
      <c r="PG3069" s="37"/>
      <c r="PH3069" s="37"/>
      <c r="PI3069" s="37"/>
      <c r="PJ3069" s="37"/>
      <c r="PK3069" s="37"/>
      <c r="PL3069" s="37"/>
      <c r="PM3069" s="37"/>
      <c r="PN3069" s="37"/>
      <c r="PO3069" s="37"/>
      <c r="PP3069" s="37"/>
      <c r="PQ3069" s="37"/>
      <c r="PR3069" s="37"/>
      <c r="PS3069" s="37"/>
      <c r="PT3069" s="37"/>
      <c r="PU3069" s="37"/>
      <c r="PV3069" s="37"/>
      <c r="PW3069" s="37"/>
      <c r="PX3069" s="37"/>
      <c r="PY3069" s="37"/>
      <c r="PZ3069" s="37"/>
      <c r="QA3069" s="37"/>
      <c r="QB3069" s="37"/>
      <c r="QC3069" s="37"/>
      <c r="QD3069" s="37"/>
      <c r="QE3069" s="37"/>
      <c r="QF3069" s="37"/>
      <c r="QG3069" s="37"/>
      <c r="QH3069" s="37"/>
      <c r="QI3069" s="37"/>
      <c r="QJ3069" s="37"/>
      <c r="QK3069" s="37"/>
      <c r="QL3069" s="37"/>
      <c r="QM3069" s="37"/>
      <c r="QN3069" s="37"/>
      <c r="QO3069" s="37"/>
      <c r="QP3069" s="37"/>
      <c r="QQ3069" s="37"/>
      <c r="QR3069" s="37"/>
      <c r="QS3069" s="37"/>
      <c r="QT3069" s="37"/>
      <c r="QU3069" s="37"/>
      <c r="QV3069" s="37"/>
      <c r="QW3069" s="37"/>
      <c r="QX3069" s="37"/>
      <c r="QY3069" s="37"/>
      <c r="QZ3069" s="37"/>
      <c r="RA3069" s="37"/>
      <c r="RB3069" s="37"/>
      <c r="RC3069" s="37"/>
      <c r="RD3069" s="37"/>
      <c r="RE3069" s="37"/>
      <c r="RF3069" s="37"/>
      <c r="RG3069" s="37"/>
      <c r="RH3069" s="37"/>
      <c r="RI3069" s="37"/>
      <c r="RJ3069" s="37"/>
      <c r="RK3069" s="37"/>
      <c r="RL3069" s="37"/>
      <c r="RM3069" s="37"/>
      <c r="RN3069" s="37"/>
      <c r="RO3069" s="37"/>
      <c r="RP3069" s="37"/>
      <c r="RQ3069" s="37"/>
      <c r="RR3069" s="37"/>
      <c r="RS3069" s="37"/>
      <c r="RT3069" s="37"/>
      <c r="RU3069" s="37"/>
      <c r="RV3069" s="37"/>
      <c r="RW3069" s="37"/>
      <c r="RX3069" s="37"/>
      <c r="RY3069" s="37"/>
      <c r="RZ3069" s="37"/>
      <c r="SA3069" s="37"/>
      <c r="SB3069" s="37"/>
      <c r="SC3069" s="37"/>
      <c r="SD3069" s="37"/>
      <c r="SE3069" s="37"/>
      <c r="SF3069" s="37"/>
    </row>
    <row r="3070" spans="1:500">
      <c r="A3070" s="37"/>
      <c r="B3070" s="37"/>
      <c r="C3070" s="37"/>
      <c r="D3070" s="37"/>
      <c r="E3070" s="37"/>
      <c r="F3070" s="37"/>
      <c r="G3070" s="37"/>
      <c r="H3070" s="37"/>
      <c r="I3070" s="37"/>
      <c r="J3070" s="37"/>
      <c r="K3070" s="37"/>
      <c r="L3070" s="37"/>
      <c r="M3070" s="37"/>
      <c r="N3070" s="37"/>
      <c r="O3070" s="37"/>
      <c r="P3070" s="37"/>
      <c r="Q3070" s="37"/>
      <c r="R3070" s="37"/>
      <c r="S3070" s="37"/>
      <c r="T3070" s="37"/>
      <c r="U3070" s="37"/>
      <c r="V3070" s="37"/>
      <c r="W3070" s="37"/>
      <c r="X3070" s="37"/>
      <c r="Y3070" s="37"/>
      <c r="Z3070" s="37"/>
      <c r="AA3070" s="37"/>
      <c r="AB3070" s="37"/>
      <c r="AC3070" s="37"/>
      <c r="AD3070" s="37"/>
      <c r="AE3070" s="37"/>
      <c r="AF3070" s="37"/>
      <c r="AG3070" s="37"/>
      <c r="AH3070" s="37"/>
      <c r="AI3070" s="37"/>
      <c r="AJ3070" s="37"/>
      <c r="AK3070" s="37"/>
      <c r="AL3070" s="37"/>
      <c r="AM3070" s="37"/>
      <c r="AN3070" s="37"/>
      <c r="AO3070" s="37"/>
      <c r="AP3070" s="37"/>
      <c r="AQ3070" s="37"/>
      <c r="AR3070" s="37"/>
      <c r="AS3070" s="37"/>
      <c r="AT3070" s="37"/>
      <c r="AU3070" s="37"/>
      <c r="AV3070" s="37"/>
      <c r="AW3070" s="37"/>
      <c r="AX3070" s="37"/>
      <c r="AY3070" s="37"/>
      <c r="AZ3070" s="37"/>
      <c r="BA3070" s="37"/>
      <c r="BB3070" s="37"/>
      <c r="BC3070" s="37"/>
      <c r="BD3070" s="37"/>
      <c r="BE3070" s="37"/>
      <c r="BF3070" s="37"/>
      <c r="BG3070" s="37"/>
      <c r="BH3070" s="37"/>
      <c r="BI3070" s="37"/>
      <c r="BJ3070" s="37"/>
      <c r="BK3070" s="37"/>
      <c r="BL3070" s="37"/>
      <c r="BM3070" s="37"/>
      <c r="BN3070" s="37"/>
      <c r="BO3070" s="37"/>
      <c r="BP3070" s="37"/>
      <c r="BQ3070" s="37"/>
      <c r="BR3070" s="37"/>
      <c r="BS3070" s="37"/>
      <c r="BT3070" s="37"/>
      <c r="BU3070" s="37"/>
      <c r="BV3070" s="37"/>
      <c r="BW3070" s="37"/>
      <c r="BX3070" s="37"/>
      <c r="BY3070" s="37"/>
      <c r="BZ3070" s="37"/>
      <c r="CA3070" s="37"/>
      <c r="CB3070" s="37"/>
      <c r="CC3070" s="37"/>
      <c r="CD3070" s="37"/>
      <c r="CE3070" s="37"/>
      <c r="CF3070" s="37"/>
      <c r="CG3070" s="37"/>
      <c r="CH3070" s="37"/>
      <c r="CI3070" s="37"/>
      <c r="CJ3070" s="37"/>
      <c r="CK3070" s="37"/>
      <c r="CL3070" s="37"/>
      <c r="CM3070" s="37"/>
      <c r="CN3070" s="37"/>
      <c r="CO3070" s="37"/>
      <c r="CP3070" s="37"/>
      <c r="CQ3070" s="37"/>
      <c r="CR3070" s="37"/>
      <c r="CS3070" s="37"/>
      <c r="CT3070" s="37"/>
      <c r="CU3070" s="37"/>
      <c r="CV3070" s="37"/>
      <c r="CW3070" s="37"/>
      <c r="CX3070" s="37"/>
      <c r="CY3070" s="37"/>
      <c r="CZ3070" s="37"/>
      <c r="DA3070" s="37"/>
      <c r="DB3070" s="37"/>
      <c r="DC3070" s="37"/>
      <c r="DD3070" s="37"/>
      <c r="DE3070" s="37"/>
      <c r="DF3070" s="37"/>
      <c r="DG3070" s="37"/>
      <c r="DH3070" s="37"/>
      <c r="DI3070" s="37"/>
      <c r="DJ3070" s="37"/>
      <c r="DK3070" s="37"/>
      <c r="DL3070" s="37"/>
      <c r="DM3070" s="37"/>
      <c r="DN3070" s="37"/>
      <c r="DO3070" s="37"/>
      <c r="DP3070" s="37"/>
      <c r="DQ3070" s="37"/>
      <c r="DR3070" s="37"/>
      <c r="DS3070" s="37"/>
      <c r="DT3070" s="37"/>
      <c r="DU3070" s="37"/>
      <c r="DV3070" s="37"/>
      <c r="DW3070" s="37"/>
      <c r="DX3070" s="37"/>
      <c r="DY3070" s="37"/>
      <c r="DZ3070" s="37"/>
      <c r="EA3070" s="37"/>
      <c r="EB3070" s="37"/>
      <c r="EC3070" s="37"/>
      <c r="ED3070" s="37"/>
      <c r="EE3070" s="37"/>
      <c r="EF3070" s="37"/>
      <c r="EG3070" s="37"/>
      <c r="EH3070" s="37"/>
      <c r="EI3070" s="37"/>
      <c r="EJ3070" s="37"/>
      <c r="EK3070" s="37"/>
      <c r="EL3070" s="37"/>
      <c r="EM3070" s="37"/>
      <c r="EN3070" s="37"/>
      <c r="EO3070" s="37"/>
      <c r="EP3070" s="37"/>
      <c r="EQ3070" s="37"/>
      <c r="ER3070" s="37"/>
      <c r="ES3070" s="37"/>
      <c r="ET3070" s="37"/>
      <c r="EU3070" s="37"/>
      <c r="EV3070" s="37"/>
      <c r="EW3070" s="37"/>
      <c r="EX3070" s="37"/>
      <c r="EY3070" s="37"/>
      <c r="EZ3070" s="37"/>
      <c r="FA3070" s="37"/>
      <c r="FB3070" s="37"/>
      <c r="FC3070" s="37"/>
      <c r="FD3070" s="37"/>
      <c r="FE3070" s="37"/>
      <c r="FF3070" s="37"/>
      <c r="FG3070" s="37"/>
      <c r="FH3070" s="37"/>
      <c r="FI3070" s="37"/>
      <c r="FJ3070" s="37"/>
      <c r="FK3070" s="37"/>
      <c r="FL3070" s="37"/>
      <c r="FM3070" s="37"/>
      <c r="FN3070" s="37"/>
      <c r="FO3070" s="37"/>
      <c r="FP3070" s="37"/>
      <c r="FQ3070" s="37"/>
      <c r="FR3070" s="37"/>
      <c r="FS3070" s="37"/>
      <c r="FT3070" s="37"/>
      <c r="FU3070" s="37"/>
      <c r="FV3070" s="37"/>
      <c r="FW3070" s="37"/>
      <c r="FX3070" s="37"/>
      <c r="FY3070" s="37"/>
      <c r="FZ3070" s="37"/>
      <c r="GA3070" s="37"/>
      <c r="GB3070" s="37"/>
      <c r="GC3070" s="37"/>
      <c r="GD3070" s="37"/>
      <c r="GE3070" s="37"/>
      <c r="GF3070" s="37"/>
      <c r="GG3070" s="37"/>
      <c r="GH3070" s="37"/>
      <c r="GI3070" s="37"/>
      <c r="GJ3070" s="37"/>
      <c r="GK3070" s="37"/>
      <c r="GL3070" s="37"/>
      <c r="GM3070" s="37"/>
      <c r="GN3070" s="37"/>
      <c r="GO3070" s="37"/>
      <c r="GP3070" s="37"/>
      <c r="GQ3070" s="37"/>
      <c r="GR3070" s="37"/>
      <c r="GS3070" s="37"/>
      <c r="GT3070" s="37"/>
      <c r="GU3070" s="37"/>
      <c r="GV3070" s="37"/>
      <c r="GW3070" s="37"/>
      <c r="GX3070" s="37"/>
      <c r="GY3070" s="37"/>
      <c r="GZ3070" s="37"/>
      <c r="HA3070" s="37"/>
      <c r="HB3070" s="37"/>
      <c r="HC3070" s="37"/>
      <c r="HD3070" s="37"/>
      <c r="HE3070" s="37"/>
      <c r="HF3070" s="37"/>
      <c r="HG3070" s="37"/>
      <c r="HH3070" s="37"/>
      <c r="HI3070" s="37"/>
      <c r="HJ3070" s="37"/>
      <c r="HK3070" s="37"/>
      <c r="HL3070" s="37"/>
      <c r="HM3070" s="37"/>
      <c r="HN3070" s="37"/>
      <c r="HO3070" s="37"/>
      <c r="HP3070" s="37"/>
      <c r="HQ3070" s="37"/>
      <c r="HR3070" s="37"/>
      <c r="HS3070" s="37"/>
      <c r="HT3070" s="37"/>
      <c r="HU3070" s="37"/>
      <c r="HV3070" s="37"/>
      <c r="HW3070" s="37"/>
      <c r="HX3070" s="37"/>
      <c r="HY3070" s="37"/>
      <c r="HZ3070" s="37"/>
      <c r="IA3070" s="37"/>
      <c r="IB3070" s="37"/>
      <c r="IC3070" s="37"/>
      <c r="ID3070" s="37"/>
      <c r="IE3070" s="37"/>
      <c r="IF3070" s="37"/>
      <c r="IG3070" s="37"/>
      <c r="IH3070" s="37"/>
      <c r="II3070" s="37"/>
      <c r="IJ3070" s="37"/>
      <c r="IK3070" s="37"/>
      <c r="IL3070" s="37"/>
      <c r="IM3070" s="37"/>
      <c r="IN3070" s="37"/>
      <c r="IO3070" s="37"/>
      <c r="IP3070" s="37"/>
      <c r="IQ3070" s="37"/>
      <c r="IR3070" s="37"/>
      <c r="IS3070" s="37"/>
      <c r="IT3070" s="37"/>
      <c r="IU3070" s="37"/>
      <c r="IV3070" s="37"/>
      <c r="IW3070" s="37"/>
      <c r="IX3070" s="37"/>
      <c r="IY3070" s="37"/>
      <c r="IZ3070" s="37"/>
      <c r="JA3070" s="37"/>
      <c r="JB3070" s="37"/>
      <c r="JC3070" s="37"/>
      <c r="JD3070" s="37"/>
      <c r="JE3070" s="37"/>
      <c r="JF3070" s="37"/>
      <c r="JG3070" s="37"/>
      <c r="JH3070" s="37"/>
      <c r="JI3070" s="37"/>
      <c r="JJ3070" s="37"/>
      <c r="JK3070" s="37"/>
      <c r="JL3070" s="37"/>
      <c r="JM3070" s="37"/>
      <c r="JN3070" s="37"/>
      <c r="JO3070" s="37"/>
      <c r="JP3070" s="37"/>
      <c r="JQ3070" s="37"/>
      <c r="JR3070" s="37"/>
      <c r="JS3070" s="37"/>
      <c r="JT3070" s="37"/>
      <c r="JU3070" s="37"/>
      <c r="JV3070" s="37"/>
      <c r="JW3070" s="37"/>
      <c r="JX3070" s="37"/>
      <c r="JY3070" s="37"/>
      <c r="JZ3070" s="37"/>
      <c r="KA3070" s="37"/>
      <c r="KB3070" s="37"/>
      <c r="KC3070" s="37"/>
      <c r="KD3070" s="37"/>
      <c r="KE3070" s="37"/>
      <c r="KF3070" s="37"/>
      <c r="KG3070" s="37"/>
      <c r="KH3070" s="37"/>
      <c r="KI3070" s="37"/>
      <c r="KJ3070" s="37"/>
      <c r="KK3070" s="37"/>
      <c r="KL3070" s="37"/>
      <c r="KM3070" s="37"/>
      <c r="KN3070" s="37"/>
      <c r="KO3070" s="37"/>
      <c r="KP3070" s="37"/>
      <c r="KQ3070" s="37"/>
      <c r="KR3070" s="37"/>
      <c r="KS3070" s="37"/>
      <c r="KT3070" s="37"/>
      <c r="KU3070" s="37"/>
      <c r="KV3070" s="37"/>
      <c r="KW3070" s="37"/>
      <c r="KX3070" s="37"/>
      <c r="KY3070" s="37"/>
      <c r="KZ3070" s="37"/>
      <c r="LA3070" s="37"/>
      <c r="LB3070" s="37"/>
      <c r="LC3070" s="37"/>
      <c r="LD3070" s="37"/>
      <c r="LE3070" s="37"/>
      <c r="LF3070" s="37"/>
      <c r="LG3070" s="37"/>
      <c r="LH3070" s="37"/>
      <c r="LI3070" s="37"/>
      <c r="LJ3070" s="37"/>
      <c r="LK3070" s="37"/>
      <c r="LL3070" s="37"/>
      <c r="LM3070" s="37"/>
      <c r="LN3070" s="37"/>
      <c r="LO3070" s="37"/>
      <c r="LP3070" s="37"/>
      <c r="LQ3070" s="37"/>
      <c r="LR3070" s="37"/>
      <c r="LS3070" s="37"/>
      <c r="LT3070" s="37"/>
      <c r="LU3070" s="37"/>
      <c r="LV3070" s="37"/>
      <c r="LW3070" s="37"/>
      <c r="LX3070" s="37"/>
      <c r="LY3070" s="37"/>
      <c r="LZ3070" s="37"/>
      <c r="MA3070" s="37"/>
      <c r="MB3070" s="37"/>
      <c r="MC3070" s="37"/>
      <c r="MD3070" s="37"/>
      <c r="ME3070" s="37"/>
      <c r="MF3070" s="37"/>
      <c r="MG3070" s="37"/>
      <c r="MH3070" s="37"/>
      <c r="MI3070" s="37"/>
      <c r="MJ3070" s="37"/>
      <c r="MK3070" s="37"/>
      <c r="ML3070" s="37"/>
      <c r="MM3070" s="37"/>
      <c r="MN3070" s="37"/>
      <c r="MO3070" s="37"/>
      <c r="MP3070" s="37"/>
      <c r="MQ3070" s="37"/>
      <c r="MR3070" s="37"/>
      <c r="MS3070" s="37"/>
      <c r="MT3070" s="37"/>
      <c r="MU3070" s="37"/>
      <c r="MV3070" s="37"/>
      <c r="MW3070" s="37"/>
      <c r="MX3070" s="37"/>
      <c r="MY3070" s="37"/>
      <c r="MZ3070" s="37"/>
      <c r="NA3070" s="37"/>
      <c r="NB3070" s="37"/>
      <c r="NC3070" s="37"/>
      <c r="ND3070" s="37"/>
      <c r="NE3070" s="37"/>
      <c r="NF3070" s="37"/>
      <c r="NG3070" s="37"/>
      <c r="NH3070" s="37"/>
      <c r="NI3070" s="37"/>
      <c r="NJ3070" s="37"/>
      <c r="NK3070" s="37"/>
      <c r="NL3070" s="37"/>
      <c r="NM3070" s="37"/>
      <c r="NN3070" s="37"/>
      <c r="NO3070" s="37"/>
      <c r="NP3070" s="37"/>
      <c r="NQ3070" s="37"/>
      <c r="NR3070" s="37"/>
      <c r="NS3070" s="37"/>
      <c r="NT3070" s="37"/>
      <c r="NU3070" s="37"/>
      <c r="NV3070" s="37"/>
      <c r="NW3070" s="37"/>
      <c r="NX3070" s="37"/>
      <c r="NY3070" s="37"/>
      <c r="NZ3070" s="37"/>
      <c r="OA3070" s="37"/>
      <c r="OB3070" s="37"/>
      <c r="OC3070" s="37"/>
      <c r="OD3070" s="37"/>
      <c r="OE3070" s="37"/>
      <c r="OF3070" s="37"/>
      <c r="OG3070" s="37"/>
      <c r="OH3070" s="37"/>
      <c r="OI3070" s="37"/>
      <c r="OJ3070" s="37"/>
      <c r="OK3070" s="37"/>
      <c r="OL3070" s="37"/>
      <c r="OM3070" s="37"/>
      <c r="ON3070" s="37"/>
      <c r="OO3070" s="37"/>
      <c r="OP3070" s="37"/>
      <c r="OQ3070" s="37"/>
      <c r="OR3070" s="37"/>
      <c r="OS3070" s="37"/>
      <c r="OT3070" s="37"/>
      <c r="OU3070" s="37"/>
      <c r="OV3070" s="37"/>
      <c r="OW3070" s="37"/>
      <c r="OX3070" s="37"/>
      <c r="OY3070" s="37"/>
      <c r="OZ3070" s="37"/>
      <c r="PA3070" s="37"/>
      <c r="PB3070" s="37"/>
      <c r="PC3070" s="37"/>
      <c r="PD3070" s="37"/>
      <c r="PE3070" s="37"/>
      <c r="PF3070" s="37"/>
      <c r="PG3070" s="37"/>
      <c r="PH3070" s="37"/>
      <c r="PI3070" s="37"/>
      <c r="PJ3070" s="37"/>
      <c r="PK3070" s="37"/>
      <c r="PL3070" s="37"/>
      <c r="PM3070" s="37"/>
      <c r="PN3070" s="37"/>
      <c r="PO3070" s="37"/>
      <c r="PP3070" s="37"/>
      <c r="PQ3070" s="37"/>
      <c r="PR3070" s="37"/>
      <c r="PS3070" s="37"/>
      <c r="PT3070" s="37"/>
      <c r="PU3070" s="37"/>
      <c r="PV3070" s="37"/>
      <c r="PW3070" s="37"/>
      <c r="PX3070" s="37"/>
      <c r="PY3070" s="37"/>
      <c r="PZ3070" s="37"/>
      <c r="QA3070" s="37"/>
      <c r="QB3070" s="37"/>
      <c r="QC3070" s="37"/>
      <c r="QD3070" s="37"/>
      <c r="QE3070" s="37"/>
      <c r="QF3070" s="37"/>
      <c r="QG3070" s="37"/>
      <c r="QH3070" s="37"/>
      <c r="QI3070" s="37"/>
      <c r="QJ3070" s="37"/>
      <c r="QK3070" s="37"/>
      <c r="QL3070" s="37"/>
      <c r="QM3070" s="37"/>
      <c r="QN3070" s="37"/>
      <c r="QO3070" s="37"/>
      <c r="QP3070" s="37"/>
      <c r="QQ3070" s="37"/>
      <c r="QR3070" s="37"/>
      <c r="QS3070" s="37"/>
      <c r="QT3070" s="37"/>
      <c r="QU3070" s="37"/>
      <c r="QV3070" s="37"/>
      <c r="QW3070" s="37"/>
      <c r="QX3070" s="37"/>
      <c r="QY3070" s="37"/>
      <c r="QZ3070" s="37"/>
      <c r="RA3070" s="37"/>
      <c r="RB3070" s="37"/>
      <c r="RC3070" s="37"/>
      <c r="RD3070" s="37"/>
      <c r="RE3070" s="37"/>
      <c r="RF3070" s="37"/>
      <c r="RG3070" s="37"/>
      <c r="RH3070" s="37"/>
      <c r="RI3070" s="37"/>
      <c r="RJ3070" s="37"/>
      <c r="RK3070" s="37"/>
      <c r="RL3070" s="37"/>
      <c r="RM3070" s="37"/>
      <c r="RN3070" s="37"/>
      <c r="RO3070" s="37"/>
      <c r="RP3070" s="37"/>
      <c r="RQ3070" s="37"/>
      <c r="RR3070" s="37"/>
      <c r="RS3070" s="37"/>
      <c r="RT3070" s="37"/>
      <c r="RU3070" s="37"/>
      <c r="RV3070" s="37"/>
      <c r="RW3070" s="37"/>
      <c r="RX3070" s="37"/>
      <c r="RY3070" s="37"/>
      <c r="RZ3070" s="37"/>
      <c r="SA3070" s="37"/>
      <c r="SB3070" s="37"/>
      <c r="SC3070" s="37"/>
      <c r="SD3070" s="37"/>
      <c r="SE3070" s="37"/>
      <c r="SF3070" s="37"/>
    </row>
    <row r="3071" spans="1:500">
      <c r="A3071" s="37"/>
      <c r="B3071" s="37"/>
      <c r="C3071" s="37"/>
      <c r="D3071" s="37"/>
      <c r="E3071" s="37"/>
      <c r="F3071" s="37"/>
      <c r="G3071" s="37"/>
      <c r="H3071" s="37"/>
      <c r="I3071" s="37"/>
      <c r="J3071" s="37"/>
      <c r="K3071" s="37"/>
      <c r="L3071" s="37"/>
      <c r="M3071" s="37"/>
      <c r="N3071" s="37"/>
      <c r="O3071" s="37"/>
      <c r="P3071" s="37"/>
      <c r="Q3071" s="37"/>
      <c r="R3071" s="37"/>
      <c r="S3071" s="37"/>
      <c r="T3071" s="37"/>
      <c r="U3071" s="37"/>
      <c r="V3071" s="37"/>
      <c r="W3071" s="37"/>
      <c r="X3071" s="37"/>
      <c r="Y3071" s="37"/>
      <c r="Z3071" s="37"/>
      <c r="AA3071" s="37"/>
      <c r="AB3071" s="37"/>
      <c r="AC3071" s="37"/>
      <c r="AD3071" s="37"/>
      <c r="AE3071" s="37"/>
      <c r="AF3071" s="37"/>
      <c r="AG3071" s="37"/>
      <c r="AH3071" s="37"/>
      <c r="AI3071" s="37"/>
      <c r="AJ3071" s="37"/>
      <c r="AK3071" s="37"/>
      <c r="AL3071" s="37"/>
      <c r="AM3071" s="37"/>
      <c r="AN3071" s="37"/>
      <c r="AO3071" s="37"/>
      <c r="AP3071" s="37"/>
      <c r="AQ3071" s="37"/>
      <c r="AR3071" s="37"/>
      <c r="AS3071" s="37"/>
      <c r="AT3071" s="37"/>
      <c r="AU3071" s="37"/>
      <c r="AV3071" s="37"/>
      <c r="AW3071" s="37"/>
      <c r="AX3071" s="37"/>
      <c r="AY3071" s="37"/>
      <c r="AZ3071" s="37"/>
      <c r="BA3071" s="37"/>
      <c r="BB3071" s="37"/>
      <c r="BC3071" s="37"/>
      <c r="BD3071" s="37"/>
      <c r="BE3071" s="37"/>
      <c r="BF3071" s="37"/>
      <c r="BG3071" s="37"/>
      <c r="BH3071" s="37"/>
      <c r="BI3071" s="37"/>
      <c r="BJ3071" s="37"/>
      <c r="BK3071" s="37"/>
      <c r="BL3071" s="37"/>
      <c r="BM3071" s="37"/>
      <c r="BN3071" s="37"/>
      <c r="BO3071" s="37"/>
      <c r="BP3071" s="37"/>
      <c r="BQ3071" s="37"/>
      <c r="BR3071" s="37"/>
      <c r="BS3071" s="37"/>
      <c r="BT3071" s="37"/>
      <c r="BU3071" s="37"/>
      <c r="BV3071" s="37"/>
      <c r="BW3071" s="37"/>
      <c r="BX3071" s="37"/>
      <c r="BY3071" s="37"/>
      <c r="BZ3071" s="37"/>
      <c r="CA3071" s="37"/>
      <c r="CB3071" s="37"/>
      <c r="CC3071" s="37"/>
      <c r="CD3071" s="37"/>
      <c r="CE3071" s="37"/>
      <c r="CF3071" s="37"/>
      <c r="CG3071" s="37"/>
      <c r="CH3071" s="37"/>
      <c r="CI3071" s="37"/>
      <c r="CJ3071" s="37"/>
      <c r="CK3071" s="37"/>
      <c r="CL3071" s="37"/>
      <c r="CM3071" s="37"/>
      <c r="CN3071" s="37"/>
      <c r="CO3071" s="37"/>
      <c r="CP3071" s="37"/>
      <c r="CQ3071" s="37"/>
      <c r="CR3071" s="37"/>
      <c r="CS3071" s="37"/>
      <c r="CT3071" s="37"/>
      <c r="CU3071" s="37"/>
      <c r="CV3071" s="37"/>
      <c r="CW3071" s="37"/>
      <c r="CX3071" s="37"/>
      <c r="CY3071" s="37"/>
      <c r="CZ3071" s="37"/>
      <c r="DA3071" s="37"/>
      <c r="DB3071" s="37"/>
      <c r="DC3071" s="37"/>
      <c r="DD3071" s="37"/>
      <c r="DE3071" s="37"/>
      <c r="DF3071" s="37"/>
      <c r="DG3071" s="37"/>
      <c r="DH3071" s="37"/>
      <c r="DI3071" s="37"/>
      <c r="DJ3071" s="37"/>
      <c r="DK3071" s="37"/>
      <c r="DL3071" s="37"/>
      <c r="DM3071" s="37"/>
      <c r="DN3071" s="37"/>
      <c r="DO3071" s="37"/>
      <c r="DP3071" s="37"/>
      <c r="DQ3071" s="37"/>
      <c r="DR3071" s="37"/>
      <c r="DS3071" s="37"/>
      <c r="DT3071" s="37"/>
      <c r="DU3071" s="37"/>
      <c r="DV3071" s="37"/>
      <c r="DW3071" s="37"/>
      <c r="DX3071" s="37"/>
      <c r="DY3071" s="37"/>
      <c r="DZ3071" s="37"/>
      <c r="EA3071" s="37"/>
      <c r="EB3071" s="37"/>
      <c r="EC3071" s="37"/>
      <c r="ED3071" s="37"/>
      <c r="EE3071" s="37"/>
      <c r="EF3071" s="37"/>
      <c r="EG3071" s="37"/>
      <c r="EH3071" s="37"/>
      <c r="EI3071" s="37"/>
      <c r="EJ3071" s="37"/>
      <c r="EK3071" s="37"/>
      <c r="EL3071" s="37"/>
      <c r="EM3071" s="37"/>
      <c r="EN3071" s="37"/>
      <c r="EO3071" s="37"/>
      <c r="EP3071" s="37"/>
      <c r="EQ3071" s="37"/>
      <c r="ER3071" s="37"/>
      <c r="ES3071" s="37"/>
      <c r="ET3071" s="37"/>
      <c r="EU3071" s="37"/>
      <c r="EV3071" s="37"/>
      <c r="EW3071" s="37"/>
      <c r="EX3071" s="37"/>
      <c r="EY3071" s="37"/>
      <c r="EZ3071" s="37"/>
      <c r="FA3071" s="37"/>
      <c r="FB3071" s="37"/>
      <c r="FC3071" s="37"/>
      <c r="FD3071" s="37"/>
      <c r="FE3071" s="37"/>
      <c r="FF3071" s="37"/>
      <c r="FG3071" s="37"/>
      <c r="FH3071" s="37"/>
      <c r="FI3071" s="37"/>
      <c r="FJ3071" s="37"/>
      <c r="FK3071" s="37"/>
      <c r="FL3071" s="37"/>
      <c r="FM3071" s="37"/>
      <c r="FN3071" s="37"/>
      <c r="FO3071" s="37"/>
      <c r="FP3071" s="37"/>
      <c r="FQ3071" s="37"/>
      <c r="FR3071" s="37"/>
      <c r="FS3071" s="37"/>
      <c r="FT3071" s="37"/>
      <c r="FU3071" s="37"/>
      <c r="FV3071" s="37"/>
      <c r="FW3071" s="37"/>
      <c r="FX3071" s="37"/>
      <c r="FY3071" s="37"/>
      <c r="FZ3071" s="37"/>
      <c r="GA3071" s="37"/>
      <c r="GB3071" s="37"/>
      <c r="GC3071" s="37"/>
      <c r="GD3071" s="37"/>
      <c r="GE3071" s="37"/>
      <c r="GF3071" s="37"/>
      <c r="GG3071" s="37"/>
      <c r="GH3071" s="37"/>
      <c r="GI3071" s="37"/>
      <c r="GJ3071" s="37"/>
      <c r="GK3071" s="37"/>
      <c r="GL3071" s="37"/>
      <c r="GM3071" s="37"/>
      <c r="GN3071" s="37"/>
      <c r="GO3071" s="37"/>
      <c r="GP3071" s="37"/>
      <c r="GQ3071" s="37"/>
      <c r="GR3071" s="37"/>
      <c r="GS3071" s="37"/>
      <c r="GT3071" s="37"/>
      <c r="GU3071" s="37"/>
      <c r="GV3071" s="37"/>
      <c r="GW3071" s="37"/>
      <c r="GX3071" s="37"/>
      <c r="GY3071" s="37"/>
      <c r="GZ3071" s="37"/>
      <c r="HA3071" s="37"/>
      <c r="HB3071" s="37"/>
      <c r="HC3071" s="37"/>
      <c r="HD3071" s="37"/>
      <c r="HE3071" s="37"/>
      <c r="HF3071" s="37"/>
      <c r="HG3071" s="37"/>
      <c r="HH3071" s="37"/>
      <c r="HI3071" s="37"/>
      <c r="HJ3071" s="37"/>
      <c r="HK3071" s="37"/>
      <c r="HL3071" s="37"/>
      <c r="HM3071" s="37"/>
      <c r="HN3071" s="37"/>
      <c r="HO3071" s="37"/>
      <c r="HP3071" s="37"/>
      <c r="HQ3071" s="37"/>
      <c r="HR3071" s="37"/>
      <c r="HS3071" s="37"/>
      <c r="HT3071" s="37"/>
      <c r="HU3071" s="37"/>
      <c r="HV3071" s="37"/>
      <c r="HW3071" s="37"/>
      <c r="HX3071" s="37"/>
      <c r="HY3071" s="37"/>
      <c r="HZ3071" s="37"/>
      <c r="IA3071" s="37"/>
      <c r="IB3071" s="37"/>
      <c r="IC3071" s="37"/>
      <c r="ID3071" s="37"/>
      <c r="IE3071" s="37"/>
      <c r="IF3071" s="37"/>
      <c r="IG3071" s="37"/>
      <c r="IH3071" s="37"/>
      <c r="II3071" s="37"/>
      <c r="IJ3071" s="37"/>
      <c r="IK3071" s="37"/>
      <c r="IL3071" s="37"/>
      <c r="IM3071" s="37"/>
      <c r="IN3071" s="37"/>
      <c r="IO3071" s="37"/>
      <c r="IP3071" s="37"/>
      <c r="IQ3071" s="37"/>
      <c r="IR3071" s="37"/>
      <c r="IS3071" s="37"/>
      <c r="IT3071" s="37"/>
      <c r="IU3071" s="37"/>
      <c r="IV3071" s="37"/>
      <c r="IW3071" s="37"/>
      <c r="IX3071" s="37"/>
      <c r="IY3071" s="37"/>
      <c r="IZ3071" s="37"/>
      <c r="JA3071" s="37"/>
      <c r="JB3071" s="37"/>
      <c r="JC3071" s="37"/>
      <c r="JD3071" s="37"/>
      <c r="JE3071" s="37"/>
      <c r="JF3071" s="37"/>
      <c r="JG3071" s="37"/>
      <c r="JH3071" s="37"/>
      <c r="JI3071" s="37"/>
      <c r="JJ3071" s="37"/>
      <c r="JK3071" s="37"/>
      <c r="JL3071" s="37"/>
      <c r="JM3071" s="37"/>
      <c r="JN3071" s="37"/>
      <c r="JO3071" s="37"/>
      <c r="JP3071" s="37"/>
      <c r="JQ3071" s="37"/>
      <c r="JR3071" s="37"/>
      <c r="JS3071" s="37"/>
      <c r="JT3071" s="37"/>
      <c r="JU3071" s="37"/>
      <c r="JV3071" s="37"/>
      <c r="JW3071" s="37"/>
      <c r="JX3071" s="37"/>
      <c r="JY3071" s="37"/>
      <c r="JZ3071" s="37"/>
      <c r="KA3071" s="37"/>
      <c r="KB3071" s="37"/>
      <c r="KC3071" s="37"/>
      <c r="KD3071" s="37"/>
      <c r="KE3071" s="37"/>
      <c r="KF3071" s="37"/>
      <c r="KG3071" s="37"/>
      <c r="KH3071" s="37"/>
      <c r="KI3071" s="37"/>
      <c r="KJ3071" s="37"/>
      <c r="KK3071" s="37"/>
      <c r="KL3071" s="37"/>
      <c r="KM3071" s="37"/>
      <c r="KN3071" s="37"/>
      <c r="KO3071" s="37"/>
      <c r="KP3071" s="37"/>
      <c r="KQ3071" s="37"/>
      <c r="KR3071" s="37"/>
      <c r="KS3071" s="37"/>
      <c r="KT3071" s="37"/>
      <c r="KU3071" s="37"/>
      <c r="KV3071" s="37"/>
      <c r="KW3071" s="37"/>
      <c r="KX3071" s="37"/>
      <c r="KY3071" s="37"/>
      <c r="KZ3071" s="37"/>
      <c r="LA3071" s="37"/>
      <c r="LB3071" s="37"/>
      <c r="LC3071" s="37"/>
      <c r="LD3071" s="37"/>
      <c r="LE3071" s="37"/>
      <c r="LF3071" s="37"/>
      <c r="LG3071" s="37"/>
      <c r="LH3071" s="37"/>
      <c r="LI3071" s="37"/>
      <c r="LJ3071" s="37"/>
      <c r="LK3071" s="37"/>
      <c r="LL3071" s="37"/>
      <c r="LM3071" s="37"/>
      <c r="LN3071" s="37"/>
      <c r="LO3071" s="37"/>
      <c r="LP3071" s="37"/>
      <c r="LQ3071" s="37"/>
      <c r="LR3071" s="37"/>
      <c r="LS3071" s="37"/>
      <c r="LT3071" s="37"/>
      <c r="LU3071" s="37"/>
      <c r="LV3071" s="37"/>
      <c r="LW3071" s="37"/>
      <c r="LX3071" s="37"/>
      <c r="LY3071" s="37"/>
      <c r="LZ3071" s="37"/>
      <c r="MA3071" s="37"/>
      <c r="MB3071" s="37"/>
      <c r="MC3071" s="37"/>
      <c r="MD3071" s="37"/>
      <c r="ME3071" s="37"/>
      <c r="MF3071" s="37"/>
      <c r="MG3071" s="37"/>
      <c r="MH3071" s="37"/>
      <c r="MI3071" s="37"/>
      <c r="MJ3071" s="37"/>
      <c r="MK3071" s="37"/>
      <c r="ML3071" s="37"/>
      <c r="MM3071" s="37"/>
      <c r="MN3071" s="37"/>
      <c r="MO3071" s="37"/>
      <c r="MP3071" s="37"/>
      <c r="MQ3071" s="37"/>
      <c r="MR3071" s="37"/>
      <c r="MS3071" s="37"/>
      <c r="MT3071" s="37"/>
      <c r="MU3071" s="37"/>
      <c r="MV3071" s="37"/>
      <c r="MW3071" s="37"/>
      <c r="MX3071" s="37"/>
      <c r="MY3071" s="37"/>
      <c r="MZ3071" s="37"/>
      <c r="NA3071" s="37"/>
      <c r="NB3071" s="37"/>
      <c r="NC3071" s="37"/>
      <c r="ND3071" s="37"/>
      <c r="NE3071" s="37"/>
      <c r="NF3071" s="37"/>
      <c r="NG3071" s="37"/>
      <c r="NH3071" s="37"/>
      <c r="NI3071" s="37"/>
      <c r="NJ3071" s="37"/>
      <c r="NK3071" s="37"/>
      <c r="NL3071" s="37"/>
      <c r="NM3071" s="37"/>
      <c r="NN3071" s="37"/>
      <c r="NO3071" s="37"/>
      <c r="NP3071" s="37"/>
      <c r="NQ3071" s="37"/>
      <c r="NR3071" s="37"/>
      <c r="NS3071" s="37"/>
      <c r="NT3071" s="37"/>
      <c r="NU3071" s="37"/>
      <c r="NV3071" s="37"/>
      <c r="NW3071" s="37"/>
      <c r="NX3071" s="37"/>
      <c r="NY3071" s="37"/>
      <c r="NZ3071" s="37"/>
      <c r="OA3071" s="37"/>
      <c r="OB3071" s="37"/>
      <c r="OC3071" s="37"/>
      <c r="OD3071" s="37"/>
      <c r="OE3071" s="37"/>
      <c r="OF3071" s="37"/>
      <c r="OG3071" s="37"/>
      <c r="OH3071" s="37"/>
      <c r="OI3071" s="37"/>
      <c r="OJ3071" s="37"/>
      <c r="OK3071" s="37"/>
      <c r="OL3071" s="37"/>
      <c r="OM3071" s="37"/>
      <c r="ON3071" s="37"/>
      <c r="OO3071" s="37"/>
      <c r="OP3071" s="37"/>
      <c r="OQ3071" s="37"/>
      <c r="OR3071" s="37"/>
      <c r="OS3071" s="37"/>
      <c r="OT3071" s="37"/>
      <c r="OU3071" s="37"/>
      <c r="OV3071" s="37"/>
      <c r="OW3071" s="37"/>
      <c r="OX3071" s="37"/>
      <c r="OY3071" s="37"/>
      <c r="OZ3071" s="37"/>
      <c r="PA3071" s="37"/>
      <c r="PB3071" s="37"/>
      <c r="PC3071" s="37"/>
      <c r="PD3071" s="37"/>
      <c r="PE3071" s="37"/>
      <c r="PF3071" s="37"/>
      <c r="PG3071" s="37"/>
      <c r="PH3071" s="37"/>
      <c r="PI3071" s="37"/>
      <c r="PJ3071" s="37"/>
      <c r="PK3071" s="37"/>
      <c r="PL3071" s="37"/>
      <c r="PM3071" s="37"/>
      <c r="PN3071" s="37"/>
      <c r="PO3071" s="37"/>
      <c r="PP3071" s="37"/>
      <c r="PQ3071" s="37"/>
      <c r="PR3071" s="37"/>
      <c r="PS3071" s="37"/>
      <c r="PT3071" s="37"/>
      <c r="PU3071" s="37"/>
      <c r="PV3071" s="37"/>
      <c r="PW3071" s="37"/>
      <c r="PX3071" s="37"/>
      <c r="PY3071" s="37"/>
      <c r="PZ3071" s="37"/>
      <c r="QA3071" s="37"/>
      <c r="QB3071" s="37"/>
      <c r="QC3071" s="37"/>
      <c r="QD3071" s="37"/>
      <c r="QE3071" s="37"/>
      <c r="QF3071" s="37"/>
      <c r="QG3071" s="37"/>
      <c r="QH3071" s="37"/>
      <c r="QI3071" s="37"/>
      <c r="QJ3071" s="37"/>
      <c r="QK3071" s="37"/>
      <c r="QL3071" s="37"/>
      <c r="QM3071" s="37"/>
      <c r="QN3071" s="37"/>
      <c r="QO3071" s="37"/>
      <c r="QP3071" s="37"/>
      <c r="QQ3071" s="37"/>
      <c r="QR3071" s="37"/>
      <c r="QS3071" s="37"/>
      <c r="QT3071" s="37"/>
      <c r="QU3071" s="37"/>
      <c r="QV3071" s="37"/>
      <c r="QW3071" s="37"/>
      <c r="QX3071" s="37"/>
      <c r="QY3071" s="37"/>
      <c r="QZ3071" s="37"/>
      <c r="RA3071" s="37"/>
      <c r="RB3071" s="37"/>
      <c r="RC3071" s="37"/>
      <c r="RD3071" s="37"/>
      <c r="RE3071" s="37"/>
      <c r="RF3071" s="37"/>
      <c r="RG3071" s="37"/>
      <c r="RH3071" s="37"/>
      <c r="RI3071" s="37"/>
      <c r="RJ3071" s="37"/>
      <c r="RK3071" s="37"/>
      <c r="RL3071" s="37"/>
      <c r="RM3071" s="37"/>
      <c r="RN3071" s="37"/>
      <c r="RO3071" s="37"/>
      <c r="RP3071" s="37"/>
      <c r="RQ3071" s="37"/>
      <c r="RR3071" s="37"/>
      <c r="RS3071" s="37"/>
      <c r="RT3071" s="37"/>
      <c r="RU3071" s="37"/>
      <c r="RV3071" s="37"/>
      <c r="RW3071" s="37"/>
      <c r="RX3071" s="37"/>
      <c r="RY3071" s="37"/>
      <c r="RZ3071" s="37"/>
      <c r="SA3071" s="37"/>
      <c r="SB3071" s="37"/>
      <c r="SC3071" s="37"/>
      <c r="SD3071" s="37"/>
      <c r="SE3071" s="37"/>
      <c r="SF3071" s="37"/>
    </row>
    <row r="3072" spans="1:500">
      <c r="A3072" s="37"/>
      <c r="B3072" s="37"/>
      <c r="C3072" s="37"/>
      <c r="D3072" s="37"/>
      <c r="E3072" s="37"/>
      <c r="F3072" s="37"/>
      <c r="G3072" s="37"/>
      <c r="H3072" s="37"/>
      <c r="I3072" s="37"/>
      <c r="J3072" s="37"/>
      <c r="K3072" s="37"/>
      <c r="L3072" s="37"/>
      <c r="M3072" s="37"/>
      <c r="N3072" s="37"/>
      <c r="O3072" s="37"/>
      <c r="P3072" s="37"/>
      <c r="Q3072" s="37"/>
      <c r="R3072" s="37"/>
      <c r="S3072" s="37"/>
      <c r="T3072" s="37"/>
      <c r="U3072" s="37"/>
      <c r="V3072" s="37"/>
      <c r="W3072" s="37"/>
      <c r="X3072" s="37"/>
      <c r="Y3072" s="37"/>
      <c r="Z3072" s="37"/>
      <c r="AA3072" s="37"/>
      <c r="AB3072" s="37"/>
      <c r="AC3072" s="37"/>
      <c r="AD3072" s="37"/>
      <c r="AE3072" s="37"/>
      <c r="AF3072" s="37"/>
      <c r="AG3072" s="37"/>
      <c r="AH3072" s="37"/>
      <c r="AI3072" s="37"/>
      <c r="AJ3072" s="37"/>
      <c r="AK3072" s="37"/>
      <c r="AL3072" s="37"/>
      <c r="AM3072" s="37"/>
      <c r="AN3072" s="37"/>
      <c r="AO3072" s="37"/>
      <c r="AP3072" s="37"/>
      <c r="AQ3072" s="37"/>
      <c r="AR3072" s="37"/>
      <c r="AS3072" s="37"/>
      <c r="AT3072" s="37"/>
      <c r="AU3072" s="37"/>
      <c r="AV3072" s="37"/>
      <c r="AW3072" s="37"/>
      <c r="AX3072" s="37"/>
      <c r="AY3072" s="37"/>
      <c r="AZ3072" s="37"/>
      <c r="BA3072" s="37"/>
      <c r="BB3072" s="37"/>
      <c r="BC3072" s="37"/>
      <c r="BD3072" s="37"/>
      <c r="BE3072" s="37"/>
      <c r="BF3072" s="37"/>
      <c r="BG3072" s="37"/>
      <c r="BH3072" s="37"/>
      <c r="BI3072" s="37"/>
      <c r="BJ3072" s="37"/>
      <c r="BK3072" s="37"/>
      <c r="BL3072" s="37"/>
      <c r="BM3072" s="37"/>
      <c r="BN3072" s="37"/>
      <c r="BO3072" s="37"/>
      <c r="BP3072" s="37"/>
      <c r="BQ3072" s="37"/>
      <c r="BR3072" s="37"/>
      <c r="BS3072" s="37"/>
      <c r="BT3072" s="37"/>
      <c r="BU3072" s="37"/>
      <c r="BV3072" s="37"/>
      <c r="BW3072" s="37"/>
      <c r="BX3072" s="37"/>
      <c r="BY3072" s="37"/>
      <c r="BZ3072" s="37"/>
      <c r="CA3072" s="37"/>
      <c r="CB3072" s="37"/>
      <c r="CC3072" s="37"/>
      <c r="CD3072" s="37"/>
      <c r="CE3072" s="37"/>
      <c r="CF3072" s="37"/>
      <c r="CG3072" s="37"/>
      <c r="CH3072" s="37"/>
      <c r="CI3072" s="37"/>
      <c r="CJ3072" s="37"/>
      <c r="CK3072" s="37"/>
      <c r="CL3072" s="37"/>
      <c r="CM3072" s="37"/>
      <c r="CN3072" s="37"/>
      <c r="CO3072" s="37"/>
      <c r="CP3072" s="37"/>
      <c r="CQ3072" s="37"/>
      <c r="CR3072" s="37"/>
      <c r="CS3072" s="37"/>
      <c r="CT3072" s="37"/>
      <c r="CU3072" s="37"/>
      <c r="CV3072" s="37"/>
      <c r="CW3072" s="37"/>
      <c r="CX3072" s="37"/>
      <c r="CY3072" s="37"/>
      <c r="CZ3072" s="37"/>
      <c r="DA3072" s="37"/>
      <c r="DB3072" s="37"/>
      <c r="DC3072" s="37"/>
      <c r="DD3072" s="37"/>
      <c r="DE3072" s="37"/>
      <c r="DF3072" s="37"/>
      <c r="DG3072" s="37"/>
      <c r="DH3072" s="37"/>
      <c r="DI3072" s="37"/>
      <c r="DJ3072" s="37"/>
      <c r="DK3072" s="37"/>
      <c r="DL3072" s="37"/>
      <c r="DM3072" s="37"/>
      <c r="DN3072" s="37"/>
      <c r="DO3072" s="37"/>
      <c r="DP3072" s="37"/>
      <c r="DQ3072" s="37"/>
      <c r="DR3072" s="37"/>
      <c r="DS3072" s="37"/>
      <c r="DT3072" s="37"/>
      <c r="DU3072" s="37"/>
      <c r="DV3072" s="37"/>
      <c r="DW3072" s="37"/>
      <c r="DX3072" s="37"/>
      <c r="DY3072" s="37"/>
      <c r="DZ3072" s="37"/>
      <c r="EA3072" s="37"/>
      <c r="EB3072" s="37"/>
      <c r="EC3072" s="37"/>
      <c r="ED3072" s="37"/>
      <c r="EE3072" s="37"/>
      <c r="EF3072" s="37"/>
      <c r="EG3072" s="37"/>
      <c r="EH3072" s="37"/>
      <c r="EI3072" s="37"/>
      <c r="EJ3072" s="37"/>
      <c r="EK3072" s="37"/>
      <c r="EL3072" s="37"/>
      <c r="EM3072" s="37"/>
      <c r="EN3072" s="37"/>
      <c r="EO3072" s="37"/>
      <c r="EP3072" s="37"/>
      <c r="EQ3072" s="37"/>
      <c r="ER3072" s="37"/>
      <c r="ES3072" s="37"/>
      <c r="ET3072" s="37"/>
      <c r="EU3072" s="37"/>
      <c r="EV3072" s="37"/>
      <c r="EW3072" s="37"/>
      <c r="EX3072" s="37"/>
      <c r="EY3072" s="37"/>
      <c r="EZ3072" s="37"/>
      <c r="FA3072" s="37"/>
      <c r="FB3072" s="37"/>
      <c r="FC3072" s="37"/>
      <c r="FD3072" s="37"/>
      <c r="FE3072" s="37"/>
      <c r="FF3072" s="37"/>
      <c r="FG3072" s="37"/>
      <c r="FH3072" s="37"/>
      <c r="FI3072" s="37"/>
      <c r="FJ3072" s="37"/>
      <c r="FK3072" s="37"/>
      <c r="FL3072" s="37"/>
      <c r="FM3072" s="37"/>
      <c r="FN3072" s="37"/>
      <c r="FO3072" s="37"/>
      <c r="FP3072" s="37"/>
      <c r="FQ3072" s="37"/>
      <c r="FR3072" s="37"/>
      <c r="FS3072" s="37"/>
      <c r="FT3072" s="37"/>
      <c r="FU3072" s="37"/>
      <c r="FV3072" s="37"/>
      <c r="FW3072" s="37"/>
      <c r="FX3072" s="37"/>
      <c r="FY3072" s="37"/>
      <c r="FZ3072" s="37"/>
      <c r="GA3072" s="37"/>
      <c r="GB3072" s="37"/>
      <c r="GC3072" s="37"/>
      <c r="GD3072" s="37"/>
      <c r="GE3072" s="37"/>
      <c r="GF3072" s="37"/>
      <c r="GG3072" s="37"/>
      <c r="GH3072" s="37"/>
      <c r="GI3072" s="37"/>
      <c r="GJ3072" s="37"/>
      <c r="GK3072" s="37"/>
      <c r="GL3072" s="37"/>
      <c r="GM3072" s="37"/>
      <c r="GN3072" s="37"/>
      <c r="GO3072" s="37"/>
      <c r="GP3072" s="37"/>
      <c r="GQ3072" s="37"/>
      <c r="GR3072" s="37"/>
      <c r="GS3072" s="37"/>
      <c r="GT3072" s="37"/>
      <c r="GU3072" s="37"/>
      <c r="GV3072" s="37"/>
      <c r="GW3072" s="37"/>
      <c r="GX3072" s="37"/>
      <c r="GY3072" s="37"/>
      <c r="GZ3072" s="37"/>
      <c r="HA3072" s="37"/>
      <c r="HB3072" s="37"/>
      <c r="HC3072" s="37"/>
      <c r="HD3072" s="37"/>
      <c r="HE3072" s="37"/>
      <c r="HF3072" s="37"/>
      <c r="HG3072" s="37"/>
      <c r="HH3072" s="37"/>
      <c r="HI3072" s="37"/>
      <c r="HJ3072" s="37"/>
      <c r="HK3072" s="37"/>
      <c r="HL3072" s="37"/>
      <c r="HM3072" s="37"/>
      <c r="HN3072" s="37"/>
      <c r="HO3072" s="37"/>
      <c r="HP3072" s="37"/>
      <c r="HQ3072" s="37"/>
      <c r="HR3072" s="37"/>
      <c r="HS3072" s="37"/>
      <c r="HT3072" s="37"/>
      <c r="HU3072" s="37"/>
      <c r="HV3072" s="37"/>
      <c r="HW3072" s="37"/>
      <c r="HX3072" s="37"/>
      <c r="HY3072" s="37"/>
      <c r="HZ3072" s="37"/>
      <c r="IA3072" s="37"/>
      <c r="IB3072" s="37"/>
      <c r="IC3072" s="37"/>
      <c r="ID3072" s="37"/>
      <c r="IE3072" s="37"/>
      <c r="IF3072" s="37"/>
      <c r="IG3072" s="37"/>
      <c r="IH3072" s="37"/>
      <c r="II3072" s="37"/>
      <c r="IJ3072" s="37"/>
      <c r="IK3072" s="37"/>
      <c r="IL3072" s="37"/>
      <c r="IM3072" s="37"/>
      <c r="IN3072" s="37"/>
      <c r="IO3072" s="37"/>
      <c r="IP3072" s="37"/>
      <c r="IQ3072" s="37"/>
      <c r="IR3072" s="37"/>
      <c r="IS3072" s="37"/>
      <c r="IT3072" s="37"/>
      <c r="IU3072" s="37"/>
      <c r="IV3072" s="37"/>
      <c r="IW3072" s="37"/>
      <c r="IX3072" s="37"/>
      <c r="IY3072" s="37"/>
      <c r="IZ3072" s="37"/>
      <c r="JA3072" s="37"/>
      <c r="JB3072" s="37"/>
      <c r="JC3072" s="37"/>
      <c r="JD3072" s="37"/>
      <c r="JE3072" s="37"/>
      <c r="JF3072" s="37"/>
      <c r="JG3072" s="37"/>
      <c r="JH3072" s="37"/>
      <c r="JI3072" s="37"/>
      <c r="JJ3072" s="37"/>
      <c r="JK3072" s="37"/>
      <c r="JL3072" s="37"/>
      <c r="JM3072" s="37"/>
      <c r="JN3072" s="37"/>
      <c r="JO3072" s="37"/>
      <c r="JP3072" s="37"/>
      <c r="JQ3072" s="37"/>
      <c r="JR3072" s="37"/>
      <c r="JS3072" s="37"/>
      <c r="JT3072" s="37"/>
      <c r="JU3072" s="37"/>
      <c r="JV3072" s="37"/>
      <c r="JW3072" s="37"/>
      <c r="JX3072" s="37"/>
      <c r="JY3072" s="37"/>
      <c r="JZ3072" s="37"/>
      <c r="KA3072" s="37"/>
      <c r="KB3072" s="37"/>
      <c r="KC3072" s="37"/>
      <c r="KD3072" s="37"/>
      <c r="KE3072" s="37"/>
      <c r="KF3072" s="37"/>
      <c r="KG3072" s="37"/>
      <c r="KH3072" s="37"/>
      <c r="KI3072" s="37"/>
      <c r="KJ3072" s="37"/>
      <c r="KK3072" s="37"/>
      <c r="KL3072" s="37"/>
      <c r="KM3072" s="37"/>
      <c r="KN3072" s="37"/>
      <c r="KO3072" s="37"/>
      <c r="KP3072" s="37"/>
      <c r="KQ3072" s="37"/>
      <c r="KR3072" s="37"/>
      <c r="KS3072" s="37"/>
      <c r="KT3072" s="37"/>
      <c r="KU3072" s="37"/>
      <c r="KV3072" s="37"/>
      <c r="KW3072" s="37"/>
      <c r="KX3072" s="37"/>
      <c r="KY3072" s="37"/>
      <c r="KZ3072" s="37"/>
      <c r="LA3072" s="37"/>
      <c r="LB3072" s="37"/>
      <c r="LC3072" s="37"/>
      <c r="LD3072" s="37"/>
      <c r="LE3072" s="37"/>
      <c r="LF3072" s="37"/>
      <c r="LG3072" s="37"/>
      <c r="LH3072" s="37"/>
      <c r="LI3072" s="37"/>
      <c r="LJ3072" s="37"/>
      <c r="LK3072" s="37"/>
      <c r="LL3072" s="37"/>
      <c r="LM3072" s="37"/>
      <c r="LN3072" s="37"/>
      <c r="LO3072" s="37"/>
      <c r="LP3072" s="37"/>
      <c r="LQ3072" s="37"/>
      <c r="LR3072" s="37"/>
      <c r="LS3072" s="37"/>
      <c r="LT3072" s="37"/>
      <c r="LU3072" s="37"/>
      <c r="LV3072" s="37"/>
      <c r="LW3072" s="37"/>
      <c r="LX3072" s="37"/>
      <c r="LY3072" s="37"/>
      <c r="LZ3072" s="37"/>
      <c r="MA3072" s="37"/>
      <c r="MB3072" s="37"/>
      <c r="MC3072" s="37"/>
      <c r="MD3072" s="37"/>
      <c r="ME3072" s="37"/>
      <c r="MF3072" s="37"/>
      <c r="MG3072" s="37"/>
      <c r="MH3072" s="37"/>
      <c r="MI3072" s="37"/>
      <c r="MJ3072" s="37"/>
      <c r="MK3072" s="37"/>
      <c r="ML3072" s="37"/>
      <c r="MM3072" s="37"/>
      <c r="MN3072" s="37"/>
      <c r="MO3072" s="37"/>
      <c r="MP3072" s="37"/>
      <c r="MQ3072" s="37"/>
      <c r="MR3072" s="37"/>
      <c r="MS3072" s="37"/>
      <c r="MT3072" s="37"/>
      <c r="MU3072" s="37"/>
      <c r="MV3072" s="37"/>
      <c r="MW3072" s="37"/>
      <c r="MX3072" s="37"/>
      <c r="MY3072" s="37"/>
      <c r="MZ3072" s="37"/>
      <c r="NA3072" s="37"/>
      <c r="NB3072" s="37"/>
      <c r="NC3072" s="37"/>
      <c r="ND3072" s="37"/>
      <c r="NE3072" s="37"/>
      <c r="NF3072" s="37"/>
      <c r="NG3072" s="37"/>
      <c r="NH3072" s="37"/>
      <c r="NI3072" s="37"/>
      <c r="NJ3072" s="37"/>
      <c r="NK3072" s="37"/>
      <c r="NL3072" s="37"/>
      <c r="NM3072" s="37"/>
      <c r="NN3072" s="37"/>
      <c r="NO3072" s="37"/>
      <c r="NP3072" s="37"/>
      <c r="NQ3072" s="37"/>
      <c r="NR3072" s="37"/>
      <c r="NS3072" s="37"/>
      <c r="NT3072" s="37"/>
      <c r="NU3072" s="37"/>
      <c r="NV3072" s="37"/>
      <c r="NW3072" s="37"/>
      <c r="NX3072" s="37"/>
      <c r="NY3072" s="37"/>
      <c r="NZ3072" s="37"/>
      <c r="OA3072" s="37"/>
      <c r="OB3072" s="37"/>
      <c r="OC3072" s="37"/>
      <c r="OD3072" s="37"/>
      <c r="OE3072" s="37"/>
      <c r="OF3072" s="37"/>
      <c r="OG3072" s="37"/>
      <c r="OH3072" s="37"/>
      <c r="OI3072" s="37"/>
      <c r="OJ3072" s="37"/>
      <c r="OK3072" s="37"/>
      <c r="OL3072" s="37"/>
      <c r="OM3072" s="37"/>
      <c r="ON3072" s="37"/>
      <c r="OO3072" s="37"/>
      <c r="OP3072" s="37"/>
      <c r="OQ3072" s="37"/>
      <c r="OR3072" s="37"/>
      <c r="OS3072" s="37"/>
      <c r="OT3072" s="37"/>
      <c r="OU3072" s="37"/>
      <c r="OV3072" s="37"/>
      <c r="OW3072" s="37"/>
      <c r="OX3072" s="37"/>
      <c r="OY3072" s="37"/>
      <c r="OZ3072" s="37"/>
      <c r="PA3072" s="37"/>
      <c r="PB3072" s="37"/>
      <c r="PC3072" s="37"/>
      <c r="PD3072" s="37"/>
      <c r="PE3072" s="37"/>
      <c r="PF3072" s="37"/>
      <c r="PG3072" s="37"/>
      <c r="PH3072" s="37"/>
      <c r="PI3072" s="37"/>
      <c r="PJ3072" s="37"/>
      <c r="PK3072" s="37"/>
      <c r="PL3072" s="37"/>
      <c r="PM3072" s="37"/>
      <c r="PN3072" s="37"/>
      <c r="PO3072" s="37"/>
      <c r="PP3072" s="37"/>
      <c r="PQ3072" s="37"/>
      <c r="PR3072" s="37"/>
      <c r="PS3072" s="37"/>
      <c r="PT3072" s="37"/>
      <c r="PU3072" s="37"/>
      <c r="PV3072" s="37"/>
      <c r="PW3072" s="37"/>
      <c r="PX3072" s="37"/>
      <c r="PY3072" s="37"/>
      <c r="PZ3072" s="37"/>
      <c r="QA3072" s="37"/>
      <c r="QB3072" s="37"/>
      <c r="QC3072" s="37"/>
      <c r="QD3072" s="37"/>
      <c r="QE3072" s="37"/>
      <c r="QF3072" s="37"/>
      <c r="QG3072" s="37"/>
      <c r="QH3072" s="37"/>
      <c r="QI3072" s="37"/>
      <c r="QJ3072" s="37"/>
      <c r="QK3072" s="37"/>
      <c r="QL3072" s="37"/>
      <c r="QM3072" s="37"/>
      <c r="QN3072" s="37"/>
      <c r="QO3072" s="37"/>
      <c r="QP3072" s="37"/>
      <c r="QQ3072" s="37"/>
      <c r="QR3072" s="37"/>
      <c r="QS3072" s="37"/>
      <c r="QT3072" s="37"/>
      <c r="QU3072" s="37"/>
      <c r="QV3072" s="37"/>
      <c r="QW3072" s="37"/>
      <c r="QX3072" s="37"/>
      <c r="QY3072" s="37"/>
      <c r="QZ3072" s="37"/>
      <c r="RA3072" s="37"/>
      <c r="RB3072" s="37"/>
      <c r="RC3072" s="37"/>
      <c r="RD3072" s="37"/>
      <c r="RE3072" s="37"/>
      <c r="RF3072" s="37"/>
      <c r="RG3072" s="37"/>
      <c r="RH3072" s="37"/>
      <c r="RI3072" s="37"/>
      <c r="RJ3072" s="37"/>
      <c r="RK3072" s="37"/>
      <c r="RL3072" s="37"/>
      <c r="RM3072" s="37"/>
      <c r="RN3072" s="37"/>
      <c r="RO3072" s="37"/>
      <c r="RP3072" s="37"/>
      <c r="RQ3072" s="37"/>
      <c r="RR3072" s="37"/>
      <c r="RS3072" s="37"/>
      <c r="RT3072" s="37"/>
      <c r="RU3072" s="37"/>
      <c r="RV3072" s="37"/>
      <c r="RW3072" s="37"/>
      <c r="RX3072" s="37"/>
      <c r="RY3072" s="37"/>
      <c r="RZ3072" s="37"/>
      <c r="SA3072" s="37"/>
      <c r="SB3072" s="37"/>
      <c r="SC3072" s="37"/>
      <c r="SD3072" s="37"/>
      <c r="SE3072" s="37"/>
      <c r="SF3072" s="37"/>
    </row>
    <row r="3073" spans="1:500">
      <c r="A3073" s="37"/>
      <c r="B3073" s="37"/>
      <c r="C3073" s="37"/>
      <c r="D3073" s="37"/>
      <c r="E3073" s="37"/>
      <c r="F3073" s="37"/>
      <c r="G3073" s="37"/>
      <c r="H3073" s="37"/>
      <c r="I3073" s="37"/>
      <c r="J3073" s="37"/>
      <c r="K3073" s="37"/>
      <c r="L3073" s="37"/>
      <c r="M3073" s="37"/>
      <c r="N3073" s="37"/>
      <c r="O3073" s="37"/>
      <c r="P3073" s="37"/>
      <c r="Q3073" s="37"/>
      <c r="R3073" s="37"/>
      <c r="S3073" s="37"/>
      <c r="T3073" s="37"/>
      <c r="U3073" s="37"/>
      <c r="V3073" s="37"/>
      <c r="W3073" s="37"/>
      <c r="X3073" s="37"/>
      <c r="Y3073" s="37"/>
      <c r="Z3073" s="37"/>
      <c r="AA3073" s="37"/>
      <c r="AB3073" s="37"/>
      <c r="AC3073" s="37"/>
      <c r="AD3073" s="37"/>
      <c r="AE3073" s="37"/>
      <c r="AF3073" s="37"/>
      <c r="AG3073" s="37"/>
      <c r="AH3073" s="37"/>
      <c r="AI3073" s="37"/>
      <c r="AJ3073" s="37"/>
      <c r="AK3073" s="37"/>
      <c r="AL3073" s="37"/>
      <c r="AM3073" s="37"/>
      <c r="AN3073" s="37"/>
      <c r="AO3073" s="37"/>
      <c r="AP3073" s="37"/>
      <c r="AQ3073" s="37"/>
      <c r="AR3073" s="37"/>
      <c r="AS3073" s="37"/>
      <c r="AT3073" s="37"/>
      <c r="AU3073" s="37"/>
      <c r="AV3073" s="37"/>
      <c r="AW3073" s="37"/>
      <c r="AX3073" s="37"/>
      <c r="AY3073" s="37"/>
      <c r="AZ3073" s="37"/>
      <c r="BA3073" s="37"/>
      <c r="BB3073" s="37"/>
      <c r="BC3073" s="37"/>
      <c r="BD3073" s="37"/>
      <c r="BE3073" s="37"/>
      <c r="BF3073" s="37"/>
      <c r="BG3073" s="37"/>
      <c r="BH3073" s="37"/>
      <c r="BI3073" s="37"/>
      <c r="BJ3073" s="37"/>
      <c r="BK3073" s="37"/>
      <c r="BL3073" s="37"/>
      <c r="BM3073" s="37"/>
      <c r="BN3073" s="37"/>
      <c r="BO3073" s="37"/>
      <c r="BP3073" s="37"/>
      <c r="BQ3073" s="37"/>
      <c r="BR3073" s="37"/>
      <c r="BS3073" s="37"/>
      <c r="BT3073" s="37"/>
      <c r="BU3073" s="37"/>
      <c r="BV3073" s="37"/>
      <c r="BW3073" s="37"/>
      <c r="BX3073" s="37"/>
      <c r="BY3073" s="37"/>
      <c r="BZ3073" s="37"/>
      <c r="CA3073" s="37"/>
      <c r="CB3073" s="37"/>
      <c r="CC3073" s="37"/>
      <c r="CD3073" s="37"/>
      <c r="CE3073" s="37"/>
      <c r="CF3073" s="37"/>
      <c r="CG3073" s="37"/>
      <c r="CH3073" s="37"/>
      <c r="CI3073" s="37"/>
      <c r="CJ3073" s="37"/>
      <c r="CK3073" s="37"/>
      <c r="CL3073" s="37"/>
      <c r="CM3073" s="37"/>
      <c r="CN3073" s="37"/>
      <c r="CO3073" s="37"/>
      <c r="CP3073" s="37"/>
      <c r="CQ3073" s="37"/>
      <c r="CR3073" s="37"/>
      <c r="CS3073" s="37"/>
      <c r="CT3073" s="37"/>
      <c r="CU3073" s="37"/>
      <c r="CV3073" s="37"/>
      <c r="CW3073" s="37"/>
      <c r="CX3073" s="37"/>
      <c r="CY3073" s="37"/>
      <c r="CZ3073" s="37"/>
      <c r="DA3073" s="37"/>
      <c r="DB3073" s="37"/>
      <c r="DC3073" s="37"/>
      <c r="DD3073" s="37"/>
      <c r="DE3073" s="37"/>
      <c r="DF3073" s="37"/>
      <c r="DG3073" s="37"/>
      <c r="DH3073" s="37"/>
      <c r="DI3073" s="37"/>
      <c r="DJ3073" s="37"/>
      <c r="DK3073" s="37"/>
      <c r="DL3073" s="37"/>
      <c r="DM3073" s="37"/>
      <c r="DN3073" s="37"/>
      <c r="DO3073" s="37"/>
      <c r="DP3073" s="37"/>
      <c r="DQ3073" s="37"/>
      <c r="DR3073" s="37"/>
      <c r="DS3073" s="37"/>
      <c r="DT3073" s="37"/>
      <c r="DU3073" s="37"/>
      <c r="DV3073" s="37"/>
      <c r="DW3073" s="37"/>
      <c r="DX3073" s="37"/>
      <c r="DY3073" s="37"/>
      <c r="DZ3073" s="37"/>
      <c r="EA3073" s="37"/>
      <c r="EB3073" s="37"/>
      <c r="EC3073" s="37"/>
      <c r="ED3073" s="37"/>
      <c r="EE3073" s="37"/>
      <c r="EF3073" s="37"/>
      <c r="EG3073" s="37"/>
      <c r="EH3073" s="37"/>
      <c r="EI3073" s="37"/>
      <c r="EJ3073" s="37"/>
      <c r="EK3073" s="37"/>
      <c r="EL3073" s="37"/>
      <c r="EM3073" s="37"/>
      <c r="EN3073" s="37"/>
      <c r="EO3073" s="37"/>
      <c r="EP3073" s="37"/>
      <c r="EQ3073" s="37"/>
      <c r="ER3073" s="37"/>
      <c r="ES3073" s="37"/>
      <c r="ET3073" s="37"/>
      <c r="EU3073" s="37"/>
      <c r="EV3073" s="37"/>
      <c r="EW3073" s="37"/>
      <c r="EX3073" s="37"/>
      <c r="EY3073" s="37"/>
      <c r="EZ3073" s="37"/>
      <c r="FA3073" s="37"/>
      <c r="FB3073" s="37"/>
      <c r="FC3073" s="37"/>
      <c r="FD3073" s="37"/>
      <c r="FE3073" s="37"/>
      <c r="FF3073" s="37"/>
      <c r="FG3073" s="37"/>
      <c r="FH3073" s="37"/>
      <c r="FI3073" s="37"/>
      <c r="FJ3073" s="37"/>
      <c r="FK3073" s="37"/>
      <c r="FL3073" s="37"/>
      <c r="FM3073" s="37"/>
      <c r="FN3073" s="37"/>
      <c r="FO3073" s="37"/>
      <c r="FP3073" s="37"/>
      <c r="FQ3073" s="37"/>
      <c r="FR3073" s="37"/>
      <c r="FS3073" s="37"/>
      <c r="FT3073" s="37"/>
      <c r="FU3073" s="37"/>
      <c r="FV3073" s="37"/>
      <c r="FW3073" s="37"/>
      <c r="FX3073" s="37"/>
      <c r="FY3073" s="37"/>
      <c r="FZ3073" s="37"/>
      <c r="GA3073" s="37"/>
      <c r="GB3073" s="37"/>
      <c r="GC3073" s="37"/>
      <c r="GD3073" s="37"/>
      <c r="GE3073" s="37"/>
      <c r="GF3073" s="37"/>
      <c r="GG3073" s="37"/>
      <c r="GH3073" s="37"/>
      <c r="GI3073" s="37"/>
      <c r="GJ3073" s="37"/>
      <c r="GK3073" s="37"/>
      <c r="GL3073" s="37"/>
      <c r="GM3073" s="37"/>
      <c r="GN3073" s="37"/>
      <c r="GO3073" s="37"/>
      <c r="GP3073" s="37"/>
      <c r="GQ3073" s="37"/>
      <c r="GR3073" s="37"/>
      <c r="GS3073" s="37"/>
      <c r="GT3073" s="37"/>
      <c r="GU3073" s="37"/>
      <c r="GV3073" s="37"/>
      <c r="GW3073" s="37"/>
      <c r="GX3073" s="37"/>
      <c r="GY3073" s="37"/>
      <c r="GZ3073" s="37"/>
      <c r="HA3073" s="37"/>
      <c r="HB3073" s="37"/>
      <c r="HC3073" s="37"/>
      <c r="HD3073" s="37"/>
      <c r="HE3073" s="37"/>
      <c r="HF3073" s="37"/>
      <c r="HG3073" s="37"/>
      <c r="HH3073" s="37"/>
      <c r="HI3073" s="37"/>
      <c r="HJ3073" s="37"/>
      <c r="HK3073" s="37"/>
      <c r="HL3073" s="37"/>
      <c r="HM3073" s="37"/>
      <c r="HN3073" s="37"/>
      <c r="HO3073" s="37"/>
      <c r="HP3073" s="37"/>
      <c r="HQ3073" s="37"/>
      <c r="HR3073" s="37"/>
      <c r="HS3073" s="37"/>
      <c r="HT3073" s="37"/>
      <c r="HU3073" s="37"/>
      <c r="HV3073" s="37"/>
      <c r="HW3073" s="37"/>
      <c r="HX3073" s="37"/>
      <c r="HY3073" s="37"/>
      <c r="HZ3073" s="37"/>
      <c r="IA3073" s="37"/>
      <c r="IB3073" s="37"/>
      <c r="IC3073" s="37"/>
      <c r="ID3073" s="37"/>
      <c r="IE3073" s="37"/>
      <c r="IF3073" s="37"/>
      <c r="IG3073" s="37"/>
      <c r="IH3073" s="37"/>
      <c r="II3073" s="37"/>
      <c r="IJ3073" s="37"/>
      <c r="IK3073" s="37"/>
      <c r="IL3073" s="37"/>
      <c r="IM3073" s="37"/>
      <c r="IN3073" s="37"/>
      <c r="IO3073" s="37"/>
      <c r="IP3073" s="37"/>
      <c r="IQ3073" s="37"/>
      <c r="IR3073" s="37"/>
      <c r="IS3073" s="37"/>
      <c r="IT3073" s="37"/>
      <c r="IU3073" s="37"/>
      <c r="IV3073" s="37"/>
      <c r="IW3073" s="37"/>
      <c r="IX3073" s="37"/>
      <c r="IY3073" s="37"/>
      <c r="IZ3073" s="37"/>
      <c r="JA3073" s="37"/>
      <c r="JB3073" s="37"/>
      <c r="JC3073" s="37"/>
      <c r="JD3073" s="37"/>
      <c r="JE3073" s="37"/>
      <c r="JF3073" s="37"/>
      <c r="JG3073" s="37"/>
      <c r="JH3073" s="37"/>
      <c r="JI3073" s="37"/>
      <c r="JJ3073" s="37"/>
      <c r="JK3073" s="37"/>
      <c r="JL3073" s="37"/>
      <c r="JM3073" s="37"/>
      <c r="JN3073" s="37"/>
      <c r="JO3073" s="37"/>
      <c r="JP3073" s="37"/>
      <c r="JQ3073" s="37"/>
      <c r="JR3073" s="37"/>
      <c r="JS3073" s="37"/>
      <c r="JT3073" s="37"/>
      <c r="JU3073" s="37"/>
      <c r="JV3073" s="37"/>
      <c r="JW3073" s="37"/>
      <c r="JX3073" s="37"/>
      <c r="JY3073" s="37"/>
      <c r="JZ3073" s="37"/>
      <c r="KA3073" s="37"/>
      <c r="KB3073" s="37"/>
      <c r="KC3073" s="37"/>
      <c r="KD3073" s="37"/>
      <c r="KE3073" s="37"/>
      <c r="KF3073" s="37"/>
      <c r="KG3073" s="37"/>
      <c r="KH3073" s="37"/>
      <c r="KI3073" s="37"/>
      <c r="KJ3073" s="37"/>
      <c r="KK3073" s="37"/>
      <c r="KL3073" s="37"/>
      <c r="KM3073" s="37"/>
      <c r="KN3073" s="37"/>
      <c r="KO3073" s="37"/>
      <c r="KP3073" s="37"/>
      <c r="KQ3073" s="37"/>
      <c r="KR3073" s="37"/>
      <c r="KS3073" s="37"/>
      <c r="KT3073" s="37"/>
      <c r="KU3073" s="37"/>
      <c r="KV3073" s="37"/>
      <c r="KW3073" s="37"/>
      <c r="KX3073" s="37"/>
      <c r="KY3073" s="37"/>
      <c r="KZ3073" s="37"/>
      <c r="LA3073" s="37"/>
      <c r="LB3073" s="37"/>
      <c r="LC3073" s="37"/>
      <c r="LD3073" s="37"/>
      <c r="LE3073" s="37"/>
      <c r="LF3073" s="37"/>
      <c r="LG3073" s="37"/>
      <c r="LH3073" s="37"/>
      <c r="LI3073" s="37"/>
      <c r="LJ3073" s="37"/>
      <c r="LK3073" s="37"/>
      <c r="LL3073" s="37"/>
      <c r="LM3073" s="37"/>
      <c r="LN3073" s="37"/>
      <c r="LO3073" s="37"/>
      <c r="LP3073" s="37"/>
      <c r="LQ3073" s="37"/>
      <c r="LR3073" s="37"/>
      <c r="LS3073" s="37"/>
      <c r="LT3073" s="37"/>
      <c r="LU3073" s="37"/>
      <c r="LV3073" s="37"/>
      <c r="LW3073" s="37"/>
      <c r="LX3073" s="37"/>
      <c r="LY3073" s="37"/>
      <c r="LZ3073" s="37"/>
      <c r="MA3073" s="37"/>
      <c r="MB3073" s="37"/>
      <c r="MC3073" s="37"/>
      <c r="MD3073" s="37"/>
      <c r="ME3073" s="37"/>
      <c r="MF3073" s="37"/>
      <c r="MG3073" s="37"/>
      <c r="MH3073" s="37"/>
      <c r="MI3073" s="37"/>
      <c r="MJ3073" s="37"/>
      <c r="MK3073" s="37"/>
      <c r="ML3073" s="37"/>
      <c r="MM3073" s="37"/>
      <c r="MN3073" s="37"/>
      <c r="MO3073" s="37"/>
      <c r="MP3073" s="37"/>
      <c r="MQ3073" s="37"/>
      <c r="MR3073" s="37"/>
      <c r="MS3073" s="37"/>
      <c r="MT3073" s="37"/>
      <c r="MU3073" s="37"/>
      <c r="MV3073" s="37"/>
      <c r="MW3073" s="37"/>
      <c r="MX3073" s="37"/>
      <c r="MY3073" s="37"/>
      <c r="MZ3073" s="37"/>
      <c r="NA3073" s="37"/>
      <c r="NB3073" s="37"/>
      <c r="NC3073" s="37"/>
      <c r="ND3073" s="37"/>
      <c r="NE3073" s="37"/>
      <c r="NF3073" s="37"/>
      <c r="NG3073" s="37"/>
      <c r="NH3073" s="37"/>
      <c r="NI3073" s="37"/>
      <c r="NJ3073" s="37"/>
      <c r="NK3073" s="37"/>
      <c r="NL3073" s="37"/>
      <c r="NM3073" s="37"/>
      <c r="NN3073" s="37"/>
      <c r="NO3073" s="37"/>
      <c r="NP3073" s="37"/>
      <c r="NQ3073" s="37"/>
      <c r="NR3073" s="37"/>
      <c r="NS3073" s="37"/>
      <c r="NT3073" s="37"/>
      <c r="NU3073" s="37"/>
      <c r="NV3073" s="37"/>
      <c r="NW3073" s="37"/>
      <c r="NX3073" s="37"/>
      <c r="NY3073" s="37"/>
      <c r="NZ3073" s="37"/>
      <c r="OA3073" s="37"/>
      <c r="OB3073" s="37"/>
      <c r="OC3073" s="37"/>
      <c r="OD3073" s="37"/>
      <c r="OE3073" s="37"/>
      <c r="OF3073" s="37"/>
      <c r="OG3073" s="37"/>
      <c r="OH3073" s="37"/>
      <c r="OI3073" s="37"/>
      <c r="OJ3073" s="37"/>
      <c r="OK3073" s="37"/>
      <c r="OL3073" s="37"/>
      <c r="OM3073" s="37"/>
      <c r="ON3073" s="37"/>
      <c r="OO3073" s="37"/>
      <c r="OP3073" s="37"/>
      <c r="OQ3073" s="37"/>
      <c r="OR3073" s="37"/>
      <c r="OS3073" s="37"/>
      <c r="OT3073" s="37"/>
      <c r="OU3073" s="37"/>
      <c r="OV3073" s="37"/>
      <c r="OW3073" s="37"/>
      <c r="OX3073" s="37"/>
      <c r="OY3073" s="37"/>
      <c r="OZ3073" s="37"/>
      <c r="PA3073" s="37"/>
      <c r="PB3073" s="37"/>
      <c r="PC3073" s="37"/>
      <c r="PD3073" s="37"/>
      <c r="PE3073" s="37"/>
      <c r="PF3073" s="37"/>
      <c r="PG3073" s="37"/>
      <c r="PH3073" s="37"/>
      <c r="PI3073" s="37"/>
      <c r="PJ3073" s="37"/>
      <c r="PK3073" s="37"/>
      <c r="PL3073" s="37"/>
      <c r="PM3073" s="37"/>
      <c r="PN3073" s="37"/>
      <c r="PO3073" s="37"/>
      <c r="PP3073" s="37"/>
      <c r="PQ3073" s="37"/>
      <c r="PR3073" s="37"/>
      <c r="PS3073" s="37"/>
      <c r="PT3073" s="37"/>
      <c r="PU3073" s="37"/>
      <c r="PV3073" s="37"/>
      <c r="PW3073" s="37"/>
      <c r="PX3073" s="37"/>
      <c r="PY3073" s="37"/>
      <c r="PZ3073" s="37"/>
      <c r="QA3073" s="37"/>
      <c r="QB3073" s="37"/>
      <c r="QC3073" s="37"/>
      <c r="QD3073" s="37"/>
      <c r="QE3073" s="37"/>
      <c r="QF3073" s="37"/>
      <c r="QG3073" s="37"/>
      <c r="QH3073" s="37"/>
      <c r="QI3073" s="37"/>
      <c r="QJ3073" s="37"/>
      <c r="QK3073" s="37"/>
      <c r="QL3073" s="37"/>
      <c r="QM3073" s="37"/>
      <c r="QN3073" s="37"/>
      <c r="QO3073" s="37"/>
      <c r="QP3073" s="37"/>
      <c r="QQ3073" s="37"/>
      <c r="QR3073" s="37"/>
      <c r="QS3073" s="37"/>
      <c r="QT3073" s="37"/>
      <c r="QU3073" s="37"/>
      <c r="QV3073" s="37"/>
      <c r="QW3073" s="37"/>
      <c r="QX3073" s="37"/>
      <c r="QY3073" s="37"/>
      <c r="QZ3073" s="37"/>
      <c r="RA3073" s="37"/>
      <c r="RB3073" s="37"/>
      <c r="RC3073" s="37"/>
      <c r="RD3073" s="37"/>
      <c r="RE3073" s="37"/>
      <c r="RF3073" s="37"/>
      <c r="RG3073" s="37"/>
      <c r="RH3073" s="37"/>
      <c r="RI3073" s="37"/>
      <c r="RJ3073" s="37"/>
      <c r="RK3073" s="37"/>
      <c r="RL3073" s="37"/>
      <c r="RM3073" s="37"/>
      <c r="RN3073" s="37"/>
      <c r="RO3073" s="37"/>
      <c r="RP3073" s="37"/>
      <c r="RQ3073" s="37"/>
      <c r="RR3073" s="37"/>
      <c r="RS3073" s="37"/>
      <c r="RT3073" s="37"/>
      <c r="RU3073" s="37"/>
      <c r="RV3073" s="37"/>
      <c r="RW3073" s="37"/>
      <c r="RX3073" s="37"/>
      <c r="RY3073" s="37"/>
      <c r="RZ3073" s="37"/>
      <c r="SA3073" s="37"/>
      <c r="SB3073" s="37"/>
      <c r="SC3073" s="37"/>
      <c r="SD3073" s="37"/>
      <c r="SE3073" s="37"/>
      <c r="SF3073" s="37"/>
    </row>
    <row r="3074" spans="1:500">
      <c r="A3074" s="37"/>
      <c r="B3074" s="37"/>
      <c r="C3074" s="37"/>
      <c r="D3074" s="37"/>
      <c r="E3074" s="37"/>
      <c r="F3074" s="37"/>
      <c r="G3074" s="37"/>
      <c r="H3074" s="37"/>
      <c r="I3074" s="37"/>
      <c r="J3074" s="37"/>
      <c r="K3074" s="37"/>
      <c r="L3074" s="37"/>
      <c r="M3074" s="37"/>
      <c r="N3074" s="37"/>
      <c r="O3074" s="37"/>
      <c r="P3074" s="37"/>
      <c r="Q3074" s="37"/>
      <c r="R3074" s="37"/>
      <c r="S3074" s="37"/>
      <c r="T3074" s="37"/>
      <c r="U3074" s="37"/>
      <c r="V3074" s="37"/>
      <c r="W3074" s="37"/>
      <c r="X3074" s="37"/>
      <c r="Y3074" s="37"/>
      <c r="Z3074" s="37"/>
      <c r="AA3074" s="37"/>
      <c r="AB3074" s="37"/>
      <c r="AC3074" s="37"/>
      <c r="AD3074" s="37"/>
      <c r="AE3074" s="37"/>
      <c r="AF3074" s="37"/>
      <c r="AG3074" s="37"/>
      <c r="AH3074" s="37"/>
      <c r="AI3074" s="37"/>
      <c r="AJ3074" s="37"/>
      <c r="AK3074" s="37"/>
      <c r="AL3074" s="37"/>
      <c r="AM3074" s="37"/>
      <c r="AN3074" s="37"/>
      <c r="AO3074" s="37"/>
      <c r="AP3074" s="37"/>
      <c r="AQ3074" s="37"/>
      <c r="AR3074" s="37"/>
      <c r="AS3074" s="37"/>
      <c r="AT3074" s="37"/>
      <c r="AU3074" s="37"/>
      <c r="AV3074" s="37"/>
      <c r="AW3074" s="37"/>
      <c r="AX3074" s="37"/>
      <c r="AY3074" s="37"/>
      <c r="AZ3074" s="37"/>
      <c r="BA3074" s="37"/>
      <c r="BB3074" s="37"/>
      <c r="BC3074" s="37"/>
      <c r="BD3074" s="37"/>
      <c r="BE3074" s="37"/>
      <c r="BF3074" s="37"/>
      <c r="BG3074" s="37"/>
      <c r="BH3074" s="37"/>
      <c r="BI3074" s="37"/>
      <c r="BJ3074" s="37"/>
      <c r="BK3074" s="37"/>
      <c r="BL3074" s="37"/>
      <c r="BM3074" s="37"/>
      <c r="BN3074" s="37"/>
      <c r="BO3074" s="37"/>
      <c r="BP3074" s="37"/>
      <c r="BQ3074" s="37"/>
      <c r="BR3074" s="37"/>
      <c r="BS3074" s="37"/>
      <c r="BT3074" s="37"/>
      <c r="BU3074" s="37"/>
      <c r="BV3074" s="37"/>
      <c r="BW3074" s="37"/>
      <c r="BX3074" s="37"/>
      <c r="BY3074" s="37"/>
      <c r="BZ3074" s="37"/>
      <c r="CA3074" s="37"/>
      <c r="CB3074" s="37"/>
      <c r="CC3074" s="37"/>
      <c r="CD3074" s="37"/>
      <c r="CE3074" s="37"/>
      <c r="CF3074" s="37"/>
      <c r="CG3074" s="37"/>
      <c r="CH3074" s="37"/>
      <c r="CI3074" s="37"/>
      <c r="CJ3074" s="37"/>
      <c r="CK3074" s="37"/>
      <c r="CL3074" s="37"/>
      <c r="CM3074" s="37"/>
      <c r="CN3074" s="37"/>
      <c r="CO3074" s="37"/>
      <c r="CP3074" s="37"/>
      <c r="CQ3074" s="37"/>
      <c r="CR3074" s="37"/>
      <c r="CS3074" s="37"/>
      <c r="CT3074" s="37"/>
      <c r="CU3074" s="37"/>
      <c r="CV3074" s="37"/>
      <c r="CW3074" s="37"/>
      <c r="CX3074" s="37"/>
      <c r="CY3074" s="37"/>
      <c r="CZ3074" s="37"/>
      <c r="DA3074" s="37"/>
      <c r="DB3074" s="37"/>
      <c r="DC3074" s="37"/>
      <c r="DD3074" s="37"/>
      <c r="DE3074" s="37"/>
      <c r="DF3074" s="37"/>
      <c r="DG3074" s="37"/>
      <c r="DH3074" s="37"/>
      <c r="DI3074" s="37"/>
      <c r="DJ3074" s="37"/>
      <c r="DK3074" s="37"/>
      <c r="DL3074" s="37"/>
      <c r="DM3074" s="37"/>
      <c r="DN3074" s="37"/>
      <c r="DO3074" s="37"/>
      <c r="DP3074" s="37"/>
      <c r="DQ3074" s="37"/>
      <c r="DR3074" s="37"/>
      <c r="DS3074" s="37"/>
      <c r="DT3074" s="37"/>
      <c r="DU3074" s="37"/>
      <c r="DV3074" s="37"/>
      <c r="DW3074" s="37"/>
      <c r="DX3074" s="37"/>
      <c r="DY3074" s="37"/>
      <c r="DZ3074" s="37"/>
      <c r="EA3074" s="37"/>
      <c r="EB3074" s="37"/>
      <c r="EC3074" s="37"/>
      <c r="ED3074" s="37"/>
      <c r="EE3074" s="37"/>
      <c r="EF3074" s="37"/>
      <c r="EG3074" s="37"/>
      <c r="EH3074" s="37"/>
      <c r="EI3074" s="37"/>
      <c r="EJ3074" s="37"/>
      <c r="EK3074" s="37"/>
      <c r="EL3074" s="37"/>
      <c r="EM3074" s="37"/>
      <c r="EN3074" s="37"/>
      <c r="EO3074" s="37"/>
      <c r="EP3074" s="37"/>
      <c r="EQ3074" s="37"/>
      <c r="ER3074" s="37"/>
      <c r="ES3074" s="37"/>
      <c r="ET3074" s="37"/>
      <c r="EU3074" s="37"/>
      <c r="EV3074" s="37"/>
      <c r="EW3074" s="37"/>
      <c r="EX3074" s="37"/>
      <c r="EY3074" s="37"/>
      <c r="EZ3074" s="37"/>
      <c r="FA3074" s="37"/>
      <c r="FB3074" s="37"/>
      <c r="FC3074" s="37"/>
      <c r="FD3074" s="37"/>
      <c r="FE3074" s="37"/>
      <c r="FF3074" s="37"/>
      <c r="FG3074" s="37"/>
      <c r="FH3074" s="37"/>
      <c r="FI3074" s="37"/>
      <c r="FJ3074" s="37"/>
      <c r="FK3074" s="37"/>
      <c r="FL3074" s="37"/>
      <c r="FM3074" s="37"/>
      <c r="FN3074" s="37"/>
      <c r="FO3074" s="37"/>
      <c r="FP3074" s="37"/>
      <c r="FQ3074" s="37"/>
      <c r="FR3074" s="37"/>
      <c r="FS3074" s="37"/>
      <c r="FT3074" s="37"/>
      <c r="FU3074" s="37"/>
      <c r="FV3074" s="37"/>
      <c r="FW3074" s="37"/>
      <c r="FX3074" s="37"/>
      <c r="FY3074" s="37"/>
      <c r="FZ3074" s="37"/>
      <c r="GA3074" s="37"/>
      <c r="GB3074" s="37"/>
      <c r="GC3074" s="37"/>
      <c r="GD3074" s="37"/>
      <c r="GE3074" s="37"/>
      <c r="GF3074" s="37"/>
      <c r="GG3074" s="37"/>
      <c r="GH3074" s="37"/>
      <c r="GI3074" s="37"/>
      <c r="GJ3074" s="37"/>
      <c r="GK3074" s="37"/>
      <c r="GL3074" s="37"/>
      <c r="GM3074" s="37"/>
      <c r="GN3074" s="37"/>
      <c r="GO3074" s="37"/>
      <c r="GP3074" s="37"/>
      <c r="GQ3074" s="37"/>
      <c r="GR3074" s="37"/>
      <c r="GS3074" s="37"/>
      <c r="GT3074" s="37"/>
      <c r="GU3074" s="37"/>
      <c r="GV3074" s="37"/>
      <c r="GW3074" s="37"/>
      <c r="GX3074" s="37"/>
      <c r="GY3074" s="37"/>
      <c r="GZ3074" s="37"/>
      <c r="HA3074" s="37"/>
      <c r="HB3074" s="37"/>
      <c r="HC3074" s="37"/>
      <c r="HD3074" s="37"/>
      <c r="HE3074" s="37"/>
      <c r="HF3074" s="37"/>
      <c r="HG3074" s="37"/>
      <c r="HH3074" s="37"/>
      <c r="HI3074" s="37"/>
      <c r="HJ3074" s="37"/>
      <c r="HK3074" s="37"/>
      <c r="HL3074" s="37"/>
      <c r="HM3074" s="37"/>
      <c r="HN3074" s="37"/>
      <c r="HO3074" s="37"/>
      <c r="HP3074" s="37"/>
      <c r="HQ3074" s="37"/>
      <c r="HR3074" s="37"/>
      <c r="HS3074" s="37"/>
      <c r="HT3074" s="37"/>
      <c r="HU3074" s="37"/>
      <c r="HV3074" s="37"/>
      <c r="HW3074" s="37"/>
      <c r="HX3074" s="37"/>
      <c r="HY3074" s="37"/>
      <c r="HZ3074" s="37"/>
      <c r="IA3074" s="37"/>
      <c r="IB3074" s="37"/>
      <c r="IC3074" s="37"/>
      <c r="ID3074" s="37"/>
      <c r="IE3074" s="37"/>
      <c r="IF3074" s="37"/>
      <c r="IG3074" s="37"/>
      <c r="IH3074" s="37"/>
      <c r="II3074" s="37"/>
      <c r="IJ3074" s="37"/>
      <c r="IK3074" s="37"/>
      <c r="IL3074" s="37"/>
      <c r="IM3074" s="37"/>
      <c r="IN3074" s="37"/>
      <c r="IO3074" s="37"/>
      <c r="IP3074" s="37"/>
      <c r="IQ3074" s="37"/>
      <c r="IR3074" s="37"/>
      <c r="IS3074" s="37"/>
      <c r="IT3074" s="37"/>
      <c r="IU3074" s="37"/>
      <c r="IV3074" s="37"/>
      <c r="IW3074" s="37"/>
      <c r="IX3074" s="37"/>
      <c r="IY3074" s="37"/>
      <c r="IZ3074" s="37"/>
      <c r="JA3074" s="37"/>
      <c r="JB3074" s="37"/>
      <c r="JC3074" s="37"/>
      <c r="JD3074" s="37"/>
      <c r="JE3074" s="37"/>
      <c r="JF3074" s="37"/>
      <c r="JG3074" s="37"/>
      <c r="JH3074" s="37"/>
      <c r="JI3074" s="37"/>
      <c r="JJ3074" s="37"/>
      <c r="JK3074" s="37"/>
      <c r="JL3074" s="37"/>
      <c r="JM3074" s="37"/>
      <c r="JN3074" s="37"/>
      <c r="JO3074" s="37"/>
      <c r="JP3074" s="37"/>
      <c r="JQ3074" s="37"/>
      <c r="JR3074" s="37"/>
      <c r="JS3074" s="37"/>
      <c r="JT3074" s="37"/>
      <c r="JU3074" s="37"/>
      <c r="JV3074" s="37"/>
      <c r="JW3074" s="37"/>
      <c r="JX3074" s="37"/>
      <c r="JY3074" s="37"/>
      <c r="JZ3074" s="37"/>
      <c r="KA3074" s="37"/>
      <c r="KB3074" s="37"/>
      <c r="KC3074" s="37"/>
      <c r="KD3074" s="37"/>
      <c r="KE3074" s="37"/>
      <c r="KF3074" s="37"/>
      <c r="KG3074" s="37"/>
      <c r="KH3074" s="37"/>
      <c r="KI3074" s="37"/>
      <c r="KJ3074" s="37"/>
      <c r="KK3074" s="37"/>
      <c r="KL3074" s="37"/>
      <c r="KM3074" s="37"/>
      <c r="KN3074" s="37"/>
      <c r="KO3074" s="37"/>
      <c r="KP3074" s="37"/>
      <c r="KQ3074" s="37"/>
      <c r="KR3074" s="37"/>
      <c r="KS3074" s="37"/>
      <c r="KT3074" s="37"/>
      <c r="KU3074" s="37"/>
      <c r="KV3074" s="37"/>
      <c r="KW3074" s="37"/>
      <c r="KX3074" s="37"/>
      <c r="KY3074" s="37"/>
      <c r="KZ3074" s="37"/>
      <c r="LA3074" s="37"/>
      <c r="LB3074" s="37"/>
      <c r="LC3074" s="37"/>
      <c r="LD3074" s="37"/>
      <c r="LE3074" s="37"/>
      <c r="LF3074" s="37"/>
      <c r="LG3074" s="37"/>
      <c r="LH3074" s="37"/>
      <c r="LI3074" s="37"/>
      <c r="LJ3074" s="37"/>
      <c r="LK3074" s="37"/>
      <c r="LL3074" s="37"/>
      <c r="LM3074" s="37"/>
      <c r="LN3074" s="37"/>
      <c r="LO3074" s="37"/>
      <c r="LP3074" s="37"/>
      <c r="LQ3074" s="37"/>
      <c r="LR3074" s="37"/>
      <c r="LS3074" s="37"/>
      <c r="LT3074" s="37"/>
      <c r="LU3074" s="37"/>
      <c r="LV3074" s="37"/>
      <c r="LW3074" s="37"/>
      <c r="LX3074" s="37"/>
      <c r="LY3074" s="37"/>
      <c r="LZ3074" s="37"/>
      <c r="MA3074" s="37"/>
      <c r="MB3074" s="37"/>
      <c r="MC3074" s="37"/>
      <c r="MD3074" s="37"/>
      <c r="ME3074" s="37"/>
      <c r="MF3074" s="37"/>
      <c r="MG3074" s="37"/>
      <c r="MH3074" s="37"/>
      <c r="MI3074" s="37"/>
      <c r="MJ3074" s="37"/>
      <c r="MK3074" s="37"/>
      <c r="ML3074" s="37"/>
      <c r="MM3074" s="37"/>
      <c r="MN3074" s="37"/>
      <c r="MO3074" s="37"/>
      <c r="MP3074" s="37"/>
      <c r="MQ3074" s="37"/>
      <c r="MR3074" s="37"/>
      <c r="MS3074" s="37"/>
      <c r="MT3074" s="37"/>
      <c r="MU3074" s="37"/>
      <c r="MV3074" s="37"/>
      <c r="MW3074" s="37"/>
      <c r="MX3074" s="37"/>
      <c r="MY3074" s="37"/>
      <c r="MZ3074" s="37"/>
      <c r="NA3074" s="37"/>
      <c r="NB3074" s="37"/>
      <c r="NC3074" s="37"/>
      <c r="ND3074" s="37"/>
      <c r="NE3074" s="37"/>
      <c r="NF3074" s="37"/>
      <c r="NG3074" s="37"/>
      <c r="NH3074" s="37"/>
      <c r="NI3074" s="37"/>
      <c r="NJ3074" s="37"/>
      <c r="NK3074" s="37"/>
      <c r="NL3074" s="37"/>
      <c r="NM3074" s="37"/>
      <c r="NN3074" s="37"/>
      <c r="NO3074" s="37"/>
      <c r="NP3074" s="37"/>
      <c r="NQ3074" s="37"/>
      <c r="NR3074" s="37"/>
      <c r="NS3074" s="37"/>
      <c r="NT3074" s="37"/>
      <c r="NU3074" s="37"/>
      <c r="NV3074" s="37"/>
      <c r="NW3074" s="37"/>
      <c r="NX3074" s="37"/>
      <c r="NY3074" s="37"/>
      <c r="NZ3074" s="37"/>
      <c r="OA3074" s="37"/>
      <c r="OB3074" s="37"/>
      <c r="OC3074" s="37"/>
      <c r="OD3074" s="37"/>
      <c r="OE3074" s="37"/>
      <c r="OF3074" s="37"/>
      <c r="OG3074" s="37"/>
      <c r="OH3074" s="37"/>
      <c r="OI3074" s="37"/>
      <c r="OJ3074" s="37"/>
      <c r="OK3074" s="37"/>
      <c r="OL3074" s="37"/>
      <c r="OM3074" s="37"/>
      <c r="ON3074" s="37"/>
      <c r="OO3074" s="37"/>
      <c r="OP3074" s="37"/>
      <c r="OQ3074" s="37"/>
      <c r="OR3074" s="37"/>
      <c r="OS3074" s="37"/>
      <c r="OT3074" s="37"/>
      <c r="OU3074" s="37"/>
      <c r="OV3074" s="37"/>
      <c r="OW3074" s="37"/>
      <c r="OX3074" s="37"/>
      <c r="OY3074" s="37"/>
      <c r="OZ3074" s="37"/>
      <c r="PA3074" s="37"/>
      <c r="PB3074" s="37"/>
      <c r="PC3074" s="37"/>
      <c r="PD3074" s="37"/>
      <c r="PE3074" s="37"/>
      <c r="PF3074" s="37"/>
      <c r="PG3074" s="37"/>
      <c r="PH3074" s="37"/>
      <c r="PI3074" s="37"/>
      <c r="PJ3074" s="37"/>
      <c r="PK3074" s="37"/>
      <c r="PL3074" s="37"/>
      <c r="PM3074" s="37"/>
      <c r="PN3074" s="37"/>
      <c r="PO3074" s="37"/>
      <c r="PP3074" s="37"/>
      <c r="PQ3074" s="37"/>
      <c r="PR3074" s="37"/>
      <c r="PS3074" s="37"/>
      <c r="PT3074" s="37"/>
      <c r="PU3074" s="37"/>
      <c r="PV3074" s="37"/>
      <c r="PW3074" s="37"/>
      <c r="PX3074" s="37"/>
      <c r="PY3074" s="37"/>
      <c r="PZ3074" s="37"/>
      <c r="QA3074" s="37"/>
      <c r="QB3074" s="37"/>
      <c r="QC3074" s="37"/>
      <c r="QD3074" s="37"/>
      <c r="QE3074" s="37"/>
      <c r="QF3074" s="37"/>
      <c r="QG3074" s="37"/>
      <c r="QH3074" s="37"/>
      <c r="QI3074" s="37"/>
      <c r="QJ3074" s="37"/>
      <c r="QK3074" s="37"/>
      <c r="QL3074" s="37"/>
      <c r="QM3074" s="37"/>
      <c r="QN3074" s="37"/>
      <c r="QO3074" s="37"/>
      <c r="QP3074" s="37"/>
      <c r="QQ3074" s="37"/>
      <c r="QR3074" s="37"/>
      <c r="QS3074" s="37"/>
      <c r="QT3074" s="37"/>
      <c r="QU3074" s="37"/>
      <c r="QV3074" s="37"/>
      <c r="QW3074" s="37"/>
      <c r="QX3074" s="37"/>
      <c r="QY3074" s="37"/>
      <c r="QZ3074" s="37"/>
      <c r="RA3074" s="37"/>
      <c r="RB3074" s="37"/>
      <c r="RC3074" s="37"/>
      <c r="RD3074" s="37"/>
      <c r="RE3074" s="37"/>
      <c r="RF3074" s="37"/>
      <c r="RG3074" s="37"/>
      <c r="RH3074" s="37"/>
      <c r="RI3074" s="37"/>
      <c r="RJ3074" s="37"/>
      <c r="RK3074" s="37"/>
      <c r="RL3074" s="37"/>
      <c r="RM3074" s="37"/>
      <c r="RN3074" s="37"/>
      <c r="RO3074" s="37"/>
      <c r="RP3074" s="37"/>
      <c r="RQ3074" s="37"/>
      <c r="RR3074" s="37"/>
      <c r="RS3074" s="37"/>
      <c r="RT3074" s="37"/>
      <c r="RU3074" s="37"/>
      <c r="RV3074" s="37"/>
      <c r="RW3074" s="37"/>
      <c r="RX3074" s="37"/>
      <c r="RY3074" s="37"/>
      <c r="RZ3074" s="37"/>
      <c r="SA3074" s="37"/>
      <c r="SB3074" s="37"/>
      <c r="SC3074" s="37"/>
      <c r="SD3074" s="37"/>
      <c r="SE3074" s="37"/>
      <c r="SF3074" s="37"/>
    </row>
    <row r="3075" spans="1:500">
      <c r="A3075" s="37"/>
      <c r="B3075" s="37"/>
      <c r="C3075" s="37"/>
      <c r="D3075" s="37"/>
      <c r="E3075" s="37"/>
      <c r="F3075" s="37"/>
      <c r="G3075" s="37"/>
      <c r="H3075" s="37"/>
      <c r="I3075" s="37"/>
      <c r="J3075" s="37"/>
      <c r="K3075" s="37"/>
      <c r="L3075" s="37"/>
      <c r="M3075" s="37"/>
      <c r="N3075" s="37"/>
      <c r="O3075" s="37"/>
      <c r="P3075" s="37"/>
      <c r="Q3075" s="37"/>
      <c r="R3075" s="37"/>
      <c r="S3075" s="37"/>
      <c r="T3075" s="37"/>
      <c r="U3075" s="37"/>
      <c r="V3075" s="37"/>
      <c r="W3075" s="37"/>
      <c r="X3075" s="37"/>
      <c r="Y3075" s="37"/>
      <c r="Z3075" s="37"/>
      <c r="AA3075" s="37"/>
      <c r="AB3075" s="37"/>
      <c r="AC3075" s="37"/>
      <c r="AD3075" s="37"/>
      <c r="AE3075" s="37"/>
      <c r="AF3075" s="37"/>
      <c r="AG3075" s="37"/>
      <c r="AH3075" s="37"/>
      <c r="AI3075" s="37"/>
      <c r="AJ3075" s="37"/>
      <c r="AK3075" s="37"/>
      <c r="AL3075" s="37"/>
      <c r="AM3075" s="37"/>
      <c r="AN3075" s="37"/>
      <c r="AO3075" s="37"/>
      <c r="AP3075" s="37"/>
      <c r="AQ3075" s="37"/>
      <c r="AR3075" s="37"/>
      <c r="AS3075" s="37"/>
      <c r="AT3075" s="37"/>
      <c r="AU3075" s="37"/>
      <c r="AV3075" s="37"/>
      <c r="AW3075" s="37"/>
      <c r="AX3075" s="37"/>
      <c r="AY3075" s="37"/>
      <c r="AZ3075" s="37"/>
      <c r="BA3075" s="37"/>
      <c r="BB3075" s="37"/>
      <c r="BC3075" s="37"/>
      <c r="BD3075" s="37"/>
      <c r="BE3075" s="37"/>
      <c r="BF3075" s="37"/>
      <c r="BG3075" s="37"/>
      <c r="BH3075" s="37"/>
      <c r="BI3075" s="37"/>
      <c r="BJ3075" s="37"/>
      <c r="BK3075" s="37"/>
      <c r="BL3075" s="37"/>
      <c r="BM3075" s="37"/>
      <c r="BN3075" s="37"/>
      <c r="BO3075" s="37"/>
      <c r="BP3075" s="37"/>
      <c r="BQ3075" s="37"/>
      <c r="BR3075" s="37"/>
      <c r="BS3075" s="37"/>
      <c r="BT3075" s="37"/>
      <c r="BU3075" s="37"/>
      <c r="BV3075" s="37"/>
      <c r="BW3075" s="37"/>
      <c r="BX3075" s="37"/>
      <c r="BY3075" s="37"/>
      <c r="BZ3075" s="37"/>
      <c r="CA3075" s="37"/>
      <c r="CB3075" s="37"/>
      <c r="CC3075" s="37"/>
      <c r="CD3075" s="37"/>
      <c r="CE3075" s="37"/>
      <c r="CF3075" s="37"/>
      <c r="CG3075" s="37"/>
      <c r="CH3075" s="37"/>
      <c r="CI3075" s="37"/>
      <c r="CJ3075" s="37"/>
      <c r="CK3075" s="37"/>
      <c r="CL3075" s="37"/>
      <c r="CM3075" s="37"/>
      <c r="CN3075" s="37"/>
      <c r="CO3075" s="37"/>
      <c r="CP3075" s="37"/>
      <c r="CQ3075" s="37"/>
      <c r="CR3075" s="37"/>
      <c r="CS3075" s="37"/>
      <c r="CT3075" s="37"/>
      <c r="CU3075" s="37"/>
      <c r="CV3075" s="37"/>
      <c r="CW3075" s="37"/>
      <c r="CX3075" s="37"/>
      <c r="CY3075" s="37"/>
      <c r="CZ3075" s="37"/>
      <c r="DA3075" s="37"/>
      <c r="DB3075" s="37"/>
      <c r="DC3075" s="37"/>
      <c r="DD3075" s="37"/>
      <c r="DE3075" s="37"/>
      <c r="DF3075" s="37"/>
      <c r="DG3075" s="37"/>
      <c r="DH3075" s="37"/>
      <c r="DI3075" s="37"/>
      <c r="DJ3075" s="37"/>
      <c r="DK3075" s="37"/>
      <c r="DL3075" s="37"/>
      <c r="DM3075" s="37"/>
      <c r="DN3075" s="37"/>
      <c r="DO3075" s="37"/>
      <c r="DP3075" s="37"/>
      <c r="DQ3075" s="37"/>
      <c r="DR3075" s="37"/>
      <c r="DS3075" s="37"/>
      <c r="DT3075" s="37"/>
      <c r="DU3075" s="37"/>
      <c r="DV3075" s="37"/>
      <c r="DW3075" s="37"/>
      <c r="DX3075" s="37"/>
      <c r="DY3075" s="37"/>
      <c r="DZ3075" s="37"/>
      <c r="EA3075" s="37"/>
      <c r="EB3075" s="37"/>
      <c r="EC3075" s="37"/>
      <c r="ED3075" s="37"/>
      <c r="EE3075" s="37"/>
      <c r="EF3075" s="37"/>
      <c r="EG3075" s="37"/>
      <c r="EH3075" s="37"/>
      <c r="EI3075" s="37"/>
      <c r="EJ3075" s="37"/>
      <c r="EK3075" s="37"/>
      <c r="EL3075" s="37"/>
      <c r="EM3075" s="37"/>
      <c r="EN3075" s="37"/>
      <c r="EO3075" s="37"/>
      <c r="EP3075" s="37"/>
      <c r="EQ3075" s="37"/>
      <c r="ER3075" s="37"/>
      <c r="ES3075" s="37"/>
      <c r="ET3075" s="37"/>
      <c r="EU3075" s="37"/>
      <c r="EV3075" s="37"/>
      <c r="EW3075" s="37"/>
      <c r="EX3075" s="37"/>
      <c r="EY3075" s="37"/>
      <c r="EZ3075" s="37"/>
      <c r="FA3075" s="37"/>
      <c r="FB3075" s="37"/>
      <c r="FC3075" s="37"/>
      <c r="FD3075" s="37"/>
      <c r="FE3075" s="37"/>
      <c r="FF3075" s="37"/>
      <c r="FG3075" s="37"/>
      <c r="FH3075" s="37"/>
      <c r="FI3075" s="37"/>
      <c r="FJ3075" s="37"/>
      <c r="FK3075" s="37"/>
      <c r="FL3075" s="37"/>
      <c r="FM3075" s="37"/>
      <c r="FN3075" s="37"/>
      <c r="FO3075" s="37"/>
      <c r="FP3075" s="37"/>
      <c r="FQ3075" s="37"/>
      <c r="FR3075" s="37"/>
      <c r="FS3075" s="37"/>
      <c r="FT3075" s="37"/>
      <c r="FU3075" s="37"/>
      <c r="FV3075" s="37"/>
      <c r="FW3075" s="37"/>
      <c r="FX3075" s="37"/>
      <c r="FY3075" s="37"/>
      <c r="FZ3075" s="37"/>
      <c r="GA3075" s="37"/>
      <c r="GB3075" s="37"/>
      <c r="GC3075" s="37"/>
      <c r="GD3075" s="37"/>
      <c r="GE3075" s="37"/>
      <c r="GF3075" s="37"/>
      <c r="GG3075" s="37"/>
      <c r="GH3075" s="37"/>
      <c r="GI3075" s="37"/>
      <c r="GJ3075" s="37"/>
      <c r="GK3075" s="37"/>
      <c r="GL3075" s="37"/>
      <c r="GM3075" s="37"/>
      <c r="GN3075" s="37"/>
      <c r="GO3075" s="37"/>
      <c r="GP3075" s="37"/>
      <c r="GQ3075" s="37"/>
      <c r="GR3075" s="37"/>
      <c r="GS3075" s="37"/>
      <c r="GT3075" s="37"/>
      <c r="GU3075" s="37"/>
      <c r="GV3075" s="37"/>
      <c r="GW3075" s="37"/>
      <c r="GX3075" s="37"/>
      <c r="GY3075" s="37"/>
      <c r="GZ3075" s="37"/>
      <c r="HA3075" s="37"/>
      <c r="HB3075" s="37"/>
      <c r="HC3075" s="37"/>
      <c r="HD3075" s="37"/>
      <c r="HE3075" s="37"/>
      <c r="HF3075" s="37"/>
      <c r="HG3075" s="37"/>
      <c r="HH3075" s="37"/>
      <c r="HI3075" s="37"/>
      <c r="HJ3075" s="37"/>
      <c r="HK3075" s="37"/>
      <c r="HL3075" s="37"/>
      <c r="HM3075" s="37"/>
      <c r="HN3075" s="37"/>
      <c r="HO3075" s="37"/>
      <c r="HP3075" s="37"/>
      <c r="HQ3075" s="37"/>
      <c r="HR3075" s="37"/>
      <c r="HS3075" s="37"/>
      <c r="HT3075" s="37"/>
      <c r="HU3075" s="37"/>
      <c r="HV3075" s="37"/>
      <c r="HW3075" s="37"/>
      <c r="HX3075" s="37"/>
      <c r="HY3075" s="37"/>
      <c r="HZ3075" s="37"/>
      <c r="IA3075" s="37"/>
      <c r="IB3075" s="37"/>
      <c r="IC3075" s="37"/>
      <c r="ID3075" s="37"/>
      <c r="IE3075" s="37"/>
      <c r="IF3075" s="37"/>
      <c r="IG3075" s="37"/>
      <c r="IH3075" s="37"/>
      <c r="II3075" s="37"/>
      <c r="IJ3075" s="37"/>
      <c r="IK3075" s="37"/>
      <c r="IL3075" s="37"/>
      <c r="IM3075" s="37"/>
      <c r="IN3075" s="37"/>
      <c r="IO3075" s="37"/>
      <c r="IP3075" s="37"/>
      <c r="IQ3075" s="37"/>
      <c r="IR3075" s="37"/>
      <c r="IS3075" s="37"/>
      <c r="IT3075" s="37"/>
      <c r="IU3075" s="37"/>
      <c r="IV3075" s="37"/>
      <c r="IW3075" s="37"/>
      <c r="IX3075" s="37"/>
      <c r="IY3075" s="37"/>
      <c r="IZ3075" s="37"/>
      <c r="JA3075" s="37"/>
      <c r="JB3075" s="37"/>
      <c r="JC3075" s="37"/>
      <c r="JD3075" s="37"/>
      <c r="JE3075" s="37"/>
      <c r="JF3075" s="37"/>
      <c r="JG3075" s="37"/>
      <c r="JH3075" s="37"/>
      <c r="JI3075" s="37"/>
      <c r="JJ3075" s="37"/>
      <c r="JK3075" s="37"/>
      <c r="JL3075" s="37"/>
      <c r="JM3075" s="37"/>
      <c r="JN3075" s="37"/>
      <c r="JO3075" s="37"/>
      <c r="JP3075" s="37"/>
      <c r="JQ3075" s="37"/>
      <c r="JR3075" s="37"/>
      <c r="JS3075" s="37"/>
      <c r="JT3075" s="37"/>
      <c r="JU3075" s="37"/>
      <c r="JV3075" s="37"/>
      <c r="JW3075" s="37"/>
      <c r="JX3075" s="37"/>
      <c r="JY3075" s="37"/>
      <c r="JZ3075" s="37"/>
      <c r="KA3075" s="37"/>
      <c r="KB3075" s="37"/>
      <c r="KC3075" s="37"/>
      <c r="KD3075" s="37"/>
      <c r="KE3075" s="37"/>
      <c r="KF3075" s="37"/>
      <c r="KG3075" s="37"/>
      <c r="KH3075" s="37"/>
      <c r="KI3075" s="37"/>
      <c r="KJ3075" s="37"/>
      <c r="KK3075" s="37"/>
      <c r="KL3075" s="37"/>
      <c r="KM3075" s="37"/>
      <c r="KN3075" s="37"/>
      <c r="KO3075" s="37"/>
      <c r="KP3075" s="37"/>
      <c r="KQ3075" s="37"/>
      <c r="KR3075" s="37"/>
      <c r="KS3075" s="37"/>
      <c r="KT3075" s="37"/>
      <c r="KU3075" s="37"/>
      <c r="KV3075" s="37"/>
      <c r="KW3075" s="37"/>
      <c r="KX3075" s="37"/>
      <c r="KY3075" s="37"/>
      <c r="KZ3075" s="37"/>
      <c r="LA3075" s="37"/>
      <c r="LB3075" s="37"/>
      <c r="LC3075" s="37"/>
      <c r="LD3075" s="37"/>
      <c r="LE3075" s="37"/>
      <c r="LF3075" s="37"/>
      <c r="LG3075" s="37"/>
      <c r="LH3075" s="37"/>
      <c r="LI3075" s="37"/>
      <c r="LJ3075" s="37"/>
      <c r="LK3075" s="37"/>
      <c r="LL3075" s="37"/>
      <c r="LM3075" s="37"/>
      <c r="LN3075" s="37"/>
      <c r="LO3075" s="37"/>
      <c r="LP3075" s="37"/>
      <c r="LQ3075" s="37"/>
      <c r="LR3075" s="37"/>
      <c r="LS3075" s="37"/>
      <c r="LT3075" s="37"/>
      <c r="LU3075" s="37"/>
      <c r="LV3075" s="37"/>
      <c r="LW3075" s="37"/>
      <c r="LX3075" s="37"/>
      <c r="LY3075" s="37"/>
      <c r="LZ3075" s="37"/>
      <c r="MA3075" s="37"/>
      <c r="MB3075" s="37"/>
      <c r="MC3075" s="37"/>
      <c r="MD3075" s="37"/>
      <c r="ME3075" s="37"/>
      <c r="MF3075" s="37"/>
      <c r="MG3075" s="37"/>
      <c r="MH3075" s="37"/>
      <c r="MI3075" s="37"/>
      <c r="MJ3075" s="37"/>
      <c r="MK3075" s="37"/>
      <c r="ML3075" s="37"/>
      <c r="MM3075" s="37"/>
      <c r="MN3075" s="37"/>
      <c r="MO3075" s="37"/>
      <c r="MP3075" s="37"/>
      <c r="MQ3075" s="37"/>
      <c r="MR3075" s="37"/>
      <c r="MS3075" s="37"/>
      <c r="MT3075" s="37"/>
      <c r="MU3075" s="37"/>
      <c r="MV3075" s="37"/>
      <c r="MW3075" s="37"/>
      <c r="MX3075" s="37"/>
      <c r="MY3075" s="37"/>
      <c r="MZ3075" s="37"/>
      <c r="NA3075" s="37"/>
      <c r="NB3075" s="37"/>
      <c r="NC3075" s="37"/>
      <c r="ND3075" s="37"/>
      <c r="NE3075" s="37"/>
      <c r="NF3075" s="37"/>
      <c r="NG3075" s="37"/>
      <c r="NH3075" s="37"/>
      <c r="NI3075" s="37"/>
      <c r="NJ3075" s="37"/>
      <c r="NK3075" s="37"/>
      <c r="NL3075" s="37"/>
      <c r="NM3075" s="37"/>
      <c r="NN3075" s="37"/>
      <c r="NO3075" s="37"/>
      <c r="NP3075" s="37"/>
      <c r="NQ3075" s="37"/>
      <c r="NR3075" s="37"/>
      <c r="NS3075" s="37"/>
      <c r="NT3075" s="37"/>
      <c r="NU3075" s="37"/>
      <c r="NV3075" s="37"/>
      <c r="NW3075" s="37"/>
      <c r="NX3075" s="37"/>
      <c r="NY3075" s="37"/>
      <c r="NZ3075" s="37"/>
      <c r="OA3075" s="37"/>
      <c r="OB3075" s="37"/>
      <c r="OC3075" s="37"/>
      <c r="OD3075" s="37"/>
      <c r="OE3075" s="37"/>
      <c r="OF3075" s="37"/>
      <c r="OG3075" s="37"/>
      <c r="OH3075" s="37"/>
      <c r="OI3075" s="37"/>
      <c r="OJ3075" s="37"/>
      <c r="OK3075" s="37"/>
      <c r="OL3075" s="37"/>
      <c r="OM3075" s="37"/>
      <c r="ON3075" s="37"/>
      <c r="OO3075" s="37"/>
      <c r="OP3075" s="37"/>
      <c r="OQ3075" s="37"/>
      <c r="OR3075" s="37"/>
      <c r="OS3075" s="37"/>
      <c r="OT3075" s="37"/>
      <c r="OU3075" s="37"/>
      <c r="OV3075" s="37"/>
      <c r="OW3075" s="37"/>
      <c r="OX3075" s="37"/>
      <c r="OY3075" s="37"/>
      <c r="OZ3075" s="37"/>
      <c r="PA3075" s="37"/>
      <c r="PB3075" s="37"/>
      <c r="PC3075" s="37"/>
      <c r="PD3075" s="37"/>
      <c r="PE3075" s="37"/>
      <c r="PF3075" s="37"/>
      <c r="PG3075" s="37"/>
      <c r="PH3075" s="37"/>
      <c r="PI3075" s="37"/>
      <c r="PJ3075" s="37"/>
      <c r="PK3075" s="37"/>
      <c r="PL3075" s="37"/>
      <c r="PM3075" s="37"/>
      <c r="PN3075" s="37"/>
      <c r="PO3075" s="37"/>
      <c r="PP3075" s="37"/>
      <c r="PQ3075" s="37"/>
      <c r="PR3075" s="37"/>
      <c r="PS3075" s="37"/>
      <c r="PT3075" s="37"/>
      <c r="PU3075" s="37"/>
      <c r="PV3075" s="37"/>
      <c r="PW3075" s="37"/>
      <c r="PX3075" s="37"/>
      <c r="PY3075" s="37"/>
      <c r="PZ3075" s="37"/>
      <c r="QA3075" s="37"/>
      <c r="QB3075" s="37"/>
      <c r="QC3075" s="37"/>
      <c r="QD3075" s="37"/>
      <c r="QE3075" s="37"/>
      <c r="QF3075" s="37"/>
      <c r="QG3075" s="37"/>
      <c r="QH3075" s="37"/>
      <c r="QI3075" s="37"/>
      <c r="QJ3075" s="37"/>
      <c r="QK3075" s="37"/>
      <c r="QL3075" s="37"/>
      <c r="QM3075" s="37"/>
      <c r="QN3075" s="37"/>
      <c r="QO3075" s="37"/>
      <c r="QP3075" s="37"/>
      <c r="QQ3075" s="37"/>
      <c r="QR3075" s="37"/>
      <c r="QS3075" s="37"/>
      <c r="QT3075" s="37"/>
      <c r="QU3075" s="37"/>
      <c r="QV3075" s="37"/>
      <c r="QW3075" s="37"/>
      <c r="QX3075" s="37"/>
      <c r="QY3075" s="37"/>
      <c r="QZ3075" s="37"/>
      <c r="RA3075" s="37"/>
      <c r="RB3075" s="37"/>
      <c r="RC3075" s="37"/>
      <c r="RD3075" s="37"/>
      <c r="RE3075" s="37"/>
      <c r="RF3075" s="37"/>
      <c r="RG3075" s="37"/>
      <c r="RH3075" s="37"/>
      <c r="RI3075" s="37"/>
      <c r="RJ3075" s="37"/>
      <c r="RK3075" s="37"/>
      <c r="RL3075" s="37"/>
      <c r="RM3075" s="37"/>
      <c r="RN3075" s="37"/>
      <c r="RO3075" s="37"/>
      <c r="RP3075" s="37"/>
      <c r="RQ3075" s="37"/>
      <c r="RR3075" s="37"/>
      <c r="RS3075" s="37"/>
      <c r="RT3075" s="37"/>
      <c r="RU3075" s="37"/>
      <c r="RV3075" s="37"/>
      <c r="RW3075" s="37"/>
      <c r="RX3075" s="37"/>
      <c r="RY3075" s="37"/>
      <c r="RZ3075" s="37"/>
      <c r="SA3075" s="37"/>
      <c r="SB3075" s="37"/>
      <c r="SC3075" s="37"/>
      <c r="SD3075" s="37"/>
      <c r="SE3075" s="37"/>
      <c r="SF3075" s="37"/>
    </row>
    <row r="3076" spans="1:500">
      <c r="A3076" s="37"/>
      <c r="B3076" s="37"/>
      <c r="C3076" s="37"/>
      <c r="D3076" s="37"/>
      <c r="E3076" s="37"/>
      <c r="F3076" s="37"/>
      <c r="G3076" s="37"/>
      <c r="H3076" s="37"/>
      <c r="I3076" s="37"/>
      <c r="J3076" s="37"/>
      <c r="K3076" s="37"/>
      <c r="L3076" s="37"/>
      <c r="M3076" s="37"/>
      <c r="N3076" s="37"/>
      <c r="O3076" s="37"/>
      <c r="P3076" s="37"/>
      <c r="Q3076" s="37"/>
      <c r="R3076" s="37"/>
      <c r="S3076" s="37"/>
      <c r="T3076" s="37"/>
      <c r="U3076" s="37"/>
      <c r="V3076" s="37"/>
      <c r="W3076" s="37"/>
      <c r="X3076" s="37"/>
      <c r="Y3076" s="37"/>
      <c r="Z3076" s="37"/>
      <c r="AA3076" s="37"/>
      <c r="AB3076" s="37"/>
      <c r="AC3076" s="37"/>
      <c r="AD3076" s="37"/>
      <c r="AE3076" s="37"/>
      <c r="AF3076" s="37"/>
      <c r="AG3076" s="37"/>
      <c r="AH3076" s="37"/>
      <c r="AI3076" s="37"/>
      <c r="AJ3076" s="37"/>
      <c r="AK3076" s="37"/>
      <c r="AL3076" s="37"/>
      <c r="AM3076" s="37"/>
      <c r="AN3076" s="37"/>
      <c r="AO3076" s="37"/>
      <c r="AP3076" s="37"/>
      <c r="AQ3076" s="37"/>
      <c r="AR3076" s="37"/>
      <c r="AS3076" s="37"/>
      <c r="AT3076" s="37"/>
      <c r="AU3076" s="37"/>
      <c r="AV3076" s="37"/>
      <c r="AW3076" s="37"/>
      <c r="AX3076" s="37"/>
      <c r="AY3076" s="37"/>
      <c r="AZ3076" s="37"/>
      <c r="BA3076" s="37"/>
      <c r="BB3076" s="37"/>
      <c r="BC3076" s="37"/>
      <c r="BD3076" s="37"/>
      <c r="BE3076" s="37"/>
      <c r="BF3076" s="37"/>
      <c r="BG3076" s="37"/>
      <c r="BH3076" s="37"/>
      <c r="BI3076" s="37"/>
      <c r="BJ3076" s="37"/>
      <c r="BK3076" s="37"/>
      <c r="BL3076" s="37"/>
      <c r="BM3076" s="37"/>
      <c r="BN3076" s="37"/>
      <c r="BO3076" s="37"/>
      <c r="BP3076" s="37"/>
      <c r="BQ3076" s="37"/>
      <c r="BR3076" s="37"/>
      <c r="BS3076" s="37"/>
      <c r="BT3076" s="37"/>
      <c r="BU3076" s="37"/>
      <c r="BV3076" s="37"/>
      <c r="BW3076" s="37"/>
      <c r="BX3076" s="37"/>
      <c r="BY3076" s="37"/>
      <c r="BZ3076" s="37"/>
      <c r="CA3076" s="37"/>
      <c r="CB3076" s="37"/>
      <c r="CC3076" s="37"/>
      <c r="CD3076" s="37"/>
      <c r="CE3076" s="37"/>
      <c r="CF3076" s="37"/>
      <c r="CG3076" s="37"/>
      <c r="CH3076" s="37"/>
      <c r="CI3076" s="37"/>
      <c r="CJ3076" s="37"/>
      <c r="CK3076" s="37"/>
      <c r="CL3076" s="37"/>
      <c r="CM3076" s="37"/>
      <c r="CN3076" s="37"/>
      <c r="CO3076" s="37"/>
      <c r="CP3076" s="37"/>
      <c r="CQ3076" s="37"/>
      <c r="CR3076" s="37"/>
      <c r="CS3076" s="37"/>
      <c r="CT3076" s="37"/>
      <c r="CU3076" s="37"/>
      <c r="CV3076" s="37"/>
      <c r="CW3076" s="37"/>
      <c r="CX3076" s="37"/>
      <c r="CY3076" s="37"/>
      <c r="CZ3076" s="37"/>
      <c r="DA3076" s="37"/>
      <c r="DB3076" s="37"/>
      <c r="DC3076" s="37"/>
      <c r="DD3076" s="37"/>
      <c r="DE3076" s="37"/>
      <c r="DF3076" s="37"/>
      <c r="DG3076" s="37"/>
      <c r="DH3076" s="37"/>
      <c r="DI3076" s="37"/>
      <c r="DJ3076" s="37"/>
      <c r="DK3076" s="37"/>
      <c r="DL3076" s="37"/>
      <c r="DM3076" s="37"/>
      <c r="DN3076" s="37"/>
      <c r="DO3076" s="37"/>
      <c r="DP3076" s="37"/>
      <c r="DQ3076" s="37"/>
      <c r="DR3076" s="37"/>
      <c r="DS3076" s="37"/>
      <c r="DT3076" s="37"/>
      <c r="DU3076" s="37"/>
      <c r="DV3076" s="37"/>
      <c r="DW3076" s="37"/>
      <c r="DX3076" s="37"/>
      <c r="DY3076" s="37"/>
      <c r="DZ3076" s="37"/>
      <c r="EA3076" s="37"/>
      <c r="EB3076" s="37"/>
      <c r="EC3076" s="37"/>
      <c r="ED3076" s="37"/>
      <c r="EE3076" s="37"/>
      <c r="EF3076" s="37"/>
      <c r="EG3076" s="37"/>
      <c r="EH3076" s="37"/>
      <c r="EI3076" s="37"/>
      <c r="EJ3076" s="37"/>
      <c r="EK3076" s="37"/>
      <c r="EL3076" s="37"/>
      <c r="EM3076" s="37"/>
      <c r="EN3076" s="37"/>
      <c r="EO3076" s="37"/>
      <c r="EP3076" s="37"/>
      <c r="EQ3076" s="37"/>
      <c r="ER3076" s="37"/>
      <c r="ES3076" s="37"/>
      <c r="ET3076" s="37"/>
      <c r="EU3076" s="37"/>
      <c r="EV3076" s="37"/>
      <c r="EW3076" s="37"/>
      <c r="EX3076" s="37"/>
      <c r="EY3076" s="37"/>
      <c r="EZ3076" s="37"/>
      <c r="FA3076" s="37"/>
      <c r="FB3076" s="37"/>
      <c r="FC3076" s="37"/>
      <c r="FD3076" s="37"/>
      <c r="FE3076" s="37"/>
      <c r="FF3076" s="37"/>
      <c r="FG3076" s="37"/>
      <c r="FH3076" s="37"/>
      <c r="FI3076" s="37"/>
      <c r="FJ3076" s="37"/>
      <c r="FK3076" s="37"/>
      <c r="FL3076" s="37"/>
      <c r="FM3076" s="37"/>
      <c r="FN3076" s="37"/>
      <c r="FO3076" s="37"/>
      <c r="FP3076" s="37"/>
      <c r="FQ3076" s="37"/>
      <c r="FR3076" s="37"/>
      <c r="FS3076" s="37"/>
      <c r="FT3076" s="37"/>
      <c r="FU3076" s="37"/>
      <c r="FV3076" s="37"/>
      <c r="FW3076" s="37"/>
      <c r="FX3076" s="37"/>
      <c r="FY3076" s="37"/>
      <c r="FZ3076" s="37"/>
      <c r="GA3076" s="37"/>
      <c r="GB3076" s="37"/>
      <c r="GC3076" s="37"/>
      <c r="GD3076" s="37"/>
      <c r="GE3076" s="37"/>
      <c r="GF3076" s="37"/>
      <c r="GG3076" s="37"/>
      <c r="GH3076" s="37"/>
      <c r="GI3076" s="37"/>
      <c r="GJ3076" s="37"/>
      <c r="GK3076" s="37"/>
      <c r="GL3076" s="37"/>
      <c r="GM3076" s="37"/>
      <c r="GN3076" s="37"/>
      <c r="GO3076" s="37"/>
      <c r="GP3076" s="37"/>
      <c r="GQ3076" s="37"/>
      <c r="GR3076" s="37"/>
      <c r="GS3076" s="37"/>
      <c r="GT3076" s="37"/>
      <c r="GU3076" s="37"/>
      <c r="GV3076" s="37"/>
      <c r="GW3076" s="37"/>
      <c r="GX3076" s="37"/>
      <c r="GY3076" s="37"/>
      <c r="GZ3076" s="37"/>
      <c r="HA3076" s="37"/>
      <c r="HB3076" s="37"/>
      <c r="HC3076" s="37"/>
      <c r="HD3076" s="37"/>
      <c r="HE3076" s="37"/>
      <c r="HF3076" s="37"/>
      <c r="HG3076" s="37"/>
      <c r="HH3076" s="37"/>
      <c r="HI3076" s="37"/>
      <c r="HJ3076" s="37"/>
      <c r="HK3076" s="37"/>
      <c r="HL3076" s="37"/>
      <c r="HM3076" s="37"/>
      <c r="HN3076" s="37"/>
      <c r="HO3076" s="37"/>
      <c r="HP3076" s="37"/>
      <c r="HQ3076" s="37"/>
      <c r="HR3076" s="37"/>
      <c r="HS3076" s="37"/>
      <c r="HT3076" s="37"/>
      <c r="HU3076" s="37"/>
      <c r="HV3076" s="37"/>
      <c r="HW3076" s="37"/>
      <c r="HX3076" s="37"/>
      <c r="HY3076" s="37"/>
      <c r="HZ3076" s="37"/>
      <c r="IA3076" s="37"/>
      <c r="IB3076" s="37"/>
      <c r="IC3076" s="37"/>
      <c r="ID3076" s="37"/>
      <c r="IE3076" s="37"/>
      <c r="IF3076" s="37"/>
      <c r="IG3076" s="37"/>
      <c r="IH3076" s="37"/>
      <c r="II3076" s="37"/>
      <c r="IJ3076" s="37"/>
      <c r="IK3076" s="37"/>
      <c r="IL3076" s="37"/>
      <c r="IM3076" s="37"/>
      <c r="IN3076" s="37"/>
      <c r="IO3076" s="37"/>
      <c r="IP3076" s="37"/>
      <c r="IQ3076" s="37"/>
      <c r="IR3076" s="37"/>
      <c r="IS3076" s="37"/>
      <c r="IT3076" s="37"/>
      <c r="IU3076" s="37"/>
      <c r="IV3076" s="37"/>
      <c r="IW3076" s="37"/>
      <c r="IX3076" s="37"/>
      <c r="IY3076" s="37"/>
      <c r="IZ3076" s="37"/>
      <c r="JA3076" s="37"/>
      <c r="JB3076" s="37"/>
      <c r="JC3076" s="37"/>
      <c r="JD3076" s="37"/>
      <c r="JE3076" s="37"/>
      <c r="JF3076" s="37"/>
      <c r="JG3076" s="37"/>
      <c r="JH3076" s="37"/>
      <c r="JI3076" s="37"/>
      <c r="JJ3076" s="37"/>
      <c r="JK3076" s="37"/>
      <c r="JL3076" s="37"/>
      <c r="JM3076" s="37"/>
      <c r="JN3076" s="37"/>
      <c r="JO3076" s="37"/>
      <c r="JP3076" s="37"/>
      <c r="JQ3076" s="37"/>
      <c r="JR3076" s="37"/>
      <c r="JS3076" s="37"/>
      <c r="JT3076" s="37"/>
      <c r="JU3076" s="37"/>
      <c r="JV3076" s="37"/>
      <c r="JW3076" s="37"/>
      <c r="JX3076" s="37"/>
      <c r="JY3076" s="37"/>
      <c r="JZ3076" s="37"/>
      <c r="KA3076" s="37"/>
      <c r="KB3076" s="37"/>
      <c r="KC3076" s="37"/>
      <c r="KD3076" s="37"/>
      <c r="KE3076" s="37"/>
      <c r="KF3076" s="37"/>
      <c r="KG3076" s="37"/>
      <c r="KH3076" s="37"/>
      <c r="KI3076" s="37"/>
      <c r="KJ3076" s="37"/>
      <c r="KK3076" s="37"/>
      <c r="KL3076" s="37"/>
      <c r="KM3076" s="37"/>
      <c r="KN3076" s="37"/>
      <c r="KO3076" s="37"/>
      <c r="KP3076" s="37"/>
      <c r="KQ3076" s="37"/>
      <c r="KR3076" s="37"/>
      <c r="KS3076" s="37"/>
      <c r="KT3076" s="37"/>
      <c r="KU3076" s="37"/>
      <c r="KV3076" s="37"/>
      <c r="KW3076" s="37"/>
      <c r="KX3076" s="37"/>
      <c r="KY3076" s="37"/>
      <c r="KZ3076" s="37"/>
      <c r="LA3076" s="37"/>
      <c r="LB3076" s="37"/>
      <c r="LC3076" s="37"/>
      <c r="LD3076" s="37"/>
      <c r="LE3076" s="37"/>
      <c r="LF3076" s="37"/>
      <c r="LG3076" s="37"/>
      <c r="LH3076" s="37"/>
      <c r="LI3076" s="37"/>
      <c r="LJ3076" s="37"/>
      <c r="LK3076" s="37"/>
      <c r="LL3076" s="37"/>
      <c r="LM3076" s="37"/>
      <c r="LN3076" s="37"/>
      <c r="LO3076" s="37"/>
      <c r="LP3076" s="37"/>
      <c r="LQ3076" s="37"/>
      <c r="LR3076" s="37"/>
      <c r="LS3076" s="37"/>
      <c r="LT3076" s="37"/>
      <c r="LU3076" s="37"/>
      <c r="LV3076" s="37"/>
      <c r="LW3076" s="37"/>
      <c r="LX3076" s="37"/>
      <c r="LY3076" s="37"/>
      <c r="LZ3076" s="37"/>
      <c r="MA3076" s="37"/>
      <c r="MB3076" s="37"/>
      <c r="MC3076" s="37"/>
      <c r="MD3076" s="37"/>
      <c r="ME3076" s="37"/>
      <c r="MF3076" s="37"/>
      <c r="MG3076" s="37"/>
      <c r="MH3076" s="37"/>
      <c r="MI3076" s="37"/>
      <c r="MJ3076" s="37"/>
      <c r="MK3076" s="37"/>
      <c r="ML3076" s="37"/>
      <c r="MM3076" s="37"/>
      <c r="MN3076" s="37"/>
      <c r="MO3076" s="37"/>
      <c r="MP3076" s="37"/>
      <c r="MQ3076" s="37"/>
      <c r="MR3076" s="37"/>
      <c r="MS3076" s="37"/>
      <c r="MT3076" s="37"/>
      <c r="MU3076" s="37"/>
      <c r="MV3076" s="37"/>
      <c r="MW3076" s="37"/>
      <c r="MX3076" s="37"/>
      <c r="MY3076" s="37"/>
      <c r="MZ3076" s="37"/>
      <c r="NA3076" s="37"/>
      <c r="NB3076" s="37"/>
      <c r="NC3076" s="37"/>
      <c r="ND3076" s="37"/>
      <c r="NE3076" s="37"/>
      <c r="NF3076" s="37"/>
      <c r="NG3076" s="37"/>
      <c r="NH3076" s="37"/>
      <c r="NI3076" s="37"/>
      <c r="NJ3076" s="37"/>
      <c r="NK3076" s="37"/>
      <c r="NL3076" s="37"/>
      <c r="NM3076" s="37"/>
      <c r="NN3076" s="37"/>
      <c r="NO3076" s="37"/>
      <c r="NP3076" s="37"/>
      <c r="NQ3076" s="37"/>
      <c r="NR3076" s="37"/>
      <c r="NS3076" s="37"/>
      <c r="NT3076" s="37"/>
      <c r="NU3076" s="37"/>
      <c r="NV3076" s="37"/>
      <c r="NW3076" s="37"/>
      <c r="NX3076" s="37"/>
      <c r="NY3076" s="37"/>
      <c r="NZ3076" s="37"/>
      <c r="OA3076" s="37"/>
      <c r="OB3076" s="37"/>
      <c r="OC3076" s="37"/>
      <c r="OD3076" s="37"/>
      <c r="OE3076" s="37"/>
      <c r="OF3076" s="37"/>
      <c r="OG3076" s="37"/>
      <c r="OH3076" s="37"/>
      <c r="OI3076" s="37"/>
      <c r="OJ3076" s="37"/>
      <c r="OK3076" s="37"/>
      <c r="OL3076" s="37"/>
      <c r="OM3076" s="37"/>
      <c r="ON3076" s="37"/>
      <c r="OO3076" s="37"/>
      <c r="OP3076" s="37"/>
      <c r="OQ3076" s="37"/>
      <c r="OR3076" s="37"/>
      <c r="OS3076" s="37"/>
      <c r="OT3076" s="37"/>
      <c r="OU3076" s="37"/>
      <c r="OV3076" s="37"/>
      <c r="OW3076" s="37"/>
      <c r="OX3076" s="37"/>
      <c r="OY3076" s="37"/>
      <c r="OZ3076" s="37"/>
      <c r="PA3076" s="37"/>
      <c r="PB3076" s="37"/>
      <c r="PC3076" s="37"/>
      <c r="PD3076" s="37"/>
      <c r="PE3076" s="37"/>
      <c r="PF3076" s="37"/>
      <c r="PG3076" s="37"/>
      <c r="PH3076" s="37"/>
      <c r="PI3076" s="37"/>
      <c r="PJ3076" s="37"/>
      <c r="PK3076" s="37"/>
      <c r="PL3076" s="37"/>
      <c r="PM3076" s="37"/>
      <c r="PN3076" s="37"/>
      <c r="PO3076" s="37"/>
      <c r="PP3076" s="37"/>
      <c r="PQ3076" s="37"/>
      <c r="PR3076" s="37"/>
      <c r="PS3076" s="37"/>
      <c r="PT3076" s="37"/>
      <c r="PU3076" s="37"/>
      <c r="PV3076" s="37"/>
      <c r="PW3076" s="37"/>
      <c r="PX3076" s="37"/>
      <c r="PY3076" s="37"/>
      <c r="PZ3076" s="37"/>
      <c r="QA3076" s="37"/>
      <c r="QB3076" s="37"/>
      <c r="QC3076" s="37"/>
      <c r="QD3076" s="37"/>
      <c r="QE3076" s="37"/>
      <c r="QF3076" s="37"/>
      <c r="QG3076" s="37"/>
      <c r="QH3076" s="37"/>
      <c r="QI3076" s="37"/>
      <c r="QJ3076" s="37"/>
      <c r="QK3076" s="37"/>
      <c r="QL3076" s="37"/>
      <c r="QM3076" s="37"/>
      <c r="QN3076" s="37"/>
      <c r="QO3076" s="37"/>
      <c r="QP3076" s="37"/>
      <c r="QQ3076" s="37"/>
      <c r="QR3076" s="37"/>
      <c r="QS3076" s="37"/>
      <c r="QT3076" s="37"/>
      <c r="QU3076" s="37"/>
      <c r="QV3076" s="37"/>
      <c r="QW3076" s="37"/>
      <c r="QX3076" s="37"/>
      <c r="QY3076" s="37"/>
      <c r="QZ3076" s="37"/>
      <c r="RA3076" s="37"/>
      <c r="RB3076" s="37"/>
      <c r="RC3076" s="37"/>
      <c r="RD3076" s="37"/>
      <c r="RE3076" s="37"/>
      <c r="RF3076" s="37"/>
      <c r="RG3076" s="37"/>
      <c r="RH3076" s="37"/>
      <c r="RI3076" s="37"/>
      <c r="RJ3076" s="37"/>
      <c r="RK3076" s="37"/>
      <c r="RL3076" s="37"/>
      <c r="RM3076" s="37"/>
      <c r="RN3076" s="37"/>
      <c r="RO3076" s="37"/>
      <c r="RP3076" s="37"/>
      <c r="RQ3076" s="37"/>
      <c r="RR3076" s="37"/>
      <c r="RS3076" s="37"/>
      <c r="RT3076" s="37"/>
      <c r="RU3076" s="37"/>
      <c r="RV3076" s="37"/>
      <c r="RW3076" s="37"/>
      <c r="RX3076" s="37"/>
      <c r="RY3076" s="37"/>
      <c r="RZ3076" s="37"/>
      <c r="SA3076" s="37"/>
      <c r="SB3076" s="37"/>
      <c r="SC3076" s="37"/>
      <c r="SD3076" s="37"/>
      <c r="SE3076" s="37"/>
      <c r="SF3076" s="37"/>
    </row>
    <row r="3077" spans="1:500">
      <c r="A3077" s="37"/>
      <c r="B3077" s="37"/>
      <c r="C3077" s="37"/>
      <c r="D3077" s="37"/>
      <c r="E3077" s="37"/>
      <c r="F3077" s="37"/>
      <c r="G3077" s="37"/>
      <c r="H3077" s="37"/>
      <c r="I3077" s="37"/>
      <c r="J3077" s="37"/>
      <c r="K3077" s="37"/>
      <c r="L3077" s="37"/>
      <c r="M3077" s="37"/>
      <c r="N3077" s="37"/>
      <c r="O3077" s="37"/>
      <c r="P3077" s="37"/>
      <c r="Q3077" s="37"/>
      <c r="R3077" s="37"/>
      <c r="S3077" s="37"/>
      <c r="T3077" s="37"/>
      <c r="U3077" s="37"/>
      <c r="V3077" s="37"/>
      <c r="W3077" s="37"/>
      <c r="X3077" s="37"/>
      <c r="Y3077" s="37"/>
      <c r="Z3077" s="37"/>
      <c r="AA3077" s="37"/>
      <c r="AB3077" s="37"/>
      <c r="AC3077" s="37"/>
      <c r="AD3077" s="37"/>
      <c r="AE3077" s="37"/>
      <c r="AF3077" s="37"/>
      <c r="AG3077" s="37"/>
      <c r="AH3077" s="37"/>
      <c r="AI3077" s="37"/>
      <c r="AJ3077" s="37"/>
      <c r="AK3077" s="37"/>
      <c r="AL3077" s="37"/>
      <c r="AM3077" s="37"/>
      <c r="AN3077" s="37"/>
      <c r="AO3077" s="37"/>
      <c r="AP3077" s="37"/>
      <c r="AQ3077" s="37"/>
      <c r="AR3077" s="37"/>
      <c r="AS3077" s="37"/>
      <c r="AT3077" s="37"/>
      <c r="AU3077" s="37"/>
      <c r="AV3077" s="37"/>
      <c r="AW3077" s="37"/>
      <c r="AX3077" s="37"/>
      <c r="AY3077" s="37"/>
      <c r="AZ3077" s="37"/>
      <c r="BA3077" s="37"/>
      <c r="BB3077" s="37"/>
      <c r="BC3077" s="37"/>
      <c r="BD3077" s="37"/>
      <c r="BE3077" s="37"/>
      <c r="BF3077" s="37"/>
      <c r="BG3077" s="37"/>
      <c r="BH3077" s="37"/>
      <c r="BI3077" s="37"/>
      <c r="BJ3077" s="37"/>
      <c r="BK3077" s="37"/>
      <c r="BL3077" s="37"/>
      <c r="BM3077" s="37"/>
      <c r="BN3077" s="37"/>
      <c r="BO3077" s="37"/>
      <c r="BP3077" s="37"/>
      <c r="BQ3077" s="37"/>
      <c r="BR3077" s="37"/>
      <c r="BS3077" s="37"/>
      <c r="BT3077" s="37"/>
      <c r="BU3077" s="37"/>
      <c r="BV3077" s="37"/>
      <c r="BW3077" s="37"/>
      <c r="BX3077" s="37"/>
      <c r="BY3077" s="37"/>
      <c r="BZ3077" s="37"/>
      <c r="CA3077" s="37"/>
      <c r="CB3077" s="37"/>
      <c r="CC3077" s="37"/>
      <c r="CD3077" s="37"/>
      <c r="CE3077" s="37"/>
      <c r="CF3077" s="37"/>
      <c r="CG3077" s="37"/>
      <c r="CH3077" s="37"/>
      <c r="CI3077" s="37"/>
      <c r="CJ3077" s="37"/>
      <c r="CK3077" s="37"/>
      <c r="CL3077" s="37"/>
      <c r="CM3077" s="37"/>
      <c r="CN3077" s="37"/>
      <c r="CO3077" s="37"/>
      <c r="CP3077" s="37"/>
      <c r="CQ3077" s="37"/>
      <c r="CR3077" s="37"/>
      <c r="CS3077" s="37"/>
      <c r="CT3077" s="37"/>
      <c r="CU3077" s="37"/>
      <c r="CV3077" s="37"/>
      <c r="CW3077" s="37"/>
      <c r="CX3077" s="37"/>
      <c r="CY3077" s="37"/>
      <c r="CZ3077" s="37"/>
      <c r="DA3077" s="37"/>
      <c r="DB3077" s="37"/>
      <c r="DC3077" s="37"/>
      <c r="DD3077" s="37"/>
      <c r="DE3077" s="37"/>
      <c r="DF3077" s="37"/>
      <c r="DG3077" s="37"/>
      <c r="DH3077" s="37"/>
      <c r="DI3077" s="37"/>
      <c r="DJ3077" s="37"/>
      <c r="DK3077" s="37"/>
      <c r="DL3077" s="37"/>
      <c r="DM3077" s="37"/>
      <c r="DN3077" s="37"/>
      <c r="DO3077" s="37"/>
      <c r="DP3077" s="37"/>
      <c r="DQ3077" s="37"/>
      <c r="DR3077" s="37"/>
      <c r="DS3077" s="37"/>
      <c r="DT3077" s="37"/>
      <c r="DU3077" s="37"/>
      <c r="DV3077" s="37"/>
      <c r="DW3077" s="37"/>
      <c r="DX3077" s="37"/>
      <c r="DY3077" s="37"/>
      <c r="DZ3077" s="37"/>
      <c r="EA3077" s="37"/>
      <c r="EB3077" s="37"/>
      <c r="EC3077" s="37"/>
      <c r="ED3077" s="37"/>
      <c r="EE3077" s="37"/>
      <c r="EF3077" s="37"/>
      <c r="EG3077" s="37"/>
      <c r="EH3077" s="37"/>
      <c r="EI3077" s="37"/>
      <c r="EJ3077" s="37"/>
      <c r="EK3077" s="37"/>
      <c r="EL3077" s="37"/>
      <c r="EM3077" s="37"/>
      <c r="EN3077" s="37"/>
      <c r="EO3077" s="37"/>
      <c r="EP3077" s="37"/>
      <c r="EQ3077" s="37"/>
      <c r="ER3077" s="37"/>
      <c r="ES3077" s="37"/>
      <c r="ET3077" s="37"/>
      <c r="EU3077" s="37"/>
      <c r="EV3077" s="37"/>
      <c r="EW3077" s="37"/>
      <c r="EX3077" s="37"/>
      <c r="EY3077" s="37"/>
      <c r="EZ3077" s="37"/>
      <c r="FA3077" s="37"/>
      <c r="FB3077" s="37"/>
      <c r="FC3077" s="37"/>
      <c r="FD3077" s="37"/>
      <c r="FE3077" s="37"/>
      <c r="FF3077" s="37"/>
      <c r="FG3077" s="37"/>
      <c r="FH3077" s="37"/>
      <c r="FI3077" s="37"/>
      <c r="FJ3077" s="37"/>
      <c r="FK3077" s="37"/>
      <c r="FL3077" s="37"/>
      <c r="FM3077" s="37"/>
      <c r="FN3077" s="37"/>
      <c r="FO3077" s="37"/>
      <c r="FP3077" s="37"/>
      <c r="FQ3077" s="37"/>
      <c r="FR3077" s="37"/>
      <c r="FS3077" s="37"/>
      <c r="FT3077" s="37"/>
      <c r="FU3077" s="37"/>
      <c r="FV3077" s="37"/>
      <c r="FW3077" s="37"/>
      <c r="FX3077" s="37"/>
      <c r="FY3077" s="37"/>
      <c r="FZ3077" s="37"/>
      <c r="GA3077" s="37"/>
      <c r="GB3077" s="37"/>
      <c r="GC3077" s="37"/>
      <c r="GD3077" s="37"/>
      <c r="GE3077" s="37"/>
      <c r="GF3077" s="37"/>
      <c r="GG3077" s="37"/>
      <c r="GH3077" s="37"/>
      <c r="GI3077" s="37"/>
      <c r="GJ3077" s="37"/>
      <c r="GK3077" s="37"/>
      <c r="GL3077" s="37"/>
      <c r="GM3077" s="37"/>
      <c r="GN3077" s="37"/>
      <c r="GO3077" s="37"/>
      <c r="GP3077" s="37"/>
      <c r="GQ3077" s="37"/>
      <c r="GR3077" s="37"/>
      <c r="GS3077" s="37"/>
      <c r="GT3077" s="37"/>
      <c r="GU3077" s="37"/>
      <c r="GV3077" s="37"/>
      <c r="GW3077" s="37"/>
      <c r="GX3077" s="37"/>
      <c r="GY3077" s="37"/>
      <c r="GZ3077" s="37"/>
      <c r="HA3077" s="37"/>
      <c r="HB3077" s="37"/>
      <c r="HC3077" s="37"/>
      <c r="HD3077" s="37"/>
      <c r="HE3077" s="37"/>
      <c r="HF3077" s="37"/>
      <c r="HG3077" s="37"/>
      <c r="HH3077" s="37"/>
      <c r="HI3077" s="37"/>
      <c r="HJ3077" s="37"/>
      <c r="HK3077" s="37"/>
      <c r="HL3077" s="37"/>
      <c r="HM3077" s="37"/>
      <c r="HN3077" s="37"/>
      <c r="HO3077" s="37"/>
      <c r="HP3077" s="37"/>
      <c r="HQ3077" s="37"/>
      <c r="HR3077" s="37"/>
      <c r="HS3077" s="37"/>
      <c r="HT3077" s="37"/>
      <c r="HU3077" s="37"/>
      <c r="HV3077" s="37"/>
      <c r="HW3077" s="37"/>
      <c r="HX3077" s="37"/>
      <c r="HY3077" s="37"/>
      <c r="HZ3077" s="37"/>
      <c r="IA3077" s="37"/>
      <c r="IB3077" s="37"/>
      <c r="IC3077" s="37"/>
      <c r="ID3077" s="37"/>
      <c r="IE3077" s="37"/>
      <c r="IF3077" s="37"/>
      <c r="IG3077" s="37"/>
      <c r="IH3077" s="37"/>
      <c r="II3077" s="37"/>
      <c r="IJ3077" s="37"/>
      <c r="IK3077" s="37"/>
      <c r="IL3077" s="37"/>
      <c r="IM3077" s="37"/>
      <c r="IN3077" s="37"/>
      <c r="IO3077" s="37"/>
      <c r="IP3077" s="37"/>
      <c r="IQ3077" s="37"/>
      <c r="IR3077" s="37"/>
      <c r="IS3077" s="37"/>
      <c r="IT3077" s="37"/>
      <c r="IU3077" s="37"/>
      <c r="IV3077" s="37"/>
      <c r="IW3077" s="37"/>
      <c r="IX3077" s="37"/>
      <c r="IY3077" s="37"/>
      <c r="IZ3077" s="37"/>
      <c r="JA3077" s="37"/>
      <c r="JB3077" s="37"/>
      <c r="JC3077" s="37"/>
      <c r="JD3077" s="37"/>
      <c r="JE3077" s="37"/>
      <c r="JF3077" s="37"/>
      <c r="JG3077" s="37"/>
      <c r="JH3077" s="37"/>
      <c r="JI3077" s="37"/>
      <c r="JJ3077" s="37"/>
      <c r="JK3077" s="37"/>
      <c r="JL3077" s="37"/>
      <c r="JM3077" s="37"/>
      <c r="JN3077" s="37"/>
      <c r="JO3077" s="37"/>
      <c r="JP3077" s="37"/>
      <c r="JQ3077" s="37"/>
      <c r="JR3077" s="37"/>
      <c r="JS3077" s="37"/>
      <c r="JT3077" s="37"/>
      <c r="JU3077" s="37"/>
      <c r="JV3077" s="37"/>
      <c r="JW3077" s="37"/>
      <c r="JX3077" s="37"/>
      <c r="JY3077" s="37"/>
      <c r="JZ3077" s="37"/>
      <c r="KA3077" s="37"/>
      <c r="KB3077" s="37"/>
      <c r="KC3077" s="37"/>
      <c r="KD3077" s="37"/>
      <c r="KE3077" s="37"/>
      <c r="KF3077" s="37"/>
      <c r="KG3077" s="37"/>
      <c r="KH3077" s="37"/>
      <c r="KI3077" s="37"/>
      <c r="KJ3077" s="37"/>
      <c r="KK3077" s="37"/>
      <c r="KL3077" s="37"/>
      <c r="KM3077" s="37"/>
      <c r="KN3077" s="37"/>
      <c r="KO3077" s="37"/>
      <c r="KP3077" s="37"/>
      <c r="KQ3077" s="37"/>
      <c r="KR3077" s="37"/>
      <c r="KS3077" s="37"/>
      <c r="KT3077" s="37"/>
      <c r="KU3077" s="37"/>
      <c r="KV3077" s="37"/>
      <c r="KW3077" s="37"/>
      <c r="KX3077" s="37"/>
      <c r="KY3077" s="37"/>
      <c r="KZ3077" s="37"/>
      <c r="LA3077" s="37"/>
      <c r="LB3077" s="37"/>
      <c r="LC3077" s="37"/>
      <c r="LD3077" s="37"/>
      <c r="LE3077" s="37"/>
      <c r="LF3077" s="37"/>
      <c r="LG3077" s="37"/>
      <c r="LH3077" s="37"/>
      <c r="LI3077" s="37"/>
      <c r="LJ3077" s="37"/>
      <c r="LK3077" s="37"/>
      <c r="LL3077" s="37"/>
      <c r="LM3077" s="37"/>
      <c r="LN3077" s="37"/>
      <c r="LO3077" s="37"/>
      <c r="LP3077" s="37"/>
      <c r="LQ3077" s="37"/>
      <c r="LR3077" s="37"/>
      <c r="LS3077" s="37"/>
      <c r="LT3077" s="37"/>
      <c r="LU3077" s="37"/>
      <c r="LV3077" s="37"/>
      <c r="LW3077" s="37"/>
      <c r="LX3077" s="37"/>
      <c r="LY3077" s="37"/>
      <c r="LZ3077" s="37"/>
      <c r="MA3077" s="37"/>
      <c r="MB3077" s="37"/>
      <c r="MC3077" s="37"/>
      <c r="MD3077" s="37"/>
      <c r="ME3077" s="37"/>
      <c r="MF3077" s="37"/>
      <c r="MG3077" s="37"/>
      <c r="MH3077" s="37"/>
      <c r="MI3077" s="37"/>
      <c r="MJ3077" s="37"/>
      <c r="MK3077" s="37"/>
      <c r="ML3077" s="37"/>
      <c r="MM3077" s="37"/>
      <c r="MN3077" s="37"/>
      <c r="MO3077" s="37"/>
      <c r="MP3077" s="37"/>
      <c r="MQ3077" s="37"/>
      <c r="MR3077" s="37"/>
      <c r="MS3077" s="37"/>
      <c r="MT3077" s="37"/>
      <c r="MU3077" s="37"/>
      <c r="MV3077" s="37"/>
      <c r="MW3077" s="37"/>
      <c r="MX3077" s="37"/>
      <c r="MY3077" s="37"/>
      <c r="MZ3077" s="37"/>
      <c r="NA3077" s="37"/>
      <c r="NB3077" s="37"/>
      <c r="NC3077" s="37"/>
      <c r="ND3077" s="37"/>
      <c r="NE3077" s="37"/>
      <c r="NF3077" s="37"/>
      <c r="NG3077" s="37"/>
      <c r="NH3077" s="37"/>
      <c r="NI3077" s="37"/>
      <c r="NJ3077" s="37"/>
      <c r="NK3077" s="37"/>
      <c r="NL3077" s="37"/>
      <c r="NM3077" s="37"/>
      <c r="NN3077" s="37"/>
      <c r="NO3077" s="37"/>
      <c r="NP3077" s="37"/>
      <c r="NQ3077" s="37"/>
      <c r="NR3077" s="37"/>
      <c r="NS3077" s="37"/>
      <c r="NT3077" s="37"/>
      <c r="NU3077" s="37"/>
      <c r="NV3077" s="37"/>
      <c r="NW3077" s="37"/>
      <c r="NX3077" s="37"/>
      <c r="NY3077" s="37"/>
      <c r="NZ3077" s="37"/>
      <c r="OA3077" s="37"/>
      <c r="OB3077" s="37"/>
      <c r="OC3077" s="37"/>
      <c r="OD3077" s="37"/>
      <c r="OE3077" s="37"/>
      <c r="OF3077" s="37"/>
      <c r="OG3077" s="37"/>
      <c r="OH3077" s="37"/>
      <c r="OI3077" s="37"/>
      <c r="OJ3077" s="37"/>
      <c r="OK3077" s="37"/>
      <c r="OL3077" s="37"/>
      <c r="OM3077" s="37"/>
      <c r="ON3077" s="37"/>
      <c r="OO3077" s="37"/>
      <c r="OP3077" s="37"/>
      <c r="OQ3077" s="37"/>
      <c r="OR3077" s="37"/>
      <c r="OS3077" s="37"/>
      <c r="OT3077" s="37"/>
      <c r="OU3077" s="37"/>
      <c r="OV3077" s="37"/>
      <c r="OW3077" s="37"/>
      <c r="OX3077" s="37"/>
      <c r="OY3077" s="37"/>
      <c r="OZ3077" s="37"/>
      <c r="PA3077" s="37"/>
      <c r="PB3077" s="37"/>
      <c r="PC3077" s="37"/>
      <c r="PD3077" s="37"/>
      <c r="PE3077" s="37"/>
      <c r="PF3077" s="37"/>
      <c r="PG3077" s="37"/>
      <c r="PH3077" s="37"/>
      <c r="PI3077" s="37"/>
      <c r="PJ3077" s="37"/>
      <c r="PK3077" s="37"/>
      <c r="PL3077" s="37"/>
      <c r="PM3077" s="37"/>
      <c r="PN3077" s="37"/>
      <c r="PO3077" s="37"/>
      <c r="PP3077" s="37"/>
      <c r="PQ3077" s="37"/>
      <c r="PR3077" s="37"/>
      <c r="PS3077" s="37"/>
      <c r="PT3077" s="37"/>
      <c r="PU3077" s="37"/>
      <c r="PV3077" s="37"/>
      <c r="PW3077" s="37"/>
      <c r="PX3077" s="37"/>
      <c r="PY3077" s="37"/>
      <c r="PZ3077" s="37"/>
      <c r="QA3077" s="37"/>
      <c r="QB3077" s="37"/>
      <c r="QC3077" s="37"/>
      <c r="QD3077" s="37"/>
      <c r="QE3077" s="37"/>
      <c r="QF3077" s="37"/>
      <c r="QG3077" s="37"/>
      <c r="QH3077" s="37"/>
      <c r="QI3077" s="37"/>
      <c r="QJ3077" s="37"/>
      <c r="QK3077" s="37"/>
      <c r="QL3077" s="37"/>
      <c r="QM3077" s="37"/>
      <c r="QN3077" s="37"/>
      <c r="QO3077" s="37"/>
      <c r="QP3077" s="37"/>
      <c r="QQ3077" s="37"/>
      <c r="QR3077" s="37"/>
      <c r="QS3077" s="37"/>
      <c r="QT3077" s="37"/>
      <c r="QU3077" s="37"/>
      <c r="QV3077" s="37"/>
      <c r="QW3077" s="37"/>
      <c r="QX3077" s="37"/>
      <c r="QY3077" s="37"/>
      <c r="QZ3077" s="37"/>
      <c r="RA3077" s="37"/>
      <c r="RB3077" s="37"/>
      <c r="RC3077" s="37"/>
      <c r="RD3077" s="37"/>
      <c r="RE3077" s="37"/>
      <c r="RF3077" s="37"/>
      <c r="RG3077" s="37"/>
      <c r="RH3077" s="37"/>
      <c r="RI3077" s="37"/>
      <c r="RJ3077" s="37"/>
      <c r="RK3077" s="37"/>
      <c r="RL3077" s="37"/>
      <c r="RM3077" s="37"/>
      <c r="RN3077" s="37"/>
      <c r="RO3077" s="37"/>
      <c r="RP3077" s="37"/>
      <c r="RQ3077" s="37"/>
      <c r="RR3077" s="37"/>
      <c r="RS3077" s="37"/>
      <c r="RT3077" s="37"/>
      <c r="RU3077" s="37"/>
      <c r="RV3077" s="37"/>
      <c r="RW3077" s="37"/>
      <c r="RX3077" s="37"/>
      <c r="RY3077" s="37"/>
      <c r="RZ3077" s="37"/>
      <c r="SA3077" s="37"/>
      <c r="SB3077" s="37"/>
      <c r="SC3077" s="37"/>
      <c r="SD3077" s="37"/>
      <c r="SE3077" s="37"/>
      <c r="SF3077" s="37"/>
    </row>
    <row r="3078" spans="1:500">
      <c r="A3078" s="37"/>
      <c r="B3078" s="37"/>
      <c r="C3078" s="37"/>
      <c r="D3078" s="37"/>
      <c r="E3078" s="37"/>
      <c r="F3078" s="37"/>
      <c r="G3078" s="37"/>
      <c r="H3078" s="37"/>
      <c r="I3078" s="37"/>
      <c r="J3078" s="37"/>
      <c r="K3078" s="37"/>
      <c r="L3078" s="37"/>
      <c r="M3078" s="37"/>
      <c r="N3078" s="37"/>
      <c r="O3078" s="37"/>
      <c r="P3078" s="37"/>
      <c r="Q3078" s="37"/>
      <c r="R3078" s="37"/>
      <c r="S3078" s="37"/>
      <c r="T3078" s="37"/>
      <c r="U3078" s="37"/>
      <c r="V3078" s="37"/>
      <c r="W3078" s="37"/>
      <c r="X3078" s="37"/>
      <c r="Y3078" s="37"/>
      <c r="Z3078" s="37"/>
      <c r="AA3078" s="37"/>
      <c r="AB3078" s="37"/>
      <c r="AC3078" s="37"/>
      <c r="AD3078" s="37"/>
      <c r="AE3078" s="37"/>
      <c r="AF3078" s="37"/>
      <c r="AG3078" s="37"/>
      <c r="AH3078" s="37"/>
      <c r="AI3078" s="37"/>
      <c r="AJ3078" s="37"/>
      <c r="AK3078" s="37"/>
      <c r="AL3078" s="37"/>
      <c r="AM3078" s="37"/>
      <c r="AN3078" s="37"/>
      <c r="AO3078" s="37"/>
      <c r="AP3078" s="37"/>
      <c r="AQ3078" s="37"/>
      <c r="AR3078" s="37"/>
      <c r="AS3078" s="37"/>
      <c r="AT3078" s="37"/>
      <c r="AU3078" s="37"/>
      <c r="AV3078" s="37"/>
      <c r="AW3078" s="37"/>
      <c r="AX3078" s="37"/>
      <c r="AY3078" s="37"/>
      <c r="AZ3078" s="37"/>
      <c r="BA3078" s="37"/>
      <c r="BB3078" s="37"/>
      <c r="BC3078" s="37"/>
      <c r="BD3078" s="37"/>
      <c r="BE3078" s="37"/>
      <c r="BF3078" s="37"/>
      <c r="BG3078" s="37"/>
      <c r="BH3078" s="37"/>
      <c r="BI3078" s="37"/>
      <c r="BJ3078" s="37"/>
      <c r="BK3078" s="37"/>
      <c r="BL3078" s="37"/>
      <c r="BM3078" s="37"/>
      <c r="BN3078" s="37"/>
      <c r="BO3078" s="37"/>
      <c r="BP3078" s="37"/>
      <c r="BQ3078" s="37"/>
      <c r="BR3078" s="37"/>
      <c r="BS3078" s="37"/>
      <c r="BT3078" s="37"/>
      <c r="BU3078" s="37"/>
      <c r="BV3078" s="37"/>
      <c r="BW3078" s="37"/>
      <c r="BX3078" s="37"/>
      <c r="BY3078" s="37"/>
      <c r="BZ3078" s="37"/>
      <c r="CA3078" s="37"/>
      <c r="CB3078" s="37"/>
      <c r="CC3078" s="37"/>
      <c r="CD3078" s="37"/>
      <c r="CE3078" s="37"/>
      <c r="CF3078" s="37"/>
      <c r="CG3078" s="37"/>
      <c r="CH3078" s="37"/>
      <c r="CI3078" s="37"/>
      <c r="CJ3078" s="37"/>
      <c r="CK3078" s="37"/>
      <c r="CL3078" s="37"/>
      <c r="CM3078" s="37"/>
      <c r="CN3078" s="37"/>
      <c r="CO3078" s="37"/>
      <c r="CP3078" s="37"/>
      <c r="CQ3078" s="37"/>
      <c r="CR3078" s="37"/>
      <c r="CS3078" s="37"/>
      <c r="CT3078" s="37"/>
      <c r="CU3078" s="37"/>
      <c r="CV3078" s="37"/>
      <c r="CW3078" s="37"/>
      <c r="CX3078" s="37"/>
      <c r="CY3078" s="37"/>
      <c r="CZ3078" s="37"/>
      <c r="DA3078" s="37"/>
      <c r="DB3078" s="37"/>
      <c r="DC3078" s="37"/>
      <c r="DD3078" s="37"/>
      <c r="DE3078" s="37"/>
      <c r="DF3078" s="37"/>
      <c r="DG3078" s="37"/>
      <c r="DH3078" s="37"/>
      <c r="DI3078" s="37"/>
      <c r="DJ3078" s="37"/>
      <c r="DK3078" s="37"/>
      <c r="DL3078" s="37"/>
      <c r="DM3078" s="37"/>
      <c r="DN3078" s="37"/>
      <c r="DO3078" s="37"/>
      <c r="DP3078" s="37"/>
      <c r="DQ3078" s="37"/>
      <c r="DR3078" s="37"/>
      <c r="DS3078" s="37"/>
      <c r="DT3078" s="37"/>
      <c r="DU3078" s="37"/>
      <c r="DV3078" s="37"/>
      <c r="DW3078" s="37"/>
      <c r="DX3078" s="37"/>
      <c r="DY3078" s="37"/>
      <c r="DZ3078" s="37"/>
      <c r="EA3078" s="37"/>
      <c r="EB3078" s="37"/>
      <c r="EC3078" s="37"/>
      <c r="ED3078" s="37"/>
      <c r="EE3078" s="37"/>
      <c r="EF3078" s="37"/>
      <c r="EG3078" s="37"/>
      <c r="EH3078" s="37"/>
      <c r="EI3078" s="37"/>
      <c r="EJ3078" s="37"/>
      <c r="EK3078" s="37"/>
      <c r="EL3078" s="37"/>
      <c r="EM3078" s="37"/>
      <c r="EN3078" s="37"/>
      <c r="EO3078" s="37"/>
      <c r="EP3078" s="37"/>
      <c r="EQ3078" s="37"/>
      <c r="ER3078" s="37"/>
      <c r="ES3078" s="37"/>
      <c r="ET3078" s="37"/>
      <c r="EU3078" s="37"/>
      <c r="EV3078" s="37"/>
      <c r="EW3078" s="37"/>
      <c r="EX3078" s="37"/>
      <c r="EY3078" s="37"/>
      <c r="EZ3078" s="37"/>
      <c r="FA3078" s="37"/>
      <c r="FB3078" s="37"/>
      <c r="FC3078" s="37"/>
      <c r="FD3078" s="37"/>
      <c r="FE3078" s="37"/>
      <c r="FF3078" s="37"/>
      <c r="FG3078" s="37"/>
      <c r="FH3078" s="37"/>
      <c r="FI3078" s="37"/>
      <c r="FJ3078" s="37"/>
      <c r="FK3078" s="37"/>
      <c r="FL3078" s="37"/>
      <c r="FM3078" s="37"/>
      <c r="FN3078" s="37"/>
      <c r="FO3078" s="37"/>
      <c r="FP3078" s="37"/>
      <c r="FQ3078" s="37"/>
      <c r="FR3078" s="37"/>
      <c r="FS3078" s="37"/>
      <c r="FT3078" s="37"/>
      <c r="FU3078" s="37"/>
      <c r="FV3078" s="37"/>
      <c r="FW3078" s="37"/>
      <c r="FX3078" s="37"/>
      <c r="FY3078" s="37"/>
      <c r="FZ3078" s="37"/>
      <c r="GA3078" s="37"/>
      <c r="GB3078" s="37"/>
      <c r="GC3078" s="37"/>
      <c r="GD3078" s="37"/>
      <c r="GE3078" s="37"/>
      <c r="GF3078" s="37"/>
      <c r="GG3078" s="37"/>
      <c r="GH3078" s="37"/>
      <c r="GI3078" s="37"/>
      <c r="GJ3078" s="37"/>
      <c r="GK3078" s="37"/>
      <c r="GL3078" s="37"/>
      <c r="GM3078" s="37"/>
      <c r="GN3078" s="37"/>
      <c r="GO3078" s="37"/>
      <c r="GP3078" s="37"/>
      <c r="GQ3078" s="37"/>
      <c r="GR3078" s="37"/>
      <c r="GS3078" s="37"/>
      <c r="GT3078" s="37"/>
      <c r="GU3078" s="37"/>
      <c r="GV3078" s="37"/>
      <c r="GW3078" s="37"/>
      <c r="GX3078" s="37"/>
      <c r="GY3078" s="37"/>
      <c r="GZ3078" s="37"/>
      <c r="HA3078" s="37"/>
      <c r="HB3078" s="37"/>
      <c r="HC3078" s="37"/>
      <c r="HD3078" s="37"/>
      <c r="HE3078" s="37"/>
      <c r="HF3078" s="37"/>
      <c r="HG3078" s="37"/>
      <c r="HH3078" s="37"/>
      <c r="HI3078" s="37"/>
      <c r="HJ3078" s="37"/>
      <c r="HK3078" s="37"/>
      <c r="HL3078" s="37"/>
      <c r="HM3078" s="37"/>
      <c r="HN3078" s="37"/>
      <c r="HO3078" s="37"/>
      <c r="HP3078" s="37"/>
      <c r="HQ3078" s="37"/>
      <c r="HR3078" s="37"/>
      <c r="HS3078" s="37"/>
      <c r="HT3078" s="37"/>
      <c r="HU3078" s="37"/>
      <c r="HV3078" s="37"/>
      <c r="HW3078" s="37"/>
      <c r="HX3078" s="37"/>
      <c r="HY3078" s="37"/>
      <c r="HZ3078" s="37"/>
      <c r="IA3078" s="37"/>
      <c r="IB3078" s="37"/>
      <c r="IC3078" s="37"/>
      <c r="ID3078" s="37"/>
      <c r="IE3078" s="37"/>
      <c r="IF3078" s="37"/>
      <c r="IG3078" s="37"/>
      <c r="IH3078" s="37"/>
      <c r="II3078" s="37"/>
      <c r="IJ3078" s="37"/>
      <c r="IK3078" s="37"/>
      <c r="IL3078" s="37"/>
      <c r="IM3078" s="37"/>
      <c r="IN3078" s="37"/>
      <c r="IO3078" s="37"/>
      <c r="IP3078" s="37"/>
      <c r="IQ3078" s="37"/>
      <c r="IR3078" s="37"/>
      <c r="IS3078" s="37"/>
      <c r="IT3078" s="37"/>
      <c r="IU3078" s="37"/>
      <c r="IV3078" s="37"/>
      <c r="IW3078" s="37"/>
      <c r="IX3078" s="37"/>
      <c r="IY3078" s="37"/>
      <c r="IZ3078" s="37"/>
      <c r="JA3078" s="37"/>
      <c r="JB3078" s="37"/>
      <c r="JC3078" s="37"/>
      <c r="JD3078" s="37"/>
      <c r="JE3078" s="37"/>
      <c r="JF3078" s="37"/>
      <c r="JG3078" s="37"/>
      <c r="JH3078" s="37"/>
      <c r="JI3078" s="37"/>
      <c r="JJ3078" s="37"/>
      <c r="JK3078" s="37"/>
      <c r="JL3078" s="37"/>
      <c r="JM3078" s="37"/>
      <c r="JN3078" s="37"/>
      <c r="JO3078" s="37"/>
      <c r="JP3078" s="37"/>
      <c r="JQ3078" s="37"/>
      <c r="JR3078" s="37"/>
      <c r="JS3078" s="37"/>
      <c r="JT3078" s="37"/>
      <c r="JU3078" s="37"/>
      <c r="JV3078" s="37"/>
      <c r="JW3078" s="37"/>
      <c r="JX3078" s="37"/>
      <c r="JY3078" s="37"/>
      <c r="JZ3078" s="37"/>
      <c r="KA3078" s="37"/>
      <c r="KB3078" s="37"/>
      <c r="KC3078" s="37"/>
      <c r="KD3078" s="37"/>
      <c r="KE3078" s="37"/>
      <c r="KF3078" s="37"/>
      <c r="KG3078" s="37"/>
      <c r="KH3078" s="37"/>
      <c r="KI3078" s="37"/>
      <c r="KJ3078" s="37"/>
      <c r="KK3078" s="37"/>
      <c r="KL3078" s="37"/>
      <c r="KM3078" s="37"/>
      <c r="KN3078" s="37"/>
      <c r="KO3078" s="37"/>
      <c r="KP3078" s="37"/>
      <c r="KQ3078" s="37"/>
      <c r="KR3078" s="37"/>
      <c r="KS3078" s="37"/>
      <c r="KT3078" s="37"/>
      <c r="KU3078" s="37"/>
      <c r="KV3078" s="37"/>
      <c r="KW3078" s="37"/>
      <c r="KX3078" s="37"/>
      <c r="KY3078" s="37"/>
      <c r="KZ3078" s="37"/>
      <c r="LA3078" s="37"/>
      <c r="LB3078" s="37"/>
      <c r="LC3078" s="37"/>
      <c r="LD3078" s="37"/>
      <c r="LE3078" s="37"/>
      <c r="LF3078" s="37"/>
      <c r="LG3078" s="37"/>
      <c r="LH3078" s="37"/>
      <c r="LI3078" s="37"/>
      <c r="LJ3078" s="37"/>
      <c r="LK3078" s="37"/>
      <c r="LL3078" s="37"/>
      <c r="LM3078" s="37"/>
      <c r="LN3078" s="37"/>
      <c r="LO3078" s="37"/>
      <c r="LP3078" s="37"/>
      <c r="LQ3078" s="37"/>
      <c r="LR3078" s="37"/>
      <c r="LS3078" s="37"/>
      <c r="LT3078" s="37"/>
      <c r="LU3078" s="37"/>
      <c r="LV3078" s="37"/>
      <c r="LW3078" s="37"/>
      <c r="LX3078" s="37"/>
      <c r="LY3078" s="37"/>
      <c r="LZ3078" s="37"/>
      <c r="MA3078" s="37"/>
      <c r="MB3078" s="37"/>
      <c r="MC3078" s="37"/>
      <c r="MD3078" s="37"/>
      <c r="ME3078" s="37"/>
      <c r="MF3078" s="37"/>
      <c r="MG3078" s="37"/>
      <c r="MH3078" s="37"/>
      <c r="MI3078" s="37"/>
      <c r="MJ3078" s="37"/>
      <c r="MK3078" s="37"/>
      <c r="ML3078" s="37"/>
      <c r="MM3078" s="37"/>
      <c r="MN3078" s="37"/>
      <c r="MO3078" s="37"/>
      <c r="MP3078" s="37"/>
      <c r="MQ3078" s="37"/>
      <c r="MR3078" s="37"/>
      <c r="MS3078" s="37"/>
      <c r="MT3078" s="37"/>
      <c r="MU3078" s="37"/>
      <c r="MV3078" s="37"/>
      <c r="MW3078" s="37"/>
      <c r="MX3078" s="37"/>
      <c r="MY3078" s="37"/>
      <c r="MZ3078" s="37"/>
      <c r="NA3078" s="37"/>
      <c r="NB3078" s="37"/>
      <c r="NC3078" s="37"/>
      <c r="ND3078" s="37"/>
      <c r="NE3078" s="37"/>
      <c r="NF3078" s="37"/>
      <c r="NG3078" s="37"/>
      <c r="NH3078" s="37"/>
      <c r="NI3078" s="37"/>
      <c r="NJ3078" s="37"/>
      <c r="NK3078" s="37"/>
      <c r="NL3078" s="37"/>
      <c r="NM3078" s="37"/>
      <c r="NN3078" s="37"/>
      <c r="NO3078" s="37"/>
      <c r="NP3078" s="37"/>
      <c r="NQ3078" s="37"/>
      <c r="NR3078" s="37"/>
      <c r="NS3078" s="37"/>
      <c r="NT3078" s="37"/>
      <c r="NU3078" s="37"/>
      <c r="NV3078" s="37"/>
      <c r="NW3078" s="37"/>
      <c r="NX3078" s="37"/>
      <c r="NY3078" s="37"/>
      <c r="NZ3078" s="37"/>
      <c r="OA3078" s="37"/>
      <c r="OB3078" s="37"/>
      <c r="OC3078" s="37"/>
      <c r="OD3078" s="37"/>
      <c r="OE3078" s="37"/>
      <c r="OF3078" s="37"/>
      <c r="OG3078" s="37"/>
      <c r="OH3078" s="37"/>
      <c r="OI3078" s="37"/>
      <c r="OJ3078" s="37"/>
      <c r="OK3078" s="37"/>
      <c r="OL3078" s="37"/>
      <c r="OM3078" s="37"/>
      <c r="ON3078" s="37"/>
      <c r="OO3078" s="37"/>
      <c r="OP3078" s="37"/>
      <c r="OQ3078" s="37"/>
      <c r="OR3078" s="37"/>
      <c r="OS3078" s="37"/>
      <c r="OT3078" s="37"/>
      <c r="OU3078" s="37"/>
      <c r="OV3078" s="37"/>
      <c r="OW3078" s="37"/>
      <c r="OX3078" s="37"/>
      <c r="OY3078" s="37"/>
      <c r="OZ3078" s="37"/>
      <c r="PA3078" s="37"/>
      <c r="PB3078" s="37"/>
      <c r="PC3078" s="37"/>
      <c r="PD3078" s="37"/>
      <c r="PE3078" s="37"/>
      <c r="PF3078" s="37"/>
      <c r="PG3078" s="37"/>
      <c r="PH3078" s="37"/>
      <c r="PI3078" s="37"/>
      <c r="PJ3078" s="37"/>
      <c r="PK3078" s="37"/>
      <c r="PL3078" s="37"/>
      <c r="PM3078" s="37"/>
      <c r="PN3078" s="37"/>
      <c r="PO3078" s="37"/>
      <c r="PP3078" s="37"/>
      <c r="PQ3078" s="37"/>
      <c r="PR3078" s="37"/>
      <c r="PS3078" s="37"/>
      <c r="PT3078" s="37"/>
      <c r="PU3078" s="37"/>
      <c r="PV3078" s="37"/>
      <c r="PW3078" s="37"/>
      <c r="PX3078" s="37"/>
      <c r="PY3078" s="37"/>
      <c r="PZ3078" s="37"/>
      <c r="QA3078" s="37"/>
      <c r="QB3078" s="37"/>
      <c r="QC3078" s="37"/>
      <c r="QD3078" s="37"/>
      <c r="QE3078" s="37"/>
      <c r="QF3078" s="37"/>
      <c r="QG3078" s="37"/>
      <c r="QH3078" s="37"/>
      <c r="QI3078" s="37"/>
      <c r="QJ3078" s="37"/>
      <c r="QK3078" s="37"/>
      <c r="QL3078" s="37"/>
      <c r="QM3078" s="37"/>
      <c r="QN3078" s="37"/>
      <c r="QO3078" s="37"/>
      <c r="QP3078" s="37"/>
      <c r="QQ3078" s="37"/>
      <c r="QR3078" s="37"/>
      <c r="QS3078" s="37"/>
      <c r="QT3078" s="37"/>
      <c r="QU3078" s="37"/>
      <c r="QV3078" s="37"/>
      <c r="QW3078" s="37"/>
      <c r="QX3078" s="37"/>
      <c r="QY3078" s="37"/>
      <c r="QZ3078" s="37"/>
      <c r="RA3078" s="37"/>
      <c r="RB3078" s="37"/>
      <c r="RC3078" s="37"/>
      <c r="RD3078" s="37"/>
      <c r="RE3078" s="37"/>
      <c r="RF3078" s="37"/>
      <c r="RG3078" s="37"/>
      <c r="RH3078" s="37"/>
      <c r="RI3078" s="37"/>
      <c r="RJ3078" s="37"/>
      <c r="RK3078" s="37"/>
      <c r="RL3078" s="37"/>
      <c r="RM3078" s="37"/>
      <c r="RN3078" s="37"/>
      <c r="RO3078" s="37"/>
      <c r="RP3078" s="37"/>
      <c r="RQ3078" s="37"/>
      <c r="RR3078" s="37"/>
      <c r="RS3078" s="37"/>
      <c r="RT3078" s="37"/>
      <c r="RU3078" s="37"/>
      <c r="RV3078" s="37"/>
      <c r="RW3078" s="37"/>
      <c r="RX3078" s="37"/>
      <c r="RY3078" s="37"/>
      <c r="RZ3078" s="37"/>
      <c r="SA3078" s="37"/>
      <c r="SB3078" s="37"/>
      <c r="SC3078" s="37"/>
      <c r="SD3078" s="37"/>
      <c r="SE3078" s="37"/>
      <c r="SF3078" s="37"/>
    </row>
    <row r="3079" spans="1:500">
      <c r="A3079" s="37"/>
      <c r="B3079" s="37"/>
      <c r="C3079" s="37"/>
      <c r="D3079" s="37"/>
      <c r="E3079" s="37"/>
      <c r="F3079" s="37"/>
      <c r="G3079" s="37"/>
      <c r="H3079" s="37"/>
      <c r="I3079" s="37"/>
      <c r="J3079" s="37"/>
      <c r="K3079" s="37"/>
      <c r="L3079" s="37"/>
      <c r="M3079" s="37"/>
      <c r="N3079" s="37"/>
      <c r="O3079" s="37"/>
      <c r="P3079" s="37"/>
      <c r="Q3079" s="37"/>
      <c r="R3079" s="37"/>
      <c r="S3079" s="37"/>
      <c r="T3079" s="37"/>
      <c r="U3079" s="37"/>
      <c r="V3079" s="37"/>
      <c r="W3079" s="37"/>
      <c r="X3079" s="37"/>
      <c r="Y3079" s="37"/>
      <c r="Z3079" s="37"/>
      <c r="AA3079" s="37"/>
      <c r="AB3079" s="37"/>
      <c r="AC3079" s="37"/>
      <c r="AD3079" s="37"/>
      <c r="AE3079" s="37"/>
      <c r="AF3079" s="37"/>
      <c r="AG3079" s="37"/>
      <c r="AH3079" s="37"/>
      <c r="AI3079" s="37"/>
      <c r="AJ3079" s="37"/>
      <c r="AK3079" s="37"/>
      <c r="AL3079" s="37"/>
      <c r="AM3079" s="37"/>
      <c r="AN3079" s="37"/>
      <c r="AO3079" s="37"/>
      <c r="AP3079" s="37"/>
      <c r="AQ3079" s="37"/>
      <c r="AR3079" s="37"/>
      <c r="AS3079" s="37"/>
      <c r="AT3079" s="37"/>
      <c r="AU3079" s="37"/>
      <c r="AV3079" s="37"/>
      <c r="AW3079" s="37"/>
      <c r="AX3079" s="37"/>
      <c r="AY3079" s="37"/>
      <c r="AZ3079" s="37"/>
      <c r="BA3079" s="37"/>
      <c r="BB3079" s="37"/>
      <c r="BC3079" s="37"/>
      <c r="BD3079" s="37"/>
      <c r="BE3079" s="37"/>
      <c r="BF3079" s="37"/>
      <c r="BG3079" s="37"/>
      <c r="BH3079" s="37"/>
      <c r="BI3079" s="37"/>
      <c r="BJ3079" s="37"/>
      <c r="BK3079" s="37"/>
      <c r="BL3079" s="37"/>
      <c r="BM3079" s="37"/>
      <c r="BN3079" s="37"/>
      <c r="BO3079" s="37"/>
      <c r="BP3079" s="37"/>
      <c r="BQ3079" s="37"/>
      <c r="BR3079" s="37"/>
      <c r="BS3079" s="37"/>
      <c r="BT3079" s="37"/>
      <c r="BU3079" s="37"/>
      <c r="BV3079" s="37"/>
      <c r="BW3079" s="37"/>
      <c r="BX3079" s="37"/>
      <c r="BY3079" s="37"/>
      <c r="BZ3079" s="37"/>
      <c r="CA3079" s="37"/>
      <c r="CB3079" s="37"/>
      <c r="CC3079" s="37"/>
      <c r="CD3079" s="37"/>
      <c r="CE3079" s="37"/>
      <c r="CF3079" s="37"/>
      <c r="CG3079" s="37"/>
      <c r="CH3079" s="37"/>
      <c r="CI3079" s="37"/>
      <c r="CJ3079" s="37"/>
      <c r="CK3079" s="37"/>
      <c r="CL3079" s="37"/>
      <c r="CM3079" s="37"/>
      <c r="CN3079" s="37"/>
      <c r="CO3079" s="37"/>
      <c r="CP3079" s="37"/>
      <c r="CQ3079" s="37"/>
      <c r="CR3079" s="37"/>
      <c r="CS3079" s="37"/>
      <c r="CT3079" s="37"/>
      <c r="CU3079" s="37"/>
      <c r="CV3079" s="37"/>
      <c r="CW3079" s="37"/>
      <c r="CX3079" s="37"/>
      <c r="CY3079" s="37"/>
      <c r="CZ3079" s="37"/>
      <c r="DA3079" s="37"/>
      <c r="DB3079" s="37"/>
      <c r="DC3079" s="37"/>
      <c r="DD3079" s="37"/>
      <c r="DE3079" s="37"/>
      <c r="DF3079" s="37"/>
      <c r="DG3079" s="37"/>
      <c r="DH3079" s="37"/>
      <c r="DI3079" s="37"/>
      <c r="DJ3079" s="37"/>
      <c r="DK3079" s="37"/>
      <c r="DL3079" s="37"/>
      <c r="DM3079" s="37"/>
      <c r="DN3079" s="37"/>
      <c r="DO3079" s="37"/>
      <c r="DP3079" s="37"/>
      <c r="DQ3079" s="37"/>
      <c r="DR3079" s="37"/>
      <c r="DS3079" s="37"/>
      <c r="DT3079" s="37"/>
      <c r="DU3079" s="37"/>
      <c r="DV3079" s="37"/>
      <c r="DW3079" s="37"/>
      <c r="DX3079" s="37"/>
      <c r="DY3079" s="37"/>
      <c r="DZ3079" s="37"/>
      <c r="EA3079" s="37"/>
      <c r="EB3079" s="37"/>
      <c r="EC3079" s="37"/>
      <c r="ED3079" s="37"/>
      <c r="EE3079" s="37"/>
      <c r="EF3079" s="37"/>
      <c r="EG3079" s="37"/>
      <c r="EH3079" s="37"/>
      <c r="EI3079" s="37"/>
      <c r="EJ3079" s="37"/>
      <c r="EK3079" s="37"/>
      <c r="EL3079" s="37"/>
      <c r="EM3079" s="37"/>
      <c r="EN3079" s="37"/>
      <c r="EO3079" s="37"/>
      <c r="EP3079" s="37"/>
      <c r="EQ3079" s="37"/>
      <c r="ER3079" s="37"/>
      <c r="ES3079" s="37"/>
      <c r="ET3079" s="37"/>
      <c r="EU3079" s="37"/>
      <c r="EV3079" s="37"/>
      <c r="EW3079" s="37"/>
      <c r="EX3079" s="37"/>
      <c r="EY3079" s="37"/>
      <c r="EZ3079" s="37"/>
      <c r="FA3079" s="37"/>
      <c r="FB3079" s="37"/>
      <c r="FC3079" s="37"/>
      <c r="FD3079" s="37"/>
      <c r="FE3079" s="37"/>
      <c r="FF3079" s="37"/>
      <c r="FG3079" s="37"/>
      <c r="FH3079" s="37"/>
      <c r="FI3079" s="37"/>
      <c r="FJ3079" s="37"/>
      <c r="FK3079" s="37"/>
      <c r="FL3079" s="37"/>
      <c r="FM3079" s="37"/>
      <c r="FN3079" s="37"/>
      <c r="FO3079" s="37"/>
      <c r="FP3079" s="37"/>
      <c r="FQ3079" s="37"/>
      <c r="FR3079" s="37"/>
      <c r="FS3079" s="37"/>
      <c r="FT3079" s="37"/>
      <c r="FU3079" s="37"/>
      <c r="FV3079" s="37"/>
      <c r="FW3079" s="37"/>
      <c r="FX3079" s="37"/>
      <c r="FY3079" s="37"/>
      <c r="FZ3079" s="37"/>
      <c r="GA3079" s="37"/>
      <c r="GB3079" s="37"/>
      <c r="GC3079" s="37"/>
      <c r="GD3079" s="37"/>
      <c r="GE3079" s="37"/>
      <c r="GF3079" s="37"/>
      <c r="GG3079" s="37"/>
      <c r="GH3079" s="37"/>
      <c r="GI3079" s="37"/>
      <c r="GJ3079" s="37"/>
      <c r="GK3079" s="37"/>
      <c r="GL3079" s="37"/>
      <c r="GM3079" s="37"/>
      <c r="GN3079" s="37"/>
      <c r="GO3079" s="37"/>
      <c r="GP3079" s="37"/>
      <c r="GQ3079" s="37"/>
      <c r="GR3079" s="37"/>
      <c r="GS3079" s="37"/>
      <c r="GT3079" s="37"/>
      <c r="GU3079" s="37"/>
      <c r="GV3079" s="37"/>
      <c r="GW3079" s="37"/>
      <c r="GX3079" s="37"/>
      <c r="GY3079" s="37"/>
      <c r="GZ3079" s="37"/>
      <c r="HA3079" s="37"/>
      <c r="HB3079" s="37"/>
      <c r="HC3079" s="37"/>
      <c r="HD3079" s="37"/>
      <c r="HE3079" s="37"/>
      <c r="HF3079" s="37"/>
      <c r="HG3079" s="37"/>
      <c r="HH3079" s="37"/>
      <c r="HI3079" s="37"/>
      <c r="HJ3079" s="37"/>
      <c r="HK3079" s="37"/>
      <c r="HL3079" s="37"/>
      <c r="HM3079" s="37"/>
      <c r="HN3079" s="37"/>
      <c r="HO3079" s="37"/>
      <c r="HP3079" s="37"/>
      <c r="HQ3079" s="37"/>
      <c r="HR3079" s="37"/>
      <c r="HS3079" s="37"/>
      <c r="HT3079" s="37"/>
      <c r="HU3079" s="37"/>
      <c r="HV3079" s="37"/>
      <c r="HW3079" s="37"/>
      <c r="HX3079" s="37"/>
      <c r="HY3079" s="37"/>
      <c r="HZ3079" s="37"/>
      <c r="IA3079" s="37"/>
      <c r="IB3079" s="37"/>
      <c r="IC3079" s="37"/>
      <c r="ID3079" s="37"/>
      <c r="IE3079" s="37"/>
      <c r="IF3079" s="37"/>
      <c r="IG3079" s="37"/>
      <c r="IH3079" s="37"/>
      <c r="II3079" s="37"/>
      <c r="IJ3079" s="37"/>
      <c r="IK3079" s="37"/>
      <c r="IL3079" s="37"/>
      <c r="IM3079" s="37"/>
      <c r="IN3079" s="37"/>
      <c r="IO3079" s="37"/>
      <c r="IP3079" s="37"/>
      <c r="IQ3079" s="37"/>
      <c r="IR3079" s="37"/>
      <c r="IS3079" s="37"/>
      <c r="IT3079" s="37"/>
      <c r="IU3079" s="37"/>
      <c r="IV3079" s="37"/>
      <c r="IW3079" s="37"/>
      <c r="IX3079" s="37"/>
      <c r="IY3079" s="37"/>
      <c r="IZ3079" s="37"/>
      <c r="JA3079" s="37"/>
      <c r="JB3079" s="37"/>
      <c r="JC3079" s="37"/>
      <c r="JD3079" s="37"/>
      <c r="JE3079" s="37"/>
      <c r="JF3079" s="37"/>
      <c r="JG3079" s="37"/>
      <c r="JH3079" s="37"/>
      <c r="JI3079" s="37"/>
      <c r="JJ3079" s="37"/>
      <c r="JK3079" s="37"/>
      <c r="JL3079" s="37"/>
      <c r="JM3079" s="37"/>
      <c r="JN3079" s="37"/>
      <c r="JO3079" s="37"/>
      <c r="JP3079" s="37"/>
      <c r="JQ3079" s="37"/>
      <c r="JR3079" s="37"/>
      <c r="JS3079" s="37"/>
      <c r="JT3079" s="37"/>
      <c r="JU3079" s="37"/>
      <c r="JV3079" s="37"/>
      <c r="JW3079" s="37"/>
      <c r="JX3079" s="37"/>
      <c r="JY3079" s="37"/>
      <c r="JZ3079" s="37"/>
      <c r="KA3079" s="37"/>
      <c r="KB3079" s="37"/>
      <c r="KC3079" s="37"/>
      <c r="KD3079" s="37"/>
      <c r="KE3079" s="37"/>
      <c r="KF3079" s="37"/>
      <c r="KG3079" s="37"/>
      <c r="KH3079" s="37"/>
      <c r="KI3079" s="37"/>
      <c r="KJ3079" s="37"/>
      <c r="KK3079" s="37"/>
      <c r="KL3079" s="37"/>
      <c r="KM3079" s="37"/>
      <c r="KN3079" s="37"/>
      <c r="KO3079" s="37"/>
      <c r="KP3079" s="37"/>
      <c r="KQ3079" s="37"/>
      <c r="KR3079" s="37"/>
      <c r="KS3079" s="37"/>
      <c r="KT3079" s="37"/>
      <c r="KU3079" s="37"/>
      <c r="KV3079" s="37"/>
      <c r="KW3079" s="37"/>
      <c r="KX3079" s="37"/>
      <c r="KY3079" s="37"/>
      <c r="KZ3079" s="37"/>
      <c r="LA3079" s="37"/>
      <c r="LB3079" s="37"/>
      <c r="LC3079" s="37"/>
      <c r="LD3079" s="37"/>
      <c r="LE3079" s="37"/>
      <c r="LF3079" s="37"/>
      <c r="LG3079" s="37"/>
      <c r="LH3079" s="37"/>
      <c r="LI3079" s="37"/>
      <c r="LJ3079" s="37"/>
      <c r="LK3079" s="37"/>
      <c r="LL3079" s="37"/>
      <c r="LM3079" s="37"/>
      <c r="LN3079" s="37"/>
      <c r="LO3079" s="37"/>
      <c r="LP3079" s="37"/>
      <c r="LQ3079" s="37"/>
      <c r="LR3079" s="37"/>
      <c r="LS3079" s="37"/>
      <c r="LT3079" s="37"/>
      <c r="LU3079" s="37"/>
      <c r="LV3079" s="37"/>
      <c r="LW3079" s="37"/>
      <c r="LX3079" s="37"/>
      <c r="LY3079" s="37"/>
      <c r="LZ3079" s="37"/>
      <c r="MA3079" s="37"/>
      <c r="MB3079" s="37"/>
      <c r="MC3079" s="37"/>
      <c r="MD3079" s="37"/>
      <c r="ME3079" s="37"/>
      <c r="MF3079" s="37"/>
      <c r="MG3079" s="37"/>
      <c r="MH3079" s="37"/>
      <c r="MI3079" s="37"/>
      <c r="MJ3079" s="37"/>
      <c r="MK3079" s="37"/>
      <c r="ML3079" s="37"/>
      <c r="MM3079" s="37"/>
      <c r="MN3079" s="37"/>
      <c r="MO3079" s="37"/>
      <c r="MP3079" s="37"/>
      <c r="MQ3079" s="37"/>
      <c r="MR3079" s="37"/>
      <c r="MS3079" s="37"/>
      <c r="MT3079" s="37"/>
      <c r="MU3079" s="37"/>
      <c r="MV3079" s="37"/>
      <c r="MW3079" s="37"/>
      <c r="MX3079" s="37"/>
      <c r="MY3079" s="37"/>
      <c r="MZ3079" s="37"/>
      <c r="NA3079" s="37"/>
      <c r="NB3079" s="37"/>
      <c r="NC3079" s="37"/>
      <c r="ND3079" s="37"/>
      <c r="NE3079" s="37"/>
      <c r="NF3079" s="37"/>
      <c r="NG3079" s="37"/>
      <c r="NH3079" s="37"/>
      <c r="NI3079" s="37"/>
      <c r="NJ3079" s="37"/>
      <c r="NK3079" s="37"/>
      <c r="NL3079" s="37"/>
      <c r="NM3079" s="37"/>
      <c r="NN3079" s="37"/>
      <c r="NO3079" s="37"/>
      <c r="NP3079" s="37"/>
      <c r="NQ3079" s="37"/>
      <c r="NR3079" s="37"/>
      <c r="NS3079" s="37"/>
      <c r="NT3079" s="37"/>
      <c r="NU3079" s="37"/>
      <c r="NV3079" s="37"/>
      <c r="NW3079" s="37"/>
      <c r="NX3079" s="37"/>
      <c r="NY3079" s="37"/>
      <c r="NZ3079" s="37"/>
      <c r="OA3079" s="37"/>
      <c r="OB3079" s="37"/>
      <c r="OC3079" s="37"/>
      <c r="OD3079" s="37"/>
      <c r="OE3079" s="37"/>
      <c r="OF3079" s="37"/>
      <c r="OG3079" s="37"/>
      <c r="OH3079" s="37"/>
      <c r="OI3079" s="37"/>
      <c r="OJ3079" s="37"/>
      <c r="OK3079" s="37"/>
      <c r="OL3079" s="37"/>
      <c r="OM3079" s="37"/>
      <c r="ON3079" s="37"/>
      <c r="OO3079" s="37"/>
      <c r="OP3079" s="37"/>
      <c r="OQ3079" s="37"/>
      <c r="OR3079" s="37"/>
      <c r="OS3079" s="37"/>
      <c r="OT3079" s="37"/>
      <c r="OU3079" s="37"/>
      <c r="OV3079" s="37"/>
      <c r="OW3079" s="37"/>
      <c r="OX3079" s="37"/>
      <c r="OY3079" s="37"/>
      <c r="OZ3079" s="37"/>
      <c r="PA3079" s="37"/>
      <c r="PB3079" s="37"/>
      <c r="PC3079" s="37"/>
      <c r="PD3079" s="37"/>
      <c r="PE3079" s="37"/>
      <c r="PF3079" s="37"/>
      <c r="PG3079" s="37"/>
      <c r="PH3079" s="37"/>
      <c r="PI3079" s="37"/>
      <c r="PJ3079" s="37"/>
      <c r="PK3079" s="37"/>
      <c r="PL3079" s="37"/>
      <c r="PM3079" s="37"/>
      <c r="PN3079" s="37"/>
      <c r="PO3079" s="37"/>
      <c r="PP3079" s="37"/>
      <c r="PQ3079" s="37"/>
      <c r="PR3079" s="37"/>
      <c r="PS3079" s="37"/>
      <c r="PT3079" s="37"/>
      <c r="PU3079" s="37"/>
      <c r="PV3079" s="37"/>
      <c r="PW3079" s="37"/>
      <c r="PX3079" s="37"/>
      <c r="PY3079" s="37"/>
      <c r="PZ3079" s="37"/>
      <c r="QA3079" s="37"/>
      <c r="QB3079" s="37"/>
      <c r="QC3079" s="37"/>
      <c r="QD3079" s="37"/>
      <c r="QE3079" s="37"/>
      <c r="QF3079" s="37"/>
      <c r="QG3079" s="37"/>
      <c r="QH3079" s="37"/>
      <c r="QI3079" s="37"/>
      <c r="QJ3079" s="37"/>
      <c r="QK3079" s="37"/>
      <c r="QL3079" s="37"/>
      <c r="QM3079" s="37"/>
      <c r="QN3079" s="37"/>
      <c r="QO3079" s="37"/>
      <c r="QP3079" s="37"/>
      <c r="QQ3079" s="37"/>
      <c r="QR3079" s="37"/>
      <c r="QS3079" s="37"/>
      <c r="QT3079" s="37"/>
      <c r="QU3079" s="37"/>
      <c r="QV3079" s="37"/>
      <c r="QW3079" s="37"/>
      <c r="QX3079" s="37"/>
      <c r="QY3079" s="37"/>
      <c r="QZ3079" s="37"/>
      <c r="RA3079" s="37"/>
      <c r="RB3079" s="37"/>
      <c r="RC3079" s="37"/>
      <c r="RD3079" s="37"/>
      <c r="RE3079" s="37"/>
      <c r="RF3079" s="37"/>
      <c r="RG3079" s="37"/>
      <c r="RH3079" s="37"/>
      <c r="RI3079" s="37"/>
      <c r="RJ3079" s="37"/>
      <c r="RK3079" s="37"/>
      <c r="RL3079" s="37"/>
      <c r="RM3079" s="37"/>
      <c r="RN3079" s="37"/>
      <c r="RO3079" s="37"/>
      <c r="RP3079" s="37"/>
      <c r="RQ3079" s="37"/>
      <c r="RR3079" s="37"/>
      <c r="RS3079" s="37"/>
      <c r="RT3079" s="37"/>
      <c r="RU3079" s="37"/>
      <c r="RV3079" s="37"/>
      <c r="RW3079" s="37"/>
      <c r="RX3079" s="37"/>
      <c r="RY3079" s="37"/>
      <c r="RZ3079" s="37"/>
      <c r="SA3079" s="37"/>
      <c r="SB3079" s="37"/>
      <c r="SC3079" s="37"/>
      <c r="SD3079" s="37"/>
      <c r="SE3079" s="37"/>
      <c r="SF3079" s="37"/>
    </row>
    <row r="3080" spans="1:500">
      <c r="A3080" s="37"/>
      <c r="B3080" s="37"/>
      <c r="C3080" s="37"/>
      <c r="D3080" s="37"/>
      <c r="E3080" s="37"/>
      <c r="F3080" s="37"/>
      <c r="G3080" s="37"/>
      <c r="H3080" s="37"/>
      <c r="I3080" s="37"/>
      <c r="J3080" s="37"/>
      <c r="K3080" s="37"/>
      <c r="L3080" s="37"/>
      <c r="M3080" s="37"/>
      <c r="N3080" s="37"/>
      <c r="O3080" s="37"/>
      <c r="P3080" s="37"/>
      <c r="Q3080" s="37"/>
      <c r="R3080" s="37"/>
      <c r="S3080" s="37"/>
      <c r="T3080" s="37"/>
      <c r="U3080" s="37"/>
      <c r="V3080" s="37"/>
      <c r="W3080" s="37"/>
      <c r="X3080" s="37"/>
      <c r="Y3080" s="37"/>
      <c r="Z3080" s="37"/>
      <c r="AA3080" s="37"/>
      <c r="AB3080" s="37"/>
      <c r="AC3080" s="37"/>
      <c r="AD3080" s="37"/>
      <c r="AE3080" s="37"/>
      <c r="AF3080" s="37"/>
      <c r="AG3080" s="37"/>
      <c r="AH3080" s="37"/>
      <c r="AI3080" s="37"/>
      <c r="AJ3080" s="37"/>
      <c r="AK3080" s="37"/>
      <c r="AL3080" s="37"/>
      <c r="AM3080" s="37"/>
      <c r="AN3080" s="37"/>
      <c r="AO3080" s="37"/>
      <c r="AP3080" s="37"/>
      <c r="AQ3080" s="37"/>
      <c r="AR3080" s="37"/>
      <c r="AS3080" s="37"/>
      <c r="AT3080" s="37"/>
      <c r="AU3080" s="37"/>
      <c r="AV3080" s="37"/>
      <c r="AW3080" s="37"/>
      <c r="AX3080" s="37"/>
      <c r="AY3080" s="37"/>
      <c r="AZ3080" s="37"/>
      <c r="BA3080" s="37"/>
      <c r="BB3080" s="37"/>
      <c r="BC3080" s="37"/>
      <c r="BD3080" s="37"/>
      <c r="BE3080" s="37"/>
      <c r="BF3080" s="37"/>
      <c r="BG3080" s="37"/>
      <c r="BH3080" s="37"/>
      <c r="BI3080" s="37"/>
      <c r="BJ3080" s="37"/>
      <c r="BK3080" s="37"/>
      <c r="BL3080" s="37"/>
      <c r="BM3080" s="37"/>
      <c r="BN3080" s="37"/>
      <c r="BO3080" s="37"/>
      <c r="BP3080" s="37"/>
      <c r="BQ3080" s="37"/>
      <c r="BR3080" s="37"/>
      <c r="BS3080" s="37"/>
      <c r="BT3080" s="37"/>
      <c r="BU3080" s="37"/>
      <c r="BV3080" s="37"/>
      <c r="BW3080" s="37"/>
      <c r="BX3080" s="37"/>
      <c r="BY3080" s="37"/>
      <c r="BZ3080" s="37"/>
      <c r="CA3080" s="37"/>
      <c r="CB3080" s="37"/>
      <c r="CC3080" s="37"/>
      <c r="CD3080" s="37"/>
      <c r="CE3080" s="37"/>
      <c r="CF3080" s="37"/>
      <c r="CG3080" s="37"/>
      <c r="CH3080" s="37"/>
      <c r="CI3080" s="37"/>
      <c r="CJ3080" s="37"/>
      <c r="CK3080" s="37"/>
      <c r="CL3080" s="37"/>
      <c r="CM3080" s="37"/>
      <c r="CN3080" s="37"/>
      <c r="CO3080" s="37"/>
      <c r="CP3080" s="37"/>
      <c r="CQ3080" s="37"/>
      <c r="CR3080" s="37"/>
      <c r="CS3080" s="37"/>
      <c r="CT3080" s="37"/>
      <c r="CU3080" s="37"/>
      <c r="CV3080" s="37"/>
      <c r="CW3080" s="37"/>
      <c r="CX3080" s="37"/>
      <c r="CY3080" s="37"/>
      <c r="CZ3080" s="37"/>
      <c r="DA3080" s="37"/>
      <c r="DB3080" s="37"/>
      <c r="DC3080" s="37"/>
      <c r="DD3080" s="37"/>
      <c r="DE3080" s="37"/>
      <c r="DF3080" s="37"/>
      <c r="DG3080" s="37"/>
      <c r="DH3080" s="37"/>
      <c r="DI3080" s="37"/>
      <c r="DJ3080" s="37"/>
      <c r="DK3080" s="37"/>
      <c r="DL3080" s="37"/>
      <c r="DM3080" s="37"/>
      <c r="DN3080" s="37"/>
      <c r="DO3080" s="37"/>
      <c r="DP3080" s="37"/>
      <c r="DQ3080" s="37"/>
      <c r="DR3080" s="37"/>
      <c r="DS3080" s="37"/>
      <c r="DT3080" s="37"/>
      <c r="DU3080" s="37"/>
      <c r="DV3080" s="37"/>
      <c r="DW3080" s="37"/>
      <c r="DX3080" s="37"/>
      <c r="DY3080" s="37"/>
      <c r="DZ3080" s="37"/>
      <c r="EA3080" s="37"/>
      <c r="EB3080" s="37"/>
      <c r="EC3080" s="37"/>
      <c r="ED3080" s="37"/>
      <c r="EE3080" s="37"/>
      <c r="EF3080" s="37"/>
      <c r="EG3080" s="37"/>
      <c r="EH3080" s="37"/>
      <c r="EI3080" s="37"/>
      <c r="EJ3080" s="37"/>
      <c r="EK3080" s="37"/>
      <c r="EL3080" s="37"/>
      <c r="EM3080" s="37"/>
      <c r="EN3080" s="37"/>
      <c r="EO3080" s="37"/>
      <c r="EP3080" s="37"/>
      <c r="EQ3080" s="37"/>
      <c r="ER3080" s="37"/>
      <c r="ES3080" s="37"/>
      <c r="ET3080" s="37"/>
      <c r="EU3080" s="37"/>
      <c r="EV3080" s="37"/>
      <c r="EW3080" s="37"/>
      <c r="EX3080" s="37"/>
      <c r="EY3080" s="37"/>
      <c r="EZ3080" s="37"/>
      <c r="FA3080" s="37"/>
      <c r="FB3080" s="37"/>
      <c r="FC3080" s="37"/>
      <c r="FD3080" s="37"/>
      <c r="FE3080" s="37"/>
      <c r="FF3080" s="37"/>
      <c r="FG3080" s="37"/>
      <c r="FH3080" s="37"/>
      <c r="FI3080" s="37"/>
      <c r="FJ3080" s="37"/>
      <c r="FK3080" s="37"/>
      <c r="FL3080" s="37"/>
      <c r="FM3080" s="37"/>
      <c r="FN3080" s="37"/>
      <c r="FO3080" s="37"/>
      <c r="FP3080" s="37"/>
      <c r="FQ3080" s="37"/>
      <c r="FR3080" s="37"/>
      <c r="FS3080" s="37"/>
      <c r="FT3080" s="37"/>
      <c r="FU3080" s="37"/>
      <c r="FV3080" s="37"/>
      <c r="FW3080" s="37"/>
      <c r="FX3080" s="37"/>
      <c r="FY3080" s="37"/>
      <c r="FZ3080" s="37"/>
      <c r="GA3080" s="37"/>
      <c r="GB3080" s="37"/>
      <c r="GC3080" s="37"/>
      <c r="GD3080" s="37"/>
      <c r="GE3080" s="37"/>
      <c r="GF3080" s="37"/>
      <c r="GG3080" s="37"/>
      <c r="GH3080" s="37"/>
      <c r="GI3080" s="37"/>
      <c r="GJ3080" s="37"/>
      <c r="GK3080" s="37"/>
      <c r="GL3080" s="37"/>
      <c r="GM3080" s="37"/>
      <c r="GN3080" s="37"/>
      <c r="GO3080" s="37"/>
      <c r="GP3080" s="37"/>
      <c r="GQ3080" s="37"/>
      <c r="GR3080" s="37"/>
      <c r="GS3080" s="37"/>
      <c r="GT3080" s="37"/>
      <c r="GU3080" s="37"/>
      <c r="GV3080" s="37"/>
      <c r="GW3080" s="37"/>
      <c r="GX3080" s="37"/>
      <c r="GY3080" s="37"/>
      <c r="GZ3080" s="37"/>
      <c r="HA3080" s="37"/>
      <c r="HB3080" s="37"/>
      <c r="HC3080" s="37"/>
      <c r="HD3080" s="37"/>
      <c r="HE3080" s="37"/>
      <c r="HF3080" s="37"/>
      <c r="HG3080" s="37"/>
      <c r="HH3080" s="37"/>
      <c r="HI3080" s="37"/>
      <c r="HJ3080" s="37"/>
      <c r="HK3080" s="37"/>
      <c r="HL3080" s="37"/>
      <c r="HM3080" s="37"/>
      <c r="HN3080" s="37"/>
      <c r="HO3080" s="37"/>
      <c r="HP3080" s="37"/>
      <c r="HQ3080" s="37"/>
      <c r="HR3080" s="37"/>
      <c r="HS3080" s="37"/>
      <c r="HT3080" s="37"/>
      <c r="HU3080" s="37"/>
      <c r="HV3080" s="37"/>
      <c r="HW3080" s="37"/>
      <c r="HX3080" s="37"/>
      <c r="HY3080" s="37"/>
      <c r="HZ3080" s="37"/>
      <c r="IA3080" s="37"/>
      <c r="IB3080" s="37"/>
      <c r="IC3080" s="37"/>
      <c r="ID3080" s="37"/>
      <c r="IE3080" s="37"/>
      <c r="IF3080" s="37"/>
      <c r="IG3080" s="37"/>
      <c r="IH3080" s="37"/>
      <c r="II3080" s="37"/>
      <c r="IJ3080" s="37"/>
      <c r="IK3080" s="37"/>
      <c r="IL3080" s="37"/>
      <c r="IM3080" s="37"/>
      <c r="IN3080" s="37"/>
      <c r="IO3080" s="37"/>
      <c r="IP3080" s="37"/>
      <c r="IQ3080" s="37"/>
      <c r="IR3080" s="37"/>
      <c r="IS3080" s="37"/>
      <c r="IT3080" s="37"/>
      <c r="IU3080" s="37"/>
      <c r="IV3080" s="37"/>
      <c r="IW3080" s="37"/>
      <c r="IX3080" s="37"/>
      <c r="IY3080" s="37"/>
      <c r="IZ3080" s="37"/>
      <c r="JA3080" s="37"/>
      <c r="JB3080" s="37"/>
      <c r="JC3080" s="37"/>
      <c r="JD3080" s="37"/>
      <c r="JE3080" s="37"/>
      <c r="JF3080" s="37"/>
      <c r="JG3080" s="37"/>
      <c r="JH3080" s="37"/>
      <c r="JI3080" s="37"/>
      <c r="JJ3080" s="37"/>
      <c r="JK3080" s="37"/>
      <c r="JL3080" s="37"/>
      <c r="JM3080" s="37"/>
      <c r="JN3080" s="37"/>
      <c r="JO3080" s="37"/>
      <c r="JP3080" s="37"/>
      <c r="JQ3080" s="37"/>
      <c r="JR3080" s="37"/>
      <c r="JS3080" s="37"/>
      <c r="JT3080" s="37"/>
      <c r="JU3080" s="37"/>
      <c r="JV3080" s="37"/>
      <c r="JW3080" s="37"/>
      <c r="JX3080" s="37"/>
      <c r="JY3080" s="37"/>
      <c r="JZ3080" s="37"/>
      <c r="KA3080" s="37"/>
      <c r="KB3080" s="37"/>
      <c r="KC3080" s="37"/>
      <c r="KD3080" s="37"/>
      <c r="KE3080" s="37"/>
      <c r="KF3080" s="37"/>
      <c r="KG3080" s="37"/>
      <c r="KH3080" s="37"/>
      <c r="KI3080" s="37"/>
      <c r="KJ3080" s="37"/>
      <c r="KK3080" s="37"/>
      <c r="KL3080" s="37"/>
      <c r="KM3080" s="37"/>
      <c r="KN3080" s="37"/>
      <c r="KO3080" s="37"/>
      <c r="KP3080" s="37"/>
      <c r="KQ3080" s="37"/>
      <c r="KR3080" s="37"/>
      <c r="KS3080" s="37"/>
      <c r="KT3080" s="37"/>
      <c r="KU3080" s="37"/>
      <c r="KV3080" s="37"/>
      <c r="KW3080" s="37"/>
      <c r="KX3080" s="37"/>
      <c r="KY3080" s="37"/>
      <c r="KZ3080" s="37"/>
      <c r="LA3080" s="37"/>
      <c r="LB3080" s="37"/>
      <c r="LC3080" s="37"/>
      <c r="LD3080" s="37"/>
      <c r="LE3080" s="37"/>
      <c r="LF3080" s="37"/>
      <c r="LG3080" s="37"/>
      <c r="LH3080" s="37"/>
      <c r="LI3080" s="37"/>
      <c r="LJ3080" s="37"/>
      <c r="LK3080" s="37"/>
      <c r="LL3080" s="37"/>
      <c r="LM3080" s="37"/>
      <c r="LN3080" s="37"/>
      <c r="LO3080" s="37"/>
      <c r="LP3080" s="37"/>
      <c r="LQ3080" s="37"/>
      <c r="LR3080" s="37"/>
      <c r="LS3080" s="37"/>
      <c r="LT3080" s="37"/>
      <c r="LU3080" s="37"/>
      <c r="LV3080" s="37"/>
      <c r="LW3080" s="37"/>
      <c r="LX3080" s="37"/>
      <c r="LY3080" s="37"/>
      <c r="LZ3080" s="37"/>
      <c r="MA3080" s="37"/>
      <c r="MB3080" s="37"/>
      <c r="MC3080" s="37"/>
      <c r="MD3080" s="37"/>
      <c r="ME3080" s="37"/>
      <c r="MF3080" s="37"/>
      <c r="MG3080" s="37"/>
      <c r="MH3080" s="37"/>
      <c r="MI3080" s="37"/>
      <c r="MJ3080" s="37"/>
      <c r="MK3080" s="37"/>
      <c r="ML3080" s="37"/>
      <c r="MM3080" s="37"/>
      <c r="MN3080" s="37"/>
      <c r="MO3080" s="37"/>
      <c r="MP3080" s="37"/>
      <c r="MQ3080" s="37"/>
      <c r="MR3080" s="37"/>
      <c r="MS3080" s="37"/>
      <c r="MT3080" s="37"/>
      <c r="MU3080" s="37"/>
      <c r="MV3080" s="37"/>
      <c r="MW3080" s="37"/>
      <c r="MX3080" s="37"/>
      <c r="MY3080" s="37"/>
      <c r="MZ3080" s="37"/>
      <c r="NA3080" s="37"/>
      <c r="NB3080" s="37"/>
      <c r="NC3080" s="37"/>
      <c r="ND3080" s="37"/>
      <c r="NE3080" s="37"/>
      <c r="NF3080" s="37"/>
      <c r="NG3080" s="37"/>
      <c r="NH3080" s="37"/>
      <c r="NI3080" s="37"/>
      <c r="NJ3080" s="37"/>
      <c r="NK3080" s="37"/>
      <c r="NL3080" s="37"/>
      <c r="NM3080" s="37"/>
      <c r="NN3080" s="37"/>
      <c r="NO3080" s="37"/>
      <c r="NP3080" s="37"/>
      <c r="NQ3080" s="37"/>
      <c r="NR3080" s="37"/>
      <c r="NS3080" s="37"/>
      <c r="NT3080" s="37"/>
      <c r="NU3080" s="37"/>
      <c r="NV3080" s="37"/>
      <c r="NW3080" s="37"/>
      <c r="NX3080" s="37"/>
      <c r="NY3080" s="37"/>
      <c r="NZ3080" s="37"/>
      <c r="OA3080" s="37"/>
      <c r="OB3080" s="37"/>
      <c r="OC3080" s="37"/>
      <c r="OD3080" s="37"/>
      <c r="OE3080" s="37"/>
      <c r="OF3080" s="37"/>
      <c r="OG3080" s="37"/>
      <c r="OH3080" s="37"/>
      <c r="OI3080" s="37"/>
      <c r="OJ3080" s="37"/>
      <c r="OK3080" s="37"/>
      <c r="OL3080" s="37"/>
      <c r="OM3080" s="37"/>
      <c r="ON3080" s="37"/>
      <c r="OO3080" s="37"/>
      <c r="OP3080" s="37"/>
      <c r="OQ3080" s="37"/>
      <c r="OR3080" s="37"/>
      <c r="OS3080" s="37"/>
      <c r="OT3080" s="37"/>
      <c r="OU3080" s="37"/>
      <c r="OV3080" s="37"/>
      <c r="OW3080" s="37"/>
      <c r="OX3080" s="37"/>
      <c r="OY3080" s="37"/>
      <c r="OZ3080" s="37"/>
      <c r="PA3080" s="37"/>
      <c r="PB3080" s="37"/>
      <c r="PC3080" s="37"/>
      <c r="PD3080" s="37"/>
      <c r="PE3080" s="37"/>
      <c r="PF3080" s="37"/>
      <c r="PG3080" s="37"/>
      <c r="PH3080" s="37"/>
      <c r="PI3080" s="37"/>
      <c r="PJ3080" s="37"/>
      <c r="PK3080" s="37"/>
      <c r="PL3080" s="37"/>
      <c r="PM3080" s="37"/>
      <c r="PN3080" s="37"/>
      <c r="PO3080" s="37"/>
      <c r="PP3080" s="37"/>
      <c r="PQ3080" s="37"/>
      <c r="PR3080" s="37"/>
      <c r="PS3080" s="37"/>
      <c r="PT3080" s="37"/>
      <c r="PU3080" s="37"/>
      <c r="PV3080" s="37"/>
      <c r="PW3080" s="37"/>
      <c r="PX3080" s="37"/>
      <c r="PY3080" s="37"/>
      <c r="PZ3080" s="37"/>
      <c r="QA3080" s="37"/>
      <c r="QB3080" s="37"/>
      <c r="QC3080" s="37"/>
      <c r="QD3080" s="37"/>
      <c r="QE3080" s="37"/>
      <c r="QF3080" s="37"/>
      <c r="QG3080" s="37"/>
      <c r="QH3080" s="37"/>
      <c r="QI3080" s="37"/>
      <c r="QJ3080" s="37"/>
      <c r="QK3080" s="37"/>
      <c r="QL3080" s="37"/>
      <c r="QM3080" s="37"/>
      <c r="QN3080" s="37"/>
      <c r="QO3080" s="37"/>
      <c r="QP3080" s="37"/>
      <c r="QQ3080" s="37"/>
      <c r="QR3080" s="37"/>
      <c r="QS3080" s="37"/>
      <c r="QT3080" s="37"/>
      <c r="QU3080" s="37"/>
      <c r="QV3080" s="37"/>
      <c r="QW3080" s="37"/>
      <c r="QX3080" s="37"/>
      <c r="QY3080" s="37"/>
      <c r="QZ3080" s="37"/>
      <c r="RA3080" s="37"/>
      <c r="RB3080" s="37"/>
      <c r="RC3080" s="37"/>
      <c r="RD3080" s="37"/>
      <c r="RE3080" s="37"/>
      <c r="RF3080" s="37"/>
      <c r="RG3080" s="37"/>
      <c r="RH3080" s="37"/>
      <c r="RI3080" s="37"/>
      <c r="RJ3080" s="37"/>
      <c r="RK3080" s="37"/>
      <c r="RL3080" s="37"/>
      <c r="RM3080" s="37"/>
      <c r="RN3080" s="37"/>
      <c r="RO3080" s="37"/>
      <c r="RP3080" s="37"/>
      <c r="RQ3080" s="37"/>
      <c r="RR3080" s="37"/>
      <c r="RS3080" s="37"/>
      <c r="RT3080" s="37"/>
      <c r="RU3080" s="37"/>
      <c r="RV3080" s="37"/>
      <c r="RW3080" s="37"/>
      <c r="RX3080" s="37"/>
      <c r="RY3080" s="37"/>
      <c r="RZ3080" s="37"/>
      <c r="SA3080" s="37"/>
      <c r="SB3080" s="37"/>
      <c r="SC3080" s="37"/>
      <c r="SD3080" s="37"/>
      <c r="SE3080" s="37"/>
      <c r="SF3080" s="37"/>
    </row>
    <row r="3081" spans="1:500">
      <c r="A3081" s="37"/>
      <c r="B3081" s="37"/>
      <c r="C3081" s="37"/>
      <c r="D3081" s="37"/>
      <c r="E3081" s="37"/>
      <c r="F3081" s="37"/>
      <c r="G3081" s="37"/>
      <c r="H3081" s="37"/>
      <c r="I3081" s="37"/>
      <c r="J3081" s="37"/>
      <c r="K3081" s="37"/>
      <c r="L3081" s="37"/>
      <c r="M3081" s="37"/>
      <c r="N3081" s="37"/>
      <c r="O3081" s="37"/>
      <c r="P3081" s="37"/>
      <c r="Q3081" s="37"/>
      <c r="R3081" s="37"/>
      <c r="S3081" s="37"/>
      <c r="T3081" s="37"/>
      <c r="U3081" s="37"/>
      <c r="V3081" s="37"/>
      <c r="W3081" s="37"/>
      <c r="X3081" s="37"/>
      <c r="Y3081" s="37"/>
      <c r="Z3081" s="37"/>
      <c r="AA3081" s="37"/>
      <c r="AB3081" s="37"/>
      <c r="AC3081" s="37"/>
      <c r="AD3081" s="37"/>
      <c r="AE3081" s="37"/>
      <c r="AF3081" s="37"/>
      <c r="AG3081" s="37"/>
      <c r="AH3081" s="37"/>
      <c r="AI3081" s="37"/>
      <c r="AJ3081" s="37"/>
      <c r="AK3081" s="37"/>
      <c r="AL3081" s="37"/>
      <c r="AM3081" s="37"/>
      <c r="AN3081" s="37"/>
      <c r="AO3081" s="37"/>
      <c r="AP3081" s="37"/>
      <c r="AQ3081" s="37"/>
      <c r="AR3081" s="37"/>
      <c r="AS3081" s="37"/>
      <c r="AT3081" s="37"/>
      <c r="AU3081" s="37"/>
      <c r="AV3081" s="37"/>
      <c r="AW3081" s="37"/>
      <c r="AX3081" s="37"/>
      <c r="AY3081" s="37"/>
      <c r="AZ3081" s="37"/>
      <c r="BA3081" s="37"/>
      <c r="BB3081" s="37"/>
      <c r="BC3081" s="37"/>
      <c r="BD3081" s="37"/>
      <c r="BE3081" s="37"/>
      <c r="BF3081" s="37"/>
      <c r="BG3081" s="37"/>
      <c r="BH3081" s="37"/>
      <c r="BI3081" s="37"/>
      <c r="BJ3081" s="37"/>
      <c r="BK3081" s="37"/>
      <c r="BL3081" s="37"/>
      <c r="BM3081" s="37"/>
      <c r="BN3081" s="37"/>
      <c r="BO3081" s="37"/>
      <c r="BP3081" s="37"/>
      <c r="BQ3081" s="37"/>
      <c r="BR3081" s="37"/>
      <c r="BS3081" s="37"/>
      <c r="BT3081" s="37"/>
      <c r="BU3081" s="37"/>
      <c r="BV3081" s="37"/>
      <c r="BW3081" s="37"/>
      <c r="BX3081" s="37"/>
      <c r="BY3081" s="37"/>
      <c r="BZ3081" s="37"/>
      <c r="CA3081" s="37"/>
      <c r="CB3081" s="37"/>
      <c r="CC3081" s="37"/>
      <c r="CD3081" s="37"/>
      <c r="CE3081" s="37"/>
      <c r="CF3081" s="37"/>
      <c r="CG3081" s="37"/>
      <c r="CH3081" s="37"/>
      <c r="CI3081" s="37"/>
      <c r="CJ3081" s="37"/>
      <c r="CK3081" s="37"/>
      <c r="CL3081" s="37"/>
      <c r="CM3081" s="37"/>
      <c r="CN3081" s="37"/>
      <c r="CO3081" s="37"/>
      <c r="CP3081" s="37"/>
      <c r="CQ3081" s="37"/>
      <c r="CR3081" s="37"/>
      <c r="CS3081" s="37"/>
      <c r="CT3081" s="37"/>
      <c r="CU3081" s="37"/>
      <c r="CV3081" s="37"/>
      <c r="CW3081" s="37"/>
      <c r="CX3081" s="37"/>
      <c r="CY3081" s="37"/>
      <c r="CZ3081" s="37"/>
      <c r="DA3081" s="37"/>
      <c r="DB3081" s="37"/>
      <c r="DC3081" s="37"/>
      <c r="DD3081" s="37"/>
      <c r="DE3081" s="37"/>
      <c r="DF3081" s="37"/>
      <c r="DG3081" s="37"/>
      <c r="DH3081" s="37"/>
      <c r="DI3081" s="37"/>
      <c r="DJ3081" s="37"/>
      <c r="DK3081" s="37"/>
      <c r="DL3081" s="37"/>
      <c r="DM3081" s="37"/>
      <c r="DN3081" s="37"/>
      <c r="DO3081" s="37"/>
      <c r="DP3081" s="37"/>
      <c r="DQ3081" s="37"/>
      <c r="DR3081" s="37"/>
      <c r="DS3081" s="37"/>
      <c r="DT3081" s="37"/>
      <c r="DU3081" s="37"/>
      <c r="DV3081" s="37"/>
      <c r="DW3081" s="37"/>
      <c r="DX3081" s="37"/>
      <c r="DY3081" s="37"/>
      <c r="DZ3081" s="37"/>
      <c r="EA3081" s="37"/>
      <c r="EB3081" s="37"/>
      <c r="EC3081" s="37"/>
      <c r="ED3081" s="37"/>
      <c r="EE3081" s="37"/>
      <c r="EF3081" s="37"/>
      <c r="EG3081" s="37"/>
      <c r="EH3081" s="37"/>
      <c r="EI3081" s="37"/>
      <c r="EJ3081" s="37"/>
      <c r="EK3081" s="37"/>
      <c r="EL3081" s="37"/>
      <c r="EM3081" s="37"/>
      <c r="EN3081" s="37"/>
      <c r="EO3081" s="37"/>
      <c r="EP3081" s="37"/>
      <c r="EQ3081" s="37"/>
      <c r="ER3081" s="37"/>
      <c r="ES3081" s="37"/>
      <c r="ET3081" s="37"/>
      <c r="EU3081" s="37"/>
      <c r="EV3081" s="37"/>
      <c r="EW3081" s="37"/>
      <c r="EX3081" s="37"/>
      <c r="EY3081" s="37"/>
      <c r="EZ3081" s="37"/>
      <c r="FA3081" s="37"/>
      <c r="FB3081" s="37"/>
      <c r="FC3081" s="37"/>
      <c r="FD3081" s="37"/>
      <c r="FE3081" s="37"/>
      <c r="FF3081" s="37"/>
      <c r="FG3081" s="37"/>
      <c r="FH3081" s="37"/>
      <c r="FI3081" s="37"/>
      <c r="FJ3081" s="37"/>
      <c r="FK3081" s="37"/>
      <c r="FL3081" s="37"/>
      <c r="FM3081" s="37"/>
      <c r="FN3081" s="37"/>
      <c r="FO3081" s="37"/>
      <c r="FP3081" s="37"/>
      <c r="FQ3081" s="37"/>
      <c r="FR3081" s="37"/>
      <c r="FS3081" s="37"/>
      <c r="FT3081" s="37"/>
      <c r="FU3081" s="37"/>
      <c r="FV3081" s="37"/>
      <c r="FW3081" s="37"/>
      <c r="FX3081" s="37"/>
      <c r="FY3081" s="37"/>
      <c r="FZ3081" s="37"/>
      <c r="GA3081" s="37"/>
      <c r="GB3081" s="37"/>
      <c r="GC3081" s="37"/>
      <c r="GD3081" s="37"/>
      <c r="GE3081" s="37"/>
      <c r="GF3081" s="37"/>
      <c r="GG3081" s="37"/>
      <c r="GH3081" s="37"/>
      <c r="GI3081" s="37"/>
      <c r="GJ3081" s="37"/>
      <c r="GK3081" s="37"/>
      <c r="GL3081" s="37"/>
      <c r="GM3081" s="37"/>
      <c r="GN3081" s="37"/>
      <c r="GO3081" s="37"/>
      <c r="GP3081" s="37"/>
      <c r="GQ3081" s="37"/>
      <c r="GR3081" s="37"/>
      <c r="GS3081" s="37"/>
      <c r="GT3081" s="37"/>
      <c r="GU3081" s="37"/>
      <c r="GV3081" s="37"/>
      <c r="GW3081" s="37"/>
      <c r="GX3081" s="37"/>
      <c r="GY3081" s="37"/>
      <c r="GZ3081" s="37"/>
      <c r="HA3081" s="37"/>
      <c r="HB3081" s="37"/>
      <c r="HC3081" s="37"/>
      <c r="HD3081" s="37"/>
      <c r="HE3081" s="37"/>
      <c r="HF3081" s="37"/>
      <c r="HG3081" s="37"/>
      <c r="HH3081" s="37"/>
      <c r="HI3081" s="37"/>
      <c r="HJ3081" s="37"/>
      <c r="HK3081" s="37"/>
      <c r="HL3081" s="37"/>
      <c r="HM3081" s="37"/>
      <c r="HN3081" s="37"/>
      <c r="HO3081" s="37"/>
      <c r="HP3081" s="37"/>
      <c r="HQ3081" s="37"/>
      <c r="HR3081" s="37"/>
      <c r="HS3081" s="37"/>
      <c r="HT3081" s="37"/>
      <c r="HU3081" s="37"/>
      <c r="HV3081" s="37"/>
      <c r="HW3081" s="37"/>
      <c r="HX3081" s="37"/>
      <c r="HY3081" s="37"/>
      <c r="HZ3081" s="37"/>
      <c r="IA3081" s="37"/>
      <c r="IB3081" s="37"/>
      <c r="IC3081" s="37"/>
      <c r="ID3081" s="37"/>
      <c r="IE3081" s="37"/>
      <c r="IF3081" s="37"/>
      <c r="IG3081" s="37"/>
      <c r="IH3081" s="37"/>
      <c r="II3081" s="37"/>
      <c r="IJ3081" s="37"/>
      <c r="IK3081" s="37"/>
      <c r="IL3081" s="37"/>
      <c r="IM3081" s="37"/>
      <c r="IN3081" s="37"/>
      <c r="IO3081" s="37"/>
      <c r="IP3081" s="37"/>
      <c r="IQ3081" s="37"/>
      <c r="IR3081" s="37"/>
      <c r="IS3081" s="37"/>
      <c r="IT3081" s="37"/>
      <c r="IU3081" s="37"/>
      <c r="IV3081" s="37"/>
      <c r="IW3081" s="37"/>
      <c r="IX3081" s="37"/>
      <c r="IY3081" s="37"/>
      <c r="IZ3081" s="37"/>
      <c r="JA3081" s="37"/>
      <c r="JB3081" s="37"/>
      <c r="JC3081" s="37"/>
      <c r="JD3081" s="37"/>
      <c r="JE3081" s="37"/>
      <c r="JF3081" s="37"/>
      <c r="JG3081" s="37"/>
      <c r="JH3081" s="37"/>
      <c r="JI3081" s="37"/>
      <c r="JJ3081" s="37"/>
      <c r="JK3081" s="37"/>
      <c r="JL3081" s="37"/>
      <c r="JM3081" s="37"/>
      <c r="JN3081" s="37"/>
      <c r="JO3081" s="37"/>
      <c r="JP3081" s="37"/>
      <c r="JQ3081" s="37"/>
      <c r="JR3081" s="37"/>
      <c r="JS3081" s="37"/>
      <c r="JT3081" s="37"/>
      <c r="JU3081" s="37"/>
      <c r="JV3081" s="37"/>
      <c r="JW3081" s="37"/>
      <c r="JX3081" s="37"/>
      <c r="JY3081" s="37"/>
      <c r="JZ3081" s="37"/>
      <c r="KA3081" s="37"/>
      <c r="KB3081" s="37"/>
      <c r="KC3081" s="37"/>
      <c r="KD3081" s="37"/>
      <c r="KE3081" s="37"/>
      <c r="KF3081" s="37"/>
      <c r="KG3081" s="37"/>
      <c r="KH3081" s="37"/>
      <c r="KI3081" s="37"/>
      <c r="KJ3081" s="37"/>
      <c r="KK3081" s="37"/>
      <c r="KL3081" s="37"/>
      <c r="KM3081" s="37"/>
      <c r="KN3081" s="37"/>
      <c r="KO3081" s="37"/>
      <c r="KP3081" s="37"/>
      <c r="KQ3081" s="37"/>
      <c r="KR3081" s="37"/>
      <c r="KS3081" s="37"/>
      <c r="KT3081" s="37"/>
      <c r="KU3081" s="37"/>
      <c r="KV3081" s="37"/>
      <c r="KW3081" s="37"/>
      <c r="KX3081" s="37"/>
      <c r="KY3081" s="37"/>
      <c r="KZ3081" s="37"/>
      <c r="LA3081" s="37"/>
      <c r="LB3081" s="37"/>
      <c r="LC3081" s="37"/>
      <c r="LD3081" s="37"/>
      <c r="LE3081" s="37"/>
      <c r="LF3081" s="37"/>
      <c r="LG3081" s="37"/>
      <c r="LH3081" s="37"/>
      <c r="LI3081" s="37"/>
      <c r="LJ3081" s="37"/>
      <c r="LK3081" s="37"/>
      <c r="LL3081" s="37"/>
      <c r="LM3081" s="37"/>
      <c r="LN3081" s="37"/>
      <c r="LO3081" s="37"/>
      <c r="LP3081" s="37"/>
      <c r="LQ3081" s="37"/>
      <c r="LR3081" s="37"/>
      <c r="LS3081" s="37"/>
      <c r="LT3081" s="37"/>
      <c r="LU3081" s="37"/>
      <c r="LV3081" s="37"/>
      <c r="LW3081" s="37"/>
      <c r="LX3081" s="37"/>
      <c r="LY3081" s="37"/>
      <c r="LZ3081" s="37"/>
      <c r="MA3081" s="37"/>
      <c r="MB3081" s="37"/>
      <c r="MC3081" s="37"/>
      <c r="MD3081" s="37"/>
      <c r="ME3081" s="37"/>
      <c r="MF3081" s="37"/>
      <c r="MG3081" s="37"/>
      <c r="MH3081" s="37"/>
      <c r="MI3081" s="37"/>
      <c r="MJ3081" s="37"/>
      <c r="MK3081" s="37"/>
      <c r="ML3081" s="37"/>
      <c r="MM3081" s="37"/>
      <c r="MN3081" s="37"/>
      <c r="MO3081" s="37"/>
      <c r="MP3081" s="37"/>
      <c r="MQ3081" s="37"/>
      <c r="MR3081" s="37"/>
      <c r="MS3081" s="37"/>
      <c r="MT3081" s="37"/>
      <c r="MU3081" s="37"/>
      <c r="MV3081" s="37"/>
      <c r="MW3081" s="37"/>
      <c r="MX3081" s="37"/>
      <c r="MY3081" s="37"/>
      <c r="MZ3081" s="37"/>
      <c r="NA3081" s="37"/>
      <c r="NB3081" s="37"/>
      <c r="NC3081" s="37"/>
      <c r="ND3081" s="37"/>
      <c r="NE3081" s="37"/>
      <c r="NF3081" s="37"/>
      <c r="NG3081" s="37"/>
      <c r="NH3081" s="37"/>
      <c r="NI3081" s="37"/>
      <c r="NJ3081" s="37"/>
      <c r="NK3081" s="37"/>
      <c r="NL3081" s="37"/>
      <c r="NM3081" s="37"/>
      <c r="NN3081" s="37"/>
      <c r="NO3081" s="37"/>
      <c r="NP3081" s="37"/>
      <c r="NQ3081" s="37"/>
      <c r="NR3081" s="37"/>
      <c r="NS3081" s="37"/>
      <c r="NT3081" s="37"/>
      <c r="NU3081" s="37"/>
      <c r="NV3081" s="37"/>
      <c r="NW3081" s="37"/>
      <c r="NX3081" s="37"/>
      <c r="NY3081" s="37"/>
      <c r="NZ3081" s="37"/>
      <c r="OA3081" s="37"/>
      <c r="OB3081" s="37"/>
      <c r="OC3081" s="37"/>
      <c r="OD3081" s="37"/>
      <c r="OE3081" s="37"/>
      <c r="OF3081" s="37"/>
      <c r="OG3081" s="37"/>
      <c r="OH3081" s="37"/>
      <c r="OI3081" s="37"/>
      <c r="OJ3081" s="37"/>
      <c r="OK3081" s="37"/>
      <c r="OL3081" s="37"/>
      <c r="OM3081" s="37"/>
      <c r="ON3081" s="37"/>
      <c r="OO3081" s="37"/>
      <c r="OP3081" s="37"/>
      <c r="OQ3081" s="37"/>
      <c r="OR3081" s="37"/>
      <c r="OS3081" s="37"/>
      <c r="OT3081" s="37"/>
      <c r="OU3081" s="37"/>
      <c r="OV3081" s="37"/>
      <c r="OW3081" s="37"/>
      <c r="OX3081" s="37"/>
      <c r="OY3081" s="37"/>
      <c r="OZ3081" s="37"/>
      <c r="PA3081" s="37"/>
      <c r="PB3081" s="37"/>
      <c r="PC3081" s="37"/>
      <c r="PD3081" s="37"/>
      <c r="PE3081" s="37"/>
      <c r="PF3081" s="37"/>
      <c r="PG3081" s="37"/>
      <c r="PH3081" s="37"/>
      <c r="PI3081" s="37"/>
      <c r="PJ3081" s="37"/>
      <c r="PK3081" s="37"/>
      <c r="PL3081" s="37"/>
      <c r="PM3081" s="37"/>
      <c r="PN3081" s="37"/>
      <c r="PO3081" s="37"/>
      <c r="PP3081" s="37"/>
      <c r="PQ3081" s="37"/>
      <c r="PR3081" s="37"/>
      <c r="PS3081" s="37"/>
      <c r="PT3081" s="37"/>
      <c r="PU3081" s="37"/>
      <c r="PV3081" s="37"/>
      <c r="PW3081" s="37"/>
      <c r="PX3081" s="37"/>
      <c r="PY3081" s="37"/>
      <c r="PZ3081" s="37"/>
      <c r="QA3081" s="37"/>
      <c r="QB3081" s="37"/>
      <c r="QC3081" s="37"/>
      <c r="QD3081" s="37"/>
      <c r="QE3081" s="37"/>
      <c r="QF3081" s="37"/>
      <c r="QG3081" s="37"/>
      <c r="QH3081" s="37"/>
      <c r="QI3081" s="37"/>
      <c r="QJ3081" s="37"/>
      <c r="QK3081" s="37"/>
      <c r="QL3081" s="37"/>
      <c r="QM3081" s="37"/>
      <c r="QN3081" s="37"/>
      <c r="QO3081" s="37"/>
      <c r="QP3081" s="37"/>
      <c r="QQ3081" s="37"/>
      <c r="QR3081" s="37"/>
      <c r="QS3081" s="37"/>
      <c r="QT3081" s="37"/>
      <c r="QU3081" s="37"/>
      <c r="QV3081" s="37"/>
      <c r="QW3081" s="37"/>
      <c r="QX3081" s="37"/>
      <c r="QY3081" s="37"/>
      <c r="QZ3081" s="37"/>
      <c r="RA3081" s="37"/>
      <c r="RB3081" s="37"/>
      <c r="RC3081" s="37"/>
      <c r="RD3081" s="37"/>
      <c r="RE3081" s="37"/>
      <c r="RF3081" s="37"/>
      <c r="RG3081" s="37"/>
      <c r="RH3081" s="37"/>
      <c r="RI3081" s="37"/>
      <c r="RJ3081" s="37"/>
      <c r="RK3081" s="37"/>
      <c r="RL3081" s="37"/>
      <c r="RM3081" s="37"/>
      <c r="RN3081" s="37"/>
      <c r="RO3081" s="37"/>
      <c r="RP3081" s="37"/>
      <c r="RQ3081" s="37"/>
      <c r="RR3081" s="37"/>
      <c r="RS3081" s="37"/>
      <c r="RT3081" s="37"/>
      <c r="RU3081" s="37"/>
      <c r="RV3081" s="37"/>
      <c r="RW3081" s="37"/>
      <c r="RX3081" s="37"/>
      <c r="RY3081" s="37"/>
      <c r="RZ3081" s="37"/>
      <c r="SA3081" s="37"/>
      <c r="SB3081" s="37"/>
      <c r="SC3081" s="37"/>
      <c r="SD3081" s="37"/>
      <c r="SE3081" s="37"/>
      <c r="SF3081" s="37"/>
    </row>
    <row r="3082" spans="1:500">
      <c r="A3082" s="37"/>
      <c r="B3082" s="37"/>
      <c r="C3082" s="37"/>
      <c r="D3082" s="37"/>
      <c r="E3082" s="37"/>
      <c r="F3082" s="37"/>
      <c r="G3082" s="37"/>
      <c r="H3082" s="37"/>
      <c r="I3082" s="37"/>
      <c r="J3082" s="37"/>
      <c r="K3082" s="37"/>
      <c r="L3082" s="37"/>
      <c r="M3082" s="37"/>
      <c r="N3082" s="37"/>
      <c r="O3082" s="37"/>
      <c r="P3082" s="37"/>
      <c r="Q3082" s="37"/>
      <c r="R3082" s="37"/>
      <c r="S3082" s="37"/>
      <c r="T3082" s="37"/>
      <c r="U3082" s="37"/>
      <c r="V3082" s="37"/>
      <c r="W3082" s="37"/>
      <c r="X3082" s="37"/>
      <c r="Y3082" s="37"/>
      <c r="Z3082" s="37"/>
      <c r="AA3082" s="37"/>
      <c r="AB3082" s="37"/>
      <c r="AC3082" s="37"/>
      <c r="AD3082" s="37"/>
      <c r="AE3082" s="37"/>
      <c r="AF3082" s="37"/>
      <c r="AG3082" s="37"/>
      <c r="AH3082" s="37"/>
      <c r="AI3082" s="37"/>
      <c r="AJ3082" s="37"/>
      <c r="AK3082" s="37"/>
      <c r="AL3082" s="37"/>
      <c r="AM3082" s="37"/>
      <c r="AN3082" s="37"/>
      <c r="AO3082" s="37"/>
      <c r="AP3082" s="37"/>
      <c r="AQ3082" s="37"/>
      <c r="AR3082" s="37"/>
      <c r="AS3082" s="37"/>
      <c r="AT3082" s="37"/>
      <c r="AU3082" s="37"/>
      <c r="AV3082" s="37"/>
      <c r="AW3082" s="37"/>
      <c r="AX3082" s="37"/>
      <c r="AY3082" s="37"/>
      <c r="AZ3082" s="37"/>
      <c r="BA3082" s="37"/>
      <c r="BB3082" s="37"/>
      <c r="BC3082" s="37"/>
      <c r="BD3082" s="37"/>
      <c r="BE3082" s="37"/>
      <c r="BF3082" s="37"/>
      <c r="BG3082" s="37"/>
      <c r="BH3082" s="37"/>
      <c r="BI3082" s="37"/>
      <c r="BJ3082" s="37"/>
      <c r="BK3082" s="37"/>
      <c r="BL3082" s="37"/>
      <c r="BM3082" s="37"/>
      <c r="BN3082" s="37"/>
      <c r="BO3082" s="37"/>
      <c r="BP3082" s="37"/>
      <c r="BQ3082" s="37"/>
      <c r="BR3082" s="37"/>
      <c r="BS3082" s="37"/>
      <c r="BT3082" s="37"/>
      <c r="BU3082" s="37"/>
      <c r="BV3082" s="37"/>
      <c r="BW3082" s="37"/>
      <c r="BX3082" s="37"/>
      <c r="BY3082" s="37"/>
      <c r="BZ3082" s="37"/>
      <c r="CA3082" s="37"/>
      <c r="CB3082" s="37"/>
      <c r="CC3082" s="37"/>
      <c r="CD3082" s="37"/>
      <c r="CE3082" s="37"/>
      <c r="CF3082" s="37"/>
      <c r="CG3082" s="37"/>
      <c r="CH3082" s="37"/>
      <c r="CI3082" s="37"/>
      <c r="CJ3082" s="37"/>
      <c r="CK3082" s="37"/>
      <c r="CL3082" s="37"/>
      <c r="CM3082" s="37"/>
      <c r="CN3082" s="37"/>
      <c r="CO3082" s="37"/>
      <c r="CP3082" s="37"/>
      <c r="CQ3082" s="37"/>
      <c r="CR3082" s="37"/>
      <c r="CS3082" s="37"/>
      <c r="CT3082" s="37"/>
      <c r="CU3082" s="37"/>
      <c r="CV3082" s="37"/>
      <c r="CW3082" s="37"/>
      <c r="CX3082" s="37"/>
      <c r="CY3082" s="37"/>
      <c r="CZ3082" s="37"/>
      <c r="DA3082" s="37"/>
      <c r="DB3082" s="37"/>
      <c r="DC3082" s="37"/>
      <c r="DD3082" s="37"/>
      <c r="DE3082" s="37"/>
      <c r="DF3082" s="37"/>
      <c r="DG3082" s="37"/>
      <c r="DH3082" s="37"/>
      <c r="DI3082" s="37"/>
      <c r="DJ3082" s="37"/>
      <c r="DK3082" s="37"/>
      <c r="DL3082" s="37"/>
      <c r="DM3082" s="37"/>
      <c r="DN3082" s="37"/>
      <c r="DO3082" s="37"/>
      <c r="DP3082" s="37"/>
      <c r="DQ3082" s="37"/>
      <c r="DR3082" s="37"/>
      <c r="DS3082" s="37"/>
      <c r="DT3082" s="37"/>
      <c r="DU3082" s="37"/>
      <c r="DV3082" s="37"/>
      <c r="DW3082" s="37"/>
      <c r="DX3082" s="37"/>
      <c r="DY3082" s="37"/>
      <c r="DZ3082" s="37"/>
      <c r="EA3082" s="37"/>
      <c r="EB3082" s="37"/>
      <c r="EC3082" s="37"/>
      <c r="ED3082" s="37"/>
      <c r="EE3082" s="37"/>
      <c r="EF3082" s="37"/>
      <c r="EG3082" s="37"/>
      <c r="EH3082" s="37"/>
      <c r="EI3082" s="37"/>
      <c r="EJ3082" s="37"/>
      <c r="EK3082" s="37"/>
      <c r="EL3082" s="37"/>
      <c r="EM3082" s="37"/>
      <c r="EN3082" s="37"/>
      <c r="EO3082" s="37"/>
      <c r="EP3082" s="37"/>
      <c r="EQ3082" s="37"/>
      <c r="ER3082" s="37"/>
      <c r="ES3082" s="37"/>
      <c r="ET3082" s="37"/>
      <c r="EU3082" s="37"/>
      <c r="EV3082" s="37"/>
      <c r="EW3082" s="37"/>
      <c r="EX3082" s="37"/>
      <c r="EY3082" s="37"/>
      <c r="EZ3082" s="37"/>
      <c r="FA3082" s="37"/>
      <c r="FB3082" s="37"/>
      <c r="FC3082" s="37"/>
      <c r="FD3082" s="37"/>
      <c r="FE3082" s="37"/>
      <c r="FF3082" s="37"/>
      <c r="FG3082" s="37"/>
      <c r="FH3082" s="37"/>
      <c r="FI3082" s="37"/>
      <c r="FJ3082" s="37"/>
      <c r="FK3082" s="37"/>
      <c r="FL3082" s="37"/>
      <c r="FM3082" s="37"/>
      <c r="FN3082" s="37"/>
      <c r="FO3082" s="37"/>
      <c r="FP3082" s="37"/>
      <c r="FQ3082" s="37"/>
      <c r="FR3082" s="37"/>
      <c r="FS3082" s="37"/>
      <c r="FT3082" s="37"/>
      <c r="FU3082" s="37"/>
      <c r="FV3082" s="37"/>
      <c r="FW3082" s="37"/>
      <c r="FX3082" s="37"/>
      <c r="FY3082" s="37"/>
      <c r="FZ3082" s="37"/>
      <c r="GA3082" s="37"/>
      <c r="GB3082" s="37"/>
      <c r="GC3082" s="37"/>
      <c r="GD3082" s="37"/>
      <c r="GE3082" s="37"/>
      <c r="GF3082" s="37"/>
      <c r="GG3082" s="37"/>
      <c r="GH3082" s="37"/>
      <c r="GI3082" s="37"/>
      <c r="GJ3082" s="37"/>
      <c r="GK3082" s="37"/>
      <c r="GL3082" s="37"/>
      <c r="GM3082" s="37"/>
      <c r="GN3082" s="37"/>
      <c r="GO3082" s="37"/>
      <c r="GP3082" s="37"/>
      <c r="GQ3082" s="37"/>
      <c r="GR3082" s="37"/>
      <c r="GS3082" s="37"/>
      <c r="GT3082" s="37"/>
      <c r="GU3082" s="37"/>
      <c r="GV3082" s="37"/>
      <c r="GW3082" s="37"/>
      <c r="GX3082" s="37"/>
      <c r="GY3082" s="37"/>
      <c r="GZ3082" s="37"/>
      <c r="HA3082" s="37"/>
      <c r="HB3082" s="37"/>
      <c r="HC3082" s="37"/>
      <c r="HD3082" s="37"/>
      <c r="HE3082" s="37"/>
      <c r="HF3082" s="37"/>
      <c r="HG3082" s="37"/>
      <c r="HH3082" s="37"/>
      <c r="HI3082" s="37"/>
      <c r="HJ3082" s="37"/>
      <c r="HK3082" s="37"/>
      <c r="HL3082" s="37"/>
      <c r="HM3082" s="37"/>
      <c r="HN3082" s="37"/>
      <c r="HO3082" s="37"/>
      <c r="HP3082" s="37"/>
      <c r="HQ3082" s="37"/>
      <c r="HR3082" s="37"/>
      <c r="HS3082" s="37"/>
      <c r="HT3082" s="37"/>
      <c r="HU3082" s="37"/>
      <c r="HV3082" s="37"/>
      <c r="HW3082" s="37"/>
      <c r="HX3082" s="37"/>
      <c r="HY3082" s="37"/>
      <c r="HZ3082" s="37"/>
      <c r="IA3082" s="37"/>
      <c r="IB3082" s="37"/>
      <c r="IC3082" s="37"/>
      <c r="ID3082" s="37"/>
      <c r="IE3082" s="37"/>
      <c r="IF3082" s="37"/>
      <c r="IG3082" s="37"/>
      <c r="IH3082" s="37"/>
      <c r="II3082" s="37"/>
      <c r="IJ3082" s="37"/>
      <c r="IK3082" s="37"/>
      <c r="IL3082" s="37"/>
      <c r="IM3082" s="37"/>
      <c r="IN3082" s="37"/>
      <c r="IO3082" s="37"/>
      <c r="IP3082" s="37"/>
      <c r="IQ3082" s="37"/>
      <c r="IR3082" s="37"/>
      <c r="IS3082" s="37"/>
      <c r="IT3082" s="37"/>
      <c r="IU3082" s="37"/>
      <c r="IV3082" s="37"/>
      <c r="IW3082" s="37"/>
      <c r="IX3082" s="37"/>
      <c r="IY3082" s="37"/>
      <c r="IZ3082" s="37"/>
      <c r="JA3082" s="37"/>
      <c r="JB3082" s="37"/>
      <c r="JC3082" s="37"/>
      <c r="JD3082" s="37"/>
      <c r="JE3082" s="37"/>
      <c r="JF3082" s="37"/>
      <c r="JG3082" s="37"/>
      <c r="JH3082" s="37"/>
      <c r="JI3082" s="37"/>
      <c r="JJ3082" s="37"/>
      <c r="JK3082" s="37"/>
      <c r="JL3082" s="37"/>
      <c r="JM3082" s="37"/>
      <c r="JN3082" s="37"/>
      <c r="JO3082" s="37"/>
      <c r="JP3082" s="37"/>
      <c r="JQ3082" s="37"/>
      <c r="JR3082" s="37"/>
      <c r="JS3082" s="37"/>
      <c r="JT3082" s="37"/>
      <c r="JU3082" s="37"/>
      <c r="JV3082" s="37"/>
      <c r="JW3082" s="37"/>
      <c r="JX3082" s="37"/>
      <c r="JY3082" s="37"/>
      <c r="JZ3082" s="37"/>
      <c r="KA3082" s="37"/>
      <c r="KB3082" s="37"/>
      <c r="KC3082" s="37"/>
      <c r="KD3082" s="37"/>
      <c r="KE3082" s="37"/>
      <c r="KF3082" s="37"/>
      <c r="KG3082" s="37"/>
      <c r="KH3082" s="37"/>
      <c r="KI3082" s="37"/>
      <c r="KJ3082" s="37"/>
      <c r="KK3082" s="37"/>
      <c r="KL3082" s="37"/>
      <c r="KM3082" s="37"/>
      <c r="KN3082" s="37"/>
      <c r="KO3082" s="37"/>
      <c r="KP3082" s="37"/>
      <c r="KQ3082" s="37"/>
      <c r="KR3082" s="37"/>
      <c r="KS3082" s="37"/>
      <c r="KT3082" s="37"/>
      <c r="KU3082" s="37"/>
      <c r="KV3082" s="37"/>
      <c r="KW3082" s="37"/>
      <c r="KX3082" s="37"/>
      <c r="KY3082" s="37"/>
      <c r="KZ3082" s="37"/>
      <c r="LA3082" s="37"/>
      <c r="LB3082" s="37"/>
      <c r="LC3082" s="37"/>
      <c r="LD3082" s="37"/>
      <c r="LE3082" s="37"/>
      <c r="LF3082" s="37"/>
      <c r="LG3082" s="37"/>
      <c r="LH3082" s="37"/>
      <c r="LI3082" s="37"/>
      <c r="LJ3082" s="37"/>
      <c r="LK3082" s="37"/>
      <c r="LL3082" s="37"/>
      <c r="LM3082" s="37"/>
      <c r="LN3082" s="37"/>
      <c r="LO3082" s="37"/>
      <c r="LP3082" s="37"/>
      <c r="LQ3082" s="37"/>
      <c r="LR3082" s="37"/>
      <c r="LS3082" s="37"/>
      <c r="LT3082" s="37"/>
      <c r="LU3082" s="37"/>
      <c r="LV3082" s="37"/>
      <c r="LW3082" s="37"/>
      <c r="LX3082" s="37"/>
      <c r="LY3082" s="37"/>
      <c r="LZ3082" s="37"/>
      <c r="MA3082" s="37"/>
      <c r="MB3082" s="37"/>
      <c r="MC3082" s="37"/>
      <c r="MD3082" s="37"/>
      <c r="ME3082" s="37"/>
      <c r="MF3082" s="37"/>
      <c r="MG3082" s="37"/>
      <c r="MH3082" s="37"/>
      <c r="MI3082" s="37"/>
      <c r="MJ3082" s="37"/>
      <c r="MK3082" s="37"/>
      <c r="ML3082" s="37"/>
      <c r="MM3082" s="37"/>
      <c r="MN3082" s="37"/>
      <c r="MO3082" s="37"/>
      <c r="MP3082" s="37"/>
      <c r="MQ3082" s="37"/>
      <c r="MR3082" s="37"/>
      <c r="MS3082" s="37"/>
      <c r="MT3082" s="37"/>
      <c r="MU3082" s="37"/>
      <c r="MV3082" s="37"/>
      <c r="MW3082" s="37"/>
      <c r="MX3082" s="37"/>
      <c r="MY3082" s="37"/>
      <c r="MZ3082" s="37"/>
      <c r="NA3082" s="37"/>
      <c r="NB3082" s="37"/>
      <c r="NC3082" s="37"/>
      <c r="ND3082" s="37"/>
      <c r="NE3082" s="37"/>
      <c r="NF3082" s="37"/>
      <c r="NG3082" s="37"/>
      <c r="NH3082" s="37"/>
      <c r="NI3082" s="37"/>
      <c r="NJ3082" s="37"/>
      <c r="NK3082" s="37"/>
      <c r="NL3082" s="37"/>
      <c r="NM3082" s="37"/>
      <c r="NN3082" s="37"/>
      <c r="NO3082" s="37"/>
      <c r="NP3082" s="37"/>
      <c r="NQ3082" s="37"/>
      <c r="NR3082" s="37"/>
      <c r="NS3082" s="37"/>
      <c r="NT3082" s="37"/>
      <c r="NU3082" s="37"/>
      <c r="NV3082" s="37"/>
      <c r="NW3082" s="37"/>
      <c r="NX3082" s="37"/>
      <c r="NY3082" s="37"/>
      <c r="NZ3082" s="37"/>
      <c r="OA3082" s="37"/>
      <c r="OB3082" s="37"/>
      <c r="OC3082" s="37"/>
      <c r="OD3082" s="37"/>
      <c r="OE3082" s="37"/>
      <c r="OF3082" s="37"/>
      <c r="OG3082" s="37"/>
      <c r="OH3082" s="37"/>
      <c r="OI3082" s="37"/>
      <c r="OJ3082" s="37"/>
      <c r="OK3082" s="37"/>
      <c r="OL3082" s="37"/>
      <c r="OM3082" s="37"/>
      <c r="ON3082" s="37"/>
      <c r="OO3082" s="37"/>
      <c r="OP3082" s="37"/>
      <c r="OQ3082" s="37"/>
      <c r="OR3082" s="37"/>
      <c r="OS3082" s="37"/>
      <c r="OT3082" s="37"/>
      <c r="OU3082" s="37"/>
      <c r="OV3082" s="37"/>
      <c r="OW3082" s="37"/>
      <c r="OX3082" s="37"/>
      <c r="OY3082" s="37"/>
      <c r="OZ3082" s="37"/>
      <c r="PA3082" s="37"/>
      <c r="PB3082" s="37"/>
      <c r="PC3082" s="37"/>
      <c r="PD3082" s="37"/>
      <c r="PE3082" s="37"/>
      <c r="PF3082" s="37"/>
      <c r="PG3082" s="37"/>
      <c r="PH3082" s="37"/>
      <c r="PI3082" s="37"/>
      <c r="PJ3082" s="37"/>
      <c r="PK3082" s="37"/>
      <c r="PL3082" s="37"/>
      <c r="PM3082" s="37"/>
      <c r="PN3082" s="37"/>
      <c r="PO3082" s="37"/>
      <c r="PP3082" s="37"/>
      <c r="PQ3082" s="37"/>
      <c r="PR3082" s="37"/>
      <c r="PS3082" s="37"/>
      <c r="PT3082" s="37"/>
      <c r="PU3082" s="37"/>
      <c r="PV3082" s="37"/>
      <c r="PW3082" s="37"/>
      <c r="PX3082" s="37"/>
      <c r="PY3082" s="37"/>
      <c r="PZ3082" s="37"/>
      <c r="QA3082" s="37"/>
      <c r="QB3082" s="37"/>
      <c r="QC3082" s="37"/>
      <c r="QD3082" s="37"/>
      <c r="QE3082" s="37"/>
      <c r="QF3082" s="37"/>
      <c r="QG3082" s="37"/>
      <c r="QH3082" s="37"/>
      <c r="QI3082" s="37"/>
      <c r="QJ3082" s="37"/>
      <c r="QK3082" s="37"/>
      <c r="QL3082" s="37"/>
      <c r="QM3082" s="37"/>
      <c r="QN3082" s="37"/>
      <c r="QO3082" s="37"/>
      <c r="QP3082" s="37"/>
      <c r="QQ3082" s="37"/>
      <c r="QR3082" s="37"/>
      <c r="QS3082" s="37"/>
      <c r="QT3082" s="37"/>
      <c r="QU3082" s="37"/>
      <c r="QV3082" s="37"/>
      <c r="QW3082" s="37"/>
      <c r="QX3082" s="37"/>
      <c r="QY3082" s="37"/>
      <c r="QZ3082" s="37"/>
      <c r="RA3082" s="37"/>
      <c r="RB3082" s="37"/>
      <c r="RC3082" s="37"/>
      <c r="RD3082" s="37"/>
      <c r="RE3082" s="37"/>
      <c r="RF3082" s="37"/>
      <c r="RG3082" s="37"/>
      <c r="RH3082" s="37"/>
      <c r="RI3082" s="37"/>
      <c r="RJ3082" s="37"/>
      <c r="RK3082" s="37"/>
      <c r="RL3082" s="37"/>
      <c r="RM3082" s="37"/>
      <c r="RN3082" s="37"/>
      <c r="RO3082" s="37"/>
      <c r="RP3082" s="37"/>
      <c r="RQ3082" s="37"/>
      <c r="RR3082" s="37"/>
      <c r="RS3082" s="37"/>
      <c r="RT3082" s="37"/>
      <c r="RU3082" s="37"/>
      <c r="RV3082" s="37"/>
      <c r="RW3082" s="37"/>
      <c r="RX3082" s="37"/>
      <c r="RY3082" s="37"/>
      <c r="RZ3082" s="37"/>
      <c r="SA3082" s="37"/>
      <c r="SB3082" s="37"/>
      <c r="SC3082" s="37"/>
      <c r="SD3082" s="37"/>
      <c r="SE3082" s="37"/>
      <c r="SF3082" s="37"/>
    </row>
    <row r="3083" spans="1:500">
      <c r="A3083" s="37"/>
      <c r="B3083" s="37"/>
      <c r="C3083" s="37"/>
      <c r="D3083" s="37"/>
      <c r="E3083" s="37"/>
      <c r="F3083" s="37"/>
      <c r="G3083" s="37"/>
      <c r="H3083" s="37"/>
      <c r="I3083" s="37"/>
      <c r="J3083" s="37"/>
      <c r="K3083" s="37"/>
      <c r="L3083" s="37"/>
      <c r="M3083" s="37"/>
      <c r="N3083" s="37"/>
      <c r="O3083" s="37"/>
      <c r="P3083" s="37"/>
      <c r="Q3083" s="37"/>
      <c r="R3083" s="37"/>
      <c r="S3083" s="37"/>
      <c r="T3083" s="37"/>
      <c r="U3083" s="37"/>
      <c r="V3083" s="37"/>
      <c r="W3083" s="37"/>
      <c r="X3083" s="37"/>
      <c r="Y3083" s="37"/>
      <c r="Z3083" s="37"/>
      <c r="AA3083" s="37"/>
      <c r="AB3083" s="37"/>
      <c r="AC3083" s="37"/>
      <c r="AD3083" s="37"/>
      <c r="AE3083" s="37"/>
      <c r="AF3083" s="37"/>
      <c r="AG3083" s="37"/>
      <c r="AH3083" s="37"/>
      <c r="AI3083" s="37"/>
      <c r="AJ3083" s="37"/>
      <c r="AK3083" s="37"/>
      <c r="AL3083" s="37"/>
      <c r="AM3083" s="37"/>
      <c r="AN3083" s="37"/>
      <c r="AO3083" s="37"/>
      <c r="AP3083" s="37"/>
      <c r="AQ3083" s="37"/>
      <c r="AR3083" s="37"/>
      <c r="AS3083" s="37"/>
      <c r="AT3083" s="37"/>
      <c r="AU3083" s="37"/>
      <c r="AV3083" s="37"/>
      <c r="AW3083" s="37"/>
      <c r="AX3083" s="37"/>
      <c r="AY3083" s="37"/>
      <c r="AZ3083" s="37"/>
      <c r="BA3083" s="37"/>
      <c r="BB3083" s="37"/>
      <c r="BC3083" s="37"/>
      <c r="BD3083" s="37"/>
      <c r="BE3083" s="37"/>
      <c r="BF3083" s="37"/>
      <c r="BG3083" s="37"/>
      <c r="BH3083" s="37"/>
      <c r="BI3083" s="37"/>
      <c r="BJ3083" s="37"/>
      <c r="BK3083" s="37"/>
      <c r="BL3083" s="37"/>
      <c r="BM3083" s="37"/>
      <c r="BN3083" s="37"/>
      <c r="BO3083" s="37"/>
      <c r="BP3083" s="37"/>
      <c r="BQ3083" s="37"/>
      <c r="BR3083" s="37"/>
      <c r="BS3083" s="37"/>
      <c r="BT3083" s="37"/>
      <c r="BU3083" s="37"/>
      <c r="BV3083" s="37"/>
      <c r="BW3083" s="37"/>
      <c r="BX3083" s="37"/>
      <c r="BY3083" s="37"/>
      <c r="BZ3083" s="37"/>
      <c r="CA3083" s="37"/>
      <c r="CB3083" s="37"/>
      <c r="CC3083" s="37"/>
      <c r="CD3083" s="37"/>
      <c r="CE3083" s="37"/>
      <c r="CF3083" s="37"/>
      <c r="CG3083" s="37"/>
      <c r="CH3083" s="37"/>
      <c r="CI3083" s="37"/>
      <c r="CJ3083" s="37"/>
      <c r="CK3083" s="37"/>
      <c r="CL3083" s="37"/>
      <c r="CM3083" s="37"/>
      <c r="CN3083" s="37"/>
      <c r="CO3083" s="37"/>
      <c r="CP3083" s="37"/>
      <c r="CQ3083" s="37"/>
      <c r="CR3083" s="37"/>
      <c r="CS3083" s="37"/>
      <c r="CT3083" s="37"/>
      <c r="CU3083" s="37"/>
      <c r="CV3083" s="37"/>
      <c r="CW3083" s="37"/>
      <c r="CX3083" s="37"/>
      <c r="CY3083" s="37"/>
      <c r="CZ3083" s="37"/>
      <c r="DA3083" s="37"/>
      <c r="DB3083" s="37"/>
      <c r="DC3083" s="37"/>
      <c r="DD3083" s="37"/>
      <c r="DE3083" s="37"/>
      <c r="DF3083" s="37"/>
      <c r="DG3083" s="37"/>
      <c r="DH3083" s="37"/>
      <c r="DI3083" s="37"/>
      <c r="DJ3083" s="37"/>
      <c r="DK3083" s="37"/>
      <c r="DL3083" s="37"/>
      <c r="DM3083" s="37"/>
      <c r="DN3083" s="37"/>
      <c r="DO3083" s="37"/>
      <c r="DP3083" s="37"/>
      <c r="DQ3083" s="37"/>
      <c r="DR3083" s="37"/>
      <c r="DS3083" s="37"/>
      <c r="DT3083" s="37"/>
      <c r="DU3083" s="37"/>
      <c r="DV3083" s="37"/>
      <c r="DW3083" s="37"/>
      <c r="DX3083" s="37"/>
      <c r="DY3083" s="37"/>
      <c r="DZ3083" s="37"/>
      <c r="EA3083" s="37"/>
      <c r="EB3083" s="37"/>
      <c r="EC3083" s="37"/>
      <c r="ED3083" s="37"/>
      <c r="EE3083" s="37"/>
      <c r="EF3083" s="37"/>
      <c r="EG3083" s="37"/>
      <c r="EH3083" s="37"/>
      <c r="EI3083" s="37"/>
      <c r="EJ3083" s="37"/>
      <c r="EK3083" s="37"/>
      <c r="EL3083" s="37"/>
      <c r="EM3083" s="37"/>
      <c r="EN3083" s="37"/>
      <c r="EO3083" s="37"/>
      <c r="EP3083" s="37"/>
      <c r="EQ3083" s="37"/>
      <c r="ER3083" s="37"/>
      <c r="ES3083" s="37"/>
      <c r="ET3083" s="37"/>
      <c r="EU3083" s="37"/>
      <c r="EV3083" s="37"/>
      <c r="EW3083" s="37"/>
      <c r="EX3083" s="37"/>
      <c r="EY3083" s="37"/>
      <c r="EZ3083" s="37"/>
      <c r="FA3083" s="37"/>
      <c r="FB3083" s="37"/>
      <c r="FC3083" s="37"/>
      <c r="FD3083" s="37"/>
      <c r="FE3083" s="37"/>
      <c r="FF3083" s="37"/>
      <c r="FG3083" s="37"/>
      <c r="FH3083" s="37"/>
      <c r="FI3083" s="37"/>
      <c r="FJ3083" s="37"/>
      <c r="FK3083" s="37"/>
      <c r="FL3083" s="37"/>
      <c r="FM3083" s="37"/>
      <c r="FN3083" s="37"/>
      <c r="FO3083" s="37"/>
      <c r="FP3083" s="37"/>
      <c r="FQ3083" s="37"/>
      <c r="FR3083" s="37"/>
      <c r="FS3083" s="37"/>
      <c r="FT3083" s="37"/>
      <c r="FU3083" s="37"/>
      <c r="FV3083" s="37"/>
      <c r="FW3083" s="37"/>
      <c r="FX3083" s="37"/>
      <c r="FY3083" s="37"/>
      <c r="FZ3083" s="37"/>
      <c r="GA3083" s="37"/>
      <c r="GB3083" s="37"/>
      <c r="GC3083" s="37"/>
      <c r="GD3083" s="37"/>
      <c r="GE3083" s="37"/>
      <c r="GF3083" s="37"/>
      <c r="GG3083" s="37"/>
      <c r="GH3083" s="37"/>
      <c r="GI3083" s="37"/>
      <c r="GJ3083" s="37"/>
      <c r="GK3083" s="37"/>
      <c r="GL3083" s="37"/>
      <c r="GM3083" s="37"/>
      <c r="GN3083" s="37"/>
      <c r="GO3083" s="37"/>
      <c r="GP3083" s="37"/>
      <c r="GQ3083" s="37"/>
      <c r="GR3083" s="37"/>
      <c r="GS3083" s="37"/>
      <c r="GT3083" s="37"/>
      <c r="GU3083" s="37"/>
      <c r="GV3083" s="37"/>
      <c r="GW3083" s="37"/>
      <c r="GX3083" s="37"/>
      <c r="GY3083" s="37"/>
      <c r="GZ3083" s="37"/>
      <c r="HA3083" s="37"/>
      <c r="HB3083" s="37"/>
      <c r="HC3083" s="37"/>
      <c r="HD3083" s="37"/>
      <c r="HE3083" s="37"/>
      <c r="HF3083" s="37"/>
      <c r="HG3083" s="37"/>
      <c r="HH3083" s="37"/>
      <c r="HI3083" s="37"/>
      <c r="HJ3083" s="37"/>
      <c r="HK3083" s="37"/>
      <c r="HL3083" s="37"/>
      <c r="HM3083" s="37"/>
      <c r="HN3083" s="37"/>
      <c r="HO3083" s="37"/>
      <c r="HP3083" s="37"/>
      <c r="HQ3083" s="37"/>
      <c r="HR3083" s="37"/>
      <c r="HS3083" s="37"/>
      <c r="HT3083" s="37"/>
      <c r="HU3083" s="37"/>
      <c r="HV3083" s="37"/>
      <c r="HW3083" s="37"/>
      <c r="HX3083" s="37"/>
      <c r="HY3083" s="37"/>
      <c r="HZ3083" s="37"/>
      <c r="IA3083" s="37"/>
      <c r="IB3083" s="37"/>
      <c r="IC3083" s="37"/>
      <c r="ID3083" s="37"/>
      <c r="IE3083" s="37"/>
      <c r="IF3083" s="37"/>
      <c r="IG3083" s="37"/>
      <c r="IH3083" s="37"/>
      <c r="II3083" s="37"/>
      <c r="IJ3083" s="37"/>
      <c r="IK3083" s="37"/>
      <c r="IL3083" s="37"/>
      <c r="IM3083" s="37"/>
      <c r="IN3083" s="37"/>
      <c r="IO3083" s="37"/>
      <c r="IP3083" s="37"/>
      <c r="IQ3083" s="37"/>
      <c r="IR3083" s="37"/>
      <c r="IS3083" s="37"/>
      <c r="IT3083" s="37"/>
      <c r="IU3083" s="37"/>
      <c r="IV3083" s="37"/>
      <c r="IW3083" s="37"/>
      <c r="IX3083" s="37"/>
      <c r="IY3083" s="37"/>
      <c r="IZ3083" s="37"/>
      <c r="JA3083" s="37"/>
      <c r="JB3083" s="37"/>
      <c r="JC3083" s="37"/>
      <c r="JD3083" s="37"/>
      <c r="JE3083" s="37"/>
      <c r="JF3083" s="37"/>
      <c r="JG3083" s="37"/>
      <c r="JH3083" s="37"/>
      <c r="JI3083" s="37"/>
      <c r="JJ3083" s="37"/>
      <c r="JK3083" s="37"/>
      <c r="JL3083" s="37"/>
      <c r="JM3083" s="37"/>
      <c r="JN3083" s="37"/>
      <c r="JO3083" s="37"/>
      <c r="JP3083" s="37"/>
      <c r="JQ3083" s="37"/>
      <c r="JR3083" s="37"/>
      <c r="JS3083" s="37"/>
      <c r="JT3083" s="37"/>
      <c r="JU3083" s="37"/>
      <c r="JV3083" s="37"/>
      <c r="JW3083" s="37"/>
      <c r="JX3083" s="37"/>
      <c r="JY3083" s="37"/>
      <c r="JZ3083" s="37"/>
      <c r="KA3083" s="37"/>
      <c r="KB3083" s="37"/>
      <c r="KC3083" s="37"/>
      <c r="KD3083" s="37"/>
      <c r="KE3083" s="37"/>
      <c r="KF3083" s="37"/>
      <c r="KG3083" s="37"/>
      <c r="KH3083" s="37"/>
      <c r="KI3083" s="37"/>
      <c r="KJ3083" s="37"/>
      <c r="KK3083" s="37"/>
      <c r="KL3083" s="37"/>
      <c r="KM3083" s="37"/>
      <c r="KN3083" s="37"/>
      <c r="KO3083" s="37"/>
      <c r="KP3083" s="37"/>
      <c r="KQ3083" s="37"/>
      <c r="KR3083" s="37"/>
      <c r="KS3083" s="37"/>
      <c r="KT3083" s="37"/>
      <c r="KU3083" s="37"/>
      <c r="KV3083" s="37"/>
      <c r="KW3083" s="37"/>
      <c r="KX3083" s="37"/>
      <c r="KY3083" s="37"/>
      <c r="KZ3083" s="37"/>
      <c r="LA3083" s="37"/>
      <c r="LB3083" s="37"/>
      <c r="LC3083" s="37"/>
      <c r="LD3083" s="37"/>
      <c r="LE3083" s="37"/>
      <c r="LF3083" s="37"/>
      <c r="LG3083" s="37"/>
      <c r="LH3083" s="37"/>
      <c r="LI3083" s="37"/>
      <c r="LJ3083" s="37"/>
      <c r="LK3083" s="37"/>
      <c r="LL3083" s="37"/>
      <c r="LM3083" s="37"/>
      <c r="LN3083" s="37"/>
      <c r="LO3083" s="37"/>
      <c r="LP3083" s="37"/>
      <c r="LQ3083" s="37"/>
      <c r="LR3083" s="37"/>
      <c r="LS3083" s="37"/>
      <c r="LT3083" s="37"/>
      <c r="LU3083" s="37"/>
      <c r="LV3083" s="37"/>
      <c r="LW3083" s="37"/>
      <c r="LX3083" s="37"/>
      <c r="LY3083" s="37"/>
      <c r="LZ3083" s="37"/>
      <c r="MA3083" s="37"/>
      <c r="MB3083" s="37"/>
      <c r="MC3083" s="37"/>
      <c r="MD3083" s="37"/>
      <c r="ME3083" s="37"/>
      <c r="MF3083" s="37"/>
      <c r="MG3083" s="37"/>
      <c r="MH3083" s="37"/>
      <c r="MI3083" s="37"/>
      <c r="MJ3083" s="37"/>
      <c r="MK3083" s="37"/>
      <c r="ML3083" s="37"/>
      <c r="MM3083" s="37"/>
      <c r="MN3083" s="37"/>
      <c r="MO3083" s="37"/>
      <c r="MP3083" s="37"/>
      <c r="MQ3083" s="37"/>
      <c r="MR3083" s="37"/>
      <c r="MS3083" s="37"/>
      <c r="MT3083" s="37"/>
      <c r="MU3083" s="37"/>
      <c r="MV3083" s="37"/>
      <c r="MW3083" s="37"/>
      <c r="MX3083" s="37"/>
      <c r="MY3083" s="37"/>
      <c r="MZ3083" s="37"/>
      <c r="NA3083" s="37"/>
      <c r="NB3083" s="37"/>
      <c r="NC3083" s="37"/>
      <c r="ND3083" s="37"/>
      <c r="NE3083" s="37"/>
      <c r="NF3083" s="37"/>
      <c r="NG3083" s="37"/>
      <c r="NH3083" s="37"/>
      <c r="NI3083" s="37"/>
      <c r="NJ3083" s="37"/>
      <c r="NK3083" s="37"/>
      <c r="NL3083" s="37"/>
      <c r="NM3083" s="37"/>
      <c r="NN3083" s="37"/>
      <c r="NO3083" s="37"/>
      <c r="NP3083" s="37"/>
      <c r="NQ3083" s="37"/>
      <c r="NR3083" s="37"/>
      <c r="NS3083" s="37"/>
      <c r="NT3083" s="37"/>
      <c r="NU3083" s="37"/>
      <c r="NV3083" s="37"/>
      <c r="NW3083" s="37"/>
      <c r="NX3083" s="37"/>
      <c r="NY3083" s="37"/>
      <c r="NZ3083" s="37"/>
      <c r="OA3083" s="37"/>
      <c r="OB3083" s="37"/>
      <c r="OC3083" s="37"/>
      <c r="OD3083" s="37"/>
      <c r="OE3083" s="37"/>
      <c r="OF3083" s="37"/>
      <c r="OG3083" s="37"/>
      <c r="OH3083" s="37"/>
      <c r="OI3083" s="37"/>
      <c r="OJ3083" s="37"/>
      <c r="OK3083" s="37"/>
      <c r="OL3083" s="37"/>
      <c r="OM3083" s="37"/>
      <c r="ON3083" s="37"/>
      <c r="OO3083" s="37"/>
      <c r="OP3083" s="37"/>
      <c r="OQ3083" s="37"/>
      <c r="OR3083" s="37"/>
      <c r="OS3083" s="37"/>
      <c r="OT3083" s="37"/>
      <c r="OU3083" s="37"/>
      <c r="OV3083" s="37"/>
      <c r="OW3083" s="37"/>
      <c r="OX3083" s="37"/>
      <c r="OY3083" s="37"/>
      <c r="OZ3083" s="37"/>
      <c r="PA3083" s="37"/>
      <c r="PB3083" s="37"/>
      <c r="PC3083" s="37"/>
      <c r="PD3083" s="37"/>
      <c r="PE3083" s="37"/>
      <c r="PF3083" s="37"/>
      <c r="PG3083" s="37"/>
      <c r="PH3083" s="37"/>
      <c r="PI3083" s="37"/>
      <c r="PJ3083" s="37"/>
      <c r="PK3083" s="37"/>
      <c r="PL3083" s="37"/>
      <c r="PM3083" s="37"/>
      <c r="PN3083" s="37"/>
      <c r="PO3083" s="37"/>
      <c r="PP3083" s="37"/>
      <c r="PQ3083" s="37"/>
      <c r="PR3083" s="37"/>
      <c r="PS3083" s="37"/>
      <c r="PT3083" s="37"/>
      <c r="PU3083" s="37"/>
      <c r="PV3083" s="37"/>
      <c r="PW3083" s="37"/>
      <c r="PX3083" s="37"/>
      <c r="PY3083" s="37"/>
      <c r="PZ3083" s="37"/>
      <c r="QA3083" s="37"/>
      <c r="QB3083" s="37"/>
      <c r="QC3083" s="37"/>
      <c r="QD3083" s="37"/>
      <c r="QE3083" s="37"/>
      <c r="QF3083" s="37"/>
      <c r="QG3083" s="37"/>
      <c r="QH3083" s="37"/>
      <c r="QI3083" s="37"/>
      <c r="QJ3083" s="37"/>
      <c r="QK3083" s="37"/>
      <c r="QL3083" s="37"/>
      <c r="QM3083" s="37"/>
      <c r="QN3083" s="37"/>
      <c r="QO3083" s="37"/>
      <c r="QP3083" s="37"/>
      <c r="QQ3083" s="37"/>
      <c r="QR3083" s="37"/>
      <c r="QS3083" s="37"/>
      <c r="QT3083" s="37"/>
      <c r="QU3083" s="37"/>
      <c r="QV3083" s="37"/>
      <c r="QW3083" s="37"/>
      <c r="QX3083" s="37"/>
      <c r="QY3083" s="37"/>
      <c r="QZ3083" s="37"/>
      <c r="RA3083" s="37"/>
      <c r="RB3083" s="37"/>
      <c r="RC3083" s="37"/>
      <c r="RD3083" s="37"/>
      <c r="RE3083" s="37"/>
      <c r="RF3083" s="37"/>
      <c r="RG3083" s="37"/>
      <c r="RH3083" s="37"/>
      <c r="RI3083" s="37"/>
      <c r="RJ3083" s="37"/>
      <c r="RK3083" s="37"/>
      <c r="RL3083" s="37"/>
      <c r="RM3083" s="37"/>
      <c r="RN3083" s="37"/>
      <c r="RO3083" s="37"/>
      <c r="RP3083" s="37"/>
      <c r="RQ3083" s="37"/>
      <c r="RR3083" s="37"/>
      <c r="RS3083" s="37"/>
      <c r="RT3083" s="37"/>
      <c r="RU3083" s="37"/>
      <c r="RV3083" s="37"/>
      <c r="RW3083" s="37"/>
      <c r="RX3083" s="37"/>
      <c r="RY3083" s="37"/>
      <c r="RZ3083" s="37"/>
      <c r="SA3083" s="37"/>
      <c r="SB3083" s="37"/>
      <c r="SC3083" s="37"/>
      <c r="SD3083" s="37"/>
      <c r="SE3083" s="37"/>
      <c r="SF3083" s="37"/>
    </row>
    <row r="3084" spans="1:500">
      <c r="A3084" s="37"/>
      <c r="B3084" s="37"/>
      <c r="C3084" s="37"/>
      <c r="D3084" s="37"/>
      <c r="E3084" s="37"/>
      <c r="F3084" s="37"/>
      <c r="G3084" s="37"/>
      <c r="H3084" s="37"/>
      <c r="I3084" s="37"/>
      <c r="J3084" s="37"/>
      <c r="K3084" s="37"/>
      <c r="L3084" s="37"/>
      <c r="M3084" s="37"/>
      <c r="N3084" s="37"/>
      <c r="O3084" s="37"/>
      <c r="P3084" s="37"/>
      <c r="Q3084" s="37"/>
      <c r="R3084" s="37"/>
      <c r="S3084" s="37"/>
      <c r="T3084" s="37"/>
      <c r="U3084" s="37"/>
      <c r="V3084" s="37"/>
      <c r="W3084" s="37"/>
      <c r="X3084" s="37"/>
      <c r="Y3084" s="37"/>
      <c r="Z3084" s="37"/>
      <c r="AA3084" s="37"/>
      <c r="AB3084" s="37"/>
      <c r="AC3084" s="37"/>
      <c r="AD3084" s="37"/>
      <c r="AE3084" s="37"/>
      <c r="AF3084" s="37"/>
      <c r="AG3084" s="37"/>
      <c r="AH3084" s="37"/>
      <c r="AI3084" s="37"/>
      <c r="AJ3084" s="37"/>
      <c r="AK3084" s="37"/>
      <c r="AL3084" s="37"/>
      <c r="AM3084" s="37"/>
      <c r="AN3084" s="37"/>
      <c r="AO3084" s="37"/>
      <c r="AP3084" s="37"/>
      <c r="AQ3084" s="37"/>
      <c r="AR3084" s="37"/>
      <c r="AS3084" s="37"/>
      <c r="AT3084" s="37"/>
      <c r="AU3084" s="37"/>
      <c r="AV3084" s="37"/>
      <c r="AW3084" s="37"/>
      <c r="AX3084" s="37"/>
      <c r="AY3084" s="37"/>
      <c r="AZ3084" s="37"/>
      <c r="BA3084" s="37"/>
      <c r="BB3084" s="37"/>
      <c r="BC3084" s="37"/>
      <c r="BD3084" s="37"/>
      <c r="BE3084" s="37"/>
      <c r="BF3084" s="37"/>
      <c r="BG3084" s="37"/>
      <c r="BH3084" s="37"/>
      <c r="BI3084" s="37"/>
      <c r="BJ3084" s="37"/>
      <c r="BK3084" s="37"/>
      <c r="BL3084" s="37"/>
      <c r="BM3084" s="37"/>
      <c r="BN3084" s="37"/>
      <c r="BO3084" s="37"/>
      <c r="BP3084" s="37"/>
      <c r="BQ3084" s="37"/>
      <c r="BR3084" s="37"/>
      <c r="BS3084" s="37"/>
      <c r="BT3084" s="37"/>
      <c r="BU3084" s="37"/>
      <c r="BV3084" s="37"/>
      <c r="BW3084" s="37"/>
      <c r="BX3084" s="37"/>
      <c r="BY3084" s="37"/>
      <c r="BZ3084" s="37"/>
      <c r="CA3084" s="37"/>
      <c r="CB3084" s="37"/>
      <c r="CC3084" s="37"/>
      <c r="CD3084" s="37"/>
      <c r="CE3084" s="37"/>
      <c r="CF3084" s="37"/>
      <c r="CG3084" s="37"/>
      <c r="CH3084" s="37"/>
      <c r="CI3084" s="37"/>
      <c r="CJ3084" s="37"/>
      <c r="CK3084" s="37"/>
      <c r="CL3084" s="37"/>
      <c r="CM3084" s="37"/>
      <c r="CN3084" s="37"/>
      <c r="CO3084" s="37"/>
      <c r="CP3084" s="37"/>
      <c r="CQ3084" s="37"/>
      <c r="CR3084" s="37"/>
      <c r="CS3084" s="37"/>
      <c r="CT3084" s="37"/>
      <c r="CU3084" s="37"/>
      <c r="CV3084" s="37"/>
      <c r="CW3084" s="37"/>
      <c r="CX3084" s="37"/>
      <c r="CY3084" s="37"/>
      <c r="CZ3084" s="37"/>
      <c r="DA3084" s="37"/>
      <c r="DB3084" s="37"/>
      <c r="DC3084" s="37"/>
      <c r="DD3084" s="37"/>
      <c r="DE3084" s="37"/>
      <c r="DF3084" s="37"/>
      <c r="DG3084" s="37"/>
      <c r="DH3084" s="37"/>
      <c r="DI3084" s="37"/>
      <c r="DJ3084" s="37"/>
      <c r="DK3084" s="37"/>
      <c r="DL3084" s="37"/>
      <c r="DM3084" s="37"/>
      <c r="DN3084" s="37"/>
      <c r="DO3084" s="37"/>
      <c r="DP3084" s="37"/>
      <c r="DQ3084" s="37"/>
      <c r="DR3084" s="37"/>
      <c r="DS3084" s="37"/>
      <c r="DT3084" s="37"/>
      <c r="DU3084" s="37"/>
      <c r="DV3084" s="37"/>
      <c r="DW3084" s="37"/>
      <c r="DX3084" s="37"/>
      <c r="DY3084" s="37"/>
      <c r="DZ3084" s="37"/>
      <c r="EA3084" s="37"/>
      <c r="EB3084" s="37"/>
      <c r="EC3084" s="37"/>
      <c r="ED3084" s="37"/>
      <c r="EE3084" s="37"/>
      <c r="EF3084" s="37"/>
      <c r="EG3084" s="37"/>
      <c r="EH3084" s="37"/>
      <c r="EI3084" s="37"/>
      <c r="EJ3084" s="37"/>
      <c r="EK3084" s="37"/>
      <c r="EL3084" s="37"/>
      <c r="EM3084" s="37"/>
      <c r="EN3084" s="37"/>
      <c r="EO3084" s="37"/>
      <c r="EP3084" s="37"/>
      <c r="EQ3084" s="37"/>
      <c r="ER3084" s="37"/>
      <c r="ES3084" s="37"/>
      <c r="ET3084" s="37"/>
      <c r="EU3084" s="37"/>
      <c r="EV3084" s="37"/>
      <c r="EW3084" s="37"/>
      <c r="EX3084" s="37"/>
      <c r="EY3084" s="37"/>
      <c r="EZ3084" s="37"/>
      <c r="FA3084" s="37"/>
      <c r="FB3084" s="37"/>
      <c r="FC3084" s="37"/>
      <c r="FD3084" s="37"/>
      <c r="FE3084" s="37"/>
      <c r="FF3084" s="37"/>
      <c r="FG3084" s="37"/>
      <c r="FH3084" s="37"/>
      <c r="FI3084" s="37"/>
      <c r="FJ3084" s="37"/>
      <c r="FK3084" s="37"/>
      <c r="FL3084" s="37"/>
      <c r="FM3084" s="37"/>
      <c r="FN3084" s="37"/>
      <c r="FO3084" s="37"/>
      <c r="FP3084" s="37"/>
      <c r="FQ3084" s="37"/>
      <c r="FR3084" s="37"/>
      <c r="FS3084" s="37"/>
      <c r="FT3084" s="37"/>
      <c r="FU3084" s="37"/>
      <c r="FV3084" s="37"/>
      <c r="FW3084" s="37"/>
      <c r="FX3084" s="37"/>
      <c r="FY3084" s="37"/>
      <c r="FZ3084" s="37"/>
      <c r="GA3084" s="37"/>
      <c r="GB3084" s="37"/>
      <c r="GC3084" s="37"/>
      <c r="GD3084" s="37"/>
      <c r="GE3084" s="37"/>
      <c r="GF3084" s="37"/>
      <c r="GG3084" s="37"/>
      <c r="GH3084" s="37"/>
      <c r="GI3084" s="37"/>
      <c r="GJ3084" s="37"/>
      <c r="GK3084" s="37"/>
      <c r="GL3084" s="37"/>
      <c r="GM3084" s="37"/>
      <c r="GN3084" s="37"/>
      <c r="GO3084" s="37"/>
      <c r="GP3084" s="37"/>
      <c r="GQ3084" s="37"/>
      <c r="GR3084" s="37"/>
      <c r="GS3084" s="37"/>
      <c r="GT3084" s="37"/>
      <c r="GU3084" s="37"/>
      <c r="GV3084" s="37"/>
      <c r="GW3084" s="37"/>
      <c r="GX3084" s="37"/>
      <c r="GY3084" s="37"/>
      <c r="GZ3084" s="37"/>
      <c r="HA3084" s="37"/>
      <c r="HB3084" s="37"/>
      <c r="HC3084" s="37"/>
      <c r="HD3084" s="37"/>
      <c r="HE3084" s="37"/>
      <c r="HF3084" s="37"/>
      <c r="HG3084" s="37"/>
      <c r="HH3084" s="37"/>
      <c r="HI3084" s="37"/>
      <c r="HJ3084" s="37"/>
      <c r="HK3084" s="37"/>
      <c r="HL3084" s="37"/>
      <c r="HM3084" s="37"/>
      <c r="HN3084" s="37"/>
      <c r="HO3084" s="37"/>
      <c r="HP3084" s="37"/>
      <c r="HQ3084" s="37"/>
      <c r="HR3084" s="37"/>
      <c r="HS3084" s="37"/>
      <c r="HT3084" s="37"/>
      <c r="HU3084" s="37"/>
      <c r="HV3084" s="37"/>
      <c r="HW3084" s="37"/>
      <c r="HX3084" s="37"/>
      <c r="HY3084" s="37"/>
      <c r="HZ3084" s="37"/>
      <c r="IA3084" s="37"/>
      <c r="IB3084" s="37"/>
      <c r="IC3084" s="37"/>
      <c r="ID3084" s="37"/>
      <c r="IE3084" s="37"/>
      <c r="IF3084" s="37"/>
      <c r="IG3084" s="37"/>
      <c r="IH3084" s="37"/>
      <c r="II3084" s="37"/>
      <c r="IJ3084" s="37"/>
      <c r="IK3084" s="37"/>
      <c r="IL3084" s="37"/>
      <c r="IM3084" s="37"/>
      <c r="IN3084" s="37"/>
      <c r="IO3084" s="37"/>
      <c r="IP3084" s="37"/>
      <c r="IQ3084" s="37"/>
      <c r="IR3084" s="37"/>
      <c r="IS3084" s="37"/>
      <c r="IT3084" s="37"/>
      <c r="IU3084" s="37"/>
      <c r="IV3084" s="37"/>
      <c r="IW3084" s="37"/>
      <c r="IX3084" s="37"/>
      <c r="IY3084" s="37"/>
      <c r="IZ3084" s="37"/>
      <c r="JA3084" s="37"/>
      <c r="JB3084" s="37"/>
      <c r="JC3084" s="37"/>
      <c r="JD3084" s="37"/>
      <c r="JE3084" s="37"/>
      <c r="JF3084" s="37"/>
      <c r="JG3084" s="37"/>
      <c r="JH3084" s="37"/>
      <c r="JI3084" s="37"/>
      <c r="JJ3084" s="37"/>
      <c r="JK3084" s="37"/>
      <c r="JL3084" s="37"/>
      <c r="JM3084" s="37"/>
      <c r="JN3084" s="37"/>
      <c r="JO3084" s="37"/>
      <c r="JP3084" s="37"/>
      <c r="JQ3084" s="37"/>
      <c r="JR3084" s="37"/>
      <c r="JS3084" s="37"/>
      <c r="JT3084" s="37"/>
      <c r="JU3084" s="37"/>
      <c r="JV3084" s="37"/>
      <c r="JW3084" s="37"/>
      <c r="JX3084" s="37"/>
      <c r="JY3084" s="37"/>
      <c r="JZ3084" s="37"/>
      <c r="KA3084" s="37"/>
      <c r="KB3084" s="37"/>
      <c r="KC3084" s="37"/>
      <c r="KD3084" s="37"/>
      <c r="KE3084" s="37"/>
      <c r="KF3084" s="37"/>
      <c r="KG3084" s="37"/>
      <c r="KH3084" s="37"/>
      <c r="KI3084" s="37"/>
      <c r="KJ3084" s="37"/>
      <c r="KK3084" s="37"/>
      <c r="KL3084" s="37"/>
      <c r="KM3084" s="37"/>
      <c r="KN3084" s="37"/>
      <c r="KO3084" s="37"/>
      <c r="KP3084" s="37"/>
      <c r="KQ3084" s="37"/>
      <c r="KR3084" s="37"/>
      <c r="KS3084" s="37"/>
      <c r="KT3084" s="37"/>
      <c r="KU3084" s="37"/>
      <c r="KV3084" s="37"/>
      <c r="KW3084" s="37"/>
      <c r="KX3084" s="37"/>
      <c r="KY3084" s="37"/>
      <c r="KZ3084" s="37"/>
      <c r="LA3084" s="37"/>
      <c r="LB3084" s="37"/>
      <c r="LC3084" s="37"/>
      <c r="LD3084" s="37"/>
      <c r="LE3084" s="37"/>
      <c r="LF3084" s="37"/>
      <c r="LG3084" s="37"/>
      <c r="LH3084" s="37"/>
      <c r="LI3084" s="37"/>
      <c r="LJ3084" s="37"/>
      <c r="LK3084" s="37"/>
      <c r="LL3084" s="37"/>
      <c r="LM3084" s="37"/>
      <c r="LN3084" s="37"/>
      <c r="LO3084" s="37"/>
      <c r="LP3084" s="37"/>
      <c r="LQ3084" s="37"/>
      <c r="LR3084" s="37"/>
      <c r="LS3084" s="37"/>
      <c r="LT3084" s="37"/>
      <c r="LU3084" s="37"/>
      <c r="LV3084" s="37"/>
      <c r="LW3084" s="37"/>
      <c r="LX3084" s="37"/>
      <c r="LY3084" s="37"/>
      <c r="LZ3084" s="37"/>
      <c r="MA3084" s="37"/>
      <c r="MB3084" s="37"/>
      <c r="MC3084" s="37"/>
      <c r="MD3084" s="37"/>
      <c r="ME3084" s="37"/>
      <c r="MF3084" s="37"/>
      <c r="MG3084" s="37"/>
      <c r="MH3084" s="37"/>
      <c r="MI3084" s="37"/>
      <c r="MJ3084" s="37"/>
      <c r="MK3084" s="37"/>
      <c r="ML3084" s="37"/>
      <c r="MM3084" s="37"/>
      <c r="MN3084" s="37"/>
      <c r="MO3084" s="37"/>
      <c r="MP3084" s="37"/>
      <c r="MQ3084" s="37"/>
      <c r="MR3084" s="37"/>
      <c r="MS3084" s="37"/>
      <c r="MT3084" s="37"/>
      <c r="MU3084" s="37"/>
      <c r="MV3084" s="37"/>
      <c r="MW3084" s="37"/>
      <c r="MX3084" s="37"/>
      <c r="MY3084" s="37"/>
      <c r="MZ3084" s="37"/>
      <c r="NA3084" s="37"/>
      <c r="NB3084" s="37"/>
      <c r="NC3084" s="37"/>
      <c r="ND3084" s="37"/>
      <c r="NE3084" s="37"/>
      <c r="NF3084" s="37"/>
      <c r="NG3084" s="37"/>
      <c r="NH3084" s="37"/>
      <c r="NI3084" s="37"/>
      <c r="NJ3084" s="37"/>
      <c r="NK3084" s="37"/>
      <c r="NL3084" s="37"/>
      <c r="NM3084" s="37"/>
      <c r="NN3084" s="37"/>
      <c r="NO3084" s="37"/>
      <c r="NP3084" s="37"/>
      <c r="NQ3084" s="37"/>
      <c r="NR3084" s="37"/>
      <c r="NS3084" s="37"/>
      <c r="NT3084" s="37"/>
      <c r="NU3084" s="37"/>
      <c r="NV3084" s="37"/>
      <c r="NW3084" s="37"/>
      <c r="NX3084" s="37"/>
      <c r="NY3084" s="37"/>
      <c r="NZ3084" s="37"/>
      <c r="OA3084" s="37"/>
      <c r="OB3084" s="37"/>
      <c r="OC3084" s="37"/>
      <c r="OD3084" s="37"/>
      <c r="OE3084" s="37"/>
      <c r="OF3084" s="37"/>
      <c r="OG3084" s="37"/>
      <c r="OH3084" s="37"/>
      <c r="OI3084" s="37"/>
      <c r="OJ3084" s="37"/>
      <c r="OK3084" s="37"/>
      <c r="OL3084" s="37"/>
      <c r="OM3084" s="37"/>
      <c r="ON3084" s="37"/>
      <c r="OO3084" s="37"/>
      <c r="OP3084" s="37"/>
      <c r="OQ3084" s="37"/>
      <c r="OR3084" s="37"/>
      <c r="OS3084" s="37"/>
      <c r="OT3084" s="37"/>
      <c r="OU3084" s="37"/>
      <c r="OV3084" s="37"/>
      <c r="OW3084" s="37"/>
      <c r="OX3084" s="37"/>
      <c r="OY3084" s="37"/>
      <c r="OZ3084" s="37"/>
      <c r="PA3084" s="37"/>
      <c r="PB3084" s="37"/>
      <c r="PC3084" s="37"/>
      <c r="PD3084" s="37"/>
      <c r="PE3084" s="37"/>
      <c r="PF3084" s="37"/>
      <c r="PG3084" s="37"/>
      <c r="PH3084" s="37"/>
      <c r="PI3084" s="37"/>
      <c r="PJ3084" s="37"/>
      <c r="PK3084" s="37"/>
      <c r="PL3084" s="37"/>
      <c r="PM3084" s="37"/>
      <c r="PN3084" s="37"/>
      <c r="PO3084" s="37"/>
      <c r="PP3084" s="37"/>
      <c r="PQ3084" s="37"/>
      <c r="PR3084" s="37"/>
      <c r="PS3084" s="37"/>
      <c r="PT3084" s="37"/>
      <c r="PU3084" s="37"/>
      <c r="PV3084" s="37"/>
      <c r="PW3084" s="37"/>
      <c r="PX3084" s="37"/>
      <c r="PY3084" s="37"/>
      <c r="PZ3084" s="37"/>
      <c r="QA3084" s="37"/>
      <c r="QB3084" s="37"/>
      <c r="QC3084" s="37"/>
      <c r="QD3084" s="37"/>
      <c r="QE3084" s="37"/>
      <c r="QF3084" s="37"/>
      <c r="QG3084" s="37"/>
      <c r="QH3084" s="37"/>
      <c r="QI3084" s="37"/>
      <c r="QJ3084" s="37"/>
      <c r="QK3084" s="37"/>
      <c r="QL3084" s="37"/>
      <c r="QM3084" s="37"/>
      <c r="QN3084" s="37"/>
      <c r="QO3084" s="37"/>
      <c r="QP3084" s="37"/>
      <c r="QQ3084" s="37"/>
      <c r="QR3084" s="37"/>
      <c r="QS3084" s="37"/>
      <c r="QT3084" s="37"/>
      <c r="QU3084" s="37"/>
      <c r="QV3084" s="37"/>
      <c r="QW3084" s="37"/>
      <c r="QX3084" s="37"/>
      <c r="QY3084" s="37"/>
      <c r="QZ3084" s="37"/>
      <c r="RA3084" s="37"/>
      <c r="RB3084" s="37"/>
      <c r="RC3084" s="37"/>
      <c r="RD3084" s="37"/>
      <c r="RE3084" s="37"/>
      <c r="RF3084" s="37"/>
      <c r="RG3084" s="37"/>
      <c r="RH3084" s="37"/>
      <c r="RI3084" s="37"/>
      <c r="RJ3084" s="37"/>
      <c r="RK3084" s="37"/>
      <c r="RL3084" s="37"/>
      <c r="RM3084" s="37"/>
      <c r="RN3084" s="37"/>
      <c r="RO3084" s="37"/>
      <c r="RP3084" s="37"/>
      <c r="RQ3084" s="37"/>
      <c r="RR3084" s="37"/>
      <c r="RS3084" s="37"/>
      <c r="RT3084" s="37"/>
      <c r="RU3084" s="37"/>
      <c r="RV3084" s="37"/>
      <c r="RW3084" s="37"/>
      <c r="RX3084" s="37"/>
      <c r="RY3084" s="37"/>
      <c r="RZ3084" s="37"/>
      <c r="SA3084" s="37"/>
      <c r="SB3084" s="37"/>
      <c r="SC3084" s="37"/>
      <c r="SD3084" s="37"/>
      <c r="SE3084" s="37"/>
      <c r="SF3084" s="37"/>
    </row>
    <row r="3085" spans="1:500">
      <c r="A3085" s="37"/>
      <c r="B3085" s="37"/>
      <c r="C3085" s="37"/>
      <c r="D3085" s="37"/>
      <c r="E3085" s="37"/>
      <c r="F3085" s="37"/>
      <c r="G3085" s="37"/>
      <c r="H3085" s="37"/>
      <c r="I3085" s="37"/>
      <c r="J3085" s="37"/>
      <c r="K3085" s="37"/>
      <c r="L3085" s="37"/>
      <c r="M3085" s="37"/>
      <c r="N3085" s="37"/>
      <c r="O3085" s="37"/>
      <c r="P3085" s="37"/>
      <c r="Q3085" s="37"/>
      <c r="R3085" s="37"/>
      <c r="S3085" s="37"/>
      <c r="T3085" s="37"/>
      <c r="U3085" s="37"/>
      <c r="V3085" s="37"/>
      <c r="W3085" s="37"/>
      <c r="X3085" s="37"/>
      <c r="Y3085" s="37"/>
      <c r="Z3085" s="37"/>
      <c r="AA3085" s="37"/>
      <c r="AB3085" s="37"/>
      <c r="AC3085" s="37"/>
      <c r="AD3085" s="37"/>
      <c r="AE3085" s="37"/>
      <c r="AF3085" s="37"/>
      <c r="AG3085" s="37"/>
      <c r="AH3085" s="37"/>
      <c r="AI3085" s="37"/>
      <c r="AJ3085" s="37"/>
      <c r="AK3085" s="37"/>
      <c r="AL3085" s="37"/>
      <c r="AM3085" s="37"/>
      <c r="AN3085" s="37"/>
      <c r="AO3085" s="37"/>
      <c r="AP3085" s="37"/>
      <c r="AQ3085" s="37"/>
      <c r="AR3085" s="37"/>
      <c r="AS3085" s="37"/>
      <c r="AT3085" s="37"/>
      <c r="AU3085" s="37"/>
      <c r="AV3085" s="37"/>
      <c r="AW3085" s="37"/>
      <c r="AX3085" s="37"/>
      <c r="AY3085" s="37"/>
      <c r="AZ3085" s="37"/>
      <c r="BA3085" s="37"/>
      <c r="BB3085" s="37"/>
      <c r="BC3085" s="37"/>
      <c r="BD3085" s="37"/>
      <c r="BE3085" s="37"/>
      <c r="BF3085" s="37"/>
      <c r="BG3085" s="37"/>
      <c r="BH3085" s="37"/>
      <c r="BI3085" s="37"/>
      <c r="BJ3085" s="37"/>
      <c r="BK3085" s="37"/>
      <c r="BL3085" s="37"/>
      <c r="BM3085" s="37"/>
      <c r="BN3085" s="37"/>
      <c r="BO3085" s="37"/>
      <c r="BP3085" s="37"/>
      <c r="BQ3085" s="37"/>
      <c r="BR3085" s="37"/>
      <c r="BS3085" s="37"/>
      <c r="BT3085" s="37"/>
      <c r="BU3085" s="37"/>
      <c r="BV3085" s="37"/>
      <c r="BW3085" s="37"/>
      <c r="BX3085" s="37"/>
      <c r="BY3085" s="37"/>
      <c r="BZ3085" s="37"/>
      <c r="CA3085" s="37"/>
      <c r="CB3085" s="37"/>
      <c r="CC3085" s="37"/>
      <c r="CD3085" s="37"/>
      <c r="CE3085" s="37"/>
      <c r="CF3085" s="37"/>
      <c r="CG3085" s="37"/>
      <c r="CH3085" s="37"/>
      <c r="CI3085" s="37"/>
      <c r="CJ3085" s="37"/>
      <c r="CK3085" s="37"/>
      <c r="CL3085" s="37"/>
      <c r="CM3085" s="37"/>
      <c r="CN3085" s="37"/>
      <c r="CO3085" s="37"/>
      <c r="CP3085" s="37"/>
      <c r="CQ3085" s="37"/>
      <c r="CR3085" s="37"/>
      <c r="CS3085" s="37"/>
      <c r="CT3085" s="37"/>
      <c r="CU3085" s="37"/>
      <c r="CV3085" s="37"/>
      <c r="CW3085" s="37"/>
      <c r="CX3085" s="37"/>
      <c r="CY3085" s="37"/>
      <c r="CZ3085" s="37"/>
      <c r="DA3085" s="37"/>
      <c r="DB3085" s="37"/>
      <c r="DC3085" s="37"/>
      <c r="DD3085" s="37"/>
      <c r="DE3085" s="37"/>
      <c r="DF3085" s="37"/>
      <c r="DG3085" s="37"/>
      <c r="DH3085" s="37"/>
      <c r="DI3085" s="37"/>
      <c r="DJ3085" s="37"/>
      <c r="DK3085" s="37"/>
      <c r="DL3085" s="37"/>
      <c r="DM3085" s="37"/>
      <c r="DN3085" s="37"/>
      <c r="DO3085" s="37"/>
      <c r="DP3085" s="37"/>
      <c r="DQ3085" s="37"/>
      <c r="DR3085" s="37"/>
      <c r="DS3085" s="37"/>
      <c r="DT3085" s="37"/>
      <c r="DU3085" s="37"/>
      <c r="DV3085" s="37"/>
      <c r="DW3085" s="37"/>
      <c r="DX3085" s="37"/>
      <c r="DY3085" s="37"/>
      <c r="DZ3085" s="37"/>
      <c r="EA3085" s="37"/>
      <c r="EB3085" s="37"/>
      <c r="EC3085" s="37"/>
      <c r="ED3085" s="37"/>
      <c r="EE3085" s="37"/>
      <c r="EF3085" s="37"/>
      <c r="EG3085" s="37"/>
      <c r="EH3085" s="37"/>
      <c r="EI3085" s="37"/>
      <c r="EJ3085" s="37"/>
      <c r="EK3085" s="37"/>
      <c r="EL3085" s="37"/>
      <c r="EM3085" s="37"/>
      <c r="EN3085" s="37"/>
      <c r="EO3085" s="37"/>
      <c r="EP3085" s="37"/>
      <c r="EQ3085" s="37"/>
      <c r="ER3085" s="37"/>
      <c r="ES3085" s="37"/>
      <c r="ET3085" s="37"/>
      <c r="EU3085" s="37"/>
      <c r="EV3085" s="37"/>
      <c r="EW3085" s="37"/>
      <c r="EX3085" s="37"/>
      <c r="EY3085" s="37"/>
      <c r="EZ3085" s="37"/>
      <c r="FA3085" s="37"/>
      <c r="FB3085" s="37"/>
      <c r="FC3085" s="37"/>
      <c r="FD3085" s="37"/>
      <c r="FE3085" s="37"/>
      <c r="FF3085" s="37"/>
      <c r="FG3085" s="37"/>
      <c r="FH3085" s="37"/>
      <c r="FI3085" s="37"/>
      <c r="FJ3085" s="37"/>
      <c r="FK3085" s="37"/>
      <c r="FL3085" s="37"/>
      <c r="FM3085" s="37"/>
      <c r="FN3085" s="37"/>
      <c r="FO3085" s="37"/>
      <c r="FP3085" s="37"/>
      <c r="FQ3085" s="37"/>
      <c r="FR3085" s="37"/>
      <c r="FS3085" s="37"/>
      <c r="FT3085" s="37"/>
      <c r="FU3085" s="37"/>
      <c r="FV3085" s="37"/>
      <c r="FW3085" s="37"/>
      <c r="FX3085" s="37"/>
      <c r="FY3085" s="37"/>
      <c r="FZ3085" s="37"/>
      <c r="GA3085" s="37"/>
      <c r="GB3085" s="37"/>
      <c r="GC3085" s="37"/>
      <c r="GD3085" s="37"/>
      <c r="GE3085" s="37"/>
      <c r="GF3085" s="37"/>
      <c r="GG3085" s="37"/>
      <c r="GH3085" s="37"/>
      <c r="GI3085" s="37"/>
      <c r="GJ3085" s="37"/>
      <c r="GK3085" s="37"/>
      <c r="GL3085" s="37"/>
      <c r="GM3085" s="37"/>
      <c r="GN3085" s="37"/>
      <c r="GO3085" s="37"/>
      <c r="GP3085" s="37"/>
      <c r="GQ3085" s="37"/>
      <c r="GR3085" s="37"/>
      <c r="GS3085" s="37"/>
      <c r="GT3085" s="37"/>
      <c r="GU3085" s="37"/>
      <c r="GV3085" s="37"/>
      <c r="GW3085" s="37"/>
      <c r="GX3085" s="37"/>
      <c r="GY3085" s="37"/>
      <c r="GZ3085" s="37"/>
      <c r="HA3085" s="37"/>
      <c r="HB3085" s="37"/>
      <c r="HC3085" s="37"/>
      <c r="HD3085" s="37"/>
      <c r="HE3085" s="37"/>
      <c r="HF3085" s="37"/>
      <c r="HG3085" s="37"/>
      <c r="HH3085" s="37"/>
      <c r="HI3085" s="37"/>
      <c r="HJ3085" s="37"/>
      <c r="HK3085" s="37"/>
      <c r="HL3085" s="37"/>
      <c r="HM3085" s="37"/>
      <c r="HN3085" s="37"/>
      <c r="HO3085" s="37"/>
      <c r="HP3085" s="37"/>
      <c r="HQ3085" s="37"/>
      <c r="HR3085" s="37"/>
      <c r="HS3085" s="37"/>
      <c r="HT3085" s="37"/>
      <c r="HU3085" s="37"/>
      <c r="HV3085" s="37"/>
      <c r="HW3085" s="37"/>
      <c r="HX3085" s="37"/>
      <c r="HY3085" s="37"/>
      <c r="HZ3085" s="37"/>
      <c r="IA3085" s="37"/>
      <c r="IB3085" s="37"/>
      <c r="IC3085" s="37"/>
      <c r="ID3085" s="37"/>
      <c r="IE3085" s="37"/>
      <c r="IF3085" s="37"/>
      <c r="IG3085" s="37"/>
      <c r="IH3085" s="37"/>
      <c r="II3085" s="37"/>
      <c r="IJ3085" s="37"/>
      <c r="IK3085" s="37"/>
      <c r="IL3085" s="37"/>
      <c r="IM3085" s="37"/>
      <c r="IN3085" s="37"/>
      <c r="IO3085" s="37"/>
      <c r="IP3085" s="37"/>
      <c r="IQ3085" s="37"/>
      <c r="IR3085" s="37"/>
      <c r="IS3085" s="37"/>
      <c r="IT3085" s="37"/>
      <c r="IU3085" s="37"/>
      <c r="IV3085" s="37"/>
      <c r="IW3085" s="37"/>
      <c r="IX3085" s="37"/>
      <c r="IY3085" s="37"/>
      <c r="IZ3085" s="37"/>
      <c r="JA3085" s="37"/>
      <c r="JB3085" s="37"/>
      <c r="JC3085" s="37"/>
      <c r="JD3085" s="37"/>
      <c r="JE3085" s="37"/>
      <c r="JF3085" s="37"/>
      <c r="JG3085" s="37"/>
      <c r="JH3085" s="37"/>
      <c r="JI3085" s="37"/>
      <c r="JJ3085" s="37"/>
      <c r="JK3085" s="37"/>
      <c r="JL3085" s="37"/>
      <c r="JM3085" s="37"/>
      <c r="JN3085" s="37"/>
      <c r="JO3085" s="37"/>
      <c r="JP3085" s="37"/>
      <c r="JQ3085" s="37"/>
      <c r="JR3085" s="37"/>
      <c r="JS3085" s="37"/>
      <c r="JT3085" s="37"/>
      <c r="JU3085" s="37"/>
      <c r="JV3085" s="37"/>
      <c r="JW3085" s="37"/>
      <c r="JX3085" s="37"/>
      <c r="JY3085" s="37"/>
      <c r="JZ3085" s="37"/>
      <c r="KA3085" s="37"/>
      <c r="KB3085" s="37"/>
      <c r="KC3085" s="37"/>
      <c r="KD3085" s="37"/>
      <c r="KE3085" s="37"/>
      <c r="KF3085" s="37"/>
      <c r="KG3085" s="37"/>
      <c r="KH3085" s="37"/>
      <c r="KI3085" s="37"/>
      <c r="KJ3085" s="37"/>
      <c r="KK3085" s="37"/>
      <c r="KL3085" s="37"/>
      <c r="KM3085" s="37"/>
      <c r="KN3085" s="37"/>
      <c r="KO3085" s="37"/>
      <c r="KP3085" s="37"/>
      <c r="KQ3085" s="37"/>
      <c r="KR3085" s="37"/>
      <c r="KS3085" s="37"/>
      <c r="KT3085" s="37"/>
      <c r="KU3085" s="37"/>
      <c r="KV3085" s="37"/>
      <c r="KW3085" s="37"/>
      <c r="KX3085" s="37"/>
      <c r="KY3085" s="37"/>
      <c r="KZ3085" s="37"/>
      <c r="LA3085" s="37"/>
      <c r="LB3085" s="37"/>
      <c r="LC3085" s="37"/>
      <c r="LD3085" s="37"/>
      <c r="LE3085" s="37"/>
      <c r="LF3085" s="37"/>
      <c r="LG3085" s="37"/>
      <c r="LH3085" s="37"/>
      <c r="LI3085" s="37"/>
      <c r="LJ3085" s="37"/>
      <c r="LK3085" s="37"/>
      <c r="LL3085" s="37"/>
      <c r="LM3085" s="37"/>
      <c r="LN3085" s="37"/>
      <c r="LO3085" s="37"/>
      <c r="LP3085" s="37"/>
      <c r="LQ3085" s="37"/>
      <c r="LR3085" s="37"/>
      <c r="LS3085" s="37"/>
      <c r="LT3085" s="37"/>
      <c r="LU3085" s="37"/>
      <c r="LV3085" s="37"/>
      <c r="LW3085" s="37"/>
      <c r="LX3085" s="37"/>
      <c r="LY3085" s="37"/>
      <c r="LZ3085" s="37"/>
      <c r="MA3085" s="37"/>
      <c r="MB3085" s="37"/>
      <c r="MC3085" s="37"/>
      <c r="MD3085" s="37"/>
      <c r="ME3085" s="37"/>
      <c r="MF3085" s="37"/>
      <c r="MG3085" s="37"/>
      <c r="MH3085" s="37"/>
      <c r="MI3085" s="37"/>
      <c r="MJ3085" s="37"/>
      <c r="MK3085" s="37"/>
      <c r="ML3085" s="37"/>
      <c r="MM3085" s="37"/>
      <c r="MN3085" s="37"/>
      <c r="MO3085" s="37"/>
      <c r="MP3085" s="37"/>
      <c r="MQ3085" s="37"/>
      <c r="MR3085" s="37"/>
      <c r="MS3085" s="37"/>
      <c r="MT3085" s="37"/>
      <c r="MU3085" s="37"/>
      <c r="MV3085" s="37"/>
      <c r="MW3085" s="37"/>
      <c r="MX3085" s="37"/>
      <c r="MY3085" s="37"/>
      <c r="MZ3085" s="37"/>
      <c r="NA3085" s="37"/>
      <c r="NB3085" s="37"/>
      <c r="NC3085" s="37"/>
      <c r="ND3085" s="37"/>
      <c r="NE3085" s="37"/>
      <c r="NF3085" s="37"/>
      <c r="NG3085" s="37"/>
      <c r="NH3085" s="37"/>
      <c r="NI3085" s="37"/>
      <c r="NJ3085" s="37"/>
      <c r="NK3085" s="37"/>
      <c r="NL3085" s="37"/>
      <c r="NM3085" s="37"/>
      <c r="NN3085" s="37"/>
      <c r="NO3085" s="37"/>
      <c r="NP3085" s="37"/>
      <c r="NQ3085" s="37"/>
      <c r="NR3085" s="37"/>
      <c r="NS3085" s="37"/>
      <c r="NT3085" s="37"/>
      <c r="NU3085" s="37"/>
      <c r="NV3085" s="37"/>
      <c r="NW3085" s="37"/>
      <c r="NX3085" s="37"/>
      <c r="NY3085" s="37"/>
      <c r="NZ3085" s="37"/>
      <c r="OA3085" s="37"/>
      <c r="OB3085" s="37"/>
      <c r="OC3085" s="37"/>
      <c r="OD3085" s="37"/>
      <c r="OE3085" s="37"/>
      <c r="OF3085" s="37"/>
      <c r="OG3085" s="37"/>
      <c r="OH3085" s="37"/>
      <c r="OI3085" s="37"/>
      <c r="OJ3085" s="37"/>
      <c r="OK3085" s="37"/>
      <c r="OL3085" s="37"/>
      <c r="OM3085" s="37"/>
      <c r="ON3085" s="37"/>
      <c r="OO3085" s="37"/>
      <c r="OP3085" s="37"/>
      <c r="OQ3085" s="37"/>
      <c r="OR3085" s="37"/>
      <c r="OS3085" s="37"/>
      <c r="OT3085" s="37"/>
      <c r="OU3085" s="37"/>
      <c r="OV3085" s="37"/>
      <c r="OW3085" s="37"/>
      <c r="OX3085" s="37"/>
      <c r="OY3085" s="37"/>
      <c r="OZ3085" s="37"/>
      <c r="PA3085" s="37"/>
      <c r="PB3085" s="37"/>
      <c r="PC3085" s="37"/>
      <c r="PD3085" s="37"/>
      <c r="PE3085" s="37"/>
      <c r="PF3085" s="37"/>
      <c r="PG3085" s="37"/>
      <c r="PH3085" s="37"/>
      <c r="PI3085" s="37"/>
      <c r="PJ3085" s="37"/>
      <c r="PK3085" s="37"/>
      <c r="PL3085" s="37"/>
      <c r="PM3085" s="37"/>
      <c r="PN3085" s="37"/>
      <c r="PO3085" s="37"/>
      <c r="PP3085" s="37"/>
      <c r="PQ3085" s="37"/>
      <c r="PR3085" s="37"/>
      <c r="PS3085" s="37"/>
      <c r="PT3085" s="37"/>
      <c r="PU3085" s="37"/>
      <c r="PV3085" s="37"/>
      <c r="PW3085" s="37"/>
      <c r="PX3085" s="37"/>
      <c r="PY3085" s="37"/>
      <c r="PZ3085" s="37"/>
      <c r="QA3085" s="37"/>
      <c r="QB3085" s="37"/>
      <c r="QC3085" s="37"/>
      <c r="QD3085" s="37"/>
      <c r="QE3085" s="37"/>
      <c r="QF3085" s="37"/>
      <c r="QG3085" s="37"/>
      <c r="QH3085" s="37"/>
      <c r="QI3085" s="37"/>
      <c r="QJ3085" s="37"/>
      <c r="QK3085" s="37"/>
      <c r="QL3085" s="37"/>
      <c r="QM3085" s="37"/>
      <c r="QN3085" s="37"/>
      <c r="QO3085" s="37"/>
      <c r="QP3085" s="37"/>
      <c r="QQ3085" s="37"/>
      <c r="QR3085" s="37"/>
      <c r="QS3085" s="37"/>
      <c r="QT3085" s="37"/>
      <c r="QU3085" s="37"/>
      <c r="QV3085" s="37"/>
      <c r="QW3085" s="37"/>
      <c r="QX3085" s="37"/>
      <c r="QY3085" s="37"/>
      <c r="QZ3085" s="37"/>
      <c r="RA3085" s="37"/>
      <c r="RB3085" s="37"/>
      <c r="RC3085" s="37"/>
      <c r="RD3085" s="37"/>
      <c r="RE3085" s="37"/>
      <c r="RF3085" s="37"/>
      <c r="RG3085" s="37"/>
      <c r="RH3085" s="37"/>
      <c r="RI3085" s="37"/>
      <c r="RJ3085" s="37"/>
      <c r="RK3085" s="37"/>
      <c r="RL3085" s="37"/>
      <c r="RM3085" s="37"/>
      <c r="RN3085" s="37"/>
      <c r="RO3085" s="37"/>
      <c r="RP3085" s="37"/>
      <c r="RQ3085" s="37"/>
      <c r="RR3085" s="37"/>
      <c r="RS3085" s="37"/>
      <c r="RT3085" s="37"/>
      <c r="RU3085" s="37"/>
      <c r="RV3085" s="37"/>
      <c r="RW3085" s="37"/>
      <c r="RX3085" s="37"/>
      <c r="RY3085" s="37"/>
      <c r="RZ3085" s="37"/>
      <c r="SA3085" s="37"/>
      <c r="SB3085" s="37"/>
      <c r="SC3085" s="37"/>
      <c r="SD3085" s="37"/>
      <c r="SE3085" s="37"/>
      <c r="SF3085" s="37"/>
    </row>
    <row r="3086" spans="1:500">
      <c r="A3086" s="37"/>
      <c r="B3086" s="37"/>
      <c r="C3086" s="37"/>
      <c r="D3086" s="37"/>
      <c r="E3086" s="37"/>
      <c r="F3086" s="37"/>
      <c r="G3086" s="37"/>
      <c r="H3086" s="37"/>
      <c r="I3086" s="37"/>
      <c r="J3086" s="37"/>
      <c r="K3086" s="37"/>
      <c r="L3086" s="37"/>
      <c r="M3086" s="37"/>
      <c r="N3086" s="37"/>
      <c r="O3086" s="37"/>
      <c r="P3086" s="37"/>
      <c r="Q3086" s="37"/>
      <c r="R3086" s="37"/>
      <c r="S3086" s="37"/>
      <c r="T3086" s="37"/>
      <c r="U3086" s="37"/>
      <c r="V3086" s="37"/>
      <c r="W3086" s="37"/>
      <c r="X3086" s="37"/>
      <c r="Y3086" s="37"/>
      <c r="Z3086" s="37"/>
      <c r="AA3086" s="37"/>
      <c r="AB3086" s="37"/>
      <c r="AC3086" s="37"/>
      <c r="AD3086" s="37"/>
      <c r="AE3086" s="37"/>
      <c r="AF3086" s="37"/>
      <c r="AG3086" s="37"/>
      <c r="AH3086" s="37"/>
      <c r="AI3086" s="37"/>
      <c r="AJ3086" s="37"/>
      <c r="AK3086" s="37"/>
      <c r="AL3086" s="37"/>
      <c r="AM3086" s="37"/>
      <c r="AN3086" s="37"/>
      <c r="AO3086" s="37"/>
      <c r="AP3086" s="37"/>
      <c r="AQ3086" s="37"/>
      <c r="AR3086" s="37"/>
      <c r="AS3086" s="37"/>
      <c r="AT3086" s="37"/>
      <c r="AU3086" s="37"/>
      <c r="AV3086" s="37"/>
      <c r="AW3086" s="37"/>
      <c r="AX3086" s="37"/>
      <c r="AY3086" s="37"/>
      <c r="AZ3086" s="37"/>
      <c r="BA3086" s="37"/>
      <c r="BB3086" s="37"/>
      <c r="BC3086" s="37"/>
      <c r="BD3086" s="37"/>
      <c r="BE3086" s="37"/>
      <c r="BF3086" s="37"/>
      <c r="BG3086" s="37"/>
      <c r="BH3086" s="37"/>
      <c r="BI3086" s="37"/>
      <c r="BJ3086" s="37"/>
      <c r="BK3086" s="37"/>
      <c r="BL3086" s="37"/>
      <c r="BM3086" s="37"/>
      <c r="BN3086" s="37"/>
      <c r="BO3086" s="37"/>
      <c r="BP3086" s="37"/>
      <c r="BQ3086" s="37"/>
      <c r="BR3086" s="37"/>
      <c r="BS3086" s="37"/>
      <c r="BT3086" s="37"/>
      <c r="BU3086" s="37"/>
      <c r="BV3086" s="37"/>
      <c r="BW3086" s="37"/>
      <c r="BX3086" s="37"/>
      <c r="BY3086" s="37"/>
      <c r="BZ3086" s="37"/>
      <c r="CA3086" s="37"/>
      <c r="CB3086" s="37"/>
      <c r="CC3086" s="37"/>
      <c r="CD3086" s="37"/>
      <c r="CE3086" s="37"/>
      <c r="CF3086" s="37"/>
      <c r="CG3086" s="37"/>
      <c r="CH3086" s="37"/>
      <c r="CI3086" s="37"/>
      <c r="CJ3086" s="37"/>
      <c r="CK3086" s="37"/>
      <c r="CL3086" s="37"/>
      <c r="CM3086" s="37"/>
      <c r="CN3086" s="37"/>
      <c r="CO3086" s="37"/>
      <c r="CP3086" s="37"/>
      <c r="CQ3086" s="37"/>
      <c r="CR3086" s="37"/>
      <c r="CS3086" s="37"/>
      <c r="CT3086" s="37"/>
      <c r="CU3086" s="37"/>
      <c r="CV3086" s="37"/>
      <c r="CW3086" s="37"/>
      <c r="CX3086" s="37"/>
      <c r="CY3086" s="37"/>
      <c r="CZ3086" s="37"/>
      <c r="DA3086" s="37"/>
      <c r="DB3086" s="37"/>
      <c r="DC3086" s="37"/>
      <c r="DD3086" s="37"/>
      <c r="DE3086" s="37"/>
      <c r="DF3086" s="37"/>
      <c r="DG3086" s="37"/>
      <c r="DH3086" s="37"/>
      <c r="DI3086" s="37"/>
      <c r="DJ3086" s="37"/>
      <c r="DK3086" s="37"/>
      <c r="DL3086" s="37"/>
      <c r="DM3086" s="37"/>
      <c r="DN3086" s="37"/>
      <c r="DO3086" s="37"/>
      <c r="DP3086" s="37"/>
      <c r="DQ3086" s="37"/>
      <c r="DR3086" s="37"/>
      <c r="DS3086" s="37"/>
      <c r="DT3086" s="37"/>
      <c r="DU3086" s="37"/>
      <c r="DV3086" s="37"/>
      <c r="DW3086" s="37"/>
      <c r="DX3086" s="37"/>
      <c r="DY3086" s="37"/>
      <c r="DZ3086" s="37"/>
      <c r="EA3086" s="37"/>
      <c r="EB3086" s="37"/>
      <c r="EC3086" s="37"/>
      <c r="ED3086" s="37"/>
      <c r="EE3086" s="37"/>
      <c r="EF3086" s="37"/>
      <c r="EG3086" s="37"/>
      <c r="EH3086" s="37"/>
      <c r="EI3086" s="37"/>
      <c r="EJ3086" s="37"/>
      <c r="EK3086" s="37"/>
      <c r="EL3086" s="37"/>
      <c r="EM3086" s="37"/>
      <c r="EN3086" s="37"/>
      <c r="EO3086" s="37"/>
      <c r="EP3086" s="37"/>
      <c r="EQ3086" s="37"/>
      <c r="ER3086" s="37"/>
      <c r="ES3086" s="37"/>
      <c r="ET3086" s="37"/>
      <c r="EU3086" s="37"/>
      <c r="EV3086" s="37"/>
      <c r="EW3086" s="37"/>
      <c r="EX3086" s="37"/>
      <c r="EY3086" s="37"/>
      <c r="EZ3086" s="37"/>
      <c r="FA3086" s="37"/>
      <c r="FB3086" s="37"/>
      <c r="FC3086" s="37"/>
      <c r="FD3086" s="37"/>
      <c r="FE3086" s="37"/>
      <c r="FF3086" s="37"/>
      <c r="FG3086" s="37"/>
      <c r="FH3086" s="37"/>
      <c r="FI3086" s="37"/>
      <c r="FJ3086" s="37"/>
      <c r="FK3086" s="37"/>
      <c r="FL3086" s="37"/>
      <c r="FM3086" s="37"/>
      <c r="FN3086" s="37"/>
      <c r="FO3086" s="37"/>
      <c r="FP3086" s="37"/>
      <c r="FQ3086" s="37"/>
      <c r="FR3086" s="37"/>
      <c r="FS3086" s="37"/>
      <c r="FT3086" s="37"/>
      <c r="FU3086" s="37"/>
      <c r="FV3086" s="37"/>
      <c r="FW3086" s="37"/>
      <c r="FX3086" s="37"/>
      <c r="FY3086" s="37"/>
      <c r="FZ3086" s="37"/>
      <c r="GA3086" s="37"/>
      <c r="GB3086" s="37"/>
      <c r="GC3086" s="37"/>
      <c r="GD3086" s="37"/>
      <c r="GE3086" s="37"/>
      <c r="GF3086" s="37"/>
      <c r="GG3086" s="37"/>
      <c r="GH3086" s="37"/>
      <c r="GI3086" s="37"/>
      <c r="GJ3086" s="37"/>
      <c r="GK3086" s="37"/>
      <c r="GL3086" s="37"/>
      <c r="GM3086" s="37"/>
      <c r="GN3086" s="37"/>
      <c r="GO3086" s="37"/>
      <c r="GP3086" s="37"/>
      <c r="GQ3086" s="37"/>
      <c r="GR3086" s="37"/>
      <c r="GS3086" s="37"/>
      <c r="GT3086" s="37"/>
      <c r="GU3086" s="37"/>
      <c r="GV3086" s="37"/>
      <c r="GW3086" s="37"/>
      <c r="GX3086" s="37"/>
      <c r="GY3086" s="37"/>
      <c r="GZ3086" s="37"/>
      <c r="HA3086" s="37"/>
      <c r="HB3086" s="37"/>
      <c r="HC3086" s="37"/>
      <c r="HD3086" s="37"/>
      <c r="HE3086" s="37"/>
      <c r="HF3086" s="37"/>
      <c r="HG3086" s="37"/>
      <c r="HH3086" s="37"/>
      <c r="HI3086" s="37"/>
      <c r="HJ3086" s="37"/>
      <c r="HK3086" s="37"/>
      <c r="HL3086" s="37"/>
      <c r="HM3086" s="37"/>
      <c r="HN3086" s="37"/>
      <c r="HO3086" s="37"/>
      <c r="HP3086" s="37"/>
      <c r="HQ3086" s="37"/>
      <c r="HR3086" s="37"/>
      <c r="HS3086" s="37"/>
      <c r="HT3086" s="37"/>
      <c r="HU3086" s="37"/>
      <c r="HV3086" s="37"/>
      <c r="HW3086" s="37"/>
      <c r="HX3086" s="37"/>
      <c r="HY3086" s="37"/>
      <c r="HZ3086" s="37"/>
      <c r="IA3086" s="37"/>
      <c r="IB3086" s="37"/>
      <c r="IC3086" s="37"/>
      <c r="ID3086" s="37"/>
      <c r="IE3086" s="37"/>
      <c r="IF3086" s="37"/>
      <c r="IG3086" s="37"/>
      <c r="IH3086" s="37"/>
      <c r="II3086" s="37"/>
      <c r="IJ3086" s="37"/>
      <c r="IK3086" s="37"/>
      <c r="IL3086" s="37"/>
      <c r="IM3086" s="37"/>
      <c r="IN3086" s="37"/>
      <c r="IO3086" s="37"/>
      <c r="IP3086" s="37"/>
      <c r="IQ3086" s="37"/>
      <c r="IR3086" s="37"/>
      <c r="IS3086" s="37"/>
      <c r="IT3086" s="37"/>
      <c r="IU3086" s="37"/>
      <c r="IV3086" s="37"/>
      <c r="IW3086" s="37"/>
      <c r="IX3086" s="37"/>
      <c r="IY3086" s="37"/>
      <c r="IZ3086" s="37"/>
      <c r="JA3086" s="37"/>
      <c r="JB3086" s="37"/>
      <c r="JC3086" s="37"/>
      <c r="JD3086" s="37"/>
      <c r="JE3086" s="37"/>
      <c r="JF3086" s="37"/>
      <c r="JG3086" s="37"/>
      <c r="JH3086" s="37"/>
      <c r="JI3086" s="37"/>
      <c r="JJ3086" s="37"/>
      <c r="JK3086" s="37"/>
      <c r="JL3086" s="37"/>
      <c r="JM3086" s="37"/>
      <c r="JN3086" s="37"/>
      <c r="JO3086" s="37"/>
      <c r="JP3086" s="37"/>
      <c r="JQ3086" s="37"/>
      <c r="JR3086" s="37"/>
      <c r="JS3086" s="37"/>
      <c r="JT3086" s="37"/>
      <c r="JU3086" s="37"/>
      <c r="JV3086" s="37"/>
      <c r="JW3086" s="37"/>
      <c r="JX3086" s="37"/>
      <c r="JY3086" s="37"/>
      <c r="JZ3086" s="37"/>
      <c r="KA3086" s="37"/>
      <c r="KB3086" s="37"/>
      <c r="KC3086" s="37"/>
      <c r="KD3086" s="37"/>
      <c r="KE3086" s="37"/>
      <c r="KF3086" s="37"/>
      <c r="KG3086" s="37"/>
      <c r="KH3086" s="37"/>
      <c r="KI3086" s="37"/>
      <c r="KJ3086" s="37"/>
      <c r="KK3086" s="37"/>
      <c r="KL3086" s="37"/>
      <c r="KM3086" s="37"/>
      <c r="KN3086" s="37"/>
      <c r="KO3086" s="37"/>
      <c r="KP3086" s="37"/>
      <c r="KQ3086" s="37"/>
      <c r="KR3086" s="37"/>
      <c r="KS3086" s="37"/>
      <c r="KT3086" s="37"/>
      <c r="KU3086" s="37"/>
      <c r="KV3086" s="37"/>
      <c r="KW3086" s="37"/>
      <c r="KX3086" s="37"/>
      <c r="KY3086" s="37"/>
      <c r="KZ3086" s="37"/>
      <c r="LA3086" s="37"/>
      <c r="LB3086" s="37"/>
      <c r="LC3086" s="37"/>
      <c r="LD3086" s="37"/>
      <c r="LE3086" s="37"/>
      <c r="LF3086" s="37"/>
      <c r="LG3086" s="37"/>
      <c r="LH3086" s="37"/>
      <c r="LI3086" s="37"/>
      <c r="LJ3086" s="37"/>
      <c r="LK3086" s="37"/>
      <c r="LL3086" s="37"/>
      <c r="LM3086" s="37"/>
      <c r="LN3086" s="37"/>
      <c r="LO3086" s="37"/>
      <c r="LP3086" s="37"/>
      <c r="LQ3086" s="37"/>
      <c r="LR3086" s="37"/>
      <c r="LS3086" s="37"/>
      <c r="LT3086" s="37"/>
      <c r="LU3086" s="37"/>
      <c r="LV3086" s="37"/>
      <c r="LW3086" s="37"/>
      <c r="LX3086" s="37"/>
      <c r="LY3086" s="37"/>
      <c r="LZ3086" s="37"/>
      <c r="MA3086" s="37"/>
      <c r="MB3086" s="37"/>
      <c r="MC3086" s="37"/>
      <c r="MD3086" s="37"/>
      <c r="ME3086" s="37"/>
      <c r="MF3086" s="37"/>
      <c r="MG3086" s="37"/>
      <c r="MH3086" s="37"/>
      <c r="MI3086" s="37"/>
      <c r="MJ3086" s="37"/>
      <c r="MK3086" s="37"/>
      <c r="ML3086" s="37"/>
      <c r="MM3086" s="37"/>
      <c r="MN3086" s="37"/>
      <c r="MO3086" s="37"/>
      <c r="MP3086" s="37"/>
      <c r="MQ3086" s="37"/>
      <c r="MR3086" s="37"/>
      <c r="MS3086" s="37"/>
      <c r="MT3086" s="37"/>
      <c r="MU3086" s="37"/>
      <c r="MV3086" s="37"/>
      <c r="MW3086" s="37"/>
      <c r="MX3086" s="37"/>
      <c r="MY3086" s="37"/>
      <c r="MZ3086" s="37"/>
      <c r="NA3086" s="37"/>
      <c r="NB3086" s="37"/>
      <c r="NC3086" s="37"/>
      <c r="ND3086" s="37"/>
      <c r="NE3086" s="37"/>
      <c r="NF3086" s="37"/>
      <c r="NG3086" s="37"/>
      <c r="NH3086" s="37"/>
      <c r="NI3086" s="37"/>
      <c r="NJ3086" s="37"/>
      <c r="NK3086" s="37"/>
      <c r="NL3086" s="37"/>
      <c r="NM3086" s="37"/>
      <c r="NN3086" s="37"/>
      <c r="NO3086" s="37"/>
      <c r="NP3086" s="37"/>
      <c r="NQ3086" s="37"/>
      <c r="NR3086" s="37"/>
      <c r="NS3086" s="37"/>
      <c r="NT3086" s="37"/>
      <c r="NU3086" s="37"/>
      <c r="NV3086" s="37"/>
      <c r="NW3086" s="37"/>
      <c r="NX3086" s="37"/>
      <c r="NY3086" s="37"/>
      <c r="NZ3086" s="37"/>
      <c r="OA3086" s="37"/>
      <c r="OB3086" s="37"/>
      <c r="OC3086" s="37"/>
      <c r="OD3086" s="37"/>
      <c r="OE3086" s="37"/>
      <c r="OF3086" s="37"/>
      <c r="OG3086" s="37"/>
      <c r="OH3086" s="37"/>
      <c r="OI3086" s="37"/>
      <c r="OJ3086" s="37"/>
      <c r="OK3086" s="37"/>
      <c r="OL3086" s="37"/>
      <c r="OM3086" s="37"/>
      <c r="ON3086" s="37"/>
      <c r="OO3086" s="37"/>
      <c r="OP3086" s="37"/>
      <c r="OQ3086" s="37"/>
      <c r="OR3086" s="37"/>
      <c r="OS3086" s="37"/>
      <c r="OT3086" s="37"/>
      <c r="OU3086" s="37"/>
      <c r="OV3086" s="37"/>
      <c r="OW3086" s="37"/>
      <c r="OX3086" s="37"/>
      <c r="OY3086" s="37"/>
      <c r="OZ3086" s="37"/>
      <c r="PA3086" s="37"/>
      <c r="PB3086" s="37"/>
      <c r="PC3086" s="37"/>
      <c r="PD3086" s="37"/>
      <c r="PE3086" s="37"/>
      <c r="PF3086" s="37"/>
      <c r="PG3086" s="37"/>
      <c r="PH3086" s="37"/>
      <c r="PI3086" s="37"/>
      <c r="PJ3086" s="37"/>
      <c r="PK3086" s="37"/>
      <c r="PL3086" s="37"/>
      <c r="PM3086" s="37"/>
      <c r="PN3086" s="37"/>
      <c r="PO3086" s="37"/>
      <c r="PP3086" s="37"/>
      <c r="PQ3086" s="37"/>
      <c r="PR3086" s="37"/>
      <c r="PS3086" s="37"/>
      <c r="PT3086" s="37"/>
      <c r="PU3086" s="37"/>
      <c r="PV3086" s="37"/>
      <c r="PW3086" s="37"/>
      <c r="PX3086" s="37"/>
      <c r="PY3086" s="37"/>
      <c r="PZ3086" s="37"/>
      <c r="QA3086" s="37"/>
      <c r="QB3086" s="37"/>
      <c r="QC3086" s="37"/>
      <c r="QD3086" s="37"/>
      <c r="QE3086" s="37"/>
      <c r="QF3086" s="37"/>
      <c r="QG3086" s="37"/>
      <c r="QH3086" s="37"/>
      <c r="QI3086" s="37"/>
      <c r="QJ3086" s="37"/>
      <c r="QK3086" s="37"/>
      <c r="QL3086" s="37"/>
      <c r="QM3086" s="37"/>
      <c r="QN3086" s="37"/>
      <c r="QO3086" s="37"/>
      <c r="QP3086" s="37"/>
      <c r="QQ3086" s="37"/>
      <c r="QR3086" s="37"/>
      <c r="QS3086" s="37"/>
      <c r="QT3086" s="37"/>
      <c r="QU3086" s="37"/>
      <c r="QV3086" s="37"/>
      <c r="QW3086" s="37"/>
      <c r="QX3086" s="37"/>
      <c r="QY3086" s="37"/>
      <c r="QZ3086" s="37"/>
      <c r="RA3086" s="37"/>
      <c r="RB3086" s="37"/>
      <c r="RC3086" s="37"/>
      <c r="RD3086" s="37"/>
      <c r="RE3086" s="37"/>
      <c r="RF3086" s="37"/>
      <c r="RG3086" s="37"/>
      <c r="RH3086" s="37"/>
      <c r="RI3086" s="37"/>
      <c r="RJ3086" s="37"/>
      <c r="RK3086" s="37"/>
      <c r="RL3086" s="37"/>
      <c r="RM3086" s="37"/>
      <c r="RN3086" s="37"/>
      <c r="RO3086" s="37"/>
      <c r="RP3086" s="37"/>
      <c r="RQ3086" s="37"/>
      <c r="RR3086" s="37"/>
      <c r="RS3086" s="37"/>
      <c r="RT3086" s="37"/>
      <c r="RU3086" s="37"/>
      <c r="RV3086" s="37"/>
      <c r="RW3086" s="37"/>
      <c r="RX3086" s="37"/>
      <c r="RY3086" s="37"/>
      <c r="RZ3086" s="37"/>
      <c r="SA3086" s="37"/>
      <c r="SB3086" s="37"/>
      <c r="SC3086" s="37"/>
      <c r="SD3086" s="37"/>
      <c r="SE3086" s="37"/>
      <c r="SF3086" s="37"/>
    </row>
    <row r="3087" spans="1:500">
      <c r="A3087" s="37"/>
      <c r="B3087" s="37"/>
      <c r="C3087" s="37"/>
      <c r="D3087" s="37"/>
      <c r="E3087" s="37"/>
      <c r="F3087" s="37"/>
      <c r="G3087" s="37"/>
      <c r="H3087" s="37"/>
      <c r="I3087" s="37"/>
      <c r="J3087" s="37"/>
      <c r="K3087" s="37"/>
      <c r="L3087" s="37"/>
      <c r="M3087" s="37"/>
      <c r="N3087" s="37"/>
      <c r="O3087" s="37"/>
      <c r="P3087" s="37"/>
      <c r="Q3087" s="37"/>
      <c r="R3087" s="37"/>
      <c r="S3087" s="37"/>
      <c r="T3087" s="37"/>
      <c r="U3087" s="37"/>
      <c r="V3087" s="37"/>
      <c r="W3087" s="37"/>
      <c r="X3087" s="37"/>
      <c r="Y3087" s="37"/>
      <c r="Z3087" s="37"/>
      <c r="AA3087" s="37"/>
      <c r="AB3087" s="37"/>
      <c r="AC3087" s="37"/>
      <c r="AD3087" s="37"/>
      <c r="AE3087" s="37"/>
      <c r="AF3087" s="37"/>
      <c r="AG3087" s="37"/>
      <c r="AH3087" s="37"/>
      <c r="AI3087" s="37"/>
      <c r="AJ3087" s="37"/>
      <c r="AK3087" s="37"/>
      <c r="AL3087" s="37"/>
      <c r="AM3087" s="37"/>
      <c r="AN3087" s="37"/>
      <c r="AO3087" s="37"/>
      <c r="AP3087" s="37"/>
      <c r="AQ3087" s="37"/>
      <c r="AR3087" s="37"/>
      <c r="AS3087" s="37"/>
      <c r="AT3087" s="37"/>
      <c r="AU3087" s="37"/>
      <c r="AV3087" s="37"/>
      <c r="AW3087" s="37"/>
      <c r="AX3087" s="37"/>
      <c r="AY3087" s="37"/>
      <c r="AZ3087" s="37"/>
      <c r="BA3087" s="37"/>
      <c r="BB3087" s="37"/>
      <c r="BC3087" s="37"/>
      <c r="BD3087" s="37"/>
      <c r="BE3087" s="37"/>
      <c r="BF3087" s="37"/>
      <c r="BG3087" s="37"/>
      <c r="BH3087" s="37"/>
      <c r="BI3087" s="37"/>
      <c r="BJ3087" s="37"/>
      <c r="BK3087" s="37"/>
      <c r="BL3087" s="37"/>
      <c r="BM3087" s="37"/>
      <c r="BN3087" s="37"/>
      <c r="BO3087" s="37"/>
      <c r="BP3087" s="37"/>
      <c r="BQ3087" s="37"/>
      <c r="BR3087" s="37"/>
      <c r="BS3087" s="37"/>
      <c r="BT3087" s="37"/>
      <c r="BU3087" s="37"/>
      <c r="BV3087" s="37"/>
      <c r="BW3087" s="37"/>
      <c r="BX3087" s="37"/>
      <c r="BY3087" s="37"/>
      <c r="BZ3087" s="37"/>
      <c r="CA3087" s="37"/>
      <c r="CB3087" s="37"/>
      <c r="CC3087" s="37"/>
      <c r="CD3087" s="37"/>
      <c r="CE3087" s="37"/>
      <c r="CF3087" s="37"/>
      <c r="CG3087" s="37"/>
      <c r="CH3087" s="37"/>
      <c r="CI3087" s="37"/>
      <c r="CJ3087" s="37"/>
      <c r="CK3087" s="37"/>
      <c r="CL3087" s="37"/>
      <c r="CM3087" s="37"/>
      <c r="CN3087" s="37"/>
      <c r="CO3087" s="37"/>
      <c r="CP3087" s="37"/>
      <c r="CQ3087" s="37"/>
      <c r="CR3087" s="37"/>
      <c r="CS3087" s="37"/>
      <c r="CT3087" s="37"/>
      <c r="CU3087" s="37"/>
      <c r="CV3087" s="37"/>
      <c r="CW3087" s="37"/>
      <c r="CX3087" s="37"/>
      <c r="CY3087" s="37"/>
      <c r="CZ3087" s="37"/>
      <c r="DA3087" s="37"/>
      <c r="DB3087" s="37"/>
      <c r="DC3087" s="37"/>
      <c r="DD3087" s="37"/>
      <c r="DE3087" s="37"/>
      <c r="DF3087" s="37"/>
      <c r="DG3087" s="37"/>
      <c r="DH3087" s="37"/>
      <c r="DI3087" s="37"/>
      <c r="DJ3087" s="37"/>
      <c r="DK3087" s="37"/>
      <c r="DL3087" s="37"/>
      <c r="DM3087" s="37"/>
      <c r="DN3087" s="37"/>
      <c r="DO3087" s="37"/>
      <c r="DP3087" s="37"/>
      <c r="DQ3087" s="37"/>
      <c r="DR3087" s="37"/>
      <c r="DS3087" s="37"/>
      <c r="DT3087" s="37"/>
      <c r="DU3087" s="37"/>
      <c r="DV3087" s="37"/>
      <c r="DW3087" s="37"/>
      <c r="DX3087" s="37"/>
      <c r="DY3087" s="37"/>
      <c r="DZ3087" s="37"/>
      <c r="EA3087" s="37"/>
      <c r="EB3087" s="37"/>
      <c r="EC3087" s="37"/>
      <c r="ED3087" s="37"/>
      <c r="EE3087" s="37"/>
      <c r="EF3087" s="37"/>
      <c r="EG3087" s="37"/>
      <c r="EH3087" s="37"/>
      <c r="EI3087" s="37"/>
      <c r="EJ3087" s="37"/>
      <c r="EK3087" s="37"/>
      <c r="EL3087" s="37"/>
      <c r="EM3087" s="37"/>
      <c r="EN3087" s="37"/>
      <c r="EO3087" s="37"/>
      <c r="EP3087" s="37"/>
      <c r="EQ3087" s="37"/>
      <c r="ER3087" s="37"/>
      <c r="ES3087" s="37"/>
      <c r="ET3087" s="37"/>
      <c r="EU3087" s="37"/>
      <c r="EV3087" s="37"/>
      <c r="EW3087" s="37"/>
      <c r="EX3087" s="37"/>
      <c r="EY3087" s="37"/>
      <c r="EZ3087" s="37"/>
      <c r="FA3087" s="37"/>
      <c r="FB3087" s="37"/>
      <c r="FC3087" s="37"/>
      <c r="FD3087" s="37"/>
      <c r="FE3087" s="37"/>
      <c r="FF3087" s="37"/>
      <c r="FG3087" s="37"/>
      <c r="FH3087" s="37"/>
      <c r="FI3087" s="37"/>
      <c r="FJ3087" s="37"/>
      <c r="FK3087" s="37"/>
      <c r="FL3087" s="37"/>
      <c r="FM3087" s="37"/>
      <c r="FN3087" s="37"/>
      <c r="FO3087" s="37"/>
      <c r="FP3087" s="37"/>
      <c r="FQ3087" s="37"/>
      <c r="FR3087" s="37"/>
      <c r="FS3087" s="37"/>
      <c r="FT3087" s="37"/>
      <c r="FU3087" s="37"/>
      <c r="FV3087" s="37"/>
      <c r="FW3087" s="37"/>
      <c r="FX3087" s="37"/>
      <c r="FY3087" s="37"/>
      <c r="FZ3087" s="37"/>
      <c r="GA3087" s="37"/>
      <c r="GB3087" s="37"/>
      <c r="GC3087" s="37"/>
      <c r="GD3087" s="37"/>
      <c r="GE3087" s="37"/>
      <c r="GF3087" s="37"/>
      <c r="GG3087" s="37"/>
      <c r="GH3087" s="37"/>
      <c r="GI3087" s="37"/>
      <c r="GJ3087" s="37"/>
      <c r="GK3087" s="37"/>
      <c r="GL3087" s="37"/>
      <c r="GM3087" s="37"/>
      <c r="GN3087" s="37"/>
      <c r="GO3087" s="37"/>
      <c r="GP3087" s="37"/>
      <c r="GQ3087" s="37"/>
      <c r="GR3087" s="37"/>
      <c r="GS3087" s="37"/>
      <c r="GT3087" s="37"/>
      <c r="GU3087" s="37"/>
      <c r="GV3087" s="37"/>
      <c r="GW3087" s="37"/>
      <c r="GX3087" s="37"/>
      <c r="GY3087" s="37"/>
      <c r="GZ3087" s="37"/>
      <c r="HA3087" s="37"/>
      <c r="HB3087" s="37"/>
      <c r="HC3087" s="37"/>
      <c r="HD3087" s="37"/>
      <c r="HE3087" s="37"/>
      <c r="HF3087" s="37"/>
      <c r="HG3087" s="37"/>
      <c r="HH3087" s="37"/>
      <c r="HI3087" s="37"/>
      <c r="HJ3087" s="37"/>
      <c r="HK3087" s="37"/>
      <c r="HL3087" s="37"/>
      <c r="HM3087" s="37"/>
      <c r="HN3087" s="37"/>
      <c r="HO3087" s="37"/>
      <c r="HP3087" s="37"/>
      <c r="HQ3087" s="37"/>
      <c r="HR3087" s="37"/>
      <c r="HS3087" s="37"/>
      <c r="HT3087" s="37"/>
      <c r="HU3087" s="37"/>
      <c r="HV3087" s="37"/>
      <c r="HW3087" s="37"/>
      <c r="HX3087" s="37"/>
      <c r="HY3087" s="37"/>
      <c r="HZ3087" s="37"/>
      <c r="IA3087" s="37"/>
      <c r="IB3087" s="37"/>
      <c r="IC3087" s="37"/>
      <c r="ID3087" s="37"/>
      <c r="IE3087" s="37"/>
      <c r="IF3087" s="37"/>
      <c r="IG3087" s="37"/>
      <c r="IH3087" s="37"/>
      <c r="II3087" s="37"/>
      <c r="IJ3087" s="37"/>
      <c r="IK3087" s="37"/>
      <c r="IL3087" s="37"/>
      <c r="IM3087" s="37"/>
      <c r="IN3087" s="37"/>
      <c r="IO3087" s="37"/>
      <c r="IP3087" s="37"/>
      <c r="IQ3087" s="37"/>
      <c r="IR3087" s="37"/>
      <c r="IS3087" s="37"/>
      <c r="IT3087" s="37"/>
      <c r="IU3087" s="37"/>
      <c r="IV3087" s="37"/>
      <c r="IW3087" s="37"/>
      <c r="IX3087" s="37"/>
      <c r="IY3087" s="37"/>
      <c r="IZ3087" s="37"/>
      <c r="JA3087" s="37"/>
      <c r="JB3087" s="37"/>
      <c r="JC3087" s="37"/>
      <c r="JD3087" s="37"/>
      <c r="JE3087" s="37"/>
      <c r="JF3087" s="37"/>
      <c r="JG3087" s="37"/>
      <c r="JH3087" s="37"/>
      <c r="JI3087" s="37"/>
      <c r="JJ3087" s="37"/>
      <c r="JK3087" s="37"/>
      <c r="JL3087" s="37"/>
      <c r="JM3087" s="37"/>
      <c r="JN3087" s="37"/>
      <c r="JO3087" s="37"/>
      <c r="JP3087" s="37"/>
      <c r="JQ3087" s="37"/>
      <c r="JR3087" s="37"/>
      <c r="JS3087" s="37"/>
      <c r="JT3087" s="37"/>
      <c r="JU3087" s="37"/>
      <c r="JV3087" s="37"/>
      <c r="JW3087" s="37"/>
      <c r="JX3087" s="37"/>
      <c r="JY3087" s="37"/>
      <c r="JZ3087" s="37"/>
      <c r="KA3087" s="37"/>
      <c r="KB3087" s="37"/>
      <c r="KC3087" s="37"/>
      <c r="KD3087" s="37"/>
      <c r="KE3087" s="37"/>
      <c r="KF3087" s="37"/>
      <c r="KG3087" s="37"/>
      <c r="KH3087" s="37"/>
      <c r="KI3087" s="37"/>
      <c r="KJ3087" s="37"/>
      <c r="KK3087" s="37"/>
      <c r="KL3087" s="37"/>
      <c r="KM3087" s="37"/>
      <c r="KN3087" s="37"/>
      <c r="KO3087" s="37"/>
      <c r="KP3087" s="37"/>
      <c r="KQ3087" s="37"/>
      <c r="KR3087" s="37"/>
      <c r="KS3087" s="37"/>
      <c r="KT3087" s="37"/>
      <c r="KU3087" s="37"/>
      <c r="KV3087" s="37"/>
      <c r="KW3087" s="37"/>
      <c r="KX3087" s="37"/>
      <c r="KY3087" s="37"/>
      <c r="KZ3087" s="37"/>
      <c r="LA3087" s="37"/>
      <c r="LB3087" s="37"/>
      <c r="LC3087" s="37"/>
      <c r="LD3087" s="37"/>
      <c r="LE3087" s="37"/>
      <c r="LF3087" s="37"/>
      <c r="LG3087" s="37"/>
      <c r="LH3087" s="37"/>
      <c r="LI3087" s="37"/>
      <c r="LJ3087" s="37"/>
      <c r="LK3087" s="37"/>
      <c r="LL3087" s="37"/>
      <c r="LM3087" s="37"/>
      <c r="LN3087" s="37"/>
      <c r="LO3087" s="37"/>
      <c r="LP3087" s="37"/>
      <c r="LQ3087" s="37"/>
      <c r="LR3087" s="37"/>
      <c r="LS3087" s="37"/>
      <c r="LT3087" s="37"/>
      <c r="LU3087" s="37"/>
      <c r="LV3087" s="37"/>
      <c r="LW3087" s="37"/>
      <c r="LX3087" s="37"/>
      <c r="LY3087" s="37"/>
      <c r="LZ3087" s="37"/>
      <c r="MA3087" s="37"/>
      <c r="MB3087" s="37"/>
      <c r="MC3087" s="37"/>
      <c r="MD3087" s="37"/>
      <c r="ME3087" s="37"/>
      <c r="MF3087" s="37"/>
      <c r="MG3087" s="37"/>
      <c r="MH3087" s="37"/>
      <c r="MI3087" s="37"/>
      <c r="MJ3087" s="37"/>
      <c r="MK3087" s="37"/>
      <c r="ML3087" s="37"/>
      <c r="MM3087" s="37"/>
      <c r="MN3087" s="37"/>
      <c r="MO3087" s="37"/>
      <c r="MP3087" s="37"/>
      <c r="MQ3087" s="37"/>
      <c r="MR3087" s="37"/>
      <c r="MS3087" s="37"/>
      <c r="MT3087" s="37"/>
      <c r="MU3087" s="37"/>
      <c r="MV3087" s="37"/>
      <c r="MW3087" s="37"/>
      <c r="MX3087" s="37"/>
      <c r="MY3087" s="37"/>
      <c r="MZ3087" s="37"/>
      <c r="NA3087" s="37"/>
      <c r="NB3087" s="37"/>
      <c r="NC3087" s="37"/>
      <c r="ND3087" s="37"/>
      <c r="NE3087" s="37"/>
      <c r="NF3087" s="37"/>
      <c r="NG3087" s="37"/>
      <c r="NH3087" s="37"/>
      <c r="NI3087" s="37"/>
      <c r="NJ3087" s="37"/>
      <c r="NK3087" s="37"/>
      <c r="NL3087" s="37"/>
      <c r="NM3087" s="37"/>
      <c r="NN3087" s="37"/>
      <c r="NO3087" s="37"/>
      <c r="NP3087" s="37"/>
      <c r="NQ3087" s="37"/>
      <c r="NR3087" s="37"/>
      <c r="NS3087" s="37"/>
      <c r="NT3087" s="37"/>
      <c r="NU3087" s="37"/>
      <c r="NV3087" s="37"/>
      <c r="NW3087" s="37"/>
      <c r="NX3087" s="37"/>
      <c r="NY3087" s="37"/>
      <c r="NZ3087" s="37"/>
      <c r="OA3087" s="37"/>
      <c r="OB3087" s="37"/>
      <c r="OC3087" s="37"/>
      <c r="OD3087" s="37"/>
      <c r="OE3087" s="37"/>
      <c r="OF3087" s="37"/>
      <c r="OG3087" s="37"/>
      <c r="OH3087" s="37"/>
      <c r="OI3087" s="37"/>
      <c r="OJ3087" s="37"/>
      <c r="OK3087" s="37"/>
      <c r="OL3087" s="37"/>
      <c r="OM3087" s="37"/>
      <c r="ON3087" s="37"/>
      <c r="OO3087" s="37"/>
      <c r="OP3087" s="37"/>
      <c r="OQ3087" s="37"/>
      <c r="OR3087" s="37"/>
      <c r="OS3087" s="37"/>
      <c r="OT3087" s="37"/>
      <c r="OU3087" s="37"/>
      <c r="OV3087" s="37"/>
      <c r="OW3087" s="37"/>
      <c r="OX3087" s="37"/>
      <c r="OY3087" s="37"/>
      <c r="OZ3087" s="37"/>
      <c r="PA3087" s="37"/>
      <c r="PB3087" s="37"/>
      <c r="PC3087" s="37"/>
      <c r="PD3087" s="37"/>
      <c r="PE3087" s="37"/>
      <c r="PF3087" s="37"/>
      <c r="PG3087" s="37"/>
      <c r="PH3087" s="37"/>
      <c r="PI3087" s="37"/>
      <c r="PJ3087" s="37"/>
      <c r="PK3087" s="37"/>
      <c r="PL3087" s="37"/>
      <c r="PM3087" s="37"/>
      <c r="PN3087" s="37"/>
      <c r="PO3087" s="37"/>
      <c r="PP3087" s="37"/>
      <c r="PQ3087" s="37"/>
      <c r="PR3087" s="37"/>
      <c r="PS3087" s="37"/>
      <c r="PT3087" s="37"/>
      <c r="PU3087" s="37"/>
      <c r="PV3087" s="37"/>
      <c r="PW3087" s="37"/>
      <c r="PX3087" s="37"/>
      <c r="PY3087" s="37"/>
      <c r="PZ3087" s="37"/>
      <c r="QA3087" s="37"/>
      <c r="QB3087" s="37"/>
      <c r="QC3087" s="37"/>
      <c r="QD3087" s="37"/>
      <c r="QE3087" s="37"/>
      <c r="QF3087" s="37"/>
      <c r="QG3087" s="37"/>
      <c r="QH3087" s="37"/>
      <c r="QI3087" s="37"/>
      <c r="QJ3087" s="37"/>
      <c r="QK3087" s="37"/>
      <c r="QL3087" s="37"/>
      <c r="QM3087" s="37"/>
      <c r="QN3087" s="37"/>
      <c r="QO3087" s="37"/>
      <c r="QP3087" s="37"/>
      <c r="QQ3087" s="37"/>
      <c r="QR3087" s="37"/>
      <c r="QS3087" s="37"/>
      <c r="QT3087" s="37"/>
      <c r="QU3087" s="37"/>
      <c r="QV3087" s="37"/>
      <c r="QW3087" s="37"/>
      <c r="QX3087" s="37"/>
      <c r="QY3087" s="37"/>
      <c r="QZ3087" s="37"/>
      <c r="RA3087" s="37"/>
      <c r="RB3087" s="37"/>
      <c r="RC3087" s="37"/>
      <c r="RD3087" s="37"/>
      <c r="RE3087" s="37"/>
      <c r="RF3087" s="37"/>
      <c r="RG3087" s="37"/>
      <c r="RH3087" s="37"/>
      <c r="RI3087" s="37"/>
      <c r="RJ3087" s="37"/>
      <c r="RK3087" s="37"/>
      <c r="RL3087" s="37"/>
      <c r="RM3087" s="37"/>
      <c r="RN3087" s="37"/>
      <c r="RO3087" s="37"/>
      <c r="RP3087" s="37"/>
      <c r="RQ3087" s="37"/>
      <c r="RR3087" s="37"/>
      <c r="RS3087" s="37"/>
      <c r="RT3087" s="37"/>
      <c r="RU3087" s="37"/>
      <c r="RV3087" s="37"/>
      <c r="RW3087" s="37"/>
      <c r="RX3087" s="37"/>
      <c r="RY3087" s="37"/>
      <c r="RZ3087" s="37"/>
      <c r="SA3087" s="37"/>
      <c r="SB3087" s="37"/>
      <c r="SC3087" s="37"/>
      <c r="SD3087" s="37"/>
      <c r="SE3087" s="37"/>
      <c r="SF3087" s="37"/>
    </row>
    <row r="3088" spans="1:500">
      <c r="A3088" s="37"/>
      <c r="B3088" s="37"/>
      <c r="C3088" s="37"/>
      <c r="D3088" s="37"/>
      <c r="E3088" s="37"/>
      <c r="F3088" s="37"/>
      <c r="G3088" s="37"/>
      <c r="H3088" s="37"/>
      <c r="I3088" s="37"/>
      <c r="J3088" s="37"/>
      <c r="K3088" s="37"/>
      <c r="L3088" s="37"/>
      <c r="M3088" s="37"/>
      <c r="N3088" s="37"/>
      <c r="O3088" s="37"/>
      <c r="P3088" s="37"/>
      <c r="Q3088" s="37"/>
      <c r="R3088" s="37"/>
      <c r="S3088" s="37"/>
      <c r="T3088" s="37"/>
      <c r="U3088" s="37"/>
      <c r="V3088" s="37"/>
      <c r="W3088" s="37"/>
      <c r="X3088" s="37"/>
      <c r="Y3088" s="37"/>
      <c r="Z3088" s="37"/>
      <c r="AA3088" s="37"/>
      <c r="AB3088" s="37"/>
      <c r="AC3088" s="37"/>
      <c r="AD3088" s="37"/>
      <c r="AE3088" s="37"/>
      <c r="AF3088" s="37"/>
      <c r="AG3088" s="37"/>
      <c r="AH3088" s="37"/>
      <c r="AI3088" s="37"/>
      <c r="AJ3088" s="37"/>
      <c r="AK3088" s="37"/>
      <c r="AL3088" s="37"/>
      <c r="AM3088" s="37"/>
      <c r="AN3088" s="37"/>
      <c r="AO3088" s="37"/>
      <c r="AP3088" s="37"/>
      <c r="AQ3088" s="37"/>
      <c r="AR3088" s="37"/>
      <c r="AS3088" s="37"/>
      <c r="AT3088" s="37"/>
      <c r="AU3088" s="37"/>
      <c r="AV3088" s="37"/>
      <c r="AW3088" s="37"/>
      <c r="AX3088" s="37"/>
      <c r="AY3088" s="37"/>
      <c r="AZ3088" s="37"/>
      <c r="BA3088" s="37"/>
      <c r="BB3088" s="37"/>
      <c r="BC3088" s="37"/>
      <c r="BD3088" s="37"/>
      <c r="BE3088" s="37"/>
      <c r="BF3088" s="37"/>
      <c r="BG3088" s="37"/>
      <c r="BH3088" s="37"/>
      <c r="BI3088" s="37"/>
      <c r="BJ3088" s="37"/>
      <c r="BK3088" s="37"/>
      <c r="BL3088" s="37"/>
      <c r="BM3088" s="37"/>
      <c r="BN3088" s="37"/>
      <c r="BO3088" s="37"/>
      <c r="BP3088" s="37"/>
      <c r="BQ3088" s="37"/>
      <c r="BR3088" s="37"/>
      <c r="BS3088" s="37"/>
      <c r="BT3088" s="37"/>
      <c r="BU3088" s="37"/>
      <c r="BV3088" s="37"/>
      <c r="BW3088" s="37"/>
      <c r="BX3088" s="37"/>
      <c r="BY3088" s="37"/>
      <c r="BZ3088" s="37"/>
      <c r="CA3088" s="37"/>
      <c r="CB3088" s="37"/>
      <c r="CC3088" s="37"/>
      <c r="CD3088" s="37"/>
      <c r="CE3088" s="37"/>
      <c r="CF3088" s="37"/>
      <c r="CG3088" s="37"/>
      <c r="CH3088" s="37"/>
      <c r="CI3088" s="37"/>
      <c r="CJ3088" s="37"/>
      <c r="CK3088" s="37"/>
      <c r="CL3088" s="37"/>
      <c r="CM3088" s="37"/>
      <c r="CN3088" s="37"/>
      <c r="CO3088" s="37"/>
      <c r="CP3088" s="37"/>
      <c r="CQ3088" s="37"/>
      <c r="CR3088" s="37"/>
      <c r="CS3088" s="37"/>
      <c r="CT3088" s="37"/>
      <c r="CU3088" s="37"/>
      <c r="CV3088" s="37"/>
      <c r="CW3088" s="37"/>
      <c r="CX3088" s="37"/>
      <c r="CY3088" s="37"/>
      <c r="CZ3088" s="37"/>
      <c r="DA3088" s="37"/>
      <c r="DB3088" s="37"/>
      <c r="DC3088" s="37"/>
      <c r="DD3088" s="37"/>
      <c r="DE3088" s="37"/>
      <c r="DF3088" s="37"/>
      <c r="DG3088" s="37"/>
      <c r="DH3088" s="37"/>
      <c r="DI3088" s="37"/>
      <c r="DJ3088" s="37"/>
      <c r="DK3088" s="37"/>
      <c r="DL3088" s="37"/>
      <c r="DM3088" s="37"/>
      <c r="DN3088" s="37"/>
      <c r="DO3088" s="37"/>
      <c r="DP3088" s="37"/>
      <c r="DQ3088" s="37"/>
      <c r="DR3088" s="37"/>
      <c r="DS3088" s="37"/>
      <c r="DT3088" s="37"/>
      <c r="DU3088" s="37"/>
      <c r="DV3088" s="37"/>
      <c r="DW3088" s="37"/>
      <c r="DX3088" s="37"/>
      <c r="DY3088" s="37"/>
      <c r="DZ3088" s="37"/>
      <c r="EA3088" s="37"/>
      <c r="EB3088" s="37"/>
      <c r="EC3088" s="37"/>
      <c r="ED3088" s="37"/>
      <c r="EE3088" s="37"/>
      <c r="EF3088" s="37"/>
      <c r="EG3088" s="37"/>
      <c r="EH3088" s="37"/>
      <c r="EI3088" s="37"/>
      <c r="EJ3088" s="37"/>
      <c r="EK3088" s="37"/>
      <c r="EL3088" s="37"/>
      <c r="EM3088" s="37"/>
      <c r="EN3088" s="37"/>
      <c r="EO3088" s="37"/>
      <c r="EP3088" s="37"/>
      <c r="EQ3088" s="37"/>
      <c r="ER3088" s="37"/>
      <c r="ES3088" s="37"/>
      <c r="ET3088" s="37"/>
      <c r="EU3088" s="37"/>
      <c r="EV3088" s="37"/>
      <c r="EW3088" s="37"/>
      <c r="EX3088" s="37"/>
      <c r="EY3088" s="37"/>
      <c r="EZ3088" s="37"/>
      <c r="FA3088" s="37"/>
      <c r="FB3088" s="37"/>
      <c r="FC3088" s="37"/>
      <c r="FD3088" s="37"/>
      <c r="FE3088" s="37"/>
      <c r="FF3088" s="37"/>
      <c r="FG3088" s="37"/>
      <c r="FH3088" s="37"/>
      <c r="FI3088" s="37"/>
      <c r="FJ3088" s="37"/>
      <c r="FK3088" s="37"/>
      <c r="FL3088" s="37"/>
      <c r="FM3088" s="37"/>
      <c r="FN3088" s="37"/>
      <c r="FO3088" s="37"/>
      <c r="FP3088" s="37"/>
      <c r="FQ3088" s="37"/>
      <c r="FR3088" s="37"/>
      <c r="FS3088" s="37"/>
      <c r="FT3088" s="37"/>
      <c r="FU3088" s="37"/>
      <c r="FV3088" s="37"/>
      <c r="FW3088" s="37"/>
      <c r="FX3088" s="37"/>
      <c r="FY3088" s="37"/>
      <c r="FZ3088" s="37"/>
      <c r="GA3088" s="37"/>
      <c r="GB3088" s="37"/>
      <c r="GC3088" s="37"/>
      <c r="GD3088" s="37"/>
      <c r="GE3088" s="37"/>
      <c r="GF3088" s="37"/>
      <c r="GG3088" s="37"/>
      <c r="GH3088" s="37"/>
      <c r="GI3088" s="37"/>
      <c r="GJ3088" s="37"/>
      <c r="GK3088" s="37"/>
      <c r="GL3088" s="37"/>
      <c r="GM3088" s="37"/>
      <c r="GN3088" s="37"/>
      <c r="GO3088" s="37"/>
      <c r="GP3088" s="37"/>
      <c r="GQ3088" s="37"/>
      <c r="GR3088" s="37"/>
      <c r="GS3088" s="37"/>
      <c r="GT3088" s="37"/>
      <c r="GU3088" s="37"/>
      <c r="GV3088" s="37"/>
      <c r="GW3088" s="37"/>
      <c r="GX3088" s="37"/>
      <c r="GY3088" s="37"/>
      <c r="GZ3088" s="37"/>
      <c r="HA3088" s="37"/>
      <c r="HB3088" s="37"/>
      <c r="HC3088" s="37"/>
      <c r="HD3088" s="37"/>
      <c r="HE3088" s="37"/>
      <c r="HF3088" s="37"/>
      <c r="HG3088" s="37"/>
      <c r="HH3088" s="37"/>
      <c r="HI3088" s="37"/>
      <c r="HJ3088" s="37"/>
      <c r="HK3088" s="37"/>
      <c r="HL3088" s="37"/>
      <c r="HM3088" s="37"/>
      <c r="HN3088" s="37"/>
      <c r="HO3088" s="37"/>
      <c r="HP3088" s="37"/>
      <c r="HQ3088" s="37"/>
      <c r="HR3088" s="37"/>
      <c r="HS3088" s="37"/>
      <c r="HT3088" s="37"/>
      <c r="HU3088" s="37"/>
      <c r="HV3088" s="37"/>
      <c r="HW3088" s="37"/>
      <c r="HX3088" s="37"/>
      <c r="HY3088" s="37"/>
      <c r="HZ3088" s="37"/>
      <c r="IA3088" s="37"/>
      <c r="IB3088" s="37"/>
      <c r="IC3088" s="37"/>
      <c r="ID3088" s="37"/>
      <c r="IE3088" s="37"/>
      <c r="IF3088" s="37"/>
      <c r="IG3088" s="37"/>
      <c r="IH3088" s="37"/>
      <c r="II3088" s="37"/>
      <c r="IJ3088" s="37"/>
      <c r="IK3088" s="37"/>
      <c r="IL3088" s="37"/>
      <c r="IM3088" s="37"/>
      <c r="IN3088" s="37"/>
      <c r="IO3088" s="37"/>
      <c r="IP3088" s="37"/>
      <c r="IQ3088" s="37"/>
      <c r="IR3088" s="37"/>
      <c r="IS3088" s="37"/>
      <c r="IT3088" s="37"/>
      <c r="IU3088" s="37"/>
      <c r="IV3088" s="37"/>
      <c r="IW3088" s="37"/>
      <c r="IX3088" s="37"/>
      <c r="IY3088" s="37"/>
      <c r="IZ3088" s="37"/>
      <c r="JA3088" s="37"/>
      <c r="JB3088" s="37"/>
      <c r="JC3088" s="37"/>
      <c r="JD3088" s="37"/>
      <c r="JE3088" s="37"/>
      <c r="JF3088" s="37"/>
      <c r="JG3088" s="37"/>
      <c r="JH3088" s="37"/>
      <c r="JI3088" s="37"/>
      <c r="JJ3088" s="37"/>
      <c r="JK3088" s="37"/>
      <c r="JL3088" s="37"/>
      <c r="JM3088" s="37"/>
      <c r="JN3088" s="37"/>
      <c r="JO3088" s="37"/>
      <c r="JP3088" s="37"/>
      <c r="JQ3088" s="37"/>
      <c r="JR3088" s="37"/>
      <c r="JS3088" s="37"/>
      <c r="JT3088" s="37"/>
      <c r="JU3088" s="37"/>
      <c r="JV3088" s="37"/>
      <c r="JW3088" s="37"/>
      <c r="JX3088" s="37"/>
      <c r="JY3088" s="37"/>
      <c r="JZ3088" s="37"/>
      <c r="KA3088" s="37"/>
      <c r="KB3088" s="37"/>
      <c r="KC3088" s="37"/>
      <c r="KD3088" s="37"/>
      <c r="KE3088" s="37"/>
      <c r="KF3088" s="37"/>
      <c r="KG3088" s="37"/>
      <c r="KH3088" s="37"/>
      <c r="KI3088" s="37"/>
      <c r="KJ3088" s="37"/>
      <c r="KK3088" s="37"/>
      <c r="KL3088" s="37"/>
      <c r="KM3088" s="37"/>
      <c r="KN3088" s="37"/>
      <c r="KO3088" s="37"/>
      <c r="KP3088" s="37"/>
      <c r="KQ3088" s="37"/>
      <c r="KR3088" s="37"/>
      <c r="KS3088" s="37"/>
      <c r="KT3088" s="37"/>
      <c r="KU3088" s="37"/>
      <c r="KV3088" s="37"/>
      <c r="KW3088" s="37"/>
      <c r="KX3088" s="37"/>
      <c r="KY3088" s="37"/>
      <c r="KZ3088" s="37"/>
      <c r="LA3088" s="37"/>
      <c r="LB3088" s="37"/>
      <c r="LC3088" s="37"/>
      <c r="LD3088" s="37"/>
      <c r="LE3088" s="37"/>
      <c r="LF3088" s="37"/>
      <c r="LG3088" s="37"/>
      <c r="LH3088" s="37"/>
      <c r="LI3088" s="37"/>
      <c r="LJ3088" s="37"/>
      <c r="LK3088" s="37"/>
      <c r="LL3088" s="37"/>
      <c r="LM3088" s="37"/>
      <c r="LN3088" s="37"/>
      <c r="LO3088" s="37"/>
      <c r="LP3088" s="37"/>
      <c r="LQ3088" s="37"/>
      <c r="LR3088" s="37"/>
      <c r="LS3088" s="37"/>
      <c r="LT3088" s="37"/>
      <c r="LU3088" s="37"/>
      <c r="LV3088" s="37"/>
      <c r="LW3088" s="37"/>
      <c r="LX3088" s="37"/>
      <c r="LY3088" s="37"/>
      <c r="LZ3088" s="37"/>
      <c r="MA3088" s="37"/>
      <c r="MB3088" s="37"/>
      <c r="MC3088" s="37"/>
      <c r="MD3088" s="37"/>
      <c r="ME3088" s="37"/>
      <c r="MF3088" s="37"/>
      <c r="MG3088" s="37"/>
      <c r="MH3088" s="37"/>
      <c r="MI3088" s="37"/>
      <c r="MJ3088" s="37"/>
      <c r="MK3088" s="37"/>
      <c r="ML3088" s="37"/>
      <c r="MM3088" s="37"/>
      <c r="MN3088" s="37"/>
      <c r="MO3088" s="37"/>
      <c r="MP3088" s="37"/>
      <c r="MQ3088" s="37"/>
      <c r="MR3088" s="37"/>
      <c r="MS3088" s="37"/>
      <c r="MT3088" s="37"/>
      <c r="MU3088" s="37"/>
      <c r="MV3088" s="37"/>
      <c r="MW3088" s="37"/>
      <c r="MX3088" s="37"/>
      <c r="MY3088" s="37"/>
      <c r="MZ3088" s="37"/>
      <c r="NA3088" s="37"/>
      <c r="NB3088" s="37"/>
      <c r="NC3088" s="37"/>
      <c r="ND3088" s="37"/>
      <c r="NE3088" s="37"/>
      <c r="NF3088" s="37"/>
      <c r="NG3088" s="37"/>
      <c r="NH3088" s="37"/>
      <c r="NI3088" s="37"/>
      <c r="NJ3088" s="37"/>
      <c r="NK3088" s="37"/>
      <c r="NL3088" s="37"/>
      <c r="NM3088" s="37"/>
      <c r="NN3088" s="37"/>
      <c r="NO3088" s="37"/>
      <c r="NP3088" s="37"/>
      <c r="NQ3088" s="37"/>
      <c r="NR3088" s="37"/>
      <c r="NS3088" s="37"/>
      <c r="NT3088" s="37"/>
      <c r="NU3088" s="37"/>
      <c r="NV3088" s="37"/>
      <c r="NW3088" s="37"/>
      <c r="NX3088" s="37"/>
      <c r="NY3088" s="37"/>
      <c r="NZ3088" s="37"/>
      <c r="OA3088" s="37"/>
      <c r="OB3088" s="37"/>
      <c r="OC3088" s="37"/>
      <c r="OD3088" s="37"/>
      <c r="OE3088" s="37"/>
      <c r="OF3088" s="37"/>
      <c r="OG3088" s="37"/>
      <c r="OH3088" s="37"/>
      <c r="OI3088" s="37"/>
      <c r="OJ3088" s="37"/>
      <c r="OK3088" s="37"/>
      <c r="OL3088" s="37"/>
      <c r="OM3088" s="37"/>
      <c r="ON3088" s="37"/>
      <c r="OO3088" s="37"/>
      <c r="OP3088" s="37"/>
      <c r="OQ3088" s="37"/>
      <c r="OR3088" s="37"/>
      <c r="OS3088" s="37"/>
      <c r="OT3088" s="37"/>
      <c r="OU3088" s="37"/>
      <c r="OV3088" s="37"/>
      <c r="OW3088" s="37"/>
      <c r="OX3088" s="37"/>
      <c r="OY3088" s="37"/>
      <c r="OZ3088" s="37"/>
      <c r="PA3088" s="37"/>
      <c r="PB3088" s="37"/>
      <c r="PC3088" s="37"/>
      <c r="PD3088" s="37"/>
      <c r="PE3088" s="37"/>
      <c r="PF3088" s="37"/>
      <c r="PG3088" s="37"/>
      <c r="PH3088" s="37"/>
      <c r="PI3088" s="37"/>
      <c r="PJ3088" s="37"/>
      <c r="PK3088" s="37"/>
      <c r="PL3088" s="37"/>
      <c r="PM3088" s="37"/>
      <c r="PN3088" s="37"/>
      <c r="PO3088" s="37"/>
      <c r="PP3088" s="37"/>
      <c r="PQ3088" s="37"/>
      <c r="PR3088" s="37"/>
      <c r="PS3088" s="37"/>
      <c r="PT3088" s="37"/>
      <c r="PU3088" s="37"/>
      <c r="PV3088" s="37"/>
      <c r="PW3088" s="37"/>
      <c r="PX3088" s="37"/>
      <c r="PY3088" s="37"/>
      <c r="PZ3088" s="37"/>
      <c r="QA3088" s="37"/>
      <c r="QB3088" s="37"/>
      <c r="QC3088" s="37"/>
      <c r="QD3088" s="37"/>
      <c r="QE3088" s="37"/>
      <c r="QF3088" s="37"/>
      <c r="QG3088" s="37"/>
      <c r="QH3088" s="37"/>
      <c r="QI3088" s="37"/>
      <c r="QJ3088" s="37"/>
      <c r="QK3088" s="37"/>
      <c r="QL3088" s="37"/>
      <c r="QM3088" s="37"/>
      <c r="QN3088" s="37"/>
      <c r="QO3088" s="37"/>
      <c r="QP3088" s="37"/>
      <c r="QQ3088" s="37"/>
      <c r="QR3088" s="37"/>
      <c r="QS3088" s="37"/>
      <c r="QT3088" s="37"/>
      <c r="QU3088" s="37"/>
      <c r="QV3088" s="37"/>
      <c r="QW3088" s="37"/>
      <c r="QX3088" s="37"/>
      <c r="QY3088" s="37"/>
      <c r="QZ3088" s="37"/>
      <c r="RA3088" s="37"/>
      <c r="RB3088" s="37"/>
      <c r="RC3088" s="37"/>
      <c r="RD3088" s="37"/>
      <c r="RE3088" s="37"/>
      <c r="RF3088" s="37"/>
      <c r="RG3088" s="37"/>
      <c r="RH3088" s="37"/>
      <c r="RI3088" s="37"/>
      <c r="RJ3088" s="37"/>
      <c r="RK3088" s="37"/>
      <c r="RL3088" s="37"/>
      <c r="RM3088" s="37"/>
      <c r="RN3088" s="37"/>
      <c r="RO3088" s="37"/>
      <c r="RP3088" s="37"/>
      <c r="RQ3088" s="37"/>
      <c r="RR3088" s="37"/>
      <c r="RS3088" s="37"/>
      <c r="RT3088" s="37"/>
      <c r="RU3088" s="37"/>
      <c r="RV3088" s="37"/>
      <c r="RW3088" s="37"/>
      <c r="RX3088" s="37"/>
      <c r="RY3088" s="37"/>
      <c r="RZ3088" s="37"/>
      <c r="SA3088" s="37"/>
      <c r="SB3088" s="37"/>
      <c r="SC3088" s="37"/>
      <c r="SD3088" s="37"/>
      <c r="SE3088" s="37"/>
      <c r="SF3088" s="37"/>
    </row>
    <row r="3089" spans="1:500">
      <c r="A3089" s="37"/>
      <c r="B3089" s="37"/>
      <c r="C3089" s="37"/>
      <c r="D3089" s="37"/>
      <c r="E3089" s="37"/>
      <c r="F3089" s="37"/>
      <c r="G3089" s="37"/>
      <c r="H3089" s="37"/>
      <c r="I3089" s="37"/>
      <c r="J3089" s="37"/>
      <c r="K3089" s="37"/>
      <c r="L3089" s="37"/>
      <c r="M3089" s="37"/>
      <c r="N3089" s="37"/>
      <c r="O3089" s="37"/>
      <c r="P3089" s="37"/>
      <c r="Q3089" s="37"/>
      <c r="R3089" s="37"/>
      <c r="S3089" s="37"/>
      <c r="T3089" s="37"/>
      <c r="U3089" s="37"/>
      <c r="V3089" s="37"/>
      <c r="W3089" s="37"/>
      <c r="X3089" s="37"/>
      <c r="Y3089" s="37"/>
      <c r="Z3089" s="37"/>
      <c r="AA3089" s="37"/>
      <c r="AB3089" s="37"/>
      <c r="AC3089" s="37"/>
      <c r="AD3089" s="37"/>
      <c r="AE3089" s="37"/>
      <c r="AF3089" s="37"/>
      <c r="AG3089" s="37"/>
      <c r="AH3089" s="37"/>
      <c r="AI3089" s="37"/>
      <c r="AJ3089" s="37"/>
      <c r="AK3089" s="37"/>
      <c r="AL3089" s="37"/>
      <c r="AM3089" s="37"/>
      <c r="AN3089" s="37"/>
      <c r="AO3089" s="37"/>
      <c r="AP3089" s="37"/>
      <c r="AQ3089" s="37"/>
      <c r="AR3089" s="37"/>
      <c r="AS3089" s="37"/>
      <c r="AT3089" s="37"/>
      <c r="AU3089" s="37"/>
      <c r="AV3089" s="37"/>
      <c r="AW3089" s="37"/>
      <c r="AX3089" s="37"/>
      <c r="AY3089" s="37"/>
      <c r="AZ3089" s="37"/>
      <c r="BA3089" s="37"/>
      <c r="BB3089" s="37"/>
      <c r="BC3089" s="37"/>
      <c r="BD3089" s="37"/>
      <c r="BE3089" s="37"/>
      <c r="BF3089" s="37"/>
      <c r="BG3089" s="37"/>
      <c r="BH3089" s="37"/>
      <c r="BI3089" s="37"/>
      <c r="BJ3089" s="37"/>
      <c r="BK3089" s="37"/>
      <c r="BL3089" s="37"/>
      <c r="BM3089" s="37"/>
      <c r="BN3089" s="37"/>
      <c r="BO3089" s="37"/>
      <c r="BP3089" s="37"/>
      <c r="BQ3089" s="37"/>
      <c r="BR3089" s="37"/>
      <c r="BS3089" s="37"/>
      <c r="BT3089" s="37"/>
      <c r="BU3089" s="37"/>
      <c r="BV3089" s="37"/>
      <c r="BW3089" s="37"/>
      <c r="BX3089" s="37"/>
      <c r="BY3089" s="37"/>
      <c r="BZ3089" s="37"/>
      <c r="CA3089" s="37"/>
      <c r="CB3089" s="37"/>
      <c r="CC3089" s="37"/>
      <c r="CD3089" s="37"/>
      <c r="CE3089" s="37"/>
      <c r="CF3089" s="37"/>
      <c r="CG3089" s="37"/>
      <c r="CH3089" s="37"/>
      <c r="CI3089" s="37"/>
      <c r="CJ3089" s="37"/>
      <c r="CK3089" s="37"/>
      <c r="CL3089" s="37"/>
      <c r="CM3089" s="37"/>
      <c r="CN3089" s="37"/>
      <c r="CO3089" s="37"/>
      <c r="CP3089" s="37"/>
      <c r="CQ3089" s="37"/>
      <c r="CR3089" s="37"/>
      <c r="CS3089" s="37"/>
      <c r="CT3089" s="37"/>
      <c r="CU3089" s="37"/>
      <c r="CV3089" s="37"/>
      <c r="CW3089" s="37"/>
      <c r="CX3089" s="37"/>
      <c r="CY3089" s="37"/>
      <c r="CZ3089" s="37"/>
      <c r="DA3089" s="37"/>
      <c r="DB3089" s="37"/>
      <c r="DC3089" s="37"/>
      <c r="DD3089" s="37"/>
      <c r="DE3089" s="37"/>
      <c r="DF3089" s="37"/>
      <c r="DG3089" s="37"/>
      <c r="DH3089" s="37"/>
      <c r="DI3089" s="37"/>
      <c r="DJ3089" s="37"/>
      <c r="DK3089" s="37"/>
      <c r="DL3089" s="37"/>
      <c r="DM3089" s="37"/>
      <c r="DN3089" s="37"/>
      <c r="DO3089" s="37"/>
      <c r="DP3089" s="37"/>
      <c r="DQ3089" s="37"/>
      <c r="DR3089" s="37"/>
      <c r="DS3089" s="37"/>
      <c r="DT3089" s="37"/>
      <c r="DU3089" s="37"/>
      <c r="DV3089" s="37"/>
      <c r="DW3089" s="37"/>
      <c r="DX3089" s="37"/>
      <c r="DY3089" s="37"/>
      <c r="DZ3089" s="37"/>
      <c r="EA3089" s="37"/>
      <c r="EB3089" s="37"/>
      <c r="EC3089" s="37"/>
      <c r="ED3089" s="37"/>
      <c r="EE3089" s="37"/>
      <c r="EF3089" s="37"/>
      <c r="EG3089" s="37"/>
      <c r="EH3089" s="37"/>
      <c r="EI3089" s="37"/>
      <c r="EJ3089" s="37"/>
      <c r="EK3089" s="37"/>
      <c r="EL3089" s="37"/>
      <c r="EM3089" s="37"/>
      <c r="EN3089" s="37"/>
      <c r="EO3089" s="37"/>
      <c r="EP3089" s="37"/>
      <c r="EQ3089" s="37"/>
      <c r="ER3089" s="37"/>
      <c r="ES3089" s="37"/>
      <c r="ET3089" s="37"/>
      <c r="EU3089" s="37"/>
      <c r="EV3089" s="37"/>
      <c r="EW3089" s="37"/>
      <c r="EX3089" s="37"/>
      <c r="EY3089" s="37"/>
      <c r="EZ3089" s="37"/>
      <c r="FA3089" s="37"/>
      <c r="FB3089" s="37"/>
      <c r="FC3089" s="37"/>
      <c r="FD3089" s="37"/>
      <c r="FE3089" s="37"/>
      <c r="FF3089" s="37"/>
      <c r="FG3089" s="37"/>
      <c r="FH3089" s="37"/>
      <c r="FI3089" s="37"/>
      <c r="FJ3089" s="37"/>
      <c r="FK3089" s="37"/>
      <c r="FL3089" s="37"/>
      <c r="FM3089" s="37"/>
      <c r="FN3089" s="37"/>
      <c r="FO3089" s="37"/>
      <c r="FP3089" s="37"/>
      <c r="FQ3089" s="37"/>
      <c r="FR3089" s="37"/>
      <c r="FS3089" s="37"/>
      <c r="FT3089" s="37"/>
      <c r="FU3089" s="37"/>
      <c r="FV3089" s="37"/>
      <c r="FW3089" s="37"/>
      <c r="FX3089" s="37"/>
      <c r="FY3089" s="37"/>
      <c r="FZ3089" s="37"/>
      <c r="GA3089" s="37"/>
      <c r="GB3089" s="37"/>
      <c r="GC3089" s="37"/>
      <c r="GD3089" s="37"/>
      <c r="GE3089" s="37"/>
      <c r="GF3089" s="37"/>
      <c r="GG3089" s="37"/>
      <c r="GH3089" s="37"/>
      <c r="GI3089" s="37"/>
      <c r="GJ3089" s="37"/>
      <c r="GK3089" s="37"/>
      <c r="GL3089" s="37"/>
      <c r="GM3089" s="37"/>
      <c r="GN3089" s="37"/>
      <c r="GO3089" s="37"/>
      <c r="GP3089" s="37"/>
      <c r="GQ3089" s="37"/>
      <c r="GR3089" s="37"/>
      <c r="GS3089" s="37"/>
      <c r="GT3089" s="37"/>
      <c r="GU3089" s="37"/>
      <c r="GV3089" s="37"/>
      <c r="GW3089" s="37"/>
      <c r="GX3089" s="37"/>
      <c r="GY3089" s="37"/>
      <c r="GZ3089" s="37"/>
      <c r="HA3089" s="37"/>
      <c r="HB3089" s="37"/>
      <c r="HC3089" s="37"/>
      <c r="HD3089" s="37"/>
      <c r="HE3089" s="37"/>
      <c r="HF3089" s="37"/>
      <c r="HG3089" s="37"/>
      <c r="HH3089" s="37"/>
      <c r="HI3089" s="37"/>
      <c r="HJ3089" s="37"/>
      <c r="HK3089" s="37"/>
      <c r="HL3089" s="37"/>
      <c r="HM3089" s="37"/>
      <c r="HN3089" s="37"/>
      <c r="HO3089" s="37"/>
      <c r="HP3089" s="37"/>
      <c r="HQ3089" s="37"/>
      <c r="HR3089" s="37"/>
      <c r="HS3089" s="37"/>
      <c r="HT3089" s="37"/>
      <c r="HU3089" s="37"/>
      <c r="HV3089" s="37"/>
      <c r="HW3089" s="37"/>
      <c r="HX3089" s="37"/>
      <c r="HY3089" s="37"/>
      <c r="HZ3089" s="37"/>
      <c r="IA3089" s="37"/>
      <c r="IB3089" s="37"/>
      <c r="IC3089" s="37"/>
      <c r="ID3089" s="37"/>
      <c r="IE3089" s="37"/>
      <c r="IF3089" s="37"/>
      <c r="IG3089" s="37"/>
      <c r="IH3089" s="37"/>
      <c r="II3089" s="37"/>
      <c r="IJ3089" s="37"/>
      <c r="IK3089" s="37"/>
      <c r="IL3089" s="37"/>
      <c r="IM3089" s="37"/>
      <c r="IN3089" s="37"/>
      <c r="IO3089" s="37"/>
      <c r="IP3089" s="37"/>
      <c r="IQ3089" s="37"/>
      <c r="IR3089" s="37"/>
      <c r="IS3089" s="37"/>
      <c r="IT3089" s="37"/>
      <c r="IU3089" s="37"/>
      <c r="IV3089" s="37"/>
      <c r="IW3089" s="37"/>
      <c r="IX3089" s="37"/>
      <c r="IY3089" s="37"/>
      <c r="IZ3089" s="37"/>
      <c r="JA3089" s="37"/>
      <c r="JB3089" s="37"/>
      <c r="JC3089" s="37"/>
      <c r="JD3089" s="37"/>
      <c r="JE3089" s="37"/>
      <c r="JF3089" s="37"/>
      <c r="JG3089" s="37"/>
      <c r="JH3089" s="37"/>
      <c r="JI3089" s="37"/>
      <c r="JJ3089" s="37"/>
      <c r="JK3089" s="37"/>
      <c r="JL3089" s="37"/>
      <c r="JM3089" s="37"/>
      <c r="JN3089" s="37"/>
      <c r="JO3089" s="37"/>
      <c r="JP3089" s="37"/>
      <c r="JQ3089" s="37"/>
      <c r="JR3089" s="37"/>
      <c r="JS3089" s="37"/>
      <c r="JT3089" s="37"/>
      <c r="JU3089" s="37"/>
      <c r="JV3089" s="37"/>
      <c r="JW3089" s="37"/>
      <c r="JX3089" s="37"/>
      <c r="JY3089" s="37"/>
      <c r="JZ3089" s="37"/>
      <c r="KA3089" s="37"/>
      <c r="KB3089" s="37"/>
      <c r="KC3089" s="37"/>
      <c r="KD3089" s="37"/>
      <c r="KE3089" s="37"/>
      <c r="KF3089" s="37"/>
      <c r="KG3089" s="37"/>
      <c r="KH3089" s="37"/>
      <c r="KI3089" s="37"/>
      <c r="KJ3089" s="37"/>
      <c r="KK3089" s="37"/>
      <c r="KL3089" s="37"/>
      <c r="KM3089" s="37"/>
      <c r="KN3089" s="37"/>
      <c r="KO3089" s="37"/>
      <c r="KP3089" s="37"/>
      <c r="KQ3089" s="37"/>
      <c r="KR3089" s="37"/>
      <c r="KS3089" s="37"/>
      <c r="KT3089" s="37"/>
      <c r="KU3089" s="37"/>
      <c r="KV3089" s="37"/>
      <c r="KW3089" s="37"/>
      <c r="KX3089" s="37"/>
      <c r="KY3089" s="37"/>
      <c r="KZ3089" s="37"/>
      <c r="LA3089" s="37"/>
      <c r="LB3089" s="37"/>
      <c r="LC3089" s="37"/>
      <c r="LD3089" s="37"/>
      <c r="LE3089" s="37"/>
      <c r="LF3089" s="37"/>
      <c r="LG3089" s="37"/>
      <c r="LH3089" s="37"/>
      <c r="LI3089" s="37"/>
      <c r="LJ3089" s="37"/>
      <c r="LK3089" s="37"/>
      <c r="LL3089" s="37"/>
      <c r="LM3089" s="37"/>
      <c r="LN3089" s="37"/>
      <c r="LO3089" s="37"/>
      <c r="LP3089" s="37"/>
      <c r="LQ3089" s="37"/>
      <c r="LR3089" s="37"/>
      <c r="LS3089" s="37"/>
      <c r="LT3089" s="37"/>
      <c r="LU3089" s="37"/>
      <c r="LV3089" s="37"/>
      <c r="LW3089" s="37"/>
      <c r="LX3089" s="37"/>
      <c r="LY3089" s="37"/>
      <c r="LZ3089" s="37"/>
      <c r="MA3089" s="37"/>
      <c r="MB3089" s="37"/>
      <c r="MC3089" s="37"/>
      <c r="MD3089" s="37"/>
      <c r="ME3089" s="37"/>
      <c r="MF3089" s="37"/>
      <c r="MG3089" s="37"/>
      <c r="MH3089" s="37"/>
      <c r="MI3089" s="37"/>
      <c r="MJ3089" s="37"/>
      <c r="MK3089" s="37"/>
      <c r="ML3089" s="37"/>
      <c r="MM3089" s="37"/>
      <c r="MN3089" s="37"/>
      <c r="MO3089" s="37"/>
      <c r="MP3089" s="37"/>
      <c r="MQ3089" s="37"/>
      <c r="MR3089" s="37"/>
      <c r="MS3089" s="37"/>
      <c r="MT3089" s="37"/>
      <c r="MU3089" s="37"/>
      <c r="MV3089" s="37"/>
      <c r="MW3089" s="37"/>
      <c r="MX3089" s="37"/>
      <c r="MY3089" s="37"/>
      <c r="MZ3089" s="37"/>
      <c r="NA3089" s="37"/>
      <c r="NB3089" s="37"/>
      <c r="NC3089" s="37"/>
      <c r="ND3089" s="37"/>
      <c r="NE3089" s="37"/>
      <c r="NF3089" s="37"/>
      <c r="NG3089" s="37"/>
      <c r="NH3089" s="37"/>
      <c r="NI3089" s="37"/>
      <c r="NJ3089" s="37"/>
      <c r="NK3089" s="37"/>
      <c r="NL3089" s="37"/>
      <c r="NM3089" s="37"/>
      <c r="NN3089" s="37"/>
      <c r="NO3089" s="37"/>
      <c r="NP3089" s="37"/>
      <c r="NQ3089" s="37"/>
      <c r="NR3089" s="37"/>
      <c r="NS3089" s="37"/>
      <c r="NT3089" s="37"/>
      <c r="NU3089" s="37"/>
      <c r="NV3089" s="37"/>
      <c r="NW3089" s="37"/>
      <c r="NX3089" s="37"/>
      <c r="NY3089" s="37"/>
      <c r="NZ3089" s="37"/>
      <c r="OA3089" s="37"/>
      <c r="OB3089" s="37"/>
      <c r="OC3089" s="37"/>
      <c r="OD3089" s="37"/>
      <c r="OE3089" s="37"/>
      <c r="OF3089" s="37"/>
      <c r="OG3089" s="37"/>
      <c r="OH3089" s="37"/>
      <c r="OI3089" s="37"/>
      <c r="OJ3089" s="37"/>
      <c r="OK3089" s="37"/>
      <c r="OL3089" s="37"/>
      <c r="OM3089" s="37"/>
      <c r="ON3089" s="37"/>
      <c r="OO3089" s="37"/>
      <c r="OP3089" s="37"/>
      <c r="OQ3089" s="37"/>
      <c r="OR3089" s="37"/>
      <c r="OS3089" s="37"/>
      <c r="OT3089" s="37"/>
      <c r="OU3089" s="37"/>
      <c r="OV3089" s="37"/>
      <c r="OW3089" s="37"/>
      <c r="OX3089" s="37"/>
      <c r="OY3089" s="37"/>
      <c r="OZ3089" s="37"/>
      <c r="PA3089" s="37"/>
      <c r="PB3089" s="37"/>
      <c r="PC3089" s="37"/>
      <c r="PD3089" s="37"/>
      <c r="PE3089" s="37"/>
      <c r="PF3089" s="37"/>
      <c r="PG3089" s="37"/>
      <c r="PH3089" s="37"/>
      <c r="PI3089" s="37"/>
      <c r="PJ3089" s="37"/>
      <c r="PK3089" s="37"/>
      <c r="PL3089" s="37"/>
      <c r="PM3089" s="37"/>
      <c r="PN3089" s="37"/>
      <c r="PO3089" s="37"/>
      <c r="PP3089" s="37"/>
      <c r="PQ3089" s="37"/>
      <c r="PR3089" s="37"/>
      <c r="PS3089" s="37"/>
      <c r="PT3089" s="37"/>
      <c r="PU3089" s="37"/>
      <c r="PV3089" s="37"/>
      <c r="PW3089" s="37"/>
      <c r="PX3089" s="37"/>
      <c r="PY3089" s="37"/>
      <c r="PZ3089" s="37"/>
      <c r="QA3089" s="37"/>
      <c r="QB3089" s="37"/>
      <c r="QC3089" s="37"/>
      <c r="QD3089" s="37"/>
      <c r="QE3089" s="37"/>
      <c r="QF3089" s="37"/>
      <c r="QG3089" s="37"/>
      <c r="QH3089" s="37"/>
      <c r="QI3089" s="37"/>
      <c r="QJ3089" s="37"/>
      <c r="QK3089" s="37"/>
      <c r="QL3089" s="37"/>
      <c r="QM3089" s="37"/>
      <c r="QN3089" s="37"/>
      <c r="QO3089" s="37"/>
      <c r="QP3089" s="37"/>
      <c r="QQ3089" s="37"/>
      <c r="QR3089" s="37"/>
      <c r="QS3089" s="37"/>
      <c r="QT3089" s="37"/>
      <c r="QU3089" s="37"/>
      <c r="QV3089" s="37"/>
      <c r="QW3089" s="37"/>
      <c r="QX3089" s="37"/>
      <c r="QY3089" s="37"/>
      <c r="QZ3089" s="37"/>
      <c r="RA3089" s="37"/>
      <c r="RB3089" s="37"/>
      <c r="RC3089" s="37"/>
      <c r="RD3089" s="37"/>
      <c r="RE3089" s="37"/>
      <c r="RF3089" s="37"/>
      <c r="RG3089" s="37"/>
      <c r="RH3089" s="37"/>
      <c r="RI3089" s="37"/>
      <c r="RJ3089" s="37"/>
      <c r="RK3089" s="37"/>
      <c r="RL3089" s="37"/>
      <c r="RM3089" s="37"/>
      <c r="RN3089" s="37"/>
      <c r="RO3089" s="37"/>
      <c r="RP3089" s="37"/>
      <c r="RQ3089" s="37"/>
      <c r="RR3089" s="37"/>
      <c r="RS3089" s="37"/>
      <c r="RT3089" s="37"/>
      <c r="RU3089" s="37"/>
      <c r="RV3089" s="37"/>
      <c r="RW3089" s="37"/>
      <c r="RX3089" s="37"/>
      <c r="RY3089" s="37"/>
      <c r="RZ3089" s="37"/>
      <c r="SA3089" s="37"/>
      <c r="SB3089" s="37"/>
      <c r="SC3089" s="37"/>
      <c r="SD3089" s="37"/>
      <c r="SE3089" s="37"/>
      <c r="SF3089" s="37"/>
    </row>
    <row r="3090" spans="1:500">
      <c r="A3090" s="37"/>
      <c r="B3090" s="37"/>
      <c r="C3090" s="37"/>
      <c r="D3090" s="37"/>
      <c r="E3090" s="37"/>
      <c r="F3090" s="37"/>
      <c r="G3090" s="37"/>
      <c r="H3090" s="37"/>
      <c r="I3090" s="37"/>
      <c r="J3090" s="37"/>
      <c r="K3090" s="37"/>
      <c r="L3090" s="37"/>
      <c r="M3090" s="37"/>
      <c r="N3090" s="37"/>
      <c r="O3090" s="37"/>
      <c r="P3090" s="37"/>
      <c r="Q3090" s="37"/>
      <c r="R3090" s="37"/>
      <c r="S3090" s="37"/>
      <c r="T3090" s="37"/>
      <c r="U3090" s="37"/>
      <c r="V3090" s="37"/>
      <c r="W3090" s="37"/>
      <c r="X3090" s="37"/>
      <c r="Y3090" s="37"/>
      <c r="Z3090" s="37"/>
      <c r="AA3090" s="37"/>
      <c r="AB3090" s="37"/>
      <c r="AC3090" s="37"/>
      <c r="AD3090" s="37"/>
      <c r="AE3090" s="37"/>
      <c r="AF3090" s="37"/>
      <c r="AG3090" s="37"/>
      <c r="AH3090" s="37"/>
      <c r="AI3090" s="37"/>
      <c r="AJ3090" s="37"/>
      <c r="AK3090" s="37"/>
      <c r="AL3090" s="37"/>
      <c r="AM3090" s="37"/>
      <c r="AN3090" s="37"/>
      <c r="AO3090" s="37"/>
      <c r="AP3090" s="37"/>
      <c r="AQ3090" s="37"/>
      <c r="AR3090" s="37"/>
      <c r="AS3090" s="37"/>
      <c r="AT3090" s="37"/>
      <c r="AU3090" s="37"/>
      <c r="AV3090" s="37"/>
      <c r="AW3090" s="37"/>
      <c r="AX3090" s="37"/>
      <c r="AY3090" s="37"/>
      <c r="AZ3090" s="37"/>
      <c r="BA3090" s="37"/>
      <c r="BB3090" s="37"/>
      <c r="BC3090" s="37"/>
      <c r="BD3090" s="37"/>
      <c r="BE3090" s="37"/>
      <c r="BF3090" s="37"/>
      <c r="BG3090" s="37"/>
      <c r="BH3090" s="37"/>
      <c r="BI3090" s="37"/>
      <c r="BJ3090" s="37"/>
      <c r="BK3090" s="37"/>
      <c r="BL3090" s="37"/>
      <c r="BM3090" s="37"/>
      <c r="BN3090" s="37"/>
      <c r="BO3090" s="37"/>
      <c r="BP3090" s="37"/>
      <c r="BQ3090" s="37"/>
      <c r="BR3090" s="37"/>
      <c r="BS3090" s="37"/>
      <c r="BT3090" s="37"/>
      <c r="BU3090" s="37"/>
      <c r="BV3090" s="37"/>
      <c r="BW3090" s="37"/>
      <c r="BX3090" s="37"/>
      <c r="BY3090" s="37"/>
      <c r="BZ3090" s="37"/>
      <c r="CA3090" s="37"/>
      <c r="CB3090" s="37"/>
      <c r="CC3090" s="37"/>
      <c r="CD3090" s="37"/>
      <c r="CE3090" s="37"/>
      <c r="CF3090" s="37"/>
      <c r="CG3090" s="37"/>
      <c r="CH3090" s="37"/>
      <c r="CI3090" s="37"/>
      <c r="CJ3090" s="37"/>
      <c r="CK3090" s="37"/>
      <c r="CL3090" s="37"/>
      <c r="CM3090" s="37"/>
      <c r="CN3090" s="37"/>
      <c r="CO3090" s="37"/>
      <c r="CP3090" s="37"/>
      <c r="CQ3090" s="37"/>
      <c r="CR3090" s="37"/>
      <c r="CS3090" s="37"/>
      <c r="CT3090" s="37"/>
      <c r="CU3090" s="37"/>
      <c r="CV3090" s="37"/>
      <c r="CW3090" s="37"/>
      <c r="CX3090" s="37"/>
      <c r="CY3090" s="37"/>
      <c r="CZ3090" s="37"/>
      <c r="DA3090" s="37"/>
      <c r="DB3090" s="37"/>
      <c r="DC3090" s="37"/>
      <c r="DD3090" s="37"/>
      <c r="DE3090" s="37"/>
      <c r="DF3090" s="37"/>
      <c r="DG3090" s="37"/>
      <c r="DH3090" s="37"/>
      <c r="DI3090" s="37"/>
      <c r="DJ3090" s="37"/>
      <c r="DK3090" s="37"/>
      <c r="DL3090" s="37"/>
      <c r="DM3090" s="37"/>
      <c r="DN3090" s="37"/>
      <c r="DO3090" s="37"/>
      <c r="DP3090" s="37"/>
      <c r="DQ3090" s="37"/>
      <c r="DR3090" s="37"/>
      <c r="DS3090" s="37"/>
      <c r="DT3090" s="37"/>
      <c r="DU3090" s="37"/>
      <c r="DV3090" s="37"/>
      <c r="DW3090" s="37"/>
      <c r="DX3090" s="37"/>
      <c r="DY3090" s="37"/>
      <c r="DZ3090" s="37"/>
      <c r="EA3090" s="37"/>
      <c r="EB3090" s="37"/>
      <c r="EC3090" s="37"/>
      <c r="ED3090" s="37"/>
      <c r="EE3090" s="37"/>
      <c r="EF3090" s="37"/>
      <c r="EG3090" s="37"/>
      <c r="EH3090" s="37"/>
      <c r="EI3090" s="37"/>
      <c r="EJ3090" s="37"/>
      <c r="EK3090" s="37"/>
      <c r="EL3090" s="37"/>
      <c r="EM3090" s="37"/>
      <c r="EN3090" s="37"/>
      <c r="EO3090" s="37"/>
      <c r="EP3090" s="37"/>
      <c r="EQ3090" s="37"/>
      <c r="ER3090" s="37"/>
      <c r="ES3090" s="37"/>
      <c r="ET3090" s="37"/>
      <c r="EU3090" s="37"/>
      <c r="EV3090" s="37"/>
      <c r="EW3090" s="37"/>
      <c r="EX3090" s="37"/>
      <c r="EY3090" s="37"/>
      <c r="EZ3090" s="37"/>
      <c r="FA3090" s="37"/>
      <c r="FB3090" s="37"/>
      <c r="FC3090" s="37"/>
      <c r="FD3090" s="37"/>
      <c r="FE3090" s="37"/>
      <c r="FF3090" s="37"/>
      <c r="FG3090" s="37"/>
      <c r="FH3090" s="37"/>
      <c r="FI3090" s="37"/>
      <c r="FJ3090" s="37"/>
      <c r="FK3090" s="37"/>
      <c r="FL3090" s="37"/>
      <c r="FM3090" s="37"/>
      <c r="FN3090" s="37"/>
      <c r="FO3090" s="37"/>
      <c r="FP3090" s="37"/>
      <c r="FQ3090" s="37"/>
      <c r="FR3090" s="37"/>
      <c r="FS3090" s="37"/>
      <c r="FT3090" s="37"/>
      <c r="FU3090" s="37"/>
      <c r="FV3090" s="37"/>
      <c r="FW3090" s="37"/>
      <c r="FX3090" s="37"/>
      <c r="FY3090" s="37"/>
      <c r="FZ3090" s="37"/>
      <c r="GA3090" s="37"/>
      <c r="GB3090" s="37"/>
      <c r="GC3090" s="37"/>
      <c r="GD3090" s="37"/>
      <c r="GE3090" s="37"/>
      <c r="GF3090" s="37"/>
      <c r="GG3090" s="37"/>
      <c r="GH3090" s="37"/>
      <c r="GI3090" s="37"/>
      <c r="GJ3090" s="37"/>
      <c r="GK3090" s="37"/>
      <c r="GL3090" s="37"/>
      <c r="GM3090" s="37"/>
      <c r="GN3090" s="37"/>
      <c r="GO3090" s="37"/>
      <c r="GP3090" s="37"/>
      <c r="GQ3090" s="37"/>
      <c r="GR3090" s="37"/>
      <c r="GS3090" s="37"/>
      <c r="GT3090" s="37"/>
      <c r="GU3090" s="37"/>
      <c r="GV3090" s="37"/>
      <c r="GW3090" s="37"/>
      <c r="GX3090" s="37"/>
      <c r="GY3090" s="37"/>
      <c r="GZ3090" s="37"/>
      <c r="HA3090" s="37"/>
      <c r="HB3090" s="37"/>
      <c r="HC3090" s="37"/>
      <c r="HD3090" s="37"/>
      <c r="HE3090" s="37"/>
      <c r="HF3090" s="37"/>
      <c r="HG3090" s="37"/>
      <c r="HH3090" s="37"/>
      <c r="HI3090" s="37"/>
      <c r="HJ3090" s="37"/>
      <c r="HK3090" s="37"/>
      <c r="HL3090" s="37"/>
      <c r="HM3090" s="37"/>
      <c r="HN3090" s="37"/>
      <c r="HO3090" s="37"/>
      <c r="HP3090" s="37"/>
      <c r="HQ3090" s="37"/>
      <c r="HR3090" s="37"/>
      <c r="HS3090" s="37"/>
      <c r="HT3090" s="37"/>
      <c r="HU3090" s="37"/>
      <c r="HV3090" s="37"/>
      <c r="HW3090" s="37"/>
      <c r="HX3090" s="37"/>
      <c r="HY3090" s="37"/>
      <c r="HZ3090" s="37"/>
      <c r="IA3090" s="37"/>
      <c r="IB3090" s="37"/>
      <c r="IC3090" s="37"/>
      <c r="ID3090" s="37"/>
      <c r="IE3090" s="37"/>
      <c r="IF3090" s="37"/>
      <c r="IG3090" s="37"/>
      <c r="IH3090" s="37"/>
      <c r="II3090" s="37"/>
      <c r="IJ3090" s="37"/>
      <c r="IK3090" s="37"/>
      <c r="IL3090" s="37"/>
      <c r="IM3090" s="37"/>
      <c r="IN3090" s="37"/>
      <c r="IO3090" s="37"/>
      <c r="IP3090" s="37"/>
      <c r="IQ3090" s="37"/>
      <c r="IR3090" s="37"/>
      <c r="IS3090" s="37"/>
      <c r="IT3090" s="37"/>
      <c r="IU3090" s="37"/>
      <c r="IV3090" s="37"/>
      <c r="IW3090" s="37"/>
      <c r="IX3090" s="37"/>
      <c r="IY3090" s="37"/>
      <c r="IZ3090" s="37"/>
      <c r="JA3090" s="37"/>
      <c r="JB3090" s="37"/>
      <c r="JC3090" s="37"/>
      <c r="JD3090" s="37"/>
      <c r="JE3090" s="37"/>
      <c r="JF3090" s="37"/>
      <c r="JG3090" s="37"/>
      <c r="JH3090" s="37"/>
      <c r="JI3090" s="37"/>
      <c r="JJ3090" s="37"/>
      <c r="JK3090" s="37"/>
      <c r="JL3090" s="37"/>
      <c r="JM3090" s="37"/>
      <c r="JN3090" s="37"/>
      <c r="JO3090" s="37"/>
      <c r="JP3090" s="37"/>
      <c r="JQ3090" s="37"/>
      <c r="JR3090" s="37"/>
      <c r="JS3090" s="37"/>
      <c r="JT3090" s="37"/>
      <c r="JU3090" s="37"/>
      <c r="JV3090" s="37"/>
      <c r="JW3090" s="37"/>
      <c r="JX3090" s="37"/>
      <c r="JY3090" s="37"/>
      <c r="JZ3090" s="37"/>
      <c r="KA3090" s="37"/>
      <c r="KB3090" s="37"/>
      <c r="KC3090" s="37"/>
      <c r="KD3090" s="37"/>
      <c r="KE3090" s="37"/>
      <c r="KF3090" s="37"/>
      <c r="KG3090" s="37"/>
      <c r="KH3090" s="37"/>
      <c r="KI3090" s="37"/>
      <c r="KJ3090" s="37"/>
      <c r="KK3090" s="37"/>
      <c r="KL3090" s="37"/>
      <c r="KM3090" s="37"/>
      <c r="KN3090" s="37"/>
      <c r="KO3090" s="37"/>
      <c r="KP3090" s="37"/>
      <c r="KQ3090" s="37"/>
      <c r="KR3090" s="37"/>
      <c r="KS3090" s="37"/>
      <c r="KT3090" s="37"/>
      <c r="KU3090" s="37"/>
      <c r="KV3090" s="37"/>
      <c r="KW3090" s="37"/>
      <c r="KX3090" s="37"/>
      <c r="KY3090" s="37"/>
      <c r="KZ3090" s="37"/>
      <c r="LA3090" s="37"/>
      <c r="LB3090" s="37"/>
      <c r="LC3090" s="37"/>
      <c r="LD3090" s="37"/>
      <c r="LE3090" s="37"/>
      <c r="LF3090" s="37"/>
      <c r="LG3090" s="37"/>
      <c r="LH3090" s="37"/>
      <c r="LI3090" s="37"/>
      <c r="LJ3090" s="37"/>
      <c r="LK3090" s="37"/>
      <c r="LL3090" s="37"/>
      <c r="LM3090" s="37"/>
      <c r="LN3090" s="37"/>
      <c r="LO3090" s="37"/>
      <c r="LP3090" s="37"/>
      <c r="LQ3090" s="37"/>
      <c r="LR3090" s="37"/>
      <c r="LS3090" s="37"/>
      <c r="LT3090" s="37"/>
      <c r="LU3090" s="37"/>
      <c r="LV3090" s="37"/>
      <c r="LW3090" s="37"/>
      <c r="LX3090" s="37"/>
      <c r="LY3090" s="37"/>
      <c r="LZ3090" s="37"/>
      <c r="MA3090" s="37"/>
      <c r="MB3090" s="37"/>
      <c r="MC3090" s="37"/>
      <c r="MD3090" s="37"/>
      <c r="ME3090" s="37"/>
      <c r="MF3090" s="37"/>
      <c r="MG3090" s="37"/>
      <c r="MH3090" s="37"/>
      <c r="MI3090" s="37"/>
      <c r="MJ3090" s="37"/>
      <c r="MK3090" s="37"/>
      <c r="ML3090" s="37"/>
      <c r="MM3090" s="37"/>
      <c r="MN3090" s="37"/>
      <c r="MO3090" s="37"/>
      <c r="MP3090" s="37"/>
      <c r="MQ3090" s="37"/>
      <c r="MR3090" s="37"/>
      <c r="MS3090" s="37"/>
      <c r="MT3090" s="37"/>
      <c r="MU3090" s="37"/>
      <c r="MV3090" s="37"/>
      <c r="MW3090" s="37"/>
      <c r="MX3090" s="37"/>
      <c r="MY3090" s="37"/>
      <c r="MZ3090" s="37"/>
      <c r="NA3090" s="37"/>
      <c r="NB3090" s="37"/>
      <c r="NC3090" s="37"/>
      <c r="ND3090" s="37"/>
      <c r="NE3090" s="37"/>
      <c r="NF3090" s="37"/>
      <c r="NG3090" s="37"/>
      <c r="NH3090" s="37"/>
      <c r="NI3090" s="37"/>
      <c r="NJ3090" s="37"/>
      <c r="NK3090" s="37"/>
      <c r="NL3090" s="37"/>
      <c r="NM3090" s="37"/>
      <c r="NN3090" s="37"/>
      <c r="NO3090" s="37"/>
      <c r="NP3090" s="37"/>
      <c r="NQ3090" s="37"/>
      <c r="NR3090" s="37"/>
      <c r="NS3090" s="37"/>
      <c r="NT3090" s="37"/>
      <c r="NU3090" s="37"/>
      <c r="NV3090" s="37"/>
      <c r="NW3090" s="37"/>
      <c r="NX3090" s="37"/>
      <c r="NY3090" s="37"/>
      <c r="NZ3090" s="37"/>
      <c r="OA3090" s="37"/>
      <c r="OB3090" s="37"/>
      <c r="OC3090" s="37"/>
      <c r="OD3090" s="37"/>
      <c r="OE3090" s="37"/>
      <c r="OF3090" s="37"/>
      <c r="OG3090" s="37"/>
      <c r="OH3090" s="37"/>
      <c r="OI3090" s="37"/>
      <c r="OJ3090" s="37"/>
      <c r="OK3090" s="37"/>
      <c r="OL3090" s="37"/>
      <c r="OM3090" s="37"/>
      <c r="ON3090" s="37"/>
      <c r="OO3090" s="37"/>
      <c r="OP3090" s="37"/>
      <c r="OQ3090" s="37"/>
      <c r="OR3090" s="37"/>
      <c r="OS3090" s="37"/>
      <c r="OT3090" s="37"/>
      <c r="OU3090" s="37"/>
      <c r="OV3090" s="37"/>
      <c r="OW3090" s="37"/>
      <c r="OX3090" s="37"/>
      <c r="OY3090" s="37"/>
      <c r="OZ3090" s="37"/>
      <c r="PA3090" s="37"/>
      <c r="PB3090" s="37"/>
      <c r="PC3090" s="37"/>
      <c r="PD3090" s="37"/>
      <c r="PE3090" s="37"/>
      <c r="PF3090" s="37"/>
      <c r="PG3090" s="37"/>
      <c r="PH3090" s="37"/>
      <c r="PI3090" s="37"/>
      <c r="PJ3090" s="37"/>
      <c r="PK3090" s="37"/>
      <c r="PL3090" s="37"/>
      <c r="PM3090" s="37"/>
      <c r="PN3090" s="37"/>
      <c r="PO3090" s="37"/>
      <c r="PP3090" s="37"/>
      <c r="PQ3090" s="37"/>
      <c r="PR3090" s="37"/>
      <c r="PS3090" s="37"/>
      <c r="PT3090" s="37"/>
      <c r="PU3090" s="37"/>
      <c r="PV3090" s="37"/>
      <c r="PW3090" s="37"/>
      <c r="PX3090" s="37"/>
      <c r="PY3090" s="37"/>
      <c r="PZ3090" s="37"/>
      <c r="QA3090" s="37"/>
      <c r="QB3090" s="37"/>
      <c r="QC3090" s="37"/>
      <c r="QD3090" s="37"/>
      <c r="QE3090" s="37"/>
      <c r="QF3090" s="37"/>
      <c r="QG3090" s="37"/>
      <c r="QH3090" s="37"/>
      <c r="QI3090" s="37"/>
      <c r="QJ3090" s="37"/>
      <c r="QK3090" s="37"/>
      <c r="QL3090" s="37"/>
      <c r="QM3090" s="37"/>
      <c r="QN3090" s="37"/>
      <c r="QO3090" s="37"/>
      <c r="QP3090" s="37"/>
      <c r="QQ3090" s="37"/>
      <c r="QR3090" s="37"/>
      <c r="QS3090" s="37"/>
      <c r="QT3090" s="37"/>
      <c r="QU3090" s="37"/>
      <c r="QV3090" s="37"/>
      <c r="QW3090" s="37"/>
      <c r="QX3090" s="37"/>
      <c r="QY3090" s="37"/>
      <c r="QZ3090" s="37"/>
      <c r="RA3090" s="37"/>
      <c r="RB3090" s="37"/>
      <c r="RC3090" s="37"/>
      <c r="RD3090" s="37"/>
      <c r="RE3090" s="37"/>
      <c r="RF3090" s="37"/>
      <c r="RG3090" s="37"/>
      <c r="RH3090" s="37"/>
      <c r="RI3090" s="37"/>
      <c r="RJ3090" s="37"/>
      <c r="RK3090" s="37"/>
      <c r="RL3090" s="37"/>
      <c r="RM3090" s="37"/>
      <c r="RN3090" s="37"/>
      <c r="RO3090" s="37"/>
      <c r="RP3090" s="37"/>
      <c r="RQ3090" s="37"/>
      <c r="RR3090" s="37"/>
      <c r="RS3090" s="37"/>
      <c r="RT3090" s="37"/>
      <c r="RU3090" s="37"/>
      <c r="RV3090" s="37"/>
      <c r="RW3090" s="37"/>
      <c r="RX3090" s="37"/>
      <c r="RY3090" s="37"/>
      <c r="RZ3090" s="37"/>
      <c r="SA3090" s="37"/>
      <c r="SB3090" s="37"/>
      <c r="SC3090" s="37"/>
      <c r="SD3090" s="37"/>
      <c r="SE3090" s="37"/>
      <c r="SF3090" s="37"/>
    </row>
    <row r="3091" spans="1:500">
      <c r="A3091" s="37"/>
      <c r="B3091" s="37"/>
      <c r="C3091" s="37"/>
      <c r="D3091" s="37"/>
      <c r="E3091" s="37"/>
      <c r="F3091" s="37"/>
      <c r="G3091" s="37"/>
      <c r="H3091" s="37"/>
      <c r="I3091" s="37"/>
      <c r="J3091" s="37"/>
      <c r="K3091" s="37"/>
      <c r="L3091" s="37"/>
      <c r="M3091" s="37"/>
      <c r="N3091" s="37"/>
      <c r="O3091" s="37"/>
      <c r="P3091" s="37"/>
      <c r="Q3091" s="37"/>
      <c r="R3091" s="37"/>
      <c r="S3091" s="37"/>
      <c r="T3091" s="37"/>
      <c r="U3091" s="37"/>
      <c r="V3091" s="37"/>
      <c r="W3091" s="37"/>
      <c r="X3091" s="37"/>
      <c r="Y3091" s="37"/>
      <c r="Z3091" s="37"/>
      <c r="AA3091" s="37"/>
      <c r="AB3091" s="37"/>
      <c r="AC3091" s="37"/>
      <c r="AD3091" s="37"/>
      <c r="AE3091" s="37"/>
      <c r="AF3091" s="37"/>
      <c r="AG3091" s="37"/>
      <c r="AH3091" s="37"/>
      <c r="AI3091" s="37"/>
      <c r="AJ3091" s="37"/>
      <c r="AK3091" s="37"/>
      <c r="AL3091" s="37"/>
      <c r="AM3091" s="37"/>
      <c r="AN3091" s="37"/>
      <c r="AO3091" s="37"/>
      <c r="AP3091" s="37"/>
      <c r="AQ3091" s="37"/>
      <c r="AR3091" s="37"/>
      <c r="AS3091" s="37"/>
      <c r="AT3091" s="37"/>
      <c r="AU3091" s="37"/>
      <c r="AV3091" s="37"/>
      <c r="AW3091" s="37"/>
      <c r="AX3091" s="37"/>
      <c r="AY3091" s="37"/>
      <c r="AZ3091" s="37"/>
      <c r="BA3091" s="37"/>
      <c r="BB3091" s="37"/>
      <c r="BC3091" s="37"/>
      <c r="BD3091" s="37"/>
      <c r="BE3091" s="37"/>
      <c r="BF3091" s="37"/>
      <c r="BG3091" s="37"/>
      <c r="BH3091" s="37"/>
      <c r="BI3091" s="37"/>
      <c r="BJ3091" s="37"/>
      <c r="BK3091" s="37"/>
      <c r="BL3091" s="37"/>
      <c r="BM3091" s="37"/>
      <c r="BN3091" s="37"/>
      <c r="BO3091" s="37"/>
      <c r="BP3091" s="37"/>
      <c r="BQ3091" s="37"/>
      <c r="BR3091" s="37"/>
      <c r="BS3091" s="37"/>
      <c r="BT3091" s="37"/>
      <c r="BU3091" s="37"/>
      <c r="BV3091" s="37"/>
      <c r="BW3091" s="37"/>
      <c r="BX3091" s="37"/>
      <c r="BY3091" s="37"/>
      <c r="BZ3091" s="37"/>
      <c r="CA3091" s="37"/>
      <c r="CB3091" s="37"/>
      <c r="CC3091" s="37"/>
      <c r="CD3091" s="37"/>
      <c r="CE3091" s="37"/>
      <c r="CF3091" s="37"/>
      <c r="CG3091" s="37"/>
      <c r="CH3091" s="37"/>
      <c r="CI3091" s="37"/>
      <c r="CJ3091" s="37"/>
      <c r="CK3091" s="37"/>
      <c r="CL3091" s="37"/>
      <c r="CM3091" s="37"/>
      <c r="CN3091" s="37"/>
      <c r="CO3091" s="37"/>
      <c r="CP3091" s="37"/>
      <c r="CQ3091" s="37"/>
      <c r="CR3091" s="37"/>
      <c r="CS3091" s="37"/>
      <c r="CT3091" s="37"/>
      <c r="CU3091" s="37"/>
      <c r="CV3091" s="37"/>
      <c r="CW3091" s="37"/>
      <c r="CX3091" s="37"/>
      <c r="CY3091" s="37"/>
      <c r="CZ3091" s="37"/>
      <c r="DA3091" s="37"/>
      <c r="DB3091" s="37"/>
      <c r="DC3091" s="37"/>
      <c r="DD3091" s="37"/>
      <c r="DE3091" s="37"/>
      <c r="DF3091" s="37"/>
      <c r="DG3091" s="37"/>
      <c r="DH3091" s="37"/>
      <c r="DI3091" s="37"/>
      <c r="DJ3091" s="37"/>
      <c r="DK3091" s="37"/>
      <c r="DL3091" s="37"/>
      <c r="DM3091" s="37"/>
      <c r="DN3091" s="37"/>
      <c r="DO3091" s="37"/>
      <c r="DP3091" s="37"/>
      <c r="DQ3091" s="37"/>
      <c r="DR3091" s="37"/>
      <c r="DS3091" s="37"/>
      <c r="DT3091" s="37"/>
      <c r="DU3091" s="37"/>
      <c r="DV3091" s="37"/>
      <c r="DW3091" s="37"/>
      <c r="DX3091" s="37"/>
      <c r="DY3091" s="37"/>
      <c r="DZ3091" s="37"/>
      <c r="EA3091" s="37"/>
      <c r="EB3091" s="37"/>
      <c r="EC3091" s="37"/>
      <c r="ED3091" s="37"/>
      <c r="EE3091" s="37"/>
      <c r="EF3091" s="37"/>
      <c r="EG3091" s="37"/>
      <c r="EH3091" s="37"/>
      <c r="EI3091" s="37"/>
      <c r="EJ3091" s="37"/>
      <c r="EK3091" s="37"/>
      <c r="EL3091" s="37"/>
      <c r="EM3091" s="37"/>
      <c r="EN3091" s="37"/>
      <c r="EO3091" s="37"/>
      <c r="EP3091" s="37"/>
      <c r="EQ3091" s="37"/>
      <c r="ER3091" s="37"/>
      <c r="ES3091" s="37"/>
      <c r="ET3091" s="37"/>
      <c r="EU3091" s="37"/>
      <c r="EV3091" s="37"/>
      <c r="EW3091" s="37"/>
      <c r="EX3091" s="37"/>
      <c r="EY3091" s="37"/>
      <c r="EZ3091" s="37"/>
      <c r="FA3091" s="37"/>
      <c r="FB3091" s="37"/>
      <c r="FC3091" s="37"/>
      <c r="FD3091" s="37"/>
      <c r="FE3091" s="37"/>
      <c r="FF3091" s="37"/>
      <c r="FG3091" s="37"/>
      <c r="FH3091" s="37"/>
      <c r="FI3091" s="37"/>
      <c r="FJ3091" s="37"/>
      <c r="FK3091" s="37"/>
      <c r="FL3091" s="37"/>
      <c r="FM3091" s="37"/>
      <c r="FN3091" s="37"/>
      <c r="FO3091" s="37"/>
      <c r="FP3091" s="37"/>
      <c r="FQ3091" s="37"/>
      <c r="FR3091" s="37"/>
      <c r="FS3091" s="37"/>
      <c r="FT3091" s="37"/>
      <c r="FU3091" s="37"/>
      <c r="FV3091" s="37"/>
      <c r="FW3091" s="37"/>
      <c r="FX3091" s="37"/>
      <c r="FY3091" s="37"/>
      <c r="FZ3091" s="37"/>
      <c r="GA3091" s="37"/>
      <c r="GB3091" s="37"/>
      <c r="GC3091" s="37"/>
      <c r="GD3091" s="37"/>
      <c r="GE3091" s="37"/>
      <c r="GF3091" s="37"/>
      <c r="GG3091" s="37"/>
      <c r="GH3091" s="37"/>
      <c r="GI3091" s="37"/>
      <c r="GJ3091" s="37"/>
      <c r="GK3091" s="37"/>
      <c r="GL3091" s="37"/>
      <c r="GM3091" s="37"/>
      <c r="GN3091" s="37"/>
      <c r="GO3091" s="37"/>
      <c r="GP3091" s="37"/>
      <c r="GQ3091" s="37"/>
      <c r="GR3091" s="37"/>
      <c r="GS3091" s="37"/>
      <c r="GT3091" s="37"/>
      <c r="GU3091" s="37"/>
      <c r="GV3091" s="37"/>
      <c r="GW3091" s="37"/>
      <c r="GX3091" s="37"/>
      <c r="GY3091" s="37"/>
      <c r="GZ3091" s="37"/>
      <c r="HA3091" s="37"/>
      <c r="HB3091" s="37"/>
      <c r="HC3091" s="37"/>
      <c r="HD3091" s="37"/>
      <c r="HE3091" s="37"/>
      <c r="HF3091" s="37"/>
      <c r="HG3091" s="37"/>
      <c r="HH3091" s="37"/>
      <c r="HI3091" s="37"/>
      <c r="HJ3091" s="37"/>
      <c r="HK3091" s="37"/>
      <c r="HL3091" s="37"/>
      <c r="HM3091" s="37"/>
      <c r="HN3091" s="37"/>
      <c r="HO3091" s="37"/>
      <c r="HP3091" s="37"/>
      <c r="HQ3091" s="37"/>
      <c r="HR3091" s="37"/>
      <c r="HS3091" s="37"/>
      <c r="HT3091" s="37"/>
      <c r="HU3091" s="37"/>
      <c r="HV3091" s="37"/>
      <c r="HW3091" s="37"/>
      <c r="HX3091" s="37"/>
      <c r="HY3091" s="37"/>
      <c r="HZ3091" s="37"/>
      <c r="IA3091" s="37"/>
      <c r="IB3091" s="37"/>
      <c r="IC3091" s="37"/>
      <c r="ID3091" s="37"/>
      <c r="IE3091" s="37"/>
      <c r="IF3091" s="37"/>
      <c r="IG3091" s="37"/>
      <c r="IH3091" s="37"/>
      <c r="II3091" s="37"/>
      <c r="IJ3091" s="37"/>
      <c r="IK3091" s="37"/>
      <c r="IL3091" s="37"/>
      <c r="IM3091" s="37"/>
      <c r="IN3091" s="37"/>
      <c r="IO3091" s="37"/>
      <c r="IP3091" s="37"/>
      <c r="IQ3091" s="37"/>
      <c r="IR3091" s="37"/>
      <c r="IS3091" s="37"/>
      <c r="IT3091" s="37"/>
      <c r="IU3091" s="37"/>
      <c r="IV3091" s="37"/>
      <c r="IW3091" s="37"/>
      <c r="IX3091" s="37"/>
      <c r="IY3091" s="37"/>
      <c r="IZ3091" s="37"/>
      <c r="JA3091" s="37"/>
      <c r="JB3091" s="37"/>
      <c r="JC3091" s="37"/>
      <c r="JD3091" s="37"/>
      <c r="JE3091" s="37"/>
      <c r="JF3091" s="37"/>
      <c r="JG3091" s="37"/>
      <c r="JH3091" s="37"/>
      <c r="JI3091" s="37"/>
      <c r="JJ3091" s="37"/>
      <c r="JK3091" s="37"/>
      <c r="JL3091" s="37"/>
      <c r="JM3091" s="37"/>
      <c r="JN3091" s="37"/>
      <c r="JO3091" s="37"/>
      <c r="JP3091" s="37"/>
      <c r="JQ3091" s="37"/>
      <c r="JR3091" s="37"/>
      <c r="JS3091" s="37"/>
      <c r="JT3091" s="37"/>
      <c r="JU3091" s="37"/>
      <c r="JV3091" s="37"/>
      <c r="JW3091" s="37"/>
      <c r="JX3091" s="37"/>
      <c r="JY3091" s="37"/>
      <c r="JZ3091" s="37"/>
      <c r="KA3091" s="37"/>
      <c r="KB3091" s="37"/>
      <c r="KC3091" s="37"/>
      <c r="KD3091" s="37"/>
      <c r="KE3091" s="37"/>
      <c r="KF3091" s="37"/>
      <c r="KG3091" s="37"/>
      <c r="KH3091" s="37"/>
      <c r="KI3091" s="37"/>
      <c r="KJ3091" s="37"/>
      <c r="KK3091" s="37"/>
      <c r="KL3091" s="37"/>
      <c r="KM3091" s="37"/>
      <c r="KN3091" s="37"/>
      <c r="KO3091" s="37"/>
      <c r="KP3091" s="37"/>
      <c r="KQ3091" s="37"/>
      <c r="KR3091" s="37"/>
      <c r="KS3091" s="37"/>
      <c r="KT3091" s="37"/>
      <c r="KU3091" s="37"/>
      <c r="KV3091" s="37"/>
      <c r="KW3091" s="37"/>
      <c r="KX3091" s="37"/>
      <c r="KY3091" s="37"/>
      <c r="KZ3091" s="37"/>
      <c r="LA3091" s="37"/>
      <c r="LB3091" s="37"/>
      <c r="LC3091" s="37"/>
      <c r="LD3091" s="37"/>
      <c r="LE3091" s="37"/>
      <c r="LF3091" s="37"/>
      <c r="LG3091" s="37"/>
      <c r="LH3091" s="37"/>
      <c r="LI3091" s="37"/>
      <c r="LJ3091" s="37"/>
      <c r="LK3091" s="37"/>
      <c r="LL3091" s="37"/>
      <c r="LM3091" s="37"/>
      <c r="LN3091" s="37"/>
      <c r="LO3091" s="37"/>
      <c r="LP3091" s="37"/>
      <c r="LQ3091" s="37"/>
      <c r="LR3091" s="37"/>
      <c r="LS3091" s="37"/>
      <c r="LT3091" s="37"/>
      <c r="LU3091" s="37"/>
      <c r="LV3091" s="37"/>
      <c r="LW3091" s="37"/>
      <c r="LX3091" s="37"/>
      <c r="LY3091" s="37"/>
      <c r="LZ3091" s="37"/>
      <c r="MA3091" s="37"/>
      <c r="MB3091" s="37"/>
      <c r="MC3091" s="37"/>
      <c r="MD3091" s="37"/>
      <c r="ME3091" s="37"/>
      <c r="MF3091" s="37"/>
      <c r="MG3091" s="37"/>
      <c r="MH3091" s="37"/>
      <c r="MI3091" s="37"/>
      <c r="MJ3091" s="37"/>
      <c r="MK3091" s="37"/>
      <c r="ML3091" s="37"/>
      <c r="MM3091" s="37"/>
      <c r="MN3091" s="37"/>
      <c r="MO3091" s="37"/>
      <c r="MP3091" s="37"/>
      <c r="MQ3091" s="37"/>
      <c r="MR3091" s="37"/>
      <c r="MS3091" s="37"/>
      <c r="MT3091" s="37"/>
      <c r="MU3091" s="37"/>
      <c r="MV3091" s="37"/>
      <c r="MW3091" s="37"/>
      <c r="MX3091" s="37"/>
      <c r="MY3091" s="37"/>
      <c r="MZ3091" s="37"/>
      <c r="NA3091" s="37"/>
      <c r="NB3091" s="37"/>
      <c r="NC3091" s="37"/>
      <c r="ND3091" s="37"/>
      <c r="NE3091" s="37"/>
      <c r="NF3091" s="37"/>
      <c r="NG3091" s="37"/>
      <c r="NH3091" s="37"/>
      <c r="NI3091" s="37"/>
      <c r="NJ3091" s="37"/>
      <c r="NK3091" s="37"/>
      <c r="NL3091" s="37"/>
      <c r="NM3091" s="37"/>
      <c r="NN3091" s="37"/>
      <c r="NO3091" s="37"/>
      <c r="NP3091" s="37"/>
      <c r="NQ3091" s="37"/>
      <c r="NR3091" s="37"/>
      <c r="NS3091" s="37"/>
      <c r="NT3091" s="37"/>
      <c r="NU3091" s="37"/>
      <c r="NV3091" s="37"/>
      <c r="NW3091" s="37"/>
      <c r="NX3091" s="37"/>
      <c r="NY3091" s="37"/>
      <c r="NZ3091" s="37"/>
      <c r="OA3091" s="37"/>
      <c r="OB3091" s="37"/>
      <c r="OC3091" s="37"/>
      <c r="OD3091" s="37"/>
      <c r="OE3091" s="37"/>
      <c r="OF3091" s="37"/>
      <c r="OG3091" s="37"/>
      <c r="OH3091" s="37"/>
      <c r="OI3091" s="37"/>
      <c r="OJ3091" s="37"/>
      <c r="OK3091" s="37"/>
      <c r="OL3091" s="37"/>
      <c r="OM3091" s="37"/>
      <c r="ON3091" s="37"/>
      <c r="OO3091" s="37"/>
      <c r="OP3091" s="37"/>
      <c r="OQ3091" s="37"/>
      <c r="OR3091" s="37"/>
      <c r="OS3091" s="37"/>
      <c r="OT3091" s="37"/>
      <c r="OU3091" s="37"/>
      <c r="OV3091" s="37"/>
      <c r="OW3091" s="37"/>
      <c r="OX3091" s="37"/>
      <c r="OY3091" s="37"/>
      <c r="OZ3091" s="37"/>
      <c r="PA3091" s="37"/>
      <c r="PB3091" s="37"/>
      <c r="PC3091" s="37"/>
      <c r="PD3091" s="37"/>
      <c r="PE3091" s="37"/>
      <c r="PF3091" s="37"/>
      <c r="PG3091" s="37"/>
      <c r="PH3091" s="37"/>
      <c r="PI3091" s="37"/>
      <c r="PJ3091" s="37"/>
      <c r="PK3091" s="37"/>
      <c r="PL3091" s="37"/>
      <c r="PM3091" s="37"/>
      <c r="PN3091" s="37"/>
      <c r="PO3091" s="37"/>
      <c r="PP3091" s="37"/>
      <c r="PQ3091" s="37"/>
      <c r="PR3091" s="37"/>
      <c r="PS3091" s="37"/>
      <c r="PT3091" s="37"/>
      <c r="PU3091" s="37"/>
      <c r="PV3091" s="37"/>
      <c r="PW3091" s="37"/>
      <c r="PX3091" s="37"/>
      <c r="PY3091" s="37"/>
      <c r="PZ3091" s="37"/>
      <c r="QA3091" s="37"/>
      <c r="QB3091" s="37"/>
      <c r="QC3091" s="37"/>
      <c r="QD3091" s="37"/>
      <c r="QE3091" s="37"/>
      <c r="QF3091" s="37"/>
      <c r="QG3091" s="37"/>
      <c r="QH3091" s="37"/>
      <c r="QI3091" s="37"/>
      <c r="QJ3091" s="37"/>
      <c r="QK3091" s="37"/>
      <c r="QL3091" s="37"/>
      <c r="QM3091" s="37"/>
      <c r="QN3091" s="37"/>
      <c r="QO3091" s="37"/>
      <c r="QP3091" s="37"/>
      <c r="QQ3091" s="37"/>
      <c r="QR3091" s="37"/>
      <c r="QS3091" s="37"/>
      <c r="QT3091" s="37"/>
      <c r="QU3091" s="37"/>
      <c r="QV3091" s="37"/>
      <c r="QW3091" s="37"/>
      <c r="QX3091" s="37"/>
      <c r="QY3091" s="37"/>
      <c r="QZ3091" s="37"/>
      <c r="RA3091" s="37"/>
      <c r="RB3091" s="37"/>
      <c r="RC3091" s="37"/>
      <c r="RD3091" s="37"/>
      <c r="RE3091" s="37"/>
      <c r="RF3091" s="37"/>
      <c r="RG3091" s="37"/>
      <c r="RH3091" s="37"/>
      <c r="RI3091" s="37"/>
      <c r="RJ3091" s="37"/>
      <c r="RK3091" s="37"/>
      <c r="RL3091" s="37"/>
      <c r="RM3091" s="37"/>
      <c r="RN3091" s="37"/>
      <c r="RO3091" s="37"/>
      <c r="RP3091" s="37"/>
      <c r="RQ3091" s="37"/>
      <c r="RR3091" s="37"/>
      <c r="RS3091" s="37"/>
      <c r="RT3091" s="37"/>
      <c r="RU3091" s="37"/>
      <c r="RV3091" s="37"/>
      <c r="RW3091" s="37"/>
      <c r="RX3091" s="37"/>
      <c r="RY3091" s="37"/>
      <c r="RZ3091" s="37"/>
      <c r="SA3091" s="37"/>
      <c r="SB3091" s="37"/>
      <c r="SC3091" s="37"/>
      <c r="SD3091" s="37"/>
      <c r="SE3091" s="37"/>
      <c r="SF3091" s="37"/>
    </row>
    <row r="3092" spans="1:500">
      <c r="A3092" s="37"/>
      <c r="B3092" s="37"/>
      <c r="C3092" s="37"/>
      <c r="D3092" s="37"/>
      <c r="E3092" s="37"/>
      <c r="F3092" s="37"/>
      <c r="G3092" s="37"/>
      <c r="H3092" s="37"/>
      <c r="I3092" s="37"/>
      <c r="J3092" s="37"/>
      <c r="K3092" s="37"/>
      <c r="L3092" s="37"/>
      <c r="M3092" s="37"/>
      <c r="N3092" s="37"/>
      <c r="O3092" s="37"/>
      <c r="P3092" s="37"/>
      <c r="Q3092" s="37"/>
      <c r="R3092" s="37"/>
      <c r="S3092" s="37"/>
      <c r="T3092" s="37"/>
      <c r="U3092" s="37"/>
      <c r="V3092" s="37"/>
      <c r="W3092" s="37"/>
      <c r="X3092" s="37"/>
      <c r="Y3092" s="37"/>
      <c r="Z3092" s="37"/>
      <c r="AA3092" s="37"/>
      <c r="AB3092" s="37"/>
      <c r="AC3092" s="37"/>
      <c r="AD3092" s="37"/>
      <c r="AE3092" s="37"/>
      <c r="AF3092" s="37"/>
      <c r="AG3092" s="37"/>
      <c r="AH3092" s="37"/>
      <c r="AI3092" s="37"/>
      <c r="AJ3092" s="37"/>
      <c r="AK3092" s="37"/>
      <c r="AL3092" s="37"/>
      <c r="AM3092" s="37"/>
      <c r="AN3092" s="37"/>
      <c r="AO3092" s="37"/>
      <c r="AP3092" s="37"/>
      <c r="AQ3092" s="37"/>
      <c r="AR3092" s="37"/>
      <c r="AS3092" s="37"/>
      <c r="AT3092" s="37"/>
      <c r="AU3092" s="37"/>
      <c r="AV3092" s="37"/>
      <c r="AW3092" s="37"/>
      <c r="AX3092" s="37"/>
      <c r="AY3092" s="37"/>
      <c r="AZ3092" s="37"/>
      <c r="BA3092" s="37"/>
      <c r="BB3092" s="37"/>
      <c r="BC3092" s="37"/>
      <c r="BD3092" s="37"/>
      <c r="BE3092" s="37"/>
      <c r="BF3092" s="37"/>
      <c r="BG3092" s="37"/>
      <c r="BH3092" s="37"/>
      <c r="BI3092" s="37"/>
      <c r="BJ3092" s="37"/>
      <c r="BK3092" s="37"/>
      <c r="BL3092" s="37"/>
      <c r="BM3092" s="37"/>
      <c r="BN3092" s="37"/>
      <c r="BO3092" s="37"/>
      <c r="BP3092" s="37"/>
      <c r="BQ3092" s="37"/>
      <c r="BR3092" s="37"/>
      <c r="BS3092" s="37"/>
      <c r="BT3092" s="37"/>
      <c r="BU3092" s="37"/>
      <c r="BV3092" s="37"/>
      <c r="BW3092" s="37"/>
      <c r="BX3092" s="37"/>
      <c r="BY3092" s="37"/>
      <c r="BZ3092" s="37"/>
      <c r="CA3092" s="37"/>
      <c r="CB3092" s="37"/>
      <c r="CC3092" s="37"/>
      <c r="CD3092" s="37"/>
      <c r="CE3092" s="37"/>
      <c r="CF3092" s="37"/>
      <c r="CG3092" s="37"/>
      <c r="CH3092" s="37"/>
      <c r="CI3092" s="37"/>
      <c r="CJ3092" s="37"/>
      <c r="CK3092" s="37"/>
      <c r="CL3092" s="37"/>
      <c r="CM3092" s="37"/>
      <c r="CN3092" s="37"/>
      <c r="CO3092" s="37"/>
      <c r="CP3092" s="37"/>
      <c r="CQ3092" s="37"/>
      <c r="CR3092" s="37"/>
      <c r="CS3092" s="37"/>
      <c r="CT3092" s="37"/>
      <c r="CU3092" s="37"/>
      <c r="CV3092" s="37"/>
      <c r="CW3092" s="37"/>
      <c r="CX3092" s="37"/>
      <c r="CY3092" s="37"/>
      <c r="CZ3092" s="37"/>
      <c r="DA3092" s="37"/>
      <c r="DB3092" s="37"/>
      <c r="DC3092" s="37"/>
      <c r="DD3092" s="37"/>
      <c r="DE3092" s="37"/>
      <c r="DF3092" s="37"/>
      <c r="DG3092" s="37"/>
      <c r="DH3092" s="37"/>
      <c r="DI3092" s="37"/>
      <c r="DJ3092" s="37"/>
      <c r="DK3092" s="37"/>
      <c r="DL3092" s="37"/>
      <c r="DM3092" s="37"/>
      <c r="DN3092" s="37"/>
      <c r="DO3092" s="37"/>
      <c r="DP3092" s="37"/>
      <c r="DQ3092" s="37"/>
      <c r="DR3092" s="37"/>
      <c r="DS3092" s="37"/>
      <c r="DT3092" s="37"/>
      <c r="DU3092" s="37"/>
      <c r="DV3092" s="37"/>
      <c r="DW3092" s="37"/>
      <c r="DX3092" s="37"/>
      <c r="DY3092" s="37"/>
      <c r="DZ3092" s="37"/>
      <c r="EA3092" s="37"/>
      <c r="EB3092" s="37"/>
      <c r="EC3092" s="37"/>
      <c r="ED3092" s="37"/>
      <c r="EE3092" s="37"/>
      <c r="EF3092" s="37"/>
      <c r="EG3092" s="37"/>
      <c r="EH3092" s="37"/>
      <c r="EI3092" s="37"/>
      <c r="EJ3092" s="37"/>
      <c r="EK3092" s="37"/>
      <c r="EL3092" s="37"/>
      <c r="EM3092" s="37"/>
      <c r="EN3092" s="37"/>
      <c r="EO3092" s="37"/>
      <c r="EP3092" s="37"/>
      <c r="EQ3092" s="37"/>
      <c r="ER3092" s="37"/>
      <c r="ES3092" s="37"/>
      <c r="ET3092" s="37"/>
      <c r="EU3092" s="37"/>
      <c r="EV3092" s="37"/>
      <c r="EW3092" s="37"/>
      <c r="EX3092" s="37"/>
      <c r="EY3092" s="37"/>
      <c r="EZ3092" s="37"/>
      <c r="FA3092" s="37"/>
      <c r="FB3092" s="37"/>
      <c r="FC3092" s="37"/>
      <c r="FD3092" s="37"/>
      <c r="FE3092" s="37"/>
      <c r="FF3092" s="37"/>
      <c r="FG3092" s="37"/>
      <c r="FH3092" s="37"/>
      <c r="FI3092" s="37"/>
      <c r="FJ3092" s="37"/>
      <c r="FK3092" s="37"/>
      <c r="FL3092" s="37"/>
      <c r="FM3092" s="37"/>
      <c r="FN3092" s="37"/>
      <c r="FO3092" s="37"/>
      <c r="FP3092" s="37"/>
      <c r="FQ3092" s="37"/>
      <c r="FR3092" s="37"/>
      <c r="FS3092" s="37"/>
      <c r="FT3092" s="37"/>
      <c r="FU3092" s="37"/>
      <c r="FV3092" s="37"/>
      <c r="FW3092" s="37"/>
      <c r="FX3092" s="37"/>
      <c r="FY3092" s="37"/>
      <c r="FZ3092" s="37"/>
      <c r="GA3092" s="37"/>
      <c r="GB3092" s="37"/>
      <c r="GC3092" s="37"/>
      <c r="GD3092" s="37"/>
      <c r="GE3092" s="37"/>
      <c r="GF3092" s="37"/>
      <c r="GG3092" s="37"/>
      <c r="GH3092" s="37"/>
      <c r="GI3092" s="37"/>
      <c r="GJ3092" s="37"/>
      <c r="GK3092" s="37"/>
      <c r="GL3092" s="37"/>
      <c r="GM3092" s="37"/>
      <c r="GN3092" s="37"/>
      <c r="GO3092" s="37"/>
      <c r="GP3092" s="37"/>
      <c r="GQ3092" s="37"/>
      <c r="GR3092" s="37"/>
      <c r="GS3092" s="37"/>
      <c r="GT3092" s="37"/>
      <c r="GU3092" s="37"/>
      <c r="GV3092" s="37"/>
      <c r="GW3092" s="37"/>
      <c r="GX3092" s="37"/>
      <c r="GY3092" s="37"/>
      <c r="GZ3092" s="37"/>
      <c r="HA3092" s="37"/>
      <c r="HB3092" s="37"/>
      <c r="HC3092" s="37"/>
      <c r="HD3092" s="37"/>
      <c r="HE3092" s="37"/>
      <c r="HF3092" s="37"/>
      <c r="HG3092" s="37"/>
      <c r="HH3092" s="37"/>
      <c r="HI3092" s="37"/>
      <c r="HJ3092" s="37"/>
      <c r="HK3092" s="37"/>
      <c r="HL3092" s="37"/>
      <c r="HM3092" s="37"/>
      <c r="HN3092" s="37"/>
      <c r="HO3092" s="37"/>
      <c r="HP3092" s="37"/>
      <c r="HQ3092" s="37"/>
      <c r="HR3092" s="37"/>
      <c r="HS3092" s="37"/>
      <c r="HT3092" s="37"/>
      <c r="HU3092" s="37"/>
      <c r="HV3092" s="37"/>
      <c r="HW3092" s="37"/>
      <c r="HX3092" s="37"/>
      <c r="HY3092" s="37"/>
      <c r="HZ3092" s="37"/>
      <c r="IA3092" s="37"/>
      <c r="IB3092" s="37"/>
      <c r="IC3092" s="37"/>
      <c r="ID3092" s="37"/>
      <c r="IE3092" s="37"/>
      <c r="IF3092" s="37"/>
      <c r="IG3092" s="37"/>
      <c r="IH3092" s="37"/>
      <c r="II3092" s="37"/>
      <c r="IJ3092" s="37"/>
      <c r="IK3092" s="37"/>
      <c r="IL3092" s="37"/>
      <c r="IM3092" s="37"/>
      <c r="IN3092" s="37"/>
      <c r="IO3092" s="37"/>
      <c r="IP3092" s="37"/>
      <c r="IQ3092" s="37"/>
      <c r="IR3092" s="37"/>
      <c r="IS3092" s="37"/>
      <c r="IT3092" s="37"/>
      <c r="IU3092" s="37"/>
      <c r="IV3092" s="37"/>
      <c r="IW3092" s="37"/>
      <c r="IX3092" s="37"/>
      <c r="IY3092" s="37"/>
      <c r="IZ3092" s="37"/>
      <c r="JA3092" s="37"/>
      <c r="JB3092" s="37"/>
      <c r="JC3092" s="37"/>
      <c r="JD3092" s="37"/>
      <c r="JE3092" s="37"/>
      <c r="JF3092" s="37"/>
      <c r="JG3092" s="37"/>
      <c r="JH3092" s="37"/>
      <c r="JI3092" s="37"/>
      <c r="JJ3092" s="37"/>
      <c r="JK3092" s="37"/>
      <c r="JL3092" s="37"/>
      <c r="JM3092" s="37"/>
      <c r="JN3092" s="37"/>
      <c r="JO3092" s="37"/>
      <c r="JP3092" s="37"/>
      <c r="JQ3092" s="37"/>
      <c r="JR3092" s="37"/>
      <c r="JS3092" s="37"/>
      <c r="JT3092" s="37"/>
      <c r="JU3092" s="37"/>
      <c r="JV3092" s="37"/>
      <c r="JW3092" s="37"/>
      <c r="JX3092" s="37"/>
      <c r="JY3092" s="37"/>
      <c r="JZ3092" s="37"/>
      <c r="KA3092" s="37"/>
      <c r="KB3092" s="37"/>
      <c r="KC3092" s="37"/>
      <c r="KD3092" s="37"/>
      <c r="KE3092" s="37"/>
      <c r="KF3092" s="37"/>
      <c r="KG3092" s="37"/>
      <c r="KH3092" s="37"/>
      <c r="KI3092" s="37"/>
      <c r="KJ3092" s="37"/>
      <c r="KK3092" s="37"/>
      <c r="KL3092" s="37"/>
      <c r="KM3092" s="37"/>
      <c r="KN3092" s="37"/>
      <c r="KO3092" s="37"/>
      <c r="KP3092" s="37"/>
      <c r="KQ3092" s="37"/>
      <c r="KR3092" s="37"/>
      <c r="KS3092" s="37"/>
      <c r="KT3092" s="37"/>
      <c r="KU3092" s="37"/>
      <c r="KV3092" s="37"/>
      <c r="KW3092" s="37"/>
      <c r="KX3092" s="37"/>
      <c r="KY3092" s="37"/>
      <c r="KZ3092" s="37"/>
      <c r="LA3092" s="37"/>
      <c r="LB3092" s="37"/>
      <c r="LC3092" s="37"/>
      <c r="LD3092" s="37"/>
      <c r="LE3092" s="37"/>
      <c r="LF3092" s="37"/>
      <c r="LG3092" s="37"/>
      <c r="LH3092" s="37"/>
      <c r="LI3092" s="37"/>
      <c r="LJ3092" s="37"/>
      <c r="LK3092" s="37"/>
      <c r="LL3092" s="37"/>
      <c r="LM3092" s="37"/>
      <c r="LN3092" s="37"/>
      <c r="LO3092" s="37"/>
      <c r="LP3092" s="37"/>
      <c r="LQ3092" s="37"/>
      <c r="LR3092" s="37"/>
      <c r="LS3092" s="37"/>
      <c r="LT3092" s="37"/>
      <c r="LU3092" s="37"/>
      <c r="LV3092" s="37"/>
      <c r="LW3092" s="37"/>
      <c r="LX3092" s="37"/>
      <c r="LY3092" s="37"/>
      <c r="LZ3092" s="37"/>
      <c r="MA3092" s="37"/>
      <c r="MB3092" s="37"/>
      <c r="MC3092" s="37"/>
      <c r="MD3092" s="37"/>
      <c r="ME3092" s="37"/>
      <c r="MF3092" s="37"/>
      <c r="MG3092" s="37"/>
      <c r="MH3092" s="37"/>
      <c r="MI3092" s="37"/>
      <c r="MJ3092" s="37"/>
      <c r="MK3092" s="37"/>
      <c r="ML3092" s="37"/>
      <c r="MM3092" s="37"/>
      <c r="MN3092" s="37"/>
      <c r="MO3092" s="37"/>
      <c r="MP3092" s="37"/>
      <c r="MQ3092" s="37"/>
      <c r="MR3092" s="37"/>
      <c r="MS3092" s="37"/>
      <c r="MT3092" s="37"/>
      <c r="MU3092" s="37"/>
      <c r="MV3092" s="37"/>
      <c r="MW3092" s="37"/>
      <c r="MX3092" s="37"/>
      <c r="MY3092" s="37"/>
      <c r="MZ3092" s="37"/>
      <c r="NA3092" s="37"/>
      <c r="NB3092" s="37"/>
      <c r="NC3092" s="37"/>
      <c r="ND3092" s="37"/>
      <c r="NE3092" s="37"/>
      <c r="NF3092" s="37"/>
      <c r="NG3092" s="37"/>
      <c r="NH3092" s="37"/>
      <c r="NI3092" s="37"/>
      <c r="NJ3092" s="37"/>
      <c r="NK3092" s="37"/>
      <c r="NL3092" s="37"/>
      <c r="NM3092" s="37"/>
      <c r="NN3092" s="37"/>
      <c r="NO3092" s="37"/>
      <c r="NP3092" s="37"/>
      <c r="NQ3092" s="37"/>
      <c r="NR3092" s="37"/>
      <c r="NS3092" s="37"/>
      <c r="NT3092" s="37"/>
      <c r="NU3092" s="37"/>
      <c r="NV3092" s="37"/>
      <c r="NW3092" s="37"/>
      <c r="NX3092" s="37"/>
      <c r="NY3092" s="37"/>
      <c r="NZ3092" s="37"/>
      <c r="OA3092" s="37"/>
      <c r="OB3092" s="37"/>
      <c r="OC3092" s="37"/>
      <c r="OD3092" s="37"/>
      <c r="OE3092" s="37"/>
      <c r="OF3092" s="37"/>
      <c r="OG3092" s="37"/>
      <c r="OH3092" s="37"/>
      <c r="OI3092" s="37"/>
      <c r="OJ3092" s="37"/>
      <c r="OK3092" s="37"/>
      <c r="OL3092" s="37"/>
      <c r="OM3092" s="37"/>
      <c r="ON3092" s="37"/>
      <c r="OO3092" s="37"/>
      <c r="OP3092" s="37"/>
      <c r="OQ3092" s="37"/>
      <c r="OR3092" s="37"/>
      <c r="OS3092" s="37"/>
      <c r="OT3092" s="37"/>
      <c r="OU3092" s="37"/>
      <c r="OV3092" s="37"/>
      <c r="OW3092" s="37"/>
      <c r="OX3092" s="37"/>
      <c r="OY3092" s="37"/>
      <c r="OZ3092" s="37"/>
      <c r="PA3092" s="37"/>
      <c r="PB3092" s="37"/>
      <c r="PC3092" s="37"/>
      <c r="PD3092" s="37"/>
      <c r="PE3092" s="37"/>
      <c r="PF3092" s="37"/>
      <c r="PG3092" s="37"/>
      <c r="PH3092" s="37"/>
      <c r="PI3092" s="37"/>
      <c r="PJ3092" s="37"/>
      <c r="PK3092" s="37"/>
      <c r="PL3092" s="37"/>
      <c r="PM3092" s="37"/>
      <c r="PN3092" s="37"/>
      <c r="PO3092" s="37"/>
      <c r="PP3092" s="37"/>
      <c r="PQ3092" s="37"/>
      <c r="PR3092" s="37"/>
      <c r="PS3092" s="37"/>
      <c r="PT3092" s="37"/>
      <c r="PU3092" s="37"/>
      <c r="PV3092" s="37"/>
      <c r="PW3092" s="37"/>
      <c r="PX3092" s="37"/>
      <c r="PY3092" s="37"/>
      <c r="PZ3092" s="37"/>
      <c r="QA3092" s="37"/>
      <c r="QB3092" s="37"/>
      <c r="QC3092" s="37"/>
      <c r="QD3092" s="37"/>
      <c r="QE3092" s="37"/>
      <c r="QF3092" s="37"/>
      <c r="QG3092" s="37"/>
      <c r="QH3092" s="37"/>
      <c r="QI3092" s="37"/>
      <c r="QJ3092" s="37"/>
      <c r="QK3092" s="37"/>
      <c r="QL3092" s="37"/>
      <c r="QM3092" s="37"/>
      <c r="QN3092" s="37"/>
      <c r="QO3092" s="37"/>
      <c r="QP3092" s="37"/>
      <c r="QQ3092" s="37"/>
      <c r="QR3092" s="37"/>
      <c r="QS3092" s="37"/>
      <c r="QT3092" s="37"/>
      <c r="QU3092" s="37"/>
      <c r="QV3092" s="37"/>
      <c r="QW3092" s="37"/>
      <c r="QX3092" s="37"/>
      <c r="QY3092" s="37"/>
      <c r="QZ3092" s="37"/>
      <c r="RA3092" s="37"/>
      <c r="RB3092" s="37"/>
      <c r="RC3092" s="37"/>
      <c r="RD3092" s="37"/>
      <c r="RE3092" s="37"/>
      <c r="RF3092" s="37"/>
      <c r="RG3092" s="37"/>
      <c r="RH3092" s="37"/>
      <c r="RI3092" s="37"/>
      <c r="RJ3092" s="37"/>
      <c r="RK3092" s="37"/>
      <c r="RL3092" s="37"/>
      <c r="RM3092" s="37"/>
      <c r="RN3092" s="37"/>
      <c r="RO3092" s="37"/>
      <c r="RP3092" s="37"/>
      <c r="RQ3092" s="37"/>
      <c r="RR3092" s="37"/>
      <c r="RS3092" s="37"/>
      <c r="RT3092" s="37"/>
      <c r="RU3092" s="37"/>
      <c r="RV3092" s="37"/>
      <c r="RW3092" s="37"/>
      <c r="RX3092" s="37"/>
      <c r="RY3092" s="37"/>
      <c r="RZ3092" s="37"/>
      <c r="SA3092" s="37"/>
      <c r="SB3092" s="37"/>
      <c r="SC3092" s="37"/>
      <c r="SD3092" s="37"/>
      <c r="SE3092" s="37"/>
      <c r="SF3092" s="37"/>
    </row>
    <row r="3093" spans="1:500">
      <c r="A3093" s="37"/>
      <c r="B3093" s="37"/>
      <c r="C3093" s="37"/>
      <c r="D3093" s="37"/>
      <c r="E3093" s="37"/>
      <c r="F3093" s="37"/>
      <c r="G3093" s="37"/>
      <c r="H3093" s="37"/>
      <c r="I3093" s="37"/>
      <c r="J3093" s="37"/>
      <c r="K3093" s="37"/>
      <c r="L3093" s="37"/>
      <c r="M3093" s="37"/>
      <c r="N3093" s="37"/>
      <c r="O3093" s="37"/>
      <c r="P3093" s="37"/>
      <c r="Q3093" s="37"/>
      <c r="R3093" s="37"/>
      <c r="S3093" s="37"/>
      <c r="T3093" s="37"/>
      <c r="U3093" s="37"/>
      <c r="V3093" s="37"/>
      <c r="W3093" s="37"/>
      <c r="X3093" s="37"/>
      <c r="Y3093" s="37"/>
      <c r="Z3093" s="37"/>
      <c r="AA3093" s="37"/>
      <c r="AB3093" s="37"/>
      <c r="AC3093" s="37"/>
      <c r="AD3093" s="37"/>
      <c r="AE3093" s="37"/>
      <c r="AF3093" s="37"/>
      <c r="AG3093" s="37"/>
      <c r="AH3093" s="37"/>
      <c r="AI3093" s="37"/>
      <c r="AJ3093" s="37"/>
      <c r="AK3093" s="37"/>
      <c r="AL3093" s="37"/>
      <c r="AM3093" s="37"/>
      <c r="AN3093" s="37"/>
      <c r="AO3093" s="37"/>
      <c r="AP3093" s="37"/>
      <c r="AQ3093" s="37"/>
      <c r="AR3093" s="37"/>
      <c r="AS3093" s="37"/>
      <c r="AT3093" s="37"/>
      <c r="AU3093" s="37"/>
      <c r="AV3093" s="37"/>
      <c r="AW3093" s="37"/>
      <c r="AX3093" s="37"/>
      <c r="AY3093" s="37"/>
      <c r="AZ3093" s="37"/>
      <c r="BA3093" s="37"/>
      <c r="BB3093" s="37"/>
      <c r="BC3093" s="37"/>
      <c r="BD3093" s="37"/>
      <c r="BE3093" s="37"/>
      <c r="BF3093" s="37"/>
      <c r="BG3093" s="37"/>
      <c r="BH3093" s="37"/>
      <c r="BI3093" s="37"/>
      <c r="BJ3093" s="37"/>
      <c r="BK3093" s="37"/>
      <c r="BL3093" s="37"/>
      <c r="BM3093" s="37"/>
      <c r="BN3093" s="37"/>
      <c r="BO3093" s="37"/>
      <c r="BP3093" s="37"/>
      <c r="BQ3093" s="37"/>
      <c r="BR3093" s="37"/>
      <c r="BS3093" s="37"/>
      <c r="BT3093" s="37"/>
      <c r="BU3093" s="37"/>
      <c r="BV3093" s="37"/>
      <c r="BW3093" s="37"/>
      <c r="BX3093" s="37"/>
      <c r="BY3093" s="37"/>
      <c r="BZ3093" s="37"/>
      <c r="CA3093" s="37"/>
      <c r="CB3093" s="37"/>
      <c r="CC3093" s="37"/>
      <c r="CD3093" s="37"/>
      <c r="CE3093" s="37"/>
      <c r="CF3093" s="37"/>
      <c r="CG3093" s="37"/>
      <c r="CH3093" s="37"/>
      <c r="CI3093" s="37"/>
      <c r="CJ3093" s="37"/>
      <c r="CK3093" s="37"/>
      <c r="CL3093" s="37"/>
      <c r="CM3093" s="37"/>
      <c r="CN3093" s="37"/>
      <c r="CO3093" s="37"/>
      <c r="CP3093" s="37"/>
      <c r="CQ3093" s="37"/>
      <c r="CR3093" s="37"/>
      <c r="CS3093" s="37"/>
      <c r="CT3093" s="37"/>
      <c r="CU3093" s="37"/>
      <c r="CV3093" s="37"/>
      <c r="CW3093" s="37"/>
      <c r="CX3093" s="37"/>
      <c r="CY3093" s="37"/>
      <c r="CZ3093" s="37"/>
      <c r="DA3093" s="37"/>
      <c r="DB3093" s="37"/>
      <c r="DC3093" s="37"/>
      <c r="DD3093" s="37"/>
      <c r="DE3093" s="37"/>
      <c r="DF3093" s="37"/>
      <c r="DG3093" s="37"/>
      <c r="DH3093" s="37"/>
      <c r="DI3093" s="37"/>
      <c r="DJ3093" s="37"/>
      <c r="DK3093" s="37"/>
      <c r="DL3093" s="37"/>
      <c r="DM3093" s="37"/>
      <c r="DN3093" s="37"/>
      <c r="DO3093" s="37"/>
      <c r="DP3093" s="37"/>
      <c r="DQ3093" s="37"/>
      <c r="DR3093" s="37"/>
      <c r="DS3093" s="37"/>
      <c r="DT3093" s="37"/>
      <c r="DU3093" s="37"/>
      <c r="DV3093" s="37"/>
      <c r="DW3093" s="37"/>
      <c r="DX3093" s="37"/>
      <c r="DY3093" s="37"/>
      <c r="DZ3093" s="37"/>
      <c r="EA3093" s="37"/>
      <c r="EB3093" s="37"/>
      <c r="EC3093" s="37"/>
      <c r="ED3093" s="37"/>
      <c r="EE3093" s="37"/>
      <c r="EF3093" s="37"/>
      <c r="EG3093" s="37"/>
      <c r="EH3093" s="37"/>
      <c r="EI3093" s="37"/>
      <c r="EJ3093" s="37"/>
      <c r="EK3093" s="37"/>
      <c r="EL3093" s="37"/>
      <c r="EM3093" s="37"/>
      <c r="EN3093" s="37"/>
      <c r="EO3093" s="37"/>
      <c r="EP3093" s="37"/>
      <c r="EQ3093" s="37"/>
      <c r="ER3093" s="37"/>
      <c r="ES3093" s="37"/>
      <c r="ET3093" s="37"/>
      <c r="EU3093" s="37"/>
      <c r="EV3093" s="37"/>
      <c r="EW3093" s="37"/>
      <c r="EX3093" s="37"/>
      <c r="EY3093" s="37"/>
      <c r="EZ3093" s="37"/>
      <c r="FA3093" s="37"/>
      <c r="FB3093" s="37"/>
      <c r="FC3093" s="37"/>
      <c r="FD3093" s="37"/>
      <c r="FE3093" s="37"/>
      <c r="FF3093" s="37"/>
      <c r="FG3093" s="37"/>
      <c r="FH3093" s="37"/>
      <c r="FI3093" s="37"/>
      <c r="FJ3093" s="37"/>
      <c r="FK3093" s="37"/>
      <c r="FL3093" s="37"/>
      <c r="FM3093" s="37"/>
      <c r="FN3093" s="37"/>
      <c r="FO3093" s="37"/>
      <c r="FP3093" s="37"/>
      <c r="FQ3093" s="37"/>
      <c r="FR3093" s="37"/>
      <c r="FS3093" s="37"/>
      <c r="FT3093" s="37"/>
      <c r="FU3093" s="37"/>
      <c r="FV3093" s="37"/>
      <c r="FW3093" s="37"/>
      <c r="FX3093" s="37"/>
      <c r="FY3093" s="37"/>
      <c r="FZ3093" s="37"/>
      <c r="GA3093" s="37"/>
      <c r="GB3093" s="37"/>
      <c r="GC3093" s="37"/>
      <c r="GD3093" s="37"/>
      <c r="GE3093" s="37"/>
      <c r="GF3093" s="37"/>
      <c r="GG3093" s="37"/>
      <c r="GH3093" s="37"/>
      <c r="GI3093" s="37"/>
      <c r="GJ3093" s="37"/>
      <c r="GK3093" s="37"/>
      <c r="GL3093" s="37"/>
      <c r="GM3093" s="37"/>
      <c r="GN3093" s="37"/>
      <c r="GO3093" s="37"/>
      <c r="GP3093" s="37"/>
      <c r="GQ3093" s="37"/>
      <c r="GR3093" s="37"/>
      <c r="GS3093" s="37"/>
      <c r="GT3093" s="37"/>
      <c r="GU3093" s="37"/>
      <c r="GV3093" s="37"/>
      <c r="GW3093" s="37"/>
      <c r="GX3093" s="37"/>
      <c r="GY3093" s="37"/>
      <c r="GZ3093" s="37"/>
      <c r="HA3093" s="37"/>
      <c r="HB3093" s="37"/>
      <c r="HC3093" s="37"/>
      <c r="HD3093" s="37"/>
      <c r="HE3093" s="37"/>
      <c r="HF3093" s="37"/>
      <c r="HG3093" s="37"/>
      <c r="HH3093" s="37"/>
      <c r="HI3093" s="37"/>
      <c r="HJ3093" s="37"/>
      <c r="HK3093" s="37"/>
      <c r="HL3093" s="37"/>
      <c r="HM3093" s="37"/>
      <c r="HN3093" s="37"/>
      <c r="HO3093" s="37"/>
      <c r="HP3093" s="37"/>
      <c r="HQ3093" s="37"/>
      <c r="HR3093" s="37"/>
      <c r="HS3093" s="37"/>
      <c r="HT3093" s="37"/>
      <c r="HU3093" s="37"/>
      <c r="HV3093" s="37"/>
      <c r="HW3093" s="37"/>
      <c r="HX3093" s="37"/>
      <c r="HY3093" s="37"/>
      <c r="HZ3093" s="37"/>
      <c r="IA3093" s="37"/>
      <c r="IB3093" s="37"/>
      <c r="IC3093" s="37"/>
      <c r="ID3093" s="37"/>
      <c r="IE3093" s="37"/>
      <c r="IF3093" s="37"/>
      <c r="IG3093" s="37"/>
      <c r="IH3093" s="37"/>
      <c r="II3093" s="37"/>
      <c r="IJ3093" s="37"/>
      <c r="IK3093" s="37"/>
      <c r="IL3093" s="37"/>
      <c r="IM3093" s="37"/>
      <c r="IN3093" s="37"/>
      <c r="IO3093" s="37"/>
      <c r="IP3093" s="37"/>
      <c r="IQ3093" s="37"/>
      <c r="IR3093" s="37"/>
      <c r="IS3093" s="37"/>
      <c r="IT3093" s="37"/>
      <c r="IU3093" s="37"/>
      <c r="IV3093" s="37"/>
      <c r="IW3093" s="37"/>
      <c r="IX3093" s="37"/>
      <c r="IY3093" s="37"/>
      <c r="IZ3093" s="37"/>
      <c r="JA3093" s="37"/>
      <c r="JB3093" s="37"/>
      <c r="JC3093" s="37"/>
      <c r="JD3093" s="37"/>
      <c r="JE3093" s="37"/>
      <c r="JF3093" s="37"/>
      <c r="JG3093" s="37"/>
      <c r="JH3093" s="37"/>
      <c r="JI3093" s="37"/>
      <c r="JJ3093" s="37"/>
      <c r="JK3093" s="37"/>
      <c r="JL3093" s="37"/>
      <c r="JM3093" s="37"/>
      <c r="JN3093" s="37"/>
      <c r="JO3093" s="37"/>
      <c r="JP3093" s="37"/>
      <c r="JQ3093" s="37"/>
      <c r="JR3093" s="37"/>
      <c r="JS3093" s="37"/>
      <c r="JT3093" s="37"/>
      <c r="JU3093" s="37"/>
      <c r="JV3093" s="37"/>
      <c r="JW3093" s="37"/>
      <c r="JX3093" s="37"/>
      <c r="JY3093" s="37"/>
      <c r="JZ3093" s="37"/>
      <c r="KA3093" s="37"/>
      <c r="KB3093" s="37"/>
      <c r="KC3093" s="37"/>
      <c r="KD3093" s="37"/>
      <c r="KE3093" s="37"/>
      <c r="KF3093" s="37"/>
      <c r="KG3093" s="37"/>
      <c r="KH3093" s="37"/>
      <c r="KI3093" s="37"/>
      <c r="KJ3093" s="37"/>
      <c r="KK3093" s="37"/>
      <c r="KL3093" s="37"/>
      <c r="KM3093" s="37"/>
      <c r="KN3093" s="37"/>
      <c r="KO3093" s="37"/>
      <c r="KP3093" s="37"/>
      <c r="KQ3093" s="37"/>
      <c r="KR3093" s="37"/>
      <c r="KS3093" s="37"/>
      <c r="KT3093" s="37"/>
      <c r="KU3093" s="37"/>
      <c r="KV3093" s="37"/>
      <c r="KW3093" s="37"/>
      <c r="KX3093" s="37"/>
      <c r="KY3093" s="37"/>
      <c r="KZ3093" s="37"/>
      <c r="LA3093" s="37"/>
      <c r="LB3093" s="37"/>
      <c r="LC3093" s="37"/>
      <c r="LD3093" s="37"/>
      <c r="LE3093" s="37"/>
      <c r="LF3093" s="37"/>
      <c r="LG3093" s="37"/>
      <c r="LH3093" s="37"/>
      <c r="LI3093" s="37"/>
      <c r="LJ3093" s="37"/>
      <c r="LK3093" s="37"/>
      <c r="LL3093" s="37"/>
      <c r="LM3093" s="37"/>
      <c r="LN3093" s="37"/>
      <c r="LO3093" s="37"/>
      <c r="LP3093" s="37"/>
      <c r="LQ3093" s="37"/>
      <c r="LR3093" s="37"/>
      <c r="LS3093" s="37"/>
      <c r="LT3093" s="37"/>
      <c r="LU3093" s="37"/>
      <c r="LV3093" s="37"/>
      <c r="LW3093" s="37"/>
      <c r="LX3093" s="37"/>
      <c r="LY3093" s="37"/>
      <c r="LZ3093" s="37"/>
      <c r="MA3093" s="37"/>
      <c r="MB3093" s="37"/>
      <c r="MC3093" s="37"/>
      <c r="MD3093" s="37"/>
      <c r="ME3093" s="37"/>
      <c r="MF3093" s="37"/>
      <c r="MG3093" s="37"/>
      <c r="MH3093" s="37"/>
      <c r="MI3093" s="37"/>
      <c r="MJ3093" s="37"/>
      <c r="MK3093" s="37"/>
      <c r="ML3093" s="37"/>
      <c r="MM3093" s="37"/>
      <c r="MN3093" s="37"/>
      <c r="MO3093" s="37"/>
      <c r="MP3093" s="37"/>
      <c r="MQ3093" s="37"/>
      <c r="MR3093" s="37"/>
      <c r="MS3093" s="37"/>
      <c r="MT3093" s="37"/>
      <c r="MU3093" s="37"/>
      <c r="MV3093" s="37"/>
      <c r="MW3093" s="37"/>
      <c r="MX3093" s="37"/>
      <c r="MY3093" s="37"/>
      <c r="MZ3093" s="37"/>
      <c r="NA3093" s="37"/>
      <c r="NB3093" s="37"/>
      <c r="NC3093" s="37"/>
      <c r="ND3093" s="37"/>
      <c r="NE3093" s="37"/>
      <c r="NF3093" s="37"/>
      <c r="NG3093" s="37"/>
      <c r="NH3093" s="37"/>
      <c r="NI3093" s="37"/>
      <c r="NJ3093" s="37"/>
      <c r="NK3093" s="37"/>
      <c r="NL3093" s="37"/>
      <c r="NM3093" s="37"/>
      <c r="NN3093" s="37"/>
      <c r="NO3093" s="37"/>
      <c r="NP3093" s="37"/>
      <c r="NQ3093" s="37"/>
      <c r="NR3093" s="37"/>
      <c r="NS3093" s="37"/>
      <c r="NT3093" s="37"/>
      <c r="NU3093" s="37"/>
      <c r="NV3093" s="37"/>
      <c r="NW3093" s="37"/>
      <c r="NX3093" s="37"/>
      <c r="NY3093" s="37"/>
      <c r="NZ3093" s="37"/>
      <c r="OA3093" s="37"/>
      <c r="OB3093" s="37"/>
      <c r="OC3093" s="37"/>
      <c r="OD3093" s="37"/>
      <c r="OE3093" s="37"/>
      <c r="OF3093" s="37"/>
      <c r="OG3093" s="37"/>
      <c r="OH3093" s="37"/>
      <c r="OI3093" s="37"/>
      <c r="OJ3093" s="37"/>
      <c r="OK3093" s="37"/>
      <c r="OL3093" s="37"/>
      <c r="OM3093" s="37"/>
      <c r="ON3093" s="37"/>
      <c r="OO3093" s="37"/>
      <c r="OP3093" s="37"/>
      <c r="OQ3093" s="37"/>
      <c r="OR3093" s="37"/>
      <c r="OS3093" s="37"/>
      <c r="OT3093" s="37"/>
      <c r="OU3093" s="37"/>
      <c r="OV3093" s="37"/>
      <c r="OW3093" s="37"/>
      <c r="OX3093" s="37"/>
      <c r="OY3093" s="37"/>
      <c r="OZ3093" s="37"/>
      <c r="PA3093" s="37"/>
      <c r="PB3093" s="37"/>
      <c r="PC3093" s="37"/>
      <c r="PD3093" s="37"/>
      <c r="PE3093" s="37"/>
      <c r="PF3093" s="37"/>
      <c r="PG3093" s="37"/>
      <c r="PH3093" s="37"/>
      <c r="PI3093" s="37"/>
      <c r="PJ3093" s="37"/>
      <c r="PK3093" s="37"/>
      <c r="PL3093" s="37"/>
      <c r="PM3093" s="37"/>
      <c r="PN3093" s="37"/>
      <c r="PO3093" s="37"/>
      <c r="PP3093" s="37"/>
      <c r="PQ3093" s="37"/>
      <c r="PR3093" s="37"/>
      <c r="PS3093" s="37"/>
      <c r="PT3093" s="37"/>
      <c r="PU3093" s="37"/>
      <c r="PV3093" s="37"/>
      <c r="PW3093" s="37"/>
      <c r="PX3093" s="37"/>
      <c r="PY3093" s="37"/>
      <c r="PZ3093" s="37"/>
      <c r="QA3093" s="37"/>
      <c r="QB3093" s="37"/>
      <c r="QC3093" s="37"/>
      <c r="QD3093" s="37"/>
      <c r="QE3093" s="37"/>
      <c r="QF3093" s="37"/>
      <c r="QG3093" s="37"/>
      <c r="QH3093" s="37"/>
      <c r="QI3093" s="37"/>
      <c r="QJ3093" s="37"/>
      <c r="QK3093" s="37"/>
      <c r="QL3093" s="37"/>
      <c r="QM3093" s="37"/>
      <c r="QN3093" s="37"/>
      <c r="QO3093" s="37"/>
      <c r="QP3093" s="37"/>
      <c r="QQ3093" s="37"/>
      <c r="QR3093" s="37"/>
      <c r="QS3093" s="37"/>
      <c r="QT3093" s="37"/>
      <c r="QU3093" s="37"/>
      <c r="QV3093" s="37"/>
      <c r="QW3093" s="37"/>
      <c r="QX3093" s="37"/>
      <c r="QY3093" s="37"/>
      <c r="QZ3093" s="37"/>
      <c r="RA3093" s="37"/>
      <c r="RB3093" s="37"/>
      <c r="RC3093" s="37"/>
      <c r="RD3093" s="37"/>
      <c r="RE3093" s="37"/>
      <c r="RF3093" s="37"/>
      <c r="RG3093" s="37"/>
      <c r="RH3093" s="37"/>
      <c r="RI3093" s="37"/>
      <c r="RJ3093" s="37"/>
      <c r="RK3093" s="37"/>
      <c r="RL3093" s="37"/>
      <c r="RM3093" s="37"/>
      <c r="RN3093" s="37"/>
      <c r="RO3093" s="37"/>
      <c r="RP3093" s="37"/>
      <c r="RQ3093" s="37"/>
      <c r="RR3093" s="37"/>
      <c r="RS3093" s="37"/>
      <c r="RT3093" s="37"/>
      <c r="RU3093" s="37"/>
      <c r="RV3093" s="37"/>
      <c r="RW3093" s="37"/>
      <c r="RX3093" s="37"/>
      <c r="RY3093" s="37"/>
      <c r="RZ3093" s="37"/>
      <c r="SA3093" s="37"/>
      <c r="SB3093" s="37"/>
      <c r="SC3093" s="37"/>
      <c r="SD3093" s="37"/>
      <c r="SE3093" s="37"/>
      <c r="SF3093" s="37"/>
    </row>
    <row r="3094" spans="1:500">
      <c r="A3094" s="37"/>
      <c r="B3094" s="37"/>
      <c r="C3094" s="37"/>
      <c r="D3094" s="37"/>
      <c r="E3094" s="37"/>
      <c r="F3094" s="37"/>
      <c r="G3094" s="37"/>
      <c r="H3094" s="37"/>
      <c r="I3094" s="37"/>
      <c r="J3094" s="37"/>
      <c r="K3094" s="37"/>
      <c r="L3094" s="37"/>
      <c r="M3094" s="37"/>
      <c r="N3094" s="37"/>
      <c r="O3094" s="37"/>
      <c r="P3094" s="37"/>
      <c r="Q3094" s="37"/>
      <c r="R3094" s="37"/>
      <c r="S3094" s="37"/>
      <c r="T3094" s="37"/>
      <c r="U3094" s="37"/>
      <c r="V3094" s="37"/>
      <c r="W3094" s="37"/>
      <c r="X3094" s="37"/>
      <c r="Y3094" s="37"/>
      <c r="Z3094" s="37"/>
      <c r="AA3094" s="37"/>
      <c r="AB3094" s="37"/>
      <c r="AC3094" s="37"/>
      <c r="AD3094" s="37"/>
      <c r="AE3094" s="37"/>
      <c r="AF3094" s="37"/>
      <c r="AG3094" s="37"/>
      <c r="AH3094" s="37"/>
      <c r="AI3094" s="37"/>
      <c r="AJ3094" s="37"/>
      <c r="AK3094" s="37"/>
      <c r="AL3094" s="37"/>
      <c r="AM3094" s="37"/>
      <c r="AN3094" s="37"/>
      <c r="AO3094" s="37"/>
      <c r="AP3094" s="37"/>
      <c r="AQ3094" s="37"/>
      <c r="AR3094" s="37"/>
      <c r="AS3094" s="37"/>
      <c r="AT3094" s="37"/>
      <c r="AU3094" s="37"/>
      <c r="AV3094" s="37"/>
      <c r="AW3094" s="37"/>
      <c r="AX3094" s="37"/>
      <c r="AY3094" s="37"/>
      <c r="AZ3094" s="37"/>
      <c r="BA3094" s="37"/>
      <c r="BB3094" s="37"/>
      <c r="BC3094" s="37"/>
      <c r="BD3094" s="37"/>
      <c r="BE3094" s="37"/>
      <c r="BF3094" s="37"/>
      <c r="BG3094" s="37"/>
      <c r="BH3094" s="37"/>
      <c r="BI3094" s="37"/>
      <c r="BJ3094" s="37"/>
      <c r="BK3094" s="37"/>
      <c r="BL3094" s="37"/>
      <c r="BM3094" s="37"/>
      <c r="BN3094" s="37"/>
      <c r="BO3094" s="37"/>
      <c r="BP3094" s="37"/>
      <c r="BQ3094" s="37"/>
      <c r="BR3094" s="37"/>
      <c r="BS3094" s="37"/>
      <c r="BT3094" s="37"/>
      <c r="BU3094" s="37"/>
      <c r="BV3094" s="37"/>
      <c r="BW3094" s="37"/>
      <c r="BX3094" s="37"/>
      <c r="BY3094" s="37"/>
      <c r="BZ3094" s="37"/>
      <c r="CA3094" s="37"/>
      <c r="CB3094" s="37"/>
      <c r="CC3094" s="37"/>
      <c r="CD3094" s="37"/>
      <c r="CE3094" s="37"/>
      <c r="CF3094" s="37"/>
      <c r="CG3094" s="37"/>
      <c r="CH3094" s="37"/>
      <c r="CI3094" s="37"/>
      <c r="CJ3094" s="37"/>
      <c r="CK3094" s="37"/>
      <c r="CL3094" s="37"/>
      <c r="CM3094" s="37"/>
      <c r="CN3094" s="37"/>
      <c r="CO3094" s="37"/>
      <c r="CP3094" s="37"/>
      <c r="CQ3094" s="37"/>
      <c r="CR3094" s="37"/>
      <c r="CS3094" s="37"/>
      <c r="CT3094" s="37"/>
      <c r="CU3094" s="37"/>
      <c r="CV3094" s="37"/>
      <c r="CW3094" s="37"/>
      <c r="CX3094" s="37"/>
      <c r="CY3094" s="37"/>
      <c r="CZ3094" s="37"/>
      <c r="DA3094" s="37"/>
      <c r="DB3094" s="37"/>
      <c r="DC3094" s="37"/>
      <c r="DD3094" s="37"/>
      <c r="DE3094" s="37"/>
      <c r="DF3094" s="37"/>
      <c r="DG3094" s="37"/>
      <c r="DH3094" s="37"/>
      <c r="DI3094" s="37"/>
      <c r="DJ3094" s="37"/>
      <c r="DK3094" s="37"/>
      <c r="DL3094" s="37"/>
      <c r="DM3094" s="37"/>
      <c r="DN3094" s="37"/>
      <c r="DO3094" s="37"/>
      <c r="DP3094" s="37"/>
      <c r="DQ3094" s="37"/>
      <c r="DR3094" s="37"/>
      <c r="DS3094" s="37"/>
      <c r="DT3094" s="37"/>
      <c r="DU3094" s="37"/>
      <c r="DV3094" s="37"/>
      <c r="DW3094" s="37"/>
      <c r="DX3094" s="37"/>
      <c r="DY3094" s="37"/>
      <c r="DZ3094" s="37"/>
      <c r="EA3094" s="37"/>
      <c r="EB3094" s="37"/>
      <c r="EC3094" s="37"/>
      <c r="ED3094" s="37"/>
      <c r="EE3094" s="37"/>
      <c r="EF3094" s="37"/>
      <c r="EG3094" s="37"/>
      <c r="EH3094" s="37"/>
      <c r="EI3094" s="37"/>
      <c r="EJ3094" s="37"/>
      <c r="EK3094" s="37"/>
      <c r="EL3094" s="37"/>
      <c r="EM3094" s="37"/>
      <c r="EN3094" s="37"/>
      <c r="EO3094" s="37"/>
      <c r="EP3094" s="37"/>
      <c r="EQ3094" s="37"/>
      <c r="ER3094" s="37"/>
      <c r="ES3094" s="37"/>
      <c r="ET3094" s="37"/>
      <c r="EU3094" s="37"/>
      <c r="EV3094" s="37"/>
      <c r="EW3094" s="37"/>
      <c r="EX3094" s="37"/>
      <c r="EY3094" s="37"/>
      <c r="EZ3094" s="37"/>
      <c r="FA3094" s="37"/>
      <c r="FB3094" s="37"/>
      <c r="FC3094" s="37"/>
      <c r="FD3094" s="37"/>
      <c r="FE3094" s="37"/>
      <c r="FF3094" s="37"/>
      <c r="FG3094" s="37"/>
      <c r="FH3094" s="37"/>
      <c r="FI3094" s="37"/>
      <c r="FJ3094" s="37"/>
      <c r="FK3094" s="37"/>
      <c r="FL3094" s="37"/>
      <c r="FM3094" s="37"/>
      <c r="FN3094" s="37"/>
      <c r="FO3094" s="37"/>
      <c r="FP3094" s="37"/>
      <c r="FQ3094" s="37"/>
      <c r="FR3094" s="37"/>
      <c r="FS3094" s="37"/>
      <c r="FT3094" s="37"/>
      <c r="FU3094" s="37"/>
      <c r="FV3094" s="37"/>
      <c r="FW3094" s="37"/>
      <c r="FX3094" s="37"/>
      <c r="FY3094" s="37"/>
      <c r="FZ3094" s="37"/>
      <c r="GA3094" s="37"/>
      <c r="GB3094" s="37"/>
      <c r="GC3094" s="37"/>
      <c r="GD3094" s="37"/>
      <c r="GE3094" s="37"/>
      <c r="GF3094" s="37"/>
      <c r="GG3094" s="37"/>
      <c r="GH3094" s="37"/>
      <c r="GI3094" s="37"/>
      <c r="GJ3094" s="37"/>
      <c r="GK3094" s="37"/>
      <c r="GL3094" s="37"/>
      <c r="GM3094" s="37"/>
      <c r="GN3094" s="37"/>
      <c r="GO3094" s="37"/>
      <c r="GP3094" s="37"/>
      <c r="GQ3094" s="37"/>
      <c r="GR3094" s="37"/>
      <c r="GS3094" s="37"/>
      <c r="GT3094" s="37"/>
      <c r="GU3094" s="37"/>
      <c r="GV3094" s="37"/>
      <c r="GW3094" s="37"/>
      <c r="GX3094" s="37"/>
      <c r="GY3094" s="37"/>
      <c r="GZ3094" s="37"/>
      <c r="HA3094" s="37"/>
      <c r="HB3094" s="37"/>
      <c r="HC3094" s="37"/>
      <c r="HD3094" s="37"/>
      <c r="HE3094" s="37"/>
      <c r="HF3094" s="37"/>
      <c r="HG3094" s="37"/>
      <c r="HH3094" s="37"/>
      <c r="HI3094" s="37"/>
      <c r="HJ3094" s="37"/>
      <c r="HK3094" s="37"/>
      <c r="HL3094" s="37"/>
      <c r="HM3094" s="37"/>
      <c r="HN3094" s="37"/>
      <c r="HO3094" s="37"/>
      <c r="HP3094" s="37"/>
      <c r="HQ3094" s="37"/>
      <c r="HR3094" s="37"/>
      <c r="HS3094" s="37"/>
      <c r="HT3094" s="37"/>
      <c r="HU3094" s="37"/>
      <c r="HV3094" s="37"/>
      <c r="HW3094" s="37"/>
      <c r="HX3094" s="37"/>
      <c r="HY3094" s="37"/>
      <c r="HZ3094" s="37"/>
      <c r="IA3094" s="37"/>
      <c r="IB3094" s="37"/>
      <c r="IC3094" s="37"/>
      <c r="ID3094" s="37"/>
      <c r="IE3094" s="37"/>
      <c r="IF3094" s="37"/>
      <c r="IG3094" s="37"/>
      <c r="IH3094" s="37"/>
      <c r="II3094" s="37"/>
      <c r="IJ3094" s="37"/>
      <c r="IK3094" s="37"/>
      <c r="IL3094" s="37"/>
      <c r="IM3094" s="37"/>
      <c r="IN3094" s="37"/>
      <c r="IO3094" s="37"/>
      <c r="IP3094" s="37"/>
      <c r="IQ3094" s="37"/>
      <c r="IR3094" s="37"/>
      <c r="IS3094" s="37"/>
      <c r="IT3094" s="37"/>
      <c r="IU3094" s="37"/>
      <c r="IV3094" s="37"/>
      <c r="IW3094" s="37"/>
      <c r="IX3094" s="37"/>
      <c r="IY3094" s="37"/>
      <c r="IZ3094" s="37"/>
      <c r="JA3094" s="37"/>
      <c r="JB3094" s="37"/>
      <c r="JC3094" s="37"/>
      <c r="JD3094" s="37"/>
      <c r="JE3094" s="37"/>
      <c r="JF3094" s="37"/>
      <c r="JG3094" s="37"/>
      <c r="JH3094" s="37"/>
      <c r="JI3094" s="37"/>
      <c r="JJ3094" s="37"/>
      <c r="JK3094" s="37"/>
      <c r="JL3094" s="37"/>
      <c r="JM3094" s="37"/>
      <c r="JN3094" s="37"/>
      <c r="JO3094" s="37"/>
      <c r="JP3094" s="37"/>
      <c r="JQ3094" s="37"/>
      <c r="JR3094" s="37"/>
      <c r="JS3094" s="37"/>
      <c r="JT3094" s="37"/>
      <c r="JU3094" s="37"/>
      <c r="JV3094" s="37"/>
      <c r="JW3094" s="37"/>
      <c r="JX3094" s="37"/>
      <c r="JY3094" s="37"/>
      <c r="JZ3094" s="37"/>
      <c r="KA3094" s="37"/>
      <c r="KB3094" s="37"/>
      <c r="KC3094" s="37"/>
      <c r="KD3094" s="37"/>
      <c r="KE3094" s="37"/>
      <c r="KF3094" s="37"/>
      <c r="KG3094" s="37"/>
      <c r="KH3094" s="37"/>
      <c r="KI3094" s="37"/>
      <c r="KJ3094" s="37"/>
      <c r="KK3094" s="37"/>
      <c r="KL3094" s="37"/>
      <c r="KM3094" s="37"/>
      <c r="KN3094" s="37"/>
      <c r="KO3094" s="37"/>
      <c r="KP3094" s="37"/>
      <c r="KQ3094" s="37"/>
      <c r="KR3094" s="37"/>
      <c r="KS3094" s="37"/>
      <c r="KT3094" s="37"/>
      <c r="KU3094" s="37"/>
      <c r="KV3094" s="37"/>
      <c r="KW3094" s="37"/>
      <c r="KX3094" s="37"/>
      <c r="KY3094" s="37"/>
      <c r="KZ3094" s="37"/>
      <c r="LA3094" s="37"/>
      <c r="LB3094" s="37"/>
      <c r="LC3094" s="37"/>
      <c r="LD3094" s="37"/>
      <c r="LE3094" s="37"/>
      <c r="LF3094" s="37"/>
      <c r="LG3094" s="37"/>
      <c r="LH3094" s="37"/>
      <c r="LI3094" s="37"/>
      <c r="LJ3094" s="37"/>
      <c r="LK3094" s="37"/>
      <c r="LL3094" s="37"/>
      <c r="LM3094" s="37"/>
      <c r="LN3094" s="37"/>
      <c r="LO3094" s="37"/>
      <c r="LP3094" s="37"/>
      <c r="LQ3094" s="37"/>
      <c r="LR3094" s="37"/>
      <c r="LS3094" s="37"/>
      <c r="LT3094" s="37"/>
      <c r="LU3094" s="37"/>
      <c r="LV3094" s="37"/>
      <c r="LW3094" s="37"/>
      <c r="LX3094" s="37"/>
      <c r="LY3094" s="37"/>
      <c r="LZ3094" s="37"/>
      <c r="MA3094" s="37"/>
      <c r="MB3094" s="37"/>
      <c r="MC3094" s="37"/>
      <c r="MD3094" s="37"/>
      <c r="ME3094" s="37"/>
      <c r="MF3094" s="37"/>
      <c r="MG3094" s="37"/>
      <c r="MH3094" s="37"/>
      <c r="MI3094" s="37"/>
      <c r="MJ3094" s="37"/>
      <c r="MK3094" s="37"/>
      <c r="ML3094" s="37"/>
      <c r="MM3094" s="37"/>
      <c r="MN3094" s="37"/>
      <c r="MO3094" s="37"/>
      <c r="MP3094" s="37"/>
      <c r="MQ3094" s="37"/>
      <c r="MR3094" s="37"/>
      <c r="MS3094" s="37"/>
      <c r="MT3094" s="37"/>
      <c r="MU3094" s="37"/>
      <c r="MV3094" s="37"/>
      <c r="MW3094" s="37"/>
      <c r="MX3094" s="37"/>
      <c r="MY3094" s="37"/>
      <c r="MZ3094" s="37"/>
      <c r="NA3094" s="37"/>
      <c r="NB3094" s="37"/>
      <c r="NC3094" s="37"/>
      <c r="ND3094" s="37"/>
      <c r="NE3094" s="37"/>
      <c r="NF3094" s="37"/>
      <c r="NG3094" s="37"/>
      <c r="NH3094" s="37"/>
      <c r="NI3094" s="37"/>
      <c r="NJ3094" s="37"/>
      <c r="NK3094" s="37"/>
      <c r="NL3094" s="37"/>
      <c r="NM3094" s="37"/>
      <c r="NN3094" s="37"/>
      <c r="NO3094" s="37"/>
      <c r="NP3094" s="37"/>
      <c r="NQ3094" s="37"/>
      <c r="NR3094" s="37"/>
      <c r="NS3094" s="37"/>
      <c r="NT3094" s="37"/>
      <c r="NU3094" s="37"/>
      <c r="NV3094" s="37"/>
      <c r="NW3094" s="37"/>
      <c r="NX3094" s="37"/>
      <c r="NY3094" s="37"/>
      <c r="NZ3094" s="37"/>
      <c r="OA3094" s="37"/>
      <c r="OB3094" s="37"/>
      <c r="OC3094" s="37"/>
      <c r="OD3094" s="37"/>
      <c r="OE3094" s="37"/>
      <c r="OF3094" s="37"/>
      <c r="OG3094" s="37"/>
      <c r="OH3094" s="37"/>
      <c r="OI3094" s="37"/>
      <c r="OJ3094" s="37"/>
      <c r="OK3094" s="37"/>
      <c r="OL3094" s="37"/>
      <c r="OM3094" s="37"/>
      <c r="ON3094" s="37"/>
      <c r="OO3094" s="37"/>
      <c r="OP3094" s="37"/>
      <c r="OQ3094" s="37"/>
      <c r="OR3094" s="37"/>
      <c r="OS3094" s="37"/>
      <c r="OT3094" s="37"/>
      <c r="OU3094" s="37"/>
      <c r="OV3094" s="37"/>
      <c r="OW3094" s="37"/>
      <c r="OX3094" s="37"/>
      <c r="OY3094" s="37"/>
      <c r="OZ3094" s="37"/>
      <c r="PA3094" s="37"/>
      <c r="PB3094" s="37"/>
      <c r="PC3094" s="37"/>
      <c r="PD3094" s="37"/>
      <c r="PE3094" s="37"/>
      <c r="PF3094" s="37"/>
      <c r="PG3094" s="37"/>
      <c r="PH3094" s="37"/>
      <c r="PI3094" s="37"/>
      <c r="PJ3094" s="37"/>
      <c r="PK3094" s="37"/>
      <c r="PL3094" s="37"/>
      <c r="PM3094" s="37"/>
      <c r="PN3094" s="37"/>
      <c r="PO3094" s="37"/>
      <c r="PP3094" s="37"/>
      <c r="PQ3094" s="37"/>
      <c r="PR3094" s="37"/>
      <c r="PS3094" s="37"/>
      <c r="PT3094" s="37"/>
      <c r="PU3094" s="37"/>
      <c r="PV3094" s="37"/>
      <c r="PW3094" s="37"/>
      <c r="PX3094" s="37"/>
      <c r="PY3094" s="37"/>
      <c r="PZ3094" s="37"/>
      <c r="QA3094" s="37"/>
      <c r="QB3094" s="37"/>
      <c r="QC3094" s="37"/>
      <c r="QD3094" s="37"/>
      <c r="QE3094" s="37"/>
      <c r="QF3094" s="37"/>
      <c r="QG3094" s="37"/>
      <c r="QH3094" s="37"/>
      <c r="QI3094" s="37"/>
      <c r="QJ3094" s="37"/>
      <c r="QK3094" s="37"/>
      <c r="QL3094" s="37"/>
      <c r="QM3094" s="37"/>
      <c r="QN3094" s="37"/>
      <c r="QO3094" s="37"/>
      <c r="QP3094" s="37"/>
      <c r="QQ3094" s="37"/>
      <c r="QR3094" s="37"/>
      <c r="QS3094" s="37"/>
      <c r="QT3094" s="37"/>
      <c r="QU3094" s="37"/>
      <c r="QV3094" s="37"/>
      <c r="QW3094" s="37"/>
      <c r="QX3094" s="37"/>
      <c r="QY3094" s="37"/>
      <c r="QZ3094" s="37"/>
      <c r="RA3094" s="37"/>
      <c r="RB3094" s="37"/>
      <c r="RC3094" s="37"/>
      <c r="RD3094" s="37"/>
      <c r="RE3094" s="37"/>
      <c r="RF3094" s="37"/>
      <c r="RG3094" s="37"/>
      <c r="RH3094" s="37"/>
      <c r="RI3094" s="37"/>
      <c r="RJ3094" s="37"/>
      <c r="RK3094" s="37"/>
      <c r="RL3094" s="37"/>
      <c r="RM3094" s="37"/>
      <c r="RN3094" s="37"/>
      <c r="RO3094" s="37"/>
      <c r="RP3094" s="37"/>
      <c r="RQ3094" s="37"/>
      <c r="RR3094" s="37"/>
      <c r="RS3094" s="37"/>
      <c r="RT3094" s="37"/>
      <c r="RU3094" s="37"/>
      <c r="RV3094" s="37"/>
      <c r="RW3094" s="37"/>
      <c r="RX3094" s="37"/>
      <c r="RY3094" s="37"/>
      <c r="RZ3094" s="37"/>
      <c r="SA3094" s="37"/>
      <c r="SB3094" s="37"/>
      <c r="SC3094" s="37"/>
      <c r="SD3094" s="37"/>
      <c r="SE3094" s="37"/>
      <c r="SF3094" s="37"/>
    </row>
    <row r="3095" spans="1:500">
      <c r="A3095" s="37"/>
      <c r="B3095" s="37"/>
      <c r="C3095" s="37"/>
      <c r="D3095" s="37"/>
      <c r="E3095" s="37"/>
      <c r="F3095" s="37"/>
      <c r="G3095" s="37"/>
      <c r="H3095" s="37"/>
      <c r="I3095" s="37"/>
      <c r="J3095" s="37"/>
      <c r="K3095" s="37"/>
      <c r="L3095" s="37"/>
      <c r="M3095" s="37"/>
      <c r="N3095" s="37"/>
      <c r="O3095" s="37"/>
      <c r="P3095" s="37"/>
      <c r="Q3095" s="37"/>
      <c r="R3095" s="37"/>
      <c r="S3095" s="37"/>
      <c r="T3095" s="37"/>
      <c r="U3095" s="37"/>
      <c r="V3095" s="37"/>
      <c r="W3095" s="37"/>
      <c r="X3095" s="37"/>
      <c r="Y3095" s="37"/>
      <c r="Z3095" s="37"/>
      <c r="AA3095" s="37"/>
      <c r="AB3095" s="37"/>
      <c r="AC3095" s="37"/>
      <c r="AD3095" s="37"/>
      <c r="AE3095" s="37"/>
      <c r="AF3095" s="37"/>
      <c r="AG3095" s="37"/>
      <c r="AH3095" s="37"/>
      <c r="AI3095" s="37"/>
      <c r="AJ3095" s="37"/>
      <c r="AK3095" s="37"/>
      <c r="AL3095" s="37"/>
      <c r="AM3095" s="37"/>
      <c r="AN3095" s="37"/>
      <c r="AO3095" s="37"/>
      <c r="AP3095" s="37"/>
      <c r="AQ3095" s="37"/>
      <c r="AR3095" s="37"/>
      <c r="AS3095" s="37"/>
      <c r="AT3095" s="37"/>
      <c r="AU3095" s="37"/>
      <c r="AV3095" s="37"/>
      <c r="AW3095" s="37"/>
      <c r="AX3095" s="37"/>
      <c r="AY3095" s="37"/>
      <c r="AZ3095" s="37"/>
      <c r="BA3095" s="37"/>
      <c r="BB3095" s="37"/>
      <c r="BC3095" s="37"/>
      <c r="BD3095" s="37"/>
      <c r="BE3095" s="37"/>
      <c r="BF3095" s="37"/>
      <c r="BG3095" s="37"/>
      <c r="BH3095" s="37"/>
      <c r="BI3095" s="37"/>
      <c r="BJ3095" s="37"/>
      <c r="BK3095" s="37"/>
      <c r="BL3095" s="37"/>
      <c r="BM3095" s="37"/>
      <c r="BN3095" s="37"/>
      <c r="BO3095" s="37"/>
      <c r="BP3095" s="37"/>
      <c r="BQ3095" s="37"/>
      <c r="BR3095" s="37"/>
      <c r="BS3095" s="37"/>
      <c r="BT3095" s="37"/>
      <c r="BU3095" s="37"/>
      <c r="BV3095" s="37"/>
      <c r="BW3095" s="37"/>
      <c r="BX3095" s="37"/>
      <c r="BY3095" s="37"/>
      <c r="BZ3095" s="37"/>
      <c r="CA3095" s="37"/>
      <c r="CB3095" s="37"/>
      <c r="CC3095" s="37"/>
      <c r="CD3095" s="37"/>
      <c r="CE3095" s="37"/>
      <c r="CF3095" s="37"/>
      <c r="CG3095" s="37"/>
      <c r="CH3095" s="37"/>
      <c r="CI3095" s="37"/>
      <c r="CJ3095" s="37"/>
      <c r="CK3095" s="37"/>
      <c r="CL3095" s="37"/>
      <c r="CM3095" s="37"/>
      <c r="CN3095" s="37"/>
      <c r="CO3095" s="37"/>
      <c r="CP3095" s="37"/>
      <c r="CQ3095" s="37"/>
      <c r="CR3095" s="37"/>
      <c r="CS3095" s="37"/>
      <c r="CT3095" s="37"/>
      <c r="CU3095" s="37"/>
      <c r="CV3095" s="37"/>
      <c r="CW3095" s="37"/>
      <c r="CX3095" s="37"/>
      <c r="CY3095" s="37"/>
      <c r="CZ3095" s="37"/>
      <c r="DA3095" s="37"/>
      <c r="DB3095" s="37"/>
      <c r="DC3095" s="37"/>
      <c r="DD3095" s="37"/>
      <c r="DE3095" s="37"/>
      <c r="DF3095" s="37"/>
      <c r="DG3095" s="37"/>
      <c r="DH3095" s="37"/>
      <c r="DI3095" s="37"/>
      <c r="DJ3095" s="37"/>
      <c r="DK3095" s="37"/>
      <c r="DL3095" s="37"/>
      <c r="DM3095" s="37"/>
      <c r="DN3095" s="37"/>
      <c r="DO3095" s="37"/>
      <c r="DP3095" s="37"/>
      <c r="DQ3095" s="37"/>
      <c r="DR3095" s="37"/>
      <c r="DS3095" s="37"/>
      <c r="DT3095" s="37"/>
      <c r="DU3095" s="37"/>
      <c r="DV3095" s="37"/>
      <c r="DW3095" s="37"/>
      <c r="DX3095" s="37"/>
      <c r="DY3095" s="37"/>
      <c r="DZ3095" s="37"/>
      <c r="EA3095" s="37"/>
      <c r="EB3095" s="37"/>
      <c r="EC3095" s="37"/>
      <c r="ED3095" s="37"/>
      <c r="EE3095" s="37"/>
      <c r="EF3095" s="37"/>
      <c r="EG3095" s="37"/>
      <c r="EH3095" s="37"/>
      <c r="EI3095" s="37"/>
      <c r="EJ3095" s="37"/>
      <c r="EK3095" s="37"/>
      <c r="EL3095" s="37"/>
      <c r="EM3095" s="37"/>
      <c r="EN3095" s="37"/>
      <c r="EO3095" s="37"/>
      <c r="EP3095" s="37"/>
      <c r="EQ3095" s="37"/>
      <c r="ER3095" s="37"/>
      <c r="ES3095" s="37"/>
      <c r="ET3095" s="37"/>
      <c r="EU3095" s="37"/>
      <c r="EV3095" s="37"/>
      <c r="EW3095" s="37"/>
      <c r="EX3095" s="37"/>
      <c r="EY3095" s="37"/>
      <c r="EZ3095" s="37"/>
      <c r="FA3095" s="37"/>
      <c r="FB3095" s="37"/>
      <c r="FC3095" s="37"/>
      <c r="FD3095" s="37"/>
      <c r="FE3095" s="37"/>
      <c r="FF3095" s="37"/>
      <c r="FG3095" s="37"/>
      <c r="FH3095" s="37"/>
      <c r="FI3095" s="37"/>
      <c r="FJ3095" s="37"/>
      <c r="FK3095" s="37"/>
      <c r="FL3095" s="37"/>
      <c r="FM3095" s="37"/>
      <c r="FN3095" s="37"/>
      <c r="FO3095" s="37"/>
      <c r="FP3095" s="37"/>
      <c r="FQ3095" s="37"/>
      <c r="FR3095" s="37"/>
      <c r="FS3095" s="37"/>
      <c r="FT3095" s="37"/>
      <c r="FU3095" s="37"/>
      <c r="FV3095" s="37"/>
      <c r="FW3095" s="37"/>
      <c r="FX3095" s="37"/>
      <c r="FY3095" s="37"/>
      <c r="FZ3095" s="37"/>
      <c r="GA3095" s="37"/>
      <c r="GB3095" s="37"/>
      <c r="GC3095" s="37"/>
      <c r="GD3095" s="37"/>
      <c r="GE3095" s="37"/>
      <c r="GF3095" s="37"/>
      <c r="GG3095" s="37"/>
      <c r="GH3095" s="37"/>
      <c r="GI3095" s="37"/>
      <c r="GJ3095" s="37"/>
      <c r="GK3095" s="37"/>
      <c r="GL3095" s="37"/>
      <c r="GM3095" s="37"/>
      <c r="GN3095" s="37"/>
      <c r="GO3095" s="37"/>
      <c r="GP3095" s="37"/>
      <c r="GQ3095" s="37"/>
      <c r="GR3095" s="37"/>
      <c r="GS3095" s="37"/>
      <c r="GT3095" s="37"/>
      <c r="GU3095" s="37"/>
      <c r="GV3095" s="37"/>
      <c r="GW3095" s="37"/>
      <c r="GX3095" s="37"/>
      <c r="GY3095" s="37"/>
      <c r="GZ3095" s="37"/>
      <c r="HA3095" s="37"/>
      <c r="HB3095" s="37"/>
      <c r="HC3095" s="37"/>
      <c r="HD3095" s="37"/>
      <c r="HE3095" s="37"/>
      <c r="HF3095" s="37"/>
      <c r="HG3095" s="37"/>
      <c r="HH3095" s="37"/>
      <c r="HI3095" s="37"/>
      <c r="HJ3095" s="37"/>
      <c r="HK3095" s="37"/>
      <c r="HL3095" s="37"/>
      <c r="HM3095" s="37"/>
      <c r="HN3095" s="37"/>
      <c r="HO3095" s="37"/>
      <c r="HP3095" s="37"/>
      <c r="HQ3095" s="37"/>
      <c r="HR3095" s="37"/>
      <c r="HS3095" s="37"/>
      <c r="HT3095" s="37"/>
      <c r="HU3095" s="37"/>
      <c r="HV3095" s="37"/>
      <c r="HW3095" s="37"/>
      <c r="HX3095" s="37"/>
      <c r="HY3095" s="37"/>
      <c r="HZ3095" s="37"/>
      <c r="IA3095" s="37"/>
      <c r="IB3095" s="37"/>
      <c r="IC3095" s="37"/>
      <c r="ID3095" s="37"/>
      <c r="IE3095" s="37"/>
      <c r="IF3095" s="37"/>
      <c r="IG3095" s="37"/>
      <c r="IH3095" s="37"/>
      <c r="II3095" s="37"/>
      <c r="IJ3095" s="37"/>
      <c r="IK3095" s="37"/>
      <c r="IL3095" s="37"/>
      <c r="IM3095" s="37"/>
      <c r="IN3095" s="37"/>
      <c r="IO3095" s="37"/>
      <c r="IP3095" s="37"/>
      <c r="IQ3095" s="37"/>
      <c r="IR3095" s="37"/>
      <c r="IS3095" s="37"/>
      <c r="IT3095" s="37"/>
      <c r="IU3095" s="37"/>
      <c r="IV3095" s="37"/>
      <c r="IW3095" s="37"/>
      <c r="IX3095" s="37"/>
      <c r="IY3095" s="37"/>
      <c r="IZ3095" s="37"/>
      <c r="JA3095" s="37"/>
      <c r="JB3095" s="37"/>
      <c r="JC3095" s="37"/>
      <c r="JD3095" s="37"/>
      <c r="JE3095" s="37"/>
      <c r="JF3095" s="37"/>
      <c r="JG3095" s="37"/>
      <c r="JH3095" s="37"/>
      <c r="JI3095" s="37"/>
      <c r="JJ3095" s="37"/>
      <c r="JK3095" s="37"/>
      <c r="JL3095" s="37"/>
      <c r="JM3095" s="37"/>
      <c r="JN3095" s="37"/>
      <c r="JO3095" s="37"/>
      <c r="JP3095" s="37"/>
      <c r="JQ3095" s="37"/>
      <c r="JR3095" s="37"/>
      <c r="JS3095" s="37"/>
      <c r="JT3095" s="37"/>
      <c r="JU3095" s="37"/>
      <c r="JV3095" s="37"/>
      <c r="JW3095" s="37"/>
      <c r="JX3095" s="37"/>
      <c r="JY3095" s="37"/>
      <c r="JZ3095" s="37"/>
      <c r="KA3095" s="37"/>
      <c r="KB3095" s="37"/>
      <c r="KC3095" s="37"/>
      <c r="KD3095" s="37"/>
      <c r="KE3095" s="37"/>
      <c r="KF3095" s="37"/>
      <c r="KG3095" s="37"/>
      <c r="KH3095" s="37"/>
      <c r="KI3095" s="37"/>
      <c r="KJ3095" s="37"/>
      <c r="KK3095" s="37"/>
      <c r="KL3095" s="37"/>
      <c r="KM3095" s="37"/>
      <c r="KN3095" s="37"/>
      <c r="KO3095" s="37"/>
      <c r="KP3095" s="37"/>
      <c r="KQ3095" s="37"/>
      <c r="KR3095" s="37"/>
      <c r="KS3095" s="37"/>
      <c r="KT3095" s="37"/>
      <c r="KU3095" s="37"/>
      <c r="KV3095" s="37"/>
      <c r="KW3095" s="37"/>
      <c r="KX3095" s="37"/>
      <c r="KY3095" s="37"/>
      <c r="KZ3095" s="37"/>
      <c r="LA3095" s="37"/>
      <c r="LB3095" s="37"/>
      <c r="LC3095" s="37"/>
      <c r="LD3095" s="37"/>
      <c r="LE3095" s="37"/>
      <c r="LF3095" s="37"/>
      <c r="LG3095" s="37"/>
      <c r="LH3095" s="37"/>
      <c r="LI3095" s="37"/>
      <c r="LJ3095" s="37"/>
      <c r="LK3095" s="37"/>
      <c r="LL3095" s="37"/>
      <c r="LM3095" s="37"/>
      <c r="LN3095" s="37"/>
      <c r="LO3095" s="37"/>
      <c r="LP3095" s="37"/>
      <c r="LQ3095" s="37"/>
      <c r="LR3095" s="37"/>
      <c r="LS3095" s="37"/>
      <c r="LT3095" s="37"/>
      <c r="LU3095" s="37"/>
      <c r="LV3095" s="37"/>
      <c r="LW3095" s="37"/>
      <c r="LX3095" s="37"/>
      <c r="LY3095" s="37"/>
      <c r="LZ3095" s="37"/>
      <c r="MA3095" s="37"/>
      <c r="MB3095" s="37"/>
      <c r="MC3095" s="37"/>
      <c r="MD3095" s="37"/>
      <c r="ME3095" s="37"/>
      <c r="MF3095" s="37"/>
      <c r="MG3095" s="37"/>
      <c r="MH3095" s="37"/>
      <c r="MI3095" s="37"/>
      <c r="MJ3095" s="37"/>
      <c r="MK3095" s="37"/>
      <c r="ML3095" s="37"/>
      <c r="MM3095" s="37"/>
      <c r="MN3095" s="37"/>
      <c r="MO3095" s="37"/>
      <c r="MP3095" s="37"/>
      <c r="MQ3095" s="37"/>
      <c r="MR3095" s="37"/>
      <c r="MS3095" s="37"/>
      <c r="MT3095" s="37"/>
      <c r="MU3095" s="37"/>
      <c r="MV3095" s="37"/>
      <c r="MW3095" s="37"/>
      <c r="MX3095" s="37"/>
      <c r="MY3095" s="37"/>
      <c r="MZ3095" s="37"/>
      <c r="NA3095" s="37"/>
      <c r="NB3095" s="37"/>
      <c r="NC3095" s="37"/>
      <c r="ND3095" s="37"/>
      <c r="NE3095" s="37"/>
      <c r="NF3095" s="37"/>
      <c r="NG3095" s="37"/>
      <c r="NH3095" s="37"/>
      <c r="NI3095" s="37"/>
      <c r="NJ3095" s="37"/>
      <c r="NK3095" s="37"/>
      <c r="NL3095" s="37"/>
      <c r="NM3095" s="37"/>
      <c r="NN3095" s="37"/>
      <c r="NO3095" s="37"/>
      <c r="NP3095" s="37"/>
      <c r="NQ3095" s="37"/>
      <c r="NR3095" s="37"/>
      <c r="NS3095" s="37"/>
      <c r="NT3095" s="37"/>
      <c r="NU3095" s="37"/>
      <c r="NV3095" s="37"/>
      <c r="NW3095" s="37"/>
      <c r="NX3095" s="37"/>
      <c r="NY3095" s="37"/>
      <c r="NZ3095" s="37"/>
      <c r="OA3095" s="37"/>
      <c r="OB3095" s="37"/>
      <c r="OC3095" s="37"/>
      <c r="OD3095" s="37"/>
      <c r="OE3095" s="37"/>
      <c r="OF3095" s="37"/>
      <c r="OG3095" s="37"/>
      <c r="OH3095" s="37"/>
      <c r="OI3095" s="37"/>
      <c r="OJ3095" s="37"/>
      <c r="OK3095" s="37"/>
      <c r="OL3095" s="37"/>
      <c r="OM3095" s="37"/>
      <c r="ON3095" s="37"/>
      <c r="OO3095" s="37"/>
      <c r="OP3095" s="37"/>
      <c r="OQ3095" s="37"/>
      <c r="OR3095" s="37"/>
      <c r="OS3095" s="37"/>
      <c r="OT3095" s="37"/>
      <c r="OU3095" s="37"/>
      <c r="OV3095" s="37"/>
      <c r="OW3095" s="37"/>
      <c r="OX3095" s="37"/>
      <c r="OY3095" s="37"/>
      <c r="OZ3095" s="37"/>
      <c r="PA3095" s="37"/>
      <c r="PB3095" s="37"/>
      <c r="PC3095" s="37"/>
      <c r="PD3095" s="37"/>
      <c r="PE3095" s="37"/>
      <c r="PF3095" s="37"/>
      <c r="PG3095" s="37"/>
      <c r="PH3095" s="37"/>
      <c r="PI3095" s="37"/>
      <c r="PJ3095" s="37"/>
      <c r="PK3095" s="37"/>
      <c r="PL3095" s="37"/>
      <c r="PM3095" s="37"/>
      <c r="PN3095" s="37"/>
      <c r="PO3095" s="37"/>
      <c r="PP3095" s="37"/>
      <c r="PQ3095" s="37"/>
      <c r="PR3095" s="37"/>
      <c r="PS3095" s="37"/>
      <c r="PT3095" s="37"/>
      <c r="PU3095" s="37"/>
      <c r="PV3095" s="37"/>
      <c r="PW3095" s="37"/>
      <c r="PX3095" s="37"/>
      <c r="PY3095" s="37"/>
      <c r="PZ3095" s="37"/>
      <c r="QA3095" s="37"/>
      <c r="QB3095" s="37"/>
      <c r="QC3095" s="37"/>
      <c r="QD3095" s="37"/>
      <c r="QE3095" s="37"/>
      <c r="QF3095" s="37"/>
      <c r="QG3095" s="37"/>
      <c r="QH3095" s="37"/>
      <c r="QI3095" s="37"/>
      <c r="QJ3095" s="37"/>
      <c r="QK3095" s="37"/>
      <c r="QL3095" s="37"/>
      <c r="QM3095" s="37"/>
      <c r="QN3095" s="37"/>
      <c r="QO3095" s="37"/>
      <c r="QP3095" s="37"/>
      <c r="QQ3095" s="37"/>
      <c r="QR3095" s="37"/>
      <c r="QS3095" s="37"/>
      <c r="QT3095" s="37"/>
      <c r="QU3095" s="37"/>
      <c r="QV3095" s="37"/>
      <c r="QW3095" s="37"/>
      <c r="QX3095" s="37"/>
      <c r="QY3095" s="37"/>
      <c r="QZ3095" s="37"/>
      <c r="RA3095" s="37"/>
      <c r="RB3095" s="37"/>
      <c r="RC3095" s="37"/>
      <c r="RD3095" s="37"/>
      <c r="RE3095" s="37"/>
      <c r="RF3095" s="37"/>
      <c r="RG3095" s="37"/>
      <c r="RH3095" s="37"/>
      <c r="RI3095" s="37"/>
      <c r="RJ3095" s="37"/>
      <c r="RK3095" s="37"/>
      <c r="RL3095" s="37"/>
      <c r="RM3095" s="37"/>
      <c r="RN3095" s="37"/>
      <c r="RO3095" s="37"/>
      <c r="RP3095" s="37"/>
      <c r="RQ3095" s="37"/>
      <c r="RR3095" s="37"/>
      <c r="RS3095" s="37"/>
      <c r="RT3095" s="37"/>
      <c r="RU3095" s="37"/>
      <c r="RV3095" s="37"/>
      <c r="RW3095" s="37"/>
      <c r="RX3095" s="37"/>
      <c r="RY3095" s="37"/>
      <c r="RZ3095" s="37"/>
      <c r="SA3095" s="37"/>
      <c r="SB3095" s="37"/>
      <c r="SC3095" s="37"/>
      <c r="SD3095" s="37"/>
      <c r="SE3095" s="37"/>
      <c r="SF3095" s="37"/>
    </row>
    <row r="3096" spans="1:500">
      <c r="A3096" s="37"/>
      <c r="B3096" s="37"/>
      <c r="C3096" s="37"/>
      <c r="D3096" s="37"/>
      <c r="E3096" s="37"/>
      <c r="F3096" s="37"/>
      <c r="G3096" s="37"/>
      <c r="H3096" s="37"/>
      <c r="I3096" s="37"/>
      <c r="J3096" s="37"/>
      <c r="K3096" s="37"/>
      <c r="L3096" s="37"/>
      <c r="M3096" s="37"/>
      <c r="N3096" s="37"/>
      <c r="O3096" s="37"/>
      <c r="P3096" s="37"/>
      <c r="Q3096" s="37"/>
      <c r="R3096" s="37"/>
      <c r="S3096" s="37"/>
      <c r="T3096" s="37"/>
      <c r="U3096" s="37"/>
      <c r="V3096" s="37"/>
      <c r="W3096" s="37"/>
      <c r="X3096" s="37"/>
      <c r="Y3096" s="37"/>
      <c r="Z3096" s="37"/>
      <c r="AA3096" s="37"/>
      <c r="AB3096" s="37"/>
      <c r="AC3096" s="37"/>
      <c r="AD3096" s="37"/>
      <c r="AE3096" s="37"/>
      <c r="AF3096" s="37"/>
      <c r="AG3096" s="37"/>
      <c r="AH3096" s="37"/>
      <c r="AI3096" s="37"/>
      <c r="AJ3096" s="37"/>
      <c r="AK3096" s="37"/>
      <c r="AL3096" s="37"/>
      <c r="AM3096" s="37"/>
      <c r="AN3096" s="37"/>
      <c r="AO3096" s="37"/>
      <c r="AP3096" s="37"/>
      <c r="AQ3096" s="37"/>
      <c r="AR3096" s="37"/>
      <c r="AS3096" s="37"/>
      <c r="AT3096" s="37"/>
      <c r="AU3096" s="37"/>
      <c r="AV3096" s="37"/>
      <c r="AW3096" s="37"/>
      <c r="AX3096" s="37"/>
      <c r="AY3096" s="37"/>
      <c r="AZ3096" s="37"/>
      <c r="BA3096" s="37"/>
      <c r="BB3096" s="37"/>
      <c r="BC3096" s="37"/>
      <c r="BD3096" s="37"/>
      <c r="BE3096" s="37"/>
      <c r="BF3096" s="37"/>
      <c r="BG3096" s="37"/>
      <c r="BH3096" s="37"/>
      <c r="BI3096" s="37"/>
      <c r="BJ3096" s="37"/>
      <c r="BK3096" s="37"/>
      <c r="BL3096" s="37"/>
      <c r="BM3096" s="37"/>
      <c r="BN3096" s="37"/>
      <c r="BO3096" s="37"/>
      <c r="BP3096" s="37"/>
      <c r="BQ3096" s="37"/>
      <c r="BR3096" s="37"/>
      <c r="BS3096" s="37"/>
      <c r="BT3096" s="37"/>
      <c r="BU3096" s="37"/>
      <c r="BV3096" s="37"/>
      <c r="BW3096" s="37"/>
      <c r="BX3096" s="37"/>
      <c r="BY3096" s="37"/>
      <c r="BZ3096" s="37"/>
      <c r="CA3096" s="37"/>
      <c r="CB3096" s="37"/>
      <c r="CC3096" s="37"/>
      <c r="CD3096" s="37"/>
      <c r="CE3096" s="37"/>
      <c r="CF3096" s="37"/>
      <c r="CG3096" s="37"/>
      <c r="CH3096" s="37"/>
      <c r="CI3096" s="37"/>
      <c r="CJ3096" s="37"/>
      <c r="CK3096" s="37"/>
      <c r="CL3096" s="37"/>
      <c r="CM3096" s="37"/>
      <c r="CN3096" s="37"/>
      <c r="CO3096" s="37"/>
      <c r="CP3096" s="37"/>
      <c r="CQ3096" s="37"/>
      <c r="CR3096" s="37"/>
      <c r="CS3096" s="37"/>
      <c r="CT3096" s="37"/>
      <c r="CU3096" s="37"/>
      <c r="CV3096" s="37"/>
      <c r="CW3096" s="37"/>
      <c r="CX3096" s="37"/>
      <c r="CY3096" s="37"/>
      <c r="CZ3096" s="37"/>
      <c r="DA3096" s="37"/>
      <c r="DB3096" s="37"/>
      <c r="DC3096" s="37"/>
      <c r="DD3096" s="37"/>
      <c r="DE3096" s="37"/>
      <c r="DF3096" s="37"/>
      <c r="DG3096" s="37"/>
      <c r="DH3096" s="37"/>
      <c r="DI3096" s="37"/>
      <c r="DJ3096" s="37"/>
      <c r="DK3096" s="37"/>
      <c r="DL3096" s="37"/>
      <c r="DM3096" s="37"/>
      <c r="DN3096" s="37"/>
      <c r="DO3096" s="37"/>
      <c r="DP3096" s="37"/>
      <c r="DQ3096" s="37"/>
      <c r="DR3096" s="37"/>
      <c r="DS3096" s="37"/>
      <c r="DT3096" s="37"/>
      <c r="DU3096" s="37"/>
      <c r="DV3096" s="37"/>
      <c r="DW3096" s="37"/>
      <c r="DX3096" s="37"/>
      <c r="DY3096" s="37"/>
      <c r="DZ3096" s="37"/>
      <c r="EA3096" s="37"/>
      <c r="EB3096" s="37"/>
      <c r="EC3096" s="37"/>
      <c r="ED3096" s="37"/>
      <c r="EE3096" s="37"/>
      <c r="EF3096" s="37"/>
      <c r="EG3096" s="37"/>
      <c r="EH3096" s="37"/>
      <c r="EI3096" s="37"/>
      <c r="EJ3096" s="37"/>
      <c r="EK3096" s="37"/>
      <c r="EL3096" s="37"/>
      <c r="EM3096" s="37"/>
      <c r="EN3096" s="37"/>
      <c r="EO3096" s="37"/>
      <c r="EP3096" s="37"/>
      <c r="EQ3096" s="37"/>
      <c r="ER3096" s="37"/>
      <c r="ES3096" s="37"/>
      <c r="ET3096" s="37"/>
      <c r="EU3096" s="37"/>
      <c r="EV3096" s="37"/>
      <c r="EW3096" s="37"/>
      <c r="EX3096" s="37"/>
      <c r="EY3096" s="37"/>
      <c r="EZ3096" s="37"/>
      <c r="FA3096" s="37"/>
      <c r="FB3096" s="37"/>
      <c r="FC3096" s="37"/>
      <c r="FD3096" s="37"/>
      <c r="FE3096" s="37"/>
      <c r="FF3096" s="37"/>
      <c r="FG3096" s="37"/>
      <c r="FH3096" s="37"/>
      <c r="FI3096" s="37"/>
      <c r="FJ3096" s="37"/>
      <c r="FK3096" s="37"/>
      <c r="FL3096" s="37"/>
      <c r="FM3096" s="37"/>
      <c r="FN3096" s="37"/>
      <c r="FO3096" s="37"/>
      <c r="FP3096" s="37"/>
      <c r="FQ3096" s="37"/>
      <c r="FR3096" s="37"/>
      <c r="FS3096" s="37"/>
      <c r="FT3096" s="37"/>
      <c r="FU3096" s="37"/>
      <c r="FV3096" s="37"/>
      <c r="FW3096" s="37"/>
      <c r="FX3096" s="37"/>
      <c r="FY3096" s="37"/>
      <c r="FZ3096" s="37"/>
      <c r="GA3096" s="37"/>
      <c r="GB3096" s="37"/>
      <c r="GC3096" s="37"/>
      <c r="GD3096" s="37"/>
      <c r="GE3096" s="37"/>
      <c r="GF3096" s="37"/>
      <c r="GG3096" s="37"/>
      <c r="GH3096" s="37"/>
      <c r="GI3096" s="37"/>
      <c r="GJ3096" s="37"/>
      <c r="GK3096" s="37"/>
      <c r="GL3096" s="37"/>
      <c r="GM3096" s="37"/>
      <c r="GN3096" s="37"/>
      <c r="GO3096" s="37"/>
      <c r="GP3096" s="37"/>
      <c r="GQ3096" s="37"/>
      <c r="GR3096" s="37"/>
      <c r="GS3096" s="37"/>
      <c r="GT3096" s="37"/>
      <c r="GU3096" s="37"/>
      <c r="GV3096" s="37"/>
      <c r="GW3096" s="37"/>
      <c r="GX3096" s="37"/>
      <c r="GY3096" s="37"/>
      <c r="GZ3096" s="37"/>
      <c r="HA3096" s="37"/>
      <c r="HB3096" s="37"/>
      <c r="HC3096" s="37"/>
      <c r="HD3096" s="37"/>
      <c r="HE3096" s="37"/>
      <c r="HF3096" s="37"/>
      <c r="HG3096" s="37"/>
      <c r="HH3096" s="37"/>
      <c r="HI3096" s="37"/>
      <c r="HJ3096" s="37"/>
      <c r="HK3096" s="37"/>
      <c r="HL3096" s="37"/>
      <c r="HM3096" s="37"/>
      <c r="HN3096" s="37"/>
      <c r="HO3096" s="37"/>
      <c r="HP3096" s="37"/>
      <c r="HQ3096" s="37"/>
      <c r="HR3096" s="37"/>
      <c r="HS3096" s="37"/>
      <c r="HT3096" s="37"/>
      <c r="HU3096" s="37"/>
      <c r="HV3096" s="37"/>
      <c r="HW3096" s="37"/>
      <c r="HX3096" s="37"/>
      <c r="HY3096" s="37"/>
      <c r="HZ3096" s="37"/>
      <c r="IA3096" s="37"/>
      <c r="IB3096" s="37"/>
      <c r="IC3096" s="37"/>
      <c r="ID3096" s="37"/>
      <c r="IE3096" s="37"/>
      <c r="IF3096" s="37"/>
      <c r="IG3096" s="37"/>
      <c r="IH3096" s="37"/>
      <c r="II3096" s="37"/>
      <c r="IJ3096" s="37"/>
      <c r="IK3096" s="37"/>
      <c r="IL3096" s="37"/>
      <c r="IM3096" s="37"/>
      <c r="IN3096" s="37"/>
      <c r="IO3096" s="37"/>
      <c r="IP3096" s="37"/>
      <c r="IQ3096" s="37"/>
      <c r="IR3096" s="37"/>
      <c r="IS3096" s="37"/>
      <c r="IT3096" s="37"/>
      <c r="IU3096" s="37"/>
      <c r="IV3096" s="37"/>
      <c r="IW3096" s="37"/>
      <c r="IX3096" s="37"/>
      <c r="IY3096" s="37"/>
      <c r="IZ3096" s="37"/>
      <c r="JA3096" s="37"/>
      <c r="JB3096" s="37"/>
      <c r="JC3096" s="37"/>
      <c r="JD3096" s="37"/>
      <c r="JE3096" s="37"/>
      <c r="JF3096" s="37"/>
      <c r="JG3096" s="37"/>
      <c r="JH3096" s="37"/>
      <c r="JI3096" s="37"/>
      <c r="JJ3096" s="37"/>
      <c r="JK3096" s="37"/>
      <c r="JL3096" s="37"/>
      <c r="JM3096" s="37"/>
      <c r="JN3096" s="37"/>
      <c r="JO3096" s="37"/>
      <c r="JP3096" s="37"/>
      <c r="JQ3096" s="37"/>
      <c r="JR3096" s="37"/>
      <c r="JS3096" s="37"/>
      <c r="JT3096" s="37"/>
      <c r="JU3096" s="37"/>
      <c r="JV3096" s="37"/>
      <c r="JW3096" s="37"/>
      <c r="JX3096" s="37"/>
      <c r="JY3096" s="37"/>
      <c r="JZ3096" s="37"/>
      <c r="KA3096" s="37"/>
      <c r="KB3096" s="37"/>
      <c r="KC3096" s="37"/>
      <c r="KD3096" s="37"/>
      <c r="KE3096" s="37"/>
      <c r="KF3096" s="37"/>
      <c r="KG3096" s="37"/>
      <c r="KH3096" s="37"/>
      <c r="KI3096" s="37"/>
      <c r="KJ3096" s="37"/>
      <c r="KK3096" s="37"/>
      <c r="KL3096" s="37"/>
      <c r="KM3096" s="37"/>
      <c r="KN3096" s="37"/>
      <c r="KO3096" s="37"/>
      <c r="KP3096" s="37"/>
      <c r="KQ3096" s="37"/>
      <c r="KR3096" s="37"/>
      <c r="KS3096" s="37"/>
      <c r="KT3096" s="37"/>
      <c r="KU3096" s="37"/>
      <c r="KV3096" s="37"/>
      <c r="KW3096" s="37"/>
      <c r="KX3096" s="37"/>
      <c r="KY3096" s="37"/>
      <c r="KZ3096" s="37"/>
      <c r="LA3096" s="37"/>
      <c r="LB3096" s="37"/>
      <c r="LC3096" s="37"/>
      <c r="LD3096" s="37"/>
      <c r="LE3096" s="37"/>
      <c r="LF3096" s="37"/>
      <c r="LG3096" s="37"/>
      <c r="LH3096" s="37"/>
      <c r="LI3096" s="37"/>
      <c r="LJ3096" s="37"/>
      <c r="LK3096" s="37"/>
      <c r="LL3096" s="37"/>
      <c r="LM3096" s="37"/>
      <c r="LN3096" s="37"/>
      <c r="LO3096" s="37"/>
      <c r="LP3096" s="37"/>
      <c r="LQ3096" s="37"/>
      <c r="LR3096" s="37"/>
      <c r="LS3096" s="37"/>
      <c r="LT3096" s="37"/>
      <c r="LU3096" s="37"/>
      <c r="LV3096" s="37"/>
      <c r="LW3096" s="37"/>
      <c r="LX3096" s="37"/>
      <c r="LY3096" s="37"/>
      <c r="LZ3096" s="37"/>
      <c r="MA3096" s="37"/>
      <c r="MB3096" s="37"/>
      <c r="MC3096" s="37"/>
      <c r="MD3096" s="37"/>
      <c r="ME3096" s="37"/>
      <c r="MF3096" s="37"/>
      <c r="MG3096" s="37"/>
      <c r="MH3096" s="37"/>
      <c r="MI3096" s="37"/>
      <c r="MJ3096" s="37"/>
      <c r="MK3096" s="37"/>
      <c r="ML3096" s="37"/>
      <c r="MM3096" s="37"/>
      <c r="MN3096" s="37"/>
      <c r="MO3096" s="37"/>
      <c r="MP3096" s="37"/>
      <c r="MQ3096" s="37"/>
      <c r="MR3096" s="37"/>
      <c r="MS3096" s="37"/>
      <c r="MT3096" s="37"/>
      <c r="MU3096" s="37"/>
      <c r="MV3096" s="37"/>
      <c r="MW3096" s="37"/>
      <c r="MX3096" s="37"/>
      <c r="MY3096" s="37"/>
      <c r="MZ3096" s="37"/>
      <c r="NA3096" s="37"/>
      <c r="NB3096" s="37"/>
      <c r="NC3096" s="37"/>
      <c r="ND3096" s="37"/>
      <c r="NE3096" s="37"/>
      <c r="NF3096" s="37"/>
      <c r="NG3096" s="37"/>
      <c r="NH3096" s="37"/>
      <c r="NI3096" s="37"/>
      <c r="NJ3096" s="37"/>
      <c r="NK3096" s="37"/>
      <c r="NL3096" s="37"/>
      <c r="NM3096" s="37"/>
      <c r="NN3096" s="37"/>
      <c r="NO3096" s="37"/>
      <c r="NP3096" s="37"/>
      <c r="NQ3096" s="37"/>
      <c r="NR3096" s="37"/>
      <c r="NS3096" s="37"/>
      <c r="NT3096" s="37"/>
      <c r="NU3096" s="37"/>
      <c r="NV3096" s="37"/>
      <c r="NW3096" s="37"/>
      <c r="NX3096" s="37"/>
      <c r="NY3096" s="37"/>
      <c r="NZ3096" s="37"/>
      <c r="OA3096" s="37"/>
      <c r="OB3096" s="37"/>
      <c r="OC3096" s="37"/>
      <c r="OD3096" s="37"/>
      <c r="OE3096" s="37"/>
      <c r="OF3096" s="37"/>
      <c r="OG3096" s="37"/>
      <c r="OH3096" s="37"/>
      <c r="OI3096" s="37"/>
      <c r="OJ3096" s="37"/>
      <c r="OK3096" s="37"/>
      <c r="OL3096" s="37"/>
      <c r="OM3096" s="37"/>
      <c r="ON3096" s="37"/>
      <c r="OO3096" s="37"/>
      <c r="OP3096" s="37"/>
      <c r="OQ3096" s="37"/>
      <c r="OR3096" s="37"/>
      <c r="OS3096" s="37"/>
      <c r="OT3096" s="37"/>
      <c r="OU3096" s="37"/>
      <c r="OV3096" s="37"/>
      <c r="OW3096" s="37"/>
      <c r="OX3096" s="37"/>
      <c r="OY3096" s="37"/>
      <c r="OZ3096" s="37"/>
      <c r="PA3096" s="37"/>
      <c r="PB3096" s="37"/>
      <c r="PC3096" s="37"/>
      <c r="PD3096" s="37"/>
      <c r="PE3096" s="37"/>
      <c r="PF3096" s="37"/>
      <c r="PG3096" s="37"/>
      <c r="PH3096" s="37"/>
      <c r="PI3096" s="37"/>
      <c r="PJ3096" s="37"/>
      <c r="PK3096" s="37"/>
      <c r="PL3096" s="37"/>
      <c r="PM3096" s="37"/>
      <c r="PN3096" s="37"/>
      <c r="PO3096" s="37"/>
      <c r="PP3096" s="37"/>
      <c r="PQ3096" s="37"/>
      <c r="PR3096" s="37"/>
      <c r="PS3096" s="37"/>
      <c r="PT3096" s="37"/>
      <c r="PU3096" s="37"/>
      <c r="PV3096" s="37"/>
      <c r="PW3096" s="37"/>
      <c r="PX3096" s="37"/>
      <c r="PY3096" s="37"/>
      <c r="PZ3096" s="37"/>
      <c r="QA3096" s="37"/>
      <c r="QB3096" s="37"/>
      <c r="QC3096" s="37"/>
      <c r="QD3096" s="37"/>
      <c r="QE3096" s="37"/>
      <c r="QF3096" s="37"/>
      <c r="QG3096" s="37"/>
      <c r="QH3096" s="37"/>
      <c r="QI3096" s="37"/>
      <c r="QJ3096" s="37"/>
      <c r="QK3096" s="37"/>
      <c r="QL3096" s="37"/>
      <c r="QM3096" s="37"/>
      <c r="QN3096" s="37"/>
      <c r="QO3096" s="37"/>
      <c r="QP3096" s="37"/>
      <c r="QQ3096" s="37"/>
      <c r="QR3096" s="37"/>
      <c r="QS3096" s="37"/>
      <c r="QT3096" s="37"/>
      <c r="QU3096" s="37"/>
      <c r="QV3096" s="37"/>
      <c r="QW3096" s="37"/>
      <c r="QX3096" s="37"/>
      <c r="QY3096" s="37"/>
      <c r="QZ3096" s="37"/>
      <c r="RA3096" s="37"/>
      <c r="RB3096" s="37"/>
      <c r="RC3096" s="37"/>
      <c r="RD3096" s="37"/>
      <c r="RE3096" s="37"/>
      <c r="RF3096" s="37"/>
      <c r="RG3096" s="37"/>
      <c r="RH3096" s="37"/>
      <c r="RI3096" s="37"/>
      <c r="RJ3096" s="37"/>
      <c r="RK3096" s="37"/>
      <c r="RL3096" s="37"/>
      <c r="RM3096" s="37"/>
      <c r="RN3096" s="37"/>
      <c r="RO3096" s="37"/>
      <c r="RP3096" s="37"/>
      <c r="RQ3096" s="37"/>
      <c r="RR3096" s="37"/>
      <c r="RS3096" s="37"/>
      <c r="RT3096" s="37"/>
      <c r="RU3096" s="37"/>
      <c r="RV3096" s="37"/>
      <c r="RW3096" s="37"/>
      <c r="RX3096" s="37"/>
      <c r="RY3096" s="37"/>
      <c r="RZ3096" s="37"/>
      <c r="SA3096" s="37"/>
      <c r="SB3096" s="37"/>
      <c r="SC3096" s="37"/>
      <c r="SD3096" s="37"/>
      <c r="SE3096" s="37"/>
      <c r="SF3096" s="37"/>
    </row>
    <row r="3097" spans="1:500">
      <c r="A3097" s="37"/>
      <c r="B3097" s="37"/>
      <c r="C3097" s="37"/>
      <c r="D3097" s="37"/>
      <c r="E3097" s="37"/>
      <c r="F3097" s="37"/>
      <c r="G3097" s="37"/>
      <c r="H3097" s="37"/>
      <c r="I3097" s="37"/>
      <c r="J3097" s="37"/>
      <c r="K3097" s="37"/>
      <c r="L3097" s="37"/>
      <c r="M3097" s="37"/>
      <c r="N3097" s="37"/>
      <c r="O3097" s="37"/>
      <c r="P3097" s="37"/>
      <c r="Q3097" s="37"/>
      <c r="R3097" s="37"/>
      <c r="S3097" s="37"/>
      <c r="T3097" s="37"/>
      <c r="U3097" s="37"/>
      <c r="V3097" s="37"/>
      <c r="W3097" s="37"/>
      <c r="X3097" s="37"/>
      <c r="Y3097" s="37"/>
      <c r="Z3097" s="37"/>
      <c r="AA3097" s="37"/>
      <c r="AB3097" s="37"/>
      <c r="AC3097" s="37"/>
      <c r="AD3097" s="37"/>
      <c r="AE3097" s="37"/>
      <c r="AF3097" s="37"/>
      <c r="AG3097" s="37"/>
      <c r="AH3097" s="37"/>
      <c r="AI3097" s="37"/>
      <c r="AJ3097" s="37"/>
      <c r="AK3097" s="37"/>
      <c r="AL3097" s="37"/>
      <c r="AM3097" s="37"/>
      <c r="AN3097" s="37"/>
      <c r="AO3097" s="37"/>
      <c r="AP3097" s="37"/>
      <c r="AQ3097" s="37"/>
      <c r="AR3097" s="37"/>
      <c r="AS3097" s="37"/>
      <c r="AT3097" s="37"/>
      <c r="AU3097" s="37"/>
      <c r="AV3097" s="37"/>
      <c r="AW3097" s="37"/>
      <c r="AX3097" s="37"/>
      <c r="AY3097" s="37"/>
      <c r="AZ3097" s="37"/>
      <c r="BA3097" s="37"/>
      <c r="BB3097" s="37"/>
      <c r="BC3097" s="37"/>
      <c r="BD3097" s="37"/>
      <c r="BE3097" s="37"/>
      <c r="BF3097" s="37"/>
      <c r="BG3097" s="37"/>
      <c r="BH3097" s="37"/>
      <c r="BI3097" s="37"/>
      <c r="BJ3097" s="37"/>
      <c r="BK3097" s="37"/>
      <c r="BL3097" s="37"/>
      <c r="BM3097" s="37"/>
      <c r="BN3097" s="37"/>
      <c r="BO3097" s="37"/>
      <c r="BP3097" s="37"/>
      <c r="BQ3097" s="37"/>
      <c r="BR3097" s="37"/>
      <c r="BS3097" s="37"/>
      <c r="BT3097" s="37"/>
      <c r="BU3097" s="37"/>
      <c r="BV3097" s="37"/>
      <c r="BW3097" s="37"/>
      <c r="BX3097" s="37"/>
      <c r="BY3097" s="37"/>
      <c r="BZ3097" s="37"/>
      <c r="CA3097" s="37"/>
      <c r="CB3097" s="37"/>
      <c r="CC3097" s="37"/>
      <c r="CD3097" s="37"/>
      <c r="CE3097" s="37"/>
      <c r="CF3097" s="37"/>
      <c r="CG3097" s="37"/>
      <c r="CH3097" s="37"/>
      <c r="CI3097" s="37"/>
      <c r="CJ3097" s="37"/>
      <c r="CK3097" s="37"/>
      <c r="CL3097" s="37"/>
      <c r="CM3097" s="37"/>
      <c r="CN3097" s="37"/>
      <c r="CO3097" s="37"/>
      <c r="CP3097" s="37"/>
      <c r="CQ3097" s="37"/>
      <c r="CR3097" s="37"/>
      <c r="CS3097" s="37"/>
      <c r="CT3097" s="37"/>
      <c r="CU3097" s="37"/>
      <c r="CV3097" s="37"/>
      <c r="CW3097" s="37"/>
      <c r="CX3097" s="37"/>
      <c r="CY3097" s="37"/>
      <c r="CZ3097" s="37"/>
      <c r="DA3097" s="37"/>
      <c r="DB3097" s="37"/>
      <c r="DC3097" s="37"/>
      <c r="DD3097" s="37"/>
      <c r="DE3097" s="37"/>
      <c r="DF3097" s="37"/>
      <c r="DG3097" s="37"/>
      <c r="DH3097" s="37"/>
      <c r="DI3097" s="37"/>
      <c r="DJ3097" s="37"/>
      <c r="DK3097" s="37"/>
      <c r="DL3097" s="37"/>
      <c r="DM3097" s="37"/>
      <c r="DN3097" s="37"/>
      <c r="DO3097" s="37"/>
      <c r="DP3097" s="37"/>
      <c r="DQ3097" s="37"/>
      <c r="DR3097" s="37"/>
      <c r="DS3097" s="37"/>
      <c r="DT3097" s="37"/>
      <c r="DU3097" s="37"/>
      <c r="DV3097" s="37"/>
      <c r="DW3097" s="37"/>
      <c r="DX3097" s="37"/>
      <c r="DY3097" s="37"/>
      <c r="DZ3097" s="37"/>
      <c r="EA3097" s="37"/>
      <c r="EB3097" s="37"/>
      <c r="EC3097" s="37"/>
      <c r="ED3097" s="37"/>
      <c r="EE3097" s="37"/>
      <c r="EF3097" s="37"/>
      <c r="EG3097" s="37"/>
      <c r="EH3097" s="37"/>
      <c r="EI3097" s="37"/>
      <c r="EJ3097" s="37"/>
      <c r="EK3097" s="37"/>
      <c r="EL3097" s="37"/>
      <c r="EM3097" s="37"/>
      <c r="EN3097" s="37"/>
      <c r="EO3097" s="37"/>
      <c r="EP3097" s="37"/>
      <c r="EQ3097" s="37"/>
      <c r="ER3097" s="37"/>
      <c r="ES3097" s="37"/>
      <c r="ET3097" s="37"/>
      <c r="EU3097" s="37"/>
      <c r="EV3097" s="37"/>
      <c r="EW3097" s="37"/>
      <c r="EX3097" s="37"/>
      <c r="EY3097" s="37"/>
      <c r="EZ3097" s="37"/>
      <c r="FA3097" s="37"/>
      <c r="FB3097" s="37"/>
      <c r="FC3097" s="37"/>
      <c r="FD3097" s="37"/>
      <c r="FE3097" s="37"/>
      <c r="FF3097" s="37"/>
      <c r="FG3097" s="37"/>
      <c r="FH3097" s="37"/>
      <c r="FI3097" s="37"/>
      <c r="FJ3097" s="37"/>
      <c r="FK3097" s="37"/>
      <c r="FL3097" s="37"/>
      <c r="FM3097" s="37"/>
      <c r="FN3097" s="37"/>
      <c r="FO3097" s="37"/>
      <c r="FP3097" s="37"/>
      <c r="FQ3097" s="37"/>
      <c r="FR3097" s="37"/>
      <c r="FS3097" s="37"/>
      <c r="FT3097" s="37"/>
      <c r="FU3097" s="37"/>
      <c r="FV3097" s="37"/>
      <c r="FW3097" s="37"/>
      <c r="FX3097" s="37"/>
      <c r="FY3097" s="37"/>
      <c r="FZ3097" s="37"/>
      <c r="GA3097" s="37"/>
      <c r="GB3097" s="37"/>
      <c r="GC3097" s="37"/>
      <c r="GD3097" s="37"/>
      <c r="GE3097" s="37"/>
      <c r="GF3097" s="37"/>
      <c r="GG3097" s="37"/>
      <c r="GH3097" s="37"/>
      <c r="GI3097" s="37"/>
      <c r="GJ3097" s="37"/>
      <c r="GK3097" s="37"/>
      <c r="GL3097" s="37"/>
      <c r="GM3097" s="37"/>
      <c r="GN3097" s="37"/>
      <c r="GO3097" s="37"/>
      <c r="GP3097" s="37"/>
      <c r="GQ3097" s="37"/>
      <c r="GR3097" s="37"/>
      <c r="GS3097" s="37"/>
      <c r="GT3097" s="37"/>
      <c r="GU3097" s="37"/>
      <c r="GV3097" s="37"/>
      <c r="GW3097" s="37"/>
      <c r="GX3097" s="37"/>
      <c r="GY3097" s="37"/>
      <c r="GZ3097" s="37"/>
      <c r="HA3097" s="37"/>
      <c r="HB3097" s="37"/>
      <c r="HC3097" s="37"/>
      <c r="HD3097" s="37"/>
      <c r="HE3097" s="37"/>
      <c r="HF3097" s="37"/>
      <c r="HG3097" s="37"/>
      <c r="HH3097" s="37"/>
      <c r="HI3097" s="37"/>
      <c r="HJ3097" s="37"/>
      <c r="HK3097" s="37"/>
      <c r="HL3097" s="37"/>
      <c r="HM3097" s="37"/>
      <c r="HN3097" s="37"/>
      <c r="HO3097" s="37"/>
      <c r="HP3097" s="37"/>
      <c r="HQ3097" s="37"/>
      <c r="HR3097" s="37"/>
      <c r="HS3097" s="37"/>
      <c r="HT3097" s="37"/>
      <c r="HU3097" s="37"/>
      <c r="HV3097" s="37"/>
      <c r="HW3097" s="37"/>
      <c r="HX3097" s="37"/>
      <c r="HY3097" s="37"/>
      <c r="HZ3097" s="37"/>
      <c r="IA3097" s="37"/>
      <c r="IB3097" s="37"/>
      <c r="IC3097" s="37"/>
      <c r="ID3097" s="37"/>
      <c r="IE3097" s="37"/>
      <c r="IF3097" s="37"/>
      <c r="IG3097" s="37"/>
      <c r="IH3097" s="37"/>
      <c r="II3097" s="37"/>
      <c r="IJ3097" s="37"/>
      <c r="IK3097" s="37"/>
      <c r="IL3097" s="37"/>
      <c r="IM3097" s="37"/>
      <c r="IN3097" s="37"/>
      <c r="IO3097" s="37"/>
      <c r="IP3097" s="37"/>
      <c r="IQ3097" s="37"/>
      <c r="IR3097" s="37"/>
      <c r="IS3097" s="37"/>
      <c r="IT3097" s="37"/>
      <c r="IU3097" s="37"/>
      <c r="IV3097" s="37"/>
      <c r="IW3097" s="37"/>
      <c r="IX3097" s="37"/>
      <c r="IY3097" s="37"/>
      <c r="IZ3097" s="37"/>
      <c r="JA3097" s="37"/>
      <c r="JB3097" s="37"/>
      <c r="JC3097" s="37"/>
      <c r="JD3097" s="37"/>
      <c r="JE3097" s="37"/>
      <c r="JF3097" s="37"/>
      <c r="JG3097" s="37"/>
      <c r="JH3097" s="37"/>
      <c r="JI3097" s="37"/>
      <c r="JJ3097" s="37"/>
      <c r="JK3097" s="37"/>
      <c r="JL3097" s="37"/>
      <c r="JM3097" s="37"/>
      <c r="JN3097" s="37"/>
      <c r="JO3097" s="37"/>
      <c r="JP3097" s="37"/>
      <c r="JQ3097" s="37"/>
      <c r="JR3097" s="37"/>
      <c r="JS3097" s="37"/>
      <c r="JT3097" s="37"/>
      <c r="JU3097" s="37"/>
      <c r="JV3097" s="37"/>
      <c r="JW3097" s="37"/>
      <c r="JX3097" s="37"/>
      <c r="JY3097" s="37"/>
      <c r="JZ3097" s="37"/>
      <c r="KA3097" s="37"/>
      <c r="KB3097" s="37"/>
      <c r="KC3097" s="37"/>
      <c r="KD3097" s="37"/>
      <c r="KE3097" s="37"/>
      <c r="KF3097" s="37"/>
      <c r="KG3097" s="37"/>
      <c r="KH3097" s="37"/>
      <c r="KI3097" s="37"/>
      <c r="KJ3097" s="37"/>
      <c r="KK3097" s="37"/>
      <c r="KL3097" s="37"/>
      <c r="KM3097" s="37"/>
      <c r="KN3097" s="37"/>
      <c r="KO3097" s="37"/>
      <c r="KP3097" s="37"/>
      <c r="KQ3097" s="37"/>
      <c r="KR3097" s="37"/>
      <c r="KS3097" s="37"/>
      <c r="KT3097" s="37"/>
      <c r="KU3097" s="37"/>
      <c r="KV3097" s="37"/>
      <c r="KW3097" s="37"/>
      <c r="KX3097" s="37"/>
      <c r="KY3097" s="37"/>
      <c r="KZ3097" s="37"/>
      <c r="LA3097" s="37"/>
      <c r="LB3097" s="37"/>
      <c r="LC3097" s="37"/>
      <c r="LD3097" s="37"/>
      <c r="LE3097" s="37"/>
      <c r="LF3097" s="37"/>
      <c r="LG3097" s="37"/>
      <c r="LH3097" s="37"/>
      <c r="LI3097" s="37"/>
      <c r="LJ3097" s="37"/>
      <c r="LK3097" s="37"/>
      <c r="LL3097" s="37"/>
      <c r="LM3097" s="37"/>
      <c r="LN3097" s="37"/>
      <c r="LO3097" s="37"/>
      <c r="LP3097" s="37"/>
      <c r="LQ3097" s="37"/>
      <c r="LR3097" s="37"/>
      <c r="LS3097" s="37"/>
      <c r="LT3097" s="37"/>
      <c r="LU3097" s="37"/>
      <c r="LV3097" s="37"/>
      <c r="LW3097" s="37"/>
      <c r="LX3097" s="37"/>
      <c r="LY3097" s="37"/>
      <c r="LZ3097" s="37"/>
      <c r="MA3097" s="37"/>
      <c r="MB3097" s="37"/>
      <c r="MC3097" s="37"/>
      <c r="MD3097" s="37"/>
      <c r="ME3097" s="37"/>
      <c r="MF3097" s="37"/>
      <c r="MG3097" s="37"/>
      <c r="MH3097" s="37"/>
      <c r="MI3097" s="37"/>
      <c r="MJ3097" s="37"/>
      <c r="MK3097" s="37"/>
      <c r="ML3097" s="37"/>
      <c r="MM3097" s="37"/>
      <c r="MN3097" s="37"/>
      <c r="MO3097" s="37"/>
      <c r="MP3097" s="37"/>
      <c r="MQ3097" s="37"/>
      <c r="MR3097" s="37"/>
      <c r="MS3097" s="37"/>
      <c r="MT3097" s="37"/>
      <c r="MU3097" s="37"/>
      <c r="MV3097" s="37"/>
      <c r="MW3097" s="37"/>
      <c r="MX3097" s="37"/>
      <c r="MY3097" s="37"/>
      <c r="MZ3097" s="37"/>
      <c r="NA3097" s="37"/>
      <c r="NB3097" s="37"/>
      <c r="NC3097" s="37"/>
      <c r="ND3097" s="37"/>
      <c r="NE3097" s="37"/>
      <c r="NF3097" s="37"/>
      <c r="NG3097" s="37"/>
      <c r="NH3097" s="37"/>
      <c r="NI3097" s="37"/>
      <c r="NJ3097" s="37"/>
      <c r="NK3097" s="37"/>
      <c r="NL3097" s="37"/>
      <c r="NM3097" s="37"/>
      <c r="NN3097" s="37"/>
      <c r="NO3097" s="37"/>
      <c r="NP3097" s="37"/>
      <c r="NQ3097" s="37"/>
      <c r="NR3097" s="37"/>
      <c r="NS3097" s="37"/>
      <c r="NT3097" s="37"/>
      <c r="NU3097" s="37"/>
      <c r="NV3097" s="37"/>
      <c r="NW3097" s="37"/>
      <c r="NX3097" s="37"/>
      <c r="NY3097" s="37"/>
      <c r="NZ3097" s="37"/>
      <c r="OA3097" s="37"/>
      <c r="OB3097" s="37"/>
      <c r="OC3097" s="37"/>
      <c r="OD3097" s="37"/>
      <c r="OE3097" s="37"/>
      <c r="OF3097" s="37"/>
      <c r="OG3097" s="37"/>
      <c r="OH3097" s="37"/>
      <c r="OI3097" s="37"/>
      <c r="OJ3097" s="37"/>
      <c r="OK3097" s="37"/>
      <c r="OL3097" s="37"/>
      <c r="OM3097" s="37"/>
      <c r="ON3097" s="37"/>
      <c r="OO3097" s="37"/>
      <c r="OP3097" s="37"/>
      <c r="OQ3097" s="37"/>
      <c r="OR3097" s="37"/>
      <c r="OS3097" s="37"/>
      <c r="OT3097" s="37"/>
      <c r="OU3097" s="37"/>
      <c r="OV3097" s="37"/>
      <c r="OW3097" s="37"/>
      <c r="OX3097" s="37"/>
      <c r="OY3097" s="37"/>
      <c r="OZ3097" s="37"/>
      <c r="PA3097" s="37"/>
      <c r="PB3097" s="37"/>
      <c r="PC3097" s="37"/>
      <c r="PD3097" s="37"/>
      <c r="PE3097" s="37"/>
      <c r="PF3097" s="37"/>
      <c r="PG3097" s="37"/>
      <c r="PH3097" s="37"/>
      <c r="PI3097" s="37"/>
      <c r="PJ3097" s="37"/>
      <c r="PK3097" s="37"/>
      <c r="PL3097" s="37"/>
      <c r="PM3097" s="37"/>
      <c r="PN3097" s="37"/>
      <c r="PO3097" s="37"/>
      <c r="PP3097" s="37"/>
      <c r="PQ3097" s="37"/>
      <c r="PR3097" s="37"/>
      <c r="PS3097" s="37"/>
      <c r="PT3097" s="37"/>
      <c r="PU3097" s="37"/>
      <c r="PV3097" s="37"/>
      <c r="PW3097" s="37"/>
      <c r="PX3097" s="37"/>
      <c r="PY3097" s="37"/>
      <c r="PZ3097" s="37"/>
      <c r="QA3097" s="37"/>
      <c r="QB3097" s="37"/>
      <c r="QC3097" s="37"/>
      <c r="QD3097" s="37"/>
      <c r="QE3097" s="37"/>
      <c r="QF3097" s="37"/>
      <c r="QG3097" s="37"/>
      <c r="QH3097" s="37"/>
      <c r="QI3097" s="37"/>
      <c r="QJ3097" s="37"/>
      <c r="QK3097" s="37"/>
      <c r="QL3097" s="37"/>
      <c r="QM3097" s="37"/>
      <c r="QN3097" s="37"/>
      <c r="QO3097" s="37"/>
      <c r="QP3097" s="37"/>
      <c r="QQ3097" s="37"/>
      <c r="QR3097" s="37"/>
      <c r="QS3097" s="37"/>
      <c r="QT3097" s="37"/>
      <c r="QU3097" s="37"/>
      <c r="QV3097" s="37"/>
      <c r="QW3097" s="37"/>
      <c r="QX3097" s="37"/>
      <c r="QY3097" s="37"/>
      <c r="QZ3097" s="37"/>
      <c r="RA3097" s="37"/>
      <c r="RB3097" s="37"/>
      <c r="RC3097" s="37"/>
      <c r="RD3097" s="37"/>
      <c r="RE3097" s="37"/>
      <c r="RF3097" s="37"/>
      <c r="RG3097" s="37"/>
      <c r="RH3097" s="37"/>
      <c r="RI3097" s="37"/>
      <c r="RJ3097" s="37"/>
      <c r="RK3097" s="37"/>
      <c r="RL3097" s="37"/>
      <c r="RM3097" s="37"/>
      <c r="RN3097" s="37"/>
      <c r="RO3097" s="37"/>
      <c r="RP3097" s="37"/>
      <c r="RQ3097" s="37"/>
      <c r="RR3097" s="37"/>
      <c r="RS3097" s="37"/>
      <c r="RT3097" s="37"/>
      <c r="RU3097" s="37"/>
      <c r="RV3097" s="37"/>
      <c r="RW3097" s="37"/>
      <c r="RX3097" s="37"/>
      <c r="RY3097" s="37"/>
      <c r="RZ3097" s="37"/>
      <c r="SA3097" s="37"/>
      <c r="SB3097" s="37"/>
      <c r="SC3097" s="37"/>
      <c r="SD3097" s="37"/>
      <c r="SE3097" s="37"/>
      <c r="SF3097" s="37"/>
    </row>
    <row r="3098" spans="1:500">
      <c r="A3098" s="37"/>
      <c r="B3098" s="37"/>
      <c r="C3098" s="37"/>
      <c r="D3098" s="37"/>
      <c r="E3098" s="37"/>
      <c r="F3098" s="37"/>
      <c r="G3098" s="37"/>
      <c r="H3098" s="37"/>
      <c r="I3098" s="37"/>
      <c r="J3098" s="37"/>
      <c r="K3098" s="37"/>
      <c r="L3098" s="37"/>
      <c r="M3098" s="37"/>
      <c r="N3098" s="37"/>
      <c r="O3098" s="37"/>
      <c r="P3098" s="37"/>
      <c r="Q3098" s="37"/>
      <c r="R3098" s="37"/>
      <c r="S3098" s="37"/>
      <c r="T3098" s="37"/>
      <c r="U3098" s="37"/>
      <c r="V3098" s="37"/>
      <c r="W3098" s="37"/>
      <c r="X3098" s="37"/>
      <c r="Y3098" s="37"/>
      <c r="Z3098" s="37"/>
      <c r="AA3098" s="37"/>
      <c r="AB3098" s="37"/>
      <c r="AC3098" s="37"/>
      <c r="AD3098" s="37"/>
      <c r="AE3098" s="37"/>
      <c r="AF3098" s="37"/>
      <c r="AG3098" s="37"/>
      <c r="AH3098" s="37"/>
      <c r="AI3098" s="37"/>
      <c r="AJ3098" s="37"/>
      <c r="AK3098" s="37"/>
      <c r="AL3098" s="37"/>
      <c r="AM3098" s="37"/>
      <c r="AN3098" s="37"/>
      <c r="AO3098" s="37"/>
      <c r="AP3098" s="37"/>
      <c r="AQ3098" s="37"/>
      <c r="AR3098" s="37"/>
      <c r="AS3098" s="37"/>
      <c r="AT3098" s="37"/>
      <c r="AU3098" s="37"/>
      <c r="AV3098" s="37"/>
      <c r="AW3098" s="37"/>
      <c r="AX3098" s="37"/>
      <c r="AY3098" s="37"/>
      <c r="AZ3098" s="37"/>
      <c r="BA3098" s="37"/>
      <c r="BB3098" s="37"/>
      <c r="BC3098" s="37"/>
      <c r="BD3098" s="37"/>
      <c r="BE3098" s="37"/>
      <c r="BF3098" s="37"/>
      <c r="BG3098" s="37"/>
      <c r="BH3098" s="37"/>
      <c r="BI3098" s="37"/>
      <c r="BJ3098" s="37"/>
      <c r="BK3098" s="37"/>
      <c r="BL3098" s="37"/>
      <c r="BM3098" s="37"/>
      <c r="BN3098" s="37"/>
      <c r="BO3098" s="37"/>
      <c r="BP3098" s="37"/>
      <c r="BQ3098" s="37"/>
      <c r="BR3098" s="37"/>
      <c r="BS3098" s="37"/>
      <c r="BT3098" s="37"/>
      <c r="BU3098" s="37"/>
      <c r="BV3098" s="37"/>
      <c r="BW3098" s="37"/>
      <c r="BX3098" s="37"/>
      <c r="BY3098" s="37"/>
      <c r="BZ3098" s="37"/>
      <c r="CA3098" s="37"/>
      <c r="CB3098" s="37"/>
      <c r="CC3098" s="37"/>
      <c r="CD3098" s="37"/>
      <c r="CE3098" s="37"/>
      <c r="CF3098" s="37"/>
      <c r="CG3098" s="37"/>
      <c r="CH3098" s="37"/>
      <c r="CI3098" s="37"/>
      <c r="CJ3098" s="37"/>
      <c r="CK3098" s="37"/>
      <c r="CL3098" s="37"/>
      <c r="CM3098" s="37"/>
      <c r="CN3098" s="37"/>
      <c r="CO3098" s="37"/>
      <c r="CP3098" s="37"/>
      <c r="CQ3098" s="37"/>
      <c r="CR3098" s="37"/>
      <c r="CS3098" s="37"/>
      <c r="CT3098" s="37"/>
      <c r="CU3098" s="37"/>
      <c r="CV3098" s="37"/>
      <c r="CW3098" s="37"/>
      <c r="CX3098" s="37"/>
      <c r="CY3098" s="37"/>
      <c r="CZ3098" s="37"/>
      <c r="DA3098" s="37"/>
      <c r="DB3098" s="37"/>
      <c r="DC3098" s="37"/>
      <c r="DD3098" s="37"/>
      <c r="DE3098" s="37"/>
      <c r="DF3098" s="37"/>
      <c r="DG3098" s="37"/>
      <c r="DH3098" s="37"/>
      <c r="DI3098" s="37"/>
      <c r="DJ3098" s="37"/>
      <c r="DK3098" s="37"/>
      <c r="DL3098" s="37"/>
      <c r="DM3098" s="37"/>
      <c r="DN3098" s="37"/>
      <c r="DO3098" s="37"/>
      <c r="DP3098" s="37"/>
      <c r="DQ3098" s="37"/>
      <c r="DR3098" s="37"/>
      <c r="DS3098" s="37"/>
      <c r="DT3098" s="37"/>
      <c r="DU3098" s="37"/>
      <c r="DV3098" s="37"/>
      <c r="DW3098" s="37"/>
      <c r="DX3098" s="37"/>
      <c r="DY3098" s="37"/>
      <c r="DZ3098" s="37"/>
      <c r="EA3098" s="37"/>
      <c r="EB3098" s="37"/>
      <c r="EC3098" s="37"/>
      <c r="ED3098" s="37"/>
      <c r="EE3098" s="37"/>
      <c r="EF3098" s="37"/>
      <c r="EG3098" s="37"/>
      <c r="EH3098" s="37"/>
      <c r="EI3098" s="37"/>
      <c r="EJ3098" s="37"/>
      <c r="EK3098" s="37"/>
      <c r="EL3098" s="37"/>
      <c r="EM3098" s="37"/>
      <c r="EN3098" s="37"/>
      <c r="EO3098" s="37"/>
      <c r="EP3098" s="37"/>
      <c r="EQ3098" s="37"/>
      <c r="ER3098" s="37"/>
      <c r="ES3098" s="37"/>
      <c r="ET3098" s="37"/>
      <c r="EU3098" s="37"/>
      <c r="EV3098" s="37"/>
      <c r="EW3098" s="37"/>
      <c r="EX3098" s="37"/>
      <c r="EY3098" s="37"/>
      <c r="EZ3098" s="37"/>
      <c r="FA3098" s="37"/>
      <c r="FB3098" s="37"/>
      <c r="FC3098" s="37"/>
      <c r="FD3098" s="37"/>
      <c r="FE3098" s="37"/>
      <c r="FF3098" s="37"/>
      <c r="FG3098" s="37"/>
      <c r="FH3098" s="37"/>
      <c r="FI3098" s="37"/>
      <c r="FJ3098" s="37"/>
      <c r="FK3098" s="37"/>
      <c r="FL3098" s="37"/>
      <c r="FM3098" s="37"/>
      <c r="FN3098" s="37"/>
      <c r="FO3098" s="37"/>
      <c r="FP3098" s="37"/>
      <c r="FQ3098" s="37"/>
      <c r="FR3098" s="37"/>
      <c r="FS3098" s="37"/>
      <c r="FT3098" s="37"/>
      <c r="FU3098" s="37"/>
      <c r="FV3098" s="37"/>
      <c r="FW3098" s="37"/>
      <c r="FX3098" s="37"/>
      <c r="FY3098" s="37"/>
      <c r="FZ3098" s="37"/>
      <c r="GA3098" s="37"/>
      <c r="GB3098" s="37"/>
      <c r="GC3098" s="37"/>
      <c r="GD3098" s="37"/>
      <c r="GE3098" s="37"/>
      <c r="GF3098" s="37"/>
      <c r="GG3098" s="37"/>
      <c r="GH3098" s="37"/>
      <c r="GI3098" s="37"/>
      <c r="GJ3098" s="37"/>
      <c r="GK3098" s="37"/>
      <c r="GL3098" s="37"/>
      <c r="GM3098" s="37"/>
      <c r="GN3098" s="37"/>
      <c r="GO3098" s="37"/>
      <c r="GP3098" s="37"/>
      <c r="GQ3098" s="37"/>
      <c r="GR3098" s="37"/>
      <c r="GS3098" s="37"/>
      <c r="GT3098" s="37"/>
      <c r="GU3098" s="37"/>
      <c r="GV3098" s="37"/>
      <c r="GW3098" s="37"/>
      <c r="GX3098" s="37"/>
      <c r="GY3098" s="37"/>
      <c r="GZ3098" s="37"/>
      <c r="HA3098" s="37"/>
      <c r="HB3098" s="37"/>
      <c r="HC3098" s="37"/>
      <c r="HD3098" s="37"/>
      <c r="HE3098" s="37"/>
      <c r="HF3098" s="37"/>
      <c r="HG3098" s="37"/>
      <c r="HH3098" s="37"/>
      <c r="HI3098" s="37"/>
      <c r="HJ3098" s="37"/>
      <c r="HK3098" s="37"/>
      <c r="HL3098" s="37"/>
      <c r="HM3098" s="37"/>
      <c r="HN3098" s="37"/>
      <c r="HO3098" s="37"/>
      <c r="HP3098" s="37"/>
      <c r="HQ3098" s="37"/>
      <c r="HR3098" s="37"/>
      <c r="HS3098" s="37"/>
      <c r="HT3098" s="37"/>
      <c r="HU3098" s="37"/>
      <c r="HV3098" s="37"/>
      <c r="HW3098" s="37"/>
      <c r="HX3098" s="37"/>
      <c r="HY3098" s="37"/>
      <c r="HZ3098" s="37"/>
      <c r="IA3098" s="37"/>
      <c r="IB3098" s="37"/>
      <c r="IC3098" s="37"/>
      <c r="ID3098" s="37"/>
      <c r="IE3098" s="37"/>
      <c r="IF3098" s="37"/>
      <c r="IG3098" s="37"/>
      <c r="IH3098" s="37"/>
      <c r="II3098" s="37"/>
      <c r="IJ3098" s="37"/>
      <c r="IK3098" s="37"/>
      <c r="IL3098" s="37"/>
      <c r="IM3098" s="37"/>
      <c r="IN3098" s="37"/>
      <c r="IO3098" s="37"/>
      <c r="IP3098" s="37"/>
      <c r="IQ3098" s="37"/>
      <c r="IR3098" s="37"/>
      <c r="IS3098" s="37"/>
      <c r="IT3098" s="37"/>
      <c r="IU3098" s="37"/>
      <c r="IV3098" s="37"/>
      <c r="IW3098" s="37"/>
      <c r="IX3098" s="37"/>
      <c r="IY3098" s="37"/>
      <c r="IZ3098" s="37"/>
      <c r="JA3098" s="37"/>
      <c r="JB3098" s="37"/>
      <c r="JC3098" s="37"/>
      <c r="JD3098" s="37"/>
      <c r="JE3098" s="37"/>
      <c r="JF3098" s="37"/>
      <c r="JG3098" s="37"/>
      <c r="JH3098" s="37"/>
      <c r="JI3098" s="37"/>
      <c r="JJ3098" s="37"/>
      <c r="JK3098" s="37"/>
      <c r="JL3098" s="37"/>
      <c r="JM3098" s="37"/>
      <c r="JN3098" s="37"/>
      <c r="JO3098" s="37"/>
      <c r="JP3098" s="37"/>
      <c r="JQ3098" s="37"/>
      <c r="JR3098" s="37"/>
      <c r="JS3098" s="37"/>
      <c r="JT3098" s="37"/>
      <c r="JU3098" s="37"/>
      <c r="JV3098" s="37"/>
      <c r="JW3098" s="37"/>
      <c r="JX3098" s="37"/>
      <c r="JY3098" s="37"/>
      <c r="JZ3098" s="37"/>
      <c r="KA3098" s="37"/>
      <c r="KB3098" s="37"/>
      <c r="KC3098" s="37"/>
      <c r="KD3098" s="37"/>
      <c r="KE3098" s="37"/>
      <c r="KF3098" s="37"/>
      <c r="KG3098" s="37"/>
      <c r="KH3098" s="37"/>
      <c r="KI3098" s="37"/>
      <c r="KJ3098" s="37"/>
      <c r="KK3098" s="37"/>
      <c r="KL3098" s="37"/>
      <c r="KM3098" s="37"/>
      <c r="KN3098" s="37"/>
      <c r="KO3098" s="37"/>
      <c r="KP3098" s="37"/>
      <c r="KQ3098" s="37"/>
      <c r="KR3098" s="37"/>
      <c r="KS3098" s="37"/>
      <c r="KT3098" s="37"/>
      <c r="KU3098" s="37"/>
      <c r="KV3098" s="37"/>
      <c r="KW3098" s="37"/>
      <c r="KX3098" s="37"/>
      <c r="KY3098" s="37"/>
      <c r="KZ3098" s="37"/>
      <c r="LA3098" s="37"/>
      <c r="LB3098" s="37"/>
      <c r="LC3098" s="37"/>
      <c r="LD3098" s="37"/>
      <c r="LE3098" s="37"/>
      <c r="LF3098" s="37"/>
      <c r="LG3098" s="37"/>
      <c r="LH3098" s="37"/>
      <c r="LI3098" s="37"/>
      <c r="LJ3098" s="37"/>
      <c r="LK3098" s="37"/>
      <c r="LL3098" s="37"/>
      <c r="LM3098" s="37"/>
      <c r="LN3098" s="37"/>
      <c r="LO3098" s="37"/>
      <c r="LP3098" s="37"/>
      <c r="LQ3098" s="37"/>
      <c r="LR3098" s="37"/>
      <c r="LS3098" s="37"/>
      <c r="LT3098" s="37"/>
      <c r="LU3098" s="37"/>
      <c r="LV3098" s="37"/>
      <c r="LW3098" s="37"/>
      <c r="LX3098" s="37"/>
      <c r="LY3098" s="37"/>
      <c r="LZ3098" s="37"/>
      <c r="MA3098" s="37"/>
      <c r="MB3098" s="37"/>
      <c r="MC3098" s="37"/>
      <c r="MD3098" s="37"/>
      <c r="ME3098" s="37"/>
      <c r="MF3098" s="37"/>
      <c r="MG3098" s="37"/>
      <c r="MH3098" s="37"/>
      <c r="MI3098" s="37"/>
      <c r="MJ3098" s="37"/>
      <c r="MK3098" s="37"/>
      <c r="ML3098" s="37"/>
      <c r="MM3098" s="37"/>
      <c r="MN3098" s="37"/>
      <c r="MO3098" s="37"/>
      <c r="MP3098" s="37"/>
      <c r="MQ3098" s="37"/>
      <c r="MR3098" s="37"/>
      <c r="MS3098" s="37"/>
      <c r="MT3098" s="37"/>
      <c r="MU3098" s="37"/>
      <c r="MV3098" s="37"/>
      <c r="MW3098" s="37"/>
      <c r="MX3098" s="37"/>
      <c r="MY3098" s="37"/>
      <c r="MZ3098" s="37"/>
      <c r="NA3098" s="37"/>
      <c r="NB3098" s="37"/>
      <c r="NC3098" s="37"/>
      <c r="ND3098" s="37"/>
      <c r="NE3098" s="37"/>
      <c r="NF3098" s="37"/>
      <c r="NG3098" s="37"/>
      <c r="NH3098" s="37"/>
      <c r="NI3098" s="37"/>
      <c r="NJ3098" s="37"/>
      <c r="NK3098" s="37"/>
      <c r="NL3098" s="37"/>
      <c r="NM3098" s="37"/>
      <c r="NN3098" s="37"/>
      <c r="NO3098" s="37"/>
      <c r="NP3098" s="37"/>
      <c r="NQ3098" s="37"/>
      <c r="NR3098" s="37"/>
      <c r="NS3098" s="37"/>
      <c r="NT3098" s="37"/>
      <c r="NU3098" s="37"/>
      <c r="NV3098" s="37"/>
      <c r="NW3098" s="37"/>
      <c r="NX3098" s="37"/>
      <c r="NY3098" s="37"/>
      <c r="NZ3098" s="37"/>
      <c r="OA3098" s="37"/>
      <c r="OB3098" s="37"/>
      <c r="OC3098" s="37"/>
      <c r="OD3098" s="37"/>
      <c r="OE3098" s="37"/>
      <c r="OF3098" s="37"/>
      <c r="OG3098" s="37"/>
      <c r="OH3098" s="37"/>
      <c r="OI3098" s="37"/>
      <c r="OJ3098" s="37"/>
      <c r="OK3098" s="37"/>
      <c r="OL3098" s="37"/>
      <c r="OM3098" s="37"/>
      <c r="ON3098" s="37"/>
      <c r="OO3098" s="37"/>
      <c r="OP3098" s="37"/>
      <c r="OQ3098" s="37"/>
      <c r="OR3098" s="37"/>
      <c r="OS3098" s="37"/>
      <c r="OT3098" s="37"/>
      <c r="OU3098" s="37"/>
      <c r="OV3098" s="37"/>
      <c r="OW3098" s="37"/>
      <c r="OX3098" s="37"/>
      <c r="OY3098" s="37"/>
      <c r="OZ3098" s="37"/>
      <c r="PA3098" s="37"/>
      <c r="PB3098" s="37"/>
      <c r="PC3098" s="37"/>
      <c r="PD3098" s="37"/>
      <c r="PE3098" s="37"/>
      <c r="PF3098" s="37"/>
      <c r="PG3098" s="37"/>
      <c r="PH3098" s="37"/>
      <c r="PI3098" s="37"/>
      <c r="PJ3098" s="37"/>
      <c r="PK3098" s="37"/>
      <c r="PL3098" s="37"/>
      <c r="PM3098" s="37"/>
      <c r="PN3098" s="37"/>
      <c r="PO3098" s="37"/>
      <c r="PP3098" s="37"/>
      <c r="PQ3098" s="37"/>
      <c r="PR3098" s="37"/>
      <c r="PS3098" s="37"/>
      <c r="PT3098" s="37"/>
      <c r="PU3098" s="37"/>
      <c r="PV3098" s="37"/>
      <c r="PW3098" s="37"/>
      <c r="PX3098" s="37"/>
      <c r="PY3098" s="37"/>
      <c r="PZ3098" s="37"/>
      <c r="QA3098" s="37"/>
      <c r="QB3098" s="37"/>
      <c r="QC3098" s="37"/>
      <c r="QD3098" s="37"/>
      <c r="QE3098" s="37"/>
      <c r="QF3098" s="37"/>
      <c r="QG3098" s="37"/>
      <c r="QH3098" s="37"/>
      <c r="QI3098" s="37"/>
      <c r="QJ3098" s="37"/>
      <c r="QK3098" s="37"/>
      <c r="QL3098" s="37"/>
      <c r="QM3098" s="37"/>
      <c r="QN3098" s="37"/>
      <c r="QO3098" s="37"/>
      <c r="QP3098" s="37"/>
      <c r="QQ3098" s="37"/>
      <c r="QR3098" s="37"/>
      <c r="QS3098" s="37"/>
      <c r="QT3098" s="37"/>
      <c r="QU3098" s="37"/>
      <c r="QV3098" s="37"/>
      <c r="QW3098" s="37"/>
      <c r="QX3098" s="37"/>
      <c r="QY3098" s="37"/>
      <c r="QZ3098" s="37"/>
      <c r="RA3098" s="37"/>
      <c r="RB3098" s="37"/>
      <c r="RC3098" s="37"/>
      <c r="RD3098" s="37"/>
      <c r="RE3098" s="37"/>
      <c r="RF3098" s="37"/>
      <c r="RG3098" s="37"/>
      <c r="RH3098" s="37"/>
      <c r="RI3098" s="37"/>
      <c r="RJ3098" s="37"/>
      <c r="RK3098" s="37"/>
      <c r="RL3098" s="37"/>
      <c r="RM3098" s="37"/>
      <c r="RN3098" s="37"/>
      <c r="RO3098" s="37"/>
      <c r="RP3098" s="37"/>
      <c r="RQ3098" s="37"/>
      <c r="RR3098" s="37"/>
      <c r="RS3098" s="37"/>
      <c r="RT3098" s="37"/>
      <c r="RU3098" s="37"/>
      <c r="RV3098" s="37"/>
      <c r="RW3098" s="37"/>
      <c r="RX3098" s="37"/>
      <c r="RY3098" s="37"/>
      <c r="RZ3098" s="37"/>
      <c r="SA3098" s="37"/>
      <c r="SB3098" s="37"/>
      <c r="SC3098" s="37"/>
      <c r="SD3098" s="37"/>
      <c r="SE3098" s="37"/>
      <c r="SF3098" s="37"/>
    </row>
    <row r="3099" spans="1:500">
      <c r="A3099" s="37"/>
      <c r="B3099" s="37"/>
      <c r="C3099" s="37"/>
      <c r="D3099" s="37"/>
      <c r="E3099" s="37"/>
      <c r="F3099" s="37"/>
      <c r="G3099" s="37"/>
      <c r="H3099" s="37"/>
      <c r="I3099" s="37"/>
      <c r="J3099" s="37"/>
      <c r="K3099" s="37"/>
      <c r="L3099" s="37"/>
      <c r="M3099" s="37"/>
      <c r="N3099" s="37"/>
      <c r="O3099" s="37"/>
      <c r="P3099" s="37"/>
      <c r="Q3099" s="37"/>
      <c r="R3099" s="37"/>
      <c r="S3099" s="37"/>
      <c r="T3099" s="37"/>
      <c r="U3099" s="37"/>
      <c r="V3099" s="37"/>
      <c r="W3099" s="37"/>
      <c r="X3099" s="37"/>
      <c r="Y3099" s="37"/>
      <c r="Z3099" s="37"/>
      <c r="AA3099" s="37"/>
      <c r="AB3099" s="37"/>
      <c r="AC3099" s="37"/>
      <c r="AD3099" s="37"/>
      <c r="AE3099" s="37"/>
      <c r="AF3099" s="37"/>
      <c r="AG3099" s="37"/>
      <c r="AH3099" s="37"/>
      <c r="AI3099" s="37"/>
      <c r="AJ3099" s="37"/>
      <c r="AK3099" s="37"/>
      <c r="AL3099" s="37"/>
      <c r="AM3099" s="37"/>
      <c r="AN3099" s="37"/>
      <c r="AO3099" s="37"/>
      <c r="AP3099" s="37"/>
      <c r="AQ3099" s="37"/>
      <c r="AR3099" s="37"/>
      <c r="AS3099" s="37"/>
      <c r="AT3099" s="37"/>
      <c r="AU3099" s="37"/>
      <c r="AV3099" s="37"/>
      <c r="AW3099" s="37"/>
      <c r="AX3099" s="37"/>
      <c r="AY3099" s="37"/>
      <c r="AZ3099" s="37"/>
      <c r="BA3099" s="37"/>
      <c r="BB3099" s="37"/>
      <c r="BC3099" s="37"/>
      <c r="BD3099" s="37"/>
      <c r="BE3099" s="37"/>
      <c r="BF3099" s="37"/>
      <c r="BG3099" s="37"/>
      <c r="BH3099" s="37"/>
      <c r="BI3099" s="37"/>
      <c r="BJ3099" s="37"/>
      <c r="BK3099" s="37"/>
      <c r="BL3099" s="37"/>
      <c r="BM3099" s="37"/>
      <c r="BN3099" s="37"/>
      <c r="BO3099" s="37"/>
      <c r="BP3099" s="37"/>
      <c r="BQ3099" s="37"/>
      <c r="BR3099" s="37"/>
      <c r="BS3099" s="37"/>
      <c r="BT3099" s="37"/>
      <c r="BU3099" s="37"/>
      <c r="BV3099" s="37"/>
      <c r="BW3099" s="37"/>
      <c r="BX3099" s="37"/>
      <c r="BY3099" s="37"/>
      <c r="BZ3099" s="37"/>
      <c r="CA3099" s="37"/>
      <c r="CB3099" s="37"/>
      <c r="CC3099" s="37"/>
      <c r="CD3099" s="37"/>
      <c r="CE3099" s="37"/>
      <c r="CF3099" s="37"/>
      <c r="CG3099" s="37"/>
      <c r="CH3099" s="37"/>
      <c r="CI3099" s="37"/>
      <c r="CJ3099" s="37"/>
      <c r="CK3099" s="37"/>
      <c r="CL3099" s="37"/>
      <c r="CM3099" s="37"/>
      <c r="CN3099" s="37"/>
      <c r="CO3099" s="37"/>
      <c r="CP3099" s="37"/>
      <c r="CQ3099" s="37"/>
      <c r="CR3099" s="37"/>
      <c r="CS3099" s="37"/>
      <c r="CT3099" s="37"/>
      <c r="CU3099" s="37"/>
      <c r="CV3099" s="37"/>
      <c r="CW3099" s="37"/>
      <c r="CX3099" s="37"/>
      <c r="CY3099" s="37"/>
      <c r="CZ3099" s="37"/>
      <c r="DA3099" s="37"/>
      <c r="DB3099" s="37"/>
      <c r="DC3099" s="37"/>
      <c r="DD3099" s="37"/>
      <c r="DE3099" s="37"/>
      <c r="DF3099" s="37"/>
      <c r="DG3099" s="37"/>
      <c r="DH3099" s="37"/>
      <c r="DI3099" s="37"/>
      <c r="DJ3099" s="37"/>
      <c r="DK3099" s="37"/>
      <c r="DL3099" s="37"/>
      <c r="DM3099" s="37"/>
      <c r="DN3099" s="37"/>
      <c r="DO3099" s="37"/>
      <c r="DP3099" s="37"/>
      <c r="DQ3099" s="37"/>
      <c r="DR3099" s="37"/>
      <c r="DS3099" s="37"/>
      <c r="DT3099" s="37"/>
      <c r="DU3099" s="37"/>
      <c r="DV3099" s="37"/>
      <c r="DW3099" s="37"/>
      <c r="DX3099" s="37"/>
      <c r="DY3099" s="37"/>
      <c r="DZ3099" s="37"/>
      <c r="EA3099" s="37"/>
      <c r="EB3099" s="37"/>
      <c r="EC3099" s="37"/>
      <c r="ED3099" s="37"/>
      <c r="EE3099" s="37"/>
      <c r="EF3099" s="37"/>
      <c r="EG3099" s="37"/>
      <c r="EH3099" s="37"/>
      <c r="EI3099" s="37"/>
      <c r="EJ3099" s="37"/>
      <c r="EK3099" s="37"/>
      <c r="EL3099" s="37"/>
      <c r="EM3099" s="37"/>
      <c r="EN3099" s="37"/>
      <c r="EO3099" s="37"/>
      <c r="EP3099" s="37"/>
      <c r="EQ3099" s="37"/>
      <c r="ER3099" s="37"/>
      <c r="ES3099" s="37"/>
      <c r="ET3099" s="37"/>
      <c r="EU3099" s="37"/>
      <c r="EV3099" s="37"/>
      <c r="EW3099" s="37"/>
      <c r="EX3099" s="37"/>
      <c r="EY3099" s="37"/>
      <c r="EZ3099" s="37"/>
      <c r="FA3099" s="37"/>
      <c r="FB3099" s="37"/>
      <c r="FC3099" s="37"/>
      <c r="FD3099" s="37"/>
      <c r="FE3099" s="37"/>
      <c r="FF3099" s="37"/>
      <c r="FG3099" s="37"/>
      <c r="FH3099" s="37"/>
      <c r="FI3099" s="37"/>
      <c r="FJ3099" s="37"/>
      <c r="FK3099" s="37"/>
      <c r="FL3099" s="37"/>
      <c r="FM3099" s="37"/>
      <c r="FN3099" s="37"/>
      <c r="FO3099" s="37"/>
      <c r="FP3099" s="37"/>
      <c r="FQ3099" s="37"/>
      <c r="FR3099" s="37"/>
      <c r="FS3099" s="37"/>
      <c r="FT3099" s="37"/>
      <c r="FU3099" s="37"/>
      <c r="FV3099" s="37"/>
      <c r="FW3099" s="37"/>
      <c r="FX3099" s="37"/>
      <c r="FY3099" s="37"/>
      <c r="FZ3099" s="37"/>
      <c r="GA3099" s="37"/>
      <c r="GB3099" s="37"/>
      <c r="GC3099" s="37"/>
      <c r="GD3099" s="37"/>
      <c r="GE3099" s="37"/>
      <c r="GF3099" s="37"/>
      <c r="GG3099" s="37"/>
      <c r="GH3099" s="37"/>
      <c r="GI3099" s="37"/>
      <c r="GJ3099" s="37"/>
      <c r="GK3099" s="37"/>
      <c r="GL3099" s="37"/>
      <c r="GM3099" s="37"/>
      <c r="GN3099" s="37"/>
      <c r="GO3099" s="37"/>
      <c r="GP3099" s="37"/>
      <c r="GQ3099" s="37"/>
      <c r="GR3099" s="37"/>
      <c r="GS3099" s="37"/>
      <c r="GT3099" s="37"/>
      <c r="GU3099" s="37"/>
      <c r="GV3099" s="37"/>
      <c r="GW3099" s="37"/>
      <c r="GX3099" s="37"/>
      <c r="GY3099" s="37"/>
      <c r="GZ3099" s="37"/>
      <c r="HA3099" s="37"/>
      <c r="HB3099" s="37"/>
      <c r="HC3099" s="37"/>
      <c r="HD3099" s="37"/>
      <c r="HE3099" s="37"/>
      <c r="HF3099" s="37"/>
      <c r="HG3099" s="37"/>
      <c r="HH3099" s="37"/>
      <c r="HI3099" s="37"/>
      <c r="HJ3099" s="37"/>
      <c r="HK3099" s="37"/>
      <c r="HL3099" s="37"/>
      <c r="HM3099" s="37"/>
      <c r="HN3099" s="37"/>
      <c r="HO3099" s="37"/>
      <c r="HP3099" s="37"/>
      <c r="HQ3099" s="37"/>
      <c r="HR3099" s="37"/>
      <c r="HS3099" s="37"/>
      <c r="HT3099" s="37"/>
      <c r="HU3099" s="37"/>
      <c r="HV3099" s="37"/>
      <c r="HW3099" s="37"/>
      <c r="HX3099" s="37"/>
      <c r="HY3099" s="37"/>
      <c r="HZ3099" s="37"/>
      <c r="IA3099" s="37"/>
      <c r="IB3099" s="37"/>
      <c r="IC3099" s="37"/>
      <c r="ID3099" s="37"/>
      <c r="IE3099" s="37"/>
      <c r="IF3099" s="37"/>
      <c r="IG3099" s="37"/>
      <c r="IH3099" s="37"/>
      <c r="II3099" s="37"/>
      <c r="IJ3099" s="37"/>
      <c r="IK3099" s="37"/>
      <c r="IL3099" s="37"/>
      <c r="IM3099" s="37"/>
      <c r="IN3099" s="37"/>
      <c r="IO3099" s="37"/>
      <c r="IP3099" s="37"/>
      <c r="IQ3099" s="37"/>
      <c r="IR3099" s="37"/>
      <c r="IS3099" s="37"/>
      <c r="IT3099" s="37"/>
      <c r="IU3099" s="37"/>
      <c r="IV3099" s="37"/>
      <c r="IW3099" s="37"/>
      <c r="IX3099" s="37"/>
      <c r="IY3099" s="37"/>
      <c r="IZ3099" s="37"/>
      <c r="JA3099" s="37"/>
      <c r="JB3099" s="37"/>
      <c r="JC3099" s="37"/>
      <c r="JD3099" s="37"/>
      <c r="JE3099" s="37"/>
      <c r="JF3099" s="37"/>
      <c r="JG3099" s="37"/>
      <c r="JH3099" s="37"/>
      <c r="JI3099" s="37"/>
      <c r="JJ3099" s="37"/>
      <c r="JK3099" s="37"/>
      <c r="JL3099" s="37"/>
      <c r="JM3099" s="37"/>
      <c r="JN3099" s="37"/>
      <c r="JO3099" s="37"/>
      <c r="JP3099" s="37"/>
      <c r="JQ3099" s="37"/>
      <c r="JR3099" s="37"/>
      <c r="JS3099" s="37"/>
      <c r="JT3099" s="37"/>
      <c r="JU3099" s="37"/>
      <c r="JV3099" s="37"/>
      <c r="JW3099" s="37"/>
      <c r="JX3099" s="37"/>
      <c r="JY3099" s="37"/>
      <c r="JZ3099" s="37"/>
      <c r="KA3099" s="37"/>
      <c r="KB3099" s="37"/>
      <c r="KC3099" s="37"/>
      <c r="KD3099" s="37"/>
      <c r="KE3099" s="37"/>
      <c r="KF3099" s="37"/>
      <c r="KG3099" s="37"/>
      <c r="KH3099" s="37"/>
      <c r="KI3099" s="37"/>
      <c r="KJ3099" s="37"/>
      <c r="KK3099" s="37"/>
      <c r="KL3099" s="37"/>
      <c r="KM3099" s="37"/>
      <c r="KN3099" s="37"/>
      <c r="KO3099" s="37"/>
      <c r="KP3099" s="37"/>
      <c r="KQ3099" s="37"/>
      <c r="KR3099" s="37"/>
      <c r="KS3099" s="37"/>
      <c r="KT3099" s="37"/>
      <c r="KU3099" s="37"/>
      <c r="KV3099" s="37"/>
      <c r="KW3099" s="37"/>
      <c r="KX3099" s="37"/>
      <c r="KY3099" s="37"/>
      <c r="KZ3099" s="37"/>
      <c r="LA3099" s="37"/>
      <c r="LB3099" s="37"/>
      <c r="LC3099" s="37"/>
      <c r="LD3099" s="37"/>
      <c r="LE3099" s="37"/>
      <c r="LF3099" s="37"/>
      <c r="LG3099" s="37"/>
      <c r="LH3099" s="37"/>
      <c r="LI3099" s="37"/>
      <c r="LJ3099" s="37"/>
      <c r="LK3099" s="37"/>
      <c r="LL3099" s="37"/>
      <c r="LM3099" s="37"/>
      <c r="LN3099" s="37"/>
      <c r="LO3099" s="37"/>
      <c r="LP3099" s="37"/>
      <c r="LQ3099" s="37"/>
      <c r="LR3099" s="37"/>
      <c r="LS3099" s="37"/>
      <c r="LT3099" s="37"/>
      <c r="LU3099" s="37"/>
      <c r="LV3099" s="37"/>
      <c r="LW3099" s="37"/>
      <c r="LX3099" s="37"/>
      <c r="LY3099" s="37"/>
      <c r="LZ3099" s="37"/>
      <c r="MA3099" s="37"/>
      <c r="MB3099" s="37"/>
      <c r="MC3099" s="37"/>
      <c r="MD3099" s="37"/>
      <c r="ME3099" s="37"/>
      <c r="MF3099" s="37"/>
      <c r="MG3099" s="37"/>
      <c r="MH3099" s="37"/>
      <c r="MI3099" s="37"/>
      <c r="MJ3099" s="37"/>
      <c r="MK3099" s="37"/>
      <c r="ML3099" s="37"/>
      <c r="MM3099" s="37"/>
      <c r="MN3099" s="37"/>
      <c r="MO3099" s="37"/>
      <c r="MP3099" s="37"/>
      <c r="MQ3099" s="37"/>
      <c r="MR3099" s="37"/>
      <c r="MS3099" s="37"/>
      <c r="MT3099" s="37"/>
      <c r="MU3099" s="37"/>
      <c r="MV3099" s="37"/>
      <c r="MW3099" s="37"/>
      <c r="MX3099" s="37"/>
      <c r="MY3099" s="37"/>
      <c r="MZ3099" s="37"/>
      <c r="NA3099" s="37"/>
      <c r="NB3099" s="37"/>
      <c r="NC3099" s="37"/>
      <c r="ND3099" s="37"/>
      <c r="NE3099" s="37"/>
      <c r="NF3099" s="37"/>
      <c r="NG3099" s="37"/>
      <c r="NH3099" s="37"/>
      <c r="NI3099" s="37"/>
      <c r="NJ3099" s="37"/>
      <c r="NK3099" s="37"/>
      <c r="NL3099" s="37"/>
      <c r="NM3099" s="37"/>
      <c r="NN3099" s="37"/>
      <c r="NO3099" s="37"/>
      <c r="NP3099" s="37"/>
      <c r="NQ3099" s="37"/>
      <c r="NR3099" s="37"/>
      <c r="NS3099" s="37"/>
      <c r="NT3099" s="37"/>
      <c r="NU3099" s="37"/>
      <c r="NV3099" s="37"/>
      <c r="NW3099" s="37"/>
      <c r="NX3099" s="37"/>
      <c r="NY3099" s="37"/>
      <c r="NZ3099" s="37"/>
      <c r="OA3099" s="37"/>
      <c r="OB3099" s="37"/>
      <c r="OC3099" s="37"/>
      <c r="OD3099" s="37"/>
      <c r="OE3099" s="37"/>
      <c r="OF3099" s="37"/>
      <c r="OG3099" s="37"/>
      <c r="OH3099" s="37"/>
      <c r="OI3099" s="37"/>
      <c r="OJ3099" s="37"/>
      <c r="OK3099" s="37"/>
      <c r="OL3099" s="37"/>
      <c r="OM3099" s="37"/>
      <c r="ON3099" s="37"/>
      <c r="OO3099" s="37"/>
      <c r="OP3099" s="37"/>
      <c r="OQ3099" s="37"/>
      <c r="OR3099" s="37"/>
      <c r="OS3099" s="37"/>
      <c r="OT3099" s="37"/>
      <c r="OU3099" s="37"/>
      <c r="OV3099" s="37"/>
      <c r="OW3099" s="37"/>
      <c r="OX3099" s="37"/>
      <c r="OY3099" s="37"/>
      <c r="OZ3099" s="37"/>
      <c r="PA3099" s="37"/>
      <c r="PB3099" s="37"/>
      <c r="PC3099" s="37"/>
      <c r="PD3099" s="37"/>
      <c r="PE3099" s="37"/>
      <c r="PF3099" s="37"/>
      <c r="PG3099" s="37"/>
      <c r="PH3099" s="37"/>
      <c r="PI3099" s="37"/>
      <c r="PJ3099" s="37"/>
      <c r="PK3099" s="37"/>
      <c r="PL3099" s="37"/>
      <c r="PM3099" s="37"/>
      <c r="PN3099" s="37"/>
      <c r="PO3099" s="37"/>
      <c r="PP3099" s="37"/>
      <c r="PQ3099" s="37"/>
      <c r="PR3099" s="37"/>
      <c r="PS3099" s="37"/>
      <c r="PT3099" s="37"/>
      <c r="PU3099" s="37"/>
      <c r="PV3099" s="37"/>
      <c r="PW3099" s="37"/>
      <c r="PX3099" s="37"/>
      <c r="PY3099" s="37"/>
      <c r="PZ3099" s="37"/>
      <c r="QA3099" s="37"/>
      <c r="QB3099" s="37"/>
      <c r="QC3099" s="37"/>
      <c r="QD3099" s="37"/>
      <c r="QE3099" s="37"/>
      <c r="QF3099" s="37"/>
      <c r="QG3099" s="37"/>
      <c r="QH3099" s="37"/>
      <c r="QI3099" s="37"/>
      <c r="QJ3099" s="37"/>
      <c r="QK3099" s="37"/>
      <c r="QL3099" s="37"/>
      <c r="QM3099" s="37"/>
      <c r="QN3099" s="37"/>
      <c r="QO3099" s="37"/>
      <c r="QP3099" s="37"/>
      <c r="QQ3099" s="37"/>
      <c r="QR3099" s="37"/>
      <c r="QS3099" s="37"/>
      <c r="QT3099" s="37"/>
      <c r="QU3099" s="37"/>
      <c r="QV3099" s="37"/>
      <c r="QW3099" s="37"/>
      <c r="QX3099" s="37"/>
      <c r="QY3099" s="37"/>
      <c r="QZ3099" s="37"/>
      <c r="RA3099" s="37"/>
      <c r="RB3099" s="37"/>
      <c r="RC3099" s="37"/>
      <c r="RD3099" s="37"/>
      <c r="RE3099" s="37"/>
      <c r="RF3099" s="37"/>
      <c r="RG3099" s="37"/>
      <c r="RH3099" s="37"/>
      <c r="RI3099" s="37"/>
      <c r="RJ3099" s="37"/>
      <c r="RK3099" s="37"/>
      <c r="RL3099" s="37"/>
      <c r="RM3099" s="37"/>
      <c r="RN3099" s="37"/>
      <c r="RO3099" s="37"/>
      <c r="RP3099" s="37"/>
      <c r="RQ3099" s="37"/>
      <c r="RR3099" s="37"/>
      <c r="RS3099" s="37"/>
      <c r="RT3099" s="37"/>
      <c r="RU3099" s="37"/>
      <c r="RV3099" s="37"/>
      <c r="RW3099" s="37"/>
      <c r="RX3099" s="37"/>
      <c r="RY3099" s="37"/>
      <c r="RZ3099" s="37"/>
      <c r="SA3099" s="37"/>
      <c r="SB3099" s="37"/>
      <c r="SC3099" s="37"/>
      <c r="SD3099" s="37"/>
      <c r="SE3099" s="37"/>
      <c r="SF3099" s="37"/>
    </row>
    <row r="3100" spans="1:500">
      <c r="A3100" s="37"/>
      <c r="B3100" s="37"/>
      <c r="C3100" s="37"/>
      <c r="D3100" s="37"/>
      <c r="E3100" s="37"/>
      <c r="F3100" s="37"/>
      <c r="G3100" s="37"/>
      <c r="H3100" s="37"/>
      <c r="I3100" s="37"/>
      <c r="J3100" s="37"/>
      <c r="K3100" s="37"/>
      <c r="L3100" s="37"/>
      <c r="M3100" s="37"/>
      <c r="N3100" s="37"/>
      <c r="O3100" s="37"/>
      <c r="P3100" s="37"/>
      <c r="Q3100" s="37"/>
      <c r="R3100" s="37"/>
      <c r="S3100" s="37"/>
      <c r="T3100" s="37"/>
      <c r="U3100" s="37"/>
      <c r="V3100" s="37"/>
      <c r="W3100" s="37"/>
      <c r="X3100" s="37"/>
      <c r="Y3100" s="37"/>
      <c r="Z3100" s="37"/>
      <c r="AA3100" s="37"/>
      <c r="AB3100" s="37"/>
      <c r="AC3100" s="37"/>
      <c r="AD3100" s="37"/>
      <c r="AE3100" s="37"/>
      <c r="AF3100" s="37"/>
      <c r="AG3100" s="37"/>
      <c r="AH3100" s="37"/>
      <c r="AI3100" s="37"/>
      <c r="AJ3100" s="37"/>
      <c r="AK3100" s="37"/>
      <c r="AL3100" s="37"/>
      <c r="AM3100" s="37"/>
      <c r="AN3100" s="37"/>
      <c r="AO3100" s="37"/>
      <c r="AP3100" s="37"/>
      <c r="AQ3100" s="37"/>
      <c r="AR3100" s="37"/>
      <c r="AS3100" s="37"/>
      <c r="AT3100" s="37"/>
      <c r="AU3100" s="37"/>
      <c r="AV3100" s="37"/>
      <c r="AW3100" s="37"/>
      <c r="AX3100" s="37"/>
      <c r="AY3100" s="37"/>
      <c r="AZ3100" s="37"/>
      <c r="BA3100" s="37"/>
      <c r="BB3100" s="37"/>
      <c r="BC3100" s="37"/>
      <c r="BD3100" s="37"/>
      <c r="BE3100" s="37"/>
      <c r="BF3100" s="37"/>
      <c r="BG3100" s="37"/>
      <c r="BH3100" s="37"/>
      <c r="BI3100" s="37"/>
      <c r="BJ3100" s="37"/>
      <c r="BK3100" s="37"/>
      <c r="BL3100" s="37"/>
      <c r="BM3100" s="37"/>
      <c r="BN3100" s="37"/>
      <c r="BO3100" s="37"/>
      <c r="BP3100" s="37"/>
      <c r="BQ3100" s="37"/>
      <c r="BR3100" s="37"/>
      <c r="BS3100" s="37"/>
      <c r="BT3100" s="37"/>
      <c r="BU3100" s="37"/>
      <c r="BV3100" s="37"/>
      <c r="BW3100" s="37"/>
      <c r="BX3100" s="37"/>
      <c r="BY3100" s="37"/>
      <c r="BZ3100" s="37"/>
      <c r="CA3100" s="37"/>
      <c r="CB3100" s="37"/>
      <c r="CC3100" s="37"/>
      <c r="CD3100" s="37"/>
      <c r="CE3100" s="37"/>
      <c r="CF3100" s="37"/>
      <c r="CG3100" s="37"/>
      <c r="CH3100" s="37"/>
      <c r="CI3100" s="37"/>
      <c r="CJ3100" s="37"/>
      <c r="CK3100" s="37"/>
      <c r="CL3100" s="37"/>
      <c r="CM3100" s="37"/>
      <c r="CN3100" s="37"/>
      <c r="CO3100" s="37"/>
      <c r="CP3100" s="37"/>
      <c r="CQ3100" s="37"/>
      <c r="CR3100" s="37"/>
      <c r="CS3100" s="37"/>
      <c r="CT3100" s="37"/>
      <c r="CU3100" s="37"/>
      <c r="CV3100" s="37"/>
      <c r="CW3100" s="37"/>
      <c r="CX3100" s="37"/>
      <c r="CY3100" s="37"/>
      <c r="CZ3100" s="37"/>
      <c r="DA3100" s="37"/>
      <c r="DB3100" s="37"/>
      <c r="DC3100" s="37"/>
      <c r="DD3100" s="37"/>
      <c r="DE3100" s="37"/>
      <c r="DF3100" s="37"/>
      <c r="DG3100" s="37"/>
      <c r="DH3100" s="37"/>
      <c r="DI3100" s="37"/>
      <c r="DJ3100" s="37"/>
      <c r="DK3100" s="37"/>
      <c r="DL3100" s="37"/>
      <c r="DM3100" s="37"/>
      <c r="DN3100" s="37"/>
      <c r="DO3100" s="37"/>
      <c r="DP3100" s="37"/>
      <c r="DQ3100" s="37"/>
      <c r="DR3100" s="37"/>
      <c r="DS3100" s="37"/>
      <c r="DT3100" s="37"/>
      <c r="DU3100" s="37"/>
      <c r="DV3100" s="37"/>
      <c r="DW3100" s="37"/>
      <c r="DX3100" s="37"/>
      <c r="DY3100" s="37"/>
      <c r="DZ3100" s="37"/>
      <c r="EA3100" s="37"/>
      <c r="EB3100" s="37"/>
      <c r="EC3100" s="37"/>
      <c r="ED3100" s="37"/>
      <c r="EE3100" s="37"/>
      <c r="EF3100" s="37"/>
      <c r="EG3100" s="37"/>
      <c r="EH3100" s="37"/>
      <c r="EI3100" s="37"/>
      <c r="EJ3100" s="37"/>
      <c r="EK3100" s="37"/>
      <c r="EL3100" s="37"/>
      <c r="EM3100" s="37"/>
      <c r="EN3100" s="37"/>
      <c r="EO3100" s="37"/>
      <c r="EP3100" s="37"/>
      <c r="EQ3100" s="37"/>
      <c r="ER3100" s="37"/>
      <c r="ES3100" s="37"/>
      <c r="ET3100" s="37"/>
      <c r="EU3100" s="37"/>
      <c r="EV3100" s="37"/>
      <c r="EW3100" s="37"/>
      <c r="EX3100" s="37"/>
      <c r="EY3100" s="37"/>
      <c r="EZ3100" s="37"/>
      <c r="FA3100" s="37"/>
      <c r="FB3100" s="37"/>
      <c r="FC3100" s="37"/>
      <c r="FD3100" s="37"/>
      <c r="FE3100" s="37"/>
      <c r="FF3100" s="37"/>
      <c r="FG3100" s="37"/>
      <c r="FH3100" s="37"/>
      <c r="FI3100" s="37"/>
      <c r="FJ3100" s="37"/>
      <c r="FK3100" s="37"/>
      <c r="FL3100" s="37"/>
      <c r="FM3100" s="37"/>
      <c r="FN3100" s="37"/>
      <c r="FO3100" s="37"/>
      <c r="FP3100" s="37"/>
      <c r="FQ3100" s="37"/>
      <c r="FR3100" s="37"/>
      <c r="FS3100" s="37"/>
      <c r="FT3100" s="37"/>
      <c r="FU3100" s="37"/>
      <c r="FV3100" s="37"/>
      <c r="FW3100" s="37"/>
      <c r="FX3100" s="37"/>
      <c r="FY3100" s="37"/>
      <c r="FZ3100" s="37"/>
      <c r="GA3100" s="37"/>
      <c r="GB3100" s="37"/>
      <c r="GC3100" s="37"/>
      <c r="GD3100" s="37"/>
      <c r="GE3100" s="37"/>
      <c r="GF3100" s="37"/>
      <c r="GG3100" s="37"/>
      <c r="GH3100" s="37"/>
      <c r="GI3100" s="37"/>
      <c r="GJ3100" s="37"/>
      <c r="GK3100" s="37"/>
      <c r="GL3100" s="37"/>
      <c r="GM3100" s="37"/>
      <c r="GN3100" s="37"/>
      <c r="GO3100" s="37"/>
      <c r="GP3100" s="37"/>
      <c r="GQ3100" s="37"/>
      <c r="GR3100" s="37"/>
      <c r="GS3100" s="37"/>
      <c r="GT3100" s="37"/>
      <c r="GU3100" s="37"/>
      <c r="GV3100" s="37"/>
      <c r="GW3100" s="37"/>
      <c r="GX3100" s="37"/>
      <c r="GY3100" s="37"/>
      <c r="GZ3100" s="37"/>
      <c r="HA3100" s="37"/>
      <c r="HB3100" s="37"/>
      <c r="HC3100" s="37"/>
      <c r="HD3100" s="37"/>
      <c r="HE3100" s="37"/>
      <c r="HF3100" s="37"/>
      <c r="HG3100" s="37"/>
      <c r="HH3100" s="37"/>
      <c r="HI3100" s="37"/>
      <c r="HJ3100" s="37"/>
      <c r="HK3100" s="37"/>
      <c r="HL3100" s="37"/>
      <c r="HM3100" s="37"/>
      <c r="HN3100" s="37"/>
      <c r="HO3100" s="37"/>
      <c r="HP3100" s="37"/>
      <c r="HQ3100" s="37"/>
      <c r="HR3100" s="37"/>
      <c r="HS3100" s="37"/>
      <c r="HT3100" s="37"/>
      <c r="HU3100" s="37"/>
      <c r="HV3100" s="37"/>
      <c r="HW3100" s="37"/>
      <c r="HX3100" s="37"/>
      <c r="HY3100" s="37"/>
      <c r="HZ3100" s="37"/>
      <c r="IA3100" s="37"/>
      <c r="IB3100" s="37"/>
      <c r="IC3100" s="37"/>
      <c r="ID3100" s="37"/>
      <c r="IE3100" s="37"/>
      <c r="IF3100" s="37"/>
      <c r="IG3100" s="37"/>
      <c r="IH3100" s="37"/>
      <c r="II3100" s="37"/>
      <c r="IJ3100" s="37"/>
      <c r="IK3100" s="37"/>
      <c r="IL3100" s="37"/>
      <c r="IM3100" s="37"/>
      <c r="IN3100" s="37"/>
      <c r="IO3100" s="37"/>
      <c r="IP3100" s="37"/>
      <c r="IQ3100" s="37"/>
      <c r="IR3100" s="37"/>
      <c r="IS3100" s="37"/>
      <c r="IT3100" s="37"/>
      <c r="IU3100" s="37"/>
      <c r="IV3100" s="37"/>
      <c r="IW3100" s="37"/>
      <c r="IX3100" s="37"/>
      <c r="IY3100" s="37"/>
      <c r="IZ3100" s="37"/>
      <c r="JA3100" s="37"/>
      <c r="JB3100" s="37"/>
      <c r="JC3100" s="37"/>
      <c r="JD3100" s="37"/>
      <c r="JE3100" s="37"/>
      <c r="JF3100" s="37"/>
      <c r="JG3100" s="37"/>
      <c r="JH3100" s="37"/>
      <c r="JI3100" s="37"/>
      <c r="JJ3100" s="37"/>
      <c r="JK3100" s="37"/>
      <c r="JL3100" s="37"/>
      <c r="JM3100" s="37"/>
      <c r="JN3100" s="37"/>
      <c r="JO3100" s="37"/>
      <c r="JP3100" s="37"/>
      <c r="JQ3100" s="37"/>
      <c r="JR3100" s="37"/>
      <c r="JS3100" s="37"/>
      <c r="JT3100" s="37"/>
      <c r="JU3100" s="37"/>
      <c r="JV3100" s="37"/>
      <c r="JW3100" s="37"/>
      <c r="JX3100" s="37"/>
      <c r="JY3100" s="37"/>
      <c r="JZ3100" s="37"/>
      <c r="KA3100" s="37"/>
      <c r="KB3100" s="37"/>
      <c r="KC3100" s="37"/>
      <c r="KD3100" s="37"/>
      <c r="KE3100" s="37"/>
      <c r="KF3100" s="37"/>
      <c r="KG3100" s="37"/>
      <c r="KH3100" s="37"/>
      <c r="KI3100" s="37"/>
      <c r="KJ3100" s="37"/>
      <c r="KK3100" s="37"/>
      <c r="KL3100" s="37"/>
      <c r="KM3100" s="37"/>
      <c r="KN3100" s="37"/>
      <c r="KO3100" s="37"/>
      <c r="KP3100" s="37"/>
      <c r="KQ3100" s="37"/>
      <c r="KR3100" s="37"/>
      <c r="KS3100" s="37"/>
      <c r="KT3100" s="37"/>
      <c r="KU3100" s="37"/>
      <c r="KV3100" s="37"/>
      <c r="KW3100" s="37"/>
      <c r="KX3100" s="37"/>
      <c r="KY3100" s="37"/>
      <c r="KZ3100" s="37"/>
      <c r="LA3100" s="37"/>
      <c r="LB3100" s="37"/>
      <c r="LC3100" s="37"/>
      <c r="LD3100" s="37"/>
      <c r="LE3100" s="37"/>
      <c r="LF3100" s="37"/>
      <c r="LG3100" s="37"/>
      <c r="LH3100" s="37"/>
      <c r="LI3100" s="37"/>
      <c r="LJ3100" s="37"/>
      <c r="LK3100" s="37"/>
      <c r="LL3100" s="37"/>
      <c r="LM3100" s="37"/>
      <c r="LN3100" s="37"/>
      <c r="LO3100" s="37"/>
      <c r="LP3100" s="37"/>
      <c r="LQ3100" s="37"/>
      <c r="LR3100" s="37"/>
      <c r="LS3100" s="37"/>
      <c r="LT3100" s="37"/>
      <c r="LU3100" s="37"/>
      <c r="LV3100" s="37"/>
      <c r="LW3100" s="37"/>
      <c r="LX3100" s="37"/>
      <c r="LY3100" s="37"/>
      <c r="LZ3100" s="37"/>
      <c r="MA3100" s="37"/>
      <c r="MB3100" s="37"/>
      <c r="MC3100" s="37"/>
      <c r="MD3100" s="37"/>
      <c r="ME3100" s="37"/>
      <c r="MF3100" s="37"/>
      <c r="MG3100" s="37"/>
      <c r="MH3100" s="37"/>
      <c r="MI3100" s="37"/>
      <c r="MJ3100" s="37"/>
      <c r="MK3100" s="37"/>
      <c r="ML3100" s="37"/>
      <c r="MM3100" s="37"/>
      <c r="MN3100" s="37"/>
      <c r="MO3100" s="37"/>
      <c r="MP3100" s="37"/>
      <c r="MQ3100" s="37"/>
      <c r="MR3100" s="37"/>
      <c r="MS3100" s="37"/>
      <c r="MT3100" s="37"/>
      <c r="MU3100" s="37"/>
      <c r="MV3100" s="37"/>
      <c r="MW3100" s="37"/>
      <c r="MX3100" s="37"/>
      <c r="MY3100" s="37"/>
      <c r="MZ3100" s="37"/>
      <c r="NA3100" s="37"/>
      <c r="NB3100" s="37"/>
      <c r="NC3100" s="37"/>
      <c r="ND3100" s="37"/>
      <c r="NE3100" s="37"/>
      <c r="NF3100" s="37"/>
      <c r="NG3100" s="37"/>
      <c r="NH3100" s="37"/>
      <c r="NI3100" s="37"/>
      <c r="NJ3100" s="37"/>
      <c r="NK3100" s="37"/>
      <c r="NL3100" s="37"/>
      <c r="NM3100" s="37"/>
      <c r="NN3100" s="37"/>
      <c r="NO3100" s="37"/>
      <c r="NP3100" s="37"/>
      <c r="NQ3100" s="37"/>
      <c r="NR3100" s="37"/>
      <c r="NS3100" s="37"/>
      <c r="NT3100" s="37"/>
      <c r="NU3100" s="37"/>
      <c r="NV3100" s="37"/>
      <c r="NW3100" s="37"/>
      <c r="NX3100" s="37"/>
      <c r="NY3100" s="37"/>
      <c r="NZ3100" s="37"/>
      <c r="OA3100" s="37"/>
      <c r="OB3100" s="37"/>
      <c r="OC3100" s="37"/>
      <c r="OD3100" s="37"/>
      <c r="OE3100" s="37"/>
      <c r="OF3100" s="37"/>
      <c r="OG3100" s="37"/>
      <c r="OH3100" s="37"/>
      <c r="OI3100" s="37"/>
      <c r="OJ3100" s="37"/>
      <c r="OK3100" s="37"/>
      <c r="OL3100" s="37"/>
      <c r="OM3100" s="37"/>
      <c r="ON3100" s="37"/>
      <c r="OO3100" s="37"/>
      <c r="OP3100" s="37"/>
      <c r="OQ3100" s="37"/>
      <c r="OR3100" s="37"/>
      <c r="OS3100" s="37"/>
      <c r="OT3100" s="37"/>
      <c r="OU3100" s="37"/>
      <c r="OV3100" s="37"/>
      <c r="OW3100" s="37"/>
      <c r="OX3100" s="37"/>
      <c r="OY3100" s="37"/>
      <c r="OZ3100" s="37"/>
      <c r="PA3100" s="37"/>
      <c r="PB3100" s="37"/>
      <c r="PC3100" s="37"/>
      <c r="PD3100" s="37"/>
      <c r="PE3100" s="37"/>
      <c r="PF3100" s="37"/>
      <c r="PG3100" s="37"/>
      <c r="PH3100" s="37"/>
      <c r="PI3100" s="37"/>
      <c r="PJ3100" s="37"/>
      <c r="PK3100" s="37"/>
      <c r="PL3100" s="37"/>
      <c r="PM3100" s="37"/>
      <c r="PN3100" s="37"/>
      <c r="PO3100" s="37"/>
      <c r="PP3100" s="37"/>
      <c r="PQ3100" s="37"/>
      <c r="PR3100" s="37"/>
      <c r="PS3100" s="37"/>
      <c r="PT3100" s="37"/>
      <c r="PU3100" s="37"/>
      <c r="PV3100" s="37"/>
      <c r="PW3100" s="37"/>
      <c r="PX3100" s="37"/>
      <c r="PY3100" s="37"/>
      <c r="PZ3100" s="37"/>
      <c r="QA3100" s="37"/>
      <c r="QB3100" s="37"/>
      <c r="QC3100" s="37"/>
      <c r="QD3100" s="37"/>
      <c r="QE3100" s="37"/>
      <c r="QF3100" s="37"/>
      <c r="QG3100" s="37"/>
      <c r="QH3100" s="37"/>
      <c r="QI3100" s="37"/>
      <c r="QJ3100" s="37"/>
      <c r="QK3100" s="37"/>
      <c r="QL3100" s="37"/>
      <c r="QM3100" s="37"/>
      <c r="QN3100" s="37"/>
      <c r="QO3100" s="37"/>
      <c r="QP3100" s="37"/>
      <c r="QQ3100" s="37"/>
      <c r="QR3100" s="37"/>
      <c r="QS3100" s="37"/>
      <c r="QT3100" s="37"/>
      <c r="QU3100" s="37"/>
      <c r="QV3100" s="37"/>
      <c r="QW3100" s="37"/>
      <c r="QX3100" s="37"/>
      <c r="QY3100" s="37"/>
      <c r="QZ3100" s="37"/>
      <c r="RA3100" s="37"/>
      <c r="RB3100" s="37"/>
      <c r="RC3100" s="37"/>
      <c r="RD3100" s="37"/>
      <c r="RE3100" s="37"/>
      <c r="RF3100" s="37"/>
      <c r="RG3100" s="37"/>
      <c r="RH3100" s="37"/>
      <c r="RI3100" s="37"/>
      <c r="RJ3100" s="37"/>
      <c r="RK3100" s="37"/>
      <c r="RL3100" s="37"/>
      <c r="RM3100" s="37"/>
      <c r="RN3100" s="37"/>
      <c r="RO3100" s="37"/>
      <c r="RP3100" s="37"/>
      <c r="RQ3100" s="37"/>
      <c r="RR3100" s="37"/>
      <c r="RS3100" s="37"/>
      <c r="RT3100" s="37"/>
      <c r="RU3100" s="37"/>
      <c r="RV3100" s="37"/>
      <c r="RW3100" s="37"/>
      <c r="RX3100" s="37"/>
      <c r="RY3100" s="37"/>
      <c r="RZ3100" s="37"/>
      <c r="SA3100" s="37"/>
      <c r="SB3100" s="37"/>
      <c r="SC3100" s="37"/>
      <c r="SD3100" s="37"/>
      <c r="SE3100" s="37"/>
      <c r="SF3100" s="37"/>
    </row>
    <row r="3101" spans="1:500">
      <c r="A3101" s="37"/>
      <c r="B3101" s="37"/>
      <c r="C3101" s="37"/>
      <c r="D3101" s="37"/>
      <c r="E3101" s="37"/>
      <c r="F3101" s="37"/>
      <c r="G3101" s="37"/>
      <c r="H3101" s="37"/>
      <c r="I3101" s="37"/>
      <c r="J3101" s="37"/>
      <c r="K3101" s="37"/>
      <c r="L3101" s="37"/>
      <c r="M3101" s="37"/>
      <c r="N3101" s="37"/>
      <c r="O3101" s="37"/>
      <c r="P3101" s="37"/>
      <c r="Q3101" s="37"/>
      <c r="R3101" s="37"/>
      <c r="S3101" s="37"/>
      <c r="T3101" s="37"/>
      <c r="U3101" s="37"/>
      <c r="V3101" s="37"/>
      <c r="W3101" s="37"/>
      <c r="X3101" s="37"/>
      <c r="Y3101" s="37"/>
      <c r="Z3101" s="37"/>
      <c r="AA3101" s="37"/>
      <c r="AB3101" s="37"/>
      <c r="AC3101" s="37"/>
      <c r="AD3101" s="37"/>
      <c r="AE3101" s="37"/>
      <c r="AF3101" s="37"/>
      <c r="AG3101" s="37"/>
      <c r="AH3101" s="37"/>
      <c r="AI3101" s="37"/>
      <c r="AJ3101" s="37"/>
      <c r="AK3101" s="37"/>
      <c r="AL3101" s="37"/>
      <c r="AM3101" s="37"/>
      <c r="AN3101" s="37"/>
      <c r="AO3101" s="37"/>
      <c r="AP3101" s="37"/>
      <c r="AQ3101" s="37"/>
      <c r="AR3101" s="37"/>
      <c r="AS3101" s="37"/>
      <c r="AT3101" s="37"/>
      <c r="AU3101" s="37"/>
      <c r="AV3101" s="37"/>
      <c r="AW3101" s="37"/>
      <c r="AX3101" s="37"/>
      <c r="AY3101" s="37"/>
      <c r="AZ3101" s="37"/>
      <c r="BA3101" s="37"/>
      <c r="BB3101" s="37"/>
      <c r="BC3101" s="37"/>
      <c r="BD3101" s="37"/>
      <c r="BE3101" s="37"/>
      <c r="BF3101" s="37"/>
      <c r="BG3101" s="37"/>
      <c r="BH3101" s="37"/>
      <c r="BI3101" s="37"/>
      <c r="BJ3101" s="37"/>
      <c r="BK3101" s="37"/>
      <c r="BL3101" s="37"/>
      <c r="BM3101" s="37"/>
      <c r="BN3101" s="37"/>
      <c r="BO3101" s="37"/>
      <c r="BP3101" s="37"/>
      <c r="BQ3101" s="37"/>
      <c r="BR3101" s="37"/>
      <c r="BS3101" s="37"/>
      <c r="BT3101" s="37"/>
      <c r="BU3101" s="37"/>
      <c r="BV3101" s="37"/>
      <c r="BW3101" s="37"/>
      <c r="BX3101" s="37"/>
      <c r="BY3101" s="37"/>
      <c r="BZ3101" s="37"/>
      <c r="CA3101" s="37"/>
      <c r="CB3101" s="37"/>
      <c r="CC3101" s="37"/>
      <c r="CD3101" s="37"/>
      <c r="CE3101" s="37"/>
      <c r="CF3101" s="37"/>
      <c r="CG3101" s="37"/>
      <c r="CH3101" s="37"/>
      <c r="CI3101" s="37"/>
      <c r="CJ3101" s="37"/>
      <c r="CK3101" s="37"/>
      <c r="CL3101" s="37"/>
      <c r="CM3101" s="37"/>
      <c r="CN3101" s="37"/>
      <c r="CO3101" s="37"/>
      <c r="CP3101" s="37"/>
      <c r="CQ3101" s="37"/>
      <c r="CR3101" s="37"/>
      <c r="CS3101" s="37"/>
      <c r="CT3101" s="37"/>
      <c r="CU3101" s="37"/>
      <c r="CV3101" s="37"/>
      <c r="CW3101" s="37"/>
      <c r="CX3101" s="37"/>
      <c r="CY3101" s="37"/>
      <c r="CZ3101" s="37"/>
      <c r="DA3101" s="37"/>
      <c r="DB3101" s="37"/>
      <c r="DC3101" s="37"/>
      <c r="DD3101" s="37"/>
      <c r="DE3101" s="37"/>
      <c r="DF3101" s="37"/>
      <c r="DG3101" s="37"/>
      <c r="DH3101" s="37"/>
      <c r="DI3101" s="37"/>
      <c r="DJ3101" s="37"/>
      <c r="DK3101" s="37"/>
      <c r="DL3101" s="37"/>
      <c r="DM3101" s="37"/>
      <c r="DN3101" s="37"/>
      <c r="DO3101" s="37"/>
      <c r="DP3101" s="37"/>
      <c r="DQ3101" s="37"/>
      <c r="DR3101" s="37"/>
      <c r="DS3101" s="37"/>
      <c r="DT3101" s="37"/>
      <c r="DU3101" s="37"/>
      <c r="DV3101" s="37"/>
      <c r="DW3101" s="37"/>
      <c r="DX3101" s="37"/>
      <c r="DY3101" s="37"/>
      <c r="DZ3101" s="37"/>
      <c r="EA3101" s="37"/>
      <c r="EB3101" s="37"/>
      <c r="EC3101" s="37"/>
      <c r="ED3101" s="37"/>
      <c r="EE3101" s="37"/>
      <c r="EF3101" s="37"/>
      <c r="EG3101" s="37"/>
      <c r="EH3101" s="37"/>
      <c r="EI3101" s="37"/>
      <c r="EJ3101" s="37"/>
      <c r="EK3101" s="37"/>
      <c r="EL3101" s="37"/>
      <c r="EM3101" s="37"/>
      <c r="EN3101" s="37"/>
      <c r="EO3101" s="37"/>
      <c r="EP3101" s="37"/>
      <c r="EQ3101" s="37"/>
      <c r="ER3101" s="37"/>
      <c r="ES3101" s="37"/>
      <c r="ET3101" s="37"/>
      <c r="EU3101" s="37"/>
      <c r="EV3101" s="37"/>
      <c r="EW3101" s="37"/>
      <c r="EX3101" s="37"/>
      <c r="EY3101" s="37"/>
      <c r="EZ3101" s="37"/>
      <c r="FA3101" s="37"/>
      <c r="FB3101" s="37"/>
      <c r="FC3101" s="37"/>
      <c r="FD3101" s="37"/>
      <c r="FE3101" s="37"/>
      <c r="FF3101" s="37"/>
      <c r="FG3101" s="37"/>
      <c r="FH3101" s="37"/>
      <c r="FI3101" s="37"/>
      <c r="FJ3101" s="37"/>
      <c r="FK3101" s="37"/>
      <c r="FL3101" s="37"/>
      <c r="FM3101" s="37"/>
      <c r="FN3101" s="37"/>
      <c r="FO3101" s="37"/>
      <c r="FP3101" s="37"/>
      <c r="FQ3101" s="37"/>
      <c r="FR3101" s="37"/>
      <c r="FS3101" s="37"/>
      <c r="FT3101" s="37"/>
      <c r="FU3101" s="37"/>
      <c r="FV3101" s="37"/>
      <c r="FW3101" s="37"/>
      <c r="FX3101" s="37"/>
      <c r="FY3101" s="37"/>
      <c r="FZ3101" s="37"/>
      <c r="GA3101" s="37"/>
      <c r="GB3101" s="37"/>
      <c r="GC3101" s="37"/>
      <c r="GD3101" s="37"/>
      <c r="GE3101" s="37"/>
      <c r="GF3101" s="37"/>
      <c r="GG3101" s="37"/>
      <c r="GH3101" s="37"/>
      <c r="GI3101" s="37"/>
      <c r="GJ3101" s="37"/>
      <c r="GK3101" s="37"/>
      <c r="GL3101" s="37"/>
      <c r="GM3101" s="37"/>
      <c r="GN3101" s="37"/>
      <c r="GO3101" s="37"/>
      <c r="GP3101" s="37"/>
      <c r="GQ3101" s="37"/>
      <c r="GR3101" s="37"/>
      <c r="GS3101" s="37"/>
      <c r="GT3101" s="37"/>
      <c r="GU3101" s="37"/>
      <c r="GV3101" s="37"/>
      <c r="GW3101" s="37"/>
      <c r="GX3101" s="37"/>
      <c r="GY3101" s="37"/>
      <c r="GZ3101" s="37"/>
      <c r="HA3101" s="37"/>
      <c r="HB3101" s="37"/>
      <c r="HC3101" s="37"/>
      <c r="HD3101" s="37"/>
      <c r="HE3101" s="37"/>
      <c r="HF3101" s="37"/>
      <c r="HG3101" s="37"/>
      <c r="HH3101" s="37"/>
      <c r="HI3101" s="37"/>
      <c r="HJ3101" s="37"/>
      <c r="HK3101" s="37"/>
      <c r="HL3101" s="37"/>
      <c r="HM3101" s="37"/>
      <c r="HN3101" s="37"/>
      <c r="HO3101" s="37"/>
      <c r="HP3101" s="37"/>
      <c r="HQ3101" s="37"/>
      <c r="HR3101" s="37"/>
      <c r="HS3101" s="37"/>
      <c r="HT3101" s="37"/>
      <c r="HU3101" s="37"/>
      <c r="HV3101" s="37"/>
      <c r="HW3101" s="37"/>
      <c r="HX3101" s="37"/>
      <c r="HY3101" s="37"/>
      <c r="HZ3101" s="37"/>
      <c r="IA3101" s="37"/>
      <c r="IB3101" s="37"/>
      <c r="IC3101" s="37"/>
      <c r="ID3101" s="37"/>
      <c r="IE3101" s="37"/>
      <c r="IF3101" s="37"/>
      <c r="IG3101" s="37"/>
      <c r="IH3101" s="37"/>
      <c r="II3101" s="37"/>
      <c r="IJ3101" s="37"/>
      <c r="IK3101" s="37"/>
      <c r="IL3101" s="37"/>
      <c r="IM3101" s="37"/>
      <c r="IN3101" s="37"/>
      <c r="IO3101" s="37"/>
      <c r="IP3101" s="37"/>
      <c r="IQ3101" s="37"/>
      <c r="IR3101" s="37"/>
      <c r="IS3101" s="37"/>
      <c r="IT3101" s="37"/>
      <c r="IU3101" s="37"/>
      <c r="IV3101" s="37"/>
      <c r="IW3101" s="37"/>
      <c r="IX3101" s="37"/>
      <c r="IY3101" s="37"/>
      <c r="IZ3101" s="37"/>
      <c r="JA3101" s="37"/>
      <c r="JB3101" s="37"/>
      <c r="JC3101" s="37"/>
      <c r="JD3101" s="37"/>
      <c r="JE3101" s="37"/>
      <c r="JF3101" s="37"/>
      <c r="JG3101" s="37"/>
      <c r="JH3101" s="37"/>
      <c r="JI3101" s="37"/>
      <c r="JJ3101" s="37"/>
      <c r="JK3101" s="37"/>
      <c r="JL3101" s="37"/>
      <c r="JM3101" s="37"/>
      <c r="JN3101" s="37"/>
      <c r="JO3101" s="37"/>
      <c r="JP3101" s="37"/>
      <c r="JQ3101" s="37"/>
      <c r="JR3101" s="37"/>
      <c r="JS3101" s="37"/>
      <c r="JT3101" s="37"/>
      <c r="JU3101" s="37"/>
      <c r="JV3101" s="37"/>
      <c r="JW3101" s="37"/>
      <c r="JX3101" s="37"/>
      <c r="JY3101" s="37"/>
      <c r="JZ3101" s="37"/>
      <c r="KA3101" s="37"/>
      <c r="KB3101" s="37"/>
      <c r="KC3101" s="37"/>
      <c r="KD3101" s="37"/>
      <c r="KE3101" s="37"/>
      <c r="KF3101" s="37"/>
      <c r="KG3101" s="37"/>
      <c r="KH3101" s="37"/>
      <c r="KI3101" s="37"/>
      <c r="KJ3101" s="37"/>
      <c r="KK3101" s="37"/>
      <c r="KL3101" s="37"/>
      <c r="KM3101" s="37"/>
      <c r="KN3101" s="37"/>
      <c r="KO3101" s="37"/>
      <c r="KP3101" s="37"/>
      <c r="KQ3101" s="37"/>
      <c r="KR3101" s="37"/>
      <c r="KS3101" s="37"/>
      <c r="KT3101" s="37"/>
      <c r="KU3101" s="37"/>
      <c r="KV3101" s="37"/>
      <c r="KW3101" s="37"/>
      <c r="KX3101" s="37"/>
      <c r="KY3101" s="37"/>
      <c r="KZ3101" s="37"/>
      <c r="LA3101" s="37"/>
      <c r="LB3101" s="37"/>
      <c r="LC3101" s="37"/>
      <c r="LD3101" s="37"/>
      <c r="LE3101" s="37"/>
      <c r="LF3101" s="37"/>
      <c r="LG3101" s="37"/>
      <c r="LH3101" s="37"/>
      <c r="LI3101" s="37"/>
      <c r="LJ3101" s="37"/>
      <c r="LK3101" s="37"/>
      <c r="LL3101" s="37"/>
      <c r="LM3101" s="37"/>
      <c r="LN3101" s="37"/>
      <c r="LO3101" s="37"/>
      <c r="LP3101" s="37"/>
      <c r="LQ3101" s="37"/>
      <c r="LR3101" s="37"/>
      <c r="LS3101" s="37"/>
      <c r="LT3101" s="37"/>
      <c r="LU3101" s="37"/>
      <c r="LV3101" s="37"/>
      <c r="LW3101" s="37"/>
      <c r="LX3101" s="37"/>
      <c r="LY3101" s="37"/>
      <c r="LZ3101" s="37"/>
      <c r="MA3101" s="37"/>
      <c r="MB3101" s="37"/>
      <c r="MC3101" s="37"/>
      <c r="MD3101" s="37"/>
      <c r="ME3101" s="37"/>
      <c r="MF3101" s="37"/>
      <c r="MG3101" s="37"/>
      <c r="MH3101" s="37"/>
      <c r="MI3101" s="37"/>
      <c r="MJ3101" s="37"/>
      <c r="MK3101" s="37"/>
      <c r="ML3101" s="37"/>
      <c r="MM3101" s="37"/>
      <c r="MN3101" s="37"/>
      <c r="MO3101" s="37"/>
      <c r="MP3101" s="37"/>
      <c r="MQ3101" s="37"/>
      <c r="MR3101" s="37"/>
      <c r="MS3101" s="37"/>
      <c r="MT3101" s="37"/>
      <c r="MU3101" s="37"/>
      <c r="MV3101" s="37"/>
      <c r="MW3101" s="37"/>
      <c r="MX3101" s="37"/>
      <c r="MY3101" s="37"/>
      <c r="MZ3101" s="37"/>
      <c r="NA3101" s="37"/>
      <c r="NB3101" s="37"/>
      <c r="NC3101" s="37"/>
      <c r="ND3101" s="37"/>
      <c r="NE3101" s="37"/>
      <c r="NF3101" s="37"/>
      <c r="NG3101" s="37"/>
      <c r="NH3101" s="37"/>
      <c r="NI3101" s="37"/>
      <c r="NJ3101" s="37"/>
      <c r="NK3101" s="37"/>
      <c r="NL3101" s="37"/>
      <c r="NM3101" s="37"/>
      <c r="NN3101" s="37"/>
      <c r="NO3101" s="37"/>
      <c r="NP3101" s="37"/>
      <c r="NQ3101" s="37"/>
      <c r="NR3101" s="37"/>
      <c r="NS3101" s="37"/>
      <c r="NT3101" s="37"/>
      <c r="NU3101" s="37"/>
      <c r="NV3101" s="37"/>
      <c r="NW3101" s="37"/>
      <c r="NX3101" s="37"/>
      <c r="NY3101" s="37"/>
      <c r="NZ3101" s="37"/>
      <c r="OA3101" s="37"/>
      <c r="OB3101" s="37"/>
      <c r="OC3101" s="37"/>
      <c r="OD3101" s="37"/>
      <c r="OE3101" s="37"/>
      <c r="OF3101" s="37"/>
      <c r="OG3101" s="37"/>
      <c r="OH3101" s="37"/>
      <c r="OI3101" s="37"/>
      <c r="OJ3101" s="37"/>
      <c r="OK3101" s="37"/>
      <c r="OL3101" s="37"/>
      <c r="OM3101" s="37"/>
      <c r="ON3101" s="37"/>
      <c r="OO3101" s="37"/>
      <c r="OP3101" s="37"/>
      <c r="OQ3101" s="37"/>
      <c r="OR3101" s="37"/>
      <c r="OS3101" s="37"/>
      <c r="OT3101" s="37"/>
      <c r="OU3101" s="37"/>
      <c r="OV3101" s="37"/>
      <c r="OW3101" s="37"/>
      <c r="OX3101" s="37"/>
      <c r="OY3101" s="37"/>
      <c r="OZ3101" s="37"/>
      <c r="PA3101" s="37"/>
      <c r="PB3101" s="37"/>
      <c r="PC3101" s="37"/>
      <c r="PD3101" s="37"/>
      <c r="PE3101" s="37"/>
      <c r="PF3101" s="37"/>
      <c r="PG3101" s="37"/>
      <c r="PH3101" s="37"/>
      <c r="PI3101" s="37"/>
      <c r="PJ3101" s="37"/>
      <c r="PK3101" s="37"/>
      <c r="PL3101" s="37"/>
      <c r="PM3101" s="37"/>
      <c r="PN3101" s="37"/>
      <c r="PO3101" s="37"/>
      <c r="PP3101" s="37"/>
      <c r="PQ3101" s="37"/>
      <c r="PR3101" s="37"/>
      <c r="PS3101" s="37"/>
      <c r="PT3101" s="37"/>
      <c r="PU3101" s="37"/>
      <c r="PV3101" s="37"/>
      <c r="PW3101" s="37"/>
      <c r="PX3101" s="37"/>
      <c r="PY3101" s="37"/>
      <c r="PZ3101" s="37"/>
      <c r="QA3101" s="37"/>
      <c r="QB3101" s="37"/>
      <c r="QC3101" s="37"/>
      <c r="QD3101" s="37"/>
      <c r="QE3101" s="37"/>
      <c r="QF3101" s="37"/>
      <c r="QG3101" s="37"/>
      <c r="QH3101" s="37"/>
      <c r="QI3101" s="37"/>
      <c r="QJ3101" s="37"/>
      <c r="QK3101" s="37"/>
      <c r="QL3101" s="37"/>
      <c r="QM3101" s="37"/>
      <c r="QN3101" s="37"/>
      <c r="QO3101" s="37"/>
      <c r="QP3101" s="37"/>
      <c r="QQ3101" s="37"/>
      <c r="QR3101" s="37"/>
      <c r="QS3101" s="37"/>
      <c r="QT3101" s="37"/>
      <c r="QU3101" s="37"/>
      <c r="QV3101" s="37"/>
      <c r="QW3101" s="37"/>
      <c r="QX3101" s="37"/>
      <c r="QY3101" s="37"/>
      <c r="QZ3101" s="37"/>
      <c r="RA3101" s="37"/>
      <c r="RB3101" s="37"/>
      <c r="RC3101" s="37"/>
      <c r="RD3101" s="37"/>
      <c r="RE3101" s="37"/>
      <c r="RF3101" s="37"/>
      <c r="RG3101" s="37"/>
      <c r="RH3101" s="37"/>
      <c r="RI3101" s="37"/>
      <c r="RJ3101" s="37"/>
      <c r="RK3101" s="37"/>
      <c r="RL3101" s="37"/>
      <c r="RM3101" s="37"/>
      <c r="RN3101" s="37"/>
      <c r="RO3101" s="37"/>
      <c r="RP3101" s="37"/>
      <c r="RQ3101" s="37"/>
      <c r="RR3101" s="37"/>
      <c r="RS3101" s="37"/>
      <c r="RT3101" s="37"/>
      <c r="RU3101" s="37"/>
      <c r="RV3101" s="37"/>
      <c r="RW3101" s="37"/>
      <c r="RX3101" s="37"/>
      <c r="RY3101" s="37"/>
      <c r="RZ3101" s="37"/>
      <c r="SA3101" s="37"/>
      <c r="SB3101" s="37"/>
      <c r="SC3101" s="37"/>
      <c r="SD3101" s="37"/>
      <c r="SE3101" s="37"/>
      <c r="SF3101" s="37"/>
    </row>
    <row r="3102" spans="1:500">
      <c r="A3102" s="37"/>
      <c r="B3102" s="37"/>
      <c r="C3102" s="37"/>
      <c r="D3102" s="37"/>
      <c r="E3102" s="37"/>
      <c r="F3102" s="37"/>
      <c r="G3102" s="37"/>
      <c r="H3102" s="37"/>
      <c r="I3102" s="37"/>
      <c r="J3102" s="37"/>
      <c r="K3102" s="37"/>
      <c r="L3102" s="37"/>
      <c r="M3102" s="37"/>
      <c r="N3102" s="37"/>
      <c r="O3102" s="37"/>
      <c r="P3102" s="37"/>
      <c r="Q3102" s="37"/>
      <c r="R3102" s="37"/>
      <c r="S3102" s="37"/>
      <c r="T3102" s="37"/>
      <c r="U3102" s="37"/>
      <c r="V3102" s="37"/>
      <c r="W3102" s="37"/>
      <c r="X3102" s="37"/>
      <c r="Y3102" s="37"/>
      <c r="Z3102" s="37"/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  <c r="AL3102" s="37"/>
      <c r="AM3102" s="37"/>
      <c r="AN3102" s="37"/>
      <c r="AO3102" s="37"/>
      <c r="AP3102" s="37"/>
      <c r="AQ3102" s="37"/>
      <c r="AR3102" s="37"/>
      <c r="AS3102" s="37"/>
      <c r="AT3102" s="37"/>
      <c r="AU3102" s="37"/>
      <c r="AV3102" s="37"/>
      <c r="AW3102" s="37"/>
      <c r="AX3102" s="37"/>
      <c r="AY3102" s="37"/>
      <c r="AZ3102" s="37"/>
      <c r="BA3102" s="37"/>
      <c r="BB3102" s="37"/>
      <c r="BC3102" s="37"/>
      <c r="BD3102" s="37"/>
      <c r="BE3102" s="37"/>
      <c r="BF3102" s="37"/>
      <c r="BG3102" s="37"/>
      <c r="BH3102" s="37"/>
      <c r="BI3102" s="37"/>
      <c r="BJ3102" s="37"/>
      <c r="BK3102" s="37"/>
      <c r="BL3102" s="37"/>
      <c r="BM3102" s="37"/>
      <c r="BN3102" s="37"/>
      <c r="BO3102" s="37"/>
      <c r="BP3102" s="37"/>
      <c r="BQ3102" s="37"/>
      <c r="BR3102" s="37"/>
      <c r="BS3102" s="37"/>
      <c r="BT3102" s="37"/>
      <c r="BU3102" s="37"/>
      <c r="BV3102" s="37"/>
      <c r="BW3102" s="37"/>
      <c r="BX3102" s="37"/>
      <c r="BY3102" s="37"/>
      <c r="BZ3102" s="37"/>
      <c r="CA3102" s="37"/>
      <c r="CB3102" s="37"/>
      <c r="CC3102" s="37"/>
      <c r="CD3102" s="37"/>
      <c r="CE3102" s="37"/>
      <c r="CF3102" s="37"/>
      <c r="CG3102" s="37"/>
      <c r="CH3102" s="37"/>
      <c r="CI3102" s="37"/>
      <c r="CJ3102" s="37"/>
      <c r="CK3102" s="37"/>
      <c r="CL3102" s="37"/>
      <c r="CM3102" s="37"/>
      <c r="CN3102" s="37"/>
      <c r="CO3102" s="37"/>
      <c r="CP3102" s="37"/>
      <c r="CQ3102" s="37"/>
      <c r="CR3102" s="37"/>
      <c r="CS3102" s="37"/>
      <c r="CT3102" s="37"/>
      <c r="CU3102" s="37"/>
      <c r="CV3102" s="37"/>
      <c r="CW3102" s="37"/>
      <c r="CX3102" s="37"/>
      <c r="CY3102" s="37"/>
      <c r="CZ3102" s="37"/>
      <c r="DA3102" s="37"/>
      <c r="DB3102" s="37"/>
      <c r="DC3102" s="37"/>
      <c r="DD3102" s="37"/>
      <c r="DE3102" s="37"/>
      <c r="DF3102" s="37"/>
      <c r="DG3102" s="37"/>
      <c r="DH3102" s="37"/>
      <c r="DI3102" s="37"/>
      <c r="DJ3102" s="37"/>
      <c r="DK3102" s="37"/>
      <c r="DL3102" s="37"/>
      <c r="DM3102" s="37"/>
      <c r="DN3102" s="37"/>
      <c r="DO3102" s="37"/>
      <c r="DP3102" s="37"/>
      <c r="DQ3102" s="37"/>
      <c r="DR3102" s="37"/>
      <c r="DS3102" s="37"/>
      <c r="DT3102" s="37"/>
      <c r="DU3102" s="37"/>
      <c r="DV3102" s="37"/>
      <c r="DW3102" s="37"/>
      <c r="DX3102" s="37"/>
      <c r="DY3102" s="37"/>
      <c r="DZ3102" s="37"/>
      <c r="EA3102" s="37"/>
      <c r="EB3102" s="37"/>
      <c r="EC3102" s="37"/>
      <c r="ED3102" s="37"/>
      <c r="EE3102" s="37"/>
      <c r="EF3102" s="37"/>
      <c r="EG3102" s="37"/>
      <c r="EH3102" s="37"/>
      <c r="EI3102" s="37"/>
      <c r="EJ3102" s="37"/>
      <c r="EK3102" s="37"/>
      <c r="EL3102" s="37"/>
      <c r="EM3102" s="37"/>
      <c r="EN3102" s="37"/>
      <c r="EO3102" s="37"/>
      <c r="EP3102" s="37"/>
      <c r="EQ3102" s="37"/>
      <c r="ER3102" s="37"/>
      <c r="ES3102" s="37"/>
      <c r="ET3102" s="37"/>
      <c r="EU3102" s="37"/>
      <c r="EV3102" s="37"/>
      <c r="EW3102" s="37"/>
      <c r="EX3102" s="37"/>
      <c r="EY3102" s="37"/>
      <c r="EZ3102" s="37"/>
      <c r="FA3102" s="37"/>
      <c r="FB3102" s="37"/>
      <c r="FC3102" s="37"/>
      <c r="FD3102" s="37"/>
      <c r="FE3102" s="37"/>
      <c r="FF3102" s="37"/>
      <c r="FG3102" s="37"/>
      <c r="FH3102" s="37"/>
      <c r="FI3102" s="37"/>
      <c r="FJ3102" s="37"/>
      <c r="FK3102" s="37"/>
      <c r="FL3102" s="37"/>
      <c r="FM3102" s="37"/>
      <c r="FN3102" s="37"/>
      <c r="FO3102" s="37"/>
      <c r="FP3102" s="37"/>
      <c r="FQ3102" s="37"/>
      <c r="FR3102" s="37"/>
      <c r="FS3102" s="37"/>
      <c r="FT3102" s="37"/>
      <c r="FU3102" s="37"/>
      <c r="FV3102" s="37"/>
      <c r="FW3102" s="37"/>
      <c r="FX3102" s="37"/>
      <c r="FY3102" s="37"/>
      <c r="FZ3102" s="37"/>
      <c r="GA3102" s="37"/>
      <c r="GB3102" s="37"/>
      <c r="GC3102" s="37"/>
      <c r="GD3102" s="37"/>
      <c r="GE3102" s="37"/>
      <c r="GF3102" s="37"/>
      <c r="GG3102" s="37"/>
      <c r="GH3102" s="37"/>
      <c r="GI3102" s="37"/>
      <c r="GJ3102" s="37"/>
      <c r="GK3102" s="37"/>
      <c r="GL3102" s="37"/>
      <c r="GM3102" s="37"/>
      <c r="GN3102" s="37"/>
      <c r="GO3102" s="37"/>
      <c r="GP3102" s="37"/>
      <c r="GQ3102" s="37"/>
      <c r="GR3102" s="37"/>
      <c r="GS3102" s="37"/>
      <c r="GT3102" s="37"/>
      <c r="GU3102" s="37"/>
      <c r="GV3102" s="37"/>
      <c r="GW3102" s="37"/>
      <c r="GX3102" s="37"/>
      <c r="GY3102" s="37"/>
      <c r="GZ3102" s="37"/>
      <c r="HA3102" s="37"/>
      <c r="HB3102" s="37"/>
      <c r="HC3102" s="37"/>
      <c r="HD3102" s="37"/>
      <c r="HE3102" s="37"/>
      <c r="HF3102" s="37"/>
      <c r="HG3102" s="37"/>
      <c r="HH3102" s="37"/>
      <c r="HI3102" s="37"/>
      <c r="HJ3102" s="37"/>
      <c r="HK3102" s="37"/>
      <c r="HL3102" s="37"/>
      <c r="HM3102" s="37"/>
      <c r="HN3102" s="37"/>
      <c r="HO3102" s="37"/>
      <c r="HP3102" s="37"/>
      <c r="HQ3102" s="37"/>
      <c r="HR3102" s="37"/>
      <c r="HS3102" s="37"/>
      <c r="HT3102" s="37"/>
      <c r="HU3102" s="37"/>
      <c r="HV3102" s="37"/>
      <c r="HW3102" s="37"/>
      <c r="HX3102" s="37"/>
      <c r="HY3102" s="37"/>
      <c r="HZ3102" s="37"/>
      <c r="IA3102" s="37"/>
      <c r="IB3102" s="37"/>
      <c r="IC3102" s="37"/>
      <c r="ID3102" s="37"/>
      <c r="IE3102" s="37"/>
      <c r="IF3102" s="37"/>
      <c r="IG3102" s="37"/>
      <c r="IH3102" s="37"/>
      <c r="II3102" s="37"/>
      <c r="IJ3102" s="37"/>
      <c r="IK3102" s="37"/>
      <c r="IL3102" s="37"/>
      <c r="IM3102" s="37"/>
      <c r="IN3102" s="37"/>
      <c r="IO3102" s="37"/>
      <c r="IP3102" s="37"/>
      <c r="IQ3102" s="37"/>
      <c r="IR3102" s="37"/>
      <c r="IS3102" s="37"/>
      <c r="IT3102" s="37"/>
      <c r="IU3102" s="37"/>
      <c r="IV3102" s="37"/>
      <c r="IW3102" s="37"/>
      <c r="IX3102" s="37"/>
      <c r="IY3102" s="37"/>
      <c r="IZ3102" s="37"/>
      <c r="JA3102" s="37"/>
      <c r="JB3102" s="37"/>
      <c r="JC3102" s="37"/>
      <c r="JD3102" s="37"/>
      <c r="JE3102" s="37"/>
      <c r="JF3102" s="37"/>
      <c r="JG3102" s="37"/>
      <c r="JH3102" s="37"/>
      <c r="JI3102" s="37"/>
      <c r="JJ3102" s="37"/>
      <c r="JK3102" s="37"/>
      <c r="JL3102" s="37"/>
      <c r="JM3102" s="37"/>
      <c r="JN3102" s="37"/>
      <c r="JO3102" s="37"/>
      <c r="JP3102" s="37"/>
      <c r="JQ3102" s="37"/>
      <c r="JR3102" s="37"/>
      <c r="JS3102" s="37"/>
      <c r="JT3102" s="37"/>
      <c r="JU3102" s="37"/>
      <c r="JV3102" s="37"/>
      <c r="JW3102" s="37"/>
      <c r="JX3102" s="37"/>
      <c r="JY3102" s="37"/>
      <c r="JZ3102" s="37"/>
      <c r="KA3102" s="37"/>
      <c r="KB3102" s="37"/>
      <c r="KC3102" s="37"/>
      <c r="KD3102" s="37"/>
      <c r="KE3102" s="37"/>
      <c r="KF3102" s="37"/>
      <c r="KG3102" s="37"/>
      <c r="KH3102" s="37"/>
      <c r="KI3102" s="37"/>
      <c r="KJ3102" s="37"/>
      <c r="KK3102" s="37"/>
      <c r="KL3102" s="37"/>
      <c r="KM3102" s="37"/>
      <c r="KN3102" s="37"/>
      <c r="KO3102" s="37"/>
      <c r="KP3102" s="37"/>
      <c r="KQ3102" s="37"/>
      <c r="KR3102" s="37"/>
      <c r="KS3102" s="37"/>
      <c r="KT3102" s="37"/>
      <c r="KU3102" s="37"/>
      <c r="KV3102" s="37"/>
      <c r="KW3102" s="37"/>
      <c r="KX3102" s="37"/>
      <c r="KY3102" s="37"/>
      <c r="KZ3102" s="37"/>
      <c r="LA3102" s="37"/>
      <c r="LB3102" s="37"/>
      <c r="LC3102" s="37"/>
      <c r="LD3102" s="37"/>
      <c r="LE3102" s="37"/>
      <c r="LF3102" s="37"/>
      <c r="LG3102" s="37"/>
      <c r="LH3102" s="37"/>
      <c r="LI3102" s="37"/>
      <c r="LJ3102" s="37"/>
      <c r="LK3102" s="37"/>
      <c r="LL3102" s="37"/>
      <c r="LM3102" s="37"/>
      <c r="LN3102" s="37"/>
      <c r="LO3102" s="37"/>
      <c r="LP3102" s="37"/>
      <c r="LQ3102" s="37"/>
      <c r="LR3102" s="37"/>
      <c r="LS3102" s="37"/>
      <c r="LT3102" s="37"/>
      <c r="LU3102" s="37"/>
      <c r="LV3102" s="37"/>
      <c r="LW3102" s="37"/>
      <c r="LX3102" s="37"/>
      <c r="LY3102" s="37"/>
      <c r="LZ3102" s="37"/>
      <c r="MA3102" s="37"/>
      <c r="MB3102" s="37"/>
      <c r="MC3102" s="37"/>
      <c r="MD3102" s="37"/>
      <c r="ME3102" s="37"/>
      <c r="MF3102" s="37"/>
      <c r="MG3102" s="37"/>
      <c r="MH3102" s="37"/>
      <c r="MI3102" s="37"/>
      <c r="MJ3102" s="37"/>
      <c r="MK3102" s="37"/>
      <c r="ML3102" s="37"/>
      <c r="MM3102" s="37"/>
      <c r="MN3102" s="37"/>
      <c r="MO3102" s="37"/>
      <c r="MP3102" s="37"/>
      <c r="MQ3102" s="37"/>
      <c r="MR3102" s="37"/>
      <c r="MS3102" s="37"/>
      <c r="MT3102" s="37"/>
      <c r="MU3102" s="37"/>
      <c r="MV3102" s="37"/>
      <c r="MW3102" s="37"/>
      <c r="MX3102" s="37"/>
      <c r="MY3102" s="37"/>
      <c r="MZ3102" s="37"/>
      <c r="NA3102" s="37"/>
      <c r="NB3102" s="37"/>
      <c r="NC3102" s="37"/>
      <c r="ND3102" s="37"/>
      <c r="NE3102" s="37"/>
      <c r="NF3102" s="37"/>
      <c r="NG3102" s="37"/>
      <c r="NH3102" s="37"/>
      <c r="NI3102" s="37"/>
      <c r="NJ3102" s="37"/>
      <c r="NK3102" s="37"/>
      <c r="NL3102" s="37"/>
      <c r="NM3102" s="37"/>
      <c r="NN3102" s="37"/>
      <c r="NO3102" s="37"/>
      <c r="NP3102" s="37"/>
      <c r="NQ3102" s="37"/>
      <c r="NR3102" s="37"/>
      <c r="NS3102" s="37"/>
      <c r="NT3102" s="37"/>
      <c r="NU3102" s="37"/>
      <c r="NV3102" s="37"/>
      <c r="NW3102" s="37"/>
      <c r="NX3102" s="37"/>
      <c r="NY3102" s="37"/>
      <c r="NZ3102" s="37"/>
      <c r="OA3102" s="37"/>
      <c r="OB3102" s="37"/>
      <c r="OC3102" s="37"/>
      <c r="OD3102" s="37"/>
      <c r="OE3102" s="37"/>
      <c r="OF3102" s="37"/>
      <c r="OG3102" s="37"/>
      <c r="OH3102" s="37"/>
      <c r="OI3102" s="37"/>
      <c r="OJ3102" s="37"/>
      <c r="OK3102" s="37"/>
      <c r="OL3102" s="37"/>
      <c r="OM3102" s="37"/>
      <c r="ON3102" s="37"/>
      <c r="OO3102" s="37"/>
      <c r="OP3102" s="37"/>
      <c r="OQ3102" s="37"/>
      <c r="OR3102" s="37"/>
      <c r="OS3102" s="37"/>
      <c r="OT3102" s="37"/>
      <c r="OU3102" s="37"/>
      <c r="OV3102" s="37"/>
      <c r="OW3102" s="37"/>
      <c r="OX3102" s="37"/>
      <c r="OY3102" s="37"/>
      <c r="OZ3102" s="37"/>
      <c r="PA3102" s="37"/>
      <c r="PB3102" s="37"/>
      <c r="PC3102" s="37"/>
      <c r="PD3102" s="37"/>
      <c r="PE3102" s="37"/>
      <c r="PF3102" s="37"/>
      <c r="PG3102" s="37"/>
      <c r="PH3102" s="37"/>
      <c r="PI3102" s="37"/>
      <c r="PJ3102" s="37"/>
      <c r="PK3102" s="37"/>
      <c r="PL3102" s="37"/>
      <c r="PM3102" s="37"/>
      <c r="PN3102" s="37"/>
      <c r="PO3102" s="37"/>
      <c r="PP3102" s="37"/>
      <c r="PQ3102" s="37"/>
      <c r="PR3102" s="37"/>
      <c r="PS3102" s="37"/>
      <c r="PT3102" s="37"/>
      <c r="PU3102" s="37"/>
      <c r="PV3102" s="37"/>
      <c r="PW3102" s="37"/>
      <c r="PX3102" s="37"/>
      <c r="PY3102" s="37"/>
      <c r="PZ3102" s="37"/>
      <c r="QA3102" s="37"/>
      <c r="QB3102" s="37"/>
      <c r="QC3102" s="37"/>
      <c r="QD3102" s="37"/>
      <c r="QE3102" s="37"/>
      <c r="QF3102" s="37"/>
      <c r="QG3102" s="37"/>
      <c r="QH3102" s="37"/>
      <c r="QI3102" s="37"/>
      <c r="QJ3102" s="37"/>
      <c r="QK3102" s="37"/>
      <c r="QL3102" s="37"/>
      <c r="QM3102" s="37"/>
      <c r="QN3102" s="37"/>
      <c r="QO3102" s="37"/>
      <c r="QP3102" s="37"/>
      <c r="QQ3102" s="37"/>
      <c r="QR3102" s="37"/>
      <c r="QS3102" s="37"/>
      <c r="QT3102" s="37"/>
      <c r="QU3102" s="37"/>
      <c r="QV3102" s="37"/>
      <c r="QW3102" s="37"/>
      <c r="QX3102" s="37"/>
      <c r="QY3102" s="37"/>
      <c r="QZ3102" s="37"/>
      <c r="RA3102" s="37"/>
      <c r="RB3102" s="37"/>
      <c r="RC3102" s="37"/>
      <c r="RD3102" s="37"/>
      <c r="RE3102" s="37"/>
      <c r="RF3102" s="37"/>
      <c r="RG3102" s="37"/>
      <c r="RH3102" s="37"/>
      <c r="RI3102" s="37"/>
      <c r="RJ3102" s="37"/>
      <c r="RK3102" s="37"/>
      <c r="RL3102" s="37"/>
      <c r="RM3102" s="37"/>
      <c r="RN3102" s="37"/>
      <c r="RO3102" s="37"/>
      <c r="RP3102" s="37"/>
      <c r="RQ3102" s="37"/>
      <c r="RR3102" s="37"/>
      <c r="RS3102" s="37"/>
      <c r="RT3102" s="37"/>
      <c r="RU3102" s="37"/>
      <c r="RV3102" s="37"/>
      <c r="RW3102" s="37"/>
      <c r="RX3102" s="37"/>
      <c r="RY3102" s="37"/>
      <c r="RZ3102" s="37"/>
      <c r="SA3102" s="37"/>
      <c r="SB3102" s="37"/>
      <c r="SC3102" s="37"/>
      <c r="SD3102" s="37"/>
      <c r="SE3102" s="37"/>
      <c r="SF3102" s="37"/>
    </row>
    <row r="3103" spans="1:500">
      <c r="A3103" s="37"/>
      <c r="B3103" s="37"/>
      <c r="C3103" s="37"/>
      <c r="D3103" s="37"/>
      <c r="E3103" s="37"/>
      <c r="F3103" s="37"/>
      <c r="G3103" s="37"/>
      <c r="H3103" s="37"/>
      <c r="I3103" s="37"/>
      <c r="J3103" s="37"/>
      <c r="K3103" s="37"/>
      <c r="L3103" s="37"/>
      <c r="M3103" s="37"/>
      <c r="N3103" s="37"/>
      <c r="O3103" s="37"/>
      <c r="P3103" s="37"/>
      <c r="Q3103" s="37"/>
      <c r="R3103" s="37"/>
      <c r="S3103" s="37"/>
      <c r="T3103" s="37"/>
      <c r="U3103" s="37"/>
      <c r="V3103" s="37"/>
      <c r="W3103" s="37"/>
      <c r="X3103" s="37"/>
      <c r="Y3103" s="37"/>
      <c r="Z3103" s="37"/>
      <c r="AA3103" s="37"/>
      <c r="AB3103" s="37"/>
      <c r="AC3103" s="37"/>
      <c r="AD3103" s="37"/>
      <c r="AE3103" s="37"/>
      <c r="AF3103" s="37"/>
      <c r="AG3103" s="37"/>
      <c r="AH3103" s="37"/>
      <c r="AI3103" s="37"/>
      <c r="AJ3103" s="37"/>
      <c r="AK3103" s="37"/>
      <c r="AL3103" s="37"/>
      <c r="AM3103" s="37"/>
      <c r="AN3103" s="37"/>
      <c r="AO3103" s="37"/>
      <c r="AP3103" s="37"/>
      <c r="AQ3103" s="37"/>
      <c r="AR3103" s="37"/>
      <c r="AS3103" s="37"/>
      <c r="AT3103" s="37"/>
      <c r="AU3103" s="37"/>
      <c r="AV3103" s="37"/>
      <c r="AW3103" s="37"/>
      <c r="AX3103" s="37"/>
      <c r="AY3103" s="37"/>
      <c r="AZ3103" s="37"/>
      <c r="BA3103" s="37"/>
      <c r="BB3103" s="37"/>
      <c r="BC3103" s="37"/>
      <c r="BD3103" s="37"/>
      <c r="BE3103" s="37"/>
      <c r="BF3103" s="37"/>
      <c r="BG3103" s="37"/>
      <c r="BH3103" s="37"/>
      <c r="BI3103" s="37"/>
      <c r="BJ3103" s="37"/>
      <c r="BK3103" s="37"/>
      <c r="BL3103" s="37"/>
      <c r="BM3103" s="37"/>
      <c r="BN3103" s="37"/>
      <c r="BO3103" s="37"/>
      <c r="BP3103" s="37"/>
      <c r="BQ3103" s="37"/>
      <c r="BR3103" s="37"/>
      <c r="BS3103" s="37"/>
      <c r="BT3103" s="37"/>
      <c r="BU3103" s="37"/>
      <c r="BV3103" s="37"/>
      <c r="BW3103" s="37"/>
      <c r="BX3103" s="37"/>
      <c r="BY3103" s="37"/>
      <c r="BZ3103" s="37"/>
      <c r="CA3103" s="37"/>
      <c r="CB3103" s="37"/>
      <c r="CC3103" s="37"/>
      <c r="CD3103" s="37"/>
      <c r="CE3103" s="37"/>
      <c r="CF3103" s="37"/>
      <c r="CG3103" s="37"/>
      <c r="CH3103" s="37"/>
      <c r="CI3103" s="37"/>
      <c r="CJ3103" s="37"/>
      <c r="CK3103" s="37"/>
      <c r="CL3103" s="37"/>
      <c r="CM3103" s="37"/>
      <c r="CN3103" s="37"/>
      <c r="CO3103" s="37"/>
      <c r="CP3103" s="37"/>
      <c r="CQ3103" s="37"/>
      <c r="CR3103" s="37"/>
      <c r="CS3103" s="37"/>
      <c r="CT3103" s="37"/>
      <c r="CU3103" s="37"/>
      <c r="CV3103" s="37"/>
      <c r="CW3103" s="37"/>
      <c r="CX3103" s="37"/>
      <c r="CY3103" s="37"/>
      <c r="CZ3103" s="37"/>
      <c r="DA3103" s="37"/>
      <c r="DB3103" s="37"/>
      <c r="DC3103" s="37"/>
      <c r="DD3103" s="37"/>
      <c r="DE3103" s="37"/>
      <c r="DF3103" s="37"/>
      <c r="DG3103" s="37"/>
      <c r="DH3103" s="37"/>
      <c r="DI3103" s="37"/>
      <c r="DJ3103" s="37"/>
      <c r="DK3103" s="37"/>
      <c r="DL3103" s="37"/>
      <c r="DM3103" s="37"/>
      <c r="DN3103" s="37"/>
      <c r="DO3103" s="37"/>
      <c r="DP3103" s="37"/>
      <c r="DQ3103" s="37"/>
      <c r="DR3103" s="37"/>
      <c r="DS3103" s="37"/>
      <c r="DT3103" s="37"/>
      <c r="DU3103" s="37"/>
      <c r="DV3103" s="37"/>
      <c r="DW3103" s="37"/>
      <c r="DX3103" s="37"/>
      <c r="DY3103" s="37"/>
      <c r="DZ3103" s="37"/>
      <c r="EA3103" s="37"/>
      <c r="EB3103" s="37"/>
      <c r="EC3103" s="37"/>
      <c r="ED3103" s="37"/>
      <c r="EE3103" s="37"/>
      <c r="EF3103" s="37"/>
      <c r="EG3103" s="37"/>
      <c r="EH3103" s="37"/>
      <c r="EI3103" s="37"/>
      <c r="EJ3103" s="37"/>
      <c r="EK3103" s="37"/>
      <c r="EL3103" s="37"/>
      <c r="EM3103" s="37"/>
      <c r="EN3103" s="37"/>
      <c r="EO3103" s="37"/>
      <c r="EP3103" s="37"/>
      <c r="EQ3103" s="37"/>
      <c r="ER3103" s="37"/>
      <c r="ES3103" s="37"/>
      <c r="ET3103" s="37"/>
      <c r="EU3103" s="37"/>
      <c r="EV3103" s="37"/>
      <c r="EW3103" s="37"/>
      <c r="EX3103" s="37"/>
      <c r="EY3103" s="37"/>
      <c r="EZ3103" s="37"/>
      <c r="FA3103" s="37"/>
      <c r="FB3103" s="37"/>
      <c r="FC3103" s="37"/>
      <c r="FD3103" s="37"/>
      <c r="FE3103" s="37"/>
      <c r="FF3103" s="37"/>
      <c r="FG3103" s="37"/>
      <c r="FH3103" s="37"/>
      <c r="FI3103" s="37"/>
      <c r="FJ3103" s="37"/>
      <c r="FK3103" s="37"/>
      <c r="FL3103" s="37"/>
      <c r="FM3103" s="37"/>
      <c r="FN3103" s="37"/>
      <c r="FO3103" s="37"/>
      <c r="FP3103" s="37"/>
      <c r="FQ3103" s="37"/>
      <c r="FR3103" s="37"/>
      <c r="FS3103" s="37"/>
      <c r="FT3103" s="37"/>
      <c r="FU3103" s="37"/>
      <c r="FV3103" s="37"/>
      <c r="FW3103" s="37"/>
      <c r="FX3103" s="37"/>
      <c r="FY3103" s="37"/>
      <c r="FZ3103" s="37"/>
      <c r="GA3103" s="37"/>
      <c r="GB3103" s="37"/>
      <c r="GC3103" s="37"/>
      <c r="GD3103" s="37"/>
      <c r="GE3103" s="37"/>
      <c r="GF3103" s="37"/>
      <c r="GG3103" s="37"/>
      <c r="GH3103" s="37"/>
      <c r="GI3103" s="37"/>
      <c r="GJ3103" s="37"/>
      <c r="GK3103" s="37"/>
      <c r="GL3103" s="37"/>
      <c r="GM3103" s="37"/>
      <c r="GN3103" s="37"/>
      <c r="GO3103" s="37"/>
      <c r="GP3103" s="37"/>
      <c r="GQ3103" s="37"/>
      <c r="GR3103" s="37"/>
      <c r="GS3103" s="37"/>
      <c r="GT3103" s="37"/>
      <c r="GU3103" s="37"/>
      <c r="GV3103" s="37"/>
      <c r="GW3103" s="37"/>
      <c r="GX3103" s="37"/>
      <c r="GY3103" s="37"/>
      <c r="GZ3103" s="37"/>
      <c r="HA3103" s="37"/>
      <c r="HB3103" s="37"/>
      <c r="HC3103" s="37"/>
      <c r="HD3103" s="37"/>
      <c r="HE3103" s="37"/>
      <c r="HF3103" s="37"/>
      <c r="HG3103" s="37"/>
      <c r="HH3103" s="37"/>
      <c r="HI3103" s="37"/>
      <c r="HJ3103" s="37"/>
      <c r="HK3103" s="37"/>
      <c r="HL3103" s="37"/>
      <c r="HM3103" s="37"/>
      <c r="HN3103" s="37"/>
      <c r="HO3103" s="37"/>
      <c r="HP3103" s="37"/>
      <c r="HQ3103" s="37"/>
      <c r="HR3103" s="37"/>
      <c r="HS3103" s="37"/>
      <c r="HT3103" s="37"/>
      <c r="HU3103" s="37"/>
      <c r="HV3103" s="37"/>
      <c r="HW3103" s="37"/>
      <c r="HX3103" s="37"/>
      <c r="HY3103" s="37"/>
      <c r="HZ3103" s="37"/>
      <c r="IA3103" s="37"/>
      <c r="IB3103" s="37"/>
      <c r="IC3103" s="37"/>
      <c r="ID3103" s="37"/>
      <c r="IE3103" s="37"/>
      <c r="IF3103" s="37"/>
      <c r="IG3103" s="37"/>
      <c r="IH3103" s="37"/>
      <c r="II3103" s="37"/>
      <c r="IJ3103" s="37"/>
      <c r="IK3103" s="37"/>
      <c r="IL3103" s="37"/>
      <c r="IM3103" s="37"/>
      <c r="IN3103" s="37"/>
      <c r="IO3103" s="37"/>
      <c r="IP3103" s="37"/>
      <c r="IQ3103" s="37"/>
      <c r="IR3103" s="37"/>
      <c r="IS3103" s="37"/>
      <c r="IT3103" s="37"/>
      <c r="IU3103" s="37"/>
      <c r="IV3103" s="37"/>
      <c r="IW3103" s="37"/>
      <c r="IX3103" s="37"/>
      <c r="IY3103" s="37"/>
      <c r="IZ3103" s="37"/>
      <c r="JA3103" s="37"/>
      <c r="JB3103" s="37"/>
      <c r="JC3103" s="37"/>
      <c r="JD3103" s="37"/>
      <c r="JE3103" s="37"/>
      <c r="JF3103" s="37"/>
      <c r="JG3103" s="37"/>
      <c r="JH3103" s="37"/>
      <c r="JI3103" s="37"/>
      <c r="JJ3103" s="37"/>
      <c r="JK3103" s="37"/>
      <c r="JL3103" s="37"/>
      <c r="JM3103" s="37"/>
      <c r="JN3103" s="37"/>
      <c r="JO3103" s="37"/>
      <c r="JP3103" s="37"/>
      <c r="JQ3103" s="37"/>
      <c r="JR3103" s="37"/>
      <c r="JS3103" s="37"/>
      <c r="JT3103" s="37"/>
      <c r="JU3103" s="37"/>
      <c r="JV3103" s="37"/>
      <c r="JW3103" s="37"/>
      <c r="JX3103" s="37"/>
      <c r="JY3103" s="37"/>
      <c r="JZ3103" s="37"/>
      <c r="KA3103" s="37"/>
      <c r="KB3103" s="37"/>
      <c r="KC3103" s="37"/>
      <c r="KD3103" s="37"/>
      <c r="KE3103" s="37"/>
      <c r="KF3103" s="37"/>
      <c r="KG3103" s="37"/>
      <c r="KH3103" s="37"/>
      <c r="KI3103" s="37"/>
      <c r="KJ3103" s="37"/>
      <c r="KK3103" s="37"/>
      <c r="KL3103" s="37"/>
      <c r="KM3103" s="37"/>
      <c r="KN3103" s="37"/>
      <c r="KO3103" s="37"/>
      <c r="KP3103" s="37"/>
      <c r="KQ3103" s="37"/>
      <c r="KR3103" s="37"/>
      <c r="KS3103" s="37"/>
      <c r="KT3103" s="37"/>
      <c r="KU3103" s="37"/>
      <c r="KV3103" s="37"/>
      <c r="KW3103" s="37"/>
      <c r="KX3103" s="37"/>
      <c r="KY3103" s="37"/>
      <c r="KZ3103" s="37"/>
      <c r="LA3103" s="37"/>
      <c r="LB3103" s="37"/>
      <c r="LC3103" s="37"/>
      <c r="LD3103" s="37"/>
      <c r="LE3103" s="37"/>
      <c r="LF3103" s="37"/>
      <c r="LG3103" s="37"/>
      <c r="LH3103" s="37"/>
      <c r="LI3103" s="37"/>
      <c r="LJ3103" s="37"/>
      <c r="LK3103" s="37"/>
      <c r="LL3103" s="37"/>
      <c r="LM3103" s="37"/>
      <c r="LN3103" s="37"/>
      <c r="LO3103" s="37"/>
      <c r="LP3103" s="37"/>
      <c r="LQ3103" s="37"/>
      <c r="LR3103" s="37"/>
      <c r="LS3103" s="37"/>
      <c r="LT3103" s="37"/>
      <c r="LU3103" s="37"/>
      <c r="LV3103" s="37"/>
      <c r="LW3103" s="37"/>
      <c r="LX3103" s="37"/>
      <c r="LY3103" s="37"/>
      <c r="LZ3103" s="37"/>
      <c r="MA3103" s="37"/>
      <c r="MB3103" s="37"/>
      <c r="MC3103" s="37"/>
      <c r="MD3103" s="37"/>
      <c r="ME3103" s="37"/>
      <c r="MF3103" s="37"/>
      <c r="MG3103" s="37"/>
      <c r="MH3103" s="37"/>
      <c r="MI3103" s="37"/>
      <c r="MJ3103" s="37"/>
      <c r="MK3103" s="37"/>
      <c r="ML3103" s="37"/>
      <c r="MM3103" s="37"/>
      <c r="MN3103" s="37"/>
      <c r="MO3103" s="37"/>
      <c r="MP3103" s="37"/>
      <c r="MQ3103" s="37"/>
      <c r="MR3103" s="37"/>
      <c r="MS3103" s="37"/>
      <c r="MT3103" s="37"/>
      <c r="MU3103" s="37"/>
      <c r="MV3103" s="37"/>
      <c r="MW3103" s="37"/>
      <c r="MX3103" s="37"/>
      <c r="MY3103" s="37"/>
      <c r="MZ3103" s="37"/>
      <c r="NA3103" s="37"/>
      <c r="NB3103" s="37"/>
      <c r="NC3103" s="37"/>
      <c r="ND3103" s="37"/>
      <c r="NE3103" s="37"/>
      <c r="NF3103" s="37"/>
      <c r="NG3103" s="37"/>
      <c r="NH3103" s="37"/>
      <c r="NI3103" s="37"/>
      <c r="NJ3103" s="37"/>
      <c r="NK3103" s="37"/>
      <c r="NL3103" s="37"/>
      <c r="NM3103" s="37"/>
      <c r="NN3103" s="37"/>
      <c r="NO3103" s="37"/>
      <c r="NP3103" s="37"/>
      <c r="NQ3103" s="37"/>
      <c r="NR3103" s="37"/>
      <c r="NS3103" s="37"/>
      <c r="NT3103" s="37"/>
      <c r="NU3103" s="37"/>
      <c r="NV3103" s="37"/>
      <c r="NW3103" s="37"/>
      <c r="NX3103" s="37"/>
      <c r="NY3103" s="37"/>
      <c r="NZ3103" s="37"/>
      <c r="OA3103" s="37"/>
      <c r="OB3103" s="37"/>
      <c r="OC3103" s="37"/>
      <c r="OD3103" s="37"/>
      <c r="OE3103" s="37"/>
      <c r="OF3103" s="37"/>
      <c r="OG3103" s="37"/>
      <c r="OH3103" s="37"/>
      <c r="OI3103" s="37"/>
      <c r="OJ3103" s="37"/>
      <c r="OK3103" s="37"/>
      <c r="OL3103" s="37"/>
      <c r="OM3103" s="37"/>
      <c r="ON3103" s="37"/>
      <c r="OO3103" s="37"/>
      <c r="OP3103" s="37"/>
      <c r="OQ3103" s="37"/>
      <c r="OR3103" s="37"/>
      <c r="OS3103" s="37"/>
      <c r="OT3103" s="37"/>
      <c r="OU3103" s="37"/>
      <c r="OV3103" s="37"/>
      <c r="OW3103" s="37"/>
      <c r="OX3103" s="37"/>
      <c r="OY3103" s="37"/>
      <c r="OZ3103" s="37"/>
      <c r="PA3103" s="37"/>
      <c r="PB3103" s="37"/>
      <c r="PC3103" s="37"/>
      <c r="PD3103" s="37"/>
      <c r="PE3103" s="37"/>
      <c r="PF3103" s="37"/>
      <c r="PG3103" s="37"/>
      <c r="PH3103" s="37"/>
      <c r="PI3103" s="37"/>
      <c r="PJ3103" s="37"/>
      <c r="PK3103" s="37"/>
      <c r="PL3103" s="37"/>
      <c r="PM3103" s="37"/>
      <c r="PN3103" s="37"/>
      <c r="PO3103" s="37"/>
      <c r="PP3103" s="37"/>
      <c r="PQ3103" s="37"/>
      <c r="PR3103" s="37"/>
      <c r="PS3103" s="37"/>
      <c r="PT3103" s="37"/>
      <c r="PU3103" s="37"/>
      <c r="PV3103" s="37"/>
      <c r="PW3103" s="37"/>
      <c r="PX3103" s="37"/>
      <c r="PY3103" s="37"/>
      <c r="PZ3103" s="37"/>
      <c r="QA3103" s="37"/>
      <c r="QB3103" s="37"/>
      <c r="QC3103" s="37"/>
      <c r="QD3103" s="37"/>
      <c r="QE3103" s="37"/>
      <c r="QF3103" s="37"/>
      <c r="QG3103" s="37"/>
      <c r="QH3103" s="37"/>
      <c r="QI3103" s="37"/>
      <c r="QJ3103" s="37"/>
      <c r="QK3103" s="37"/>
      <c r="QL3103" s="37"/>
      <c r="QM3103" s="37"/>
      <c r="QN3103" s="37"/>
      <c r="QO3103" s="37"/>
      <c r="QP3103" s="37"/>
      <c r="QQ3103" s="37"/>
      <c r="QR3103" s="37"/>
      <c r="QS3103" s="37"/>
      <c r="QT3103" s="37"/>
      <c r="QU3103" s="37"/>
      <c r="QV3103" s="37"/>
      <c r="QW3103" s="37"/>
      <c r="QX3103" s="37"/>
      <c r="QY3103" s="37"/>
      <c r="QZ3103" s="37"/>
      <c r="RA3103" s="37"/>
      <c r="RB3103" s="37"/>
      <c r="RC3103" s="37"/>
      <c r="RD3103" s="37"/>
      <c r="RE3103" s="37"/>
      <c r="RF3103" s="37"/>
      <c r="RG3103" s="37"/>
      <c r="RH3103" s="37"/>
      <c r="RI3103" s="37"/>
      <c r="RJ3103" s="37"/>
      <c r="RK3103" s="37"/>
      <c r="RL3103" s="37"/>
      <c r="RM3103" s="37"/>
      <c r="RN3103" s="37"/>
      <c r="RO3103" s="37"/>
      <c r="RP3103" s="37"/>
      <c r="RQ3103" s="37"/>
      <c r="RR3103" s="37"/>
      <c r="RS3103" s="37"/>
      <c r="RT3103" s="37"/>
      <c r="RU3103" s="37"/>
      <c r="RV3103" s="37"/>
      <c r="RW3103" s="37"/>
      <c r="RX3103" s="37"/>
      <c r="RY3103" s="37"/>
      <c r="RZ3103" s="37"/>
      <c r="SA3103" s="37"/>
      <c r="SB3103" s="37"/>
      <c r="SC3103" s="37"/>
      <c r="SD3103" s="37"/>
      <c r="SE3103" s="37"/>
      <c r="SF3103" s="37"/>
    </row>
    <row r="3104" spans="1:500">
      <c r="A3104" s="37"/>
      <c r="B3104" s="37"/>
      <c r="C3104" s="37"/>
      <c r="D3104" s="37"/>
      <c r="E3104" s="37"/>
      <c r="F3104" s="37"/>
      <c r="G3104" s="37"/>
      <c r="H3104" s="37"/>
      <c r="I3104" s="37"/>
      <c r="J3104" s="37"/>
      <c r="K3104" s="37"/>
      <c r="L3104" s="37"/>
      <c r="M3104" s="37"/>
      <c r="N3104" s="37"/>
      <c r="O3104" s="37"/>
      <c r="P3104" s="37"/>
      <c r="Q3104" s="37"/>
      <c r="R3104" s="37"/>
      <c r="S3104" s="37"/>
      <c r="T3104" s="37"/>
      <c r="U3104" s="37"/>
      <c r="V3104" s="37"/>
      <c r="W3104" s="37"/>
      <c r="X3104" s="37"/>
      <c r="Y3104" s="37"/>
      <c r="Z3104" s="37"/>
      <c r="AA3104" s="37"/>
      <c r="AB3104" s="37"/>
      <c r="AC3104" s="37"/>
      <c r="AD3104" s="37"/>
      <c r="AE3104" s="37"/>
      <c r="AF3104" s="37"/>
      <c r="AG3104" s="37"/>
      <c r="AH3104" s="37"/>
      <c r="AI3104" s="37"/>
      <c r="AJ3104" s="37"/>
      <c r="AK3104" s="37"/>
      <c r="AL3104" s="37"/>
      <c r="AM3104" s="37"/>
      <c r="AN3104" s="37"/>
      <c r="AO3104" s="37"/>
      <c r="AP3104" s="37"/>
      <c r="AQ3104" s="37"/>
      <c r="AR3104" s="37"/>
      <c r="AS3104" s="37"/>
      <c r="AT3104" s="37"/>
      <c r="AU3104" s="37"/>
      <c r="AV3104" s="37"/>
      <c r="AW3104" s="37"/>
      <c r="AX3104" s="37"/>
      <c r="AY3104" s="37"/>
      <c r="AZ3104" s="37"/>
      <c r="BA3104" s="37"/>
      <c r="BB3104" s="37"/>
      <c r="BC3104" s="37"/>
      <c r="BD3104" s="37"/>
      <c r="BE3104" s="37"/>
      <c r="BF3104" s="37"/>
      <c r="BG3104" s="37"/>
      <c r="BH3104" s="37"/>
      <c r="BI3104" s="37"/>
      <c r="BJ3104" s="37"/>
      <c r="BK3104" s="37"/>
      <c r="BL3104" s="37"/>
      <c r="BM3104" s="37"/>
      <c r="BN3104" s="37"/>
      <c r="BO3104" s="37"/>
      <c r="BP3104" s="37"/>
      <c r="BQ3104" s="37"/>
      <c r="BR3104" s="37"/>
      <c r="BS3104" s="37"/>
      <c r="BT3104" s="37"/>
      <c r="BU3104" s="37"/>
      <c r="BV3104" s="37"/>
      <c r="BW3104" s="37"/>
      <c r="BX3104" s="37"/>
      <c r="BY3104" s="37"/>
      <c r="BZ3104" s="37"/>
      <c r="CA3104" s="37"/>
      <c r="CB3104" s="37"/>
      <c r="CC3104" s="37"/>
      <c r="CD3104" s="37"/>
      <c r="CE3104" s="37"/>
      <c r="CF3104" s="37"/>
      <c r="CG3104" s="37"/>
      <c r="CH3104" s="37"/>
      <c r="CI3104" s="37"/>
      <c r="CJ3104" s="37"/>
      <c r="CK3104" s="37"/>
      <c r="CL3104" s="37"/>
      <c r="CM3104" s="37"/>
      <c r="CN3104" s="37"/>
      <c r="CO3104" s="37"/>
      <c r="CP3104" s="37"/>
      <c r="CQ3104" s="37"/>
      <c r="CR3104" s="37"/>
      <c r="CS3104" s="37"/>
      <c r="CT3104" s="37"/>
      <c r="CU3104" s="37"/>
      <c r="CV3104" s="37"/>
      <c r="CW3104" s="37"/>
      <c r="CX3104" s="37"/>
      <c r="CY3104" s="37"/>
      <c r="CZ3104" s="37"/>
      <c r="DA3104" s="37"/>
      <c r="DB3104" s="37"/>
      <c r="DC3104" s="37"/>
      <c r="DD3104" s="37"/>
      <c r="DE3104" s="37"/>
      <c r="DF3104" s="37"/>
      <c r="DG3104" s="37"/>
      <c r="DH3104" s="37"/>
      <c r="DI3104" s="37"/>
      <c r="DJ3104" s="37"/>
      <c r="DK3104" s="37"/>
      <c r="DL3104" s="37"/>
      <c r="DM3104" s="37"/>
      <c r="DN3104" s="37"/>
      <c r="DO3104" s="37"/>
      <c r="DP3104" s="37"/>
      <c r="DQ3104" s="37"/>
      <c r="DR3104" s="37"/>
      <c r="DS3104" s="37"/>
      <c r="DT3104" s="37"/>
      <c r="DU3104" s="37"/>
      <c r="DV3104" s="37"/>
      <c r="DW3104" s="37"/>
      <c r="DX3104" s="37"/>
      <c r="DY3104" s="37"/>
      <c r="DZ3104" s="37"/>
      <c r="EA3104" s="37"/>
      <c r="EB3104" s="37"/>
      <c r="EC3104" s="37"/>
      <c r="ED3104" s="37"/>
      <c r="EE3104" s="37"/>
      <c r="EF3104" s="37"/>
      <c r="EG3104" s="37"/>
      <c r="EH3104" s="37"/>
      <c r="EI3104" s="37"/>
      <c r="EJ3104" s="37"/>
      <c r="EK3104" s="37"/>
      <c r="EL3104" s="37"/>
      <c r="EM3104" s="37"/>
      <c r="EN3104" s="37"/>
      <c r="EO3104" s="37"/>
      <c r="EP3104" s="37"/>
      <c r="EQ3104" s="37"/>
      <c r="ER3104" s="37"/>
      <c r="ES3104" s="37"/>
      <c r="ET3104" s="37"/>
      <c r="EU3104" s="37"/>
      <c r="EV3104" s="37"/>
      <c r="EW3104" s="37"/>
      <c r="EX3104" s="37"/>
      <c r="EY3104" s="37"/>
      <c r="EZ3104" s="37"/>
      <c r="FA3104" s="37"/>
      <c r="FB3104" s="37"/>
      <c r="FC3104" s="37"/>
      <c r="FD3104" s="37"/>
      <c r="FE3104" s="37"/>
      <c r="FF3104" s="37"/>
      <c r="FG3104" s="37"/>
      <c r="FH3104" s="37"/>
      <c r="FI3104" s="37"/>
      <c r="FJ3104" s="37"/>
      <c r="FK3104" s="37"/>
      <c r="FL3104" s="37"/>
      <c r="FM3104" s="37"/>
      <c r="FN3104" s="37"/>
      <c r="FO3104" s="37"/>
      <c r="FP3104" s="37"/>
      <c r="FQ3104" s="37"/>
      <c r="FR3104" s="37"/>
      <c r="FS3104" s="37"/>
      <c r="FT3104" s="37"/>
      <c r="FU3104" s="37"/>
      <c r="FV3104" s="37"/>
      <c r="FW3104" s="37"/>
      <c r="FX3104" s="37"/>
      <c r="FY3104" s="37"/>
      <c r="FZ3104" s="37"/>
      <c r="GA3104" s="37"/>
      <c r="GB3104" s="37"/>
      <c r="GC3104" s="37"/>
      <c r="GD3104" s="37"/>
      <c r="GE3104" s="37"/>
      <c r="GF3104" s="37"/>
      <c r="GG3104" s="37"/>
      <c r="GH3104" s="37"/>
      <c r="GI3104" s="37"/>
      <c r="GJ3104" s="37"/>
      <c r="GK3104" s="37"/>
      <c r="GL3104" s="37"/>
      <c r="GM3104" s="37"/>
      <c r="GN3104" s="37"/>
      <c r="GO3104" s="37"/>
      <c r="GP3104" s="37"/>
      <c r="GQ3104" s="37"/>
      <c r="GR3104" s="37"/>
      <c r="GS3104" s="37"/>
      <c r="GT3104" s="37"/>
      <c r="GU3104" s="37"/>
      <c r="GV3104" s="37"/>
      <c r="GW3104" s="37"/>
      <c r="GX3104" s="37"/>
      <c r="GY3104" s="37"/>
      <c r="GZ3104" s="37"/>
      <c r="HA3104" s="37"/>
      <c r="HB3104" s="37"/>
      <c r="HC3104" s="37"/>
      <c r="HD3104" s="37"/>
      <c r="HE3104" s="37"/>
      <c r="HF3104" s="37"/>
      <c r="HG3104" s="37"/>
      <c r="HH3104" s="37"/>
      <c r="HI3104" s="37"/>
      <c r="HJ3104" s="37"/>
      <c r="HK3104" s="37"/>
      <c r="HL3104" s="37"/>
      <c r="HM3104" s="37"/>
      <c r="HN3104" s="37"/>
      <c r="HO3104" s="37"/>
      <c r="HP3104" s="37"/>
      <c r="HQ3104" s="37"/>
      <c r="HR3104" s="37"/>
      <c r="HS3104" s="37"/>
      <c r="HT3104" s="37"/>
      <c r="HU3104" s="37"/>
      <c r="HV3104" s="37"/>
      <c r="HW3104" s="37"/>
      <c r="HX3104" s="37"/>
      <c r="HY3104" s="37"/>
      <c r="HZ3104" s="37"/>
      <c r="IA3104" s="37"/>
      <c r="IB3104" s="37"/>
      <c r="IC3104" s="37"/>
      <c r="ID3104" s="37"/>
      <c r="IE3104" s="37"/>
      <c r="IF3104" s="37"/>
      <c r="IG3104" s="37"/>
      <c r="IH3104" s="37"/>
      <c r="II3104" s="37"/>
      <c r="IJ3104" s="37"/>
      <c r="IK3104" s="37"/>
      <c r="IL3104" s="37"/>
      <c r="IM3104" s="37"/>
      <c r="IN3104" s="37"/>
      <c r="IO3104" s="37"/>
      <c r="IP3104" s="37"/>
      <c r="IQ3104" s="37"/>
      <c r="IR3104" s="37"/>
      <c r="IS3104" s="37"/>
      <c r="IT3104" s="37"/>
      <c r="IU3104" s="37"/>
      <c r="IV3104" s="37"/>
      <c r="IW3104" s="37"/>
      <c r="IX3104" s="37"/>
      <c r="IY3104" s="37"/>
      <c r="IZ3104" s="37"/>
      <c r="JA3104" s="37"/>
      <c r="JB3104" s="37"/>
      <c r="JC3104" s="37"/>
      <c r="JD3104" s="37"/>
      <c r="JE3104" s="37"/>
      <c r="JF3104" s="37"/>
      <c r="JG3104" s="37"/>
      <c r="JH3104" s="37"/>
      <c r="JI3104" s="37"/>
      <c r="JJ3104" s="37"/>
      <c r="JK3104" s="37"/>
      <c r="JL3104" s="37"/>
      <c r="JM3104" s="37"/>
      <c r="JN3104" s="37"/>
      <c r="JO3104" s="37"/>
      <c r="JP3104" s="37"/>
      <c r="JQ3104" s="37"/>
      <c r="JR3104" s="37"/>
      <c r="JS3104" s="37"/>
      <c r="JT3104" s="37"/>
      <c r="JU3104" s="37"/>
      <c r="JV3104" s="37"/>
      <c r="JW3104" s="37"/>
      <c r="JX3104" s="37"/>
      <c r="JY3104" s="37"/>
      <c r="JZ3104" s="37"/>
      <c r="KA3104" s="37"/>
      <c r="KB3104" s="37"/>
      <c r="KC3104" s="37"/>
      <c r="KD3104" s="37"/>
      <c r="KE3104" s="37"/>
      <c r="KF3104" s="37"/>
      <c r="KG3104" s="37"/>
      <c r="KH3104" s="37"/>
      <c r="KI3104" s="37"/>
      <c r="KJ3104" s="37"/>
      <c r="KK3104" s="37"/>
      <c r="KL3104" s="37"/>
      <c r="KM3104" s="37"/>
      <c r="KN3104" s="37"/>
      <c r="KO3104" s="37"/>
      <c r="KP3104" s="37"/>
      <c r="KQ3104" s="37"/>
      <c r="KR3104" s="37"/>
      <c r="KS3104" s="37"/>
      <c r="KT3104" s="37"/>
      <c r="KU3104" s="37"/>
      <c r="KV3104" s="37"/>
      <c r="KW3104" s="37"/>
      <c r="KX3104" s="37"/>
      <c r="KY3104" s="37"/>
      <c r="KZ3104" s="37"/>
      <c r="LA3104" s="37"/>
      <c r="LB3104" s="37"/>
      <c r="LC3104" s="37"/>
      <c r="LD3104" s="37"/>
      <c r="LE3104" s="37"/>
      <c r="LF3104" s="37"/>
      <c r="LG3104" s="37"/>
      <c r="LH3104" s="37"/>
      <c r="LI3104" s="37"/>
      <c r="LJ3104" s="37"/>
      <c r="LK3104" s="37"/>
      <c r="LL3104" s="37"/>
      <c r="LM3104" s="37"/>
      <c r="LN3104" s="37"/>
      <c r="LO3104" s="37"/>
      <c r="LP3104" s="37"/>
      <c r="LQ3104" s="37"/>
      <c r="LR3104" s="37"/>
      <c r="LS3104" s="37"/>
      <c r="LT3104" s="37"/>
      <c r="LU3104" s="37"/>
      <c r="LV3104" s="37"/>
      <c r="LW3104" s="37"/>
      <c r="LX3104" s="37"/>
      <c r="LY3104" s="37"/>
      <c r="LZ3104" s="37"/>
      <c r="MA3104" s="37"/>
      <c r="MB3104" s="37"/>
      <c r="MC3104" s="37"/>
      <c r="MD3104" s="37"/>
      <c r="ME3104" s="37"/>
      <c r="MF3104" s="37"/>
      <c r="MG3104" s="37"/>
      <c r="MH3104" s="37"/>
      <c r="MI3104" s="37"/>
      <c r="MJ3104" s="37"/>
      <c r="MK3104" s="37"/>
      <c r="ML3104" s="37"/>
      <c r="MM3104" s="37"/>
      <c r="MN3104" s="37"/>
      <c r="MO3104" s="37"/>
      <c r="MP3104" s="37"/>
      <c r="MQ3104" s="37"/>
      <c r="MR3104" s="37"/>
      <c r="MS3104" s="37"/>
      <c r="MT3104" s="37"/>
      <c r="MU3104" s="37"/>
      <c r="MV3104" s="37"/>
      <c r="MW3104" s="37"/>
      <c r="MX3104" s="37"/>
      <c r="MY3104" s="37"/>
      <c r="MZ3104" s="37"/>
      <c r="NA3104" s="37"/>
      <c r="NB3104" s="37"/>
      <c r="NC3104" s="37"/>
      <c r="ND3104" s="37"/>
      <c r="NE3104" s="37"/>
      <c r="NF3104" s="37"/>
      <c r="NG3104" s="37"/>
      <c r="NH3104" s="37"/>
      <c r="NI3104" s="37"/>
      <c r="NJ3104" s="37"/>
      <c r="NK3104" s="37"/>
      <c r="NL3104" s="37"/>
      <c r="NM3104" s="37"/>
      <c r="NN3104" s="37"/>
      <c r="NO3104" s="37"/>
      <c r="NP3104" s="37"/>
      <c r="NQ3104" s="37"/>
      <c r="NR3104" s="37"/>
      <c r="NS3104" s="37"/>
      <c r="NT3104" s="37"/>
      <c r="NU3104" s="37"/>
      <c r="NV3104" s="37"/>
      <c r="NW3104" s="37"/>
      <c r="NX3104" s="37"/>
      <c r="NY3104" s="37"/>
      <c r="NZ3104" s="37"/>
      <c r="OA3104" s="37"/>
      <c r="OB3104" s="37"/>
      <c r="OC3104" s="37"/>
      <c r="OD3104" s="37"/>
      <c r="OE3104" s="37"/>
      <c r="OF3104" s="37"/>
      <c r="OG3104" s="37"/>
      <c r="OH3104" s="37"/>
      <c r="OI3104" s="37"/>
      <c r="OJ3104" s="37"/>
      <c r="OK3104" s="37"/>
      <c r="OL3104" s="37"/>
      <c r="OM3104" s="37"/>
      <c r="ON3104" s="37"/>
      <c r="OO3104" s="37"/>
      <c r="OP3104" s="37"/>
      <c r="OQ3104" s="37"/>
      <c r="OR3104" s="37"/>
      <c r="OS3104" s="37"/>
      <c r="OT3104" s="37"/>
      <c r="OU3104" s="37"/>
      <c r="OV3104" s="37"/>
      <c r="OW3104" s="37"/>
      <c r="OX3104" s="37"/>
      <c r="OY3104" s="37"/>
      <c r="OZ3104" s="37"/>
      <c r="PA3104" s="37"/>
      <c r="PB3104" s="37"/>
      <c r="PC3104" s="37"/>
      <c r="PD3104" s="37"/>
      <c r="PE3104" s="37"/>
      <c r="PF3104" s="37"/>
      <c r="PG3104" s="37"/>
      <c r="PH3104" s="37"/>
      <c r="PI3104" s="37"/>
      <c r="PJ3104" s="37"/>
      <c r="PK3104" s="37"/>
      <c r="PL3104" s="37"/>
      <c r="PM3104" s="37"/>
      <c r="PN3104" s="37"/>
      <c r="PO3104" s="37"/>
      <c r="PP3104" s="37"/>
      <c r="PQ3104" s="37"/>
      <c r="PR3104" s="37"/>
      <c r="PS3104" s="37"/>
      <c r="PT3104" s="37"/>
      <c r="PU3104" s="37"/>
      <c r="PV3104" s="37"/>
      <c r="PW3104" s="37"/>
      <c r="PX3104" s="37"/>
      <c r="PY3104" s="37"/>
      <c r="PZ3104" s="37"/>
      <c r="QA3104" s="37"/>
      <c r="QB3104" s="37"/>
      <c r="QC3104" s="37"/>
      <c r="QD3104" s="37"/>
      <c r="QE3104" s="37"/>
      <c r="QF3104" s="37"/>
      <c r="QG3104" s="37"/>
      <c r="QH3104" s="37"/>
      <c r="QI3104" s="37"/>
      <c r="QJ3104" s="37"/>
      <c r="QK3104" s="37"/>
      <c r="QL3104" s="37"/>
      <c r="QM3104" s="37"/>
      <c r="QN3104" s="37"/>
      <c r="QO3104" s="37"/>
      <c r="QP3104" s="37"/>
      <c r="QQ3104" s="37"/>
      <c r="QR3104" s="37"/>
      <c r="QS3104" s="37"/>
      <c r="QT3104" s="37"/>
      <c r="QU3104" s="37"/>
      <c r="QV3104" s="37"/>
      <c r="QW3104" s="37"/>
      <c r="QX3104" s="37"/>
      <c r="QY3104" s="37"/>
      <c r="QZ3104" s="37"/>
      <c r="RA3104" s="37"/>
      <c r="RB3104" s="37"/>
      <c r="RC3104" s="37"/>
      <c r="RD3104" s="37"/>
      <c r="RE3104" s="37"/>
      <c r="RF3104" s="37"/>
      <c r="RG3104" s="37"/>
      <c r="RH3104" s="37"/>
      <c r="RI3104" s="37"/>
      <c r="RJ3104" s="37"/>
      <c r="RK3104" s="37"/>
      <c r="RL3104" s="37"/>
      <c r="RM3104" s="37"/>
      <c r="RN3104" s="37"/>
      <c r="RO3104" s="37"/>
      <c r="RP3104" s="37"/>
      <c r="RQ3104" s="37"/>
      <c r="RR3104" s="37"/>
      <c r="RS3104" s="37"/>
      <c r="RT3104" s="37"/>
      <c r="RU3104" s="37"/>
      <c r="RV3104" s="37"/>
      <c r="RW3104" s="37"/>
      <c r="RX3104" s="37"/>
      <c r="RY3104" s="37"/>
      <c r="RZ3104" s="37"/>
      <c r="SA3104" s="37"/>
      <c r="SB3104" s="37"/>
      <c r="SC3104" s="37"/>
      <c r="SD3104" s="37"/>
      <c r="SE3104" s="37"/>
      <c r="SF3104" s="37"/>
    </row>
    <row r="3105" spans="1:500">
      <c r="A3105" s="37"/>
      <c r="B3105" s="37"/>
      <c r="C3105" s="37"/>
      <c r="D3105" s="37"/>
      <c r="E3105" s="37"/>
      <c r="F3105" s="37"/>
      <c r="G3105" s="37"/>
      <c r="H3105" s="37"/>
      <c r="I3105" s="37"/>
      <c r="J3105" s="37"/>
      <c r="K3105" s="37"/>
      <c r="L3105" s="37"/>
      <c r="M3105" s="37"/>
      <c r="N3105" s="37"/>
      <c r="O3105" s="37"/>
      <c r="P3105" s="37"/>
      <c r="Q3105" s="37"/>
      <c r="R3105" s="37"/>
      <c r="S3105" s="37"/>
      <c r="T3105" s="37"/>
      <c r="U3105" s="37"/>
      <c r="V3105" s="37"/>
      <c r="W3105" s="37"/>
      <c r="X3105" s="37"/>
      <c r="Y3105" s="37"/>
      <c r="Z3105" s="37"/>
      <c r="AA3105" s="37"/>
      <c r="AB3105" s="37"/>
      <c r="AC3105" s="37"/>
      <c r="AD3105" s="37"/>
      <c r="AE3105" s="37"/>
      <c r="AF3105" s="37"/>
      <c r="AG3105" s="37"/>
      <c r="AH3105" s="37"/>
      <c r="AI3105" s="37"/>
      <c r="AJ3105" s="37"/>
      <c r="AK3105" s="37"/>
      <c r="AL3105" s="37"/>
      <c r="AM3105" s="37"/>
      <c r="AN3105" s="37"/>
      <c r="AO3105" s="37"/>
      <c r="AP3105" s="37"/>
      <c r="AQ3105" s="37"/>
      <c r="AR3105" s="37"/>
      <c r="AS3105" s="37"/>
      <c r="AT3105" s="37"/>
      <c r="AU3105" s="37"/>
      <c r="AV3105" s="37"/>
      <c r="AW3105" s="37"/>
      <c r="AX3105" s="37"/>
      <c r="AY3105" s="37"/>
      <c r="AZ3105" s="37"/>
      <c r="BA3105" s="37"/>
      <c r="BB3105" s="37"/>
      <c r="BC3105" s="37"/>
      <c r="BD3105" s="37"/>
      <c r="BE3105" s="37"/>
      <c r="BF3105" s="37"/>
      <c r="BG3105" s="37"/>
      <c r="BH3105" s="37"/>
      <c r="BI3105" s="37"/>
      <c r="BJ3105" s="37"/>
      <c r="BK3105" s="37"/>
      <c r="BL3105" s="37"/>
      <c r="BM3105" s="37"/>
      <c r="BN3105" s="37"/>
      <c r="BO3105" s="37"/>
      <c r="BP3105" s="37"/>
      <c r="BQ3105" s="37"/>
      <c r="BR3105" s="37"/>
      <c r="BS3105" s="37"/>
      <c r="BT3105" s="37"/>
      <c r="BU3105" s="37"/>
      <c r="BV3105" s="37"/>
      <c r="BW3105" s="37"/>
      <c r="BX3105" s="37"/>
      <c r="BY3105" s="37"/>
      <c r="BZ3105" s="37"/>
      <c r="CA3105" s="37"/>
      <c r="CB3105" s="37"/>
      <c r="CC3105" s="37"/>
      <c r="CD3105" s="37"/>
      <c r="CE3105" s="37"/>
      <c r="CF3105" s="37"/>
      <c r="CG3105" s="37"/>
      <c r="CH3105" s="37"/>
      <c r="CI3105" s="37"/>
      <c r="CJ3105" s="37"/>
      <c r="CK3105" s="37"/>
      <c r="CL3105" s="37"/>
      <c r="CM3105" s="37"/>
      <c r="CN3105" s="37"/>
      <c r="CO3105" s="37"/>
      <c r="CP3105" s="37"/>
      <c r="CQ3105" s="37"/>
      <c r="CR3105" s="37"/>
      <c r="CS3105" s="37"/>
      <c r="CT3105" s="37"/>
      <c r="CU3105" s="37"/>
      <c r="CV3105" s="37"/>
      <c r="CW3105" s="37"/>
      <c r="CX3105" s="37"/>
      <c r="CY3105" s="37"/>
      <c r="CZ3105" s="37"/>
      <c r="DA3105" s="37"/>
      <c r="DB3105" s="37"/>
      <c r="DC3105" s="37"/>
      <c r="DD3105" s="37"/>
      <c r="DE3105" s="37"/>
      <c r="DF3105" s="37"/>
      <c r="DG3105" s="37"/>
      <c r="DH3105" s="37"/>
      <c r="DI3105" s="37"/>
      <c r="DJ3105" s="37"/>
      <c r="DK3105" s="37"/>
      <c r="DL3105" s="37"/>
      <c r="DM3105" s="37"/>
      <c r="DN3105" s="37"/>
      <c r="DO3105" s="37"/>
      <c r="DP3105" s="37"/>
      <c r="DQ3105" s="37"/>
      <c r="DR3105" s="37"/>
      <c r="DS3105" s="37"/>
      <c r="DT3105" s="37"/>
      <c r="DU3105" s="37"/>
      <c r="DV3105" s="37"/>
      <c r="DW3105" s="37"/>
      <c r="DX3105" s="37"/>
      <c r="DY3105" s="37"/>
      <c r="DZ3105" s="37"/>
      <c r="EA3105" s="37"/>
      <c r="EB3105" s="37"/>
      <c r="EC3105" s="37"/>
      <c r="ED3105" s="37"/>
      <c r="EE3105" s="37"/>
      <c r="EF3105" s="37"/>
      <c r="EG3105" s="37"/>
      <c r="EH3105" s="37"/>
      <c r="EI3105" s="37"/>
      <c r="EJ3105" s="37"/>
      <c r="EK3105" s="37"/>
      <c r="EL3105" s="37"/>
      <c r="EM3105" s="37"/>
      <c r="EN3105" s="37"/>
      <c r="EO3105" s="37"/>
      <c r="EP3105" s="37"/>
      <c r="EQ3105" s="37"/>
      <c r="ER3105" s="37"/>
      <c r="ES3105" s="37"/>
      <c r="ET3105" s="37"/>
      <c r="EU3105" s="37"/>
      <c r="EV3105" s="37"/>
      <c r="EW3105" s="37"/>
      <c r="EX3105" s="37"/>
      <c r="EY3105" s="37"/>
      <c r="EZ3105" s="37"/>
      <c r="FA3105" s="37"/>
      <c r="FB3105" s="37"/>
      <c r="FC3105" s="37"/>
      <c r="FD3105" s="37"/>
      <c r="FE3105" s="37"/>
      <c r="FF3105" s="37"/>
      <c r="FG3105" s="37"/>
      <c r="FH3105" s="37"/>
      <c r="FI3105" s="37"/>
      <c r="FJ3105" s="37"/>
      <c r="FK3105" s="37"/>
      <c r="FL3105" s="37"/>
      <c r="FM3105" s="37"/>
      <c r="FN3105" s="37"/>
      <c r="FO3105" s="37"/>
      <c r="FP3105" s="37"/>
      <c r="FQ3105" s="37"/>
      <c r="FR3105" s="37"/>
      <c r="FS3105" s="37"/>
      <c r="FT3105" s="37"/>
      <c r="FU3105" s="37"/>
      <c r="FV3105" s="37"/>
      <c r="FW3105" s="37"/>
      <c r="FX3105" s="37"/>
      <c r="FY3105" s="37"/>
      <c r="FZ3105" s="37"/>
      <c r="GA3105" s="37"/>
      <c r="GB3105" s="37"/>
      <c r="GC3105" s="37"/>
      <c r="GD3105" s="37"/>
      <c r="GE3105" s="37"/>
      <c r="GF3105" s="37"/>
      <c r="GG3105" s="37"/>
      <c r="GH3105" s="37"/>
      <c r="GI3105" s="37"/>
      <c r="GJ3105" s="37"/>
      <c r="GK3105" s="37"/>
      <c r="GL3105" s="37"/>
      <c r="GM3105" s="37"/>
      <c r="GN3105" s="37"/>
      <c r="GO3105" s="37"/>
      <c r="GP3105" s="37"/>
      <c r="GQ3105" s="37"/>
      <c r="GR3105" s="37"/>
      <c r="GS3105" s="37"/>
      <c r="GT3105" s="37"/>
      <c r="GU3105" s="37"/>
      <c r="GV3105" s="37"/>
      <c r="GW3105" s="37"/>
      <c r="GX3105" s="37"/>
      <c r="GY3105" s="37"/>
      <c r="GZ3105" s="37"/>
      <c r="HA3105" s="37"/>
      <c r="HB3105" s="37"/>
      <c r="HC3105" s="37"/>
      <c r="HD3105" s="37"/>
      <c r="HE3105" s="37"/>
      <c r="HF3105" s="37"/>
      <c r="HG3105" s="37"/>
      <c r="HH3105" s="37"/>
      <c r="HI3105" s="37"/>
      <c r="HJ3105" s="37"/>
      <c r="HK3105" s="37"/>
      <c r="HL3105" s="37"/>
      <c r="HM3105" s="37"/>
      <c r="HN3105" s="37"/>
      <c r="HO3105" s="37"/>
      <c r="HP3105" s="37"/>
      <c r="HQ3105" s="37"/>
      <c r="HR3105" s="37"/>
      <c r="HS3105" s="37"/>
      <c r="HT3105" s="37"/>
      <c r="HU3105" s="37"/>
      <c r="HV3105" s="37"/>
      <c r="HW3105" s="37"/>
      <c r="HX3105" s="37"/>
      <c r="HY3105" s="37"/>
      <c r="HZ3105" s="37"/>
      <c r="IA3105" s="37"/>
      <c r="IB3105" s="37"/>
      <c r="IC3105" s="37"/>
      <c r="ID3105" s="37"/>
      <c r="IE3105" s="37"/>
      <c r="IF3105" s="37"/>
      <c r="IG3105" s="37"/>
      <c r="IH3105" s="37"/>
      <c r="II3105" s="37"/>
      <c r="IJ3105" s="37"/>
      <c r="IK3105" s="37"/>
      <c r="IL3105" s="37"/>
      <c r="IM3105" s="37"/>
      <c r="IN3105" s="37"/>
      <c r="IO3105" s="37"/>
      <c r="IP3105" s="37"/>
      <c r="IQ3105" s="37"/>
      <c r="IR3105" s="37"/>
      <c r="IS3105" s="37"/>
      <c r="IT3105" s="37"/>
      <c r="IU3105" s="37"/>
      <c r="IV3105" s="37"/>
      <c r="IW3105" s="37"/>
      <c r="IX3105" s="37"/>
      <c r="IY3105" s="37"/>
      <c r="IZ3105" s="37"/>
      <c r="JA3105" s="37"/>
      <c r="JB3105" s="37"/>
      <c r="JC3105" s="37"/>
      <c r="JD3105" s="37"/>
      <c r="JE3105" s="37"/>
      <c r="JF3105" s="37"/>
      <c r="JG3105" s="37"/>
      <c r="JH3105" s="37"/>
      <c r="JI3105" s="37"/>
      <c r="JJ3105" s="37"/>
      <c r="JK3105" s="37"/>
      <c r="JL3105" s="37"/>
      <c r="JM3105" s="37"/>
      <c r="JN3105" s="37"/>
      <c r="JO3105" s="37"/>
      <c r="JP3105" s="37"/>
      <c r="JQ3105" s="37"/>
      <c r="JR3105" s="37"/>
      <c r="JS3105" s="37"/>
      <c r="JT3105" s="37"/>
      <c r="JU3105" s="37"/>
      <c r="JV3105" s="37"/>
      <c r="JW3105" s="37"/>
      <c r="JX3105" s="37"/>
      <c r="JY3105" s="37"/>
      <c r="JZ3105" s="37"/>
      <c r="KA3105" s="37"/>
      <c r="KB3105" s="37"/>
      <c r="KC3105" s="37"/>
      <c r="KD3105" s="37"/>
      <c r="KE3105" s="37"/>
      <c r="KF3105" s="37"/>
      <c r="KG3105" s="37"/>
      <c r="KH3105" s="37"/>
      <c r="KI3105" s="37"/>
      <c r="KJ3105" s="37"/>
      <c r="KK3105" s="37"/>
      <c r="KL3105" s="37"/>
      <c r="KM3105" s="37"/>
      <c r="KN3105" s="37"/>
      <c r="KO3105" s="37"/>
      <c r="KP3105" s="37"/>
      <c r="KQ3105" s="37"/>
      <c r="KR3105" s="37"/>
      <c r="KS3105" s="37"/>
      <c r="KT3105" s="37"/>
      <c r="KU3105" s="37"/>
      <c r="KV3105" s="37"/>
      <c r="KW3105" s="37"/>
      <c r="KX3105" s="37"/>
      <c r="KY3105" s="37"/>
      <c r="KZ3105" s="37"/>
      <c r="LA3105" s="37"/>
      <c r="LB3105" s="37"/>
      <c r="LC3105" s="37"/>
      <c r="LD3105" s="37"/>
      <c r="LE3105" s="37"/>
      <c r="LF3105" s="37"/>
      <c r="LG3105" s="37"/>
      <c r="LH3105" s="37"/>
      <c r="LI3105" s="37"/>
      <c r="LJ3105" s="37"/>
      <c r="LK3105" s="37"/>
      <c r="LL3105" s="37"/>
      <c r="LM3105" s="37"/>
      <c r="LN3105" s="37"/>
      <c r="LO3105" s="37"/>
      <c r="LP3105" s="37"/>
      <c r="LQ3105" s="37"/>
      <c r="LR3105" s="37"/>
      <c r="LS3105" s="37"/>
      <c r="LT3105" s="37"/>
      <c r="LU3105" s="37"/>
      <c r="LV3105" s="37"/>
      <c r="LW3105" s="37"/>
      <c r="LX3105" s="37"/>
      <c r="LY3105" s="37"/>
      <c r="LZ3105" s="37"/>
      <c r="MA3105" s="37"/>
      <c r="MB3105" s="37"/>
      <c r="MC3105" s="37"/>
      <c r="MD3105" s="37"/>
      <c r="ME3105" s="37"/>
      <c r="MF3105" s="37"/>
      <c r="MG3105" s="37"/>
      <c r="MH3105" s="37"/>
      <c r="MI3105" s="37"/>
      <c r="MJ3105" s="37"/>
      <c r="MK3105" s="37"/>
      <c r="ML3105" s="37"/>
      <c r="MM3105" s="37"/>
      <c r="MN3105" s="37"/>
      <c r="MO3105" s="37"/>
      <c r="MP3105" s="37"/>
      <c r="MQ3105" s="37"/>
      <c r="MR3105" s="37"/>
      <c r="MS3105" s="37"/>
      <c r="MT3105" s="37"/>
      <c r="MU3105" s="37"/>
      <c r="MV3105" s="37"/>
      <c r="MW3105" s="37"/>
      <c r="MX3105" s="37"/>
      <c r="MY3105" s="37"/>
      <c r="MZ3105" s="37"/>
      <c r="NA3105" s="37"/>
      <c r="NB3105" s="37"/>
      <c r="NC3105" s="37"/>
      <c r="ND3105" s="37"/>
      <c r="NE3105" s="37"/>
      <c r="NF3105" s="37"/>
      <c r="NG3105" s="37"/>
      <c r="NH3105" s="37"/>
      <c r="NI3105" s="37"/>
      <c r="NJ3105" s="37"/>
      <c r="NK3105" s="37"/>
      <c r="NL3105" s="37"/>
      <c r="NM3105" s="37"/>
      <c r="NN3105" s="37"/>
      <c r="NO3105" s="37"/>
      <c r="NP3105" s="37"/>
      <c r="NQ3105" s="37"/>
      <c r="NR3105" s="37"/>
      <c r="NS3105" s="37"/>
      <c r="NT3105" s="37"/>
      <c r="NU3105" s="37"/>
      <c r="NV3105" s="37"/>
      <c r="NW3105" s="37"/>
      <c r="NX3105" s="37"/>
      <c r="NY3105" s="37"/>
      <c r="NZ3105" s="37"/>
      <c r="OA3105" s="37"/>
      <c r="OB3105" s="37"/>
      <c r="OC3105" s="37"/>
      <c r="OD3105" s="37"/>
      <c r="OE3105" s="37"/>
      <c r="OF3105" s="37"/>
      <c r="OG3105" s="37"/>
      <c r="OH3105" s="37"/>
      <c r="OI3105" s="37"/>
      <c r="OJ3105" s="37"/>
      <c r="OK3105" s="37"/>
      <c r="OL3105" s="37"/>
      <c r="OM3105" s="37"/>
      <c r="ON3105" s="37"/>
      <c r="OO3105" s="37"/>
      <c r="OP3105" s="37"/>
      <c r="OQ3105" s="37"/>
      <c r="OR3105" s="37"/>
      <c r="OS3105" s="37"/>
      <c r="OT3105" s="37"/>
      <c r="OU3105" s="37"/>
      <c r="OV3105" s="37"/>
      <c r="OW3105" s="37"/>
      <c r="OX3105" s="37"/>
      <c r="OY3105" s="37"/>
      <c r="OZ3105" s="37"/>
      <c r="PA3105" s="37"/>
      <c r="PB3105" s="37"/>
      <c r="PC3105" s="37"/>
      <c r="PD3105" s="37"/>
      <c r="PE3105" s="37"/>
      <c r="PF3105" s="37"/>
      <c r="PG3105" s="37"/>
      <c r="PH3105" s="37"/>
      <c r="PI3105" s="37"/>
      <c r="PJ3105" s="37"/>
      <c r="PK3105" s="37"/>
      <c r="PL3105" s="37"/>
      <c r="PM3105" s="37"/>
      <c r="PN3105" s="37"/>
      <c r="PO3105" s="37"/>
      <c r="PP3105" s="37"/>
      <c r="PQ3105" s="37"/>
      <c r="PR3105" s="37"/>
      <c r="PS3105" s="37"/>
      <c r="PT3105" s="37"/>
      <c r="PU3105" s="37"/>
      <c r="PV3105" s="37"/>
      <c r="PW3105" s="37"/>
      <c r="PX3105" s="37"/>
      <c r="PY3105" s="37"/>
      <c r="PZ3105" s="37"/>
      <c r="QA3105" s="37"/>
      <c r="QB3105" s="37"/>
      <c r="QC3105" s="37"/>
      <c r="QD3105" s="37"/>
      <c r="QE3105" s="37"/>
      <c r="QF3105" s="37"/>
      <c r="QG3105" s="37"/>
      <c r="QH3105" s="37"/>
      <c r="QI3105" s="37"/>
      <c r="QJ3105" s="37"/>
      <c r="QK3105" s="37"/>
      <c r="QL3105" s="37"/>
      <c r="QM3105" s="37"/>
      <c r="QN3105" s="37"/>
      <c r="QO3105" s="37"/>
      <c r="QP3105" s="37"/>
      <c r="QQ3105" s="37"/>
      <c r="QR3105" s="37"/>
      <c r="QS3105" s="37"/>
      <c r="QT3105" s="37"/>
      <c r="QU3105" s="37"/>
      <c r="QV3105" s="37"/>
      <c r="QW3105" s="37"/>
      <c r="QX3105" s="37"/>
      <c r="QY3105" s="37"/>
      <c r="QZ3105" s="37"/>
      <c r="RA3105" s="37"/>
      <c r="RB3105" s="37"/>
      <c r="RC3105" s="37"/>
      <c r="RD3105" s="37"/>
      <c r="RE3105" s="37"/>
      <c r="RF3105" s="37"/>
      <c r="RG3105" s="37"/>
      <c r="RH3105" s="37"/>
      <c r="RI3105" s="37"/>
      <c r="RJ3105" s="37"/>
      <c r="RK3105" s="37"/>
      <c r="RL3105" s="37"/>
      <c r="RM3105" s="37"/>
      <c r="RN3105" s="37"/>
      <c r="RO3105" s="37"/>
      <c r="RP3105" s="37"/>
      <c r="RQ3105" s="37"/>
      <c r="RR3105" s="37"/>
      <c r="RS3105" s="37"/>
      <c r="RT3105" s="37"/>
      <c r="RU3105" s="37"/>
      <c r="RV3105" s="37"/>
      <c r="RW3105" s="37"/>
      <c r="RX3105" s="37"/>
      <c r="RY3105" s="37"/>
      <c r="RZ3105" s="37"/>
      <c r="SA3105" s="37"/>
      <c r="SB3105" s="37"/>
      <c r="SC3105" s="37"/>
      <c r="SD3105" s="37"/>
      <c r="SE3105" s="37"/>
      <c r="SF3105" s="37"/>
    </row>
    <row r="3106" spans="1:500">
      <c r="A3106" s="37"/>
      <c r="B3106" s="37"/>
      <c r="C3106" s="37"/>
      <c r="D3106" s="37"/>
      <c r="E3106" s="37"/>
      <c r="F3106" s="37"/>
      <c r="G3106" s="37"/>
      <c r="H3106" s="37"/>
      <c r="I3106" s="37"/>
      <c r="J3106" s="37"/>
      <c r="K3106" s="37"/>
      <c r="L3106" s="37"/>
      <c r="M3106" s="37"/>
      <c r="N3106" s="37"/>
      <c r="O3106" s="37"/>
      <c r="P3106" s="37"/>
      <c r="Q3106" s="37"/>
      <c r="R3106" s="37"/>
      <c r="S3106" s="37"/>
      <c r="T3106" s="37"/>
      <c r="U3106" s="37"/>
      <c r="V3106" s="37"/>
      <c r="W3106" s="37"/>
      <c r="X3106" s="37"/>
      <c r="Y3106" s="37"/>
      <c r="Z3106" s="37"/>
      <c r="AA3106" s="37"/>
      <c r="AB3106" s="37"/>
      <c r="AC3106" s="37"/>
      <c r="AD3106" s="37"/>
      <c r="AE3106" s="37"/>
      <c r="AF3106" s="37"/>
      <c r="AG3106" s="37"/>
      <c r="AH3106" s="37"/>
      <c r="AI3106" s="37"/>
      <c r="AJ3106" s="37"/>
      <c r="AK3106" s="37"/>
      <c r="AL3106" s="37"/>
      <c r="AM3106" s="37"/>
      <c r="AN3106" s="37"/>
      <c r="AO3106" s="37"/>
      <c r="AP3106" s="37"/>
      <c r="AQ3106" s="37"/>
      <c r="AR3106" s="37"/>
      <c r="AS3106" s="37"/>
      <c r="AT3106" s="37"/>
      <c r="AU3106" s="37"/>
      <c r="AV3106" s="37"/>
      <c r="AW3106" s="37"/>
      <c r="AX3106" s="37"/>
      <c r="AY3106" s="37"/>
      <c r="AZ3106" s="37"/>
      <c r="BA3106" s="37"/>
      <c r="BB3106" s="37"/>
      <c r="BC3106" s="37"/>
      <c r="BD3106" s="37"/>
      <c r="BE3106" s="37"/>
      <c r="BF3106" s="37"/>
      <c r="BG3106" s="37"/>
      <c r="BH3106" s="37"/>
      <c r="BI3106" s="37"/>
      <c r="BJ3106" s="37"/>
      <c r="BK3106" s="37"/>
      <c r="BL3106" s="37"/>
      <c r="BM3106" s="37"/>
      <c r="BN3106" s="37"/>
      <c r="BO3106" s="37"/>
      <c r="BP3106" s="37"/>
      <c r="BQ3106" s="37"/>
      <c r="BR3106" s="37"/>
      <c r="BS3106" s="37"/>
      <c r="BT3106" s="37"/>
      <c r="BU3106" s="37"/>
      <c r="BV3106" s="37"/>
      <c r="BW3106" s="37"/>
      <c r="BX3106" s="37"/>
      <c r="BY3106" s="37"/>
      <c r="BZ3106" s="37"/>
      <c r="CA3106" s="37"/>
      <c r="CB3106" s="37"/>
      <c r="CC3106" s="37"/>
      <c r="CD3106" s="37"/>
      <c r="CE3106" s="37"/>
      <c r="CF3106" s="37"/>
      <c r="CG3106" s="37"/>
      <c r="CH3106" s="37"/>
      <c r="CI3106" s="37"/>
      <c r="CJ3106" s="37"/>
      <c r="CK3106" s="37"/>
      <c r="CL3106" s="37"/>
      <c r="CM3106" s="37"/>
      <c r="CN3106" s="37"/>
      <c r="CO3106" s="37"/>
      <c r="CP3106" s="37"/>
      <c r="CQ3106" s="37"/>
      <c r="CR3106" s="37"/>
      <c r="CS3106" s="37"/>
      <c r="CT3106" s="37"/>
      <c r="CU3106" s="37"/>
      <c r="CV3106" s="37"/>
      <c r="CW3106" s="37"/>
      <c r="CX3106" s="37"/>
      <c r="CY3106" s="37"/>
      <c r="CZ3106" s="37"/>
      <c r="DA3106" s="37"/>
      <c r="DB3106" s="37"/>
      <c r="DC3106" s="37"/>
      <c r="DD3106" s="37"/>
      <c r="DE3106" s="37"/>
      <c r="DF3106" s="37"/>
      <c r="DG3106" s="37"/>
      <c r="DH3106" s="37"/>
      <c r="DI3106" s="37"/>
      <c r="DJ3106" s="37"/>
      <c r="DK3106" s="37"/>
      <c r="DL3106" s="37"/>
      <c r="DM3106" s="37"/>
      <c r="DN3106" s="37"/>
      <c r="DO3106" s="37"/>
      <c r="DP3106" s="37"/>
      <c r="DQ3106" s="37"/>
      <c r="DR3106" s="37"/>
      <c r="DS3106" s="37"/>
      <c r="DT3106" s="37"/>
      <c r="DU3106" s="37"/>
      <c r="DV3106" s="37"/>
      <c r="DW3106" s="37"/>
      <c r="DX3106" s="37"/>
      <c r="DY3106" s="37"/>
      <c r="DZ3106" s="37"/>
      <c r="EA3106" s="37"/>
      <c r="EB3106" s="37"/>
      <c r="EC3106" s="37"/>
      <c r="ED3106" s="37"/>
      <c r="EE3106" s="37"/>
      <c r="EF3106" s="37"/>
      <c r="EG3106" s="37"/>
      <c r="EH3106" s="37"/>
      <c r="EI3106" s="37"/>
      <c r="EJ3106" s="37"/>
      <c r="EK3106" s="37"/>
      <c r="EL3106" s="37"/>
      <c r="EM3106" s="37"/>
      <c r="EN3106" s="37"/>
      <c r="EO3106" s="37"/>
      <c r="EP3106" s="37"/>
      <c r="EQ3106" s="37"/>
      <c r="ER3106" s="37"/>
      <c r="ES3106" s="37"/>
      <c r="ET3106" s="37"/>
      <c r="EU3106" s="37"/>
      <c r="EV3106" s="37"/>
      <c r="EW3106" s="37"/>
      <c r="EX3106" s="37"/>
      <c r="EY3106" s="37"/>
      <c r="EZ3106" s="37"/>
      <c r="FA3106" s="37"/>
      <c r="FB3106" s="37"/>
      <c r="FC3106" s="37"/>
      <c r="FD3106" s="37"/>
      <c r="FE3106" s="37"/>
      <c r="FF3106" s="37"/>
      <c r="FG3106" s="37"/>
      <c r="FH3106" s="37"/>
      <c r="FI3106" s="37"/>
      <c r="FJ3106" s="37"/>
      <c r="FK3106" s="37"/>
      <c r="FL3106" s="37"/>
      <c r="FM3106" s="37"/>
      <c r="FN3106" s="37"/>
      <c r="FO3106" s="37"/>
      <c r="FP3106" s="37"/>
      <c r="FQ3106" s="37"/>
      <c r="FR3106" s="37"/>
      <c r="FS3106" s="37"/>
      <c r="FT3106" s="37"/>
      <c r="FU3106" s="37"/>
      <c r="FV3106" s="37"/>
      <c r="FW3106" s="37"/>
      <c r="FX3106" s="37"/>
      <c r="FY3106" s="37"/>
      <c r="FZ3106" s="37"/>
      <c r="GA3106" s="37"/>
      <c r="GB3106" s="37"/>
      <c r="GC3106" s="37"/>
      <c r="GD3106" s="37"/>
      <c r="GE3106" s="37"/>
      <c r="GF3106" s="37"/>
      <c r="GG3106" s="37"/>
      <c r="GH3106" s="37"/>
      <c r="GI3106" s="37"/>
      <c r="GJ3106" s="37"/>
      <c r="GK3106" s="37"/>
      <c r="GL3106" s="37"/>
      <c r="GM3106" s="37"/>
      <c r="GN3106" s="37"/>
      <c r="GO3106" s="37"/>
      <c r="GP3106" s="37"/>
      <c r="GQ3106" s="37"/>
      <c r="GR3106" s="37"/>
      <c r="GS3106" s="37"/>
      <c r="GT3106" s="37"/>
      <c r="GU3106" s="37"/>
      <c r="GV3106" s="37"/>
      <c r="GW3106" s="37"/>
      <c r="GX3106" s="37"/>
      <c r="GY3106" s="37"/>
      <c r="GZ3106" s="37"/>
      <c r="HA3106" s="37"/>
      <c r="HB3106" s="37"/>
      <c r="HC3106" s="37"/>
      <c r="HD3106" s="37"/>
      <c r="HE3106" s="37"/>
      <c r="HF3106" s="37"/>
      <c r="HG3106" s="37"/>
      <c r="HH3106" s="37"/>
      <c r="HI3106" s="37"/>
      <c r="HJ3106" s="37"/>
      <c r="HK3106" s="37"/>
      <c r="HL3106" s="37"/>
      <c r="HM3106" s="37"/>
      <c r="HN3106" s="37"/>
      <c r="HO3106" s="37"/>
      <c r="HP3106" s="37"/>
      <c r="HQ3106" s="37"/>
      <c r="HR3106" s="37"/>
      <c r="HS3106" s="37"/>
      <c r="HT3106" s="37"/>
      <c r="HU3106" s="37"/>
      <c r="HV3106" s="37"/>
      <c r="HW3106" s="37"/>
      <c r="HX3106" s="37"/>
      <c r="HY3106" s="37"/>
      <c r="HZ3106" s="37"/>
      <c r="IA3106" s="37"/>
      <c r="IB3106" s="37"/>
      <c r="IC3106" s="37"/>
      <c r="ID3106" s="37"/>
      <c r="IE3106" s="37"/>
      <c r="IF3106" s="37"/>
      <c r="IG3106" s="37"/>
      <c r="IH3106" s="37"/>
      <c r="II3106" s="37"/>
      <c r="IJ3106" s="37"/>
      <c r="IK3106" s="37"/>
      <c r="IL3106" s="37"/>
      <c r="IM3106" s="37"/>
      <c r="IN3106" s="37"/>
      <c r="IO3106" s="37"/>
      <c r="IP3106" s="37"/>
      <c r="IQ3106" s="37"/>
      <c r="IR3106" s="37"/>
      <c r="IS3106" s="37"/>
      <c r="IT3106" s="37"/>
      <c r="IU3106" s="37"/>
      <c r="IV3106" s="37"/>
      <c r="IW3106" s="37"/>
      <c r="IX3106" s="37"/>
      <c r="IY3106" s="37"/>
      <c r="IZ3106" s="37"/>
      <c r="JA3106" s="37"/>
      <c r="JB3106" s="37"/>
      <c r="JC3106" s="37"/>
      <c r="JD3106" s="37"/>
      <c r="JE3106" s="37"/>
      <c r="JF3106" s="37"/>
      <c r="JG3106" s="37"/>
      <c r="JH3106" s="37"/>
      <c r="JI3106" s="37"/>
      <c r="JJ3106" s="37"/>
      <c r="JK3106" s="37"/>
      <c r="JL3106" s="37"/>
      <c r="JM3106" s="37"/>
      <c r="JN3106" s="37"/>
      <c r="JO3106" s="37"/>
      <c r="JP3106" s="37"/>
      <c r="JQ3106" s="37"/>
      <c r="JR3106" s="37"/>
      <c r="JS3106" s="37"/>
      <c r="JT3106" s="37"/>
      <c r="JU3106" s="37"/>
      <c r="JV3106" s="37"/>
      <c r="JW3106" s="37"/>
      <c r="JX3106" s="37"/>
      <c r="JY3106" s="37"/>
      <c r="JZ3106" s="37"/>
      <c r="KA3106" s="37"/>
      <c r="KB3106" s="37"/>
      <c r="KC3106" s="37"/>
      <c r="KD3106" s="37"/>
      <c r="KE3106" s="37"/>
      <c r="KF3106" s="37"/>
      <c r="KG3106" s="37"/>
      <c r="KH3106" s="37"/>
      <c r="KI3106" s="37"/>
      <c r="KJ3106" s="37"/>
      <c r="KK3106" s="37"/>
      <c r="KL3106" s="37"/>
      <c r="KM3106" s="37"/>
      <c r="KN3106" s="37"/>
      <c r="KO3106" s="37"/>
      <c r="KP3106" s="37"/>
      <c r="KQ3106" s="37"/>
      <c r="KR3106" s="37"/>
      <c r="KS3106" s="37"/>
      <c r="KT3106" s="37"/>
      <c r="KU3106" s="37"/>
      <c r="KV3106" s="37"/>
      <c r="KW3106" s="37"/>
      <c r="KX3106" s="37"/>
      <c r="KY3106" s="37"/>
      <c r="KZ3106" s="37"/>
      <c r="LA3106" s="37"/>
      <c r="LB3106" s="37"/>
      <c r="LC3106" s="37"/>
      <c r="LD3106" s="37"/>
      <c r="LE3106" s="37"/>
      <c r="LF3106" s="37"/>
      <c r="LG3106" s="37"/>
      <c r="LH3106" s="37"/>
      <c r="LI3106" s="37"/>
      <c r="LJ3106" s="37"/>
      <c r="LK3106" s="37"/>
      <c r="LL3106" s="37"/>
      <c r="LM3106" s="37"/>
      <c r="LN3106" s="37"/>
      <c r="LO3106" s="37"/>
      <c r="LP3106" s="37"/>
      <c r="LQ3106" s="37"/>
      <c r="LR3106" s="37"/>
      <c r="LS3106" s="37"/>
      <c r="LT3106" s="37"/>
      <c r="LU3106" s="37"/>
      <c r="LV3106" s="37"/>
      <c r="LW3106" s="37"/>
      <c r="LX3106" s="37"/>
      <c r="LY3106" s="37"/>
      <c r="LZ3106" s="37"/>
      <c r="MA3106" s="37"/>
      <c r="MB3106" s="37"/>
      <c r="MC3106" s="37"/>
      <c r="MD3106" s="37"/>
      <c r="ME3106" s="37"/>
      <c r="MF3106" s="37"/>
      <c r="MG3106" s="37"/>
      <c r="MH3106" s="37"/>
      <c r="MI3106" s="37"/>
      <c r="MJ3106" s="37"/>
      <c r="MK3106" s="37"/>
      <c r="ML3106" s="37"/>
      <c r="MM3106" s="37"/>
      <c r="MN3106" s="37"/>
      <c r="MO3106" s="37"/>
      <c r="MP3106" s="37"/>
      <c r="MQ3106" s="37"/>
      <c r="MR3106" s="37"/>
      <c r="MS3106" s="37"/>
      <c r="MT3106" s="37"/>
      <c r="MU3106" s="37"/>
      <c r="MV3106" s="37"/>
      <c r="MW3106" s="37"/>
      <c r="MX3106" s="37"/>
      <c r="MY3106" s="37"/>
      <c r="MZ3106" s="37"/>
      <c r="NA3106" s="37"/>
      <c r="NB3106" s="37"/>
      <c r="NC3106" s="37"/>
      <c r="ND3106" s="37"/>
      <c r="NE3106" s="37"/>
      <c r="NF3106" s="37"/>
      <c r="NG3106" s="37"/>
      <c r="NH3106" s="37"/>
      <c r="NI3106" s="37"/>
      <c r="NJ3106" s="37"/>
      <c r="NK3106" s="37"/>
      <c r="NL3106" s="37"/>
      <c r="NM3106" s="37"/>
      <c r="NN3106" s="37"/>
      <c r="NO3106" s="37"/>
      <c r="NP3106" s="37"/>
      <c r="NQ3106" s="37"/>
      <c r="NR3106" s="37"/>
      <c r="NS3106" s="37"/>
      <c r="NT3106" s="37"/>
      <c r="NU3106" s="37"/>
      <c r="NV3106" s="37"/>
      <c r="NW3106" s="37"/>
      <c r="NX3106" s="37"/>
      <c r="NY3106" s="37"/>
      <c r="NZ3106" s="37"/>
      <c r="OA3106" s="37"/>
      <c r="OB3106" s="37"/>
      <c r="OC3106" s="37"/>
      <c r="OD3106" s="37"/>
      <c r="OE3106" s="37"/>
      <c r="OF3106" s="37"/>
      <c r="OG3106" s="37"/>
      <c r="OH3106" s="37"/>
      <c r="OI3106" s="37"/>
      <c r="OJ3106" s="37"/>
      <c r="OK3106" s="37"/>
      <c r="OL3106" s="37"/>
      <c r="OM3106" s="37"/>
      <c r="ON3106" s="37"/>
      <c r="OO3106" s="37"/>
      <c r="OP3106" s="37"/>
      <c r="OQ3106" s="37"/>
      <c r="OR3106" s="37"/>
      <c r="OS3106" s="37"/>
      <c r="OT3106" s="37"/>
      <c r="OU3106" s="37"/>
      <c r="OV3106" s="37"/>
      <c r="OW3106" s="37"/>
      <c r="OX3106" s="37"/>
      <c r="OY3106" s="37"/>
      <c r="OZ3106" s="37"/>
      <c r="PA3106" s="37"/>
      <c r="PB3106" s="37"/>
      <c r="PC3106" s="37"/>
      <c r="PD3106" s="37"/>
      <c r="PE3106" s="37"/>
      <c r="PF3106" s="37"/>
      <c r="PG3106" s="37"/>
      <c r="PH3106" s="37"/>
      <c r="PI3106" s="37"/>
      <c r="PJ3106" s="37"/>
      <c r="PK3106" s="37"/>
      <c r="PL3106" s="37"/>
      <c r="PM3106" s="37"/>
      <c r="PN3106" s="37"/>
      <c r="PO3106" s="37"/>
      <c r="PP3106" s="37"/>
      <c r="PQ3106" s="37"/>
      <c r="PR3106" s="37"/>
      <c r="PS3106" s="37"/>
      <c r="PT3106" s="37"/>
      <c r="PU3106" s="37"/>
      <c r="PV3106" s="37"/>
      <c r="PW3106" s="37"/>
      <c r="PX3106" s="37"/>
      <c r="PY3106" s="37"/>
      <c r="PZ3106" s="37"/>
      <c r="QA3106" s="37"/>
      <c r="QB3106" s="37"/>
      <c r="QC3106" s="37"/>
      <c r="QD3106" s="37"/>
      <c r="QE3106" s="37"/>
      <c r="QF3106" s="37"/>
      <c r="QG3106" s="37"/>
      <c r="QH3106" s="37"/>
      <c r="QI3106" s="37"/>
      <c r="QJ3106" s="37"/>
      <c r="QK3106" s="37"/>
      <c r="QL3106" s="37"/>
      <c r="QM3106" s="37"/>
      <c r="QN3106" s="37"/>
      <c r="QO3106" s="37"/>
      <c r="QP3106" s="37"/>
      <c r="QQ3106" s="37"/>
      <c r="QR3106" s="37"/>
      <c r="QS3106" s="37"/>
      <c r="QT3106" s="37"/>
      <c r="QU3106" s="37"/>
      <c r="QV3106" s="37"/>
      <c r="QW3106" s="37"/>
      <c r="QX3106" s="37"/>
      <c r="QY3106" s="37"/>
      <c r="QZ3106" s="37"/>
      <c r="RA3106" s="37"/>
      <c r="RB3106" s="37"/>
      <c r="RC3106" s="37"/>
      <c r="RD3106" s="37"/>
      <c r="RE3106" s="37"/>
      <c r="RF3106" s="37"/>
      <c r="RG3106" s="37"/>
      <c r="RH3106" s="37"/>
      <c r="RI3106" s="37"/>
      <c r="RJ3106" s="37"/>
      <c r="RK3106" s="37"/>
      <c r="RL3106" s="37"/>
      <c r="RM3106" s="37"/>
      <c r="RN3106" s="37"/>
      <c r="RO3106" s="37"/>
      <c r="RP3106" s="37"/>
      <c r="RQ3106" s="37"/>
      <c r="RR3106" s="37"/>
      <c r="RS3106" s="37"/>
      <c r="RT3106" s="37"/>
      <c r="RU3106" s="37"/>
      <c r="RV3106" s="37"/>
      <c r="RW3106" s="37"/>
      <c r="RX3106" s="37"/>
      <c r="RY3106" s="37"/>
      <c r="RZ3106" s="37"/>
      <c r="SA3106" s="37"/>
      <c r="SB3106" s="37"/>
      <c r="SC3106" s="37"/>
      <c r="SD3106" s="37"/>
      <c r="SE3106" s="37"/>
      <c r="SF3106" s="37"/>
    </row>
    <row r="3107" spans="1:500">
      <c r="A3107" s="37"/>
      <c r="B3107" s="37"/>
      <c r="C3107" s="37"/>
      <c r="D3107" s="37"/>
      <c r="E3107" s="37"/>
      <c r="F3107" s="37"/>
      <c r="G3107" s="37"/>
      <c r="H3107" s="37"/>
      <c r="I3107" s="37"/>
      <c r="J3107" s="37"/>
      <c r="K3107" s="37"/>
      <c r="L3107" s="37"/>
      <c r="M3107" s="37"/>
      <c r="N3107" s="37"/>
      <c r="O3107" s="37"/>
      <c r="P3107" s="37"/>
      <c r="Q3107" s="37"/>
      <c r="R3107" s="37"/>
      <c r="S3107" s="37"/>
      <c r="T3107" s="37"/>
      <c r="U3107" s="37"/>
      <c r="V3107" s="37"/>
      <c r="W3107" s="37"/>
      <c r="X3107" s="37"/>
      <c r="Y3107" s="37"/>
      <c r="Z3107" s="37"/>
      <c r="AA3107" s="37"/>
      <c r="AB3107" s="37"/>
      <c r="AC3107" s="37"/>
      <c r="AD3107" s="37"/>
      <c r="AE3107" s="37"/>
      <c r="AF3107" s="37"/>
      <c r="AG3107" s="37"/>
      <c r="AH3107" s="37"/>
      <c r="AI3107" s="37"/>
      <c r="AJ3107" s="37"/>
      <c r="AK3107" s="37"/>
      <c r="AL3107" s="37"/>
      <c r="AM3107" s="37"/>
      <c r="AN3107" s="37"/>
      <c r="AO3107" s="37"/>
      <c r="AP3107" s="37"/>
      <c r="AQ3107" s="37"/>
      <c r="AR3107" s="37"/>
      <c r="AS3107" s="37"/>
      <c r="AT3107" s="37"/>
      <c r="AU3107" s="37"/>
      <c r="AV3107" s="37"/>
      <c r="AW3107" s="37"/>
      <c r="AX3107" s="37"/>
      <c r="AY3107" s="37"/>
      <c r="AZ3107" s="37"/>
      <c r="BA3107" s="37"/>
      <c r="BB3107" s="37"/>
      <c r="BC3107" s="37"/>
      <c r="BD3107" s="37"/>
      <c r="BE3107" s="37"/>
      <c r="BF3107" s="37"/>
      <c r="BG3107" s="37"/>
      <c r="BH3107" s="37"/>
      <c r="BI3107" s="37"/>
      <c r="BJ3107" s="37"/>
      <c r="BK3107" s="37"/>
      <c r="BL3107" s="37"/>
      <c r="BM3107" s="37"/>
      <c r="BN3107" s="37"/>
      <c r="BO3107" s="37"/>
      <c r="BP3107" s="37"/>
      <c r="BQ3107" s="37"/>
      <c r="BR3107" s="37"/>
      <c r="BS3107" s="37"/>
      <c r="BT3107" s="37"/>
      <c r="BU3107" s="37"/>
      <c r="BV3107" s="37"/>
      <c r="BW3107" s="37"/>
      <c r="BX3107" s="37"/>
      <c r="BY3107" s="37"/>
      <c r="BZ3107" s="37"/>
      <c r="CA3107" s="37"/>
      <c r="CB3107" s="37"/>
      <c r="CC3107" s="37"/>
      <c r="CD3107" s="37"/>
      <c r="CE3107" s="37"/>
      <c r="CF3107" s="37"/>
      <c r="CG3107" s="37"/>
      <c r="CH3107" s="37"/>
      <c r="CI3107" s="37"/>
      <c r="CJ3107" s="37"/>
      <c r="CK3107" s="37"/>
      <c r="CL3107" s="37"/>
      <c r="CM3107" s="37"/>
      <c r="CN3107" s="37"/>
      <c r="CO3107" s="37"/>
      <c r="CP3107" s="37"/>
      <c r="CQ3107" s="37"/>
      <c r="CR3107" s="37"/>
      <c r="CS3107" s="37"/>
      <c r="CT3107" s="37"/>
      <c r="CU3107" s="37"/>
      <c r="CV3107" s="37"/>
      <c r="CW3107" s="37"/>
      <c r="CX3107" s="37"/>
      <c r="CY3107" s="37"/>
      <c r="CZ3107" s="37"/>
      <c r="DA3107" s="37"/>
      <c r="DB3107" s="37"/>
      <c r="DC3107" s="37"/>
      <c r="DD3107" s="37"/>
      <c r="DE3107" s="37"/>
      <c r="DF3107" s="37"/>
      <c r="DG3107" s="37"/>
      <c r="DH3107" s="37"/>
      <c r="DI3107" s="37"/>
      <c r="DJ3107" s="37"/>
      <c r="DK3107" s="37"/>
      <c r="DL3107" s="37"/>
      <c r="DM3107" s="37"/>
      <c r="DN3107" s="37"/>
      <c r="DO3107" s="37"/>
      <c r="DP3107" s="37"/>
      <c r="DQ3107" s="37"/>
      <c r="DR3107" s="37"/>
      <c r="DS3107" s="37"/>
      <c r="DT3107" s="37"/>
      <c r="DU3107" s="37"/>
      <c r="DV3107" s="37"/>
      <c r="DW3107" s="37"/>
      <c r="DX3107" s="37"/>
      <c r="DY3107" s="37"/>
      <c r="DZ3107" s="37"/>
      <c r="EA3107" s="37"/>
      <c r="EB3107" s="37"/>
      <c r="EC3107" s="37"/>
      <c r="ED3107" s="37"/>
      <c r="EE3107" s="37"/>
      <c r="EF3107" s="37"/>
      <c r="EG3107" s="37"/>
      <c r="EH3107" s="37"/>
      <c r="EI3107" s="37"/>
      <c r="EJ3107" s="37"/>
      <c r="EK3107" s="37"/>
      <c r="EL3107" s="37"/>
      <c r="EM3107" s="37"/>
      <c r="EN3107" s="37"/>
      <c r="EO3107" s="37"/>
      <c r="EP3107" s="37"/>
      <c r="EQ3107" s="37"/>
      <c r="ER3107" s="37"/>
      <c r="ES3107" s="37"/>
      <c r="ET3107" s="37"/>
      <c r="EU3107" s="37"/>
      <c r="EV3107" s="37"/>
      <c r="EW3107" s="37"/>
      <c r="EX3107" s="37"/>
      <c r="EY3107" s="37"/>
      <c r="EZ3107" s="37"/>
      <c r="FA3107" s="37"/>
      <c r="FB3107" s="37"/>
      <c r="FC3107" s="37"/>
      <c r="FD3107" s="37"/>
      <c r="FE3107" s="37"/>
      <c r="FF3107" s="37"/>
      <c r="FG3107" s="37"/>
      <c r="FH3107" s="37"/>
      <c r="FI3107" s="37"/>
      <c r="FJ3107" s="37"/>
      <c r="FK3107" s="37"/>
      <c r="FL3107" s="37"/>
      <c r="FM3107" s="37"/>
      <c r="FN3107" s="37"/>
      <c r="FO3107" s="37"/>
      <c r="FP3107" s="37"/>
      <c r="FQ3107" s="37"/>
      <c r="FR3107" s="37"/>
      <c r="FS3107" s="37"/>
      <c r="FT3107" s="37"/>
      <c r="FU3107" s="37"/>
      <c r="FV3107" s="37"/>
      <c r="FW3107" s="37"/>
      <c r="FX3107" s="37"/>
      <c r="FY3107" s="37"/>
      <c r="FZ3107" s="37"/>
      <c r="GA3107" s="37"/>
      <c r="GB3107" s="37"/>
      <c r="GC3107" s="37"/>
      <c r="GD3107" s="37"/>
      <c r="GE3107" s="37"/>
      <c r="GF3107" s="37"/>
      <c r="GG3107" s="37"/>
      <c r="GH3107" s="37"/>
      <c r="GI3107" s="37"/>
      <c r="GJ3107" s="37"/>
      <c r="GK3107" s="37"/>
      <c r="GL3107" s="37"/>
      <c r="GM3107" s="37"/>
      <c r="GN3107" s="37"/>
      <c r="GO3107" s="37"/>
      <c r="GP3107" s="37"/>
      <c r="GQ3107" s="37"/>
      <c r="GR3107" s="37"/>
      <c r="GS3107" s="37"/>
      <c r="GT3107" s="37"/>
      <c r="GU3107" s="37"/>
      <c r="GV3107" s="37"/>
      <c r="GW3107" s="37"/>
      <c r="GX3107" s="37"/>
      <c r="GY3107" s="37"/>
      <c r="GZ3107" s="37"/>
      <c r="HA3107" s="37"/>
      <c r="HB3107" s="37"/>
      <c r="HC3107" s="37"/>
      <c r="HD3107" s="37"/>
      <c r="HE3107" s="37"/>
      <c r="HF3107" s="37"/>
      <c r="HG3107" s="37"/>
      <c r="HH3107" s="37"/>
      <c r="HI3107" s="37"/>
      <c r="HJ3107" s="37"/>
      <c r="HK3107" s="37"/>
      <c r="HL3107" s="37"/>
      <c r="HM3107" s="37"/>
      <c r="HN3107" s="37"/>
      <c r="HO3107" s="37"/>
      <c r="HP3107" s="37"/>
      <c r="HQ3107" s="37"/>
      <c r="HR3107" s="37"/>
      <c r="HS3107" s="37"/>
      <c r="HT3107" s="37"/>
      <c r="HU3107" s="37"/>
      <c r="HV3107" s="37"/>
      <c r="HW3107" s="37"/>
      <c r="HX3107" s="37"/>
      <c r="HY3107" s="37"/>
      <c r="HZ3107" s="37"/>
      <c r="IA3107" s="37"/>
      <c r="IB3107" s="37"/>
      <c r="IC3107" s="37"/>
      <c r="ID3107" s="37"/>
      <c r="IE3107" s="37"/>
      <c r="IF3107" s="37"/>
      <c r="IG3107" s="37"/>
      <c r="IH3107" s="37"/>
      <c r="II3107" s="37"/>
      <c r="IJ3107" s="37"/>
      <c r="IK3107" s="37"/>
      <c r="IL3107" s="37"/>
      <c r="IM3107" s="37"/>
      <c r="IN3107" s="37"/>
      <c r="IO3107" s="37"/>
      <c r="IP3107" s="37"/>
      <c r="IQ3107" s="37"/>
      <c r="IR3107" s="37"/>
      <c r="IS3107" s="37"/>
      <c r="IT3107" s="37"/>
      <c r="IU3107" s="37"/>
      <c r="IV3107" s="37"/>
      <c r="IW3107" s="37"/>
      <c r="IX3107" s="37"/>
      <c r="IY3107" s="37"/>
      <c r="IZ3107" s="37"/>
      <c r="JA3107" s="37"/>
      <c r="JB3107" s="37"/>
      <c r="JC3107" s="37"/>
      <c r="JD3107" s="37"/>
      <c r="JE3107" s="37"/>
      <c r="JF3107" s="37"/>
      <c r="JG3107" s="37"/>
      <c r="JH3107" s="37"/>
      <c r="JI3107" s="37"/>
      <c r="JJ3107" s="37"/>
      <c r="JK3107" s="37"/>
      <c r="JL3107" s="37"/>
      <c r="JM3107" s="37"/>
      <c r="JN3107" s="37"/>
      <c r="JO3107" s="37"/>
      <c r="JP3107" s="37"/>
      <c r="JQ3107" s="37"/>
      <c r="JR3107" s="37"/>
      <c r="JS3107" s="37"/>
      <c r="JT3107" s="37"/>
      <c r="JU3107" s="37"/>
      <c r="JV3107" s="37"/>
      <c r="JW3107" s="37"/>
      <c r="JX3107" s="37"/>
      <c r="JY3107" s="37"/>
      <c r="JZ3107" s="37"/>
      <c r="KA3107" s="37"/>
      <c r="KB3107" s="37"/>
      <c r="KC3107" s="37"/>
      <c r="KD3107" s="37"/>
      <c r="KE3107" s="37"/>
      <c r="KF3107" s="37"/>
      <c r="KG3107" s="37"/>
      <c r="KH3107" s="37"/>
      <c r="KI3107" s="37"/>
      <c r="KJ3107" s="37"/>
      <c r="KK3107" s="37"/>
      <c r="KL3107" s="37"/>
      <c r="KM3107" s="37"/>
      <c r="KN3107" s="37"/>
      <c r="KO3107" s="37"/>
      <c r="KP3107" s="37"/>
      <c r="KQ3107" s="37"/>
      <c r="KR3107" s="37"/>
      <c r="KS3107" s="37"/>
      <c r="KT3107" s="37"/>
      <c r="KU3107" s="37"/>
      <c r="KV3107" s="37"/>
      <c r="KW3107" s="37"/>
      <c r="KX3107" s="37"/>
      <c r="KY3107" s="37"/>
      <c r="KZ3107" s="37"/>
      <c r="LA3107" s="37"/>
      <c r="LB3107" s="37"/>
      <c r="LC3107" s="37"/>
      <c r="LD3107" s="37"/>
      <c r="LE3107" s="37"/>
      <c r="LF3107" s="37"/>
      <c r="LG3107" s="37"/>
      <c r="LH3107" s="37"/>
      <c r="LI3107" s="37"/>
      <c r="LJ3107" s="37"/>
      <c r="LK3107" s="37"/>
      <c r="LL3107" s="37"/>
      <c r="LM3107" s="37"/>
      <c r="LN3107" s="37"/>
      <c r="LO3107" s="37"/>
      <c r="LP3107" s="37"/>
      <c r="LQ3107" s="37"/>
      <c r="LR3107" s="37"/>
      <c r="LS3107" s="37"/>
      <c r="LT3107" s="37"/>
      <c r="LU3107" s="37"/>
      <c r="LV3107" s="37"/>
      <c r="LW3107" s="37"/>
      <c r="LX3107" s="37"/>
      <c r="LY3107" s="37"/>
      <c r="LZ3107" s="37"/>
      <c r="MA3107" s="37"/>
      <c r="MB3107" s="37"/>
      <c r="MC3107" s="37"/>
      <c r="MD3107" s="37"/>
      <c r="ME3107" s="37"/>
      <c r="MF3107" s="37"/>
      <c r="MG3107" s="37"/>
      <c r="MH3107" s="37"/>
      <c r="MI3107" s="37"/>
      <c r="MJ3107" s="37"/>
      <c r="MK3107" s="37"/>
      <c r="ML3107" s="37"/>
      <c r="MM3107" s="37"/>
      <c r="MN3107" s="37"/>
      <c r="MO3107" s="37"/>
      <c r="MP3107" s="37"/>
      <c r="MQ3107" s="37"/>
      <c r="MR3107" s="37"/>
      <c r="MS3107" s="37"/>
      <c r="MT3107" s="37"/>
      <c r="MU3107" s="37"/>
      <c r="MV3107" s="37"/>
      <c r="MW3107" s="37"/>
      <c r="MX3107" s="37"/>
      <c r="MY3107" s="37"/>
      <c r="MZ3107" s="37"/>
      <c r="NA3107" s="37"/>
      <c r="NB3107" s="37"/>
      <c r="NC3107" s="37"/>
      <c r="ND3107" s="37"/>
      <c r="NE3107" s="37"/>
      <c r="NF3107" s="37"/>
      <c r="NG3107" s="37"/>
      <c r="NH3107" s="37"/>
      <c r="NI3107" s="37"/>
      <c r="NJ3107" s="37"/>
      <c r="NK3107" s="37"/>
      <c r="NL3107" s="37"/>
      <c r="NM3107" s="37"/>
      <c r="NN3107" s="37"/>
      <c r="NO3107" s="37"/>
      <c r="NP3107" s="37"/>
      <c r="NQ3107" s="37"/>
      <c r="NR3107" s="37"/>
      <c r="NS3107" s="37"/>
      <c r="NT3107" s="37"/>
      <c r="NU3107" s="37"/>
      <c r="NV3107" s="37"/>
      <c r="NW3107" s="37"/>
      <c r="NX3107" s="37"/>
      <c r="NY3107" s="37"/>
      <c r="NZ3107" s="37"/>
      <c r="OA3107" s="37"/>
      <c r="OB3107" s="37"/>
      <c r="OC3107" s="37"/>
      <c r="OD3107" s="37"/>
      <c r="OE3107" s="37"/>
      <c r="OF3107" s="37"/>
      <c r="OG3107" s="37"/>
      <c r="OH3107" s="37"/>
      <c r="OI3107" s="37"/>
      <c r="OJ3107" s="37"/>
      <c r="OK3107" s="37"/>
      <c r="OL3107" s="37"/>
      <c r="OM3107" s="37"/>
      <c r="ON3107" s="37"/>
      <c r="OO3107" s="37"/>
      <c r="OP3107" s="37"/>
      <c r="OQ3107" s="37"/>
      <c r="OR3107" s="37"/>
      <c r="OS3107" s="37"/>
      <c r="OT3107" s="37"/>
      <c r="OU3107" s="37"/>
      <c r="OV3107" s="37"/>
      <c r="OW3107" s="37"/>
      <c r="OX3107" s="37"/>
      <c r="OY3107" s="37"/>
      <c r="OZ3107" s="37"/>
      <c r="PA3107" s="37"/>
      <c r="PB3107" s="37"/>
      <c r="PC3107" s="37"/>
      <c r="PD3107" s="37"/>
      <c r="PE3107" s="37"/>
      <c r="PF3107" s="37"/>
      <c r="PG3107" s="37"/>
      <c r="PH3107" s="37"/>
      <c r="PI3107" s="37"/>
      <c r="PJ3107" s="37"/>
      <c r="PK3107" s="37"/>
      <c r="PL3107" s="37"/>
      <c r="PM3107" s="37"/>
      <c r="PN3107" s="37"/>
      <c r="PO3107" s="37"/>
      <c r="PP3107" s="37"/>
      <c r="PQ3107" s="37"/>
      <c r="PR3107" s="37"/>
      <c r="PS3107" s="37"/>
      <c r="PT3107" s="37"/>
      <c r="PU3107" s="37"/>
      <c r="PV3107" s="37"/>
      <c r="PW3107" s="37"/>
      <c r="PX3107" s="37"/>
      <c r="PY3107" s="37"/>
      <c r="PZ3107" s="37"/>
      <c r="QA3107" s="37"/>
      <c r="QB3107" s="37"/>
      <c r="QC3107" s="37"/>
      <c r="QD3107" s="37"/>
      <c r="QE3107" s="37"/>
      <c r="QF3107" s="37"/>
      <c r="QG3107" s="37"/>
      <c r="QH3107" s="37"/>
      <c r="QI3107" s="37"/>
      <c r="QJ3107" s="37"/>
      <c r="QK3107" s="37"/>
      <c r="QL3107" s="37"/>
      <c r="QM3107" s="37"/>
      <c r="QN3107" s="37"/>
      <c r="QO3107" s="37"/>
      <c r="QP3107" s="37"/>
      <c r="QQ3107" s="37"/>
      <c r="QR3107" s="37"/>
      <c r="QS3107" s="37"/>
      <c r="QT3107" s="37"/>
      <c r="QU3107" s="37"/>
      <c r="QV3107" s="37"/>
      <c r="QW3107" s="37"/>
      <c r="QX3107" s="37"/>
      <c r="QY3107" s="37"/>
      <c r="QZ3107" s="37"/>
      <c r="RA3107" s="37"/>
      <c r="RB3107" s="37"/>
      <c r="RC3107" s="37"/>
      <c r="RD3107" s="37"/>
      <c r="RE3107" s="37"/>
      <c r="RF3107" s="37"/>
      <c r="RG3107" s="37"/>
      <c r="RH3107" s="37"/>
      <c r="RI3107" s="37"/>
      <c r="RJ3107" s="37"/>
      <c r="RK3107" s="37"/>
      <c r="RL3107" s="37"/>
      <c r="RM3107" s="37"/>
      <c r="RN3107" s="37"/>
      <c r="RO3107" s="37"/>
      <c r="RP3107" s="37"/>
      <c r="RQ3107" s="37"/>
      <c r="RR3107" s="37"/>
      <c r="RS3107" s="37"/>
      <c r="RT3107" s="37"/>
      <c r="RU3107" s="37"/>
      <c r="RV3107" s="37"/>
      <c r="RW3107" s="37"/>
      <c r="RX3107" s="37"/>
      <c r="RY3107" s="37"/>
      <c r="RZ3107" s="37"/>
      <c r="SA3107" s="37"/>
      <c r="SB3107" s="37"/>
      <c r="SC3107" s="37"/>
      <c r="SD3107" s="37"/>
      <c r="SE3107" s="37"/>
      <c r="SF3107" s="37"/>
    </row>
    <row r="3108" spans="1:500">
      <c r="A3108" s="37"/>
      <c r="B3108" s="37"/>
      <c r="C3108" s="37"/>
      <c r="D3108" s="37"/>
      <c r="E3108" s="37"/>
      <c r="F3108" s="37"/>
      <c r="G3108" s="37"/>
      <c r="H3108" s="37"/>
      <c r="I3108" s="37"/>
      <c r="J3108" s="37"/>
      <c r="K3108" s="37"/>
      <c r="L3108" s="37"/>
      <c r="M3108" s="37"/>
      <c r="N3108" s="37"/>
      <c r="O3108" s="37"/>
      <c r="P3108" s="37"/>
      <c r="Q3108" s="37"/>
      <c r="R3108" s="37"/>
      <c r="S3108" s="37"/>
      <c r="T3108" s="37"/>
      <c r="U3108" s="37"/>
      <c r="V3108" s="37"/>
      <c r="W3108" s="37"/>
      <c r="X3108" s="37"/>
      <c r="Y3108" s="37"/>
      <c r="Z3108" s="37"/>
      <c r="AA3108" s="37"/>
      <c r="AB3108" s="37"/>
      <c r="AC3108" s="37"/>
      <c r="AD3108" s="37"/>
      <c r="AE3108" s="37"/>
      <c r="AF3108" s="37"/>
      <c r="AG3108" s="37"/>
      <c r="AH3108" s="37"/>
      <c r="AI3108" s="37"/>
      <c r="AJ3108" s="37"/>
      <c r="AK3108" s="37"/>
      <c r="AL3108" s="37"/>
      <c r="AM3108" s="37"/>
      <c r="AN3108" s="37"/>
      <c r="AO3108" s="37"/>
      <c r="AP3108" s="37"/>
      <c r="AQ3108" s="37"/>
      <c r="AR3108" s="37"/>
      <c r="AS3108" s="37"/>
      <c r="AT3108" s="37"/>
      <c r="AU3108" s="37"/>
      <c r="AV3108" s="37"/>
      <c r="AW3108" s="37"/>
      <c r="AX3108" s="37"/>
      <c r="AY3108" s="37"/>
      <c r="AZ3108" s="37"/>
      <c r="BA3108" s="37"/>
      <c r="BB3108" s="37"/>
      <c r="BC3108" s="37"/>
      <c r="BD3108" s="37"/>
      <c r="BE3108" s="37"/>
      <c r="BF3108" s="37"/>
      <c r="BG3108" s="37"/>
      <c r="BH3108" s="37"/>
      <c r="BI3108" s="37"/>
      <c r="BJ3108" s="37"/>
      <c r="BK3108" s="37"/>
      <c r="BL3108" s="37"/>
      <c r="BM3108" s="37"/>
      <c r="BN3108" s="37"/>
      <c r="BO3108" s="37"/>
      <c r="BP3108" s="37"/>
      <c r="BQ3108" s="37"/>
      <c r="BR3108" s="37"/>
      <c r="BS3108" s="37"/>
      <c r="BT3108" s="37"/>
      <c r="BU3108" s="37"/>
      <c r="BV3108" s="37"/>
      <c r="BW3108" s="37"/>
      <c r="BX3108" s="37"/>
      <c r="BY3108" s="37"/>
      <c r="BZ3108" s="37"/>
      <c r="CA3108" s="37"/>
      <c r="CB3108" s="37"/>
      <c r="CC3108" s="37"/>
      <c r="CD3108" s="37"/>
      <c r="CE3108" s="37"/>
      <c r="CF3108" s="37"/>
      <c r="CG3108" s="37"/>
      <c r="CH3108" s="37"/>
      <c r="CI3108" s="37"/>
      <c r="CJ3108" s="37"/>
      <c r="CK3108" s="37"/>
      <c r="CL3108" s="37"/>
      <c r="CM3108" s="37"/>
      <c r="CN3108" s="37"/>
      <c r="CO3108" s="37"/>
      <c r="CP3108" s="37"/>
      <c r="CQ3108" s="37"/>
      <c r="CR3108" s="37"/>
      <c r="CS3108" s="37"/>
      <c r="CT3108" s="37"/>
      <c r="CU3108" s="37"/>
      <c r="CV3108" s="37"/>
      <c r="CW3108" s="37"/>
      <c r="CX3108" s="37"/>
      <c r="CY3108" s="37"/>
      <c r="CZ3108" s="37"/>
      <c r="DA3108" s="37"/>
      <c r="DB3108" s="37"/>
      <c r="DC3108" s="37"/>
      <c r="DD3108" s="37"/>
      <c r="DE3108" s="37"/>
      <c r="DF3108" s="37"/>
      <c r="DG3108" s="37"/>
      <c r="DH3108" s="37"/>
      <c r="DI3108" s="37"/>
      <c r="DJ3108" s="37"/>
      <c r="DK3108" s="37"/>
      <c r="DL3108" s="37"/>
      <c r="DM3108" s="37"/>
      <c r="DN3108" s="37"/>
      <c r="DO3108" s="37"/>
      <c r="DP3108" s="37"/>
      <c r="DQ3108" s="37"/>
      <c r="DR3108" s="37"/>
      <c r="DS3108" s="37"/>
      <c r="DT3108" s="37"/>
      <c r="DU3108" s="37"/>
      <c r="DV3108" s="37"/>
      <c r="DW3108" s="37"/>
      <c r="DX3108" s="37"/>
      <c r="DY3108" s="37"/>
      <c r="DZ3108" s="37"/>
      <c r="EA3108" s="37"/>
      <c r="EB3108" s="37"/>
      <c r="EC3108" s="37"/>
      <c r="ED3108" s="37"/>
      <c r="EE3108" s="37"/>
      <c r="EF3108" s="37"/>
      <c r="EG3108" s="37"/>
      <c r="EH3108" s="37"/>
      <c r="EI3108" s="37"/>
      <c r="EJ3108" s="37"/>
      <c r="EK3108" s="37"/>
      <c r="EL3108" s="37"/>
      <c r="EM3108" s="37"/>
      <c r="EN3108" s="37"/>
      <c r="EO3108" s="37"/>
      <c r="EP3108" s="37"/>
      <c r="EQ3108" s="37"/>
      <c r="ER3108" s="37"/>
      <c r="ES3108" s="37"/>
      <c r="ET3108" s="37"/>
      <c r="EU3108" s="37"/>
      <c r="EV3108" s="37"/>
      <c r="EW3108" s="37"/>
      <c r="EX3108" s="37"/>
      <c r="EY3108" s="37"/>
      <c r="EZ3108" s="37"/>
      <c r="FA3108" s="37"/>
      <c r="FB3108" s="37"/>
      <c r="FC3108" s="37"/>
      <c r="FD3108" s="37"/>
      <c r="FE3108" s="37"/>
      <c r="FF3108" s="37"/>
      <c r="FG3108" s="37"/>
      <c r="FH3108" s="37"/>
      <c r="FI3108" s="37"/>
      <c r="FJ3108" s="37"/>
      <c r="FK3108" s="37"/>
      <c r="FL3108" s="37"/>
      <c r="FM3108" s="37"/>
      <c r="FN3108" s="37"/>
      <c r="FO3108" s="37"/>
      <c r="FP3108" s="37"/>
      <c r="FQ3108" s="37"/>
      <c r="FR3108" s="37"/>
      <c r="FS3108" s="37"/>
      <c r="FT3108" s="37"/>
      <c r="FU3108" s="37"/>
      <c r="FV3108" s="37"/>
      <c r="FW3108" s="37"/>
      <c r="FX3108" s="37"/>
      <c r="FY3108" s="37"/>
      <c r="FZ3108" s="37"/>
      <c r="GA3108" s="37"/>
      <c r="GB3108" s="37"/>
      <c r="GC3108" s="37"/>
      <c r="GD3108" s="37"/>
      <c r="GE3108" s="37"/>
      <c r="GF3108" s="37"/>
      <c r="GG3108" s="37"/>
      <c r="GH3108" s="37"/>
      <c r="GI3108" s="37"/>
      <c r="GJ3108" s="37"/>
      <c r="GK3108" s="37"/>
      <c r="GL3108" s="37"/>
      <c r="GM3108" s="37"/>
      <c r="GN3108" s="37"/>
      <c r="GO3108" s="37"/>
      <c r="GP3108" s="37"/>
      <c r="GQ3108" s="37"/>
      <c r="GR3108" s="37"/>
      <c r="GS3108" s="37"/>
      <c r="GT3108" s="37"/>
      <c r="GU3108" s="37"/>
      <c r="GV3108" s="37"/>
      <c r="GW3108" s="37"/>
      <c r="GX3108" s="37"/>
      <c r="GY3108" s="37"/>
      <c r="GZ3108" s="37"/>
      <c r="HA3108" s="37"/>
      <c r="HB3108" s="37"/>
      <c r="HC3108" s="37"/>
      <c r="HD3108" s="37"/>
      <c r="HE3108" s="37"/>
      <c r="HF3108" s="37"/>
      <c r="HG3108" s="37"/>
      <c r="HH3108" s="37"/>
      <c r="HI3108" s="37"/>
      <c r="HJ3108" s="37"/>
      <c r="HK3108" s="37"/>
      <c r="HL3108" s="37"/>
      <c r="HM3108" s="37"/>
      <c r="HN3108" s="37"/>
      <c r="HO3108" s="37"/>
      <c r="HP3108" s="37"/>
      <c r="HQ3108" s="37"/>
      <c r="HR3108" s="37"/>
      <c r="HS3108" s="37"/>
      <c r="HT3108" s="37"/>
      <c r="HU3108" s="37"/>
      <c r="HV3108" s="37"/>
      <c r="HW3108" s="37"/>
      <c r="HX3108" s="37"/>
      <c r="HY3108" s="37"/>
      <c r="HZ3108" s="37"/>
      <c r="IA3108" s="37"/>
      <c r="IB3108" s="37"/>
      <c r="IC3108" s="37"/>
      <c r="ID3108" s="37"/>
      <c r="IE3108" s="37"/>
      <c r="IF3108" s="37"/>
      <c r="IG3108" s="37"/>
      <c r="IH3108" s="37"/>
      <c r="II3108" s="37"/>
      <c r="IJ3108" s="37"/>
      <c r="IK3108" s="37"/>
      <c r="IL3108" s="37"/>
      <c r="IM3108" s="37"/>
      <c r="IN3108" s="37"/>
      <c r="IO3108" s="37"/>
      <c r="IP3108" s="37"/>
      <c r="IQ3108" s="37"/>
      <c r="IR3108" s="37"/>
      <c r="IS3108" s="37"/>
      <c r="IT3108" s="37"/>
      <c r="IU3108" s="37"/>
      <c r="IV3108" s="37"/>
      <c r="IW3108" s="37"/>
      <c r="IX3108" s="37"/>
      <c r="IY3108" s="37"/>
      <c r="IZ3108" s="37"/>
      <c r="JA3108" s="37"/>
      <c r="JB3108" s="37"/>
      <c r="JC3108" s="37"/>
      <c r="JD3108" s="37"/>
      <c r="JE3108" s="37"/>
      <c r="JF3108" s="37"/>
      <c r="JG3108" s="37"/>
      <c r="JH3108" s="37"/>
      <c r="JI3108" s="37"/>
      <c r="JJ3108" s="37"/>
      <c r="JK3108" s="37"/>
      <c r="JL3108" s="37"/>
      <c r="JM3108" s="37"/>
      <c r="JN3108" s="37"/>
      <c r="JO3108" s="37"/>
      <c r="JP3108" s="37"/>
      <c r="JQ3108" s="37"/>
      <c r="JR3108" s="37"/>
      <c r="JS3108" s="37"/>
      <c r="JT3108" s="37"/>
      <c r="JU3108" s="37"/>
      <c r="JV3108" s="37"/>
      <c r="JW3108" s="37"/>
      <c r="JX3108" s="37"/>
      <c r="JY3108" s="37"/>
      <c r="JZ3108" s="37"/>
      <c r="KA3108" s="37"/>
      <c r="KB3108" s="37"/>
      <c r="KC3108" s="37"/>
      <c r="KD3108" s="37"/>
      <c r="KE3108" s="37"/>
      <c r="KF3108" s="37"/>
      <c r="KG3108" s="37"/>
      <c r="KH3108" s="37"/>
      <c r="KI3108" s="37"/>
      <c r="KJ3108" s="37"/>
      <c r="KK3108" s="37"/>
      <c r="KL3108" s="37"/>
      <c r="KM3108" s="37"/>
      <c r="KN3108" s="37"/>
      <c r="KO3108" s="37"/>
      <c r="KP3108" s="37"/>
      <c r="KQ3108" s="37"/>
      <c r="KR3108" s="37"/>
      <c r="KS3108" s="37"/>
      <c r="KT3108" s="37"/>
      <c r="KU3108" s="37"/>
      <c r="KV3108" s="37"/>
      <c r="KW3108" s="37"/>
      <c r="KX3108" s="37"/>
      <c r="KY3108" s="37"/>
      <c r="KZ3108" s="37"/>
      <c r="LA3108" s="37"/>
      <c r="LB3108" s="37"/>
      <c r="LC3108" s="37"/>
      <c r="LD3108" s="37"/>
      <c r="LE3108" s="37"/>
      <c r="LF3108" s="37"/>
      <c r="LG3108" s="37"/>
      <c r="LH3108" s="37"/>
      <c r="LI3108" s="37"/>
      <c r="LJ3108" s="37"/>
      <c r="LK3108" s="37"/>
      <c r="LL3108" s="37"/>
      <c r="LM3108" s="37"/>
      <c r="LN3108" s="37"/>
      <c r="LO3108" s="37"/>
      <c r="LP3108" s="37"/>
      <c r="LQ3108" s="37"/>
      <c r="LR3108" s="37"/>
      <c r="LS3108" s="37"/>
      <c r="LT3108" s="37"/>
      <c r="LU3108" s="37"/>
      <c r="LV3108" s="37"/>
      <c r="LW3108" s="37"/>
      <c r="LX3108" s="37"/>
      <c r="LY3108" s="37"/>
      <c r="LZ3108" s="37"/>
      <c r="MA3108" s="37"/>
      <c r="MB3108" s="37"/>
      <c r="MC3108" s="37"/>
      <c r="MD3108" s="37"/>
      <c r="ME3108" s="37"/>
      <c r="MF3108" s="37"/>
      <c r="MG3108" s="37"/>
      <c r="MH3108" s="37"/>
      <c r="MI3108" s="37"/>
      <c r="MJ3108" s="37"/>
      <c r="MK3108" s="37"/>
      <c r="ML3108" s="37"/>
      <c r="MM3108" s="37"/>
      <c r="MN3108" s="37"/>
      <c r="MO3108" s="37"/>
      <c r="MP3108" s="37"/>
      <c r="MQ3108" s="37"/>
      <c r="MR3108" s="37"/>
      <c r="MS3108" s="37"/>
      <c r="MT3108" s="37"/>
      <c r="MU3108" s="37"/>
      <c r="MV3108" s="37"/>
      <c r="MW3108" s="37"/>
      <c r="MX3108" s="37"/>
      <c r="MY3108" s="37"/>
      <c r="MZ3108" s="37"/>
      <c r="NA3108" s="37"/>
      <c r="NB3108" s="37"/>
      <c r="NC3108" s="37"/>
      <c r="ND3108" s="37"/>
      <c r="NE3108" s="37"/>
      <c r="NF3108" s="37"/>
      <c r="NG3108" s="37"/>
      <c r="NH3108" s="37"/>
      <c r="NI3108" s="37"/>
      <c r="NJ3108" s="37"/>
      <c r="NK3108" s="37"/>
      <c r="NL3108" s="37"/>
      <c r="NM3108" s="37"/>
      <c r="NN3108" s="37"/>
      <c r="NO3108" s="37"/>
      <c r="NP3108" s="37"/>
      <c r="NQ3108" s="37"/>
      <c r="NR3108" s="37"/>
      <c r="NS3108" s="37"/>
      <c r="NT3108" s="37"/>
      <c r="NU3108" s="37"/>
      <c r="NV3108" s="37"/>
      <c r="NW3108" s="37"/>
      <c r="NX3108" s="37"/>
      <c r="NY3108" s="37"/>
      <c r="NZ3108" s="37"/>
      <c r="OA3108" s="37"/>
      <c r="OB3108" s="37"/>
      <c r="OC3108" s="37"/>
      <c r="OD3108" s="37"/>
      <c r="OE3108" s="37"/>
      <c r="OF3108" s="37"/>
      <c r="OG3108" s="37"/>
      <c r="OH3108" s="37"/>
      <c r="OI3108" s="37"/>
      <c r="OJ3108" s="37"/>
      <c r="OK3108" s="37"/>
      <c r="OL3108" s="37"/>
      <c r="OM3108" s="37"/>
      <c r="ON3108" s="37"/>
      <c r="OO3108" s="37"/>
      <c r="OP3108" s="37"/>
      <c r="OQ3108" s="37"/>
      <c r="OR3108" s="37"/>
      <c r="OS3108" s="37"/>
      <c r="OT3108" s="37"/>
      <c r="OU3108" s="37"/>
      <c r="OV3108" s="37"/>
      <c r="OW3108" s="37"/>
      <c r="OX3108" s="37"/>
      <c r="OY3108" s="37"/>
      <c r="OZ3108" s="37"/>
      <c r="PA3108" s="37"/>
      <c r="PB3108" s="37"/>
      <c r="PC3108" s="37"/>
      <c r="PD3108" s="37"/>
      <c r="PE3108" s="37"/>
      <c r="PF3108" s="37"/>
      <c r="PG3108" s="37"/>
      <c r="PH3108" s="37"/>
      <c r="PI3108" s="37"/>
      <c r="PJ3108" s="37"/>
      <c r="PK3108" s="37"/>
      <c r="PL3108" s="37"/>
      <c r="PM3108" s="37"/>
      <c r="PN3108" s="37"/>
      <c r="PO3108" s="37"/>
      <c r="PP3108" s="37"/>
      <c r="PQ3108" s="37"/>
      <c r="PR3108" s="37"/>
      <c r="PS3108" s="37"/>
      <c r="PT3108" s="37"/>
      <c r="PU3108" s="37"/>
      <c r="PV3108" s="37"/>
      <c r="PW3108" s="37"/>
      <c r="PX3108" s="37"/>
      <c r="PY3108" s="37"/>
      <c r="PZ3108" s="37"/>
      <c r="QA3108" s="37"/>
      <c r="QB3108" s="37"/>
      <c r="QC3108" s="37"/>
      <c r="QD3108" s="37"/>
      <c r="QE3108" s="37"/>
      <c r="QF3108" s="37"/>
      <c r="QG3108" s="37"/>
      <c r="QH3108" s="37"/>
      <c r="QI3108" s="37"/>
      <c r="QJ3108" s="37"/>
      <c r="QK3108" s="37"/>
      <c r="QL3108" s="37"/>
      <c r="QM3108" s="37"/>
      <c r="QN3108" s="37"/>
      <c r="QO3108" s="37"/>
      <c r="QP3108" s="37"/>
      <c r="QQ3108" s="37"/>
      <c r="QR3108" s="37"/>
      <c r="QS3108" s="37"/>
      <c r="QT3108" s="37"/>
      <c r="QU3108" s="37"/>
      <c r="QV3108" s="37"/>
      <c r="QW3108" s="37"/>
      <c r="QX3108" s="37"/>
      <c r="QY3108" s="37"/>
      <c r="QZ3108" s="37"/>
      <c r="RA3108" s="37"/>
      <c r="RB3108" s="37"/>
      <c r="RC3108" s="37"/>
      <c r="RD3108" s="37"/>
      <c r="RE3108" s="37"/>
      <c r="RF3108" s="37"/>
      <c r="RG3108" s="37"/>
      <c r="RH3108" s="37"/>
      <c r="RI3108" s="37"/>
      <c r="RJ3108" s="37"/>
      <c r="RK3108" s="37"/>
      <c r="RL3108" s="37"/>
      <c r="RM3108" s="37"/>
      <c r="RN3108" s="37"/>
      <c r="RO3108" s="37"/>
      <c r="RP3108" s="37"/>
      <c r="RQ3108" s="37"/>
      <c r="RR3108" s="37"/>
      <c r="RS3108" s="37"/>
      <c r="RT3108" s="37"/>
      <c r="RU3108" s="37"/>
      <c r="RV3108" s="37"/>
      <c r="RW3108" s="37"/>
      <c r="RX3108" s="37"/>
      <c r="RY3108" s="37"/>
      <c r="RZ3108" s="37"/>
      <c r="SA3108" s="37"/>
      <c r="SB3108" s="37"/>
      <c r="SC3108" s="37"/>
      <c r="SD3108" s="37"/>
      <c r="SE3108" s="37"/>
      <c r="SF3108" s="37"/>
    </row>
    <row r="3109" spans="1:500">
      <c r="A3109" s="37"/>
      <c r="B3109" s="37"/>
      <c r="C3109" s="37"/>
      <c r="D3109" s="37"/>
      <c r="E3109" s="37"/>
      <c r="F3109" s="37"/>
      <c r="G3109" s="37"/>
      <c r="H3109" s="37"/>
      <c r="I3109" s="37"/>
      <c r="J3109" s="37"/>
      <c r="K3109" s="37"/>
      <c r="L3109" s="37"/>
      <c r="M3109" s="37"/>
      <c r="N3109" s="37"/>
      <c r="O3109" s="37"/>
      <c r="P3109" s="37"/>
      <c r="Q3109" s="37"/>
      <c r="R3109" s="37"/>
      <c r="S3109" s="37"/>
      <c r="T3109" s="37"/>
      <c r="U3109" s="37"/>
      <c r="V3109" s="37"/>
      <c r="W3109" s="37"/>
      <c r="X3109" s="37"/>
      <c r="Y3109" s="37"/>
      <c r="Z3109" s="37"/>
      <c r="AA3109" s="37"/>
      <c r="AB3109" s="37"/>
      <c r="AC3109" s="37"/>
      <c r="AD3109" s="37"/>
      <c r="AE3109" s="37"/>
      <c r="AF3109" s="37"/>
      <c r="AG3109" s="37"/>
      <c r="AH3109" s="37"/>
      <c r="AI3109" s="37"/>
      <c r="AJ3109" s="37"/>
      <c r="AK3109" s="37"/>
      <c r="AL3109" s="37"/>
      <c r="AM3109" s="37"/>
      <c r="AN3109" s="37"/>
      <c r="AO3109" s="37"/>
      <c r="AP3109" s="37"/>
      <c r="AQ3109" s="37"/>
      <c r="AR3109" s="37"/>
      <c r="AS3109" s="37"/>
      <c r="AT3109" s="37"/>
      <c r="AU3109" s="37"/>
      <c r="AV3109" s="37"/>
      <c r="AW3109" s="37"/>
      <c r="AX3109" s="37"/>
      <c r="AY3109" s="37"/>
      <c r="AZ3109" s="37"/>
      <c r="BA3109" s="37"/>
      <c r="BB3109" s="37"/>
      <c r="BC3109" s="37"/>
      <c r="BD3109" s="37"/>
      <c r="BE3109" s="37"/>
      <c r="BF3109" s="37"/>
      <c r="BG3109" s="37"/>
      <c r="BH3109" s="37"/>
      <c r="BI3109" s="37"/>
      <c r="BJ3109" s="37"/>
      <c r="BK3109" s="37"/>
      <c r="BL3109" s="37"/>
      <c r="BM3109" s="37"/>
      <c r="BN3109" s="37"/>
      <c r="BO3109" s="37"/>
      <c r="BP3109" s="37"/>
      <c r="BQ3109" s="37"/>
      <c r="BR3109" s="37"/>
      <c r="BS3109" s="37"/>
      <c r="BT3109" s="37"/>
      <c r="BU3109" s="37"/>
      <c r="BV3109" s="37"/>
      <c r="BW3109" s="37"/>
      <c r="BX3109" s="37"/>
      <c r="BY3109" s="37"/>
      <c r="BZ3109" s="37"/>
      <c r="CA3109" s="37"/>
      <c r="CB3109" s="37"/>
      <c r="CC3109" s="37"/>
      <c r="CD3109" s="37"/>
      <c r="CE3109" s="37"/>
      <c r="CF3109" s="37"/>
      <c r="CG3109" s="37"/>
      <c r="CH3109" s="37"/>
      <c r="CI3109" s="37"/>
      <c r="CJ3109" s="37"/>
      <c r="CK3109" s="37"/>
      <c r="CL3109" s="37"/>
      <c r="CM3109" s="37"/>
      <c r="CN3109" s="37"/>
      <c r="CO3109" s="37"/>
      <c r="CP3109" s="37"/>
      <c r="CQ3109" s="37"/>
      <c r="CR3109" s="37"/>
      <c r="CS3109" s="37"/>
      <c r="CT3109" s="37"/>
      <c r="CU3109" s="37"/>
      <c r="CV3109" s="37"/>
      <c r="CW3109" s="37"/>
      <c r="CX3109" s="37"/>
      <c r="CY3109" s="37"/>
      <c r="CZ3109" s="37"/>
      <c r="DA3109" s="37"/>
      <c r="DB3109" s="37"/>
      <c r="DC3109" s="37"/>
      <c r="DD3109" s="37"/>
      <c r="DE3109" s="37"/>
      <c r="DF3109" s="37"/>
      <c r="DG3109" s="37"/>
      <c r="DH3109" s="37"/>
      <c r="DI3109" s="37"/>
      <c r="DJ3109" s="37"/>
      <c r="DK3109" s="37"/>
      <c r="DL3109" s="37"/>
      <c r="DM3109" s="37"/>
      <c r="DN3109" s="37"/>
      <c r="DO3109" s="37"/>
      <c r="DP3109" s="37"/>
      <c r="DQ3109" s="37"/>
      <c r="DR3109" s="37"/>
      <c r="DS3109" s="37"/>
      <c r="DT3109" s="37"/>
      <c r="DU3109" s="37"/>
      <c r="DV3109" s="37"/>
      <c r="DW3109" s="37"/>
      <c r="DX3109" s="37"/>
      <c r="DY3109" s="37"/>
      <c r="DZ3109" s="37"/>
      <c r="EA3109" s="37"/>
      <c r="EB3109" s="37"/>
      <c r="EC3109" s="37"/>
      <c r="ED3109" s="37"/>
      <c r="EE3109" s="37"/>
      <c r="EF3109" s="37"/>
      <c r="EG3109" s="37"/>
      <c r="EH3109" s="37"/>
      <c r="EI3109" s="37"/>
      <c r="EJ3109" s="37"/>
      <c r="EK3109" s="37"/>
      <c r="EL3109" s="37"/>
      <c r="EM3109" s="37"/>
      <c r="EN3109" s="37"/>
      <c r="EO3109" s="37"/>
      <c r="EP3109" s="37"/>
      <c r="EQ3109" s="37"/>
      <c r="ER3109" s="37"/>
      <c r="ES3109" s="37"/>
      <c r="ET3109" s="37"/>
      <c r="EU3109" s="37"/>
      <c r="EV3109" s="37"/>
      <c r="EW3109" s="37"/>
      <c r="EX3109" s="37"/>
      <c r="EY3109" s="37"/>
      <c r="EZ3109" s="37"/>
      <c r="FA3109" s="37"/>
      <c r="FB3109" s="37"/>
      <c r="FC3109" s="37"/>
      <c r="FD3109" s="37"/>
      <c r="FE3109" s="37"/>
      <c r="FF3109" s="37"/>
      <c r="FG3109" s="37"/>
      <c r="FH3109" s="37"/>
      <c r="FI3109" s="37"/>
      <c r="FJ3109" s="37"/>
      <c r="FK3109" s="37"/>
      <c r="FL3109" s="37"/>
      <c r="FM3109" s="37"/>
      <c r="FN3109" s="37"/>
      <c r="FO3109" s="37"/>
      <c r="FP3109" s="37"/>
      <c r="FQ3109" s="37"/>
      <c r="FR3109" s="37"/>
      <c r="FS3109" s="37"/>
      <c r="FT3109" s="37"/>
      <c r="FU3109" s="37"/>
      <c r="FV3109" s="37"/>
      <c r="FW3109" s="37"/>
      <c r="FX3109" s="37"/>
      <c r="FY3109" s="37"/>
      <c r="FZ3109" s="37"/>
      <c r="GA3109" s="37"/>
      <c r="GB3109" s="37"/>
      <c r="GC3109" s="37"/>
      <c r="GD3109" s="37"/>
      <c r="GE3109" s="37"/>
      <c r="GF3109" s="37"/>
      <c r="GG3109" s="37"/>
      <c r="GH3109" s="37"/>
      <c r="GI3109" s="37"/>
      <c r="GJ3109" s="37"/>
      <c r="GK3109" s="37"/>
      <c r="GL3109" s="37"/>
      <c r="GM3109" s="37"/>
      <c r="GN3109" s="37"/>
      <c r="GO3109" s="37"/>
      <c r="GP3109" s="37"/>
      <c r="GQ3109" s="37"/>
      <c r="GR3109" s="37"/>
      <c r="GS3109" s="37"/>
      <c r="GT3109" s="37"/>
      <c r="GU3109" s="37"/>
      <c r="GV3109" s="37"/>
      <c r="GW3109" s="37"/>
      <c r="GX3109" s="37"/>
      <c r="GY3109" s="37"/>
      <c r="GZ3109" s="37"/>
      <c r="HA3109" s="37"/>
      <c r="HB3109" s="37"/>
      <c r="HC3109" s="37"/>
      <c r="HD3109" s="37"/>
      <c r="HE3109" s="37"/>
      <c r="HF3109" s="37"/>
      <c r="HG3109" s="37"/>
      <c r="HH3109" s="37"/>
      <c r="HI3109" s="37"/>
      <c r="HJ3109" s="37"/>
      <c r="HK3109" s="37"/>
      <c r="HL3109" s="37"/>
      <c r="HM3109" s="37"/>
      <c r="HN3109" s="37"/>
      <c r="HO3109" s="37"/>
      <c r="HP3109" s="37"/>
      <c r="HQ3109" s="37"/>
      <c r="HR3109" s="37"/>
      <c r="HS3109" s="37"/>
      <c r="HT3109" s="37"/>
      <c r="HU3109" s="37"/>
      <c r="HV3109" s="37"/>
      <c r="HW3109" s="37"/>
      <c r="HX3109" s="37"/>
      <c r="HY3109" s="37"/>
      <c r="HZ3109" s="37"/>
      <c r="IA3109" s="37"/>
      <c r="IB3109" s="37"/>
      <c r="IC3109" s="37"/>
      <c r="ID3109" s="37"/>
      <c r="IE3109" s="37"/>
      <c r="IF3109" s="37"/>
      <c r="IG3109" s="37"/>
      <c r="IH3109" s="37"/>
      <c r="II3109" s="37"/>
      <c r="IJ3109" s="37"/>
      <c r="IK3109" s="37"/>
      <c r="IL3109" s="37"/>
      <c r="IM3109" s="37"/>
      <c r="IN3109" s="37"/>
      <c r="IO3109" s="37"/>
      <c r="IP3109" s="37"/>
      <c r="IQ3109" s="37"/>
      <c r="IR3109" s="37"/>
      <c r="IS3109" s="37"/>
      <c r="IT3109" s="37"/>
      <c r="IU3109" s="37"/>
      <c r="IV3109" s="37"/>
      <c r="IW3109" s="37"/>
      <c r="IX3109" s="37"/>
      <c r="IY3109" s="37"/>
      <c r="IZ3109" s="37"/>
      <c r="JA3109" s="37"/>
      <c r="JB3109" s="37"/>
      <c r="JC3109" s="37"/>
      <c r="JD3109" s="37"/>
      <c r="JE3109" s="37"/>
      <c r="JF3109" s="37"/>
      <c r="JG3109" s="37"/>
      <c r="JH3109" s="37"/>
      <c r="JI3109" s="37"/>
      <c r="JJ3109" s="37"/>
      <c r="JK3109" s="37"/>
      <c r="JL3109" s="37"/>
      <c r="JM3109" s="37"/>
      <c r="JN3109" s="37"/>
      <c r="JO3109" s="37"/>
      <c r="JP3109" s="37"/>
      <c r="JQ3109" s="37"/>
      <c r="JR3109" s="37"/>
      <c r="JS3109" s="37"/>
      <c r="JT3109" s="37"/>
      <c r="JU3109" s="37"/>
      <c r="JV3109" s="37"/>
      <c r="JW3109" s="37"/>
      <c r="JX3109" s="37"/>
      <c r="JY3109" s="37"/>
      <c r="JZ3109" s="37"/>
      <c r="KA3109" s="37"/>
      <c r="KB3109" s="37"/>
      <c r="KC3109" s="37"/>
      <c r="KD3109" s="37"/>
      <c r="KE3109" s="37"/>
      <c r="KF3109" s="37"/>
      <c r="KG3109" s="37"/>
      <c r="KH3109" s="37"/>
      <c r="KI3109" s="37"/>
      <c r="KJ3109" s="37"/>
      <c r="KK3109" s="37"/>
      <c r="KL3109" s="37"/>
      <c r="KM3109" s="37"/>
      <c r="KN3109" s="37"/>
      <c r="KO3109" s="37"/>
      <c r="KP3109" s="37"/>
      <c r="KQ3109" s="37"/>
      <c r="KR3109" s="37"/>
      <c r="KS3109" s="37"/>
      <c r="KT3109" s="37"/>
      <c r="KU3109" s="37"/>
      <c r="KV3109" s="37"/>
      <c r="KW3109" s="37"/>
      <c r="KX3109" s="37"/>
      <c r="KY3109" s="37"/>
      <c r="KZ3109" s="37"/>
      <c r="LA3109" s="37"/>
      <c r="LB3109" s="37"/>
      <c r="LC3109" s="37"/>
      <c r="LD3109" s="37"/>
      <c r="LE3109" s="37"/>
      <c r="LF3109" s="37"/>
      <c r="LG3109" s="37"/>
      <c r="LH3109" s="37"/>
      <c r="LI3109" s="37"/>
      <c r="LJ3109" s="37"/>
      <c r="LK3109" s="37"/>
      <c r="LL3109" s="37"/>
      <c r="LM3109" s="37"/>
      <c r="LN3109" s="37"/>
      <c r="LO3109" s="37"/>
      <c r="LP3109" s="37"/>
      <c r="LQ3109" s="37"/>
      <c r="LR3109" s="37"/>
      <c r="LS3109" s="37"/>
      <c r="LT3109" s="37"/>
      <c r="LU3109" s="37"/>
      <c r="LV3109" s="37"/>
      <c r="LW3109" s="37"/>
      <c r="LX3109" s="37"/>
      <c r="LY3109" s="37"/>
      <c r="LZ3109" s="37"/>
      <c r="MA3109" s="37"/>
      <c r="MB3109" s="37"/>
      <c r="MC3109" s="37"/>
      <c r="MD3109" s="37"/>
      <c r="ME3109" s="37"/>
      <c r="MF3109" s="37"/>
      <c r="MG3109" s="37"/>
      <c r="MH3109" s="37"/>
      <c r="MI3109" s="37"/>
      <c r="MJ3109" s="37"/>
      <c r="MK3109" s="37"/>
      <c r="ML3109" s="37"/>
      <c r="MM3109" s="37"/>
      <c r="MN3109" s="37"/>
      <c r="MO3109" s="37"/>
      <c r="MP3109" s="37"/>
      <c r="MQ3109" s="37"/>
      <c r="MR3109" s="37"/>
      <c r="MS3109" s="37"/>
      <c r="MT3109" s="37"/>
      <c r="MU3109" s="37"/>
      <c r="MV3109" s="37"/>
      <c r="MW3109" s="37"/>
      <c r="MX3109" s="37"/>
      <c r="MY3109" s="37"/>
      <c r="MZ3109" s="37"/>
      <c r="NA3109" s="37"/>
      <c r="NB3109" s="37"/>
      <c r="NC3109" s="37"/>
      <c r="ND3109" s="37"/>
      <c r="NE3109" s="37"/>
      <c r="NF3109" s="37"/>
      <c r="NG3109" s="37"/>
      <c r="NH3109" s="37"/>
      <c r="NI3109" s="37"/>
      <c r="NJ3109" s="37"/>
      <c r="NK3109" s="37"/>
      <c r="NL3109" s="37"/>
      <c r="NM3109" s="37"/>
      <c r="NN3109" s="37"/>
      <c r="NO3109" s="37"/>
      <c r="NP3109" s="37"/>
      <c r="NQ3109" s="37"/>
      <c r="NR3109" s="37"/>
      <c r="NS3109" s="37"/>
      <c r="NT3109" s="37"/>
      <c r="NU3109" s="37"/>
      <c r="NV3109" s="37"/>
      <c r="NW3109" s="37"/>
      <c r="NX3109" s="37"/>
      <c r="NY3109" s="37"/>
      <c r="NZ3109" s="37"/>
      <c r="OA3109" s="37"/>
      <c r="OB3109" s="37"/>
      <c r="OC3109" s="37"/>
      <c r="OD3109" s="37"/>
      <c r="OE3109" s="37"/>
      <c r="OF3109" s="37"/>
      <c r="OG3109" s="37"/>
      <c r="OH3109" s="37"/>
      <c r="OI3109" s="37"/>
      <c r="OJ3109" s="37"/>
      <c r="OK3109" s="37"/>
      <c r="OL3109" s="37"/>
      <c r="OM3109" s="37"/>
      <c r="ON3109" s="37"/>
      <c r="OO3109" s="37"/>
      <c r="OP3109" s="37"/>
      <c r="OQ3109" s="37"/>
      <c r="OR3109" s="37"/>
      <c r="OS3109" s="37"/>
      <c r="OT3109" s="37"/>
      <c r="OU3109" s="37"/>
      <c r="OV3109" s="37"/>
      <c r="OW3109" s="37"/>
      <c r="OX3109" s="37"/>
      <c r="OY3109" s="37"/>
      <c r="OZ3109" s="37"/>
      <c r="PA3109" s="37"/>
      <c r="PB3109" s="37"/>
      <c r="PC3109" s="37"/>
      <c r="PD3109" s="37"/>
      <c r="PE3109" s="37"/>
      <c r="PF3109" s="37"/>
      <c r="PG3109" s="37"/>
      <c r="PH3109" s="37"/>
      <c r="PI3109" s="37"/>
      <c r="PJ3109" s="37"/>
      <c r="PK3109" s="37"/>
      <c r="PL3109" s="37"/>
      <c r="PM3109" s="37"/>
      <c r="PN3109" s="37"/>
      <c r="PO3109" s="37"/>
      <c r="PP3109" s="37"/>
      <c r="PQ3109" s="37"/>
      <c r="PR3109" s="37"/>
      <c r="PS3109" s="37"/>
      <c r="PT3109" s="37"/>
      <c r="PU3109" s="37"/>
      <c r="PV3109" s="37"/>
      <c r="PW3109" s="37"/>
      <c r="PX3109" s="37"/>
      <c r="PY3109" s="37"/>
      <c r="PZ3109" s="37"/>
      <c r="QA3109" s="37"/>
      <c r="QB3109" s="37"/>
      <c r="QC3109" s="37"/>
      <c r="QD3109" s="37"/>
      <c r="QE3109" s="37"/>
      <c r="QF3109" s="37"/>
      <c r="QG3109" s="37"/>
      <c r="QH3109" s="37"/>
      <c r="QI3109" s="37"/>
      <c r="QJ3109" s="37"/>
      <c r="QK3109" s="37"/>
      <c r="QL3109" s="37"/>
      <c r="QM3109" s="37"/>
      <c r="QN3109" s="37"/>
      <c r="QO3109" s="37"/>
      <c r="QP3109" s="37"/>
      <c r="QQ3109" s="37"/>
      <c r="QR3109" s="37"/>
      <c r="QS3109" s="37"/>
      <c r="QT3109" s="37"/>
      <c r="QU3109" s="37"/>
      <c r="QV3109" s="37"/>
      <c r="QW3109" s="37"/>
      <c r="QX3109" s="37"/>
      <c r="QY3109" s="37"/>
      <c r="QZ3109" s="37"/>
      <c r="RA3109" s="37"/>
      <c r="RB3109" s="37"/>
      <c r="RC3109" s="37"/>
      <c r="RD3109" s="37"/>
      <c r="RE3109" s="37"/>
      <c r="RF3109" s="37"/>
      <c r="RG3109" s="37"/>
      <c r="RH3109" s="37"/>
      <c r="RI3109" s="37"/>
      <c r="RJ3109" s="37"/>
      <c r="RK3109" s="37"/>
      <c r="RL3109" s="37"/>
      <c r="RM3109" s="37"/>
      <c r="RN3109" s="37"/>
      <c r="RO3109" s="37"/>
      <c r="RP3109" s="37"/>
      <c r="RQ3109" s="37"/>
      <c r="RR3109" s="37"/>
      <c r="RS3109" s="37"/>
      <c r="RT3109" s="37"/>
      <c r="RU3109" s="37"/>
      <c r="RV3109" s="37"/>
      <c r="RW3109" s="37"/>
      <c r="RX3109" s="37"/>
      <c r="RY3109" s="37"/>
      <c r="RZ3109" s="37"/>
      <c r="SA3109" s="37"/>
      <c r="SB3109" s="37"/>
      <c r="SC3109" s="37"/>
      <c r="SD3109" s="37"/>
      <c r="SE3109" s="37"/>
      <c r="SF3109" s="37"/>
    </row>
    <row r="3110" spans="1:500">
      <c r="A3110" s="37"/>
      <c r="B3110" s="37"/>
      <c r="C3110" s="37"/>
      <c r="D3110" s="37"/>
      <c r="E3110" s="37"/>
      <c r="F3110" s="37"/>
      <c r="G3110" s="37"/>
      <c r="H3110" s="37"/>
      <c r="I3110" s="37"/>
      <c r="J3110" s="37"/>
      <c r="K3110" s="37"/>
      <c r="L3110" s="37"/>
      <c r="M3110" s="37"/>
      <c r="N3110" s="37"/>
      <c r="O3110" s="37"/>
      <c r="P3110" s="37"/>
      <c r="Q3110" s="37"/>
      <c r="R3110" s="37"/>
      <c r="S3110" s="37"/>
      <c r="T3110" s="37"/>
      <c r="U3110" s="37"/>
      <c r="V3110" s="37"/>
      <c r="W3110" s="37"/>
      <c r="X3110" s="37"/>
      <c r="Y3110" s="37"/>
      <c r="Z3110" s="37"/>
      <c r="AA3110" s="37"/>
      <c r="AB3110" s="37"/>
      <c r="AC3110" s="37"/>
      <c r="AD3110" s="37"/>
      <c r="AE3110" s="37"/>
      <c r="AF3110" s="37"/>
      <c r="AG3110" s="37"/>
      <c r="AH3110" s="37"/>
      <c r="AI3110" s="37"/>
      <c r="AJ3110" s="37"/>
      <c r="AK3110" s="37"/>
      <c r="AL3110" s="37"/>
      <c r="AM3110" s="37"/>
      <c r="AN3110" s="37"/>
      <c r="AO3110" s="37"/>
      <c r="AP3110" s="37"/>
      <c r="AQ3110" s="37"/>
      <c r="AR3110" s="37"/>
      <c r="AS3110" s="37"/>
      <c r="AT3110" s="37"/>
      <c r="AU3110" s="37"/>
      <c r="AV3110" s="37"/>
      <c r="AW3110" s="37"/>
      <c r="AX3110" s="37"/>
      <c r="AY3110" s="37"/>
      <c r="AZ3110" s="37"/>
      <c r="BA3110" s="37"/>
      <c r="BB3110" s="37"/>
      <c r="BC3110" s="37"/>
      <c r="BD3110" s="37"/>
      <c r="BE3110" s="37"/>
      <c r="BF3110" s="37"/>
      <c r="BG3110" s="37"/>
      <c r="BH3110" s="37"/>
      <c r="BI3110" s="37"/>
      <c r="BJ3110" s="37"/>
      <c r="BK3110" s="37"/>
      <c r="BL3110" s="37"/>
      <c r="BM3110" s="37"/>
      <c r="BN3110" s="37"/>
      <c r="BO3110" s="37"/>
      <c r="BP3110" s="37"/>
      <c r="BQ3110" s="37"/>
      <c r="BR3110" s="37"/>
      <c r="BS3110" s="37"/>
      <c r="BT3110" s="37"/>
      <c r="BU3110" s="37"/>
      <c r="BV3110" s="37"/>
      <c r="BW3110" s="37"/>
      <c r="BX3110" s="37"/>
      <c r="BY3110" s="37"/>
      <c r="BZ3110" s="37"/>
      <c r="CA3110" s="37"/>
      <c r="CB3110" s="37"/>
      <c r="CC3110" s="37"/>
      <c r="CD3110" s="37"/>
      <c r="CE3110" s="37"/>
      <c r="CF3110" s="37"/>
      <c r="CG3110" s="37"/>
      <c r="CH3110" s="37"/>
      <c r="CI3110" s="37"/>
      <c r="CJ3110" s="37"/>
      <c r="CK3110" s="37"/>
      <c r="CL3110" s="37"/>
      <c r="CM3110" s="37"/>
      <c r="CN3110" s="37"/>
      <c r="CO3110" s="37"/>
      <c r="CP3110" s="37"/>
      <c r="CQ3110" s="37"/>
      <c r="CR3110" s="37"/>
      <c r="CS3110" s="37"/>
      <c r="CT3110" s="37"/>
      <c r="CU3110" s="37"/>
      <c r="CV3110" s="37"/>
      <c r="CW3110" s="37"/>
      <c r="CX3110" s="37"/>
      <c r="CY3110" s="37"/>
      <c r="CZ3110" s="37"/>
      <c r="DA3110" s="37"/>
      <c r="DB3110" s="37"/>
      <c r="DC3110" s="37"/>
      <c r="DD3110" s="37"/>
      <c r="DE3110" s="37"/>
      <c r="DF3110" s="37"/>
      <c r="DG3110" s="37"/>
      <c r="DH3110" s="37"/>
      <c r="DI3110" s="37"/>
      <c r="DJ3110" s="37"/>
      <c r="DK3110" s="37"/>
      <c r="DL3110" s="37"/>
      <c r="DM3110" s="37"/>
      <c r="DN3110" s="37"/>
      <c r="DO3110" s="37"/>
      <c r="DP3110" s="37"/>
      <c r="DQ3110" s="37"/>
      <c r="DR3110" s="37"/>
      <c r="DS3110" s="37"/>
      <c r="DT3110" s="37"/>
      <c r="DU3110" s="37"/>
      <c r="DV3110" s="37"/>
      <c r="DW3110" s="37"/>
      <c r="DX3110" s="37"/>
      <c r="DY3110" s="37"/>
      <c r="DZ3110" s="37"/>
      <c r="EA3110" s="37"/>
      <c r="EB3110" s="37"/>
      <c r="EC3110" s="37"/>
      <c r="ED3110" s="37"/>
      <c r="EE3110" s="37"/>
      <c r="EF3110" s="37"/>
      <c r="EG3110" s="37"/>
      <c r="EH3110" s="37"/>
      <c r="EI3110" s="37"/>
      <c r="EJ3110" s="37"/>
      <c r="EK3110" s="37"/>
      <c r="EL3110" s="37"/>
      <c r="EM3110" s="37"/>
      <c r="EN3110" s="37"/>
      <c r="EO3110" s="37"/>
      <c r="EP3110" s="37"/>
      <c r="EQ3110" s="37"/>
      <c r="ER3110" s="37"/>
      <c r="ES3110" s="37"/>
      <c r="ET3110" s="37"/>
      <c r="EU3110" s="37"/>
      <c r="EV3110" s="37"/>
      <c r="EW3110" s="37"/>
      <c r="EX3110" s="37"/>
      <c r="EY3110" s="37"/>
      <c r="EZ3110" s="37"/>
      <c r="FA3110" s="37"/>
      <c r="FB3110" s="37"/>
      <c r="FC3110" s="37"/>
      <c r="FD3110" s="37"/>
      <c r="FE3110" s="37"/>
      <c r="FF3110" s="37"/>
      <c r="FG3110" s="37"/>
      <c r="FH3110" s="37"/>
      <c r="FI3110" s="37"/>
      <c r="FJ3110" s="37"/>
      <c r="FK3110" s="37"/>
      <c r="FL3110" s="37"/>
      <c r="FM3110" s="37"/>
      <c r="FN3110" s="37"/>
      <c r="FO3110" s="37"/>
      <c r="FP3110" s="37"/>
      <c r="FQ3110" s="37"/>
      <c r="FR3110" s="37"/>
      <c r="FS3110" s="37"/>
      <c r="FT3110" s="37"/>
      <c r="FU3110" s="37"/>
      <c r="FV3110" s="37"/>
      <c r="FW3110" s="37"/>
      <c r="FX3110" s="37"/>
      <c r="FY3110" s="37"/>
      <c r="FZ3110" s="37"/>
      <c r="GA3110" s="37"/>
      <c r="GB3110" s="37"/>
      <c r="GC3110" s="37"/>
      <c r="GD3110" s="37"/>
      <c r="GE3110" s="37"/>
      <c r="GF3110" s="37"/>
      <c r="GG3110" s="37"/>
      <c r="GH3110" s="37"/>
      <c r="GI3110" s="37"/>
      <c r="GJ3110" s="37"/>
      <c r="GK3110" s="37"/>
      <c r="GL3110" s="37"/>
      <c r="GM3110" s="37"/>
      <c r="GN3110" s="37"/>
      <c r="GO3110" s="37"/>
      <c r="GP3110" s="37"/>
      <c r="GQ3110" s="37"/>
      <c r="GR3110" s="37"/>
      <c r="GS3110" s="37"/>
      <c r="GT3110" s="37"/>
      <c r="GU3110" s="37"/>
      <c r="GV3110" s="37"/>
      <c r="GW3110" s="37"/>
      <c r="GX3110" s="37"/>
      <c r="GY3110" s="37"/>
      <c r="GZ3110" s="37"/>
      <c r="HA3110" s="37"/>
      <c r="HB3110" s="37"/>
      <c r="HC3110" s="37"/>
      <c r="HD3110" s="37"/>
      <c r="HE3110" s="37"/>
      <c r="HF3110" s="37"/>
      <c r="HG3110" s="37"/>
      <c r="HH3110" s="37"/>
      <c r="HI3110" s="37"/>
      <c r="HJ3110" s="37"/>
      <c r="HK3110" s="37"/>
      <c r="HL3110" s="37"/>
      <c r="HM3110" s="37"/>
      <c r="HN3110" s="37"/>
      <c r="HO3110" s="37"/>
      <c r="HP3110" s="37"/>
      <c r="HQ3110" s="37"/>
      <c r="HR3110" s="37"/>
      <c r="HS3110" s="37"/>
      <c r="HT3110" s="37"/>
      <c r="HU3110" s="37"/>
      <c r="HV3110" s="37"/>
      <c r="HW3110" s="37"/>
      <c r="HX3110" s="37"/>
      <c r="HY3110" s="37"/>
      <c r="HZ3110" s="37"/>
      <c r="IA3110" s="37"/>
      <c r="IB3110" s="37"/>
      <c r="IC3110" s="37"/>
      <c r="ID3110" s="37"/>
      <c r="IE3110" s="37"/>
      <c r="IF3110" s="37"/>
      <c r="IG3110" s="37"/>
      <c r="IH3110" s="37"/>
      <c r="II3110" s="37"/>
      <c r="IJ3110" s="37"/>
      <c r="IK3110" s="37"/>
      <c r="IL3110" s="37"/>
      <c r="IM3110" s="37"/>
      <c r="IN3110" s="37"/>
      <c r="IO3110" s="37"/>
      <c r="IP3110" s="37"/>
      <c r="IQ3110" s="37"/>
      <c r="IR3110" s="37"/>
      <c r="IS3110" s="37"/>
      <c r="IT3110" s="37"/>
      <c r="IU3110" s="37"/>
      <c r="IV3110" s="37"/>
      <c r="IW3110" s="37"/>
      <c r="IX3110" s="37"/>
      <c r="IY3110" s="37"/>
      <c r="IZ3110" s="37"/>
      <c r="JA3110" s="37"/>
      <c r="JB3110" s="37"/>
      <c r="JC3110" s="37"/>
      <c r="JD3110" s="37"/>
      <c r="JE3110" s="37"/>
      <c r="JF3110" s="37"/>
      <c r="JG3110" s="37"/>
      <c r="JH3110" s="37"/>
      <c r="JI3110" s="37"/>
      <c r="JJ3110" s="37"/>
      <c r="JK3110" s="37"/>
      <c r="JL3110" s="37"/>
      <c r="JM3110" s="37"/>
      <c r="JN3110" s="37"/>
      <c r="JO3110" s="37"/>
      <c r="JP3110" s="37"/>
      <c r="JQ3110" s="37"/>
      <c r="JR3110" s="37"/>
      <c r="JS3110" s="37"/>
      <c r="JT3110" s="37"/>
      <c r="JU3110" s="37"/>
      <c r="JV3110" s="37"/>
      <c r="JW3110" s="37"/>
      <c r="JX3110" s="37"/>
      <c r="JY3110" s="37"/>
      <c r="JZ3110" s="37"/>
      <c r="KA3110" s="37"/>
      <c r="KB3110" s="37"/>
      <c r="KC3110" s="37"/>
      <c r="KD3110" s="37"/>
      <c r="KE3110" s="37"/>
      <c r="KF3110" s="37"/>
      <c r="KG3110" s="37"/>
      <c r="KH3110" s="37"/>
      <c r="KI3110" s="37"/>
      <c r="KJ3110" s="37"/>
      <c r="KK3110" s="37"/>
      <c r="KL3110" s="37"/>
      <c r="KM3110" s="37"/>
      <c r="KN3110" s="37"/>
      <c r="KO3110" s="37"/>
      <c r="KP3110" s="37"/>
      <c r="KQ3110" s="37"/>
      <c r="KR3110" s="37"/>
      <c r="KS3110" s="37"/>
      <c r="KT3110" s="37"/>
      <c r="KU3110" s="37"/>
      <c r="KV3110" s="37"/>
      <c r="KW3110" s="37"/>
      <c r="KX3110" s="37"/>
      <c r="KY3110" s="37"/>
      <c r="KZ3110" s="37"/>
      <c r="LA3110" s="37"/>
      <c r="LB3110" s="37"/>
      <c r="LC3110" s="37"/>
      <c r="LD3110" s="37"/>
      <c r="LE3110" s="37"/>
      <c r="LF3110" s="37"/>
      <c r="LG3110" s="37"/>
      <c r="LH3110" s="37"/>
      <c r="LI3110" s="37"/>
      <c r="LJ3110" s="37"/>
      <c r="LK3110" s="37"/>
      <c r="LL3110" s="37"/>
      <c r="LM3110" s="37"/>
      <c r="LN3110" s="37"/>
      <c r="LO3110" s="37"/>
      <c r="LP3110" s="37"/>
      <c r="LQ3110" s="37"/>
      <c r="LR3110" s="37"/>
      <c r="LS3110" s="37"/>
      <c r="LT3110" s="37"/>
      <c r="LU3110" s="37"/>
      <c r="LV3110" s="37"/>
      <c r="LW3110" s="37"/>
      <c r="LX3110" s="37"/>
      <c r="LY3110" s="37"/>
      <c r="LZ3110" s="37"/>
      <c r="MA3110" s="37"/>
      <c r="MB3110" s="37"/>
      <c r="MC3110" s="37"/>
      <c r="MD3110" s="37"/>
      <c r="ME3110" s="37"/>
      <c r="MF3110" s="37"/>
      <c r="MG3110" s="37"/>
      <c r="MH3110" s="37"/>
      <c r="MI3110" s="37"/>
      <c r="MJ3110" s="37"/>
      <c r="MK3110" s="37"/>
      <c r="ML3110" s="37"/>
      <c r="MM3110" s="37"/>
      <c r="MN3110" s="37"/>
      <c r="MO3110" s="37"/>
      <c r="MP3110" s="37"/>
      <c r="MQ3110" s="37"/>
      <c r="MR3110" s="37"/>
      <c r="MS3110" s="37"/>
      <c r="MT3110" s="37"/>
      <c r="MU3110" s="37"/>
      <c r="MV3110" s="37"/>
      <c r="MW3110" s="37"/>
      <c r="MX3110" s="37"/>
      <c r="MY3110" s="37"/>
      <c r="MZ3110" s="37"/>
      <c r="NA3110" s="37"/>
      <c r="NB3110" s="37"/>
      <c r="NC3110" s="37"/>
      <c r="ND3110" s="37"/>
      <c r="NE3110" s="37"/>
      <c r="NF3110" s="37"/>
      <c r="NG3110" s="37"/>
      <c r="NH3110" s="37"/>
      <c r="NI3110" s="37"/>
      <c r="NJ3110" s="37"/>
      <c r="NK3110" s="37"/>
      <c r="NL3110" s="37"/>
      <c r="NM3110" s="37"/>
      <c r="NN3110" s="37"/>
      <c r="NO3110" s="37"/>
      <c r="NP3110" s="37"/>
      <c r="NQ3110" s="37"/>
      <c r="NR3110" s="37"/>
      <c r="NS3110" s="37"/>
      <c r="NT3110" s="37"/>
      <c r="NU3110" s="37"/>
      <c r="NV3110" s="37"/>
      <c r="NW3110" s="37"/>
      <c r="NX3110" s="37"/>
      <c r="NY3110" s="37"/>
      <c r="NZ3110" s="37"/>
      <c r="OA3110" s="37"/>
      <c r="OB3110" s="37"/>
      <c r="OC3110" s="37"/>
      <c r="OD3110" s="37"/>
      <c r="OE3110" s="37"/>
      <c r="OF3110" s="37"/>
      <c r="OG3110" s="37"/>
      <c r="OH3110" s="37"/>
      <c r="OI3110" s="37"/>
      <c r="OJ3110" s="37"/>
      <c r="OK3110" s="37"/>
      <c r="OL3110" s="37"/>
      <c r="OM3110" s="37"/>
      <c r="ON3110" s="37"/>
      <c r="OO3110" s="37"/>
      <c r="OP3110" s="37"/>
      <c r="OQ3110" s="37"/>
      <c r="OR3110" s="37"/>
      <c r="OS3110" s="37"/>
      <c r="OT3110" s="37"/>
      <c r="OU3110" s="37"/>
      <c r="OV3110" s="37"/>
      <c r="OW3110" s="37"/>
      <c r="OX3110" s="37"/>
      <c r="OY3110" s="37"/>
      <c r="OZ3110" s="37"/>
      <c r="PA3110" s="37"/>
      <c r="PB3110" s="37"/>
      <c r="PC3110" s="37"/>
      <c r="PD3110" s="37"/>
      <c r="PE3110" s="37"/>
      <c r="PF3110" s="37"/>
      <c r="PG3110" s="37"/>
      <c r="PH3110" s="37"/>
      <c r="PI3110" s="37"/>
      <c r="PJ3110" s="37"/>
      <c r="PK3110" s="37"/>
      <c r="PL3110" s="37"/>
      <c r="PM3110" s="37"/>
      <c r="PN3110" s="37"/>
      <c r="PO3110" s="37"/>
      <c r="PP3110" s="37"/>
      <c r="PQ3110" s="37"/>
      <c r="PR3110" s="37"/>
      <c r="PS3110" s="37"/>
      <c r="PT3110" s="37"/>
      <c r="PU3110" s="37"/>
      <c r="PV3110" s="37"/>
      <c r="PW3110" s="37"/>
      <c r="PX3110" s="37"/>
      <c r="PY3110" s="37"/>
      <c r="PZ3110" s="37"/>
      <c r="QA3110" s="37"/>
      <c r="QB3110" s="37"/>
      <c r="QC3110" s="37"/>
      <c r="QD3110" s="37"/>
      <c r="QE3110" s="37"/>
      <c r="QF3110" s="37"/>
      <c r="QG3110" s="37"/>
      <c r="QH3110" s="37"/>
      <c r="QI3110" s="37"/>
      <c r="QJ3110" s="37"/>
      <c r="QK3110" s="37"/>
      <c r="QL3110" s="37"/>
      <c r="QM3110" s="37"/>
      <c r="QN3110" s="37"/>
      <c r="QO3110" s="37"/>
      <c r="QP3110" s="37"/>
      <c r="QQ3110" s="37"/>
      <c r="QR3110" s="37"/>
      <c r="QS3110" s="37"/>
      <c r="QT3110" s="37"/>
      <c r="QU3110" s="37"/>
      <c r="QV3110" s="37"/>
      <c r="QW3110" s="37"/>
      <c r="QX3110" s="37"/>
      <c r="QY3110" s="37"/>
      <c r="QZ3110" s="37"/>
      <c r="RA3110" s="37"/>
      <c r="RB3110" s="37"/>
      <c r="RC3110" s="37"/>
      <c r="RD3110" s="37"/>
      <c r="RE3110" s="37"/>
      <c r="RF3110" s="37"/>
      <c r="RG3110" s="37"/>
      <c r="RH3110" s="37"/>
      <c r="RI3110" s="37"/>
      <c r="RJ3110" s="37"/>
      <c r="RK3110" s="37"/>
      <c r="RL3110" s="37"/>
      <c r="RM3110" s="37"/>
      <c r="RN3110" s="37"/>
      <c r="RO3110" s="37"/>
      <c r="RP3110" s="37"/>
      <c r="RQ3110" s="37"/>
      <c r="RR3110" s="37"/>
      <c r="RS3110" s="37"/>
      <c r="RT3110" s="37"/>
      <c r="RU3110" s="37"/>
      <c r="RV3110" s="37"/>
      <c r="RW3110" s="37"/>
      <c r="RX3110" s="37"/>
      <c r="RY3110" s="37"/>
      <c r="RZ3110" s="37"/>
      <c r="SA3110" s="37"/>
      <c r="SB3110" s="37"/>
      <c r="SC3110" s="37"/>
      <c r="SD3110" s="37"/>
      <c r="SE3110" s="37"/>
      <c r="SF3110" s="37"/>
    </row>
    <row r="3111" spans="1:500">
      <c r="A3111" s="37"/>
      <c r="B3111" s="37"/>
      <c r="C3111" s="37"/>
      <c r="D3111" s="37"/>
      <c r="E3111" s="37"/>
      <c r="F3111" s="37"/>
      <c r="G3111" s="37"/>
      <c r="H3111" s="37"/>
      <c r="I3111" s="37"/>
      <c r="J3111" s="37"/>
      <c r="K3111" s="37"/>
      <c r="L3111" s="37"/>
      <c r="M3111" s="37"/>
      <c r="N3111" s="37"/>
      <c r="O3111" s="37"/>
      <c r="P3111" s="37"/>
      <c r="Q3111" s="37"/>
      <c r="R3111" s="37"/>
      <c r="S3111" s="37"/>
      <c r="T3111" s="37"/>
      <c r="U3111" s="37"/>
      <c r="V3111" s="37"/>
      <c r="W3111" s="37"/>
      <c r="X3111" s="37"/>
      <c r="Y3111" s="37"/>
      <c r="Z3111" s="37"/>
      <c r="AA3111" s="37"/>
      <c r="AB3111" s="37"/>
      <c r="AC3111" s="37"/>
      <c r="AD3111" s="37"/>
      <c r="AE3111" s="37"/>
      <c r="AF3111" s="37"/>
      <c r="AG3111" s="37"/>
      <c r="AH3111" s="37"/>
      <c r="AI3111" s="37"/>
      <c r="AJ3111" s="37"/>
      <c r="AK3111" s="37"/>
      <c r="AL3111" s="37"/>
      <c r="AM3111" s="37"/>
      <c r="AN3111" s="37"/>
      <c r="AO3111" s="37"/>
      <c r="AP3111" s="37"/>
      <c r="AQ3111" s="37"/>
      <c r="AR3111" s="37"/>
      <c r="AS3111" s="37"/>
      <c r="AT3111" s="37"/>
      <c r="AU3111" s="37"/>
      <c r="AV3111" s="37"/>
      <c r="AW3111" s="37"/>
      <c r="AX3111" s="37"/>
      <c r="AY3111" s="37"/>
      <c r="AZ3111" s="37"/>
      <c r="BA3111" s="37"/>
      <c r="BB3111" s="37"/>
      <c r="BC3111" s="37"/>
      <c r="BD3111" s="37"/>
      <c r="BE3111" s="37"/>
      <c r="BF3111" s="37"/>
      <c r="BG3111" s="37"/>
      <c r="BH3111" s="37"/>
      <c r="BI3111" s="37"/>
      <c r="BJ3111" s="37"/>
      <c r="BK3111" s="37"/>
      <c r="BL3111" s="37"/>
      <c r="BM3111" s="37"/>
      <c r="BN3111" s="37"/>
      <c r="BO3111" s="37"/>
      <c r="BP3111" s="37"/>
      <c r="BQ3111" s="37"/>
      <c r="BR3111" s="37"/>
      <c r="BS3111" s="37"/>
      <c r="BT3111" s="37"/>
      <c r="BU3111" s="37"/>
      <c r="BV3111" s="37"/>
      <c r="BW3111" s="37"/>
      <c r="BX3111" s="37"/>
      <c r="BY3111" s="37"/>
      <c r="BZ3111" s="37"/>
      <c r="CA3111" s="37"/>
      <c r="CB3111" s="37"/>
      <c r="CC3111" s="37"/>
      <c r="CD3111" s="37"/>
      <c r="CE3111" s="37"/>
      <c r="CF3111" s="37"/>
      <c r="CG3111" s="37"/>
      <c r="CH3111" s="37"/>
      <c r="CI3111" s="37"/>
      <c r="CJ3111" s="37"/>
      <c r="CK3111" s="37"/>
      <c r="CL3111" s="37"/>
      <c r="CM3111" s="37"/>
      <c r="CN3111" s="37"/>
      <c r="CO3111" s="37"/>
      <c r="CP3111" s="37"/>
      <c r="CQ3111" s="37"/>
      <c r="CR3111" s="37"/>
      <c r="CS3111" s="37"/>
      <c r="CT3111" s="37"/>
      <c r="CU3111" s="37"/>
      <c r="CV3111" s="37"/>
      <c r="CW3111" s="37"/>
      <c r="CX3111" s="37"/>
      <c r="CY3111" s="37"/>
      <c r="CZ3111" s="37"/>
      <c r="DA3111" s="37"/>
      <c r="DB3111" s="37"/>
      <c r="DC3111" s="37"/>
      <c r="DD3111" s="37"/>
      <c r="DE3111" s="37"/>
      <c r="DF3111" s="37"/>
      <c r="DG3111" s="37"/>
      <c r="DH3111" s="37"/>
      <c r="DI3111" s="37"/>
      <c r="DJ3111" s="37"/>
      <c r="DK3111" s="37"/>
      <c r="DL3111" s="37"/>
      <c r="DM3111" s="37"/>
      <c r="DN3111" s="37"/>
      <c r="DO3111" s="37"/>
      <c r="DP3111" s="37"/>
      <c r="DQ3111" s="37"/>
      <c r="DR3111" s="37"/>
      <c r="DS3111" s="37"/>
      <c r="DT3111" s="37"/>
      <c r="DU3111" s="37"/>
      <c r="DV3111" s="37"/>
      <c r="DW3111" s="37"/>
      <c r="DX3111" s="37"/>
      <c r="DY3111" s="37"/>
      <c r="DZ3111" s="37"/>
      <c r="EA3111" s="37"/>
      <c r="EB3111" s="37"/>
      <c r="EC3111" s="37"/>
      <c r="ED3111" s="37"/>
      <c r="EE3111" s="37"/>
      <c r="EF3111" s="37"/>
      <c r="EG3111" s="37"/>
      <c r="EH3111" s="37"/>
      <c r="EI3111" s="37"/>
      <c r="EJ3111" s="37"/>
      <c r="EK3111" s="37"/>
      <c r="EL3111" s="37"/>
      <c r="EM3111" s="37"/>
      <c r="EN3111" s="37"/>
      <c r="EO3111" s="37"/>
      <c r="EP3111" s="37"/>
      <c r="EQ3111" s="37"/>
      <c r="ER3111" s="37"/>
      <c r="ES3111" s="37"/>
      <c r="ET3111" s="37"/>
      <c r="EU3111" s="37"/>
      <c r="EV3111" s="37"/>
      <c r="EW3111" s="37"/>
      <c r="EX3111" s="37"/>
      <c r="EY3111" s="37"/>
      <c r="EZ3111" s="37"/>
      <c r="FA3111" s="37"/>
      <c r="FB3111" s="37"/>
      <c r="FC3111" s="37"/>
      <c r="FD3111" s="37"/>
      <c r="FE3111" s="37"/>
      <c r="FF3111" s="37"/>
      <c r="FG3111" s="37"/>
      <c r="FH3111" s="37"/>
      <c r="FI3111" s="37"/>
      <c r="FJ3111" s="37"/>
      <c r="FK3111" s="37"/>
      <c r="FL3111" s="37"/>
      <c r="FM3111" s="37"/>
      <c r="FN3111" s="37"/>
      <c r="FO3111" s="37"/>
      <c r="FP3111" s="37"/>
      <c r="FQ3111" s="37"/>
      <c r="FR3111" s="37"/>
      <c r="FS3111" s="37"/>
      <c r="FT3111" s="37"/>
      <c r="FU3111" s="37"/>
      <c r="FV3111" s="37"/>
      <c r="FW3111" s="37"/>
      <c r="FX3111" s="37"/>
      <c r="FY3111" s="37"/>
      <c r="FZ3111" s="37"/>
      <c r="GA3111" s="37"/>
      <c r="GB3111" s="37"/>
      <c r="GC3111" s="37"/>
      <c r="GD3111" s="37"/>
      <c r="GE3111" s="37"/>
      <c r="GF3111" s="37"/>
      <c r="GG3111" s="37"/>
      <c r="GH3111" s="37"/>
      <c r="GI3111" s="37"/>
      <c r="GJ3111" s="37"/>
      <c r="GK3111" s="37"/>
      <c r="GL3111" s="37"/>
      <c r="GM3111" s="37"/>
      <c r="GN3111" s="37"/>
      <c r="GO3111" s="37"/>
      <c r="GP3111" s="37"/>
      <c r="GQ3111" s="37"/>
      <c r="GR3111" s="37"/>
      <c r="GS3111" s="37"/>
      <c r="GT3111" s="37"/>
      <c r="GU3111" s="37"/>
      <c r="GV3111" s="37"/>
      <c r="GW3111" s="37"/>
      <c r="GX3111" s="37"/>
      <c r="GY3111" s="37"/>
      <c r="GZ3111" s="37"/>
      <c r="HA3111" s="37"/>
      <c r="HB3111" s="37"/>
      <c r="HC3111" s="37"/>
      <c r="HD3111" s="37"/>
      <c r="HE3111" s="37"/>
      <c r="HF3111" s="37"/>
      <c r="HG3111" s="37"/>
      <c r="HH3111" s="37"/>
      <c r="HI3111" s="37"/>
      <c r="HJ3111" s="37"/>
      <c r="HK3111" s="37"/>
      <c r="HL3111" s="37"/>
      <c r="HM3111" s="37"/>
      <c r="HN3111" s="37"/>
      <c r="HO3111" s="37"/>
      <c r="HP3111" s="37"/>
      <c r="HQ3111" s="37"/>
      <c r="HR3111" s="37"/>
      <c r="HS3111" s="37"/>
      <c r="HT3111" s="37"/>
      <c r="HU3111" s="37"/>
      <c r="HV3111" s="37"/>
      <c r="HW3111" s="37"/>
      <c r="HX3111" s="37"/>
      <c r="HY3111" s="37"/>
      <c r="HZ3111" s="37"/>
      <c r="IA3111" s="37"/>
      <c r="IB3111" s="37"/>
      <c r="IC3111" s="37"/>
      <c r="ID3111" s="37"/>
      <c r="IE3111" s="37"/>
      <c r="IF3111" s="37"/>
      <c r="IG3111" s="37"/>
      <c r="IH3111" s="37"/>
      <c r="II3111" s="37"/>
      <c r="IJ3111" s="37"/>
      <c r="IK3111" s="37"/>
      <c r="IL3111" s="37"/>
      <c r="IM3111" s="37"/>
      <c r="IN3111" s="37"/>
      <c r="IO3111" s="37"/>
      <c r="IP3111" s="37"/>
      <c r="IQ3111" s="37"/>
      <c r="IR3111" s="37"/>
      <c r="IS3111" s="37"/>
      <c r="IT3111" s="37"/>
      <c r="IU3111" s="37"/>
      <c r="IV3111" s="37"/>
      <c r="IW3111" s="37"/>
      <c r="IX3111" s="37"/>
      <c r="IY3111" s="37"/>
      <c r="IZ3111" s="37"/>
      <c r="JA3111" s="37"/>
      <c r="JB3111" s="37"/>
      <c r="JC3111" s="37"/>
      <c r="JD3111" s="37"/>
      <c r="JE3111" s="37"/>
      <c r="JF3111" s="37"/>
      <c r="JG3111" s="37"/>
      <c r="JH3111" s="37"/>
      <c r="JI3111" s="37"/>
      <c r="JJ3111" s="37"/>
      <c r="JK3111" s="37"/>
      <c r="JL3111" s="37"/>
      <c r="JM3111" s="37"/>
      <c r="JN3111" s="37"/>
      <c r="JO3111" s="37"/>
      <c r="JP3111" s="37"/>
      <c r="JQ3111" s="37"/>
      <c r="JR3111" s="37"/>
      <c r="JS3111" s="37"/>
      <c r="JT3111" s="37"/>
      <c r="JU3111" s="37"/>
      <c r="JV3111" s="37"/>
      <c r="JW3111" s="37"/>
      <c r="JX3111" s="37"/>
      <c r="JY3111" s="37"/>
      <c r="JZ3111" s="37"/>
      <c r="KA3111" s="37"/>
      <c r="KB3111" s="37"/>
      <c r="KC3111" s="37"/>
      <c r="KD3111" s="37"/>
      <c r="KE3111" s="37"/>
      <c r="KF3111" s="37"/>
      <c r="KG3111" s="37"/>
      <c r="KH3111" s="37"/>
      <c r="KI3111" s="37"/>
      <c r="KJ3111" s="37"/>
      <c r="KK3111" s="37"/>
      <c r="KL3111" s="37"/>
      <c r="KM3111" s="37"/>
      <c r="KN3111" s="37"/>
      <c r="KO3111" s="37"/>
      <c r="KP3111" s="37"/>
      <c r="KQ3111" s="37"/>
      <c r="KR3111" s="37"/>
      <c r="KS3111" s="37"/>
      <c r="KT3111" s="37"/>
      <c r="KU3111" s="37"/>
      <c r="KV3111" s="37"/>
      <c r="KW3111" s="37"/>
      <c r="KX3111" s="37"/>
      <c r="KY3111" s="37"/>
      <c r="KZ3111" s="37"/>
      <c r="LA3111" s="37"/>
      <c r="LB3111" s="37"/>
      <c r="LC3111" s="37"/>
      <c r="LD3111" s="37"/>
      <c r="LE3111" s="37"/>
      <c r="LF3111" s="37"/>
      <c r="LG3111" s="37"/>
      <c r="LH3111" s="37"/>
      <c r="LI3111" s="37"/>
      <c r="LJ3111" s="37"/>
      <c r="LK3111" s="37"/>
      <c r="LL3111" s="37"/>
      <c r="LM3111" s="37"/>
      <c r="LN3111" s="37"/>
      <c r="LO3111" s="37"/>
      <c r="LP3111" s="37"/>
      <c r="LQ3111" s="37"/>
      <c r="LR3111" s="37"/>
      <c r="LS3111" s="37"/>
      <c r="LT3111" s="37"/>
      <c r="LU3111" s="37"/>
      <c r="LV3111" s="37"/>
      <c r="LW3111" s="37"/>
      <c r="LX3111" s="37"/>
      <c r="LY3111" s="37"/>
      <c r="LZ3111" s="37"/>
      <c r="MA3111" s="37"/>
      <c r="MB3111" s="37"/>
      <c r="MC3111" s="37"/>
      <c r="MD3111" s="37"/>
      <c r="ME3111" s="37"/>
      <c r="MF3111" s="37"/>
      <c r="MG3111" s="37"/>
      <c r="MH3111" s="37"/>
      <c r="MI3111" s="37"/>
      <c r="MJ3111" s="37"/>
      <c r="MK3111" s="37"/>
      <c r="ML3111" s="37"/>
      <c r="MM3111" s="37"/>
      <c r="MN3111" s="37"/>
      <c r="MO3111" s="37"/>
      <c r="MP3111" s="37"/>
      <c r="MQ3111" s="37"/>
      <c r="MR3111" s="37"/>
      <c r="MS3111" s="37"/>
      <c r="MT3111" s="37"/>
      <c r="MU3111" s="37"/>
      <c r="MV3111" s="37"/>
      <c r="MW3111" s="37"/>
      <c r="MX3111" s="37"/>
      <c r="MY3111" s="37"/>
      <c r="MZ3111" s="37"/>
      <c r="NA3111" s="37"/>
      <c r="NB3111" s="37"/>
      <c r="NC3111" s="37"/>
      <c r="ND3111" s="37"/>
      <c r="NE3111" s="37"/>
      <c r="NF3111" s="37"/>
      <c r="NG3111" s="37"/>
      <c r="NH3111" s="37"/>
      <c r="NI3111" s="37"/>
      <c r="NJ3111" s="37"/>
      <c r="NK3111" s="37"/>
      <c r="NL3111" s="37"/>
      <c r="NM3111" s="37"/>
      <c r="NN3111" s="37"/>
      <c r="NO3111" s="37"/>
      <c r="NP3111" s="37"/>
      <c r="NQ3111" s="37"/>
      <c r="NR3111" s="37"/>
      <c r="NS3111" s="37"/>
      <c r="NT3111" s="37"/>
      <c r="NU3111" s="37"/>
      <c r="NV3111" s="37"/>
      <c r="NW3111" s="37"/>
      <c r="NX3111" s="37"/>
      <c r="NY3111" s="37"/>
      <c r="NZ3111" s="37"/>
      <c r="OA3111" s="37"/>
      <c r="OB3111" s="37"/>
      <c r="OC3111" s="37"/>
      <c r="OD3111" s="37"/>
      <c r="OE3111" s="37"/>
      <c r="OF3111" s="37"/>
      <c r="OG3111" s="37"/>
      <c r="OH3111" s="37"/>
      <c r="OI3111" s="37"/>
      <c r="OJ3111" s="37"/>
      <c r="OK3111" s="37"/>
      <c r="OL3111" s="37"/>
      <c r="OM3111" s="37"/>
      <c r="ON3111" s="37"/>
      <c r="OO3111" s="37"/>
      <c r="OP3111" s="37"/>
      <c r="OQ3111" s="37"/>
      <c r="OR3111" s="37"/>
      <c r="OS3111" s="37"/>
      <c r="OT3111" s="37"/>
      <c r="OU3111" s="37"/>
      <c r="OV3111" s="37"/>
      <c r="OW3111" s="37"/>
      <c r="OX3111" s="37"/>
      <c r="OY3111" s="37"/>
      <c r="OZ3111" s="37"/>
      <c r="PA3111" s="37"/>
      <c r="PB3111" s="37"/>
      <c r="PC3111" s="37"/>
      <c r="PD3111" s="37"/>
      <c r="PE3111" s="37"/>
      <c r="PF3111" s="37"/>
      <c r="PG3111" s="37"/>
      <c r="PH3111" s="37"/>
      <c r="PI3111" s="37"/>
      <c r="PJ3111" s="37"/>
      <c r="PK3111" s="37"/>
      <c r="PL3111" s="37"/>
      <c r="PM3111" s="37"/>
      <c r="PN3111" s="37"/>
      <c r="PO3111" s="37"/>
      <c r="PP3111" s="37"/>
      <c r="PQ3111" s="37"/>
      <c r="PR3111" s="37"/>
      <c r="PS3111" s="37"/>
      <c r="PT3111" s="37"/>
      <c r="PU3111" s="37"/>
      <c r="PV3111" s="37"/>
      <c r="PW3111" s="37"/>
      <c r="PX3111" s="37"/>
      <c r="PY3111" s="37"/>
      <c r="PZ3111" s="37"/>
      <c r="QA3111" s="37"/>
      <c r="QB3111" s="37"/>
      <c r="QC3111" s="37"/>
      <c r="QD3111" s="37"/>
      <c r="QE3111" s="37"/>
      <c r="QF3111" s="37"/>
      <c r="QG3111" s="37"/>
      <c r="QH3111" s="37"/>
      <c r="QI3111" s="37"/>
      <c r="QJ3111" s="37"/>
      <c r="QK3111" s="37"/>
      <c r="QL3111" s="37"/>
      <c r="QM3111" s="37"/>
      <c r="QN3111" s="37"/>
      <c r="QO3111" s="37"/>
      <c r="QP3111" s="37"/>
      <c r="QQ3111" s="37"/>
      <c r="QR3111" s="37"/>
      <c r="QS3111" s="37"/>
      <c r="QT3111" s="37"/>
      <c r="QU3111" s="37"/>
      <c r="QV3111" s="37"/>
      <c r="QW3111" s="37"/>
      <c r="QX3111" s="37"/>
      <c r="QY3111" s="37"/>
      <c r="QZ3111" s="37"/>
      <c r="RA3111" s="37"/>
      <c r="RB3111" s="37"/>
      <c r="RC3111" s="37"/>
      <c r="RD3111" s="37"/>
      <c r="RE3111" s="37"/>
      <c r="RF3111" s="37"/>
      <c r="RG3111" s="37"/>
      <c r="RH3111" s="37"/>
      <c r="RI3111" s="37"/>
      <c r="RJ3111" s="37"/>
      <c r="RK3111" s="37"/>
      <c r="RL3111" s="37"/>
      <c r="RM3111" s="37"/>
      <c r="RN3111" s="37"/>
      <c r="RO3111" s="37"/>
      <c r="RP3111" s="37"/>
      <c r="RQ3111" s="37"/>
      <c r="RR3111" s="37"/>
      <c r="RS3111" s="37"/>
      <c r="RT3111" s="37"/>
      <c r="RU3111" s="37"/>
      <c r="RV3111" s="37"/>
      <c r="RW3111" s="37"/>
      <c r="RX3111" s="37"/>
      <c r="RY3111" s="37"/>
      <c r="RZ3111" s="37"/>
      <c r="SA3111" s="37"/>
      <c r="SB3111" s="37"/>
      <c r="SC3111" s="37"/>
      <c r="SD3111" s="37"/>
      <c r="SE3111" s="37"/>
      <c r="SF3111" s="37"/>
    </row>
    <row r="3112" spans="1:500">
      <c r="A3112" s="37"/>
      <c r="B3112" s="37"/>
      <c r="C3112" s="37"/>
      <c r="D3112" s="37"/>
      <c r="E3112" s="37"/>
      <c r="F3112" s="37"/>
      <c r="G3112" s="37"/>
      <c r="H3112" s="37"/>
      <c r="I3112" s="37"/>
      <c r="J3112" s="37"/>
      <c r="K3112" s="37"/>
      <c r="L3112" s="37"/>
      <c r="M3112" s="37"/>
      <c r="N3112" s="37"/>
      <c r="O3112" s="37"/>
      <c r="P3112" s="37"/>
      <c r="Q3112" s="37"/>
      <c r="R3112" s="37"/>
      <c r="S3112" s="37"/>
      <c r="T3112" s="37"/>
      <c r="U3112" s="37"/>
      <c r="V3112" s="37"/>
      <c r="W3112" s="37"/>
      <c r="X3112" s="37"/>
      <c r="Y3112" s="37"/>
      <c r="Z3112" s="37"/>
      <c r="AA3112" s="37"/>
      <c r="AB3112" s="37"/>
      <c r="AC3112" s="37"/>
      <c r="AD3112" s="37"/>
      <c r="AE3112" s="37"/>
      <c r="AF3112" s="37"/>
      <c r="AG3112" s="37"/>
      <c r="AH3112" s="37"/>
      <c r="AI3112" s="37"/>
      <c r="AJ3112" s="37"/>
      <c r="AK3112" s="37"/>
      <c r="AL3112" s="37"/>
      <c r="AM3112" s="37"/>
      <c r="AN3112" s="37"/>
      <c r="AO3112" s="37"/>
      <c r="AP3112" s="37"/>
      <c r="AQ3112" s="37"/>
      <c r="AR3112" s="37"/>
      <c r="AS3112" s="37"/>
      <c r="AT3112" s="37"/>
      <c r="AU3112" s="37"/>
      <c r="AV3112" s="37"/>
      <c r="AW3112" s="37"/>
      <c r="AX3112" s="37"/>
      <c r="AY3112" s="37"/>
      <c r="AZ3112" s="37"/>
      <c r="BA3112" s="37"/>
      <c r="BB3112" s="37"/>
      <c r="BC3112" s="37"/>
      <c r="BD3112" s="37"/>
      <c r="BE3112" s="37"/>
      <c r="BF3112" s="37"/>
      <c r="BG3112" s="37"/>
      <c r="BH3112" s="37"/>
      <c r="BI3112" s="37"/>
      <c r="BJ3112" s="37"/>
      <c r="BK3112" s="37"/>
      <c r="BL3112" s="37"/>
      <c r="BM3112" s="37"/>
      <c r="BN3112" s="37"/>
      <c r="BO3112" s="37"/>
      <c r="BP3112" s="37"/>
      <c r="BQ3112" s="37"/>
      <c r="BR3112" s="37"/>
      <c r="BS3112" s="37"/>
      <c r="BT3112" s="37"/>
      <c r="BU3112" s="37"/>
      <c r="BV3112" s="37"/>
      <c r="BW3112" s="37"/>
      <c r="BX3112" s="37"/>
      <c r="BY3112" s="37"/>
      <c r="BZ3112" s="37"/>
      <c r="CA3112" s="37"/>
      <c r="CB3112" s="37"/>
      <c r="CC3112" s="37"/>
      <c r="CD3112" s="37"/>
      <c r="CE3112" s="37"/>
      <c r="CF3112" s="37"/>
      <c r="CG3112" s="37"/>
      <c r="CH3112" s="37"/>
      <c r="CI3112" s="37"/>
      <c r="CJ3112" s="37"/>
      <c r="CK3112" s="37"/>
      <c r="CL3112" s="37"/>
      <c r="CM3112" s="37"/>
      <c r="CN3112" s="37"/>
      <c r="CO3112" s="37"/>
      <c r="CP3112" s="37"/>
      <c r="CQ3112" s="37"/>
      <c r="CR3112" s="37"/>
      <c r="CS3112" s="37"/>
      <c r="CT3112" s="37"/>
      <c r="CU3112" s="37"/>
      <c r="CV3112" s="37"/>
      <c r="CW3112" s="37"/>
      <c r="CX3112" s="37"/>
      <c r="CY3112" s="37"/>
      <c r="CZ3112" s="37"/>
      <c r="DA3112" s="37"/>
      <c r="DB3112" s="37"/>
      <c r="DC3112" s="37"/>
      <c r="DD3112" s="37"/>
      <c r="DE3112" s="37"/>
      <c r="DF3112" s="37"/>
      <c r="DG3112" s="37"/>
      <c r="DH3112" s="37"/>
      <c r="DI3112" s="37"/>
      <c r="DJ3112" s="37"/>
      <c r="DK3112" s="37"/>
      <c r="DL3112" s="37"/>
      <c r="DM3112" s="37"/>
      <c r="DN3112" s="37"/>
      <c r="DO3112" s="37"/>
      <c r="DP3112" s="37"/>
      <c r="DQ3112" s="37"/>
      <c r="DR3112" s="37"/>
      <c r="DS3112" s="37"/>
      <c r="DT3112" s="37"/>
      <c r="DU3112" s="37"/>
      <c r="DV3112" s="37"/>
      <c r="DW3112" s="37"/>
      <c r="DX3112" s="37"/>
      <c r="DY3112" s="37"/>
      <c r="DZ3112" s="37"/>
      <c r="EA3112" s="37"/>
      <c r="EB3112" s="37"/>
      <c r="EC3112" s="37"/>
      <c r="ED3112" s="37"/>
      <c r="EE3112" s="37"/>
      <c r="EF3112" s="37"/>
      <c r="EG3112" s="37"/>
      <c r="EH3112" s="37"/>
      <c r="EI3112" s="37"/>
      <c r="EJ3112" s="37"/>
      <c r="EK3112" s="37"/>
      <c r="EL3112" s="37"/>
      <c r="EM3112" s="37"/>
      <c r="EN3112" s="37"/>
      <c r="EO3112" s="37"/>
      <c r="EP3112" s="37"/>
      <c r="EQ3112" s="37"/>
      <c r="ER3112" s="37"/>
      <c r="ES3112" s="37"/>
      <c r="ET3112" s="37"/>
      <c r="EU3112" s="37"/>
      <c r="EV3112" s="37"/>
      <c r="EW3112" s="37"/>
      <c r="EX3112" s="37"/>
      <c r="EY3112" s="37"/>
      <c r="EZ3112" s="37"/>
      <c r="FA3112" s="37"/>
      <c r="FB3112" s="37"/>
      <c r="FC3112" s="37"/>
      <c r="FD3112" s="37"/>
      <c r="FE3112" s="37"/>
      <c r="FF3112" s="37"/>
      <c r="FG3112" s="37"/>
      <c r="FH3112" s="37"/>
      <c r="FI3112" s="37"/>
      <c r="FJ3112" s="37"/>
      <c r="FK3112" s="37"/>
      <c r="FL3112" s="37"/>
      <c r="FM3112" s="37"/>
      <c r="FN3112" s="37"/>
      <c r="FO3112" s="37"/>
      <c r="FP3112" s="37"/>
      <c r="FQ3112" s="37"/>
      <c r="FR3112" s="37"/>
      <c r="FS3112" s="37"/>
      <c r="FT3112" s="37"/>
      <c r="FU3112" s="37"/>
      <c r="FV3112" s="37"/>
      <c r="FW3112" s="37"/>
      <c r="FX3112" s="37"/>
      <c r="FY3112" s="37"/>
      <c r="FZ3112" s="37"/>
      <c r="GA3112" s="37"/>
      <c r="GB3112" s="37"/>
      <c r="GC3112" s="37"/>
      <c r="GD3112" s="37"/>
      <c r="GE3112" s="37"/>
      <c r="GF3112" s="37"/>
      <c r="GG3112" s="37"/>
      <c r="GH3112" s="37"/>
      <c r="GI3112" s="37"/>
      <c r="GJ3112" s="37"/>
      <c r="GK3112" s="37"/>
      <c r="GL3112" s="37"/>
      <c r="GM3112" s="37"/>
      <c r="GN3112" s="37"/>
      <c r="GO3112" s="37"/>
      <c r="GP3112" s="37"/>
      <c r="GQ3112" s="37"/>
      <c r="GR3112" s="37"/>
      <c r="GS3112" s="37"/>
      <c r="GT3112" s="37"/>
      <c r="GU3112" s="37"/>
      <c r="GV3112" s="37"/>
      <c r="GW3112" s="37"/>
      <c r="GX3112" s="37"/>
      <c r="GY3112" s="37"/>
      <c r="GZ3112" s="37"/>
      <c r="HA3112" s="37"/>
      <c r="HB3112" s="37"/>
      <c r="HC3112" s="37"/>
      <c r="HD3112" s="37"/>
      <c r="HE3112" s="37"/>
      <c r="HF3112" s="37"/>
      <c r="HG3112" s="37"/>
      <c r="HH3112" s="37"/>
      <c r="HI3112" s="37"/>
      <c r="HJ3112" s="37"/>
      <c r="HK3112" s="37"/>
      <c r="HL3112" s="37"/>
      <c r="HM3112" s="37"/>
      <c r="HN3112" s="37"/>
      <c r="HO3112" s="37"/>
      <c r="HP3112" s="37"/>
      <c r="HQ3112" s="37"/>
      <c r="HR3112" s="37"/>
      <c r="HS3112" s="37"/>
      <c r="HT3112" s="37"/>
      <c r="HU3112" s="37"/>
      <c r="HV3112" s="37"/>
      <c r="HW3112" s="37"/>
      <c r="HX3112" s="37"/>
      <c r="HY3112" s="37"/>
      <c r="HZ3112" s="37"/>
      <c r="IA3112" s="37"/>
      <c r="IB3112" s="37"/>
      <c r="IC3112" s="37"/>
      <c r="ID3112" s="37"/>
      <c r="IE3112" s="37"/>
      <c r="IF3112" s="37"/>
      <c r="IG3112" s="37"/>
      <c r="IH3112" s="37"/>
      <c r="II3112" s="37"/>
      <c r="IJ3112" s="37"/>
      <c r="IK3112" s="37"/>
      <c r="IL3112" s="37"/>
      <c r="IM3112" s="37"/>
      <c r="IN3112" s="37"/>
      <c r="IO3112" s="37"/>
      <c r="IP3112" s="37"/>
      <c r="IQ3112" s="37"/>
      <c r="IR3112" s="37"/>
      <c r="IS3112" s="37"/>
      <c r="IT3112" s="37"/>
      <c r="IU3112" s="37"/>
      <c r="IV3112" s="37"/>
      <c r="IW3112" s="37"/>
      <c r="IX3112" s="37"/>
      <c r="IY3112" s="37"/>
      <c r="IZ3112" s="37"/>
      <c r="JA3112" s="37"/>
      <c r="JB3112" s="37"/>
      <c r="JC3112" s="37"/>
      <c r="JD3112" s="37"/>
      <c r="JE3112" s="37"/>
      <c r="JF3112" s="37"/>
      <c r="JG3112" s="37"/>
      <c r="JH3112" s="37"/>
      <c r="JI3112" s="37"/>
      <c r="JJ3112" s="37"/>
      <c r="JK3112" s="37"/>
      <c r="JL3112" s="37"/>
      <c r="JM3112" s="37"/>
      <c r="JN3112" s="37"/>
      <c r="JO3112" s="37"/>
      <c r="JP3112" s="37"/>
      <c r="JQ3112" s="37"/>
      <c r="JR3112" s="37"/>
      <c r="JS3112" s="37"/>
      <c r="JT3112" s="37"/>
      <c r="JU3112" s="37"/>
      <c r="JV3112" s="37"/>
      <c r="JW3112" s="37"/>
      <c r="JX3112" s="37"/>
      <c r="JY3112" s="37"/>
      <c r="JZ3112" s="37"/>
      <c r="KA3112" s="37"/>
      <c r="KB3112" s="37"/>
      <c r="KC3112" s="37"/>
      <c r="KD3112" s="37"/>
      <c r="KE3112" s="37"/>
      <c r="KF3112" s="37"/>
      <c r="KG3112" s="37"/>
      <c r="KH3112" s="37"/>
      <c r="KI3112" s="37"/>
      <c r="KJ3112" s="37"/>
      <c r="KK3112" s="37"/>
      <c r="KL3112" s="37"/>
      <c r="KM3112" s="37"/>
      <c r="KN3112" s="37"/>
      <c r="KO3112" s="37"/>
      <c r="KP3112" s="37"/>
      <c r="KQ3112" s="37"/>
      <c r="KR3112" s="37"/>
      <c r="KS3112" s="37"/>
      <c r="KT3112" s="37"/>
      <c r="KU3112" s="37"/>
      <c r="KV3112" s="37"/>
      <c r="KW3112" s="37"/>
      <c r="KX3112" s="37"/>
      <c r="KY3112" s="37"/>
      <c r="KZ3112" s="37"/>
      <c r="LA3112" s="37"/>
      <c r="LB3112" s="37"/>
      <c r="LC3112" s="37"/>
      <c r="LD3112" s="37"/>
      <c r="LE3112" s="37"/>
      <c r="LF3112" s="37"/>
      <c r="LG3112" s="37"/>
      <c r="LH3112" s="37"/>
      <c r="LI3112" s="37"/>
      <c r="LJ3112" s="37"/>
      <c r="LK3112" s="37"/>
      <c r="LL3112" s="37"/>
      <c r="LM3112" s="37"/>
      <c r="LN3112" s="37"/>
      <c r="LO3112" s="37"/>
      <c r="LP3112" s="37"/>
      <c r="LQ3112" s="37"/>
      <c r="LR3112" s="37"/>
      <c r="LS3112" s="37"/>
      <c r="LT3112" s="37"/>
      <c r="LU3112" s="37"/>
      <c r="LV3112" s="37"/>
      <c r="LW3112" s="37"/>
      <c r="LX3112" s="37"/>
      <c r="LY3112" s="37"/>
      <c r="LZ3112" s="37"/>
      <c r="MA3112" s="37"/>
      <c r="MB3112" s="37"/>
      <c r="MC3112" s="37"/>
      <c r="MD3112" s="37"/>
      <c r="ME3112" s="37"/>
      <c r="MF3112" s="37"/>
      <c r="MG3112" s="37"/>
      <c r="MH3112" s="37"/>
      <c r="MI3112" s="37"/>
      <c r="MJ3112" s="37"/>
      <c r="MK3112" s="37"/>
      <c r="ML3112" s="37"/>
      <c r="MM3112" s="37"/>
      <c r="MN3112" s="37"/>
      <c r="MO3112" s="37"/>
      <c r="MP3112" s="37"/>
      <c r="MQ3112" s="37"/>
      <c r="MR3112" s="37"/>
      <c r="MS3112" s="37"/>
      <c r="MT3112" s="37"/>
      <c r="MU3112" s="37"/>
      <c r="MV3112" s="37"/>
      <c r="MW3112" s="37"/>
      <c r="MX3112" s="37"/>
      <c r="MY3112" s="37"/>
      <c r="MZ3112" s="37"/>
      <c r="NA3112" s="37"/>
      <c r="NB3112" s="37"/>
      <c r="NC3112" s="37"/>
      <c r="ND3112" s="37"/>
      <c r="NE3112" s="37"/>
      <c r="NF3112" s="37"/>
      <c r="NG3112" s="37"/>
      <c r="NH3112" s="37"/>
      <c r="NI3112" s="37"/>
      <c r="NJ3112" s="37"/>
      <c r="NK3112" s="37"/>
      <c r="NL3112" s="37"/>
      <c r="NM3112" s="37"/>
      <c r="NN3112" s="37"/>
      <c r="NO3112" s="37"/>
      <c r="NP3112" s="37"/>
      <c r="NQ3112" s="37"/>
      <c r="NR3112" s="37"/>
      <c r="NS3112" s="37"/>
      <c r="NT3112" s="37"/>
      <c r="NU3112" s="37"/>
      <c r="NV3112" s="37"/>
      <c r="NW3112" s="37"/>
      <c r="NX3112" s="37"/>
      <c r="NY3112" s="37"/>
      <c r="NZ3112" s="37"/>
      <c r="OA3112" s="37"/>
      <c r="OB3112" s="37"/>
      <c r="OC3112" s="37"/>
      <c r="OD3112" s="37"/>
      <c r="OE3112" s="37"/>
      <c r="OF3112" s="37"/>
      <c r="OG3112" s="37"/>
      <c r="OH3112" s="37"/>
      <c r="OI3112" s="37"/>
      <c r="OJ3112" s="37"/>
      <c r="OK3112" s="37"/>
      <c r="OL3112" s="37"/>
      <c r="OM3112" s="37"/>
      <c r="ON3112" s="37"/>
      <c r="OO3112" s="37"/>
      <c r="OP3112" s="37"/>
      <c r="OQ3112" s="37"/>
      <c r="OR3112" s="37"/>
      <c r="OS3112" s="37"/>
      <c r="OT3112" s="37"/>
      <c r="OU3112" s="37"/>
      <c r="OV3112" s="37"/>
      <c r="OW3112" s="37"/>
      <c r="OX3112" s="37"/>
      <c r="OY3112" s="37"/>
      <c r="OZ3112" s="37"/>
      <c r="PA3112" s="37"/>
      <c r="PB3112" s="37"/>
      <c r="PC3112" s="37"/>
      <c r="PD3112" s="37"/>
      <c r="PE3112" s="37"/>
      <c r="PF3112" s="37"/>
      <c r="PG3112" s="37"/>
      <c r="PH3112" s="37"/>
      <c r="PI3112" s="37"/>
      <c r="PJ3112" s="37"/>
      <c r="PK3112" s="37"/>
      <c r="PL3112" s="37"/>
      <c r="PM3112" s="37"/>
      <c r="PN3112" s="37"/>
      <c r="PO3112" s="37"/>
      <c r="PP3112" s="37"/>
      <c r="PQ3112" s="37"/>
      <c r="PR3112" s="37"/>
      <c r="PS3112" s="37"/>
      <c r="PT3112" s="37"/>
      <c r="PU3112" s="37"/>
      <c r="PV3112" s="37"/>
      <c r="PW3112" s="37"/>
      <c r="PX3112" s="37"/>
      <c r="PY3112" s="37"/>
      <c r="PZ3112" s="37"/>
      <c r="QA3112" s="37"/>
      <c r="QB3112" s="37"/>
      <c r="QC3112" s="37"/>
      <c r="QD3112" s="37"/>
      <c r="QE3112" s="37"/>
      <c r="QF3112" s="37"/>
      <c r="QG3112" s="37"/>
      <c r="QH3112" s="37"/>
      <c r="QI3112" s="37"/>
      <c r="QJ3112" s="37"/>
      <c r="QK3112" s="37"/>
      <c r="QL3112" s="37"/>
      <c r="QM3112" s="37"/>
      <c r="QN3112" s="37"/>
      <c r="QO3112" s="37"/>
      <c r="QP3112" s="37"/>
      <c r="QQ3112" s="37"/>
      <c r="QR3112" s="37"/>
      <c r="QS3112" s="37"/>
      <c r="QT3112" s="37"/>
      <c r="QU3112" s="37"/>
      <c r="QV3112" s="37"/>
      <c r="QW3112" s="37"/>
      <c r="QX3112" s="37"/>
      <c r="QY3112" s="37"/>
      <c r="QZ3112" s="37"/>
      <c r="RA3112" s="37"/>
      <c r="RB3112" s="37"/>
      <c r="RC3112" s="37"/>
      <c r="RD3112" s="37"/>
      <c r="RE3112" s="37"/>
      <c r="RF3112" s="37"/>
      <c r="RG3112" s="37"/>
      <c r="RH3112" s="37"/>
      <c r="RI3112" s="37"/>
      <c r="RJ3112" s="37"/>
      <c r="RK3112" s="37"/>
      <c r="RL3112" s="37"/>
      <c r="RM3112" s="37"/>
      <c r="RN3112" s="37"/>
      <c r="RO3112" s="37"/>
      <c r="RP3112" s="37"/>
      <c r="RQ3112" s="37"/>
      <c r="RR3112" s="37"/>
      <c r="RS3112" s="37"/>
      <c r="RT3112" s="37"/>
      <c r="RU3112" s="37"/>
      <c r="RV3112" s="37"/>
      <c r="RW3112" s="37"/>
      <c r="RX3112" s="37"/>
      <c r="RY3112" s="37"/>
      <c r="RZ3112" s="37"/>
      <c r="SA3112" s="37"/>
      <c r="SB3112" s="37"/>
      <c r="SC3112" s="37"/>
      <c r="SD3112" s="37"/>
      <c r="SE3112" s="37"/>
      <c r="SF3112" s="37"/>
    </row>
    <row r="3113" spans="1:500">
      <c r="A3113" s="37"/>
      <c r="B3113" s="37"/>
      <c r="C3113" s="37"/>
      <c r="D3113" s="37"/>
      <c r="E3113" s="37"/>
      <c r="F3113" s="37"/>
      <c r="G3113" s="37"/>
      <c r="H3113" s="37"/>
      <c r="I3113" s="37"/>
      <c r="J3113" s="37"/>
      <c r="K3113" s="37"/>
      <c r="L3113" s="37"/>
      <c r="M3113" s="37"/>
      <c r="N3113" s="37"/>
      <c r="O3113" s="37"/>
      <c r="P3113" s="37"/>
      <c r="Q3113" s="37"/>
      <c r="R3113" s="37"/>
      <c r="S3113" s="37"/>
      <c r="T3113" s="37"/>
      <c r="U3113" s="37"/>
      <c r="V3113" s="37"/>
      <c r="W3113" s="37"/>
      <c r="X3113" s="37"/>
      <c r="Y3113" s="37"/>
      <c r="Z3113" s="37"/>
      <c r="AA3113" s="37"/>
      <c r="AB3113" s="37"/>
      <c r="AC3113" s="37"/>
      <c r="AD3113" s="37"/>
      <c r="AE3113" s="37"/>
      <c r="AF3113" s="37"/>
      <c r="AG3113" s="37"/>
      <c r="AH3113" s="37"/>
      <c r="AI3113" s="37"/>
      <c r="AJ3113" s="37"/>
      <c r="AK3113" s="37"/>
      <c r="AL3113" s="37"/>
      <c r="AM3113" s="37"/>
      <c r="AN3113" s="37"/>
      <c r="AO3113" s="37"/>
      <c r="AP3113" s="37"/>
      <c r="AQ3113" s="37"/>
      <c r="AR3113" s="37"/>
      <c r="AS3113" s="37"/>
      <c r="AT3113" s="37"/>
      <c r="AU3113" s="37"/>
      <c r="AV3113" s="37"/>
      <c r="AW3113" s="37"/>
      <c r="AX3113" s="37"/>
      <c r="AY3113" s="37"/>
      <c r="AZ3113" s="37"/>
      <c r="BA3113" s="37"/>
      <c r="BB3113" s="37"/>
      <c r="BC3113" s="37"/>
      <c r="BD3113" s="37"/>
      <c r="BE3113" s="37"/>
      <c r="BF3113" s="37"/>
      <c r="BG3113" s="37"/>
      <c r="BH3113" s="37"/>
      <c r="BI3113" s="37"/>
      <c r="BJ3113" s="37"/>
      <c r="BK3113" s="37"/>
      <c r="BL3113" s="37"/>
      <c r="BM3113" s="37"/>
      <c r="BN3113" s="37"/>
      <c r="BO3113" s="37"/>
      <c r="BP3113" s="37"/>
      <c r="BQ3113" s="37"/>
      <c r="BR3113" s="37"/>
      <c r="BS3113" s="37"/>
      <c r="BT3113" s="37"/>
      <c r="BU3113" s="37"/>
      <c r="BV3113" s="37"/>
      <c r="BW3113" s="37"/>
      <c r="BX3113" s="37"/>
      <c r="BY3113" s="37"/>
      <c r="BZ3113" s="37"/>
      <c r="CA3113" s="37"/>
      <c r="CB3113" s="37"/>
      <c r="CC3113" s="37"/>
      <c r="CD3113" s="37"/>
      <c r="CE3113" s="37"/>
      <c r="CF3113" s="37"/>
      <c r="CG3113" s="37"/>
      <c r="CH3113" s="37"/>
      <c r="CI3113" s="37"/>
      <c r="CJ3113" s="37"/>
      <c r="CK3113" s="37"/>
      <c r="CL3113" s="37"/>
      <c r="CM3113" s="37"/>
      <c r="CN3113" s="37"/>
      <c r="CO3113" s="37"/>
      <c r="CP3113" s="37"/>
      <c r="CQ3113" s="37"/>
      <c r="CR3113" s="37"/>
      <c r="CS3113" s="37"/>
      <c r="CT3113" s="37"/>
      <c r="CU3113" s="37"/>
      <c r="CV3113" s="37"/>
      <c r="CW3113" s="37"/>
      <c r="CX3113" s="37"/>
      <c r="CY3113" s="37"/>
      <c r="CZ3113" s="37"/>
      <c r="DA3113" s="37"/>
      <c r="DB3113" s="37"/>
      <c r="DC3113" s="37"/>
      <c r="DD3113" s="37"/>
      <c r="DE3113" s="37"/>
      <c r="DF3113" s="37"/>
      <c r="DG3113" s="37"/>
      <c r="DH3113" s="37"/>
      <c r="DI3113" s="37"/>
      <c r="DJ3113" s="37"/>
      <c r="DK3113" s="37"/>
      <c r="DL3113" s="37"/>
      <c r="DM3113" s="37"/>
      <c r="DN3113" s="37"/>
      <c r="DO3113" s="37"/>
      <c r="DP3113" s="37"/>
      <c r="DQ3113" s="37"/>
      <c r="DR3113" s="37"/>
      <c r="DS3113" s="37"/>
      <c r="DT3113" s="37"/>
      <c r="DU3113" s="37"/>
      <c r="DV3113" s="37"/>
      <c r="DW3113" s="37"/>
      <c r="DX3113" s="37"/>
      <c r="DY3113" s="37"/>
      <c r="DZ3113" s="37"/>
      <c r="EA3113" s="37"/>
      <c r="EB3113" s="37"/>
      <c r="EC3113" s="37"/>
      <c r="ED3113" s="37"/>
      <c r="EE3113" s="37"/>
      <c r="EF3113" s="37"/>
      <c r="EG3113" s="37"/>
      <c r="EH3113" s="37"/>
      <c r="EI3113" s="37"/>
      <c r="EJ3113" s="37"/>
      <c r="EK3113" s="37"/>
      <c r="EL3113" s="37"/>
      <c r="EM3113" s="37"/>
      <c r="EN3113" s="37"/>
      <c r="EO3113" s="37"/>
      <c r="EP3113" s="37"/>
      <c r="EQ3113" s="37"/>
      <c r="ER3113" s="37"/>
      <c r="ES3113" s="37"/>
      <c r="ET3113" s="37"/>
      <c r="EU3113" s="37"/>
      <c r="EV3113" s="37"/>
      <c r="EW3113" s="37"/>
      <c r="EX3113" s="37"/>
      <c r="EY3113" s="37"/>
      <c r="EZ3113" s="37"/>
      <c r="FA3113" s="37"/>
      <c r="FB3113" s="37"/>
      <c r="FC3113" s="37"/>
      <c r="FD3113" s="37"/>
      <c r="FE3113" s="37"/>
      <c r="FF3113" s="37"/>
      <c r="FG3113" s="37"/>
      <c r="FH3113" s="37"/>
      <c r="FI3113" s="37"/>
      <c r="FJ3113" s="37"/>
      <c r="FK3113" s="37"/>
      <c r="FL3113" s="37"/>
      <c r="FM3113" s="37"/>
      <c r="FN3113" s="37"/>
      <c r="FO3113" s="37"/>
      <c r="FP3113" s="37"/>
      <c r="FQ3113" s="37"/>
      <c r="FR3113" s="37"/>
      <c r="FS3113" s="37"/>
      <c r="FT3113" s="37"/>
      <c r="FU3113" s="37"/>
      <c r="FV3113" s="37"/>
      <c r="FW3113" s="37"/>
      <c r="FX3113" s="37"/>
      <c r="FY3113" s="37"/>
      <c r="FZ3113" s="37"/>
      <c r="GA3113" s="37"/>
      <c r="GB3113" s="37"/>
      <c r="GC3113" s="37"/>
      <c r="GD3113" s="37"/>
      <c r="GE3113" s="37"/>
      <c r="GF3113" s="37"/>
      <c r="GG3113" s="37"/>
      <c r="GH3113" s="37"/>
      <c r="GI3113" s="37"/>
      <c r="GJ3113" s="37"/>
      <c r="GK3113" s="37"/>
      <c r="GL3113" s="37"/>
      <c r="GM3113" s="37"/>
      <c r="GN3113" s="37"/>
      <c r="GO3113" s="37"/>
      <c r="GP3113" s="37"/>
      <c r="GQ3113" s="37"/>
      <c r="GR3113" s="37"/>
      <c r="GS3113" s="37"/>
      <c r="GT3113" s="37"/>
      <c r="GU3113" s="37"/>
      <c r="GV3113" s="37"/>
      <c r="GW3113" s="37"/>
      <c r="GX3113" s="37"/>
      <c r="GY3113" s="37"/>
      <c r="GZ3113" s="37"/>
      <c r="HA3113" s="37"/>
      <c r="HB3113" s="37"/>
      <c r="HC3113" s="37"/>
      <c r="HD3113" s="37"/>
      <c r="HE3113" s="37"/>
      <c r="HF3113" s="37"/>
      <c r="HG3113" s="37"/>
      <c r="HH3113" s="37"/>
      <c r="HI3113" s="37"/>
      <c r="HJ3113" s="37"/>
      <c r="HK3113" s="37"/>
      <c r="HL3113" s="37"/>
      <c r="HM3113" s="37"/>
      <c r="HN3113" s="37"/>
      <c r="HO3113" s="37"/>
      <c r="HP3113" s="37"/>
      <c r="HQ3113" s="37"/>
      <c r="HR3113" s="37"/>
      <c r="HS3113" s="37"/>
      <c r="HT3113" s="37"/>
      <c r="HU3113" s="37"/>
      <c r="HV3113" s="37"/>
      <c r="HW3113" s="37"/>
      <c r="HX3113" s="37"/>
      <c r="HY3113" s="37"/>
      <c r="HZ3113" s="37"/>
      <c r="IA3113" s="37"/>
      <c r="IB3113" s="37"/>
      <c r="IC3113" s="37"/>
      <c r="ID3113" s="37"/>
      <c r="IE3113" s="37"/>
      <c r="IF3113" s="37"/>
      <c r="IG3113" s="37"/>
      <c r="IH3113" s="37"/>
      <c r="II3113" s="37"/>
      <c r="IJ3113" s="37"/>
      <c r="IK3113" s="37"/>
      <c r="IL3113" s="37"/>
      <c r="IM3113" s="37"/>
      <c r="IN3113" s="37"/>
      <c r="IO3113" s="37"/>
      <c r="IP3113" s="37"/>
      <c r="IQ3113" s="37"/>
      <c r="IR3113" s="37"/>
      <c r="IS3113" s="37"/>
      <c r="IT3113" s="37"/>
      <c r="IU3113" s="37"/>
      <c r="IV3113" s="37"/>
      <c r="IW3113" s="37"/>
      <c r="IX3113" s="37"/>
      <c r="IY3113" s="37"/>
      <c r="IZ3113" s="37"/>
      <c r="JA3113" s="37"/>
      <c r="JB3113" s="37"/>
      <c r="JC3113" s="37"/>
      <c r="JD3113" s="37"/>
      <c r="JE3113" s="37"/>
      <c r="JF3113" s="37"/>
      <c r="JG3113" s="37"/>
      <c r="JH3113" s="37"/>
      <c r="JI3113" s="37"/>
      <c r="JJ3113" s="37"/>
      <c r="JK3113" s="37"/>
      <c r="JL3113" s="37"/>
      <c r="JM3113" s="37"/>
      <c r="JN3113" s="37"/>
      <c r="JO3113" s="37"/>
      <c r="JP3113" s="37"/>
      <c r="JQ3113" s="37"/>
      <c r="JR3113" s="37"/>
      <c r="JS3113" s="37"/>
      <c r="JT3113" s="37"/>
      <c r="JU3113" s="37"/>
      <c r="JV3113" s="37"/>
      <c r="JW3113" s="37"/>
      <c r="JX3113" s="37"/>
      <c r="JY3113" s="37"/>
      <c r="JZ3113" s="37"/>
      <c r="KA3113" s="37"/>
      <c r="KB3113" s="37"/>
      <c r="KC3113" s="37"/>
      <c r="KD3113" s="37"/>
      <c r="KE3113" s="37"/>
      <c r="KF3113" s="37"/>
      <c r="KG3113" s="37"/>
      <c r="KH3113" s="37"/>
      <c r="KI3113" s="37"/>
      <c r="KJ3113" s="37"/>
      <c r="KK3113" s="37"/>
      <c r="KL3113" s="37"/>
      <c r="KM3113" s="37"/>
      <c r="KN3113" s="37"/>
      <c r="KO3113" s="37"/>
      <c r="KP3113" s="37"/>
      <c r="KQ3113" s="37"/>
      <c r="KR3113" s="37"/>
      <c r="KS3113" s="37"/>
      <c r="KT3113" s="37"/>
      <c r="KU3113" s="37"/>
      <c r="KV3113" s="37"/>
      <c r="KW3113" s="37"/>
      <c r="KX3113" s="37"/>
      <c r="KY3113" s="37"/>
      <c r="KZ3113" s="37"/>
      <c r="LA3113" s="37"/>
      <c r="LB3113" s="37"/>
      <c r="LC3113" s="37"/>
      <c r="LD3113" s="37"/>
      <c r="LE3113" s="37"/>
      <c r="LF3113" s="37"/>
      <c r="LG3113" s="37"/>
      <c r="LH3113" s="37"/>
      <c r="LI3113" s="37"/>
      <c r="LJ3113" s="37"/>
      <c r="LK3113" s="37"/>
      <c r="LL3113" s="37"/>
      <c r="LM3113" s="37"/>
      <c r="LN3113" s="37"/>
      <c r="LO3113" s="37"/>
      <c r="LP3113" s="37"/>
      <c r="LQ3113" s="37"/>
      <c r="LR3113" s="37"/>
      <c r="LS3113" s="37"/>
      <c r="LT3113" s="37"/>
      <c r="LU3113" s="37"/>
      <c r="LV3113" s="37"/>
      <c r="LW3113" s="37"/>
      <c r="LX3113" s="37"/>
      <c r="LY3113" s="37"/>
      <c r="LZ3113" s="37"/>
      <c r="MA3113" s="37"/>
      <c r="MB3113" s="37"/>
      <c r="MC3113" s="37"/>
      <c r="MD3113" s="37"/>
      <c r="ME3113" s="37"/>
      <c r="MF3113" s="37"/>
      <c r="MG3113" s="37"/>
      <c r="MH3113" s="37"/>
      <c r="MI3113" s="37"/>
      <c r="MJ3113" s="37"/>
      <c r="MK3113" s="37"/>
      <c r="ML3113" s="37"/>
      <c r="MM3113" s="37"/>
      <c r="MN3113" s="37"/>
      <c r="MO3113" s="37"/>
      <c r="MP3113" s="37"/>
      <c r="MQ3113" s="37"/>
      <c r="MR3113" s="37"/>
      <c r="MS3113" s="37"/>
      <c r="MT3113" s="37"/>
      <c r="MU3113" s="37"/>
      <c r="MV3113" s="37"/>
      <c r="MW3113" s="37"/>
      <c r="MX3113" s="37"/>
      <c r="MY3113" s="37"/>
      <c r="MZ3113" s="37"/>
      <c r="NA3113" s="37"/>
      <c r="NB3113" s="37"/>
      <c r="NC3113" s="37"/>
      <c r="ND3113" s="37"/>
      <c r="NE3113" s="37"/>
      <c r="NF3113" s="37"/>
      <c r="NG3113" s="37"/>
      <c r="NH3113" s="37"/>
      <c r="NI3113" s="37"/>
      <c r="NJ3113" s="37"/>
      <c r="NK3113" s="37"/>
      <c r="NL3113" s="37"/>
      <c r="NM3113" s="37"/>
      <c r="NN3113" s="37"/>
      <c r="NO3113" s="37"/>
      <c r="NP3113" s="37"/>
      <c r="NQ3113" s="37"/>
      <c r="NR3113" s="37"/>
      <c r="NS3113" s="37"/>
      <c r="NT3113" s="37"/>
      <c r="NU3113" s="37"/>
      <c r="NV3113" s="37"/>
      <c r="NW3113" s="37"/>
      <c r="NX3113" s="37"/>
      <c r="NY3113" s="37"/>
      <c r="NZ3113" s="37"/>
      <c r="OA3113" s="37"/>
      <c r="OB3113" s="37"/>
      <c r="OC3113" s="37"/>
      <c r="OD3113" s="37"/>
      <c r="OE3113" s="37"/>
      <c r="OF3113" s="37"/>
      <c r="OG3113" s="37"/>
      <c r="OH3113" s="37"/>
      <c r="OI3113" s="37"/>
      <c r="OJ3113" s="37"/>
      <c r="OK3113" s="37"/>
      <c r="OL3113" s="37"/>
      <c r="OM3113" s="37"/>
      <c r="ON3113" s="37"/>
      <c r="OO3113" s="37"/>
      <c r="OP3113" s="37"/>
      <c r="OQ3113" s="37"/>
      <c r="OR3113" s="37"/>
      <c r="OS3113" s="37"/>
      <c r="OT3113" s="37"/>
      <c r="OU3113" s="37"/>
      <c r="OV3113" s="37"/>
      <c r="OW3113" s="37"/>
      <c r="OX3113" s="37"/>
      <c r="OY3113" s="37"/>
      <c r="OZ3113" s="37"/>
      <c r="PA3113" s="37"/>
      <c r="PB3113" s="37"/>
      <c r="PC3113" s="37"/>
      <c r="PD3113" s="37"/>
      <c r="PE3113" s="37"/>
      <c r="PF3113" s="37"/>
      <c r="PG3113" s="37"/>
      <c r="PH3113" s="37"/>
      <c r="PI3113" s="37"/>
      <c r="PJ3113" s="37"/>
      <c r="PK3113" s="37"/>
      <c r="PL3113" s="37"/>
      <c r="PM3113" s="37"/>
      <c r="PN3113" s="37"/>
      <c r="PO3113" s="37"/>
      <c r="PP3113" s="37"/>
      <c r="PQ3113" s="37"/>
      <c r="PR3113" s="37"/>
      <c r="PS3113" s="37"/>
      <c r="PT3113" s="37"/>
      <c r="PU3113" s="37"/>
      <c r="PV3113" s="37"/>
      <c r="PW3113" s="37"/>
      <c r="PX3113" s="37"/>
      <c r="PY3113" s="37"/>
      <c r="PZ3113" s="37"/>
      <c r="QA3113" s="37"/>
      <c r="QB3113" s="37"/>
      <c r="QC3113" s="37"/>
      <c r="QD3113" s="37"/>
      <c r="QE3113" s="37"/>
      <c r="QF3113" s="37"/>
      <c r="QG3113" s="37"/>
      <c r="QH3113" s="37"/>
      <c r="QI3113" s="37"/>
      <c r="QJ3113" s="37"/>
      <c r="QK3113" s="37"/>
      <c r="QL3113" s="37"/>
      <c r="QM3113" s="37"/>
      <c r="QN3113" s="37"/>
      <c r="QO3113" s="37"/>
      <c r="QP3113" s="37"/>
      <c r="QQ3113" s="37"/>
      <c r="QR3113" s="37"/>
      <c r="QS3113" s="37"/>
      <c r="QT3113" s="37"/>
      <c r="QU3113" s="37"/>
      <c r="QV3113" s="37"/>
      <c r="QW3113" s="37"/>
      <c r="QX3113" s="37"/>
      <c r="QY3113" s="37"/>
      <c r="QZ3113" s="37"/>
      <c r="RA3113" s="37"/>
      <c r="RB3113" s="37"/>
      <c r="RC3113" s="37"/>
      <c r="RD3113" s="37"/>
      <c r="RE3113" s="37"/>
      <c r="RF3113" s="37"/>
      <c r="RG3113" s="37"/>
      <c r="RH3113" s="37"/>
      <c r="RI3113" s="37"/>
      <c r="RJ3113" s="37"/>
      <c r="RK3113" s="37"/>
      <c r="RL3113" s="37"/>
      <c r="RM3113" s="37"/>
      <c r="RN3113" s="37"/>
      <c r="RO3113" s="37"/>
      <c r="RP3113" s="37"/>
      <c r="RQ3113" s="37"/>
      <c r="RR3113" s="37"/>
      <c r="RS3113" s="37"/>
      <c r="RT3113" s="37"/>
      <c r="RU3113" s="37"/>
      <c r="RV3113" s="37"/>
      <c r="RW3113" s="37"/>
      <c r="RX3113" s="37"/>
      <c r="RY3113" s="37"/>
      <c r="RZ3113" s="37"/>
      <c r="SA3113" s="37"/>
      <c r="SB3113" s="37"/>
      <c r="SC3113" s="37"/>
      <c r="SD3113" s="37"/>
      <c r="SE3113" s="37"/>
      <c r="SF3113" s="37"/>
    </row>
    <row r="3114" spans="1:500">
      <c r="A3114" s="37"/>
      <c r="B3114" s="37"/>
      <c r="C3114" s="37"/>
      <c r="D3114" s="37"/>
      <c r="E3114" s="37"/>
      <c r="F3114" s="37"/>
      <c r="G3114" s="37"/>
      <c r="H3114" s="37"/>
      <c r="I3114" s="37"/>
      <c r="J3114" s="37"/>
      <c r="K3114" s="37"/>
      <c r="L3114" s="37"/>
      <c r="M3114" s="37"/>
      <c r="N3114" s="37"/>
      <c r="O3114" s="37"/>
      <c r="P3114" s="37"/>
      <c r="Q3114" s="37"/>
      <c r="R3114" s="37"/>
      <c r="S3114" s="37"/>
      <c r="T3114" s="37"/>
      <c r="U3114" s="37"/>
      <c r="V3114" s="37"/>
      <c r="W3114" s="37"/>
      <c r="X3114" s="37"/>
      <c r="Y3114" s="37"/>
      <c r="Z3114" s="37"/>
      <c r="AA3114" s="37"/>
      <c r="AB3114" s="37"/>
      <c r="AC3114" s="37"/>
      <c r="AD3114" s="37"/>
      <c r="AE3114" s="37"/>
      <c r="AF3114" s="37"/>
      <c r="AG3114" s="37"/>
      <c r="AH3114" s="37"/>
      <c r="AI3114" s="37"/>
      <c r="AJ3114" s="37"/>
      <c r="AK3114" s="37"/>
      <c r="AL3114" s="37"/>
      <c r="AM3114" s="37"/>
      <c r="AN3114" s="37"/>
      <c r="AO3114" s="37"/>
      <c r="AP3114" s="37"/>
      <c r="AQ3114" s="37"/>
      <c r="AR3114" s="37"/>
      <c r="AS3114" s="37"/>
      <c r="AT3114" s="37"/>
      <c r="AU3114" s="37"/>
      <c r="AV3114" s="37"/>
      <c r="AW3114" s="37"/>
      <c r="AX3114" s="37"/>
      <c r="AY3114" s="37"/>
      <c r="AZ3114" s="37"/>
      <c r="BA3114" s="37"/>
      <c r="BB3114" s="37"/>
      <c r="BC3114" s="37"/>
      <c r="BD3114" s="37"/>
      <c r="BE3114" s="37"/>
      <c r="BF3114" s="37"/>
      <c r="BG3114" s="37"/>
      <c r="BH3114" s="37"/>
      <c r="BI3114" s="37"/>
      <c r="BJ3114" s="37"/>
      <c r="BK3114" s="37"/>
      <c r="BL3114" s="37"/>
      <c r="BM3114" s="37"/>
      <c r="BN3114" s="37"/>
      <c r="BO3114" s="37"/>
      <c r="BP3114" s="37"/>
      <c r="BQ3114" s="37"/>
      <c r="BR3114" s="37"/>
      <c r="BS3114" s="37"/>
      <c r="BT3114" s="37"/>
      <c r="BU3114" s="37"/>
      <c r="BV3114" s="37"/>
      <c r="BW3114" s="37"/>
      <c r="BX3114" s="37"/>
      <c r="BY3114" s="37"/>
      <c r="BZ3114" s="37"/>
      <c r="CA3114" s="37"/>
      <c r="CB3114" s="37"/>
      <c r="CC3114" s="37"/>
      <c r="CD3114" s="37"/>
      <c r="CE3114" s="37"/>
      <c r="CF3114" s="37"/>
      <c r="CG3114" s="37"/>
      <c r="CH3114" s="37"/>
      <c r="CI3114" s="37"/>
      <c r="CJ3114" s="37"/>
      <c r="CK3114" s="37"/>
      <c r="CL3114" s="37"/>
      <c r="CM3114" s="37"/>
      <c r="CN3114" s="37"/>
      <c r="CO3114" s="37"/>
      <c r="CP3114" s="37"/>
      <c r="CQ3114" s="37"/>
      <c r="CR3114" s="37"/>
      <c r="CS3114" s="37"/>
      <c r="CT3114" s="37"/>
      <c r="CU3114" s="37"/>
      <c r="CV3114" s="37"/>
      <c r="CW3114" s="37"/>
      <c r="CX3114" s="37"/>
      <c r="CY3114" s="37"/>
      <c r="CZ3114" s="37"/>
      <c r="DA3114" s="37"/>
      <c r="DB3114" s="37"/>
      <c r="DC3114" s="37"/>
      <c r="DD3114" s="37"/>
      <c r="DE3114" s="37"/>
      <c r="DF3114" s="37"/>
      <c r="DG3114" s="37"/>
      <c r="DH3114" s="37"/>
      <c r="DI3114" s="37"/>
      <c r="DJ3114" s="37"/>
      <c r="DK3114" s="37"/>
      <c r="DL3114" s="37"/>
      <c r="DM3114" s="37"/>
      <c r="DN3114" s="37"/>
      <c r="DO3114" s="37"/>
      <c r="DP3114" s="37"/>
      <c r="DQ3114" s="37"/>
      <c r="DR3114" s="37"/>
      <c r="DS3114" s="37"/>
      <c r="DT3114" s="37"/>
      <c r="DU3114" s="37"/>
      <c r="DV3114" s="37"/>
      <c r="DW3114" s="37"/>
      <c r="DX3114" s="37"/>
      <c r="DY3114" s="37"/>
      <c r="DZ3114" s="37"/>
      <c r="EA3114" s="37"/>
      <c r="EB3114" s="37"/>
      <c r="EC3114" s="37"/>
      <c r="ED3114" s="37"/>
      <c r="EE3114" s="37"/>
      <c r="EF3114" s="37"/>
      <c r="EG3114" s="37"/>
      <c r="EH3114" s="37"/>
      <c r="EI3114" s="37"/>
      <c r="EJ3114" s="37"/>
      <c r="EK3114" s="37"/>
      <c r="EL3114" s="37"/>
      <c r="EM3114" s="37"/>
      <c r="EN3114" s="37"/>
      <c r="EO3114" s="37"/>
      <c r="EP3114" s="37"/>
      <c r="EQ3114" s="37"/>
      <c r="ER3114" s="37"/>
      <c r="ES3114" s="37"/>
      <c r="ET3114" s="37"/>
      <c r="EU3114" s="37"/>
      <c r="EV3114" s="37"/>
      <c r="EW3114" s="37"/>
      <c r="EX3114" s="37"/>
      <c r="EY3114" s="37"/>
      <c r="EZ3114" s="37"/>
      <c r="FA3114" s="37"/>
      <c r="FB3114" s="37"/>
      <c r="FC3114" s="37"/>
      <c r="FD3114" s="37"/>
      <c r="FE3114" s="37"/>
      <c r="FF3114" s="37"/>
      <c r="FG3114" s="37"/>
      <c r="FH3114" s="37"/>
      <c r="FI3114" s="37"/>
      <c r="FJ3114" s="37"/>
      <c r="FK3114" s="37"/>
      <c r="FL3114" s="37"/>
      <c r="FM3114" s="37"/>
      <c r="FN3114" s="37"/>
      <c r="FO3114" s="37"/>
      <c r="FP3114" s="37"/>
      <c r="FQ3114" s="37"/>
      <c r="FR3114" s="37"/>
      <c r="FS3114" s="37"/>
      <c r="FT3114" s="37"/>
      <c r="FU3114" s="37"/>
      <c r="FV3114" s="37"/>
      <c r="FW3114" s="37"/>
      <c r="FX3114" s="37"/>
      <c r="FY3114" s="37"/>
      <c r="FZ3114" s="37"/>
      <c r="GA3114" s="37"/>
      <c r="GB3114" s="37"/>
      <c r="GC3114" s="37"/>
      <c r="GD3114" s="37"/>
      <c r="GE3114" s="37"/>
      <c r="GF3114" s="37"/>
      <c r="GG3114" s="37"/>
      <c r="GH3114" s="37"/>
      <c r="GI3114" s="37"/>
      <c r="GJ3114" s="37"/>
      <c r="GK3114" s="37"/>
      <c r="GL3114" s="37"/>
      <c r="GM3114" s="37"/>
      <c r="GN3114" s="37"/>
      <c r="GO3114" s="37"/>
      <c r="GP3114" s="37"/>
      <c r="GQ3114" s="37"/>
      <c r="GR3114" s="37"/>
      <c r="GS3114" s="37"/>
      <c r="GT3114" s="37"/>
      <c r="GU3114" s="37"/>
      <c r="GV3114" s="37"/>
      <c r="GW3114" s="37"/>
      <c r="GX3114" s="37"/>
      <c r="GY3114" s="37"/>
      <c r="GZ3114" s="37"/>
      <c r="HA3114" s="37"/>
      <c r="HB3114" s="37"/>
      <c r="HC3114" s="37"/>
      <c r="HD3114" s="37"/>
      <c r="HE3114" s="37"/>
      <c r="HF3114" s="37"/>
      <c r="HG3114" s="37"/>
      <c r="HH3114" s="37"/>
      <c r="HI3114" s="37"/>
      <c r="HJ3114" s="37"/>
      <c r="HK3114" s="37"/>
      <c r="HL3114" s="37"/>
      <c r="HM3114" s="37"/>
      <c r="HN3114" s="37"/>
      <c r="HO3114" s="37"/>
      <c r="HP3114" s="37"/>
      <c r="HQ3114" s="37"/>
      <c r="HR3114" s="37"/>
      <c r="HS3114" s="37"/>
      <c r="HT3114" s="37"/>
      <c r="HU3114" s="37"/>
      <c r="HV3114" s="37"/>
      <c r="HW3114" s="37"/>
      <c r="HX3114" s="37"/>
      <c r="HY3114" s="37"/>
      <c r="HZ3114" s="37"/>
      <c r="IA3114" s="37"/>
      <c r="IB3114" s="37"/>
      <c r="IC3114" s="37"/>
      <c r="ID3114" s="37"/>
      <c r="IE3114" s="37"/>
      <c r="IF3114" s="37"/>
      <c r="IG3114" s="37"/>
      <c r="IH3114" s="37"/>
      <c r="II3114" s="37"/>
      <c r="IJ3114" s="37"/>
      <c r="IK3114" s="37"/>
      <c r="IL3114" s="37"/>
      <c r="IM3114" s="37"/>
      <c r="IN3114" s="37"/>
      <c r="IO3114" s="37"/>
      <c r="IP3114" s="37"/>
      <c r="IQ3114" s="37"/>
      <c r="IR3114" s="37"/>
      <c r="IS3114" s="37"/>
      <c r="IT3114" s="37"/>
      <c r="IU3114" s="37"/>
      <c r="IV3114" s="37"/>
      <c r="IW3114" s="37"/>
      <c r="IX3114" s="37"/>
      <c r="IY3114" s="37"/>
      <c r="IZ3114" s="37"/>
      <c r="JA3114" s="37"/>
      <c r="JB3114" s="37"/>
      <c r="JC3114" s="37"/>
      <c r="JD3114" s="37"/>
      <c r="JE3114" s="37"/>
      <c r="JF3114" s="37"/>
      <c r="JG3114" s="37"/>
      <c r="JH3114" s="37"/>
      <c r="JI3114" s="37"/>
      <c r="JJ3114" s="37"/>
      <c r="JK3114" s="37"/>
      <c r="JL3114" s="37"/>
      <c r="JM3114" s="37"/>
      <c r="JN3114" s="37"/>
      <c r="JO3114" s="37"/>
      <c r="JP3114" s="37"/>
      <c r="JQ3114" s="37"/>
      <c r="JR3114" s="37"/>
      <c r="JS3114" s="37"/>
      <c r="JT3114" s="37"/>
      <c r="JU3114" s="37"/>
      <c r="JV3114" s="37"/>
      <c r="JW3114" s="37"/>
      <c r="JX3114" s="37"/>
      <c r="JY3114" s="37"/>
      <c r="JZ3114" s="37"/>
      <c r="KA3114" s="37"/>
      <c r="KB3114" s="37"/>
      <c r="KC3114" s="37"/>
      <c r="KD3114" s="37"/>
      <c r="KE3114" s="37"/>
      <c r="KF3114" s="37"/>
      <c r="KG3114" s="37"/>
      <c r="KH3114" s="37"/>
      <c r="KI3114" s="37"/>
      <c r="KJ3114" s="37"/>
      <c r="KK3114" s="37"/>
      <c r="KL3114" s="37"/>
      <c r="KM3114" s="37"/>
      <c r="KN3114" s="37"/>
      <c r="KO3114" s="37"/>
      <c r="KP3114" s="37"/>
      <c r="KQ3114" s="37"/>
      <c r="KR3114" s="37"/>
      <c r="KS3114" s="37"/>
      <c r="KT3114" s="37"/>
      <c r="KU3114" s="37"/>
      <c r="KV3114" s="37"/>
      <c r="KW3114" s="37"/>
      <c r="KX3114" s="37"/>
      <c r="KY3114" s="37"/>
      <c r="KZ3114" s="37"/>
      <c r="LA3114" s="37"/>
      <c r="LB3114" s="37"/>
      <c r="LC3114" s="37"/>
      <c r="LD3114" s="37"/>
      <c r="LE3114" s="37"/>
      <c r="LF3114" s="37"/>
      <c r="LG3114" s="37"/>
      <c r="LH3114" s="37"/>
      <c r="LI3114" s="37"/>
      <c r="LJ3114" s="37"/>
      <c r="LK3114" s="37"/>
      <c r="LL3114" s="37"/>
      <c r="LM3114" s="37"/>
      <c r="LN3114" s="37"/>
      <c r="LO3114" s="37"/>
      <c r="LP3114" s="37"/>
      <c r="LQ3114" s="37"/>
      <c r="LR3114" s="37"/>
      <c r="LS3114" s="37"/>
      <c r="LT3114" s="37"/>
      <c r="LU3114" s="37"/>
      <c r="LV3114" s="37"/>
      <c r="LW3114" s="37"/>
      <c r="LX3114" s="37"/>
      <c r="LY3114" s="37"/>
      <c r="LZ3114" s="37"/>
      <c r="MA3114" s="37"/>
      <c r="MB3114" s="37"/>
      <c r="MC3114" s="37"/>
      <c r="MD3114" s="37"/>
      <c r="ME3114" s="37"/>
      <c r="MF3114" s="37"/>
      <c r="MG3114" s="37"/>
      <c r="MH3114" s="37"/>
      <c r="MI3114" s="37"/>
      <c r="MJ3114" s="37"/>
      <c r="MK3114" s="37"/>
      <c r="ML3114" s="37"/>
      <c r="MM3114" s="37"/>
      <c r="MN3114" s="37"/>
      <c r="MO3114" s="37"/>
      <c r="MP3114" s="37"/>
      <c r="MQ3114" s="37"/>
      <c r="MR3114" s="37"/>
      <c r="MS3114" s="37"/>
      <c r="MT3114" s="37"/>
      <c r="MU3114" s="37"/>
      <c r="MV3114" s="37"/>
      <c r="MW3114" s="37"/>
      <c r="MX3114" s="37"/>
      <c r="MY3114" s="37"/>
      <c r="MZ3114" s="37"/>
      <c r="NA3114" s="37"/>
      <c r="NB3114" s="37"/>
      <c r="NC3114" s="37"/>
      <c r="ND3114" s="37"/>
      <c r="NE3114" s="37"/>
      <c r="NF3114" s="37"/>
      <c r="NG3114" s="37"/>
      <c r="NH3114" s="37"/>
      <c r="NI3114" s="37"/>
      <c r="NJ3114" s="37"/>
      <c r="NK3114" s="37"/>
      <c r="NL3114" s="37"/>
      <c r="NM3114" s="37"/>
      <c r="NN3114" s="37"/>
      <c r="NO3114" s="37"/>
      <c r="NP3114" s="37"/>
      <c r="NQ3114" s="37"/>
      <c r="NR3114" s="37"/>
      <c r="NS3114" s="37"/>
      <c r="NT3114" s="37"/>
      <c r="NU3114" s="37"/>
      <c r="NV3114" s="37"/>
      <c r="NW3114" s="37"/>
      <c r="NX3114" s="37"/>
      <c r="NY3114" s="37"/>
      <c r="NZ3114" s="37"/>
      <c r="OA3114" s="37"/>
      <c r="OB3114" s="37"/>
      <c r="OC3114" s="37"/>
      <c r="OD3114" s="37"/>
      <c r="OE3114" s="37"/>
      <c r="OF3114" s="37"/>
      <c r="OG3114" s="37"/>
      <c r="OH3114" s="37"/>
      <c r="OI3114" s="37"/>
      <c r="OJ3114" s="37"/>
      <c r="OK3114" s="37"/>
      <c r="OL3114" s="37"/>
      <c r="OM3114" s="37"/>
      <c r="ON3114" s="37"/>
      <c r="OO3114" s="37"/>
      <c r="OP3114" s="37"/>
      <c r="OQ3114" s="37"/>
      <c r="OR3114" s="37"/>
      <c r="OS3114" s="37"/>
      <c r="OT3114" s="37"/>
      <c r="OU3114" s="37"/>
      <c r="OV3114" s="37"/>
      <c r="OW3114" s="37"/>
      <c r="OX3114" s="37"/>
      <c r="OY3114" s="37"/>
      <c r="OZ3114" s="37"/>
      <c r="PA3114" s="37"/>
      <c r="PB3114" s="37"/>
      <c r="PC3114" s="37"/>
      <c r="PD3114" s="37"/>
      <c r="PE3114" s="37"/>
      <c r="PF3114" s="37"/>
      <c r="PG3114" s="37"/>
      <c r="PH3114" s="37"/>
      <c r="PI3114" s="37"/>
      <c r="PJ3114" s="37"/>
      <c r="PK3114" s="37"/>
      <c r="PL3114" s="37"/>
      <c r="PM3114" s="37"/>
      <c r="PN3114" s="37"/>
      <c r="PO3114" s="37"/>
      <c r="PP3114" s="37"/>
      <c r="PQ3114" s="37"/>
      <c r="PR3114" s="37"/>
      <c r="PS3114" s="37"/>
      <c r="PT3114" s="37"/>
      <c r="PU3114" s="37"/>
      <c r="PV3114" s="37"/>
      <c r="PW3114" s="37"/>
      <c r="PX3114" s="37"/>
      <c r="PY3114" s="37"/>
      <c r="PZ3114" s="37"/>
      <c r="QA3114" s="37"/>
      <c r="QB3114" s="37"/>
      <c r="QC3114" s="37"/>
      <c r="QD3114" s="37"/>
      <c r="QE3114" s="37"/>
      <c r="QF3114" s="37"/>
      <c r="QG3114" s="37"/>
      <c r="QH3114" s="37"/>
      <c r="QI3114" s="37"/>
      <c r="QJ3114" s="37"/>
      <c r="QK3114" s="37"/>
      <c r="QL3114" s="37"/>
      <c r="QM3114" s="37"/>
      <c r="QN3114" s="37"/>
      <c r="QO3114" s="37"/>
      <c r="QP3114" s="37"/>
      <c r="QQ3114" s="37"/>
      <c r="QR3114" s="37"/>
      <c r="QS3114" s="37"/>
      <c r="QT3114" s="37"/>
      <c r="QU3114" s="37"/>
      <c r="QV3114" s="37"/>
      <c r="QW3114" s="37"/>
      <c r="QX3114" s="37"/>
      <c r="QY3114" s="37"/>
      <c r="QZ3114" s="37"/>
      <c r="RA3114" s="37"/>
      <c r="RB3114" s="37"/>
      <c r="RC3114" s="37"/>
      <c r="RD3114" s="37"/>
      <c r="RE3114" s="37"/>
      <c r="RF3114" s="37"/>
      <c r="RG3114" s="37"/>
      <c r="RH3114" s="37"/>
      <c r="RI3114" s="37"/>
      <c r="RJ3114" s="37"/>
      <c r="RK3114" s="37"/>
      <c r="RL3114" s="37"/>
      <c r="RM3114" s="37"/>
      <c r="RN3114" s="37"/>
      <c r="RO3114" s="37"/>
      <c r="RP3114" s="37"/>
      <c r="RQ3114" s="37"/>
      <c r="RR3114" s="37"/>
      <c r="RS3114" s="37"/>
      <c r="RT3114" s="37"/>
      <c r="RU3114" s="37"/>
      <c r="RV3114" s="37"/>
      <c r="RW3114" s="37"/>
      <c r="RX3114" s="37"/>
      <c r="RY3114" s="37"/>
      <c r="RZ3114" s="37"/>
      <c r="SA3114" s="37"/>
      <c r="SB3114" s="37"/>
      <c r="SC3114" s="37"/>
      <c r="SD3114" s="37"/>
      <c r="SE3114" s="37"/>
      <c r="SF3114" s="37"/>
    </row>
    <row r="3115" spans="1:500">
      <c r="A3115" s="37"/>
      <c r="B3115" s="37"/>
      <c r="C3115" s="37"/>
      <c r="D3115" s="37"/>
      <c r="E3115" s="37"/>
      <c r="F3115" s="37"/>
      <c r="G3115" s="37"/>
      <c r="H3115" s="37"/>
      <c r="I3115" s="37"/>
      <c r="J3115" s="37"/>
      <c r="K3115" s="37"/>
      <c r="L3115" s="37"/>
      <c r="M3115" s="37"/>
      <c r="N3115" s="37"/>
      <c r="O3115" s="37"/>
      <c r="P3115" s="37"/>
      <c r="Q3115" s="37"/>
      <c r="R3115" s="37"/>
      <c r="S3115" s="37"/>
      <c r="T3115" s="37"/>
      <c r="U3115" s="37"/>
      <c r="V3115" s="37"/>
      <c r="W3115" s="37"/>
      <c r="X3115" s="37"/>
      <c r="Y3115" s="37"/>
      <c r="Z3115" s="37"/>
      <c r="AA3115" s="37"/>
      <c r="AB3115" s="37"/>
      <c r="AC3115" s="37"/>
      <c r="AD3115" s="37"/>
      <c r="AE3115" s="37"/>
      <c r="AF3115" s="37"/>
      <c r="AG3115" s="37"/>
      <c r="AH3115" s="37"/>
      <c r="AI3115" s="37"/>
      <c r="AJ3115" s="37"/>
      <c r="AK3115" s="37"/>
      <c r="AL3115" s="37"/>
      <c r="AM3115" s="37"/>
      <c r="AN3115" s="37"/>
      <c r="AO3115" s="37"/>
      <c r="AP3115" s="37"/>
      <c r="AQ3115" s="37"/>
      <c r="AR3115" s="37"/>
      <c r="AS3115" s="37"/>
      <c r="AT3115" s="37"/>
      <c r="AU3115" s="37"/>
      <c r="AV3115" s="37"/>
      <c r="AW3115" s="37"/>
      <c r="AX3115" s="37"/>
      <c r="AY3115" s="37"/>
      <c r="AZ3115" s="37"/>
      <c r="BA3115" s="37"/>
      <c r="BB3115" s="37"/>
      <c r="BC3115" s="37"/>
      <c r="BD3115" s="37"/>
      <c r="BE3115" s="37"/>
      <c r="BF3115" s="37"/>
      <c r="BG3115" s="37"/>
      <c r="BH3115" s="37"/>
      <c r="BI3115" s="37"/>
      <c r="BJ3115" s="37"/>
      <c r="BK3115" s="37"/>
      <c r="BL3115" s="37"/>
      <c r="BM3115" s="37"/>
      <c r="BN3115" s="37"/>
      <c r="BO3115" s="37"/>
      <c r="BP3115" s="37"/>
      <c r="BQ3115" s="37"/>
      <c r="BR3115" s="37"/>
      <c r="BS3115" s="37"/>
      <c r="BT3115" s="37"/>
      <c r="BU3115" s="37"/>
      <c r="BV3115" s="37"/>
      <c r="BW3115" s="37"/>
      <c r="BX3115" s="37"/>
      <c r="BY3115" s="37"/>
      <c r="BZ3115" s="37"/>
      <c r="CA3115" s="37"/>
      <c r="CB3115" s="37"/>
      <c r="CC3115" s="37"/>
      <c r="CD3115" s="37"/>
      <c r="CE3115" s="37"/>
      <c r="CF3115" s="37"/>
      <c r="CG3115" s="37"/>
      <c r="CH3115" s="37"/>
      <c r="CI3115" s="37"/>
      <c r="CJ3115" s="37"/>
      <c r="CK3115" s="37"/>
      <c r="CL3115" s="37"/>
      <c r="CM3115" s="37"/>
      <c r="CN3115" s="37"/>
      <c r="CO3115" s="37"/>
      <c r="CP3115" s="37"/>
      <c r="CQ3115" s="37"/>
      <c r="CR3115" s="37"/>
      <c r="CS3115" s="37"/>
      <c r="CT3115" s="37"/>
      <c r="CU3115" s="37"/>
      <c r="CV3115" s="37"/>
      <c r="CW3115" s="37"/>
      <c r="CX3115" s="37"/>
      <c r="CY3115" s="37"/>
      <c r="CZ3115" s="37"/>
      <c r="DA3115" s="37"/>
      <c r="DB3115" s="37"/>
      <c r="DC3115" s="37"/>
      <c r="DD3115" s="37"/>
      <c r="DE3115" s="37"/>
      <c r="DF3115" s="37"/>
      <c r="DG3115" s="37"/>
      <c r="DH3115" s="37"/>
      <c r="DI3115" s="37"/>
      <c r="DJ3115" s="37"/>
      <c r="DK3115" s="37"/>
      <c r="DL3115" s="37"/>
      <c r="DM3115" s="37"/>
      <c r="DN3115" s="37"/>
      <c r="DO3115" s="37"/>
      <c r="DP3115" s="37"/>
      <c r="DQ3115" s="37"/>
      <c r="DR3115" s="37"/>
      <c r="DS3115" s="37"/>
      <c r="DT3115" s="37"/>
      <c r="DU3115" s="37"/>
      <c r="DV3115" s="37"/>
      <c r="DW3115" s="37"/>
      <c r="DX3115" s="37"/>
      <c r="DY3115" s="37"/>
      <c r="DZ3115" s="37"/>
      <c r="EA3115" s="37"/>
      <c r="EB3115" s="37"/>
      <c r="EC3115" s="37"/>
      <c r="ED3115" s="37"/>
      <c r="EE3115" s="37"/>
      <c r="EF3115" s="37"/>
      <c r="EG3115" s="37"/>
      <c r="EH3115" s="37"/>
      <c r="EI3115" s="37"/>
      <c r="EJ3115" s="37"/>
      <c r="EK3115" s="37"/>
      <c r="EL3115" s="37"/>
      <c r="EM3115" s="37"/>
      <c r="EN3115" s="37"/>
      <c r="EO3115" s="37"/>
      <c r="EP3115" s="37"/>
      <c r="EQ3115" s="37"/>
      <c r="ER3115" s="37"/>
      <c r="ES3115" s="37"/>
      <c r="ET3115" s="37"/>
      <c r="EU3115" s="37"/>
      <c r="EV3115" s="37"/>
      <c r="EW3115" s="37"/>
      <c r="EX3115" s="37"/>
      <c r="EY3115" s="37"/>
      <c r="EZ3115" s="37"/>
      <c r="FA3115" s="37"/>
      <c r="FB3115" s="37"/>
      <c r="FC3115" s="37"/>
      <c r="FD3115" s="37"/>
      <c r="FE3115" s="37"/>
      <c r="FF3115" s="37"/>
      <c r="FG3115" s="37"/>
      <c r="FH3115" s="37"/>
      <c r="FI3115" s="37"/>
      <c r="FJ3115" s="37"/>
      <c r="FK3115" s="37"/>
      <c r="FL3115" s="37"/>
      <c r="FM3115" s="37"/>
      <c r="FN3115" s="37"/>
      <c r="FO3115" s="37"/>
      <c r="FP3115" s="37"/>
      <c r="FQ3115" s="37"/>
      <c r="FR3115" s="37"/>
      <c r="FS3115" s="37"/>
      <c r="FT3115" s="37"/>
      <c r="FU3115" s="37"/>
      <c r="FV3115" s="37"/>
      <c r="FW3115" s="37"/>
      <c r="FX3115" s="37"/>
      <c r="FY3115" s="37"/>
      <c r="FZ3115" s="37"/>
      <c r="GA3115" s="37"/>
      <c r="GB3115" s="37"/>
      <c r="GC3115" s="37"/>
      <c r="GD3115" s="37"/>
      <c r="GE3115" s="37"/>
      <c r="GF3115" s="37"/>
      <c r="GG3115" s="37"/>
      <c r="GH3115" s="37"/>
      <c r="GI3115" s="37"/>
      <c r="GJ3115" s="37"/>
      <c r="GK3115" s="37"/>
      <c r="GL3115" s="37"/>
      <c r="GM3115" s="37"/>
      <c r="GN3115" s="37"/>
      <c r="GO3115" s="37"/>
      <c r="GP3115" s="37"/>
      <c r="GQ3115" s="37"/>
      <c r="GR3115" s="37"/>
      <c r="GS3115" s="37"/>
      <c r="GT3115" s="37"/>
      <c r="GU3115" s="37"/>
      <c r="GV3115" s="37"/>
      <c r="GW3115" s="37"/>
      <c r="GX3115" s="37"/>
      <c r="GY3115" s="37"/>
      <c r="GZ3115" s="37"/>
      <c r="HA3115" s="37"/>
      <c r="HB3115" s="37"/>
      <c r="HC3115" s="37"/>
      <c r="HD3115" s="37"/>
      <c r="HE3115" s="37"/>
      <c r="HF3115" s="37"/>
      <c r="HG3115" s="37"/>
      <c r="HH3115" s="37"/>
      <c r="HI3115" s="37"/>
      <c r="HJ3115" s="37"/>
      <c r="HK3115" s="37"/>
      <c r="HL3115" s="37"/>
      <c r="HM3115" s="37"/>
      <c r="HN3115" s="37"/>
      <c r="HO3115" s="37"/>
      <c r="HP3115" s="37"/>
      <c r="HQ3115" s="37"/>
      <c r="HR3115" s="37"/>
      <c r="HS3115" s="37"/>
      <c r="HT3115" s="37"/>
      <c r="HU3115" s="37"/>
      <c r="HV3115" s="37"/>
      <c r="HW3115" s="37"/>
      <c r="HX3115" s="37"/>
      <c r="HY3115" s="37"/>
      <c r="HZ3115" s="37"/>
      <c r="IA3115" s="37"/>
      <c r="IB3115" s="37"/>
      <c r="IC3115" s="37"/>
      <c r="ID3115" s="37"/>
      <c r="IE3115" s="37"/>
      <c r="IF3115" s="37"/>
      <c r="IG3115" s="37"/>
      <c r="IH3115" s="37"/>
      <c r="II3115" s="37"/>
      <c r="IJ3115" s="37"/>
      <c r="IK3115" s="37"/>
      <c r="IL3115" s="37"/>
      <c r="IM3115" s="37"/>
      <c r="IN3115" s="37"/>
      <c r="IO3115" s="37"/>
      <c r="IP3115" s="37"/>
      <c r="IQ3115" s="37"/>
      <c r="IR3115" s="37"/>
      <c r="IS3115" s="37"/>
      <c r="IT3115" s="37"/>
      <c r="IU3115" s="37"/>
      <c r="IV3115" s="37"/>
      <c r="IW3115" s="37"/>
      <c r="IX3115" s="37"/>
      <c r="IY3115" s="37"/>
      <c r="IZ3115" s="37"/>
      <c r="JA3115" s="37"/>
      <c r="JB3115" s="37"/>
      <c r="JC3115" s="37"/>
      <c r="JD3115" s="37"/>
      <c r="JE3115" s="37"/>
      <c r="JF3115" s="37"/>
      <c r="JG3115" s="37"/>
      <c r="JH3115" s="37"/>
      <c r="JI3115" s="37"/>
      <c r="JJ3115" s="37"/>
      <c r="JK3115" s="37"/>
      <c r="JL3115" s="37"/>
      <c r="JM3115" s="37"/>
      <c r="JN3115" s="37"/>
      <c r="JO3115" s="37"/>
      <c r="JP3115" s="37"/>
      <c r="JQ3115" s="37"/>
      <c r="JR3115" s="37"/>
      <c r="JS3115" s="37"/>
      <c r="JT3115" s="37"/>
      <c r="JU3115" s="37"/>
      <c r="JV3115" s="37"/>
      <c r="JW3115" s="37"/>
      <c r="JX3115" s="37"/>
      <c r="JY3115" s="37"/>
      <c r="JZ3115" s="37"/>
      <c r="KA3115" s="37"/>
      <c r="KB3115" s="37"/>
      <c r="KC3115" s="37"/>
      <c r="KD3115" s="37"/>
      <c r="KE3115" s="37"/>
      <c r="KF3115" s="37"/>
      <c r="KG3115" s="37"/>
      <c r="KH3115" s="37"/>
      <c r="KI3115" s="37"/>
      <c r="KJ3115" s="37"/>
      <c r="KK3115" s="37"/>
      <c r="KL3115" s="37"/>
      <c r="KM3115" s="37"/>
      <c r="KN3115" s="37"/>
      <c r="KO3115" s="37"/>
      <c r="KP3115" s="37"/>
      <c r="KQ3115" s="37"/>
      <c r="KR3115" s="37"/>
      <c r="KS3115" s="37"/>
      <c r="KT3115" s="37"/>
      <c r="KU3115" s="37"/>
      <c r="KV3115" s="37"/>
      <c r="KW3115" s="37"/>
      <c r="KX3115" s="37"/>
      <c r="KY3115" s="37"/>
      <c r="KZ3115" s="37"/>
      <c r="LA3115" s="37"/>
      <c r="LB3115" s="37"/>
      <c r="LC3115" s="37"/>
      <c r="LD3115" s="37"/>
      <c r="LE3115" s="37"/>
      <c r="LF3115" s="37"/>
      <c r="LG3115" s="37"/>
      <c r="LH3115" s="37"/>
      <c r="LI3115" s="37"/>
      <c r="LJ3115" s="37"/>
      <c r="LK3115" s="37"/>
      <c r="LL3115" s="37"/>
      <c r="LM3115" s="37"/>
      <c r="LN3115" s="37"/>
      <c r="LO3115" s="37"/>
      <c r="LP3115" s="37"/>
      <c r="LQ3115" s="37"/>
      <c r="LR3115" s="37"/>
      <c r="LS3115" s="37"/>
      <c r="LT3115" s="37"/>
      <c r="LU3115" s="37"/>
      <c r="LV3115" s="37"/>
      <c r="LW3115" s="37"/>
      <c r="LX3115" s="37"/>
      <c r="LY3115" s="37"/>
      <c r="LZ3115" s="37"/>
      <c r="MA3115" s="37"/>
      <c r="MB3115" s="37"/>
      <c r="MC3115" s="37"/>
      <c r="MD3115" s="37"/>
      <c r="ME3115" s="37"/>
      <c r="MF3115" s="37"/>
      <c r="MG3115" s="37"/>
      <c r="MH3115" s="37"/>
      <c r="MI3115" s="37"/>
      <c r="MJ3115" s="37"/>
      <c r="MK3115" s="37"/>
      <c r="ML3115" s="37"/>
      <c r="MM3115" s="37"/>
      <c r="MN3115" s="37"/>
      <c r="MO3115" s="37"/>
      <c r="MP3115" s="37"/>
      <c r="MQ3115" s="37"/>
      <c r="MR3115" s="37"/>
      <c r="MS3115" s="37"/>
      <c r="MT3115" s="37"/>
      <c r="MU3115" s="37"/>
      <c r="MV3115" s="37"/>
      <c r="MW3115" s="37"/>
      <c r="MX3115" s="37"/>
      <c r="MY3115" s="37"/>
      <c r="MZ3115" s="37"/>
      <c r="NA3115" s="37"/>
      <c r="NB3115" s="37"/>
      <c r="NC3115" s="37"/>
      <c r="ND3115" s="37"/>
      <c r="NE3115" s="37"/>
      <c r="NF3115" s="37"/>
      <c r="NG3115" s="37"/>
      <c r="NH3115" s="37"/>
      <c r="NI3115" s="37"/>
      <c r="NJ3115" s="37"/>
      <c r="NK3115" s="37"/>
      <c r="NL3115" s="37"/>
      <c r="NM3115" s="37"/>
      <c r="NN3115" s="37"/>
      <c r="NO3115" s="37"/>
      <c r="NP3115" s="37"/>
      <c r="NQ3115" s="37"/>
      <c r="NR3115" s="37"/>
      <c r="NS3115" s="37"/>
      <c r="NT3115" s="37"/>
      <c r="NU3115" s="37"/>
      <c r="NV3115" s="37"/>
      <c r="NW3115" s="37"/>
      <c r="NX3115" s="37"/>
      <c r="NY3115" s="37"/>
      <c r="NZ3115" s="37"/>
      <c r="OA3115" s="37"/>
      <c r="OB3115" s="37"/>
      <c r="OC3115" s="37"/>
      <c r="OD3115" s="37"/>
      <c r="OE3115" s="37"/>
      <c r="OF3115" s="37"/>
      <c r="OG3115" s="37"/>
      <c r="OH3115" s="37"/>
      <c r="OI3115" s="37"/>
      <c r="OJ3115" s="37"/>
      <c r="OK3115" s="37"/>
      <c r="OL3115" s="37"/>
      <c r="OM3115" s="37"/>
      <c r="ON3115" s="37"/>
      <c r="OO3115" s="37"/>
      <c r="OP3115" s="37"/>
      <c r="OQ3115" s="37"/>
      <c r="OR3115" s="37"/>
      <c r="OS3115" s="37"/>
      <c r="OT3115" s="37"/>
      <c r="OU3115" s="37"/>
      <c r="OV3115" s="37"/>
      <c r="OW3115" s="37"/>
      <c r="OX3115" s="37"/>
      <c r="OY3115" s="37"/>
      <c r="OZ3115" s="37"/>
      <c r="PA3115" s="37"/>
      <c r="PB3115" s="37"/>
      <c r="PC3115" s="37"/>
      <c r="PD3115" s="37"/>
      <c r="PE3115" s="37"/>
      <c r="PF3115" s="37"/>
      <c r="PG3115" s="37"/>
      <c r="PH3115" s="37"/>
      <c r="PI3115" s="37"/>
      <c r="PJ3115" s="37"/>
      <c r="PK3115" s="37"/>
      <c r="PL3115" s="37"/>
      <c r="PM3115" s="37"/>
      <c r="PN3115" s="37"/>
      <c r="PO3115" s="37"/>
      <c r="PP3115" s="37"/>
      <c r="PQ3115" s="37"/>
      <c r="PR3115" s="37"/>
      <c r="PS3115" s="37"/>
      <c r="PT3115" s="37"/>
      <c r="PU3115" s="37"/>
      <c r="PV3115" s="37"/>
      <c r="PW3115" s="37"/>
      <c r="PX3115" s="37"/>
      <c r="PY3115" s="37"/>
      <c r="PZ3115" s="37"/>
      <c r="QA3115" s="37"/>
      <c r="QB3115" s="37"/>
      <c r="QC3115" s="37"/>
      <c r="QD3115" s="37"/>
      <c r="QE3115" s="37"/>
      <c r="QF3115" s="37"/>
      <c r="QG3115" s="37"/>
      <c r="QH3115" s="37"/>
      <c r="QI3115" s="37"/>
      <c r="QJ3115" s="37"/>
      <c r="QK3115" s="37"/>
      <c r="QL3115" s="37"/>
      <c r="QM3115" s="37"/>
      <c r="QN3115" s="37"/>
      <c r="QO3115" s="37"/>
      <c r="QP3115" s="37"/>
      <c r="QQ3115" s="37"/>
      <c r="QR3115" s="37"/>
      <c r="QS3115" s="37"/>
      <c r="QT3115" s="37"/>
      <c r="QU3115" s="37"/>
      <c r="QV3115" s="37"/>
      <c r="QW3115" s="37"/>
      <c r="QX3115" s="37"/>
      <c r="QY3115" s="37"/>
      <c r="QZ3115" s="37"/>
      <c r="RA3115" s="37"/>
      <c r="RB3115" s="37"/>
      <c r="RC3115" s="37"/>
      <c r="RD3115" s="37"/>
      <c r="RE3115" s="37"/>
      <c r="RF3115" s="37"/>
      <c r="RG3115" s="37"/>
      <c r="RH3115" s="37"/>
      <c r="RI3115" s="37"/>
      <c r="RJ3115" s="37"/>
      <c r="RK3115" s="37"/>
      <c r="RL3115" s="37"/>
      <c r="RM3115" s="37"/>
      <c r="RN3115" s="37"/>
      <c r="RO3115" s="37"/>
      <c r="RP3115" s="37"/>
      <c r="RQ3115" s="37"/>
      <c r="RR3115" s="37"/>
      <c r="RS3115" s="37"/>
      <c r="RT3115" s="37"/>
      <c r="RU3115" s="37"/>
      <c r="RV3115" s="37"/>
      <c r="RW3115" s="37"/>
      <c r="RX3115" s="37"/>
      <c r="RY3115" s="37"/>
      <c r="RZ3115" s="37"/>
      <c r="SA3115" s="37"/>
      <c r="SB3115" s="37"/>
      <c r="SC3115" s="37"/>
      <c r="SD3115" s="37"/>
      <c r="SE3115" s="37"/>
      <c r="SF3115" s="37"/>
    </row>
    <row r="3116" spans="1:500">
      <c r="A3116" s="37"/>
      <c r="B3116" s="37"/>
      <c r="C3116" s="37"/>
      <c r="D3116" s="37"/>
      <c r="E3116" s="37"/>
      <c r="F3116" s="37"/>
      <c r="G3116" s="37"/>
      <c r="H3116" s="37"/>
      <c r="I3116" s="37"/>
      <c r="J3116" s="37"/>
      <c r="K3116" s="37"/>
      <c r="L3116" s="37"/>
      <c r="M3116" s="37"/>
      <c r="N3116" s="37"/>
      <c r="O3116" s="37"/>
      <c r="P3116" s="37"/>
      <c r="Q3116" s="37"/>
      <c r="R3116" s="37"/>
      <c r="S3116" s="37"/>
      <c r="T3116" s="37"/>
      <c r="U3116" s="37"/>
      <c r="V3116" s="37"/>
      <c r="W3116" s="37"/>
      <c r="X3116" s="37"/>
      <c r="Y3116" s="37"/>
      <c r="Z3116" s="37"/>
      <c r="AA3116" s="37"/>
      <c r="AB3116" s="37"/>
      <c r="AC3116" s="37"/>
      <c r="AD3116" s="37"/>
      <c r="AE3116" s="37"/>
      <c r="AF3116" s="37"/>
      <c r="AG3116" s="37"/>
      <c r="AH3116" s="37"/>
      <c r="AI3116" s="37"/>
      <c r="AJ3116" s="37"/>
      <c r="AK3116" s="37"/>
      <c r="AL3116" s="37"/>
      <c r="AM3116" s="37"/>
      <c r="AN3116" s="37"/>
      <c r="AO3116" s="37"/>
      <c r="AP3116" s="37"/>
      <c r="AQ3116" s="37"/>
      <c r="AR3116" s="37"/>
      <c r="AS3116" s="37"/>
      <c r="AT3116" s="37"/>
      <c r="AU3116" s="37"/>
      <c r="AV3116" s="37"/>
      <c r="AW3116" s="37"/>
      <c r="AX3116" s="37"/>
      <c r="AY3116" s="37"/>
      <c r="AZ3116" s="37"/>
      <c r="BA3116" s="37"/>
      <c r="BB3116" s="37"/>
      <c r="BC3116" s="37"/>
      <c r="BD3116" s="37"/>
      <c r="BE3116" s="37"/>
      <c r="BF3116" s="37"/>
      <c r="BG3116" s="37"/>
      <c r="BH3116" s="37"/>
      <c r="BI3116" s="37"/>
      <c r="BJ3116" s="37"/>
      <c r="BK3116" s="37"/>
      <c r="BL3116" s="37"/>
      <c r="BM3116" s="37"/>
      <c r="BN3116" s="37"/>
      <c r="BO3116" s="37"/>
      <c r="BP3116" s="37"/>
      <c r="BQ3116" s="37"/>
      <c r="BR3116" s="37"/>
      <c r="BS3116" s="37"/>
      <c r="BT3116" s="37"/>
      <c r="BU3116" s="37"/>
      <c r="BV3116" s="37"/>
      <c r="BW3116" s="37"/>
      <c r="BX3116" s="37"/>
      <c r="BY3116" s="37"/>
      <c r="BZ3116" s="37"/>
      <c r="CA3116" s="37"/>
      <c r="CB3116" s="37"/>
      <c r="CC3116" s="37"/>
      <c r="CD3116" s="37"/>
      <c r="CE3116" s="37"/>
      <c r="CF3116" s="37"/>
      <c r="CG3116" s="37"/>
      <c r="CH3116" s="37"/>
      <c r="CI3116" s="37"/>
      <c r="CJ3116" s="37"/>
      <c r="CK3116" s="37"/>
      <c r="CL3116" s="37"/>
      <c r="CM3116" s="37"/>
      <c r="CN3116" s="37"/>
      <c r="CO3116" s="37"/>
      <c r="CP3116" s="37"/>
      <c r="CQ3116" s="37"/>
      <c r="CR3116" s="37"/>
      <c r="CS3116" s="37"/>
      <c r="CT3116" s="37"/>
      <c r="CU3116" s="37"/>
      <c r="CV3116" s="37"/>
      <c r="CW3116" s="37"/>
      <c r="CX3116" s="37"/>
      <c r="CY3116" s="37"/>
      <c r="CZ3116" s="37"/>
      <c r="DA3116" s="37"/>
      <c r="DB3116" s="37"/>
      <c r="DC3116" s="37"/>
      <c r="DD3116" s="37"/>
      <c r="DE3116" s="37"/>
      <c r="DF3116" s="37"/>
      <c r="DG3116" s="37"/>
      <c r="DH3116" s="37"/>
      <c r="DI3116" s="37"/>
      <c r="DJ3116" s="37"/>
      <c r="DK3116" s="37"/>
      <c r="DL3116" s="37"/>
      <c r="DM3116" s="37"/>
      <c r="DN3116" s="37"/>
      <c r="DO3116" s="37"/>
      <c r="DP3116" s="37"/>
      <c r="DQ3116" s="37"/>
      <c r="DR3116" s="37"/>
      <c r="DS3116" s="37"/>
      <c r="DT3116" s="37"/>
      <c r="DU3116" s="37"/>
      <c r="DV3116" s="37"/>
      <c r="DW3116" s="37"/>
      <c r="DX3116" s="37"/>
      <c r="DY3116" s="37"/>
      <c r="DZ3116" s="37"/>
      <c r="EA3116" s="37"/>
      <c r="EB3116" s="37"/>
      <c r="EC3116" s="37"/>
      <c r="ED3116" s="37"/>
      <c r="EE3116" s="37"/>
      <c r="EF3116" s="37"/>
      <c r="EG3116" s="37"/>
      <c r="EH3116" s="37"/>
      <c r="EI3116" s="37"/>
      <c r="EJ3116" s="37"/>
      <c r="EK3116" s="37"/>
      <c r="EL3116" s="37"/>
      <c r="EM3116" s="37"/>
      <c r="EN3116" s="37"/>
      <c r="EO3116" s="37"/>
      <c r="EP3116" s="37"/>
      <c r="EQ3116" s="37"/>
      <c r="ER3116" s="37"/>
      <c r="ES3116" s="37"/>
      <c r="ET3116" s="37"/>
      <c r="EU3116" s="37"/>
      <c r="EV3116" s="37"/>
      <c r="EW3116" s="37"/>
      <c r="EX3116" s="37"/>
      <c r="EY3116" s="37"/>
      <c r="EZ3116" s="37"/>
      <c r="FA3116" s="37"/>
      <c r="FB3116" s="37"/>
      <c r="FC3116" s="37"/>
      <c r="FD3116" s="37"/>
      <c r="FE3116" s="37"/>
      <c r="FF3116" s="37"/>
      <c r="FG3116" s="37"/>
      <c r="FH3116" s="37"/>
      <c r="FI3116" s="37"/>
      <c r="FJ3116" s="37"/>
      <c r="FK3116" s="37"/>
      <c r="FL3116" s="37"/>
      <c r="FM3116" s="37"/>
      <c r="FN3116" s="37"/>
      <c r="FO3116" s="37"/>
      <c r="FP3116" s="37"/>
      <c r="FQ3116" s="37"/>
      <c r="FR3116" s="37"/>
      <c r="FS3116" s="37"/>
      <c r="FT3116" s="37"/>
      <c r="FU3116" s="37"/>
      <c r="FV3116" s="37"/>
      <c r="FW3116" s="37"/>
      <c r="FX3116" s="37"/>
      <c r="FY3116" s="37"/>
      <c r="FZ3116" s="37"/>
      <c r="GA3116" s="37"/>
      <c r="GB3116" s="37"/>
      <c r="GC3116" s="37"/>
      <c r="GD3116" s="37"/>
      <c r="GE3116" s="37"/>
      <c r="GF3116" s="37"/>
      <c r="GG3116" s="37"/>
      <c r="GH3116" s="37"/>
      <c r="GI3116" s="37"/>
      <c r="GJ3116" s="37"/>
      <c r="GK3116" s="37"/>
      <c r="GL3116" s="37"/>
      <c r="GM3116" s="37"/>
      <c r="GN3116" s="37"/>
      <c r="GO3116" s="37"/>
      <c r="GP3116" s="37"/>
      <c r="GQ3116" s="37"/>
      <c r="GR3116" s="37"/>
      <c r="GS3116" s="37"/>
      <c r="GT3116" s="37"/>
      <c r="GU3116" s="37"/>
      <c r="GV3116" s="37"/>
      <c r="GW3116" s="37"/>
      <c r="GX3116" s="37"/>
      <c r="GY3116" s="37"/>
      <c r="GZ3116" s="37"/>
      <c r="HA3116" s="37"/>
      <c r="HB3116" s="37"/>
      <c r="HC3116" s="37"/>
      <c r="HD3116" s="37"/>
      <c r="HE3116" s="37"/>
      <c r="HF3116" s="37"/>
      <c r="HG3116" s="37"/>
      <c r="HH3116" s="37"/>
      <c r="HI3116" s="37"/>
      <c r="HJ3116" s="37"/>
      <c r="HK3116" s="37"/>
      <c r="HL3116" s="37"/>
      <c r="HM3116" s="37"/>
      <c r="HN3116" s="37"/>
      <c r="HO3116" s="37"/>
      <c r="HP3116" s="37"/>
      <c r="HQ3116" s="37"/>
      <c r="HR3116" s="37"/>
      <c r="HS3116" s="37"/>
      <c r="HT3116" s="37"/>
      <c r="HU3116" s="37"/>
      <c r="HV3116" s="37"/>
      <c r="HW3116" s="37"/>
      <c r="HX3116" s="37"/>
      <c r="HY3116" s="37"/>
      <c r="HZ3116" s="37"/>
      <c r="IA3116" s="37"/>
      <c r="IB3116" s="37"/>
      <c r="IC3116" s="37"/>
      <c r="ID3116" s="37"/>
      <c r="IE3116" s="37"/>
      <c r="IF3116" s="37"/>
      <c r="IG3116" s="37"/>
      <c r="IH3116" s="37"/>
      <c r="II3116" s="37"/>
      <c r="IJ3116" s="37"/>
      <c r="IK3116" s="37"/>
      <c r="IL3116" s="37"/>
      <c r="IM3116" s="37"/>
      <c r="IN3116" s="37"/>
      <c r="IO3116" s="37"/>
      <c r="IP3116" s="37"/>
      <c r="IQ3116" s="37"/>
      <c r="IR3116" s="37"/>
      <c r="IS3116" s="37"/>
      <c r="IT3116" s="37"/>
      <c r="IU3116" s="37"/>
      <c r="IV3116" s="37"/>
      <c r="IW3116" s="37"/>
      <c r="IX3116" s="37"/>
      <c r="IY3116" s="37"/>
      <c r="IZ3116" s="37"/>
      <c r="JA3116" s="37"/>
      <c r="JB3116" s="37"/>
      <c r="JC3116" s="37"/>
      <c r="JD3116" s="37"/>
      <c r="JE3116" s="37"/>
      <c r="JF3116" s="37"/>
      <c r="JG3116" s="37"/>
      <c r="JH3116" s="37"/>
      <c r="JI3116" s="37"/>
      <c r="JJ3116" s="37"/>
      <c r="JK3116" s="37"/>
      <c r="JL3116" s="37"/>
      <c r="JM3116" s="37"/>
      <c r="JN3116" s="37"/>
      <c r="JO3116" s="37"/>
      <c r="JP3116" s="37"/>
      <c r="JQ3116" s="37"/>
      <c r="JR3116" s="37"/>
      <c r="JS3116" s="37"/>
      <c r="JT3116" s="37"/>
      <c r="JU3116" s="37"/>
      <c r="JV3116" s="37"/>
      <c r="JW3116" s="37"/>
      <c r="JX3116" s="37"/>
      <c r="JY3116" s="37"/>
      <c r="JZ3116" s="37"/>
      <c r="KA3116" s="37"/>
      <c r="KB3116" s="37"/>
      <c r="KC3116" s="37"/>
      <c r="KD3116" s="37"/>
      <c r="KE3116" s="37"/>
      <c r="KF3116" s="37"/>
      <c r="KG3116" s="37"/>
      <c r="KH3116" s="37"/>
      <c r="KI3116" s="37"/>
      <c r="KJ3116" s="37"/>
      <c r="KK3116" s="37"/>
      <c r="KL3116" s="37"/>
      <c r="KM3116" s="37"/>
      <c r="KN3116" s="37"/>
      <c r="KO3116" s="37"/>
      <c r="KP3116" s="37"/>
      <c r="KQ3116" s="37"/>
      <c r="KR3116" s="37"/>
      <c r="KS3116" s="37"/>
      <c r="KT3116" s="37"/>
      <c r="KU3116" s="37"/>
      <c r="KV3116" s="37"/>
      <c r="KW3116" s="37"/>
      <c r="KX3116" s="37"/>
      <c r="KY3116" s="37"/>
      <c r="KZ3116" s="37"/>
      <c r="LA3116" s="37"/>
      <c r="LB3116" s="37"/>
      <c r="LC3116" s="37"/>
      <c r="LD3116" s="37"/>
      <c r="LE3116" s="37"/>
      <c r="LF3116" s="37"/>
      <c r="LG3116" s="37"/>
      <c r="LH3116" s="37"/>
      <c r="LI3116" s="37"/>
      <c r="LJ3116" s="37"/>
      <c r="LK3116" s="37"/>
      <c r="LL3116" s="37"/>
      <c r="LM3116" s="37"/>
      <c r="LN3116" s="37"/>
      <c r="LO3116" s="37"/>
      <c r="LP3116" s="37"/>
      <c r="LQ3116" s="37"/>
      <c r="LR3116" s="37"/>
      <c r="LS3116" s="37"/>
      <c r="LT3116" s="37"/>
      <c r="LU3116" s="37"/>
      <c r="LV3116" s="37"/>
      <c r="LW3116" s="37"/>
      <c r="LX3116" s="37"/>
      <c r="LY3116" s="37"/>
      <c r="LZ3116" s="37"/>
      <c r="MA3116" s="37"/>
      <c r="MB3116" s="37"/>
      <c r="MC3116" s="37"/>
      <c r="MD3116" s="37"/>
      <c r="ME3116" s="37"/>
      <c r="MF3116" s="37"/>
      <c r="MG3116" s="37"/>
      <c r="MH3116" s="37"/>
      <c r="MI3116" s="37"/>
      <c r="MJ3116" s="37"/>
      <c r="MK3116" s="37"/>
      <c r="ML3116" s="37"/>
      <c r="MM3116" s="37"/>
      <c r="MN3116" s="37"/>
      <c r="MO3116" s="37"/>
      <c r="MP3116" s="37"/>
      <c r="MQ3116" s="37"/>
      <c r="MR3116" s="37"/>
      <c r="MS3116" s="37"/>
      <c r="MT3116" s="37"/>
      <c r="MU3116" s="37"/>
      <c r="MV3116" s="37"/>
      <c r="MW3116" s="37"/>
      <c r="MX3116" s="37"/>
      <c r="MY3116" s="37"/>
      <c r="MZ3116" s="37"/>
      <c r="NA3116" s="37"/>
      <c r="NB3116" s="37"/>
      <c r="NC3116" s="37"/>
      <c r="ND3116" s="37"/>
      <c r="NE3116" s="37"/>
      <c r="NF3116" s="37"/>
      <c r="NG3116" s="37"/>
      <c r="NH3116" s="37"/>
      <c r="NI3116" s="37"/>
      <c r="NJ3116" s="37"/>
      <c r="NK3116" s="37"/>
      <c r="NL3116" s="37"/>
      <c r="NM3116" s="37"/>
      <c r="NN3116" s="37"/>
      <c r="NO3116" s="37"/>
      <c r="NP3116" s="37"/>
      <c r="NQ3116" s="37"/>
      <c r="NR3116" s="37"/>
      <c r="NS3116" s="37"/>
      <c r="NT3116" s="37"/>
      <c r="NU3116" s="37"/>
      <c r="NV3116" s="37"/>
      <c r="NW3116" s="37"/>
      <c r="NX3116" s="37"/>
      <c r="NY3116" s="37"/>
      <c r="NZ3116" s="37"/>
      <c r="OA3116" s="37"/>
      <c r="OB3116" s="37"/>
      <c r="OC3116" s="37"/>
      <c r="OD3116" s="37"/>
      <c r="OE3116" s="37"/>
      <c r="OF3116" s="37"/>
      <c r="OG3116" s="37"/>
      <c r="OH3116" s="37"/>
      <c r="OI3116" s="37"/>
      <c r="OJ3116" s="37"/>
      <c r="OK3116" s="37"/>
      <c r="OL3116" s="37"/>
      <c r="OM3116" s="37"/>
      <c r="ON3116" s="37"/>
      <c r="OO3116" s="37"/>
      <c r="OP3116" s="37"/>
      <c r="OQ3116" s="37"/>
      <c r="OR3116" s="37"/>
      <c r="OS3116" s="37"/>
      <c r="OT3116" s="37"/>
      <c r="OU3116" s="37"/>
      <c r="OV3116" s="37"/>
      <c r="OW3116" s="37"/>
      <c r="OX3116" s="37"/>
      <c r="OY3116" s="37"/>
      <c r="OZ3116" s="37"/>
      <c r="PA3116" s="37"/>
      <c r="PB3116" s="37"/>
      <c r="PC3116" s="37"/>
      <c r="PD3116" s="37"/>
      <c r="PE3116" s="37"/>
      <c r="PF3116" s="37"/>
      <c r="PG3116" s="37"/>
      <c r="PH3116" s="37"/>
      <c r="PI3116" s="37"/>
      <c r="PJ3116" s="37"/>
      <c r="PK3116" s="37"/>
      <c r="PL3116" s="37"/>
      <c r="PM3116" s="37"/>
      <c r="PN3116" s="37"/>
      <c r="PO3116" s="37"/>
      <c r="PP3116" s="37"/>
      <c r="PQ3116" s="37"/>
      <c r="PR3116" s="37"/>
      <c r="PS3116" s="37"/>
      <c r="PT3116" s="37"/>
      <c r="PU3116" s="37"/>
      <c r="PV3116" s="37"/>
      <c r="PW3116" s="37"/>
      <c r="PX3116" s="37"/>
      <c r="PY3116" s="37"/>
      <c r="PZ3116" s="37"/>
      <c r="QA3116" s="37"/>
      <c r="QB3116" s="37"/>
      <c r="QC3116" s="37"/>
      <c r="QD3116" s="37"/>
      <c r="QE3116" s="37"/>
      <c r="QF3116" s="37"/>
      <c r="QG3116" s="37"/>
      <c r="QH3116" s="37"/>
      <c r="QI3116" s="37"/>
      <c r="QJ3116" s="37"/>
      <c r="QK3116" s="37"/>
      <c r="QL3116" s="37"/>
      <c r="QM3116" s="37"/>
      <c r="QN3116" s="37"/>
      <c r="QO3116" s="37"/>
      <c r="QP3116" s="37"/>
      <c r="QQ3116" s="37"/>
      <c r="QR3116" s="37"/>
      <c r="QS3116" s="37"/>
      <c r="QT3116" s="37"/>
      <c r="QU3116" s="37"/>
      <c r="QV3116" s="37"/>
      <c r="QW3116" s="37"/>
      <c r="QX3116" s="37"/>
      <c r="QY3116" s="37"/>
      <c r="QZ3116" s="37"/>
      <c r="RA3116" s="37"/>
      <c r="RB3116" s="37"/>
      <c r="RC3116" s="37"/>
      <c r="RD3116" s="37"/>
      <c r="RE3116" s="37"/>
      <c r="RF3116" s="37"/>
      <c r="RG3116" s="37"/>
      <c r="RH3116" s="37"/>
      <c r="RI3116" s="37"/>
      <c r="RJ3116" s="37"/>
      <c r="RK3116" s="37"/>
      <c r="RL3116" s="37"/>
      <c r="RM3116" s="37"/>
      <c r="RN3116" s="37"/>
      <c r="RO3116" s="37"/>
      <c r="RP3116" s="37"/>
      <c r="RQ3116" s="37"/>
      <c r="RR3116" s="37"/>
      <c r="RS3116" s="37"/>
      <c r="RT3116" s="37"/>
      <c r="RU3116" s="37"/>
      <c r="RV3116" s="37"/>
      <c r="RW3116" s="37"/>
      <c r="RX3116" s="37"/>
      <c r="RY3116" s="37"/>
      <c r="RZ3116" s="37"/>
      <c r="SA3116" s="37"/>
      <c r="SB3116" s="37"/>
      <c r="SC3116" s="37"/>
      <c r="SD3116" s="37"/>
      <c r="SE3116" s="37"/>
      <c r="SF3116" s="37"/>
    </row>
    <row r="3117" spans="1:500">
      <c r="A3117" s="37"/>
      <c r="B3117" s="37"/>
      <c r="C3117" s="37"/>
      <c r="D3117" s="37"/>
      <c r="E3117" s="37"/>
      <c r="F3117" s="37"/>
      <c r="G3117" s="37"/>
      <c r="H3117" s="37"/>
      <c r="I3117" s="37"/>
      <c r="J3117" s="37"/>
      <c r="K3117" s="37"/>
      <c r="L3117" s="37"/>
      <c r="M3117" s="37"/>
      <c r="N3117" s="37"/>
      <c r="O3117" s="37"/>
      <c r="P3117" s="37"/>
      <c r="Q3117" s="37"/>
      <c r="R3117" s="37"/>
      <c r="S3117" s="37"/>
      <c r="T3117" s="37"/>
      <c r="U3117" s="37"/>
      <c r="V3117" s="37"/>
      <c r="W3117" s="37"/>
      <c r="X3117" s="37"/>
      <c r="Y3117" s="37"/>
      <c r="Z3117" s="37"/>
      <c r="AA3117" s="37"/>
      <c r="AB3117" s="37"/>
      <c r="AC3117" s="37"/>
      <c r="AD3117" s="37"/>
      <c r="AE3117" s="37"/>
      <c r="AF3117" s="37"/>
      <c r="AG3117" s="37"/>
      <c r="AH3117" s="37"/>
      <c r="AI3117" s="37"/>
      <c r="AJ3117" s="37"/>
      <c r="AK3117" s="37"/>
      <c r="AL3117" s="37"/>
      <c r="AM3117" s="37"/>
      <c r="AN3117" s="37"/>
      <c r="AO3117" s="37"/>
      <c r="AP3117" s="37"/>
      <c r="AQ3117" s="37"/>
      <c r="AR3117" s="37"/>
      <c r="AS3117" s="37"/>
      <c r="AT3117" s="37"/>
      <c r="AU3117" s="37"/>
      <c r="AV3117" s="37"/>
      <c r="AW3117" s="37"/>
      <c r="AX3117" s="37"/>
      <c r="AY3117" s="37"/>
      <c r="AZ3117" s="37"/>
      <c r="BA3117" s="37"/>
      <c r="BB3117" s="37"/>
      <c r="BC3117" s="37"/>
      <c r="BD3117" s="37"/>
      <c r="BE3117" s="37"/>
      <c r="BF3117" s="37"/>
      <c r="BG3117" s="37"/>
      <c r="BH3117" s="37"/>
      <c r="BI3117" s="37"/>
      <c r="BJ3117" s="37"/>
      <c r="BK3117" s="37"/>
      <c r="BL3117" s="37"/>
      <c r="BM3117" s="37"/>
      <c r="BN3117" s="37"/>
      <c r="BO3117" s="37"/>
      <c r="BP3117" s="37"/>
      <c r="BQ3117" s="37"/>
      <c r="BR3117" s="37"/>
      <c r="BS3117" s="37"/>
      <c r="BT3117" s="37"/>
      <c r="BU3117" s="37"/>
      <c r="BV3117" s="37"/>
      <c r="BW3117" s="37"/>
      <c r="BX3117" s="37"/>
      <c r="BY3117" s="37"/>
      <c r="BZ3117" s="37"/>
      <c r="CA3117" s="37"/>
      <c r="CB3117" s="37"/>
      <c r="CC3117" s="37"/>
      <c r="CD3117" s="37"/>
      <c r="CE3117" s="37"/>
      <c r="CF3117" s="37"/>
      <c r="CG3117" s="37"/>
      <c r="CH3117" s="37"/>
      <c r="CI3117" s="37"/>
      <c r="CJ3117" s="37"/>
      <c r="CK3117" s="37"/>
      <c r="CL3117" s="37"/>
      <c r="CM3117" s="37"/>
      <c r="CN3117" s="37"/>
      <c r="CO3117" s="37"/>
      <c r="CP3117" s="37"/>
      <c r="CQ3117" s="37"/>
      <c r="CR3117" s="37"/>
      <c r="CS3117" s="37"/>
      <c r="CT3117" s="37"/>
      <c r="CU3117" s="37"/>
      <c r="CV3117" s="37"/>
      <c r="CW3117" s="37"/>
      <c r="CX3117" s="37"/>
      <c r="CY3117" s="37"/>
      <c r="CZ3117" s="37"/>
      <c r="DA3117" s="37"/>
      <c r="DB3117" s="37"/>
      <c r="DC3117" s="37"/>
      <c r="DD3117" s="37"/>
      <c r="DE3117" s="37"/>
      <c r="DF3117" s="37"/>
      <c r="DG3117" s="37"/>
      <c r="DH3117" s="37"/>
      <c r="DI3117" s="37"/>
      <c r="DJ3117" s="37"/>
      <c r="DK3117" s="37"/>
      <c r="DL3117" s="37"/>
      <c r="DM3117" s="37"/>
      <c r="DN3117" s="37"/>
      <c r="DO3117" s="37"/>
      <c r="DP3117" s="37"/>
      <c r="DQ3117" s="37"/>
      <c r="DR3117" s="37"/>
      <c r="DS3117" s="37"/>
      <c r="DT3117" s="37"/>
      <c r="DU3117" s="37"/>
      <c r="DV3117" s="37"/>
      <c r="DW3117" s="37"/>
      <c r="DX3117" s="37"/>
      <c r="DY3117" s="37"/>
      <c r="DZ3117" s="37"/>
      <c r="EA3117" s="37"/>
      <c r="EB3117" s="37"/>
      <c r="EC3117" s="37"/>
      <c r="ED3117" s="37"/>
      <c r="EE3117" s="37"/>
      <c r="EF3117" s="37"/>
      <c r="EG3117" s="37"/>
      <c r="EH3117" s="37"/>
      <c r="EI3117" s="37"/>
      <c r="EJ3117" s="37"/>
      <c r="EK3117" s="37"/>
      <c r="EL3117" s="37"/>
      <c r="EM3117" s="37"/>
      <c r="EN3117" s="37"/>
      <c r="EO3117" s="37"/>
      <c r="EP3117" s="37"/>
      <c r="EQ3117" s="37"/>
      <c r="ER3117" s="37"/>
      <c r="ES3117" s="37"/>
      <c r="ET3117" s="37"/>
      <c r="EU3117" s="37"/>
      <c r="EV3117" s="37"/>
      <c r="EW3117" s="37"/>
      <c r="EX3117" s="37"/>
      <c r="EY3117" s="37"/>
      <c r="EZ3117" s="37"/>
      <c r="FA3117" s="37"/>
      <c r="FB3117" s="37"/>
      <c r="FC3117" s="37"/>
      <c r="FD3117" s="37"/>
      <c r="FE3117" s="37"/>
      <c r="FF3117" s="37"/>
      <c r="FG3117" s="37"/>
      <c r="FH3117" s="37"/>
      <c r="FI3117" s="37"/>
      <c r="FJ3117" s="37"/>
      <c r="FK3117" s="37"/>
      <c r="FL3117" s="37"/>
      <c r="FM3117" s="37"/>
      <c r="FN3117" s="37"/>
      <c r="FO3117" s="37"/>
      <c r="FP3117" s="37"/>
      <c r="FQ3117" s="37"/>
      <c r="FR3117" s="37"/>
      <c r="FS3117" s="37"/>
      <c r="FT3117" s="37"/>
      <c r="FU3117" s="37"/>
      <c r="FV3117" s="37"/>
      <c r="FW3117" s="37"/>
      <c r="FX3117" s="37"/>
      <c r="FY3117" s="37"/>
      <c r="FZ3117" s="37"/>
      <c r="GA3117" s="37"/>
      <c r="GB3117" s="37"/>
      <c r="GC3117" s="37"/>
      <c r="GD3117" s="37"/>
      <c r="GE3117" s="37"/>
      <c r="GF3117" s="37"/>
      <c r="GG3117" s="37"/>
      <c r="GH3117" s="37"/>
      <c r="GI3117" s="37"/>
      <c r="GJ3117" s="37"/>
      <c r="GK3117" s="37"/>
      <c r="GL3117" s="37"/>
      <c r="GM3117" s="37"/>
      <c r="GN3117" s="37"/>
      <c r="GO3117" s="37"/>
      <c r="GP3117" s="37"/>
      <c r="GQ3117" s="37"/>
      <c r="GR3117" s="37"/>
      <c r="GS3117" s="37"/>
      <c r="GT3117" s="37"/>
      <c r="GU3117" s="37"/>
      <c r="GV3117" s="37"/>
      <c r="GW3117" s="37"/>
      <c r="GX3117" s="37"/>
      <c r="GY3117" s="37"/>
      <c r="GZ3117" s="37"/>
      <c r="HA3117" s="37"/>
      <c r="HB3117" s="37"/>
      <c r="HC3117" s="37"/>
      <c r="HD3117" s="37"/>
      <c r="HE3117" s="37"/>
      <c r="HF3117" s="37"/>
      <c r="HG3117" s="37"/>
      <c r="HH3117" s="37"/>
      <c r="HI3117" s="37"/>
      <c r="HJ3117" s="37"/>
      <c r="HK3117" s="37"/>
      <c r="HL3117" s="37"/>
      <c r="HM3117" s="37"/>
      <c r="HN3117" s="37"/>
      <c r="HO3117" s="37"/>
      <c r="HP3117" s="37"/>
      <c r="HQ3117" s="37"/>
      <c r="HR3117" s="37"/>
      <c r="HS3117" s="37"/>
      <c r="HT3117" s="37"/>
      <c r="HU3117" s="37"/>
      <c r="HV3117" s="37"/>
      <c r="HW3117" s="37"/>
      <c r="HX3117" s="37"/>
      <c r="HY3117" s="37"/>
      <c r="HZ3117" s="37"/>
      <c r="IA3117" s="37"/>
      <c r="IB3117" s="37"/>
      <c r="IC3117" s="37"/>
      <c r="ID3117" s="37"/>
      <c r="IE3117" s="37"/>
      <c r="IF3117" s="37"/>
      <c r="IG3117" s="37"/>
      <c r="IH3117" s="37"/>
      <c r="II3117" s="37"/>
      <c r="IJ3117" s="37"/>
      <c r="IK3117" s="37"/>
      <c r="IL3117" s="37"/>
      <c r="IM3117" s="37"/>
      <c r="IN3117" s="37"/>
      <c r="IO3117" s="37"/>
      <c r="IP3117" s="37"/>
      <c r="IQ3117" s="37"/>
      <c r="IR3117" s="37"/>
      <c r="IS3117" s="37"/>
      <c r="IT3117" s="37"/>
      <c r="IU3117" s="37"/>
      <c r="IV3117" s="37"/>
      <c r="IW3117" s="37"/>
      <c r="IX3117" s="37"/>
      <c r="IY3117" s="37"/>
      <c r="IZ3117" s="37"/>
      <c r="JA3117" s="37"/>
      <c r="JB3117" s="37"/>
      <c r="JC3117" s="37"/>
      <c r="JD3117" s="37"/>
      <c r="JE3117" s="37"/>
      <c r="JF3117" s="37"/>
      <c r="JG3117" s="37"/>
      <c r="JH3117" s="37"/>
      <c r="JI3117" s="37"/>
      <c r="JJ3117" s="37"/>
      <c r="JK3117" s="37"/>
      <c r="JL3117" s="37"/>
      <c r="JM3117" s="37"/>
      <c r="JN3117" s="37"/>
      <c r="JO3117" s="37"/>
      <c r="JP3117" s="37"/>
      <c r="JQ3117" s="37"/>
      <c r="JR3117" s="37"/>
      <c r="JS3117" s="37"/>
      <c r="JT3117" s="37"/>
      <c r="JU3117" s="37"/>
      <c r="JV3117" s="37"/>
      <c r="JW3117" s="37"/>
      <c r="JX3117" s="37"/>
      <c r="JY3117" s="37"/>
      <c r="JZ3117" s="37"/>
      <c r="KA3117" s="37"/>
      <c r="KB3117" s="37"/>
      <c r="KC3117" s="37"/>
      <c r="KD3117" s="37"/>
      <c r="KE3117" s="37"/>
      <c r="KF3117" s="37"/>
      <c r="KG3117" s="37"/>
      <c r="KH3117" s="37"/>
      <c r="KI3117" s="37"/>
      <c r="KJ3117" s="37"/>
      <c r="KK3117" s="37"/>
      <c r="KL3117" s="37"/>
      <c r="KM3117" s="37"/>
      <c r="KN3117" s="37"/>
      <c r="KO3117" s="37"/>
      <c r="KP3117" s="37"/>
      <c r="KQ3117" s="37"/>
      <c r="KR3117" s="37"/>
      <c r="KS3117" s="37"/>
      <c r="KT3117" s="37"/>
      <c r="KU3117" s="37"/>
      <c r="KV3117" s="37"/>
      <c r="KW3117" s="37"/>
      <c r="KX3117" s="37"/>
      <c r="KY3117" s="37"/>
      <c r="KZ3117" s="37"/>
      <c r="LA3117" s="37"/>
      <c r="LB3117" s="37"/>
      <c r="LC3117" s="37"/>
      <c r="LD3117" s="37"/>
      <c r="LE3117" s="37"/>
      <c r="LF3117" s="37"/>
      <c r="LG3117" s="37"/>
      <c r="LH3117" s="37"/>
      <c r="LI3117" s="37"/>
      <c r="LJ3117" s="37"/>
      <c r="LK3117" s="37"/>
      <c r="LL3117" s="37"/>
      <c r="LM3117" s="37"/>
      <c r="LN3117" s="37"/>
      <c r="LO3117" s="37"/>
      <c r="LP3117" s="37"/>
      <c r="LQ3117" s="37"/>
      <c r="LR3117" s="37"/>
      <c r="LS3117" s="37"/>
      <c r="LT3117" s="37"/>
      <c r="LU3117" s="37"/>
      <c r="LV3117" s="37"/>
      <c r="LW3117" s="37"/>
      <c r="LX3117" s="37"/>
      <c r="LY3117" s="37"/>
      <c r="LZ3117" s="37"/>
      <c r="MA3117" s="37"/>
      <c r="MB3117" s="37"/>
      <c r="MC3117" s="37"/>
      <c r="MD3117" s="37"/>
      <c r="ME3117" s="37"/>
      <c r="MF3117" s="37"/>
      <c r="MG3117" s="37"/>
      <c r="MH3117" s="37"/>
      <c r="MI3117" s="37"/>
      <c r="MJ3117" s="37"/>
      <c r="MK3117" s="37"/>
      <c r="ML3117" s="37"/>
      <c r="MM3117" s="37"/>
      <c r="MN3117" s="37"/>
      <c r="MO3117" s="37"/>
      <c r="MP3117" s="37"/>
      <c r="MQ3117" s="37"/>
      <c r="MR3117" s="37"/>
      <c r="MS3117" s="37"/>
      <c r="MT3117" s="37"/>
      <c r="MU3117" s="37"/>
      <c r="MV3117" s="37"/>
      <c r="MW3117" s="37"/>
      <c r="MX3117" s="37"/>
      <c r="MY3117" s="37"/>
      <c r="MZ3117" s="37"/>
      <c r="NA3117" s="37"/>
      <c r="NB3117" s="37"/>
      <c r="NC3117" s="37"/>
      <c r="ND3117" s="37"/>
      <c r="NE3117" s="37"/>
      <c r="NF3117" s="37"/>
      <c r="NG3117" s="37"/>
      <c r="NH3117" s="37"/>
      <c r="NI3117" s="37"/>
      <c r="NJ3117" s="37"/>
      <c r="NK3117" s="37"/>
      <c r="NL3117" s="37"/>
      <c r="NM3117" s="37"/>
      <c r="NN3117" s="37"/>
      <c r="NO3117" s="37"/>
      <c r="NP3117" s="37"/>
      <c r="NQ3117" s="37"/>
      <c r="NR3117" s="37"/>
      <c r="NS3117" s="37"/>
      <c r="NT3117" s="37"/>
      <c r="NU3117" s="37"/>
      <c r="NV3117" s="37"/>
      <c r="NW3117" s="37"/>
      <c r="NX3117" s="37"/>
      <c r="NY3117" s="37"/>
      <c r="NZ3117" s="37"/>
      <c r="OA3117" s="37"/>
      <c r="OB3117" s="37"/>
      <c r="OC3117" s="37"/>
      <c r="OD3117" s="37"/>
      <c r="OE3117" s="37"/>
      <c r="OF3117" s="37"/>
      <c r="OG3117" s="37"/>
      <c r="OH3117" s="37"/>
      <c r="OI3117" s="37"/>
      <c r="OJ3117" s="37"/>
      <c r="OK3117" s="37"/>
      <c r="OL3117" s="37"/>
      <c r="OM3117" s="37"/>
      <c r="ON3117" s="37"/>
      <c r="OO3117" s="37"/>
      <c r="OP3117" s="37"/>
      <c r="OQ3117" s="37"/>
      <c r="OR3117" s="37"/>
      <c r="OS3117" s="37"/>
      <c r="OT3117" s="37"/>
      <c r="OU3117" s="37"/>
      <c r="OV3117" s="37"/>
      <c r="OW3117" s="37"/>
      <c r="OX3117" s="37"/>
      <c r="OY3117" s="37"/>
      <c r="OZ3117" s="37"/>
      <c r="PA3117" s="37"/>
      <c r="PB3117" s="37"/>
      <c r="PC3117" s="37"/>
      <c r="PD3117" s="37"/>
      <c r="PE3117" s="37"/>
      <c r="PF3117" s="37"/>
      <c r="PG3117" s="37"/>
      <c r="PH3117" s="37"/>
      <c r="PI3117" s="37"/>
      <c r="PJ3117" s="37"/>
      <c r="PK3117" s="37"/>
      <c r="PL3117" s="37"/>
      <c r="PM3117" s="37"/>
      <c r="PN3117" s="37"/>
      <c r="PO3117" s="37"/>
      <c r="PP3117" s="37"/>
      <c r="PQ3117" s="37"/>
      <c r="PR3117" s="37"/>
      <c r="PS3117" s="37"/>
      <c r="PT3117" s="37"/>
      <c r="PU3117" s="37"/>
      <c r="PV3117" s="37"/>
      <c r="PW3117" s="37"/>
      <c r="PX3117" s="37"/>
      <c r="PY3117" s="37"/>
      <c r="PZ3117" s="37"/>
      <c r="QA3117" s="37"/>
      <c r="QB3117" s="37"/>
      <c r="QC3117" s="37"/>
      <c r="QD3117" s="37"/>
      <c r="QE3117" s="37"/>
      <c r="QF3117" s="37"/>
      <c r="QG3117" s="37"/>
      <c r="QH3117" s="37"/>
      <c r="QI3117" s="37"/>
      <c r="QJ3117" s="37"/>
      <c r="QK3117" s="37"/>
      <c r="QL3117" s="37"/>
      <c r="QM3117" s="37"/>
      <c r="QN3117" s="37"/>
      <c r="QO3117" s="37"/>
      <c r="QP3117" s="37"/>
      <c r="QQ3117" s="37"/>
      <c r="QR3117" s="37"/>
      <c r="QS3117" s="37"/>
      <c r="QT3117" s="37"/>
      <c r="QU3117" s="37"/>
      <c r="QV3117" s="37"/>
      <c r="QW3117" s="37"/>
      <c r="QX3117" s="37"/>
      <c r="QY3117" s="37"/>
      <c r="QZ3117" s="37"/>
      <c r="RA3117" s="37"/>
      <c r="RB3117" s="37"/>
      <c r="RC3117" s="37"/>
      <c r="RD3117" s="37"/>
      <c r="RE3117" s="37"/>
      <c r="RF3117" s="37"/>
      <c r="RG3117" s="37"/>
      <c r="RH3117" s="37"/>
      <c r="RI3117" s="37"/>
      <c r="RJ3117" s="37"/>
      <c r="RK3117" s="37"/>
      <c r="RL3117" s="37"/>
      <c r="RM3117" s="37"/>
      <c r="RN3117" s="37"/>
      <c r="RO3117" s="37"/>
      <c r="RP3117" s="37"/>
      <c r="RQ3117" s="37"/>
      <c r="RR3117" s="37"/>
      <c r="RS3117" s="37"/>
      <c r="RT3117" s="37"/>
      <c r="RU3117" s="37"/>
      <c r="RV3117" s="37"/>
      <c r="RW3117" s="37"/>
      <c r="RX3117" s="37"/>
      <c r="RY3117" s="37"/>
      <c r="RZ3117" s="37"/>
      <c r="SA3117" s="37"/>
      <c r="SB3117" s="37"/>
      <c r="SC3117" s="37"/>
      <c r="SD3117" s="37"/>
      <c r="SE3117" s="37"/>
      <c r="SF3117" s="37"/>
    </row>
    <row r="3118" spans="1:500">
      <c r="A3118" s="37"/>
      <c r="B3118" s="37"/>
      <c r="C3118" s="37"/>
      <c r="D3118" s="37"/>
      <c r="E3118" s="37"/>
      <c r="F3118" s="37"/>
      <c r="G3118" s="37"/>
      <c r="H3118" s="37"/>
      <c r="I3118" s="37"/>
      <c r="J3118" s="37"/>
      <c r="K3118" s="37"/>
      <c r="L3118" s="37"/>
      <c r="M3118" s="37"/>
      <c r="N3118" s="37"/>
      <c r="O3118" s="37"/>
      <c r="P3118" s="37"/>
      <c r="Q3118" s="37"/>
      <c r="R3118" s="37"/>
      <c r="S3118" s="37"/>
      <c r="T3118" s="37"/>
      <c r="U3118" s="37"/>
      <c r="V3118" s="37"/>
      <c r="W3118" s="37"/>
      <c r="X3118" s="37"/>
      <c r="Y3118" s="37"/>
      <c r="Z3118" s="37"/>
      <c r="AA3118" s="37"/>
      <c r="AB3118" s="37"/>
      <c r="AC3118" s="37"/>
      <c r="AD3118" s="37"/>
      <c r="AE3118" s="37"/>
      <c r="AF3118" s="37"/>
      <c r="AG3118" s="37"/>
      <c r="AH3118" s="37"/>
      <c r="AI3118" s="37"/>
      <c r="AJ3118" s="37"/>
      <c r="AK3118" s="37"/>
      <c r="AL3118" s="37"/>
      <c r="AM3118" s="37"/>
      <c r="AN3118" s="37"/>
      <c r="AO3118" s="37"/>
      <c r="AP3118" s="37"/>
      <c r="AQ3118" s="37"/>
      <c r="AR3118" s="37"/>
      <c r="AS3118" s="37"/>
      <c r="AT3118" s="37"/>
      <c r="AU3118" s="37"/>
      <c r="AV3118" s="37"/>
      <c r="AW3118" s="37"/>
      <c r="AX3118" s="37"/>
      <c r="AY3118" s="37"/>
      <c r="AZ3118" s="37"/>
      <c r="BA3118" s="37"/>
      <c r="BB3118" s="37"/>
      <c r="BC3118" s="37"/>
      <c r="BD3118" s="37"/>
      <c r="BE3118" s="37"/>
      <c r="BF3118" s="37"/>
      <c r="BG3118" s="37"/>
      <c r="BH3118" s="37"/>
      <c r="BI3118" s="37"/>
      <c r="BJ3118" s="37"/>
      <c r="BK3118" s="37"/>
      <c r="BL3118" s="37"/>
      <c r="BM3118" s="37"/>
      <c r="BN3118" s="37"/>
      <c r="BO3118" s="37"/>
      <c r="BP3118" s="37"/>
      <c r="BQ3118" s="37"/>
      <c r="BR3118" s="37"/>
      <c r="BS3118" s="37"/>
      <c r="BT3118" s="37"/>
      <c r="BU3118" s="37"/>
      <c r="BV3118" s="37"/>
      <c r="BW3118" s="37"/>
      <c r="BX3118" s="37"/>
      <c r="BY3118" s="37"/>
      <c r="BZ3118" s="37"/>
      <c r="CA3118" s="37"/>
      <c r="CB3118" s="37"/>
      <c r="CC3118" s="37"/>
      <c r="CD3118" s="37"/>
      <c r="CE3118" s="37"/>
      <c r="CF3118" s="37"/>
      <c r="CG3118" s="37"/>
      <c r="CH3118" s="37"/>
      <c r="CI3118" s="37"/>
      <c r="CJ3118" s="37"/>
      <c r="CK3118" s="37"/>
      <c r="CL3118" s="37"/>
      <c r="CM3118" s="37"/>
      <c r="CN3118" s="37"/>
      <c r="CO3118" s="37"/>
      <c r="CP3118" s="37"/>
      <c r="CQ3118" s="37"/>
      <c r="CR3118" s="37"/>
      <c r="CS3118" s="37"/>
      <c r="CT3118" s="37"/>
      <c r="CU3118" s="37"/>
      <c r="CV3118" s="37"/>
      <c r="CW3118" s="37"/>
      <c r="CX3118" s="37"/>
      <c r="CY3118" s="37"/>
      <c r="CZ3118" s="37"/>
      <c r="DA3118" s="37"/>
      <c r="DB3118" s="37"/>
      <c r="DC3118" s="37"/>
      <c r="DD3118" s="37"/>
      <c r="DE3118" s="37"/>
      <c r="DF3118" s="37"/>
      <c r="DG3118" s="37"/>
      <c r="DH3118" s="37"/>
      <c r="DI3118" s="37"/>
      <c r="DJ3118" s="37"/>
      <c r="DK3118" s="37"/>
      <c r="DL3118" s="37"/>
      <c r="DM3118" s="37"/>
      <c r="DN3118" s="37"/>
      <c r="DO3118" s="37"/>
      <c r="DP3118" s="37"/>
      <c r="DQ3118" s="37"/>
      <c r="DR3118" s="37"/>
      <c r="DS3118" s="37"/>
      <c r="DT3118" s="37"/>
      <c r="DU3118" s="37"/>
      <c r="DV3118" s="37"/>
      <c r="DW3118" s="37"/>
      <c r="DX3118" s="37"/>
      <c r="DY3118" s="37"/>
      <c r="DZ3118" s="37"/>
      <c r="EA3118" s="37"/>
      <c r="EB3118" s="37"/>
      <c r="EC3118" s="37"/>
      <c r="ED3118" s="37"/>
      <c r="EE3118" s="37"/>
      <c r="EF3118" s="37"/>
      <c r="EG3118" s="37"/>
      <c r="EH3118" s="37"/>
      <c r="EI3118" s="37"/>
      <c r="EJ3118" s="37"/>
      <c r="EK3118" s="37"/>
      <c r="EL3118" s="37"/>
      <c r="EM3118" s="37"/>
      <c r="EN3118" s="37"/>
      <c r="EO3118" s="37"/>
      <c r="EP3118" s="37"/>
      <c r="EQ3118" s="37"/>
      <c r="ER3118" s="37"/>
      <c r="ES3118" s="37"/>
      <c r="ET3118" s="37"/>
      <c r="EU3118" s="37"/>
      <c r="EV3118" s="37"/>
      <c r="EW3118" s="37"/>
      <c r="EX3118" s="37"/>
      <c r="EY3118" s="37"/>
      <c r="EZ3118" s="37"/>
      <c r="FA3118" s="37"/>
      <c r="FB3118" s="37"/>
      <c r="FC3118" s="37"/>
      <c r="FD3118" s="37"/>
      <c r="FE3118" s="37"/>
      <c r="FF3118" s="37"/>
      <c r="FG3118" s="37"/>
      <c r="FH3118" s="37"/>
      <c r="FI3118" s="37"/>
      <c r="FJ3118" s="37"/>
      <c r="FK3118" s="37"/>
      <c r="FL3118" s="37"/>
      <c r="FM3118" s="37"/>
      <c r="FN3118" s="37"/>
      <c r="FO3118" s="37"/>
      <c r="FP3118" s="37"/>
      <c r="FQ3118" s="37"/>
      <c r="FR3118" s="37"/>
      <c r="FS3118" s="37"/>
      <c r="FT3118" s="37"/>
      <c r="FU3118" s="37"/>
      <c r="FV3118" s="37"/>
      <c r="FW3118" s="37"/>
      <c r="FX3118" s="37"/>
      <c r="FY3118" s="37"/>
      <c r="FZ3118" s="37"/>
      <c r="GA3118" s="37"/>
      <c r="GB3118" s="37"/>
      <c r="GC3118" s="37"/>
      <c r="GD3118" s="37"/>
      <c r="GE3118" s="37"/>
      <c r="GF3118" s="37"/>
      <c r="GG3118" s="37"/>
      <c r="GH3118" s="37"/>
      <c r="GI3118" s="37"/>
      <c r="GJ3118" s="37"/>
      <c r="GK3118" s="37"/>
      <c r="GL3118" s="37"/>
      <c r="GM3118" s="37"/>
      <c r="GN3118" s="37"/>
      <c r="GO3118" s="37"/>
      <c r="GP3118" s="37"/>
      <c r="GQ3118" s="37"/>
      <c r="GR3118" s="37"/>
      <c r="GS3118" s="37"/>
      <c r="GT3118" s="37"/>
      <c r="GU3118" s="37"/>
      <c r="GV3118" s="37"/>
      <c r="GW3118" s="37"/>
      <c r="GX3118" s="37"/>
      <c r="GY3118" s="37"/>
      <c r="GZ3118" s="37"/>
      <c r="HA3118" s="37"/>
      <c r="HB3118" s="37"/>
      <c r="HC3118" s="37"/>
      <c r="HD3118" s="37"/>
      <c r="HE3118" s="37"/>
      <c r="HF3118" s="37"/>
      <c r="HG3118" s="37"/>
      <c r="HH3118" s="37"/>
      <c r="HI3118" s="37"/>
      <c r="HJ3118" s="37"/>
      <c r="HK3118" s="37"/>
      <c r="HL3118" s="37"/>
      <c r="HM3118" s="37"/>
      <c r="HN3118" s="37"/>
      <c r="HO3118" s="37"/>
      <c r="HP3118" s="37"/>
      <c r="HQ3118" s="37"/>
      <c r="HR3118" s="37"/>
      <c r="HS3118" s="37"/>
      <c r="HT3118" s="37"/>
      <c r="HU3118" s="37"/>
      <c r="HV3118" s="37"/>
      <c r="HW3118" s="37"/>
      <c r="HX3118" s="37"/>
      <c r="HY3118" s="37"/>
      <c r="HZ3118" s="37"/>
      <c r="IA3118" s="37"/>
      <c r="IB3118" s="37"/>
      <c r="IC3118" s="37"/>
      <c r="ID3118" s="37"/>
      <c r="IE3118" s="37"/>
      <c r="IF3118" s="37"/>
      <c r="IG3118" s="37"/>
      <c r="IH3118" s="37"/>
      <c r="II3118" s="37"/>
      <c r="IJ3118" s="37"/>
      <c r="IK3118" s="37"/>
      <c r="IL3118" s="37"/>
      <c r="IM3118" s="37"/>
      <c r="IN3118" s="37"/>
      <c r="IO3118" s="37"/>
      <c r="IP3118" s="37"/>
      <c r="IQ3118" s="37"/>
      <c r="IR3118" s="37"/>
      <c r="IS3118" s="37"/>
      <c r="IT3118" s="37"/>
      <c r="IU3118" s="37"/>
      <c r="IV3118" s="37"/>
      <c r="IW3118" s="37"/>
      <c r="IX3118" s="37"/>
      <c r="IY3118" s="37"/>
      <c r="IZ3118" s="37"/>
      <c r="JA3118" s="37"/>
      <c r="JB3118" s="37"/>
      <c r="JC3118" s="37"/>
      <c r="JD3118" s="37"/>
      <c r="JE3118" s="37"/>
      <c r="JF3118" s="37"/>
      <c r="JG3118" s="37"/>
      <c r="JH3118" s="37"/>
      <c r="JI3118" s="37"/>
      <c r="JJ3118" s="37"/>
      <c r="JK3118" s="37"/>
      <c r="JL3118" s="37"/>
      <c r="JM3118" s="37"/>
      <c r="JN3118" s="37"/>
      <c r="JO3118" s="37"/>
      <c r="JP3118" s="37"/>
      <c r="JQ3118" s="37"/>
      <c r="JR3118" s="37"/>
      <c r="JS3118" s="37"/>
      <c r="JT3118" s="37"/>
      <c r="JU3118" s="37"/>
      <c r="JV3118" s="37"/>
      <c r="JW3118" s="37"/>
      <c r="JX3118" s="37"/>
      <c r="JY3118" s="37"/>
      <c r="JZ3118" s="37"/>
      <c r="KA3118" s="37"/>
      <c r="KB3118" s="37"/>
      <c r="KC3118" s="37"/>
      <c r="KD3118" s="37"/>
      <c r="KE3118" s="37"/>
      <c r="KF3118" s="37"/>
      <c r="KG3118" s="37"/>
      <c r="KH3118" s="37"/>
      <c r="KI3118" s="37"/>
      <c r="KJ3118" s="37"/>
      <c r="KK3118" s="37"/>
      <c r="KL3118" s="37"/>
      <c r="KM3118" s="37"/>
      <c r="KN3118" s="37"/>
      <c r="KO3118" s="37"/>
      <c r="KP3118" s="37"/>
      <c r="KQ3118" s="37"/>
      <c r="KR3118" s="37"/>
      <c r="KS3118" s="37"/>
      <c r="KT3118" s="37"/>
      <c r="KU3118" s="37"/>
      <c r="KV3118" s="37"/>
      <c r="KW3118" s="37"/>
      <c r="KX3118" s="37"/>
      <c r="KY3118" s="37"/>
      <c r="KZ3118" s="37"/>
      <c r="LA3118" s="37"/>
      <c r="LB3118" s="37"/>
      <c r="LC3118" s="37"/>
      <c r="LD3118" s="37"/>
      <c r="LE3118" s="37"/>
      <c r="LF3118" s="37"/>
      <c r="LG3118" s="37"/>
      <c r="LH3118" s="37"/>
      <c r="LI3118" s="37"/>
      <c r="LJ3118" s="37"/>
      <c r="LK3118" s="37"/>
      <c r="LL3118" s="37"/>
      <c r="LM3118" s="37"/>
      <c r="LN3118" s="37"/>
      <c r="LO3118" s="37"/>
      <c r="LP3118" s="37"/>
      <c r="LQ3118" s="37"/>
      <c r="LR3118" s="37"/>
      <c r="LS3118" s="37"/>
      <c r="LT3118" s="37"/>
      <c r="LU3118" s="37"/>
      <c r="LV3118" s="37"/>
      <c r="LW3118" s="37"/>
      <c r="LX3118" s="37"/>
      <c r="LY3118" s="37"/>
      <c r="LZ3118" s="37"/>
      <c r="MA3118" s="37"/>
      <c r="MB3118" s="37"/>
      <c r="MC3118" s="37"/>
      <c r="MD3118" s="37"/>
      <c r="ME3118" s="37"/>
      <c r="MF3118" s="37"/>
      <c r="MG3118" s="37"/>
      <c r="MH3118" s="37"/>
      <c r="MI3118" s="37"/>
      <c r="MJ3118" s="37"/>
      <c r="MK3118" s="37"/>
      <c r="ML3118" s="37"/>
      <c r="MM3118" s="37"/>
      <c r="MN3118" s="37"/>
      <c r="MO3118" s="37"/>
      <c r="MP3118" s="37"/>
      <c r="MQ3118" s="37"/>
      <c r="MR3118" s="37"/>
      <c r="MS3118" s="37"/>
      <c r="MT3118" s="37"/>
      <c r="MU3118" s="37"/>
      <c r="MV3118" s="37"/>
      <c r="MW3118" s="37"/>
      <c r="MX3118" s="37"/>
      <c r="MY3118" s="37"/>
      <c r="MZ3118" s="37"/>
      <c r="NA3118" s="37"/>
      <c r="NB3118" s="37"/>
      <c r="NC3118" s="37"/>
      <c r="ND3118" s="37"/>
      <c r="NE3118" s="37"/>
      <c r="NF3118" s="37"/>
      <c r="NG3118" s="37"/>
      <c r="NH3118" s="37"/>
      <c r="NI3118" s="37"/>
      <c r="NJ3118" s="37"/>
      <c r="NK3118" s="37"/>
      <c r="NL3118" s="37"/>
      <c r="NM3118" s="37"/>
      <c r="NN3118" s="37"/>
      <c r="NO3118" s="37"/>
      <c r="NP3118" s="37"/>
      <c r="NQ3118" s="37"/>
      <c r="NR3118" s="37"/>
      <c r="NS3118" s="37"/>
      <c r="NT3118" s="37"/>
      <c r="NU3118" s="37"/>
      <c r="NV3118" s="37"/>
      <c r="NW3118" s="37"/>
      <c r="NX3118" s="37"/>
      <c r="NY3118" s="37"/>
      <c r="NZ3118" s="37"/>
      <c r="OA3118" s="37"/>
      <c r="OB3118" s="37"/>
      <c r="OC3118" s="37"/>
      <c r="OD3118" s="37"/>
      <c r="OE3118" s="37"/>
      <c r="OF3118" s="37"/>
      <c r="OG3118" s="37"/>
      <c r="OH3118" s="37"/>
      <c r="OI3118" s="37"/>
      <c r="OJ3118" s="37"/>
      <c r="OK3118" s="37"/>
      <c r="OL3118" s="37"/>
      <c r="OM3118" s="37"/>
      <c r="ON3118" s="37"/>
      <c r="OO3118" s="37"/>
      <c r="OP3118" s="37"/>
      <c r="OQ3118" s="37"/>
      <c r="OR3118" s="37"/>
      <c r="OS3118" s="37"/>
      <c r="OT3118" s="37"/>
      <c r="OU3118" s="37"/>
      <c r="OV3118" s="37"/>
      <c r="OW3118" s="37"/>
      <c r="OX3118" s="37"/>
      <c r="OY3118" s="37"/>
      <c r="OZ3118" s="37"/>
      <c r="PA3118" s="37"/>
      <c r="PB3118" s="37"/>
      <c r="PC3118" s="37"/>
      <c r="PD3118" s="37"/>
      <c r="PE3118" s="37"/>
      <c r="PF3118" s="37"/>
      <c r="PG3118" s="37"/>
      <c r="PH3118" s="37"/>
      <c r="PI3118" s="37"/>
      <c r="PJ3118" s="37"/>
      <c r="PK3118" s="37"/>
      <c r="PL3118" s="37"/>
      <c r="PM3118" s="37"/>
      <c r="PN3118" s="37"/>
      <c r="PO3118" s="37"/>
      <c r="PP3118" s="37"/>
      <c r="PQ3118" s="37"/>
      <c r="PR3118" s="37"/>
      <c r="PS3118" s="37"/>
      <c r="PT3118" s="37"/>
      <c r="PU3118" s="37"/>
      <c r="PV3118" s="37"/>
      <c r="PW3118" s="37"/>
      <c r="PX3118" s="37"/>
      <c r="PY3118" s="37"/>
      <c r="PZ3118" s="37"/>
      <c r="QA3118" s="37"/>
      <c r="QB3118" s="37"/>
      <c r="QC3118" s="37"/>
      <c r="QD3118" s="37"/>
      <c r="QE3118" s="37"/>
      <c r="QF3118" s="37"/>
      <c r="QG3118" s="37"/>
      <c r="QH3118" s="37"/>
      <c r="QI3118" s="37"/>
      <c r="QJ3118" s="37"/>
      <c r="QK3118" s="37"/>
      <c r="QL3118" s="37"/>
      <c r="QM3118" s="37"/>
      <c r="QN3118" s="37"/>
      <c r="QO3118" s="37"/>
      <c r="QP3118" s="37"/>
      <c r="QQ3118" s="37"/>
      <c r="QR3118" s="37"/>
      <c r="QS3118" s="37"/>
      <c r="QT3118" s="37"/>
      <c r="QU3118" s="37"/>
      <c r="QV3118" s="37"/>
      <c r="QW3118" s="37"/>
      <c r="QX3118" s="37"/>
      <c r="QY3118" s="37"/>
      <c r="QZ3118" s="37"/>
      <c r="RA3118" s="37"/>
      <c r="RB3118" s="37"/>
      <c r="RC3118" s="37"/>
      <c r="RD3118" s="37"/>
      <c r="RE3118" s="37"/>
      <c r="RF3118" s="37"/>
      <c r="RG3118" s="37"/>
      <c r="RH3118" s="37"/>
      <c r="RI3118" s="37"/>
      <c r="RJ3118" s="37"/>
      <c r="RK3118" s="37"/>
      <c r="RL3118" s="37"/>
      <c r="RM3118" s="37"/>
      <c r="RN3118" s="37"/>
      <c r="RO3118" s="37"/>
      <c r="RP3118" s="37"/>
      <c r="RQ3118" s="37"/>
      <c r="RR3118" s="37"/>
      <c r="RS3118" s="37"/>
      <c r="RT3118" s="37"/>
      <c r="RU3118" s="37"/>
      <c r="RV3118" s="37"/>
      <c r="RW3118" s="37"/>
      <c r="RX3118" s="37"/>
      <c r="RY3118" s="37"/>
      <c r="RZ3118" s="37"/>
      <c r="SA3118" s="37"/>
      <c r="SB3118" s="37"/>
      <c r="SC3118" s="37"/>
      <c r="SD3118" s="37"/>
      <c r="SE3118" s="37"/>
      <c r="SF3118" s="37"/>
    </row>
    <row r="3119" spans="1:500">
      <c r="A3119" s="37"/>
      <c r="B3119" s="37"/>
      <c r="C3119" s="37"/>
      <c r="D3119" s="37"/>
      <c r="E3119" s="37"/>
      <c r="F3119" s="37"/>
      <c r="G3119" s="37"/>
      <c r="H3119" s="37"/>
      <c r="I3119" s="37"/>
      <c r="J3119" s="37"/>
      <c r="K3119" s="37"/>
      <c r="L3119" s="37"/>
      <c r="M3119" s="37"/>
      <c r="N3119" s="37"/>
      <c r="O3119" s="37"/>
      <c r="P3119" s="37"/>
      <c r="Q3119" s="37"/>
      <c r="R3119" s="37"/>
      <c r="S3119" s="37"/>
      <c r="T3119" s="37"/>
      <c r="U3119" s="37"/>
      <c r="V3119" s="37"/>
      <c r="W3119" s="37"/>
      <c r="X3119" s="37"/>
      <c r="Y3119" s="37"/>
      <c r="Z3119" s="37"/>
      <c r="AA3119" s="37"/>
      <c r="AB3119" s="37"/>
      <c r="AC3119" s="37"/>
      <c r="AD3119" s="37"/>
      <c r="AE3119" s="37"/>
      <c r="AF3119" s="37"/>
      <c r="AG3119" s="37"/>
      <c r="AH3119" s="37"/>
      <c r="AI3119" s="37"/>
      <c r="AJ3119" s="37"/>
      <c r="AK3119" s="37"/>
      <c r="AL3119" s="37"/>
      <c r="AM3119" s="37"/>
      <c r="AN3119" s="37"/>
      <c r="AO3119" s="37"/>
      <c r="AP3119" s="37"/>
      <c r="AQ3119" s="37"/>
      <c r="AR3119" s="37"/>
      <c r="AS3119" s="37"/>
      <c r="AT3119" s="37"/>
      <c r="AU3119" s="37"/>
      <c r="AV3119" s="37"/>
      <c r="AW3119" s="37"/>
      <c r="AX3119" s="37"/>
      <c r="AY3119" s="37"/>
      <c r="AZ3119" s="37"/>
      <c r="BA3119" s="37"/>
      <c r="BB3119" s="37"/>
      <c r="BC3119" s="37"/>
      <c r="BD3119" s="37"/>
      <c r="BE3119" s="37"/>
      <c r="BF3119" s="37"/>
      <c r="BG3119" s="37"/>
      <c r="BH3119" s="37"/>
      <c r="BI3119" s="37"/>
      <c r="BJ3119" s="37"/>
      <c r="BK3119" s="37"/>
      <c r="BL3119" s="37"/>
      <c r="BM3119" s="37"/>
      <c r="BN3119" s="37"/>
      <c r="BO3119" s="37"/>
      <c r="BP3119" s="37"/>
      <c r="BQ3119" s="37"/>
      <c r="BR3119" s="37"/>
      <c r="BS3119" s="37"/>
      <c r="BT3119" s="37"/>
      <c r="BU3119" s="37"/>
      <c r="BV3119" s="37"/>
      <c r="BW3119" s="37"/>
      <c r="BX3119" s="37"/>
      <c r="BY3119" s="37"/>
      <c r="BZ3119" s="37"/>
      <c r="CA3119" s="37"/>
      <c r="CB3119" s="37"/>
      <c r="CC3119" s="37"/>
      <c r="CD3119" s="37"/>
      <c r="CE3119" s="37"/>
      <c r="CF3119" s="37"/>
      <c r="CG3119" s="37"/>
      <c r="CH3119" s="37"/>
      <c r="CI3119" s="37"/>
      <c r="CJ3119" s="37"/>
      <c r="CK3119" s="37"/>
      <c r="CL3119" s="37"/>
      <c r="CM3119" s="37"/>
      <c r="CN3119" s="37"/>
      <c r="CO3119" s="37"/>
      <c r="CP3119" s="37"/>
      <c r="CQ3119" s="37"/>
      <c r="CR3119" s="37"/>
      <c r="CS3119" s="37"/>
      <c r="CT3119" s="37"/>
      <c r="CU3119" s="37"/>
      <c r="CV3119" s="37"/>
      <c r="CW3119" s="37"/>
      <c r="CX3119" s="37"/>
      <c r="CY3119" s="37"/>
      <c r="CZ3119" s="37"/>
      <c r="DA3119" s="37"/>
      <c r="DB3119" s="37"/>
      <c r="DC3119" s="37"/>
      <c r="DD3119" s="37"/>
      <c r="DE3119" s="37"/>
      <c r="DF3119" s="37"/>
      <c r="DG3119" s="37"/>
      <c r="DH3119" s="37"/>
      <c r="DI3119" s="37"/>
      <c r="DJ3119" s="37"/>
      <c r="DK3119" s="37"/>
      <c r="DL3119" s="37"/>
      <c r="DM3119" s="37"/>
      <c r="DN3119" s="37"/>
      <c r="DO3119" s="37"/>
      <c r="DP3119" s="37"/>
      <c r="DQ3119" s="37"/>
      <c r="DR3119" s="37"/>
      <c r="DS3119" s="37"/>
      <c r="DT3119" s="37"/>
      <c r="DU3119" s="37"/>
      <c r="DV3119" s="37"/>
      <c r="DW3119" s="37"/>
      <c r="DX3119" s="37"/>
      <c r="DY3119" s="37"/>
      <c r="DZ3119" s="37"/>
      <c r="EA3119" s="37"/>
      <c r="EB3119" s="37"/>
      <c r="EC3119" s="37"/>
      <c r="ED3119" s="37"/>
      <c r="EE3119" s="37"/>
      <c r="EF3119" s="37"/>
      <c r="EG3119" s="37"/>
      <c r="EH3119" s="37"/>
      <c r="EI3119" s="37"/>
      <c r="EJ3119" s="37"/>
      <c r="EK3119" s="37"/>
      <c r="EL3119" s="37"/>
      <c r="EM3119" s="37"/>
      <c r="EN3119" s="37"/>
      <c r="EO3119" s="37"/>
      <c r="EP3119" s="37"/>
      <c r="EQ3119" s="37"/>
      <c r="ER3119" s="37"/>
      <c r="ES3119" s="37"/>
      <c r="ET3119" s="37"/>
      <c r="EU3119" s="37"/>
      <c r="EV3119" s="37"/>
      <c r="EW3119" s="37"/>
      <c r="EX3119" s="37"/>
      <c r="EY3119" s="37"/>
      <c r="EZ3119" s="37"/>
      <c r="FA3119" s="37"/>
      <c r="FB3119" s="37"/>
      <c r="FC3119" s="37"/>
      <c r="FD3119" s="37"/>
      <c r="FE3119" s="37"/>
      <c r="FF3119" s="37"/>
      <c r="FG3119" s="37"/>
      <c r="FH3119" s="37"/>
      <c r="FI3119" s="37"/>
      <c r="FJ3119" s="37"/>
      <c r="FK3119" s="37"/>
      <c r="FL3119" s="37"/>
      <c r="FM3119" s="37"/>
      <c r="FN3119" s="37"/>
      <c r="FO3119" s="37"/>
      <c r="FP3119" s="37"/>
      <c r="FQ3119" s="37"/>
      <c r="FR3119" s="37"/>
      <c r="FS3119" s="37"/>
      <c r="FT3119" s="37"/>
      <c r="FU3119" s="37"/>
      <c r="FV3119" s="37"/>
      <c r="FW3119" s="37"/>
      <c r="FX3119" s="37"/>
      <c r="FY3119" s="37"/>
      <c r="FZ3119" s="37"/>
      <c r="GA3119" s="37"/>
      <c r="GB3119" s="37"/>
      <c r="GC3119" s="37"/>
      <c r="GD3119" s="37"/>
      <c r="GE3119" s="37"/>
      <c r="GF3119" s="37"/>
      <c r="GG3119" s="37"/>
      <c r="GH3119" s="37"/>
      <c r="GI3119" s="37"/>
      <c r="GJ3119" s="37"/>
      <c r="GK3119" s="37"/>
      <c r="GL3119" s="37"/>
      <c r="GM3119" s="37"/>
      <c r="GN3119" s="37"/>
      <c r="GO3119" s="37"/>
      <c r="GP3119" s="37"/>
      <c r="GQ3119" s="37"/>
      <c r="GR3119" s="37"/>
      <c r="GS3119" s="37"/>
      <c r="GT3119" s="37"/>
      <c r="GU3119" s="37"/>
      <c r="GV3119" s="37"/>
      <c r="GW3119" s="37"/>
      <c r="GX3119" s="37"/>
      <c r="GY3119" s="37"/>
      <c r="GZ3119" s="37"/>
      <c r="HA3119" s="37"/>
      <c r="HB3119" s="37"/>
      <c r="HC3119" s="37"/>
      <c r="HD3119" s="37"/>
      <c r="HE3119" s="37"/>
      <c r="HF3119" s="37"/>
      <c r="HG3119" s="37"/>
      <c r="HH3119" s="37"/>
      <c r="HI3119" s="37"/>
      <c r="HJ3119" s="37"/>
      <c r="HK3119" s="37"/>
      <c r="HL3119" s="37"/>
      <c r="HM3119" s="37"/>
      <c r="HN3119" s="37"/>
      <c r="HO3119" s="37"/>
      <c r="HP3119" s="37"/>
      <c r="HQ3119" s="37"/>
      <c r="HR3119" s="37"/>
      <c r="HS3119" s="37"/>
      <c r="HT3119" s="37"/>
      <c r="HU3119" s="37"/>
      <c r="HV3119" s="37"/>
      <c r="HW3119" s="37"/>
      <c r="HX3119" s="37"/>
      <c r="HY3119" s="37"/>
      <c r="HZ3119" s="37"/>
      <c r="IA3119" s="37"/>
      <c r="IB3119" s="37"/>
      <c r="IC3119" s="37"/>
      <c r="ID3119" s="37"/>
      <c r="IE3119" s="37"/>
      <c r="IF3119" s="37"/>
      <c r="IG3119" s="37"/>
      <c r="IH3119" s="37"/>
      <c r="II3119" s="37"/>
      <c r="IJ3119" s="37"/>
      <c r="IK3119" s="37"/>
      <c r="IL3119" s="37"/>
      <c r="IM3119" s="37"/>
      <c r="IN3119" s="37"/>
      <c r="IO3119" s="37"/>
      <c r="IP3119" s="37"/>
      <c r="IQ3119" s="37"/>
      <c r="IR3119" s="37"/>
      <c r="IS3119" s="37"/>
      <c r="IT3119" s="37"/>
      <c r="IU3119" s="37"/>
      <c r="IV3119" s="37"/>
      <c r="IW3119" s="37"/>
      <c r="IX3119" s="37"/>
      <c r="IY3119" s="37"/>
      <c r="IZ3119" s="37"/>
      <c r="JA3119" s="37"/>
      <c r="JB3119" s="37"/>
      <c r="JC3119" s="37"/>
      <c r="JD3119" s="37"/>
      <c r="JE3119" s="37"/>
      <c r="JF3119" s="37"/>
      <c r="JG3119" s="37"/>
      <c r="JH3119" s="37"/>
      <c r="JI3119" s="37"/>
      <c r="JJ3119" s="37"/>
      <c r="JK3119" s="37"/>
      <c r="JL3119" s="37"/>
      <c r="JM3119" s="37"/>
      <c r="JN3119" s="37"/>
      <c r="JO3119" s="37"/>
      <c r="JP3119" s="37"/>
      <c r="JQ3119" s="37"/>
      <c r="JR3119" s="37"/>
      <c r="JS3119" s="37"/>
      <c r="JT3119" s="37"/>
      <c r="JU3119" s="37"/>
      <c r="JV3119" s="37"/>
      <c r="JW3119" s="37"/>
      <c r="JX3119" s="37"/>
      <c r="JY3119" s="37"/>
      <c r="JZ3119" s="37"/>
      <c r="KA3119" s="37"/>
      <c r="KB3119" s="37"/>
      <c r="KC3119" s="37"/>
      <c r="KD3119" s="37"/>
      <c r="KE3119" s="37"/>
      <c r="KF3119" s="37"/>
      <c r="KG3119" s="37"/>
      <c r="KH3119" s="37"/>
      <c r="KI3119" s="37"/>
      <c r="KJ3119" s="37"/>
      <c r="KK3119" s="37"/>
      <c r="KL3119" s="37"/>
      <c r="KM3119" s="37"/>
      <c r="KN3119" s="37"/>
      <c r="KO3119" s="37"/>
      <c r="KP3119" s="37"/>
      <c r="KQ3119" s="37"/>
      <c r="KR3119" s="37"/>
      <c r="KS3119" s="37"/>
      <c r="KT3119" s="37"/>
      <c r="KU3119" s="37"/>
      <c r="KV3119" s="37"/>
      <c r="KW3119" s="37"/>
      <c r="KX3119" s="37"/>
      <c r="KY3119" s="37"/>
      <c r="KZ3119" s="37"/>
      <c r="LA3119" s="37"/>
      <c r="LB3119" s="37"/>
      <c r="LC3119" s="37"/>
      <c r="LD3119" s="37"/>
      <c r="LE3119" s="37"/>
      <c r="LF3119" s="37"/>
      <c r="LG3119" s="37"/>
      <c r="LH3119" s="37"/>
      <c r="LI3119" s="37"/>
      <c r="LJ3119" s="37"/>
      <c r="LK3119" s="37"/>
      <c r="LL3119" s="37"/>
      <c r="LM3119" s="37"/>
      <c r="LN3119" s="37"/>
      <c r="LO3119" s="37"/>
      <c r="LP3119" s="37"/>
      <c r="LQ3119" s="37"/>
      <c r="LR3119" s="37"/>
      <c r="LS3119" s="37"/>
      <c r="LT3119" s="37"/>
      <c r="LU3119" s="37"/>
      <c r="LV3119" s="37"/>
      <c r="LW3119" s="37"/>
      <c r="LX3119" s="37"/>
      <c r="LY3119" s="37"/>
      <c r="LZ3119" s="37"/>
      <c r="MA3119" s="37"/>
      <c r="MB3119" s="37"/>
      <c r="MC3119" s="37"/>
      <c r="MD3119" s="37"/>
      <c r="ME3119" s="37"/>
      <c r="MF3119" s="37"/>
      <c r="MG3119" s="37"/>
      <c r="MH3119" s="37"/>
      <c r="MI3119" s="37"/>
      <c r="MJ3119" s="37"/>
      <c r="MK3119" s="37"/>
      <c r="ML3119" s="37"/>
      <c r="MM3119" s="37"/>
      <c r="MN3119" s="37"/>
      <c r="MO3119" s="37"/>
      <c r="MP3119" s="37"/>
      <c r="MQ3119" s="37"/>
      <c r="MR3119" s="37"/>
      <c r="MS3119" s="37"/>
      <c r="MT3119" s="37"/>
      <c r="MU3119" s="37"/>
      <c r="MV3119" s="37"/>
      <c r="MW3119" s="37"/>
      <c r="MX3119" s="37"/>
      <c r="MY3119" s="37"/>
      <c r="MZ3119" s="37"/>
      <c r="NA3119" s="37"/>
      <c r="NB3119" s="37"/>
      <c r="NC3119" s="37"/>
      <c r="ND3119" s="37"/>
      <c r="NE3119" s="37"/>
      <c r="NF3119" s="37"/>
      <c r="NG3119" s="37"/>
      <c r="NH3119" s="37"/>
      <c r="NI3119" s="37"/>
      <c r="NJ3119" s="37"/>
      <c r="NK3119" s="37"/>
      <c r="NL3119" s="37"/>
      <c r="NM3119" s="37"/>
      <c r="NN3119" s="37"/>
      <c r="NO3119" s="37"/>
      <c r="NP3119" s="37"/>
      <c r="NQ3119" s="37"/>
      <c r="NR3119" s="37"/>
      <c r="NS3119" s="37"/>
      <c r="NT3119" s="37"/>
      <c r="NU3119" s="37"/>
      <c r="NV3119" s="37"/>
      <c r="NW3119" s="37"/>
      <c r="NX3119" s="37"/>
      <c r="NY3119" s="37"/>
      <c r="NZ3119" s="37"/>
      <c r="OA3119" s="37"/>
      <c r="OB3119" s="37"/>
      <c r="OC3119" s="37"/>
      <c r="OD3119" s="37"/>
      <c r="OE3119" s="37"/>
      <c r="OF3119" s="37"/>
      <c r="OG3119" s="37"/>
      <c r="OH3119" s="37"/>
      <c r="OI3119" s="37"/>
      <c r="OJ3119" s="37"/>
      <c r="OK3119" s="37"/>
      <c r="OL3119" s="37"/>
      <c r="OM3119" s="37"/>
      <c r="ON3119" s="37"/>
      <c r="OO3119" s="37"/>
      <c r="OP3119" s="37"/>
      <c r="OQ3119" s="37"/>
      <c r="OR3119" s="37"/>
      <c r="OS3119" s="37"/>
      <c r="OT3119" s="37"/>
      <c r="OU3119" s="37"/>
      <c r="OV3119" s="37"/>
      <c r="OW3119" s="37"/>
      <c r="OX3119" s="37"/>
      <c r="OY3119" s="37"/>
      <c r="OZ3119" s="37"/>
      <c r="PA3119" s="37"/>
      <c r="PB3119" s="37"/>
      <c r="PC3119" s="37"/>
      <c r="PD3119" s="37"/>
      <c r="PE3119" s="37"/>
      <c r="PF3119" s="37"/>
      <c r="PG3119" s="37"/>
      <c r="PH3119" s="37"/>
      <c r="PI3119" s="37"/>
      <c r="PJ3119" s="37"/>
      <c r="PK3119" s="37"/>
      <c r="PL3119" s="37"/>
      <c r="PM3119" s="37"/>
      <c r="PN3119" s="37"/>
      <c r="PO3119" s="37"/>
      <c r="PP3119" s="37"/>
      <c r="PQ3119" s="37"/>
      <c r="PR3119" s="37"/>
      <c r="PS3119" s="37"/>
      <c r="PT3119" s="37"/>
      <c r="PU3119" s="37"/>
      <c r="PV3119" s="37"/>
      <c r="PW3119" s="37"/>
      <c r="PX3119" s="37"/>
      <c r="PY3119" s="37"/>
      <c r="PZ3119" s="37"/>
      <c r="QA3119" s="37"/>
      <c r="QB3119" s="37"/>
      <c r="QC3119" s="37"/>
      <c r="QD3119" s="37"/>
      <c r="QE3119" s="37"/>
      <c r="QF3119" s="37"/>
      <c r="QG3119" s="37"/>
      <c r="QH3119" s="37"/>
      <c r="QI3119" s="37"/>
      <c r="QJ3119" s="37"/>
      <c r="QK3119" s="37"/>
      <c r="QL3119" s="37"/>
      <c r="QM3119" s="37"/>
      <c r="QN3119" s="37"/>
      <c r="QO3119" s="37"/>
      <c r="QP3119" s="37"/>
      <c r="QQ3119" s="37"/>
      <c r="QR3119" s="37"/>
      <c r="QS3119" s="37"/>
      <c r="QT3119" s="37"/>
      <c r="QU3119" s="37"/>
      <c r="QV3119" s="37"/>
      <c r="QW3119" s="37"/>
      <c r="QX3119" s="37"/>
      <c r="QY3119" s="37"/>
      <c r="QZ3119" s="37"/>
      <c r="RA3119" s="37"/>
      <c r="RB3119" s="37"/>
      <c r="RC3119" s="37"/>
      <c r="RD3119" s="37"/>
      <c r="RE3119" s="37"/>
      <c r="RF3119" s="37"/>
      <c r="RG3119" s="37"/>
      <c r="RH3119" s="37"/>
      <c r="RI3119" s="37"/>
      <c r="RJ3119" s="37"/>
      <c r="RK3119" s="37"/>
      <c r="RL3119" s="37"/>
      <c r="RM3119" s="37"/>
      <c r="RN3119" s="37"/>
      <c r="RO3119" s="37"/>
      <c r="RP3119" s="37"/>
      <c r="RQ3119" s="37"/>
      <c r="RR3119" s="37"/>
      <c r="RS3119" s="37"/>
      <c r="RT3119" s="37"/>
      <c r="RU3119" s="37"/>
      <c r="RV3119" s="37"/>
      <c r="RW3119" s="37"/>
      <c r="RX3119" s="37"/>
      <c r="RY3119" s="37"/>
      <c r="RZ3119" s="37"/>
      <c r="SA3119" s="37"/>
      <c r="SB3119" s="37"/>
      <c r="SC3119" s="37"/>
      <c r="SD3119" s="37"/>
      <c r="SE3119" s="37"/>
      <c r="SF3119" s="37"/>
    </row>
    <row r="3120" spans="1:500">
      <c r="A3120" s="37"/>
      <c r="B3120" s="37"/>
      <c r="C3120" s="37"/>
      <c r="D3120" s="37"/>
      <c r="E3120" s="37"/>
      <c r="F3120" s="37"/>
      <c r="G3120" s="37"/>
      <c r="H3120" s="37"/>
      <c r="I3120" s="37"/>
      <c r="J3120" s="37"/>
      <c r="K3120" s="37"/>
      <c r="L3120" s="37"/>
      <c r="M3120" s="37"/>
      <c r="N3120" s="37"/>
      <c r="O3120" s="37"/>
      <c r="P3120" s="37"/>
      <c r="Q3120" s="37"/>
      <c r="R3120" s="37"/>
      <c r="S3120" s="37"/>
      <c r="T3120" s="37"/>
      <c r="U3120" s="37"/>
      <c r="V3120" s="37"/>
      <c r="W3120" s="37"/>
      <c r="X3120" s="37"/>
      <c r="Y3120" s="37"/>
      <c r="Z3120" s="37"/>
      <c r="AA3120" s="37"/>
      <c r="AB3120" s="37"/>
      <c r="AC3120" s="37"/>
      <c r="AD3120" s="37"/>
      <c r="AE3120" s="37"/>
      <c r="AF3120" s="37"/>
      <c r="AG3120" s="37"/>
      <c r="AH3120" s="37"/>
      <c r="AI3120" s="37"/>
      <c r="AJ3120" s="37"/>
      <c r="AK3120" s="37"/>
      <c r="AL3120" s="37"/>
      <c r="AM3120" s="37"/>
      <c r="AN3120" s="37"/>
      <c r="AO3120" s="37"/>
      <c r="AP3120" s="37"/>
      <c r="AQ3120" s="37"/>
      <c r="AR3120" s="37"/>
      <c r="AS3120" s="37"/>
      <c r="AT3120" s="37"/>
      <c r="AU3120" s="37"/>
      <c r="AV3120" s="37"/>
      <c r="AW3120" s="37"/>
      <c r="AX3120" s="37"/>
      <c r="AY3120" s="37"/>
      <c r="AZ3120" s="37"/>
      <c r="BA3120" s="37"/>
      <c r="BB3120" s="37"/>
      <c r="BC3120" s="37"/>
      <c r="BD3120" s="37"/>
      <c r="BE3120" s="37"/>
      <c r="BF3120" s="37"/>
      <c r="BG3120" s="37"/>
      <c r="BH3120" s="37"/>
      <c r="BI3120" s="37"/>
      <c r="BJ3120" s="37"/>
      <c r="BK3120" s="37"/>
      <c r="BL3120" s="37"/>
      <c r="BM3120" s="37"/>
      <c r="BN3120" s="37"/>
      <c r="BO3120" s="37"/>
      <c r="BP3120" s="37"/>
      <c r="BQ3120" s="37"/>
      <c r="BR3120" s="37"/>
      <c r="BS3120" s="37"/>
      <c r="BT3120" s="37"/>
      <c r="BU3120" s="37"/>
      <c r="BV3120" s="37"/>
      <c r="BW3120" s="37"/>
      <c r="BX3120" s="37"/>
      <c r="BY3120" s="37"/>
      <c r="BZ3120" s="37"/>
      <c r="CA3120" s="37"/>
      <c r="CB3120" s="37"/>
      <c r="CC3120" s="37"/>
      <c r="CD3120" s="37"/>
      <c r="CE3120" s="37"/>
      <c r="CF3120" s="37"/>
      <c r="CG3120" s="37"/>
      <c r="CH3120" s="37"/>
      <c r="CI3120" s="37"/>
      <c r="CJ3120" s="37"/>
      <c r="CK3120" s="37"/>
      <c r="CL3120" s="37"/>
      <c r="CM3120" s="37"/>
      <c r="CN3120" s="37"/>
      <c r="CO3120" s="37"/>
      <c r="CP3120" s="37"/>
      <c r="CQ3120" s="37"/>
      <c r="CR3120" s="37"/>
      <c r="CS3120" s="37"/>
      <c r="CT3120" s="37"/>
      <c r="CU3120" s="37"/>
      <c r="CV3120" s="37"/>
      <c r="CW3120" s="37"/>
      <c r="CX3120" s="37"/>
      <c r="CY3120" s="37"/>
      <c r="CZ3120" s="37"/>
      <c r="DA3120" s="37"/>
      <c r="DB3120" s="37"/>
      <c r="DC3120" s="37"/>
      <c r="DD3120" s="37"/>
      <c r="DE3120" s="37"/>
      <c r="DF3120" s="37"/>
      <c r="DG3120" s="37"/>
      <c r="DH3120" s="37"/>
      <c r="DI3120" s="37"/>
      <c r="DJ3120" s="37"/>
      <c r="DK3120" s="37"/>
      <c r="DL3120" s="37"/>
      <c r="DM3120" s="37"/>
      <c r="DN3120" s="37"/>
      <c r="DO3120" s="37"/>
      <c r="DP3120" s="37"/>
      <c r="DQ3120" s="37"/>
      <c r="DR3120" s="37"/>
      <c r="DS3120" s="37"/>
      <c r="DT3120" s="37"/>
      <c r="DU3120" s="37"/>
      <c r="DV3120" s="37"/>
      <c r="DW3120" s="37"/>
      <c r="DX3120" s="37"/>
      <c r="DY3120" s="37"/>
      <c r="DZ3120" s="37"/>
      <c r="EA3120" s="37"/>
      <c r="EB3120" s="37"/>
      <c r="EC3120" s="37"/>
      <c r="ED3120" s="37"/>
      <c r="EE3120" s="37"/>
      <c r="EF3120" s="37"/>
      <c r="EG3120" s="37"/>
      <c r="EH3120" s="37"/>
      <c r="EI3120" s="37"/>
      <c r="EJ3120" s="37"/>
      <c r="EK3120" s="37"/>
      <c r="EL3120" s="37"/>
      <c r="EM3120" s="37"/>
      <c r="EN3120" s="37"/>
      <c r="EO3120" s="37"/>
      <c r="EP3120" s="37"/>
      <c r="EQ3120" s="37"/>
      <c r="ER3120" s="37"/>
      <c r="ES3120" s="37"/>
      <c r="ET3120" s="37"/>
      <c r="EU3120" s="37"/>
      <c r="EV3120" s="37"/>
      <c r="EW3120" s="37"/>
      <c r="EX3120" s="37"/>
      <c r="EY3120" s="37"/>
      <c r="EZ3120" s="37"/>
      <c r="FA3120" s="37"/>
      <c r="FB3120" s="37"/>
      <c r="FC3120" s="37"/>
      <c r="FD3120" s="37"/>
      <c r="FE3120" s="37"/>
      <c r="FF3120" s="37"/>
      <c r="FG3120" s="37"/>
      <c r="FH3120" s="37"/>
      <c r="FI3120" s="37"/>
      <c r="FJ3120" s="37"/>
      <c r="FK3120" s="37"/>
      <c r="FL3120" s="37"/>
      <c r="FM3120" s="37"/>
      <c r="FN3120" s="37"/>
      <c r="FO3120" s="37"/>
      <c r="FP3120" s="37"/>
      <c r="FQ3120" s="37"/>
      <c r="FR3120" s="37"/>
      <c r="FS3120" s="37"/>
      <c r="FT3120" s="37"/>
      <c r="FU3120" s="37"/>
      <c r="FV3120" s="37"/>
      <c r="FW3120" s="37"/>
      <c r="FX3120" s="37"/>
      <c r="FY3120" s="37"/>
      <c r="FZ3120" s="37"/>
      <c r="GA3120" s="37"/>
      <c r="GB3120" s="37"/>
      <c r="GC3120" s="37"/>
      <c r="GD3120" s="37"/>
      <c r="GE3120" s="37"/>
      <c r="GF3120" s="37"/>
      <c r="GG3120" s="37"/>
      <c r="GH3120" s="37"/>
      <c r="GI3120" s="37"/>
      <c r="GJ3120" s="37"/>
      <c r="GK3120" s="37"/>
      <c r="GL3120" s="37"/>
      <c r="GM3120" s="37"/>
      <c r="GN3120" s="37"/>
      <c r="GO3120" s="37"/>
      <c r="GP3120" s="37"/>
      <c r="GQ3120" s="37"/>
      <c r="GR3120" s="37"/>
      <c r="GS3120" s="37"/>
      <c r="GT3120" s="37"/>
      <c r="GU3120" s="37"/>
      <c r="GV3120" s="37"/>
      <c r="GW3120" s="37"/>
      <c r="GX3120" s="37"/>
      <c r="GY3120" s="37"/>
      <c r="GZ3120" s="37"/>
      <c r="HA3120" s="37"/>
      <c r="HB3120" s="37"/>
      <c r="HC3120" s="37"/>
      <c r="HD3120" s="37"/>
      <c r="HE3120" s="37"/>
      <c r="HF3120" s="37"/>
      <c r="HG3120" s="37"/>
      <c r="HH3120" s="37"/>
      <c r="HI3120" s="37"/>
      <c r="HJ3120" s="37"/>
      <c r="HK3120" s="37"/>
      <c r="HL3120" s="37"/>
      <c r="HM3120" s="37"/>
      <c r="HN3120" s="37"/>
      <c r="HO3120" s="37"/>
      <c r="HP3120" s="37"/>
      <c r="HQ3120" s="37"/>
      <c r="HR3120" s="37"/>
      <c r="HS3120" s="37"/>
      <c r="HT3120" s="37"/>
      <c r="HU3120" s="37"/>
      <c r="HV3120" s="37"/>
      <c r="HW3120" s="37"/>
      <c r="HX3120" s="37"/>
      <c r="HY3120" s="37"/>
      <c r="HZ3120" s="37"/>
      <c r="IA3120" s="37"/>
      <c r="IB3120" s="37"/>
      <c r="IC3120" s="37"/>
      <c r="ID3120" s="37"/>
      <c r="IE3120" s="37"/>
      <c r="IF3120" s="37"/>
      <c r="IG3120" s="37"/>
      <c r="IH3120" s="37"/>
      <c r="II3120" s="37"/>
      <c r="IJ3120" s="37"/>
      <c r="IK3120" s="37"/>
      <c r="IL3120" s="37"/>
      <c r="IM3120" s="37"/>
      <c r="IN3120" s="37"/>
      <c r="IO3120" s="37"/>
      <c r="IP3120" s="37"/>
      <c r="IQ3120" s="37"/>
      <c r="IR3120" s="37"/>
      <c r="IS3120" s="37"/>
      <c r="IT3120" s="37"/>
      <c r="IU3120" s="37"/>
      <c r="IV3120" s="37"/>
      <c r="IW3120" s="37"/>
      <c r="IX3120" s="37"/>
      <c r="IY3120" s="37"/>
      <c r="IZ3120" s="37"/>
      <c r="JA3120" s="37"/>
      <c r="JB3120" s="37"/>
      <c r="JC3120" s="37"/>
      <c r="JD3120" s="37"/>
      <c r="JE3120" s="37"/>
      <c r="JF3120" s="37"/>
      <c r="JG3120" s="37"/>
      <c r="JH3120" s="37"/>
      <c r="JI3120" s="37"/>
      <c r="JJ3120" s="37"/>
      <c r="JK3120" s="37"/>
      <c r="JL3120" s="37"/>
      <c r="JM3120" s="37"/>
      <c r="JN3120" s="37"/>
      <c r="JO3120" s="37"/>
      <c r="JP3120" s="37"/>
      <c r="JQ3120" s="37"/>
      <c r="JR3120" s="37"/>
      <c r="JS3120" s="37"/>
      <c r="JT3120" s="37"/>
      <c r="JU3120" s="37"/>
      <c r="JV3120" s="37"/>
      <c r="JW3120" s="37"/>
      <c r="JX3120" s="37"/>
      <c r="JY3120" s="37"/>
      <c r="JZ3120" s="37"/>
      <c r="KA3120" s="37"/>
      <c r="KB3120" s="37"/>
      <c r="KC3120" s="37"/>
      <c r="KD3120" s="37"/>
      <c r="KE3120" s="37"/>
      <c r="KF3120" s="37"/>
      <c r="KG3120" s="37"/>
      <c r="KH3120" s="37"/>
      <c r="KI3120" s="37"/>
      <c r="KJ3120" s="37"/>
      <c r="KK3120" s="37"/>
      <c r="KL3120" s="37"/>
      <c r="KM3120" s="37"/>
      <c r="KN3120" s="37"/>
      <c r="KO3120" s="37"/>
      <c r="KP3120" s="37"/>
      <c r="KQ3120" s="37"/>
      <c r="KR3120" s="37"/>
      <c r="KS3120" s="37"/>
      <c r="KT3120" s="37"/>
      <c r="KU3120" s="37"/>
      <c r="KV3120" s="37"/>
      <c r="KW3120" s="37"/>
      <c r="KX3120" s="37"/>
      <c r="KY3120" s="37"/>
      <c r="KZ3120" s="37"/>
      <c r="LA3120" s="37"/>
      <c r="LB3120" s="37"/>
      <c r="LC3120" s="37"/>
      <c r="LD3120" s="37"/>
      <c r="LE3120" s="37"/>
      <c r="LF3120" s="37"/>
      <c r="LG3120" s="37"/>
      <c r="LH3120" s="37"/>
      <c r="LI3120" s="37"/>
      <c r="LJ3120" s="37"/>
      <c r="LK3120" s="37"/>
      <c r="LL3120" s="37"/>
      <c r="LM3120" s="37"/>
      <c r="LN3120" s="37"/>
      <c r="LO3120" s="37"/>
      <c r="LP3120" s="37"/>
      <c r="LQ3120" s="37"/>
      <c r="LR3120" s="37"/>
      <c r="LS3120" s="37"/>
      <c r="LT3120" s="37"/>
      <c r="LU3120" s="37"/>
      <c r="LV3120" s="37"/>
      <c r="LW3120" s="37"/>
      <c r="LX3120" s="37"/>
      <c r="LY3120" s="37"/>
      <c r="LZ3120" s="37"/>
      <c r="MA3120" s="37"/>
      <c r="MB3120" s="37"/>
      <c r="MC3120" s="37"/>
      <c r="MD3120" s="37"/>
      <c r="ME3120" s="37"/>
      <c r="MF3120" s="37"/>
      <c r="MG3120" s="37"/>
      <c r="MH3120" s="37"/>
      <c r="MI3120" s="37"/>
      <c r="MJ3120" s="37"/>
      <c r="MK3120" s="37"/>
      <c r="ML3120" s="37"/>
      <c r="MM3120" s="37"/>
      <c r="MN3120" s="37"/>
      <c r="MO3120" s="37"/>
      <c r="MP3120" s="37"/>
      <c r="MQ3120" s="37"/>
      <c r="MR3120" s="37"/>
      <c r="MS3120" s="37"/>
      <c r="MT3120" s="37"/>
      <c r="MU3120" s="37"/>
      <c r="MV3120" s="37"/>
      <c r="MW3120" s="37"/>
      <c r="MX3120" s="37"/>
      <c r="MY3120" s="37"/>
      <c r="MZ3120" s="37"/>
      <c r="NA3120" s="37"/>
      <c r="NB3120" s="37"/>
      <c r="NC3120" s="37"/>
      <c r="ND3120" s="37"/>
      <c r="NE3120" s="37"/>
      <c r="NF3120" s="37"/>
      <c r="NG3120" s="37"/>
      <c r="NH3120" s="37"/>
      <c r="NI3120" s="37"/>
      <c r="NJ3120" s="37"/>
      <c r="NK3120" s="37"/>
      <c r="NL3120" s="37"/>
      <c r="NM3120" s="37"/>
      <c r="NN3120" s="37"/>
      <c r="NO3120" s="37"/>
      <c r="NP3120" s="37"/>
      <c r="NQ3120" s="37"/>
      <c r="NR3120" s="37"/>
      <c r="NS3120" s="37"/>
      <c r="NT3120" s="37"/>
      <c r="NU3120" s="37"/>
      <c r="NV3120" s="37"/>
      <c r="NW3120" s="37"/>
      <c r="NX3120" s="37"/>
      <c r="NY3120" s="37"/>
      <c r="NZ3120" s="37"/>
      <c r="OA3120" s="37"/>
      <c r="OB3120" s="37"/>
      <c r="OC3120" s="37"/>
      <c r="OD3120" s="37"/>
      <c r="OE3120" s="37"/>
      <c r="OF3120" s="37"/>
      <c r="OG3120" s="37"/>
      <c r="OH3120" s="37"/>
      <c r="OI3120" s="37"/>
      <c r="OJ3120" s="37"/>
      <c r="OK3120" s="37"/>
      <c r="OL3120" s="37"/>
      <c r="OM3120" s="37"/>
      <c r="ON3120" s="37"/>
      <c r="OO3120" s="37"/>
      <c r="OP3120" s="37"/>
      <c r="OQ3120" s="37"/>
      <c r="OR3120" s="37"/>
      <c r="OS3120" s="37"/>
      <c r="OT3120" s="37"/>
      <c r="OU3120" s="37"/>
      <c r="OV3120" s="37"/>
      <c r="OW3120" s="37"/>
      <c r="OX3120" s="37"/>
      <c r="OY3120" s="37"/>
      <c r="OZ3120" s="37"/>
      <c r="PA3120" s="37"/>
      <c r="PB3120" s="37"/>
      <c r="PC3120" s="37"/>
      <c r="PD3120" s="37"/>
      <c r="PE3120" s="37"/>
      <c r="PF3120" s="37"/>
      <c r="PG3120" s="37"/>
      <c r="PH3120" s="37"/>
      <c r="PI3120" s="37"/>
      <c r="PJ3120" s="37"/>
      <c r="PK3120" s="37"/>
      <c r="PL3120" s="37"/>
      <c r="PM3120" s="37"/>
      <c r="PN3120" s="37"/>
      <c r="PO3120" s="37"/>
      <c r="PP3120" s="37"/>
      <c r="PQ3120" s="37"/>
      <c r="PR3120" s="37"/>
      <c r="PS3120" s="37"/>
      <c r="PT3120" s="37"/>
      <c r="PU3120" s="37"/>
      <c r="PV3120" s="37"/>
      <c r="PW3120" s="37"/>
      <c r="PX3120" s="37"/>
      <c r="PY3120" s="37"/>
      <c r="PZ3120" s="37"/>
      <c r="QA3120" s="37"/>
      <c r="QB3120" s="37"/>
      <c r="QC3120" s="37"/>
      <c r="QD3120" s="37"/>
      <c r="QE3120" s="37"/>
      <c r="QF3120" s="37"/>
      <c r="QG3120" s="37"/>
      <c r="QH3120" s="37"/>
      <c r="QI3120" s="37"/>
      <c r="QJ3120" s="37"/>
      <c r="QK3120" s="37"/>
      <c r="QL3120" s="37"/>
      <c r="QM3120" s="37"/>
      <c r="QN3120" s="37"/>
      <c r="QO3120" s="37"/>
      <c r="QP3120" s="37"/>
      <c r="QQ3120" s="37"/>
      <c r="QR3120" s="37"/>
      <c r="QS3120" s="37"/>
      <c r="QT3120" s="37"/>
      <c r="QU3120" s="37"/>
      <c r="QV3120" s="37"/>
      <c r="QW3120" s="37"/>
      <c r="QX3120" s="37"/>
      <c r="QY3120" s="37"/>
      <c r="QZ3120" s="37"/>
      <c r="RA3120" s="37"/>
      <c r="RB3120" s="37"/>
      <c r="RC3120" s="37"/>
      <c r="RD3120" s="37"/>
      <c r="RE3120" s="37"/>
      <c r="RF3120" s="37"/>
      <c r="RG3120" s="37"/>
      <c r="RH3120" s="37"/>
      <c r="RI3120" s="37"/>
      <c r="RJ3120" s="37"/>
      <c r="RK3120" s="37"/>
      <c r="RL3120" s="37"/>
      <c r="RM3120" s="37"/>
      <c r="RN3120" s="37"/>
      <c r="RO3120" s="37"/>
      <c r="RP3120" s="37"/>
      <c r="RQ3120" s="37"/>
      <c r="RR3120" s="37"/>
      <c r="RS3120" s="37"/>
      <c r="RT3120" s="37"/>
      <c r="RU3120" s="37"/>
      <c r="RV3120" s="37"/>
      <c r="RW3120" s="37"/>
      <c r="RX3120" s="37"/>
      <c r="RY3120" s="37"/>
      <c r="RZ3120" s="37"/>
      <c r="SA3120" s="37"/>
      <c r="SB3120" s="37"/>
      <c r="SC3120" s="37"/>
      <c r="SD3120" s="37"/>
      <c r="SE3120" s="37"/>
      <c r="SF3120" s="37"/>
    </row>
    <row r="3121" spans="1:500">
      <c r="A3121" s="37"/>
      <c r="B3121" s="37"/>
      <c r="C3121" s="37"/>
      <c r="D3121" s="37"/>
      <c r="E3121" s="37"/>
      <c r="F3121" s="37"/>
      <c r="G3121" s="37"/>
      <c r="H3121" s="37"/>
      <c r="I3121" s="37"/>
      <c r="J3121" s="37"/>
      <c r="K3121" s="37"/>
      <c r="L3121" s="37"/>
      <c r="M3121" s="37"/>
      <c r="N3121" s="37"/>
      <c r="O3121" s="37"/>
      <c r="P3121" s="37"/>
      <c r="Q3121" s="37"/>
      <c r="R3121" s="37"/>
      <c r="S3121" s="37"/>
      <c r="T3121" s="37"/>
      <c r="U3121" s="37"/>
      <c r="V3121" s="37"/>
      <c r="W3121" s="37"/>
      <c r="X3121" s="37"/>
      <c r="Y3121" s="37"/>
      <c r="Z3121" s="37"/>
      <c r="AA3121" s="37"/>
      <c r="AB3121" s="37"/>
      <c r="AC3121" s="37"/>
      <c r="AD3121" s="37"/>
      <c r="AE3121" s="37"/>
      <c r="AF3121" s="37"/>
      <c r="AG3121" s="37"/>
      <c r="AH3121" s="37"/>
      <c r="AI3121" s="37"/>
      <c r="AJ3121" s="37"/>
      <c r="AK3121" s="37"/>
      <c r="AL3121" s="37"/>
      <c r="AM3121" s="37"/>
      <c r="AN3121" s="37"/>
      <c r="AO3121" s="37"/>
      <c r="AP3121" s="37"/>
      <c r="AQ3121" s="37"/>
      <c r="AR3121" s="37"/>
      <c r="AS3121" s="37"/>
      <c r="AT3121" s="37"/>
      <c r="AU3121" s="37"/>
      <c r="AV3121" s="37"/>
      <c r="AW3121" s="37"/>
      <c r="AX3121" s="37"/>
      <c r="AY3121" s="37"/>
      <c r="AZ3121" s="37"/>
      <c r="BA3121" s="37"/>
      <c r="BB3121" s="37"/>
      <c r="BC3121" s="37"/>
      <c r="BD3121" s="37"/>
      <c r="BE3121" s="37"/>
      <c r="BF3121" s="37"/>
      <c r="BG3121" s="37"/>
      <c r="BH3121" s="37"/>
      <c r="BI3121" s="37"/>
      <c r="BJ3121" s="37"/>
      <c r="BK3121" s="37"/>
      <c r="BL3121" s="37"/>
      <c r="BM3121" s="37"/>
      <c r="BN3121" s="37"/>
      <c r="BO3121" s="37"/>
      <c r="BP3121" s="37"/>
      <c r="BQ3121" s="37"/>
      <c r="BR3121" s="37"/>
      <c r="BS3121" s="37"/>
      <c r="BT3121" s="37"/>
      <c r="BU3121" s="37"/>
      <c r="BV3121" s="37"/>
      <c r="BW3121" s="37"/>
      <c r="BX3121" s="37"/>
      <c r="BY3121" s="37"/>
      <c r="BZ3121" s="37"/>
      <c r="CA3121" s="37"/>
      <c r="CB3121" s="37"/>
      <c r="CC3121" s="37"/>
      <c r="CD3121" s="37"/>
      <c r="CE3121" s="37"/>
      <c r="CF3121" s="37"/>
      <c r="CG3121" s="37"/>
      <c r="CH3121" s="37"/>
      <c r="CI3121" s="37"/>
      <c r="CJ3121" s="37"/>
      <c r="CK3121" s="37"/>
      <c r="CL3121" s="37"/>
      <c r="CM3121" s="37"/>
      <c r="CN3121" s="37"/>
      <c r="CO3121" s="37"/>
      <c r="CP3121" s="37"/>
      <c r="CQ3121" s="37"/>
      <c r="CR3121" s="37"/>
      <c r="CS3121" s="37"/>
      <c r="CT3121" s="37"/>
      <c r="CU3121" s="37"/>
      <c r="CV3121" s="37"/>
      <c r="CW3121" s="37"/>
      <c r="CX3121" s="37"/>
      <c r="CY3121" s="37"/>
      <c r="CZ3121" s="37"/>
      <c r="DA3121" s="37"/>
      <c r="DB3121" s="37"/>
      <c r="DC3121" s="37"/>
      <c r="DD3121" s="37"/>
      <c r="DE3121" s="37"/>
      <c r="DF3121" s="37"/>
      <c r="DG3121" s="37"/>
      <c r="DH3121" s="37"/>
      <c r="DI3121" s="37"/>
      <c r="DJ3121" s="37"/>
      <c r="DK3121" s="37"/>
      <c r="DL3121" s="37"/>
      <c r="DM3121" s="37"/>
      <c r="DN3121" s="37"/>
      <c r="DO3121" s="37"/>
      <c r="DP3121" s="37"/>
      <c r="DQ3121" s="37"/>
      <c r="DR3121" s="37"/>
      <c r="DS3121" s="37"/>
      <c r="DT3121" s="37"/>
      <c r="DU3121" s="37"/>
      <c r="DV3121" s="37"/>
      <c r="DW3121" s="37"/>
      <c r="DX3121" s="37"/>
      <c r="DY3121" s="37"/>
      <c r="DZ3121" s="37"/>
      <c r="EA3121" s="37"/>
      <c r="EB3121" s="37"/>
      <c r="EC3121" s="37"/>
      <c r="ED3121" s="37"/>
      <c r="EE3121" s="37"/>
      <c r="EF3121" s="37"/>
      <c r="EG3121" s="37"/>
      <c r="EH3121" s="37"/>
      <c r="EI3121" s="37"/>
      <c r="EJ3121" s="37"/>
      <c r="EK3121" s="37"/>
      <c r="EL3121" s="37"/>
      <c r="EM3121" s="37"/>
      <c r="EN3121" s="37"/>
      <c r="EO3121" s="37"/>
      <c r="EP3121" s="37"/>
      <c r="EQ3121" s="37"/>
      <c r="ER3121" s="37"/>
      <c r="ES3121" s="37"/>
      <c r="ET3121" s="37"/>
      <c r="EU3121" s="37"/>
      <c r="EV3121" s="37"/>
      <c r="EW3121" s="37"/>
      <c r="EX3121" s="37"/>
      <c r="EY3121" s="37"/>
      <c r="EZ3121" s="37"/>
      <c r="FA3121" s="37"/>
      <c r="FB3121" s="37"/>
      <c r="FC3121" s="37"/>
      <c r="FD3121" s="37"/>
      <c r="FE3121" s="37"/>
      <c r="FF3121" s="37"/>
      <c r="FG3121" s="37"/>
      <c r="FH3121" s="37"/>
      <c r="FI3121" s="37"/>
      <c r="FJ3121" s="37"/>
      <c r="FK3121" s="37"/>
      <c r="FL3121" s="37"/>
      <c r="FM3121" s="37"/>
      <c r="FN3121" s="37"/>
      <c r="FO3121" s="37"/>
      <c r="FP3121" s="37"/>
      <c r="FQ3121" s="37"/>
      <c r="FR3121" s="37"/>
      <c r="FS3121" s="37"/>
      <c r="FT3121" s="37"/>
      <c r="FU3121" s="37"/>
      <c r="FV3121" s="37"/>
      <c r="FW3121" s="37"/>
      <c r="FX3121" s="37"/>
      <c r="FY3121" s="37"/>
      <c r="FZ3121" s="37"/>
      <c r="GA3121" s="37"/>
      <c r="GB3121" s="37"/>
      <c r="GC3121" s="37"/>
      <c r="GD3121" s="37"/>
      <c r="GE3121" s="37"/>
      <c r="GF3121" s="37"/>
      <c r="GG3121" s="37"/>
      <c r="GH3121" s="37"/>
      <c r="GI3121" s="37"/>
      <c r="GJ3121" s="37"/>
      <c r="GK3121" s="37"/>
      <c r="GL3121" s="37"/>
      <c r="GM3121" s="37"/>
      <c r="GN3121" s="37"/>
      <c r="GO3121" s="37"/>
      <c r="GP3121" s="37"/>
      <c r="GQ3121" s="37"/>
      <c r="GR3121" s="37"/>
      <c r="GS3121" s="37"/>
      <c r="GT3121" s="37"/>
      <c r="GU3121" s="37"/>
      <c r="GV3121" s="37"/>
      <c r="GW3121" s="37"/>
      <c r="GX3121" s="37"/>
      <c r="GY3121" s="37"/>
      <c r="GZ3121" s="37"/>
      <c r="HA3121" s="37"/>
      <c r="HB3121" s="37"/>
      <c r="HC3121" s="37"/>
      <c r="HD3121" s="37"/>
      <c r="HE3121" s="37"/>
      <c r="HF3121" s="37"/>
      <c r="HG3121" s="37"/>
      <c r="HH3121" s="37"/>
      <c r="HI3121" s="37"/>
      <c r="HJ3121" s="37"/>
      <c r="HK3121" s="37"/>
      <c r="HL3121" s="37"/>
      <c r="HM3121" s="37"/>
      <c r="HN3121" s="37"/>
      <c r="HO3121" s="37"/>
      <c r="HP3121" s="37"/>
      <c r="HQ3121" s="37"/>
      <c r="HR3121" s="37"/>
      <c r="HS3121" s="37"/>
      <c r="HT3121" s="37"/>
      <c r="HU3121" s="37"/>
      <c r="HV3121" s="37"/>
      <c r="HW3121" s="37"/>
      <c r="HX3121" s="37"/>
      <c r="HY3121" s="37"/>
      <c r="HZ3121" s="37"/>
      <c r="IA3121" s="37"/>
      <c r="IB3121" s="37"/>
      <c r="IC3121" s="37"/>
      <c r="ID3121" s="37"/>
      <c r="IE3121" s="37"/>
      <c r="IF3121" s="37"/>
      <c r="IG3121" s="37"/>
      <c r="IH3121" s="37"/>
      <c r="II3121" s="37"/>
      <c r="IJ3121" s="37"/>
      <c r="IK3121" s="37"/>
      <c r="IL3121" s="37"/>
      <c r="IM3121" s="37"/>
      <c r="IN3121" s="37"/>
      <c r="IO3121" s="37"/>
      <c r="IP3121" s="37"/>
      <c r="IQ3121" s="37"/>
      <c r="IR3121" s="37"/>
      <c r="IS3121" s="37"/>
      <c r="IT3121" s="37"/>
      <c r="IU3121" s="37"/>
      <c r="IV3121" s="37"/>
      <c r="IW3121" s="37"/>
      <c r="IX3121" s="37"/>
      <c r="IY3121" s="37"/>
      <c r="IZ3121" s="37"/>
      <c r="JA3121" s="37"/>
      <c r="JB3121" s="37"/>
      <c r="JC3121" s="37"/>
      <c r="JD3121" s="37"/>
      <c r="JE3121" s="37"/>
      <c r="JF3121" s="37"/>
      <c r="JG3121" s="37"/>
      <c r="JH3121" s="37"/>
      <c r="JI3121" s="37"/>
      <c r="JJ3121" s="37"/>
      <c r="JK3121" s="37"/>
      <c r="JL3121" s="37"/>
      <c r="JM3121" s="37"/>
      <c r="JN3121" s="37"/>
      <c r="JO3121" s="37"/>
      <c r="JP3121" s="37"/>
      <c r="JQ3121" s="37"/>
      <c r="JR3121" s="37"/>
      <c r="JS3121" s="37"/>
      <c r="JT3121" s="37"/>
      <c r="JU3121" s="37"/>
      <c r="JV3121" s="37"/>
      <c r="JW3121" s="37"/>
      <c r="JX3121" s="37"/>
      <c r="JY3121" s="37"/>
      <c r="JZ3121" s="37"/>
      <c r="KA3121" s="37"/>
      <c r="KB3121" s="37"/>
      <c r="KC3121" s="37"/>
      <c r="KD3121" s="37"/>
      <c r="KE3121" s="37"/>
      <c r="KF3121" s="37"/>
      <c r="KG3121" s="37"/>
      <c r="KH3121" s="37"/>
      <c r="KI3121" s="37"/>
      <c r="KJ3121" s="37"/>
      <c r="KK3121" s="37"/>
      <c r="KL3121" s="37"/>
      <c r="KM3121" s="37"/>
      <c r="KN3121" s="37"/>
      <c r="KO3121" s="37"/>
      <c r="KP3121" s="37"/>
      <c r="KQ3121" s="37"/>
      <c r="KR3121" s="37"/>
      <c r="KS3121" s="37"/>
      <c r="KT3121" s="37"/>
      <c r="KU3121" s="37"/>
      <c r="KV3121" s="37"/>
      <c r="KW3121" s="37"/>
      <c r="KX3121" s="37"/>
      <c r="KY3121" s="37"/>
      <c r="KZ3121" s="37"/>
      <c r="LA3121" s="37"/>
      <c r="LB3121" s="37"/>
      <c r="LC3121" s="37"/>
      <c r="LD3121" s="37"/>
      <c r="LE3121" s="37"/>
      <c r="LF3121" s="37"/>
      <c r="LG3121" s="37"/>
      <c r="LH3121" s="37"/>
      <c r="LI3121" s="37"/>
      <c r="LJ3121" s="37"/>
      <c r="LK3121" s="37"/>
      <c r="LL3121" s="37"/>
      <c r="LM3121" s="37"/>
      <c r="LN3121" s="37"/>
      <c r="LO3121" s="37"/>
      <c r="LP3121" s="37"/>
      <c r="LQ3121" s="37"/>
      <c r="LR3121" s="37"/>
      <c r="LS3121" s="37"/>
      <c r="LT3121" s="37"/>
      <c r="LU3121" s="37"/>
      <c r="LV3121" s="37"/>
      <c r="LW3121" s="37"/>
      <c r="LX3121" s="37"/>
      <c r="LY3121" s="37"/>
      <c r="LZ3121" s="37"/>
      <c r="MA3121" s="37"/>
      <c r="MB3121" s="37"/>
      <c r="MC3121" s="37"/>
      <c r="MD3121" s="37"/>
      <c r="ME3121" s="37"/>
      <c r="MF3121" s="37"/>
      <c r="MG3121" s="37"/>
      <c r="MH3121" s="37"/>
      <c r="MI3121" s="37"/>
      <c r="MJ3121" s="37"/>
      <c r="MK3121" s="37"/>
      <c r="ML3121" s="37"/>
      <c r="MM3121" s="37"/>
      <c r="MN3121" s="37"/>
      <c r="MO3121" s="37"/>
      <c r="MP3121" s="37"/>
      <c r="MQ3121" s="37"/>
      <c r="MR3121" s="37"/>
      <c r="MS3121" s="37"/>
      <c r="MT3121" s="37"/>
      <c r="MU3121" s="37"/>
      <c r="MV3121" s="37"/>
      <c r="MW3121" s="37"/>
      <c r="MX3121" s="37"/>
      <c r="MY3121" s="37"/>
      <c r="MZ3121" s="37"/>
      <c r="NA3121" s="37"/>
      <c r="NB3121" s="37"/>
      <c r="NC3121" s="37"/>
      <c r="ND3121" s="37"/>
      <c r="NE3121" s="37"/>
      <c r="NF3121" s="37"/>
      <c r="NG3121" s="37"/>
      <c r="NH3121" s="37"/>
      <c r="NI3121" s="37"/>
      <c r="NJ3121" s="37"/>
      <c r="NK3121" s="37"/>
      <c r="NL3121" s="37"/>
      <c r="NM3121" s="37"/>
      <c r="NN3121" s="37"/>
      <c r="NO3121" s="37"/>
      <c r="NP3121" s="37"/>
      <c r="NQ3121" s="37"/>
      <c r="NR3121" s="37"/>
      <c r="NS3121" s="37"/>
      <c r="NT3121" s="37"/>
      <c r="NU3121" s="37"/>
      <c r="NV3121" s="37"/>
      <c r="NW3121" s="37"/>
      <c r="NX3121" s="37"/>
      <c r="NY3121" s="37"/>
      <c r="NZ3121" s="37"/>
      <c r="OA3121" s="37"/>
      <c r="OB3121" s="37"/>
      <c r="OC3121" s="37"/>
      <c r="OD3121" s="37"/>
      <c r="OE3121" s="37"/>
      <c r="OF3121" s="37"/>
      <c r="OG3121" s="37"/>
      <c r="OH3121" s="37"/>
      <c r="OI3121" s="37"/>
      <c r="OJ3121" s="37"/>
      <c r="OK3121" s="37"/>
      <c r="OL3121" s="37"/>
      <c r="OM3121" s="37"/>
      <c r="ON3121" s="37"/>
      <c r="OO3121" s="37"/>
      <c r="OP3121" s="37"/>
      <c r="OQ3121" s="37"/>
      <c r="OR3121" s="37"/>
      <c r="OS3121" s="37"/>
      <c r="OT3121" s="37"/>
      <c r="OU3121" s="37"/>
      <c r="OV3121" s="37"/>
      <c r="OW3121" s="37"/>
      <c r="OX3121" s="37"/>
      <c r="OY3121" s="37"/>
      <c r="OZ3121" s="37"/>
      <c r="PA3121" s="37"/>
      <c r="PB3121" s="37"/>
      <c r="PC3121" s="37"/>
      <c r="PD3121" s="37"/>
      <c r="PE3121" s="37"/>
      <c r="PF3121" s="37"/>
      <c r="PG3121" s="37"/>
      <c r="PH3121" s="37"/>
      <c r="PI3121" s="37"/>
      <c r="PJ3121" s="37"/>
      <c r="PK3121" s="37"/>
      <c r="PL3121" s="37"/>
      <c r="PM3121" s="37"/>
      <c r="PN3121" s="37"/>
      <c r="PO3121" s="37"/>
      <c r="PP3121" s="37"/>
      <c r="PQ3121" s="37"/>
      <c r="PR3121" s="37"/>
      <c r="PS3121" s="37"/>
      <c r="PT3121" s="37"/>
      <c r="PU3121" s="37"/>
      <c r="PV3121" s="37"/>
      <c r="PW3121" s="37"/>
      <c r="PX3121" s="37"/>
      <c r="PY3121" s="37"/>
      <c r="PZ3121" s="37"/>
      <c r="QA3121" s="37"/>
      <c r="QB3121" s="37"/>
      <c r="QC3121" s="37"/>
      <c r="QD3121" s="37"/>
      <c r="QE3121" s="37"/>
      <c r="QF3121" s="37"/>
      <c r="QG3121" s="37"/>
      <c r="QH3121" s="37"/>
      <c r="QI3121" s="37"/>
      <c r="QJ3121" s="37"/>
      <c r="QK3121" s="37"/>
      <c r="QL3121" s="37"/>
      <c r="QM3121" s="37"/>
      <c r="QN3121" s="37"/>
      <c r="QO3121" s="37"/>
      <c r="QP3121" s="37"/>
      <c r="QQ3121" s="37"/>
      <c r="QR3121" s="37"/>
      <c r="QS3121" s="37"/>
      <c r="QT3121" s="37"/>
      <c r="QU3121" s="37"/>
      <c r="QV3121" s="37"/>
      <c r="QW3121" s="37"/>
      <c r="QX3121" s="37"/>
      <c r="QY3121" s="37"/>
      <c r="QZ3121" s="37"/>
      <c r="RA3121" s="37"/>
      <c r="RB3121" s="37"/>
      <c r="RC3121" s="37"/>
      <c r="RD3121" s="37"/>
      <c r="RE3121" s="37"/>
      <c r="RF3121" s="37"/>
      <c r="RG3121" s="37"/>
      <c r="RH3121" s="37"/>
      <c r="RI3121" s="37"/>
      <c r="RJ3121" s="37"/>
      <c r="RK3121" s="37"/>
      <c r="RL3121" s="37"/>
      <c r="RM3121" s="37"/>
      <c r="RN3121" s="37"/>
      <c r="RO3121" s="37"/>
      <c r="RP3121" s="37"/>
      <c r="RQ3121" s="37"/>
      <c r="RR3121" s="37"/>
      <c r="RS3121" s="37"/>
      <c r="RT3121" s="37"/>
      <c r="RU3121" s="37"/>
      <c r="RV3121" s="37"/>
      <c r="RW3121" s="37"/>
      <c r="RX3121" s="37"/>
      <c r="RY3121" s="37"/>
      <c r="RZ3121" s="37"/>
      <c r="SA3121" s="37"/>
      <c r="SB3121" s="37"/>
      <c r="SC3121" s="37"/>
      <c r="SD3121" s="37"/>
      <c r="SE3121" s="37"/>
      <c r="SF3121" s="37"/>
    </row>
    <row r="3122" spans="1:500">
      <c r="A3122" s="37"/>
      <c r="B3122" s="37"/>
      <c r="C3122" s="37"/>
      <c r="D3122" s="37"/>
      <c r="E3122" s="37"/>
      <c r="F3122" s="37"/>
      <c r="G3122" s="37"/>
      <c r="H3122" s="37"/>
      <c r="I3122" s="37"/>
      <c r="J3122" s="37"/>
      <c r="K3122" s="37"/>
      <c r="L3122" s="37"/>
      <c r="M3122" s="37"/>
      <c r="N3122" s="37"/>
      <c r="O3122" s="37"/>
      <c r="P3122" s="37"/>
      <c r="Q3122" s="37"/>
      <c r="R3122" s="37"/>
      <c r="S3122" s="37"/>
      <c r="T3122" s="37"/>
      <c r="U3122" s="37"/>
      <c r="V3122" s="37"/>
      <c r="W3122" s="37"/>
      <c r="X3122" s="37"/>
      <c r="Y3122" s="37"/>
      <c r="Z3122" s="37"/>
      <c r="AA3122" s="37"/>
      <c r="AB3122" s="37"/>
      <c r="AC3122" s="37"/>
      <c r="AD3122" s="37"/>
      <c r="AE3122" s="37"/>
      <c r="AF3122" s="37"/>
      <c r="AG3122" s="37"/>
      <c r="AH3122" s="37"/>
      <c r="AI3122" s="37"/>
      <c r="AJ3122" s="37"/>
      <c r="AK3122" s="37"/>
      <c r="AL3122" s="37"/>
      <c r="AM3122" s="37"/>
      <c r="AN3122" s="37"/>
      <c r="AO3122" s="37"/>
      <c r="AP3122" s="37"/>
      <c r="AQ3122" s="37"/>
      <c r="AR3122" s="37"/>
      <c r="AS3122" s="37"/>
      <c r="AT3122" s="37"/>
      <c r="AU3122" s="37"/>
      <c r="AV3122" s="37"/>
      <c r="AW3122" s="37"/>
      <c r="AX3122" s="37"/>
      <c r="AY3122" s="37"/>
      <c r="AZ3122" s="37"/>
      <c r="BA3122" s="37"/>
      <c r="BB3122" s="37"/>
      <c r="BC3122" s="37"/>
      <c r="BD3122" s="37"/>
      <c r="BE3122" s="37"/>
      <c r="BF3122" s="37"/>
      <c r="BG3122" s="37"/>
      <c r="BH3122" s="37"/>
      <c r="BI3122" s="37"/>
      <c r="BJ3122" s="37"/>
      <c r="BK3122" s="37"/>
      <c r="BL3122" s="37"/>
      <c r="BM3122" s="37"/>
      <c r="BN3122" s="37"/>
      <c r="BO3122" s="37"/>
      <c r="BP3122" s="37"/>
      <c r="BQ3122" s="37"/>
      <c r="BR3122" s="37"/>
      <c r="BS3122" s="37"/>
      <c r="BT3122" s="37"/>
      <c r="BU3122" s="37"/>
      <c r="BV3122" s="37"/>
      <c r="BW3122" s="37"/>
      <c r="BX3122" s="37"/>
      <c r="BY3122" s="37"/>
      <c r="BZ3122" s="37"/>
      <c r="CA3122" s="37"/>
      <c r="CB3122" s="37"/>
      <c r="CC3122" s="37"/>
      <c r="CD3122" s="37"/>
      <c r="CE3122" s="37"/>
      <c r="CF3122" s="37"/>
      <c r="CG3122" s="37"/>
      <c r="CH3122" s="37"/>
      <c r="CI3122" s="37"/>
      <c r="CJ3122" s="37"/>
      <c r="CK3122" s="37"/>
      <c r="CL3122" s="37"/>
      <c r="CM3122" s="37"/>
      <c r="CN3122" s="37"/>
      <c r="CO3122" s="37"/>
      <c r="CP3122" s="37"/>
      <c r="CQ3122" s="37"/>
      <c r="CR3122" s="37"/>
      <c r="CS3122" s="37"/>
      <c r="CT3122" s="37"/>
      <c r="CU3122" s="37"/>
      <c r="CV3122" s="37"/>
      <c r="CW3122" s="37"/>
      <c r="CX3122" s="37"/>
      <c r="CY3122" s="37"/>
      <c r="CZ3122" s="37"/>
      <c r="DA3122" s="37"/>
      <c r="DB3122" s="37"/>
      <c r="DC3122" s="37"/>
      <c r="DD3122" s="37"/>
      <c r="DE3122" s="37"/>
      <c r="DF3122" s="37"/>
      <c r="DG3122" s="37"/>
      <c r="DH3122" s="37"/>
      <c r="DI3122" s="37"/>
      <c r="DJ3122" s="37"/>
      <c r="DK3122" s="37"/>
      <c r="DL3122" s="37"/>
      <c r="DM3122" s="37"/>
      <c r="DN3122" s="37"/>
      <c r="DO3122" s="37"/>
      <c r="DP3122" s="37"/>
      <c r="DQ3122" s="37"/>
      <c r="DR3122" s="37"/>
      <c r="DS3122" s="37"/>
      <c r="DT3122" s="37"/>
      <c r="DU3122" s="37"/>
      <c r="DV3122" s="37"/>
      <c r="DW3122" s="37"/>
      <c r="DX3122" s="37"/>
      <c r="DY3122" s="37"/>
      <c r="DZ3122" s="37"/>
      <c r="EA3122" s="37"/>
      <c r="EB3122" s="37"/>
      <c r="EC3122" s="37"/>
      <c r="ED3122" s="37"/>
      <c r="EE3122" s="37"/>
      <c r="EF3122" s="37"/>
      <c r="EG3122" s="37"/>
      <c r="EH3122" s="37"/>
      <c r="EI3122" s="37"/>
      <c r="EJ3122" s="37"/>
      <c r="EK3122" s="37"/>
      <c r="EL3122" s="37"/>
      <c r="EM3122" s="37"/>
      <c r="EN3122" s="37"/>
      <c r="EO3122" s="37"/>
      <c r="EP3122" s="37"/>
      <c r="EQ3122" s="37"/>
      <c r="ER3122" s="37"/>
      <c r="ES3122" s="37"/>
      <c r="ET3122" s="37"/>
      <c r="EU3122" s="37"/>
      <c r="EV3122" s="37"/>
      <c r="EW3122" s="37"/>
      <c r="EX3122" s="37"/>
      <c r="EY3122" s="37"/>
      <c r="EZ3122" s="37"/>
      <c r="FA3122" s="37"/>
      <c r="FB3122" s="37"/>
      <c r="FC3122" s="37"/>
      <c r="FD3122" s="37"/>
      <c r="FE3122" s="37"/>
      <c r="FF3122" s="37"/>
      <c r="FG3122" s="37"/>
      <c r="FH3122" s="37"/>
      <c r="FI3122" s="37"/>
      <c r="FJ3122" s="37"/>
      <c r="FK3122" s="37"/>
      <c r="FL3122" s="37"/>
      <c r="FM3122" s="37"/>
      <c r="FN3122" s="37"/>
      <c r="FO3122" s="37"/>
      <c r="FP3122" s="37"/>
      <c r="FQ3122" s="37"/>
      <c r="FR3122" s="37"/>
      <c r="FS3122" s="37"/>
      <c r="FT3122" s="37"/>
      <c r="FU3122" s="37"/>
      <c r="FV3122" s="37"/>
      <c r="FW3122" s="37"/>
      <c r="FX3122" s="37"/>
      <c r="FY3122" s="37"/>
      <c r="FZ3122" s="37"/>
      <c r="GA3122" s="37"/>
      <c r="GB3122" s="37"/>
      <c r="GC3122" s="37"/>
      <c r="GD3122" s="37"/>
      <c r="GE3122" s="37"/>
      <c r="GF3122" s="37"/>
      <c r="GG3122" s="37"/>
      <c r="GH3122" s="37"/>
      <c r="GI3122" s="37"/>
      <c r="GJ3122" s="37"/>
      <c r="GK3122" s="37"/>
      <c r="GL3122" s="37"/>
      <c r="GM3122" s="37"/>
      <c r="GN3122" s="37"/>
      <c r="GO3122" s="37"/>
      <c r="GP3122" s="37"/>
      <c r="GQ3122" s="37"/>
      <c r="GR3122" s="37"/>
      <c r="GS3122" s="37"/>
      <c r="GT3122" s="37"/>
      <c r="GU3122" s="37"/>
      <c r="GV3122" s="37"/>
      <c r="GW3122" s="37"/>
      <c r="GX3122" s="37"/>
      <c r="GY3122" s="37"/>
      <c r="GZ3122" s="37"/>
      <c r="HA3122" s="37"/>
      <c r="HB3122" s="37"/>
      <c r="HC3122" s="37"/>
      <c r="HD3122" s="37"/>
      <c r="HE3122" s="37"/>
      <c r="HF3122" s="37"/>
      <c r="HG3122" s="37"/>
      <c r="HH3122" s="37"/>
      <c r="HI3122" s="37"/>
      <c r="HJ3122" s="37"/>
      <c r="HK3122" s="37"/>
      <c r="HL3122" s="37"/>
      <c r="HM3122" s="37"/>
      <c r="HN3122" s="37"/>
      <c r="HO3122" s="37"/>
      <c r="HP3122" s="37"/>
      <c r="HQ3122" s="37"/>
      <c r="HR3122" s="37"/>
      <c r="HS3122" s="37"/>
      <c r="HT3122" s="37"/>
      <c r="HU3122" s="37"/>
      <c r="HV3122" s="37"/>
      <c r="HW3122" s="37"/>
      <c r="HX3122" s="37"/>
      <c r="HY3122" s="37"/>
      <c r="HZ3122" s="37"/>
      <c r="IA3122" s="37"/>
      <c r="IB3122" s="37"/>
      <c r="IC3122" s="37"/>
      <c r="ID3122" s="37"/>
      <c r="IE3122" s="37"/>
      <c r="IF3122" s="37"/>
      <c r="IG3122" s="37"/>
      <c r="IH3122" s="37"/>
      <c r="II3122" s="37"/>
      <c r="IJ3122" s="37"/>
      <c r="IK3122" s="37"/>
      <c r="IL3122" s="37"/>
      <c r="IM3122" s="37"/>
      <c r="IN3122" s="37"/>
      <c r="IO3122" s="37"/>
      <c r="IP3122" s="37"/>
      <c r="IQ3122" s="37"/>
      <c r="IR3122" s="37"/>
      <c r="IS3122" s="37"/>
      <c r="IT3122" s="37"/>
      <c r="IU3122" s="37"/>
      <c r="IV3122" s="37"/>
      <c r="IW3122" s="37"/>
      <c r="IX3122" s="37"/>
      <c r="IY3122" s="37"/>
      <c r="IZ3122" s="37"/>
      <c r="JA3122" s="37"/>
      <c r="JB3122" s="37"/>
      <c r="JC3122" s="37"/>
      <c r="JD3122" s="37"/>
      <c r="JE3122" s="37"/>
      <c r="JF3122" s="37"/>
      <c r="JG3122" s="37"/>
      <c r="JH3122" s="37"/>
      <c r="JI3122" s="37"/>
      <c r="JJ3122" s="37"/>
      <c r="JK3122" s="37"/>
      <c r="JL3122" s="37"/>
      <c r="JM3122" s="37"/>
      <c r="JN3122" s="37"/>
      <c r="JO3122" s="37"/>
      <c r="JP3122" s="37"/>
      <c r="JQ3122" s="37"/>
      <c r="JR3122" s="37"/>
      <c r="JS3122" s="37"/>
      <c r="JT3122" s="37"/>
      <c r="JU3122" s="37"/>
      <c r="JV3122" s="37"/>
      <c r="JW3122" s="37"/>
      <c r="JX3122" s="37"/>
      <c r="JY3122" s="37"/>
      <c r="JZ3122" s="37"/>
      <c r="KA3122" s="37"/>
      <c r="KB3122" s="37"/>
      <c r="KC3122" s="37"/>
      <c r="KD3122" s="37"/>
      <c r="KE3122" s="37"/>
      <c r="KF3122" s="37"/>
      <c r="KG3122" s="37"/>
      <c r="KH3122" s="37"/>
      <c r="KI3122" s="37"/>
      <c r="KJ3122" s="37"/>
      <c r="KK3122" s="37"/>
      <c r="KL3122" s="37"/>
      <c r="KM3122" s="37"/>
      <c r="KN3122" s="37"/>
      <c r="KO3122" s="37"/>
      <c r="KP3122" s="37"/>
      <c r="KQ3122" s="37"/>
      <c r="KR3122" s="37"/>
      <c r="KS3122" s="37"/>
      <c r="KT3122" s="37"/>
      <c r="KU3122" s="37"/>
      <c r="KV3122" s="37"/>
      <c r="KW3122" s="37"/>
      <c r="KX3122" s="37"/>
      <c r="KY3122" s="37"/>
      <c r="KZ3122" s="37"/>
      <c r="LA3122" s="37"/>
      <c r="LB3122" s="37"/>
      <c r="LC3122" s="37"/>
      <c r="LD3122" s="37"/>
      <c r="LE3122" s="37"/>
      <c r="LF3122" s="37"/>
      <c r="LG3122" s="37"/>
      <c r="LH3122" s="37"/>
      <c r="LI3122" s="37"/>
      <c r="LJ3122" s="37"/>
      <c r="LK3122" s="37"/>
      <c r="LL3122" s="37"/>
      <c r="LM3122" s="37"/>
      <c r="LN3122" s="37"/>
      <c r="LO3122" s="37"/>
      <c r="LP3122" s="37"/>
      <c r="LQ3122" s="37"/>
      <c r="LR3122" s="37"/>
      <c r="LS3122" s="37"/>
      <c r="LT3122" s="37"/>
      <c r="LU3122" s="37"/>
      <c r="LV3122" s="37"/>
      <c r="LW3122" s="37"/>
      <c r="LX3122" s="37"/>
      <c r="LY3122" s="37"/>
      <c r="LZ3122" s="37"/>
      <c r="MA3122" s="37"/>
      <c r="MB3122" s="37"/>
      <c r="MC3122" s="37"/>
      <c r="MD3122" s="37"/>
      <c r="ME3122" s="37"/>
      <c r="MF3122" s="37"/>
      <c r="MG3122" s="37"/>
      <c r="MH3122" s="37"/>
      <c r="MI3122" s="37"/>
      <c r="MJ3122" s="37"/>
      <c r="MK3122" s="37"/>
      <c r="ML3122" s="37"/>
      <c r="MM3122" s="37"/>
      <c r="MN3122" s="37"/>
      <c r="MO3122" s="37"/>
      <c r="MP3122" s="37"/>
      <c r="MQ3122" s="37"/>
      <c r="MR3122" s="37"/>
      <c r="MS3122" s="37"/>
      <c r="MT3122" s="37"/>
      <c r="MU3122" s="37"/>
      <c r="MV3122" s="37"/>
      <c r="MW3122" s="37"/>
      <c r="MX3122" s="37"/>
      <c r="MY3122" s="37"/>
      <c r="MZ3122" s="37"/>
      <c r="NA3122" s="37"/>
      <c r="NB3122" s="37"/>
      <c r="NC3122" s="37"/>
      <c r="ND3122" s="37"/>
      <c r="NE3122" s="37"/>
      <c r="NF3122" s="37"/>
      <c r="NG3122" s="37"/>
      <c r="NH3122" s="37"/>
      <c r="NI3122" s="37"/>
      <c r="NJ3122" s="37"/>
      <c r="NK3122" s="37"/>
      <c r="NL3122" s="37"/>
      <c r="NM3122" s="37"/>
      <c r="NN3122" s="37"/>
      <c r="NO3122" s="37"/>
      <c r="NP3122" s="37"/>
      <c r="NQ3122" s="37"/>
      <c r="NR3122" s="37"/>
      <c r="NS3122" s="37"/>
      <c r="NT3122" s="37"/>
      <c r="NU3122" s="37"/>
      <c r="NV3122" s="37"/>
      <c r="NW3122" s="37"/>
      <c r="NX3122" s="37"/>
      <c r="NY3122" s="37"/>
      <c r="NZ3122" s="37"/>
      <c r="OA3122" s="37"/>
      <c r="OB3122" s="37"/>
      <c r="OC3122" s="37"/>
      <c r="OD3122" s="37"/>
      <c r="OE3122" s="37"/>
      <c r="OF3122" s="37"/>
      <c r="OG3122" s="37"/>
      <c r="OH3122" s="37"/>
      <c r="OI3122" s="37"/>
      <c r="OJ3122" s="37"/>
      <c r="OK3122" s="37"/>
      <c r="OL3122" s="37"/>
      <c r="OM3122" s="37"/>
      <c r="ON3122" s="37"/>
      <c r="OO3122" s="37"/>
      <c r="OP3122" s="37"/>
      <c r="OQ3122" s="37"/>
      <c r="OR3122" s="37"/>
      <c r="OS3122" s="37"/>
      <c r="OT3122" s="37"/>
      <c r="OU3122" s="37"/>
      <c r="OV3122" s="37"/>
      <c r="OW3122" s="37"/>
      <c r="OX3122" s="37"/>
      <c r="OY3122" s="37"/>
      <c r="OZ3122" s="37"/>
      <c r="PA3122" s="37"/>
      <c r="PB3122" s="37"/>
      <c r="PC3122" s="37"/>
      <c r="PD3122" s="37"/>
      <c r="PE3122" s="37"/>
      <c r="PF3122" s="37"/>
      <c r="PG3122" s="37"/>
      <c r="PH3122" s="37"/>
      <c r="PI3122" s="37"/>
      <c r="PJ3122" s="37"/>
      <c r="PK3122" s="37"/>
      <c r="PL3122" s="37"/>
      <c r="PM3122" s="37"/>
      <c r="PN3122" s="37"/>
      <c r="PO3122" s="37"/>
      <c r="PP3122" s="37"/>
      <c r="PQ3122" s="37"/>
      <c r="PR3122" s="37"/>
      <c r="PS3122" s="37"/>
      <c r="PT3122" s="37"/>
      <c r="PU3122" s="37"/>
      <c r="PV3122" s="37"/>
      <c r="PW3122" s="37"/>
      <c r="PX3122" s="37"/>
      <c r="PY3122" s="37"/>
      <c r="PZ3122" s="37"/>
      <c r="QA3122" s="37"/>
      <c r="QB3122" s="37"/>
      <c r="QC3122" s="37"/>
      <c r="QD3122" s="37"/>
      <c r="QE3122" s="37"/>
      <c r="QF3122" s="37"/>
      <c r="QG3122" s="37"/>
      <c r="QH3122" s="37"/>
      <c r="QI3122" s="37"/>
      <c r="QJ3122" s="37"/>
      <c r="QK3122" s="37"/>
      <c r="QL3122" s="37"/>
      <c r="QM3122" s="37"/>
      <c r="QN3122" s="37"/>
      <c r="QO3122" s="37"/>
      <c r="QP3122" s="37"/>
      <c r="QQ3122" s="37"/>
      <c r="QR3122" s="37"/>
      <c r="QS3122" s="37"/>
      <c r="QT3122" s="37"/>
      <c r="QU3122" s="37"/>
      <c r="QV3122" s="37"/>
      <c r="QW3122" s="37"/>
      <c r="QX3122" s="37"/>
      <c r="QY3122" s="37"/>
      <c r="QZ3122" s="37"/>
      <c r="RA3122" s="37"/>
      <c r="RB3122" s="37"/>
      <c r="RC3122" s="37"/>
      <c r="RD3122" s="37"/>
      <c r="RE3122" s="37"/>
      <c r="RF3122" s="37"/>
      <c r="RG3122" s="37"/>
      <c r="RH3122" s="37"/>
      <c r="RI3122" s="37"/>
      <c r="RJ3122" s="37"/>
      <c r="RK3122" s="37"/>
      <c r="RL3122" s="37"/>
      <c r="RM3122" s="37"/>
      <c r="RN3122" s="37"/>
      <c r="RO3122" s="37"/>
      <c r="RP3122" s="37"/>
      <c r="RQ3122" s="37"/>
      <c r="RR3122" s="37"/>
      <c r="RS3122" s="37"/>
      <c r="RT3122" s="37"/>
      <c r="RU3122" s="37"/>
      <c r="RV3122" s="37"/>
      <c r="RW3122" s="37"/>
      <c r="RX3122" s="37"/>
      <c r="RY3122" s="37"/>
      <c r="RZ3122" s="37"/>
      <c r="SA3122" s="37"/>
      <c r="SB3122" s="37"/>
      <c r="SC3122" s="37"/>
      <c r="SD3122" s="37"/>
      <c r="SE3122" s="37"/>
      <c r="SF3122" s="37"/>
    </row>
    <row r="3123" spans="1:500">
      <c r="A3123" s="37"/>
      <c r="B3123" s="37"/>
      <c r="C3123" s="37"/>
      <c r="D3123" s="37"/>
      <c r="E3123" s="37"/>
      <c r="F3123" s="37"/>
      <c r="G3123" s="37"/>
      <c r="H3123" s="37"/>
      <c r="I3123" s="37"/>
      <c r="J3123" s="37"/>
      <c r="K3123" s="37"/>
      <c r="L3123" s="37"/>
      <c r="M3123" s="37"/>
      <c r="N3123" s="37"/>
      <c r="O3123" s="37"/>
      <c r="P3123" s="37"/>
      <c r="Q3123" s="37"/>
      <c r="R3123" s="37"/>
      <c r="S3123" s="37"/>
      <c r="T3123" s="37"/>
      <c r="U3123" s="37"/>
      <c r="V3123" s="37"/>
      <c r="W3123" s="37"/>
      <c r="X3123" s="37"/>
      <c r="Y3123" s="37"/>
      <c r="Z3123" s="37"/>
      <c r="AA3123" s="37"/>
      <c r="AB3123" s="37"/>
      <c r="AC3123" s="37"/>
      <c r="AD3123" s="37"/>
      <c r="AE3123" s="37"/>
      <c r="AF3123" s="37"/>
      <c r="AG3123" s="37"/>
      <c r="AH3123" s="37"/>
      <c r="AI3123" s="37"/>
      <c r="AJ3123" s="37"/>
      <c r="AK3123" s="37"/>
      <c r="AL3123" s="37"/>
      <c r="AM3123" s="37"/>
      <c r="AN3123" s="37"/>
      <c r="AO3123" s="37"/>
      <c r="AP3123" s="37"/>
      <c r="AQ3123" s="37"/>
      <c r="AR3123" s="37"/>
      <c r="AS3123" s="37"/>
      <c r="AT3123" s="37"/>
      <c r="AU3123" s="37"/>
      <c r="AV3123" s="37"/>
      <c r="AW3123" s="37"/>
      <c r="AX3123" s="37"/>
      <c r="AY3123" s="37"/>
      <c r="AZ3123" s="37"/>
      <c r="BA3123" s="37"/>
      <c r="BB3123" s="37"/>
      <c r="BC3123" s="37"/>
      <c r="BD3123" s="37"/>
      <c r="BE3123" s="37"/>
      <c r="BF3123" s="37"/>
      <c r="BG3123" s="37"/>
      <c r="BH3123" s="37"/>
      <c r="BI3123" s="37"/>
      <c r="BJ3123" s="37"/>
      <c r="BK3123" s="37"/>
      <c r="BL3123" s="37"/>
      <c r="BM3123" s="37"/>
      <c r="BN3123" s="37"/>
      <c r="BO3123" s="37"/>
      <c r="BP3123" s="37"/>
      <c r="BQ3123" s="37"/>
      <c r="BR3123" s="37"/>
      <c r="BS3123" s="37"/>
      <c r="BT3123" s="37"/>
      <c r="BU3123" s="37"/>
      <c r="BV3123" s="37"/>
      <c r="BW3123" s="37"/>
      <c r="BX3123" s="37"/>
      <c r="BY3123" s="37"/>
      <c r="BZ3123" s="37"/>
      <c r="CA3123" s="37"/>
      <c r="CB3123" s="37"/>
      <c r="CC3123" s="37"/>
      <c r="CD3123" s="37"/>
      <c r="CE3123" s="37"/>
      <c r="CF3123" s="37"/>
      <c r="CG3123" s="37"/>
      <c r="CH3123" s="37"/>
      <c r="CI3123" s="37"/>
      <c r="CJ3123" s="37"/>
      <c r="CK3123" s="37"/>
      <c r="CL3123" s="37"/>
      <c r="CM3123" s="37"/>
      <c r="CN3123" s="37"/>
      <c r="CO3123" s="37"/>
      <c r="CP3123" s="37"/>
      <c r="CQ3123" s="37"/>
      <c r="CR3123" s="37"/>
      <c r="CS3123" s="37"/>
      <c r="CT3123" s="37"/>
      <c r="CU3123" s="37"/>
      <c r="CV3123" s="37"/>
      <c r="CW3123" s="37"/>
      <c r="CX3123" s="37"/>
      <c r="CY3123" s="37"/>
      <c r="CZ3123" s="37"/>
      <c r="DA3123" s="37"/>
      <c r="DB3123" s="37"/>
      <c r="DC3123" s="37"/>
      <c r="DD3123" s="37"/>
      <c r="DE3123" s="37"/>
      <c r="DF3123" s="37"/>
      <c r="DG3123" s="37"/>
      <c r="DH3123" s="37"/>
      <c r="DI3123" s="37"/>
      <c r="DJ3123" s="37"/>
      <c r="DK3123" s="37"/>
      <c r="DL3123" s="37"/>
      <c r="DM3123" s="37"/>
      <c r="DN3123" s="37"/>
      <c r="DO3123" s="37"/>
      <c r="DP3123" s="37"/>
      <c r="DQ3123" s="37"/>
      <c r="DR3123" s="37"/>
      <c r="DS3123" s="37"/>
      <c r="DT3123" s="37"/>
      <c r="DU3123" s="37"/>
      <c r="DV3123" s="37"/>
      <c r="DW3123" s="37"/>
      <c r="DX3123" s="37"/>
      <c r="DY3123" s="37"/>
      <c r="DZ3123" s="37"/>
      <c r="EA3123" s="37"/>
      <c r="EB3123" s="37"/>
      <c r="EC3123" s="37"/>
      <c r="ED3123" s="37"/>
      <c r="EE3123" s="37"/>
      <c r="EF3123" s="37"/>
      <c r="EG3123" s="37"/>
      <c r="EH3123" s="37"/>
      <c r="EI3123" s="37"/>
      <c r="EJ3123" s="37"/>
      <c r="EK3123" s="37"/>
      <c r="EL3123" s="37"/>
      <c r="EM3123" s="37"/>
      <c r="EN3123" s="37"/>
      <c r="EO3123" s="37"/>
      <c r="EP3123" s="37"/>
      <c r="EQ3123" s="37"/>
      <c r="ER3123" s="37"/>
      <c r="ES3123" s="37"/>
      <c r="ET3123" s="37"/>
      <c r="EU3123" s="37"/>
      <c r="EV3123" s="37"/>
      <c r="EW3123" s="37"/>
      <c r="EX3123" s="37"/>
      <c r="EY3123" s="37"/>
      <c r="EZ3123" s="37"/>
      <c r="FA3123" s="37"/>
      <c r="FB3123" s="37"/>
      <c r="FC3123" s="37"/>
      <c r="FD3123" s="37"/>
      <c r="FE3123" s="37"/>
      <c r="FF3123" s="37"/>
      <c r="FG3123" s="37"/>
      <c r="FH3123" s="37"/>
      <c r="FI3123" s="37"/>
      <c r="FJ3123" s="37"/>
      <c r="FK3123" s="37"/>
      <c r="FL3123" s="37"/>
      <c r="FM3123" s="37"/>
      <c r="FN3123" s="37"/>
      <c r="FO3123" s="37"/>
      <c r="FP3123" s="37"/>
      <c r="FQ3123" s="37"/>
      <c r="FR3123" s="37"/>
      <c r="FS3123" s="37"/>
      <c r="FT3123" s="37"/>
      <c r="FU3123" s="37"/>
      <c r="FV3123" s="37"/>
      <c r="FW3123" s="37"/>
      <c r="FX3123" s="37"/>
      <c r="FY3123" s="37"/>
      <c r="FZ3123" s="37"/>
      <c r="GA3123" s="37"/>
      <c r="GB3123" s="37"/>
      <c r="GC3123" s="37"/>
      <c r="GD3123" s="37"/>
      <c r="GE3123" s="37"/>
      <c r="GF3123" s="37"/>
      <c r="GG3123" s="37"/>
      <c r="GH3123" s="37"/>
      <c r="GI3123" s="37"/>
      <c r="GJ3123" s="37"/>
      <c r="GK3123" s="37"/>
      <c r="GL3123" s="37"/>
      <c r="GM3123" s="37"/>
      <c r="GN3123" s="37"/>
      <c r="GO3123" s="37"/>
      <c r="GP3123" s="37"/>
      <c r="GQ3123" s="37"/>
      <c r="GR3123" s="37"/>
      <c r="GS3123" s="37"/>
      <c r="GT3123" s="37"/>
      <c r="GU3123" s="37"/>
      <c r="GV3123" s="37"/>
      <c r="GW3123" s="37"/>
      <c r="GX3123" s="37"/>
      <c r="GY3123" s="37"/>
      <c r="GZ3123" s="37"/>
      <c r="HA3123" s="37"/>
      <c r="HB3123" s="37"/>
      <c r="HC3123" s="37"/>
      <c r="HD3123" s="37"/>
      <c r="HE3123" s="37"/>
      <c r="HF3123" s="37"/>
      <c r="HG3123" s="37"/>
      <c r="HH3123" s="37"/>
      <c r="HI3123" s="37"/>
      <c r="HJ3123" s="37"/>
      <c r="HK3123" s="37"/>
      <c r="HL3123" s="37"/>
      <c r="HM3123" s="37"/>
      <c r="HN3123" s="37"/>
      <c r="HO3123" s="37"/>
      <c r="HP3123" s="37"/>
      <c r="HQ3123" s="37"/>
      <c r="HR3123" s="37"/>
      <c r="HS3123" s="37"/>
      <c r="HT3123" s="37"/>
      <c r="HU3123" s="37"/>
      <c r="HV3123" s="37"/>
      <c r="HW3123" s="37"/>
      <c r="HX3123" s="37"/>
      <c r="HY3123" s="37"/>
      <c r="HZ3123" s="37"/>
      <c r="IA3123" s="37"/>
      <c r="IB3123" s="37"/>
      <c r="IC3123" s="37"/>
      <c r="ID3123" s="37"/>
      <c r="IE3123" s="37"/>
      <c r="IF3123" s="37"/>
      <c r="IG3123" s="37"/>
      <c r="IH3123" s="37"/>
      <c r="II3123" s="37"/>
      <c r="IJ3123" s="37"/>
      <c r="IK3123" s="37"/>
      <c r="IL3123" s="37"/>
      <c r="IM3123" s="37"/>
      <c r="IN3123" s="37"/>
      <c r="IO3123" s="37"/>
      <c r="IP3123" s="37"/>
      <c r="IQ3123" s="37"/>
      <c r="IR3123" s="37"/>
      <c r="IS3123" s="37"/>
      <c r="IT3123" s="37"/>
      <c r="IU3123" s="37"/>
      <c r="IV3123" s="37"/>
      <c r="IW3123" s="37"/>
      <c r="IX3123" s="37"/>
      <c r="IY3123" s="37"/>
      <c r="IZ3123" s="37"/>
      <c r="JA3123" s="37"/>
      <c r="JB3123" s="37"/>
      <c r="JC3123" s="37"/>
      <c r="JD3123" s="37"/>
      <c r="JE3123" s="37"/>
      <c r="JF3123" s="37"/>
      <c r="JG3123" s="37"/>
      <c r="JH3123" s="37"/>
      <c r="JI3123" s="37"/>
      <c r="JJ3123" s="37"/>
      <c r="JK3123" s="37"/>
      <c r="JL3123" s="37"/>
      <c r="JM3123" s="37"/>
      <c r="JN3123" s="37"/>
      <c r="JO3123" s="37"/>
      <c r="JP3123" s="37"/>
      <c r="JQ3123" s="37"/>
      <c r="JR3123" s="37"/>
      <c r="JS3123" s="37"/>
      <c r="JT3123" s="37"/>
      <c r="JU3123" s="37"/>
      <c r="JV3123" s="37"/>
      <c r="JW3123" s="37"/>
      <c r="JX3123" s="37"/>
      <c r="JY3123" s="37"/>
      <c r="JZ3123" s="37"/>
      <c r="KA3123" s="37"/>
      <c r="KB3123" s="37"/>
      <c r="KC3123" s="37"/>
      <c r="KD3123" s="37"/>
      <c r="KE3123" s="37"/>
      <c r="KF3123" s="37"/>
      <c r="KG3123" s="37"/>
      <c r="KH3123" s="37"/>
      <c r="KI3123" s="37"/>
      <c r="KJ3123" s="37"/>
      <c r="KK3123" s="37"/>
      <c r="KL3123" s="37"/>
      <c r="KM3123" s="37"/>
      <c r="KN3123" s="37"/>
      <c r="KO3123" s="37"/>
      <c r="KP3123" s="37"/>
      <c r="KQ3123" s="37"/>
      <c r="KR3123" s="37"/>
      <c r="KS3123" s="37"/>
      <c r="KT3123" s="37"/>
      <c r="KU3123" s="37"/>
      <c r="KV3123" s="37"/>
      <c r="KW3123" s="37"/>
      <c r="KX3123" s="37"/>
      <c r="KY3123" s="37"/>
      <c r="KZ3123" s="37"/>
      <c r="LA3123" s="37"/>
      <c r="LB3123" s="37"/>
      <c r="LC3123" s="37"/>
      <c r="LD3123" s="37"/>
      <c r="LE3123" s="37"/>
      <c r="LF3123" s="37"/>
      <c r="LG3123" s="37"/>
      <c r="LH3123" s="37"/>
      <c r="LI3123" s="37"/>
      <c r="LJ3123" s="37"/>
      <c r="LK3123" s="37"/>
      <c r="LL3123" s="37"/>
      <c r="LM3123" s="37"/>
      <c r="LN3123" s="37"/>
      <c r="LO3123" s="37"/>
      <c r="LP3123" s="37"/>
      <c r="LQ3123" s="37"/>
      <c r="LR3123" s="37"/>
      <c r="LS3123" s="37"/>
      <c r="LT3123" s="37"/>
      <c r="LU3123" s="37"/>
      <c r="LV3123" s="37"/>
      <c r="LW3123" s="37"/>
      <c r="LX3123" s="37"/>
      <c r="LY3123" s="37"/>
      <c r="LZ3123" s="37"/>
      <c r="MA3123" s="37"/>
      <c r="MB3123" s="37"/>
      <c r="MC3123" s="37"/>
      <c r="MD3123" s="37"/>
      <c r="ME3123" s="37"/>
      <c r="MF3123" s="37"/>
      <c r="MG3123" s="37"/>
      <c r="MH3123" s="37"/>
      <c r="MI3123" s="37"/>
      <c r="MJ3123" s="37"/>
      <c r="MK3123" s="37"/>
      <c r="ML3123" s="37"/>
      <c r="MM3123" s="37"/>
      <c r="MN3123" s="37"/>
      <c r="MO3123" s="37"/>
      <c r="MP3123" s="37"/>
      <c r="MQ3123" s="37"/>
      <c r="MR3123" s="37"/>
      <c r="MS3123" s="37"/>
      <c r="MT3123" s="37"/>
      <c r="MU3123" s="37"/>
      <c r="MV3123" s="37"/>
      <c r="MW3123" s="37"/>
      <c r="MX3123" s="37"/>
      <c r="MY3123" s="37"/>
      <c r="MZ3123" s="37"/>
      <c r="NA3123" s="37"/>
      <c r="NB3123" s="37"/>
      <c r="NC3123" s="37"/>
      <c r="ND3123" s="37"/>
      <c r="NE3123" s="37"/>
      <c r="NF3123" s="37"/>
      <c r="NG3123" s="37"/>
      <c r="NH3123" s="37"/>
      <c r="NI3123" s="37"/>
      <c r="NJ3123" s="37"/>
      <c r="NK3123" s="37"/>
      <c r="NL3123" s="37"/>
      <c r="NM3123" s="37"/>
      <c r="NN3123" s="37"/>
      <c r="NO3123" s="37"/>
      <c r="NP3123" s="37"/>
      <c r="NQ3123" s="37"/>
      <c r="NR3123" s="37"/>
      <c r="NS3123" s="37"/>
      <c r="NT3123" s="37"/>
      <c r="NU3123" s="37"/>
      <c r="NV3123" s="37"/>
      <c r="NW3123" s="37"/>
      <c r="NX3123" s="37"/>
      <c r="NY3123" s="37"/>
      <c r="NZ3123" s="37"/>
      <c r="OA3123" s="37"/>
      <c r="OB3123" s="37"/>
      <c r="OC3123" s="37"/>
      <c r="OD3123" s="37"/>
      <c r="OE3123" s="37"/>
      <c r="OF3123" s="37"/>
      <c r="OG3123" s="37"/>
      <c r="OH3123" s="37"/>
      <c r="OI3123" s="37"/>
      <c r="OJ3123" s="37"/>
      <c r="OK3123" s="37"/>
      <c r="OL3123" s="37"/>
      <c r="OM3123" s="37"/>
      <c r="ON3123" s="37"/>
      <c r="OO3123" s="37"/>
      <c r="OP3123" s="37"/>
      <c r="OQ3123" s="37"/>
      <c r="OR3123" s="37"/>
      <c r="OS3123" s="37"/>
      <c r="OT3123" s="37"/>
      <c r="OU3123" s="37"/>
      <c r="OV3123" s="37"/>
      <c r="OW3123" s="37"/>
      <c r="OX3123" s="37"/>
      <c r="OY3123" s="37"/>
      <c r="OZ3123" s="37"/>
      <c r="PA3123" s="37"/>
      <c r="PB3123" s="37"/>
      <c r="PC3123" s="37"/>
      <c r="PD3123" s="37"/>
      <c r="PE3123" s="37"/>
      <c r="PF3123" s="37"/>
      <c r="PG3123" s="37"/>
      <c r="PH3123" s="37"/>
      <c r="PI3123" s="37"/>
      <c r="PJ3123" s="37"/>
      <c r="PK3123" s="37"/>
      <c r="PL3123" s="37"/>
      <c r="PM3123" s="37"/>
      <c r="PN3123" s="37"/>
      <c r="PO3123" s="37"/>
      <c r="PP3123" s="37"/>
      <c r="PQ3123" s="37"/>
      <c r="PR3123" s="37"/>
      <c r="PS3123" s="37"/>
      <c r="PT3123" s="37"/>
      <c r="PU3123" s="37"/>
      <c r="PV3123" s="37"/>
      <c r="PW3123" s="37"/>
      <c r="PX3123" s="37"/>
      <c r="PY3123" s="37"/>
      <c r="PZ3123" s="37"/>
      <c r="QA3123" s="37"/>
      <c r="QB3123" s="37"/>
      <c r="QC3123" s="37"/>
      <c r="QD3123" s="37"/>
      <c r="QE3123" s="37"/>
      <c r="QF3123" s="37"/>
      <c r="QG3123" s="37"/>
      <c r="QH3123" s="37"/>
      <c r="QI3123" s="37"/>
      <c r="QJ3123" s="37"/>
      <c r="QK3123" s="37"/>
      <c r="QL3123" s="37"/>
      <c r="QM3123" s="37"/>
      <c r="QN3123" s="37"/>
      <c r="QO3123" s="37"/>
      <c r="QP3123" s="37"/>
      <c r="QQ3123" s="37"/>
      <c r="QR3123" s="37"/>
      <c r="QS3123" s="37"/>
      <c r="QT3123" s="37"/>
      <c r="QU3123" s="37"/>
      <c r="QV3123" s="37"/>
      <c r="QW3123" s="37"/>
      <c r="QX3123" s="37"/>
      <c r="QY3123" s="37"/>
      <c r="QZ3123" s="37"/>
      <c r="RA3123" s="37"/>
      <c r="RB3123" s="37"/>
      <c r="RC3123" s="37"/>
      <c r="RD3123" s="37"/>
      <c r="RE3123" s="37"/>
      <c r="RF3123" s="37"/>
      <c r="RG3123" s="37"/>
      <c r="RH3123" s="37"/>
      <c r="RI3123" s="37"/>
      <c r="RJ3123" s="37"/>
      <c r="RK3123" s="37"/>
      <c r="RL3123" s="37"/>
      <c r="RM3123" s="37"/>
      <c r="RN3123" s="37"/>
      <c r="RO3123" s="37"/>
      <c r="RP3123" s="37"/>
      <c r="RQ3123" s="37"/>
      <c r="RR3123" s="37"/>
      <c r="RS3123" s="37"/>
      <c r="RT3123" s="37"/>
      <c r="RU3123" s="37"/>
      <c r="RV3123" s="37"/>
      <c r="RW3123" s="37"/>
      <c r="RX3123" s="37"/>
      <c r="RY3123" s="37"/>
      <c r="RZ3123" s="37"/>
      <c r="SA3123" s="37"/>
      <c r="SB3123" s="37"/>
      <c r="SC3123" s="37"/>
      <c r="SD3123" s="37"/>
      <c r="SE3123" s="37"/>
      <c r="SF3123" s="37"/>
    </row>
    <row r="3124" spans="1:500">
      <c r="A3124" s="37"/>
      <c r="B3124" s="37"/>
      <c r="C3124" s="37"/>
      <c r="D3124" s="37"/>
      <c r="E3124" s="37"/>
      <c r="F3124" s="37"/>
      <c r="G3124" s="37"/>
      <c r="H3124" s="37"/>
      <c r="I3124" s="37"/>
      <c r="J3124" s="37"/>
      <c r="K3124" s="37"/>
      <c r="L3124" s="37"/>
      <c r="M3124" s="37"/>
      <c r="N3124" s="37"/>
      <c r="O3124" s="37"/>
      <c r="P3124" s="37"/>
      <c r="Q3124" s="37"/>
      <c r="R3124" s="37"/>
      <c r="S3124" s="37"/>
      <c r="T3124" s="37"/>
      <c r="U3124" s="37"/>
      <c r="V3124" s="37"/>
      <c r="W3124" s="37"/>
      <c r="X3124" s="37"/>
      <c r="Y3124" s="37"/>
      <c r="Z3124" s="37"/>
      <c r="AA3124" s="37"/>
      <c r="AB3124" s="37"/>
      <c r="AC3124" s="37"/>
      <c r="AD3124" s="37"/>
      <c r="AE3124" s="37"/>
      <c r="AF3124" s="37"/>
      <c r="AG3124" s="37"/>
      <c r="AH3124" s="37"/>
      <c r="AI3124" s="37"/>
      <c r="AJ3124" s="37"/>
      <c r="AK3124" s="37"/>
      <c r="AL3124" s="37"/>
      <c r="AM3124" s="37"/>
      <c r="AN3124" s="37"/>
      <c r="AO3124" s="37"/>
      <c r="AP3124" s="37"/>
      <c r="AQ3124" s="37"/>
      <c r="AR3124" s="37"/>
      <c r="AS3124" s="37"/>
      <c r="AT3124" s="37"/>
      <c r="AU3124" s="37"/>
      <c r="AV3124" s="37"/>
      <c r="AW3124" s="37"/>
      <c r="AX3124" s="37"/>
      <c r="AY3124" s="37"/>
      <c r="AZ3124" s="37"/>
      <c r="BA3124" s="37"/>
      <c r="BB3124" s="37"/>
      <c r="BC3124" s="37"/>
      <c r="BD3124" s="37"/>
      <c r="BE3124" s="37"/>
      <c r="BF3124" s="37"/>
      <c r="BG3124" s="37"/>
      <c r="BH3124" s="37"/>
      <c r="BI3124" s="37"/>
      <c r="BJ3124" s="37"/>
      <c r="BK3124" s="37"/>
      <c r="BL3124" s="37"/>
      <c r="BM3124" s="37"/>
      <c r="BN3124" s="37"/>
      <c r="BO3124" s="37"/>
      <c r="BP3124" s="37"/>
      <c r="BQ3124" s="37"/>
      <c r="BR3124" s="37"/>
      <c r="BS3124" s="37"/>
      <c r="BT3124" s="37"/>
      <c r="BU3124" s="37"/>
      <c r="BV3124" s="37"/>
      <c r="BW3124" s="37"/>
      <c r="BX3124" s="37"/>
      <c r="BY3124" s="37"/>
      <c r="BZ3124" s="37"/>
      <c r="CA3124" s="37"/>
      <c r="CB3124" s="37"/>
      <c r="CC3124" s="37"/>
      <c r="CD3124" s="37"/>
      <c r="CE3124" s="37"/>
      <c r="CF3124" s="37"/>
      <c r="CG3124" s="37"/>
      <c r="CH3124" s="37"/>
      <c r="CI3124" s="37"/>
      <c r="CJ3124" s="37"/>
      <c r="CK3124" s="37"/>
      <c r="CL3124" s="37"/>
      <c r="CM3124" s="37"/>
      <c r="CN3124" s="37"/>
      <c r="CO3124" s="37"/>
      <c r="CP3124" s="37"/>
      <c r="CQ3124" s="37"/>
      <c r="CR3124" s="37"/>
      <c r="CS3124" s="37"/>
      <c r="CT3124" s="37"/>
      <c r="CU3124" s="37"/>
      <c r="CV3124" s="37"/>
      <c r="CW3124" s="37"/>
      <c r="CX3124" s="37"/>
      <c r="CY3124" s="37"/>
      <c r="CZ3124" s="37"/>
      <c r="DA3124" s="37"/>
      <c r="DB3124" s="37"/>
      <c r="DC3124" s="37"/>
      <c r="DD3124" s="37"/>
      <c r="DE3124" s="37"/>
      <c r="DF3124" s="37"/>
      <c r="DG3124" s="37"/>
      <c r="DH3124" s="37"/>
      <c r="DI3124" s="37"/>
      <c r="DJ3124" s="37"/>
      <c r="DK3124" s="37"/>
      <c r="DL3124" s="37"/>
      <c r="DM3124" s="37"/>
      <c r="DN3124" s="37"/>
      <c r="DO3124" s="37"/>
      <c r="DP3124" s="37"/>
      <c r="DQ3124" s="37"/>
      <c r="DR3124" s="37"/>
      <c r="DS3124" s="37"/>
      <c r="DT3124" s="37"/>
      <c r="DU3124" s="37"/>
      <c r="DV3124" s="37"/>
      <c r="DW3124" s="37"/>
      <c r="DX3124" s="37"/>
      <c r="DY3124" s="37"/>
      <c r="DZ3124" s="37"/>
      <c r="EA3124" s="37"/>
      <c r="EB3124" s="37"/>
      <c r="EC3124" s="37"/>
      <c r="ED3124" s="37"/>
      <c r="EE3124" s="37"/>
      <c r="EF3124" s="37"/>
      <c r="EG3124" s="37"/>
      <c r="EH3124" s="37"/>
      <c r="EI3124" s="37"/>
      <c r="EJ3124" s="37"/>
      <c r="EK3124" s="37"/>
      <c r="EL3124" s="37"/>
      <c r="EM3124" s="37"/>
      <c r="EN3124" s="37"/>
      <c r="EO3124" s="37"/>
      <c r="EP3124" s="37"/>
      <c r="EQ3124" s="37"/>
      <c r="ER3124" s="37"/>
      <c r="ES3124" s="37"/>
      <c r="ET3124" s="37"/>
      <c r="EU3124" s="37"/>
      <c r="EV3124" s="37"/>
      <c r="EW3124" s="37"/>
      <c r="EX3124" s="37"/>
      <c r="EY3124" s="37"/>
      <c r="EZ3124" s="37"/>
      <c r="FA3124" s="37"/>
      <c r="FB3124" s="37"/>
      <c r="FC3124" s="37"/>
      <c r="FD3124" s="37"/>
      <c r="FE3124" s="37"/>
      <c r="FF3124" s="37"/>
      <c r="FG3124" s="37"/>
      <c r="FH3124" s="37"/>
      <c r="FI3124" s="37"/>
      <c r="FJ3124" s="37"/>
      <c r="FK3124" s="37"/>
      <c r="FL3124" s="37"/>
      <c r="FM3124" s="37"/>
      <c r="FN3124" s="37"/>
      <c r="FO3124" s="37"/>
      <c r="FP3124" s="37"/>
      <c r="FQ3124" s="37"/>
      <c r="FR3124" s="37"/>
      <c r="FS3124" s="37"/>
      <c r="FT3124" s="37"/>
      <c r="FU3124" s="37"/>
      <c r="FV3124" s="37"/>
      <c r="FW3124" s="37"/>
      <c r="FX3124" s="37"/>
      <c r="FY3124" s="37"/>
      <c r="FZ3124" s="37"/>
      <c r="GA3124" s="37"/>
      <c r="GB3124" s="37"/>
      <c r="GC3124" s="37"/>
      <c r="GD3124" s="37"/>
      <c r="GE3124" s="37"/>
      <c r="GF3124" s="37"/>
      <c r="GG3124" s="37"/>
      <c r="GH3124" s="37"/>
      <c r="GI3124" s="37"/>
      <c r="GJ3124" s="37"/>
      <c r="GK3124" s="37"/>
      <c r="GL3124" s="37"/>
      <c r="GM3124" s="37"/>
      <c r="GN3124" s="37"/>
      <c r="GO3124" s="37"/>
      <c r="GP3124" s="37"/>
      <c r="GQ3124" s="37"/>
      <c r="GR3124" s="37"/>
      <c r="GS3124" s="37"/>
      <c r="GT3124" s="37"/>
      <c r="GU3124" s="37"/>
      <c r="GV3124" s="37"/>
      <c r="GW3124" s="37"/>
      <c r="GX3124" s="37"/>
      <c r="GY3124" s="37"/>
      <c r="GZ3124" s="37"/>
      <c r="HA3124" s="37"/>
      <c r="HB3124" s="37"/>
      <c r="HC3124" s="37"/>
      <c r="HD3124" s="37"/>
      <c r="HE3124" s="37"/>
      <c r="HF3124" s="37"/>
      <c r="HG3124" s="37"/>
      <c r="HH3124" s="37"/>
      <c r="HI3124" s="37"/>
      <c r="HJ3124" s="37"/>
      <c r="HK3124" s="37"/>
      <c r="HL3124" s="37"/>
      <c r="HM3124" s="37"/>
      <c r="HN3124" s="37"/>
      <c r="HO3124" s="37"/>
      <c r="HP3124" s="37"/>
      <c r="HQ3124" s="37"/>
      <c r="HR3124" s="37"/>
      <c r="HS3124" s="37"/>
      <c r="HT3124" s="37"/>
      <c r="HU3124" s="37"/>
      <c r="HV3124" s="37"/>
      <c r="HW3124" s="37"/>
      <c r="HX3124" s="37"/>
      <c r="HY3124" s="37"/>
      <c r="HZ3124" s="37"/>
      <c r="IA3124" s="37"/>
      <c r="IB3124" s="37"/>
      <c r="IC3124" s="37"/>
      <c r="ID3124" s="37"/>
      <c r="IE3124" s="37"/>
      <c r="IF3124" s="37"/>
      <c r="IG3124" s="37"/>
      <c r="IH3124" s="37"/>
      <c r="II3124" s="37"/>
      <c r="IJ3124" s="37"/>
      <c r="IK3124" s="37"/>
      <c r="IL3124" s="37"/>
      <c r="IM3124" s="37"/>
      <c r="IN3124" s="37"/>
      <c r="IO3124" s="37"/>
      <c r="IP3124" s="37"/>
      <c r="IQ3124" s="37"/>
      <c r="IR3124" s="37"/>
      <c r="IS3124" s="37"/>
      <c r="IT3124" s="37"/>
      <c r="IU3124" s="37"/>
      <c r="IV3124" s="37"/>
      <c r="IW3124" s="37"/>
      <c r="IX3124" s="37"/>
      <c r="IY3124" s="37"/>
      <c r="IZ3124" s="37"/>
      <c r="JA3124" s="37"/>
      <c r="JB3124" s="37"/>
      <c r="JC3124" s="37"/>
      <c r="JD3124" s="37"/>
      <c r="JE3124" s="37"/>
      <c r="JF3124" s="37"/>
      <c r="JG3124" s="37"/>
      <c r="JH3124" s="37"/>
      <c r="JI3124" s="37"/>
      <c r="JJ3124" s="37"/>
      <c r="JK3124" s="37"/>
      <c r="JL3124" s="37"/>
      <c r="JM3124" s="37"/>
      <c r="JN3124" s="37"/>
      <c r="JO3124" s="37"/>
      <c r="JP3124" s="37"/>
      <c r="JQ3124" s="37"/>
      <c r="JR3124" s="37"/>
      <c r="JS3124" s="37"/>
      <c r="JT3124" s="37"/>
      <c r="JU3124" s="37"/>
      <c r="JV3124" s="37"/>
      <c r="JW3124" s="37"/>
      <c r="JX3124" s="37"/>
      <c r="JY3124" s="37"/>
      <c r="JZ3124" s="37"/>
      <c r="KA3124" s="37"/>
      <c r="KB3124" s="37"/>
      <c r="KC3124" s="37"/>
      <c r="KD3124" s="37"/>
      <c r="KE3124" s="37"/>
      <c r="KF3124" s="37"/>
      <c r="KG3124" s="37"/>
      <c r="KH3124" s="37"/>
      <c r="KI3124" s="37"/>
      <c r="KJ3124" s="37"/>
      <c r="KK3124" s="37"/>
      <c r="KL3124" s="37"/>
      <c r="KM3124" s="37"/>
      <c r="KN3124" s="37"/>
      <c r="KO3124" s="37"/>
      <c r="KP3124" s="37"/>
      <c r="KQ3124" s="37"/>
      <c r="KR3124" s="37"/>
      <c r="KS3124" s="37"/>
      <c r="KT3124" s="37"/>
      <c r="KU3124" s="37"/>
      <c r="KV3124" s="37"/>
      <c r="KW3124" s="37"/>
      <c r="KX3124" s="37"/>
      <c r="KY3124" s="37"/>
      <c r="KZ3124" s="37"/>
      <c r="LA3124" s="37"/>
      <c r="LB3124" s="37"/>
      <c r="LC3124" s="37"/>
      <c r="LD3124" s="37"/>
      <c r="LE3124" s="37"/>
      <c r="LF3124" s="37"/>
      <c r="LG3124" s="37"/>
      <c r="LH3124" s="37"/>
      <c r="LI3124" s="37"/>
      <c r="LJ3124" s="37"/>
      <c r="LK3124" s="37"/>
      <c r="LL3124" s="37"/>
      <c r="LM3124" s="37"/>
      <c r="LN3124" s="37"/>
      <c r="LO3124" s="37"/>
      <c r="LP3124" s="37"/>
      <c r="LQ3124" s="37"/>
      <c r="LR3124" s="37"/>
      <c r="LS3124" s="37"/>
      <c r="LT3124" s="37"/>
      <c r="LU3124" s="37"/>
      <c r="LV3124" s="37"/>
      <c r="LW3124" s="37"/>
      <c r="LX3124" s="37"/>
      <c r="LY3124" s="37"/>
      <c r="LZ3124" s="37"/>
      <c r="MA3124" s="37"/>
      <c r="MB3124" s="37"/>
      <c r="MC3124" s="37"/>
      <c r="MD3124" s="37"/>
      <c r="ME3124" s="37"/>
      <c r="MF3124" s="37"/>
      <c r="MG3124" s="37"/>
      <c r="MH3124" s="37"/>
      <c r="MI3124" s="37"/>
      <c r="MJ3124" s="37"/>
      <c r="MK3124" s="37"/>
      <c r="ML3124" s="37"/>
      <c r="MM3124" s="37"/>
      <c r="MN3124" s="37"/>
      <c r="MO3124" s="37"/>
      <c r="MP3124" s="37"/>
      <c r="MQ3124" s="37"/>
      <c r="MR3124" s="37"/>
      <c r="MS3124" s="37"/>
      <c r="MT3124" s="37"/>
      <c r="MU3124" s="37"/>
      <c r="MV3124" s="37"/>
      <c r="MW3124" s="37"/>
      <c r="MX3124" s="37"/>
      <c r="MY3124" s="37"/>
      <c r="MZ3124" s="37"/>
      <c r="NA3124" s="37"/>
      <c r="NB3124" s="37"/>
      <c r="NC3124" s="37"/>
      <c r="ND3124" s="37"/>
      <c r="NE3124" s="37"/>
      <c r="NF3124" s="37"/>
      <c r="NG3124" s="37"/>
      <c r="NH3124" s="37"/>
      <c r="NI3124" s="37"/>
      <c r="NJ3124" s="37"/>
      <c r="NK3124" s="37"/>
      <c r="NL3124" s="37"/>
      <c r="NM3124" s="37"/>
      <c r="NN3124" s="37"/>
      <c r="NO3124" s="37"/>
      <c r="NP3124" s="37"/>
      <c r="NQ3124" s="37"/>
      <c r="NR3124" s="37"/>
      <c r="NS3124" s="37"/>
      <c r="NT3124" s="37"/>
      <c r="NU3124" s="37"/>
      <c r="NV3124" s="37"/>
      <c r="NW3124" s="37"/>
      <c r="NX3124" s="37"/>
      <c r="NY3124" s="37"/>
      <c r="NZ3124" s="37"/>
      <c r="OA3124" s="37"/>
      <c r="OB3124" s="37"/>
      <c r="OC3124" s="37"/>
      <c r="OD3124" s="37"/>
      <c r="OE3124" s="37"/>
      <c r="OF3124" s="37"/>
      <c r="OG3124" s="37"/>
      <c r="OH3124" s="37"/>
      <c r="OI3124" s="37"/>
      <c r="OJ3124" s="37"/>
      <c r="OK3124" s="37"/>
      <c r="OL3124" s="37"/>
      <c r="OM3124" s="37"/>
      <c r="ON3124" s="37"/>
      <c r="OO3124" s="37"/>
      <c r="OP3124" s="37"/>
      <c r="OQ3124" s="37"/>
      <c r="OR3124" s="37"/>
      <c r="OS3124" s="37"/>
      <c r="OT3124" s="37"/>
      <c r="OU3124" s="37"/>
      <c r="OV3124" s="37"/>
      <c r="OW3124" s="37"/>
      <c r="OX3124" s="37"/>
      <c r="OY3124" s="37"/>
      <c r="OZ3124" s="37"/>
      <c r="PA3124" s="37"/>
      <c r="PB3124" s="37"/>
      <c r="PC3124" s="37"/>
      <c r="PD3124" s="37"/>
      <c r="PE3124" s="37"/>
      <c r="PF3124" s="37"/>
      <c r="PG3124" s="37"/>
      <c r="PH3124" s="37"/>
      <c r="PI3124" s="37"/>
      <c r="PJ3124" s="37"/>
      <c r="PK3124" s="37"/>
      <c r="PL3124" s="37"/>
      <c r="PM3124" s="37"/>
      <c r="PN3124" s="37"/>
      <c r="PO3124" s="37"/>
      <c r="PP3124" s="37"/>
      <c r="PQ3124" s="37"/>
      <c r="PR3124" s="37"/>
      <c r="PS3124" s="37"/>
      <c r="PT3124" s="37"/>
      <c r="PU3124" s="37"/>
      <c r="PV3124" s="37"/>
      <c r="PW3124" s="37"/>
      <c r="PX3124" s="37"/>
      <c r="PY3124" s="37"/>
      <c r="PZ3124" s="37"/>
      <c r="QA3124" s="37"/>
      <c r="QB3124" s="37"/>
      <c r="QC3124" s="37"/>
      <c r="QD3124" s="37"/>
      <c r="QE3124" s="37"/>
      <c r="QF3124" s="37"/>
      <c r="QG3124" s="37"/>
      <c r="QH3124" s="37"/>
      <c r="QI3124" s="37"/>
      <c r="QJ3124" s="37"/>
      <c r="QK3124" s="37"/>
      <c r="QL3124" s="37"/>
      <c r="QM3124" s="37"/>
      <c r="QN3124" s="37"/>
      <c r="QO3124" s="37"/>
      <c r="QP3124" s="37"/>
      <c r="QQ3124" s="37"/>
      <c r="QR3124" s="37"/>
      <c r="QS3124" s="37"/>
      <c r="QT3124" s="37"/>
      <c r="QU3124" s="37"/>
      <c r="QV3124" s="37"/>
      <c r="QW3124" s="37"/>
      <c r="QX3124" s="37"/>
      <c r="QY3124" s="37"/>
      <c r="QZ3124" s="37"/>
      <c r="RA3124" s="37"/>
      <c r="RB3124" s="37"/>
      <c r="RC3124" s="37"/>
      <c r="RD3124" s="37"/>
      <c r="RE3124" s="37"/>
      <c r="RF3124" s="37"/>
      <c r="RG3124" s="37"/>
      <c r="RH3124" s="37"/>
      <c r="RI3124" s="37"/>
      <c r="RJ3124" s="37"/>
      <c r="RK3124" s="37"/>
      <c r="RL3124" s="37"/>
      <c r="RM3124" s="37"/>
      <c r="RN3124" s="37"/>
      <c r="RO3124" s="37"/>
      <c r="RP3124" s="37"/>
      <c r="RQ3124" s="37"/>
      <c r="RR3124" s="37"/>
      <c r="RS3124" s="37"/>
      <c r="RT3124" s="37"/>
      <c r="RU3124" s="37"/>
      <c r="RV3124" s="37"/>
      <c r="RW3124" s="37"/>
      <c r="RX3124" s="37"/>
      <c r="RY3124" s="37"/>
      <c r="RZ3124" s="37"/>
      <c r="SA3124" s="37"/>
      <c r="SB3124" s="37"/>
      <c r="SC3124" s="37"/>
      <c r="SD3124" s="37"/>
      <c r="SE3124" s="37"/>
      <c r="SF3124" s="37"/>
    </row>
    <row r="3125" spans="1:500">
      <c r="A3125" s="37"/>
      <c r="B3125" s="37"/>
      <c r="C3125" s="37"/>
      <c r="D3125" s="37"/>
      <c r="E3125" s="37"/>
      <c r="F3125" s="37"/>
      <c r="G3125" s="37"/>
      <c r="H3125" s="37"/>
      <c r="I3125" s="37"/>
      <c r="J3125" s="37"/>
      <c r="K3125" s="37"/>
      <c r="L3125" s="37"/>
      <c r="M3125" s="37"/>
      <c r="N3125" s="37"/>
      <c r="O3125" s="37"/>
      <c r="P3125" s="37"/>
      <c r="Q3125" s="37"/>
      <c r="R3125" s="37"/>
      <c r="S3125" s="37"/>
      <c r="T3125" s="37"/>
      <c r="U3125" s="37"/>
      <c r="V3125" s="37"/>
      <c r="W3125" s="37"/>
      <c r="X3125" s="37"/>
      <c r="Y3125" s="37"/>
      <c r="Z3125" s="37"/>
      <c r="AA3125" s="37"/>
      <c r="AB3125" s="37"/>
      <c r="AC3125" s="37"/>
      <c r="AD3125" s="37"/>
      <c r="AE3125" s="37"/>
      <c r="AF3125" s="37"/>
      <c r="AG3125" s="37"/>
      <c r="AH3125" s="37"/>
      <c r="AI3125" s="37"/>
      <c r="AJ3125" s="37"/>
      <c r="AK3125" s="37"/>
      <c r="AL3125" s="37"/>
      <c r="AM3125" s="37"/>
      <c r="AN3125" s="37"/>
      <c r="AO3125" s="37"/>
      <c r="AP3125" s="37"/>
      <c r="AQ3125" s="37"/>
      <c r="AR3125" s="37"/>
      <c r="AS3125" s="37"/>
      <c r="AT3125" s="37"/>
      <c r="AU3125" s="37"/>
      <c r="AV3125" s="37"/>
      <c r="AW3125" s="37"/>
      <c r="AX3125" s="37"/>
      <c r="AY3125" s="37"/>
      <c r="AZ3125" s="37"/>
      <c r="BA3125" s="37"/>
      <c r="BB3125" s="37"/>
      <c r="BC3125" s="37"/>
      <c r="BD3125" s="37"/>
      <c r="BE3125" s="37"/>
      <c r="BF3125" s="37"/>
      <c r="BG3125" s="37"/>
      <c r="BH3125" s="37"/>
      <c r="BI3125" s="37"/>
      <c r="BJ3125" s="37"/>
      <c r="BK3125" s="37"/>
      <c r="BL3125" s="37"/>
      <c r="BM3125" s="37"/>
      <c r="BN3125" s="37"/>
      <c r="BO3125" s="37"/>
      <c r="BP3125" s="37"/>
      <c r="BQ3125" s="37"/>
      <c r="BR3125" s="37"/>
      <c r="BS3125" s="37"/>
      <c r="BT3125" s="37"/>
      <c r="BU3125" s="37"/>
      <c r="BV3125" s="37"/>
      <c r="BW3125" s="37"/>
      <c r="BX3125" s="37"/>
      <c r="BY3125" s="37"/>
      <c r="BZ3125" s="37"/>
      <c r="CA3125" s="37"/>
      <c r="CB3125" s="37"/>
      <c r="CC3125" s="37"/>
      <c r="CD3125" s="37"/>
      <c r="CE3125" s="37"/>
      <c r="CF3125" s="37"/>
      <c r="CG3125" s="37"/>
      <c r="CH3125" s="37"/>
      <c r="CI3125" s="37"/>
      <c r="CJ3125" s="37"/>
      <c r="CK3125" s="37"/>
      <c r="CL3125" s="37"/>
      <c r="CM3125" s="37"/>
      <c r="CN3125" s="37"/>
      <c r="CO3125" s="37"/>
      <c r="CP3125" s="37"/>
      <c r="CQ3125" s="37"/>
      <c r="CR3125" s="37"/>
      <c r="CS3125" s="37"/>
      <c r="CT3125" s="37"/>
      <c r="CU3125" s="37"/>
      <c r="CV3125" s="37"/>
      <c r="CW3125" s="37"/>
      <c r="CX3125" s="37"/>
      <c r="CY3125" s="37"/>
      <c r="CZ3125" s="37"/>
      <c r="DA3125" s="37"/>
      <c r="DB3125" s="37"/>
      <c r="DC3125" s="37"/>
      <c r="DD3125" s="37"/>
      <c r="DE3125" s="37"/>
      <c r="DF3125" s="37"/>
      <c r="DG3125" s="37"/>
      <c r="DH3125" s="37"/>
      <c r="DI3125" s="37"/>
      <c r="DJ3125" s="37"/>
      <c r="DK3125" s="37"/>
      <c r="DL3125" s="37"/>
      <c r="DM3125" s="37"/>
      <c r="DN3125" s="37"/>
      <c r="DO3125" s="37"/>
      <c r="DP3125" s="37"/>
      <c r="DQ3125" s="37"/>
      <c r="DR3125" s="37"/>
      <c r="DS3125" s="37"/>
      <c r="DT3125" s="37"/>
      <c r="DU3125" s="37"/>
      <c r="DV3125" s="37"/>
      <c r="DW3125" s="37"/>
      <c r="DX3125" s="37"/>
      <c r="DY3125" s="37"/>
      <c r="DZ3125" s="37"/>
      <c r="EA3125" s="37"/>
      <c r="EB3125" s="37"/>
      <c r="EC3125" s="37"/>
      <c r="ED3125" s="37"/>
      <c r="EE3125" s="37"/>
      <c r="EF3125" s="37"/>
      <c r="EG3125" s="37"/>
      <c r="EH3125" s="37"/>
      <c r="EI3125" s="37"/>
      <c r="EJ3125" s="37"/>
      <c r="EK3125" s="37"/>
      <c r="EL3125" s="37"/>
      <c r="EM3125" s="37"/>
      <c r="EN3125" s="37"/>
      <c r="EO3125" s="37"/>
      <c r="EP3125" s="37"/>
      <c r="EQ3125" s="37"/>
      <c r="ER3125" s="37"/>
      <c r="ES3125" s="37"/>
      <c r="ET3125" s="37"/>
      <c r="EU3125" s="37"/>
      <c r="EV3125" s="37"/>
      <c r="EW3125" s="37"/>
      <c r="EX3125" s="37"/>
      <c r="EY3125" s="37"/>
      <c r="EZ3125" s="37"/>
      <c r="FA3125" s="37"/>
      <c r="FB3125" s="37"/>
      <c r="FC3125" s="37"/>
      <c r="FD3125" s="37"/>
      <c r="FE3125" s="37"/>
      <c r="FF3125" s="37"/>
      <c r="FG3125" s="37"/>
      <c r="FH3125" s="37"/>
      <c r="FI3125" s="37"/>
      <c r="FJ3125" s="37"/>
      <c r="FK3125" s="37"/>
      <c r="FL3125" s="37"/>
      <c r="FM3125" s="37"/>
      <c r="FN3125" s="37"/>
      <c r="FO3125" s="37"/>
      <c r="FP3125" s="37"/>
      <c r="FQ3125" s="37"/>
      <c r="FR3125" s="37"/>
      <c r="FS3125" s="37"/>
      <c r="FT3125" s="37"/>
      <c r="FU3125" s="37"/>
      <c r="FV3125" s="37"/>
      <c r="FW3125" s="37"/>
      <c r="FX3125" s="37"/>
      <c r="FY3125" s="37"/>
      <c r="FZ3125" s="37"/>
      <c r="GA3125" s="37"/>
      <c r="GB3125" s="37"/>
      <c r="GC3125" s="37"/>
      <c r="GD3125" s="37"/>
      <c r="GE3125" s="37"/>
      <c r="GF3125" s="37"/>
      <c r="GG3125" s="37"/>
      <c r="GH3125" s="37"/>
      <c r="GI3125" s="37"/>
      <c r="GJ3125" s="37"/>
      <c r="GK3125" s="37"/>
      <c r="GL3125" s="37"/>
      <c r="GM3125" s="37"/>
      <c r="GN3125" s="37"/>
      <c r="GO3125" s="37"/>
      <c r="GP3125" s="37"/>
      <c r="GQ3125" s="37"/>
      <c r="GR3125" s="37"/>
      <c r="GS3125" s="37"/>
      <c r="GT3125" s="37"/>
      <c r="GU3125" s="37"/>
      <c r="GV3125" s="37"/>
      <c r="GW3125" s="37"/>
      <c r="GX3125" s="37"/>
      <c r="GY3125" s="37"/>
      <c r="GZ3125" s="37"/>
      <c r="HA3125" s="37"/>
      <c r="HB3125" s="37"/>
      <c r="HC3125" s="37"/>
      <c r="HD3125" s="37"/>
      <c r="HE3125" s="37"/>
      <c r="HF3125" s="37"/>
      <c r="HG3125" s="37"/>
      <c r="HH3125" s="37"/>
      <c r="HI3125" s="37"/>
      <c r="HJ3125" s="37"/>
      <c r="HK3125" s="37"/>
      <c r="HL3125" s="37"/>
      <c r="HM3125" s="37"/>
      <c r="HN3125" s="37"/>
      <c r="HO3125" s="37"/>
      <c r="HP3125" s="37"/>
      <c r="HQ3125" s="37"/>
      <c r="HR3125" s="37"/>
      <c r="HS3125" s="37"/>
      <c r="HT3125" s="37"/>
      <c r="HU3125" s="37"/>
      <c r="HV3125" s="37"/>
      <c r="HW3125" s="37"/>
      <c r="HX3125" s="37"/>
      <c r="HY3125" s="37"/>
      <c r="HZ3125" s="37"/>
      <c r="IA3125" s="37"/>
      <c r="IB3125" s="37"/>
      <c r="IC3125" s="37"/>
      <c r="ID3125" s="37"/>
      <c r="IE3125" s="37"/>
      <c r="IF3125" s="37"/>
      <c r="IG3125" s="37"/>
      <c r="IH3125" s="37"/>
      <c r="II3125" s="37"/>
      <c r="IJ3125" s="37"/>
      <c r="IK3125" s="37"/>
      <c r="IL3125" s="37"/>
      <c r="IM3125" s="37"/>
      <c r="IN3125" s="37"/>
      <c r="IO3125" s="37"/>
      <c r="IP3125" s="37"/>
      <c r="IQ3125" s="37"/>
      <c r="IR3125" s="37"/>
      <c r="IS3125" s="37"/>
      <c r="IT3125" s="37"/>
      <c r="IU3125" s="37"/>
      <c r="IV3125" s="37"/>
      <c r="IW3125" s="37"/>
      <c r="IX3125" s="37"/>
      <c r="IY3125" s="37"/>
      <c r="IZ3125" s="37"/>
      <c r="JA3125" s="37"/>
      <c r="JB3125" s="37"/>
      <c r="JC3125" s="37"/>
      <c r="JD3125" s="37"/>
      <c r="JE3125" s="37"/>
      <c r="JF3125" s="37"/>
      <c r="JG3125" s="37"/>
      <c r="JH3125" s="37"/>
      <c r="JI3125" s="37"/>
      <c r="JJ3125" s="37"/>
      <c r="JK3125" s="37"/>
      <c r="JL3125" s="37"/>
      <c r="JM3125" s="37"/>
      <c r="JN3125" s="37"/>
      <c r="JO3125" s="37"/>
      <c r="JP3125" s="37"/>
      <c r="JQ3125" s="37"/>
      <c r="JR3125" s="37"/>
      <c r="JS3125" s="37"/>
      <c r="JT3125" s="37"/>
      <c r="JU3125" s="37"/>
      <c r="JV3125" s="37"/>
      <c r="JW3125" s="37"/>
      <c r="JX3125" s="37"/>
      <c r="JY3125" s="37"/>
      <c r="JZ3125" s="37"/>
      <c r="KA3125" s="37"/>
      <c r="KB3125" s="37"/>
      <c r="KC3125" s="37"/>
      <c r="KD3125" s="37"/>
      <c r="KE3125" s="37"/>
      <c r="KF3125" s="37"/>
      <c r="KG3125" s="37"/>
      <c r="KH3125" s="37"/>
      <c r="KI3125" s="37"/>
      <c r="KJ3125" s="37"/>
      <c r="KK3125" s="37"/>
      <c r="KL3125" s="37"/>
      <c r="KM3125" s="37"/>
      <c r="KN3125" s="37"/>
      <c r="KO3125" s="37"/>
      <c r="KP3125" s="37"/>
      <c r="KQ3125" s="37"/>
      <c r="KR3125" s="37"/>
      <c r="KS3125" s="37"/>
      <c r="KT3125" s="37"/>
      <c r="KU3125" s="37"/>
      <c r="KV3125" s="37"/>
      <c r="KW3125" s="37"/>
      <c r="KX3125" s="37"/>
      <c r="KY3125" s="37"/>
      <c r="KZ3125" s="37"/>
      <c r="LA3125" s="37"/>
      <c r="LB3125" s="37"/>
      <c r="LC3125" s="37"/>
      <c r="LD3125" s="37"/>
      <c r="LE3125" s="37"/>
      <c r="LF3125" s="37"/>
      <c r="LG3125" s="37"/>
      <c r="LH3125" s="37"/>
      <c r="LI3125" s="37"/>
      <c r="LJ3125" s="37"/>
      <c r="LK3125" s="37"/>
      <c r="LL3125" s="37"/>
      <c r="LM3125" s="37"/>
      <c r="LN3125" s="37"/>
      <c r="LO3125" s="37"/>
      <c r="LP3125" s="37"/>
      <c r="LQ3125" s="37"/>
      <c r="LR3125" s="37"/>
      <c r="LS3125" s="37"/>
      <c r="LT3125" s="37"/>
      <c r="LU3125" s="37"/>
      <c r="LV3125" s="37"/>
      <c r="LW3125" s="37"/>
      <c r="LX3125" s="37"/>
      <c r="LY3125" s="37"/>
      <c r="LZ3125" s="37"/>
      <c r="MA3125" s="37"/>
      <c r="MB3125" s="37"/>
      <c r="MC3125" s="37"/>
      <c r="MD3125" s="37"/>
      <c r="ME3125" s="37"/>
      <c r="MF3125" s="37"/>
      <c r="MG3125" s="37"/>
      <c r="MH3125" s="37"/>
      <c r="MI3125" s="37"/>
      <c r="MJ3125" s="37"/>
      <c r="MK3125" s="37"/>
      <c r="ML3125" s="37"/>
      <c r="MM3125" s="37"/>
      <c r="MN3125" s="37"/>
      <c r="MO3125" s="37"/>
      <c r="MP3125" s="37"/>
      <c r="MQ3125" s="37"/>
      <c r="MR3125" s="37"/>
      <c r="MS3125" s="37"/>
      <c r="MT3125" s="37"/>
      <c r="MU3125" s="37"/>
      <c r="MV3125" s="37"/>
      <c r="MW3125" s="37"/>
      <c r="MX3125" s="37"/>
      <c r="MY3125" s="37"/>
      <c r="MZ3125" s="37"/>
      <c r="NA3125" s="37"/>
      <c r="NB3125" s="37"/>
      <c r="NC3125" s="37"/>
      <c r="ND3125" s="37"/>
      <c r="NE3125" s="37"/>
      <c r="NF3125" s="37"/>
      <c r="NG3125" s="37"/>
      <c r="NH3125" s="37"/>
      <c r="NI3125" s="37"/>
      <c r="NJ3125" s="37"/>
      <c r="NK3125" s="37"/>
      <c r="NL3125" s="37"/>
      <c r="NM3125" s="37"/>
      <c r="NN3125" s="37"/>
      <c r="NO3125" s="37"/>
      <c r="NP3125" s="37"/>
      <c r="NQ3125" s="37"/>
      <c r="NR3125" s="37"/>
      <c r="NS3125" s="37"/>
      <c r="NT3125" s="37"/>
      <c r="NU3125" s="37"/>
      <c r="NV3125" s="37"/>
      <c r="NW3125" s="37"/>
      <c r="NX3125" s="37"/>
      <c r="NY3125" s="37"/>
      <c r="NZ3125" s="37"/>
      <c r="OA3125" s="37"/>
      <c r="OB3125" s="37"/>
      <c r="OC3125" s="37"/>
      <c r="OD3125" s="37"/>
      <c r="OE3125" s="37"/>
      <c r="OF3125" s="37"/>
      <c r="OG3125" s="37"/>
      <c r="OH3125" s="37"/>
      <c r="OI3125" s="37"/>
      <c r="OJ3125" s="37"/>
      <c r="OK3125" s="37"/>
      <c r="OL3125" s="37"/>
      <c r="OM3125" s="37"/>
      <c r="ON3125" s="37"/>
      <c r="OO3125" s="37"/>
      <c r="OP3125" s="37"/>
      <c r="OQ3125" s="37"/>
      <c r="OR3125" s="37"/>
      <c r="OS3125" s="37"/>
      <c r="OT3125" s="37"/>
      <c r="OU3125" s="37"/>
      <c r="OV3125" s="37"/>
      <c r="OW3125" s="37"/>
      <c r="OX3125" s="37"/>
      <c r="OY3125" s="37"/>
      <c r="OZ3125" s="37"/>
      <c r="PA3125" s="37"/>
      <c r="PB3125" s="37"/>
      <c r="PC3125" s="37"/>
      <c r="PD3125" s="37"/>
      <c r="PE3125" s="37"/>
      <c r="PF3125" s="37"/>
      <c r="PG3125" s="37"/>
      <c r="PH3125" s="37"/>
      <c r="PI3125" s="37"/>
      <c r="PJ3125" s="37"/>
      <c r="PK3125" s="37"/>
      <c r="PL3125" s="37"/>
      <c r="PM3125" s="37"/>
      <c r="PN3125" s="37"/>
      <c r="PO3125" s="37"/>
      <c r="PP3125" s="37"/>
      <c r="PQ3125" s="37"/>
      <c r="PR3125" s="37"/>
      <c r="PS3125" s="37"/>
      <c r="PT3125" s="37"/>
      <c r="PU3125" s="37"/>
      <c r="PV3125" s="37"/>
      <c r="PW3125" s="37"/>
      <c r="PX3125" s="37"/>
      <c r="PY3125" s="37"/>
      <c r="PZ3125" s="37"/>
      <c r="QA3125" s="37"/>
      <c r="QB3125" s="37"/>
      <c r="QC3125" s="37"/>
      <c r="QD3125" s="37"/>
      <c r="QE3125" s="37"/>
      <c r="QF3125" s="37"/>
      <c r="QG3125" s="37"/>
      <c r="QH3125" s="37"/>
      <c r="QI3125" s="37"/>
      <c r="QJ3125" s="37"/>
      <c r="QK3125" s="37"/>
      <c r="QL3125" s="37"/>
      <c r="QM3125" s="37"/>
      <c r="QN3125" s="37"/>
      <c r="QO3125" s="37"/>
      <c r="QP3125" s="37"/>
      <c r="QQ3125" s="37"/>
      <c r="QR3125" s="37"/>
      <c r="QS3125" s="37"/>
      <c r="QT3125" s="37"/>
      <c r="QU3125" s="37"/>
      <c r="QV3125" s="37"/>
      <c r="QW3125" s="37"/>
      <c r="QX3125" s="37"/>
      <c r="QY3125" s="37"/>
      <c r="QZ3125" s="37"/>
      <c r="RA3125" s="37"/>
      <c r="RB3125" s="37"/>
      <c r="RC3125" s="37"/>
      <c r="RD3125" s="37"/>
      <c r="RE3125" s="37"/>
      <c r="RF3125" s="37"/>
      <c r="RG3125" s="37"/>
      <c r="RH3125" s="37"/>
      <c r="RI3125" s="37"/>
      <c r="RJ3125" s="37"/>
      <c r="RK3125" s="37"/>
      <c r="RL3125" s="37"/>
      <c r="RM3125" s="37"/>
      <c r="RN3125" s="37"/>
      <c r="RO3125" s="37"/>
      <c r="RP3125" s="37"/>
      <c r="RQ3125" s="37"/>
      <c r="RR3125" s="37"/>
      <c r="RS3125" s="37"/>
      <c r="RT3125" s="37"/>
      <c r="RU3125" s="37"/>
      <c r="RV3125" s="37"/>
      <c r="RW3125" s="37"/>
      <c r="RX3125" s="37"/>
      <c r="RY3125" s="37"/>
      <c r="RZ3125" s="37"/>
      <c r="SA3125" s="37"/>
      <c r="SB3125" s="37"/>
      <c r="SC3125" s="37"/>
      <c r="SD3125" s="37"/>
      <c r="SE3125" s="37"/>
      <c r="SF3125" s="37"/>
    </row>
    <row r="3126" spans="1:500">
      <c r="A3126" s="37"/>
      <c r="B3126" s="37"/>
      <c r="C3126" s="37"/>
      <c r="D3126" s="37"/>
      <c r="E3126" s="37"/>
      <c r="F3126" s="37"/>
      <c r="G3126" s="37"/>
      <c r="H3126" s="37"/>
      <c r="I3126" s="37"/>
      <c r="J3126" s="37"/>
      <c r="K3126" s="37"/>
      <c r="L3126" s="37"/>
      <c r="M3126" s="37"/>
      <c r="N3126" s="37"/>
      <c r="O3126" s="37"/>
      <c r="P3126" s="37"/>
      <c r="Q3126" s="37"/>
      <c r="R3126" s="37"/>
      <c r="S3126" s="37"/>
      <c r="T3126" s="37"/>
      <c r="U3126" s="37"/>
      <c r="V3126" s="37"/>
      <c r="W3126" s="37"/>
      <c r="X3126" s="37"/>
      <c r="Y3126" s="37"/>
      <c r="Z3126" s="37"/>
      <c r="AA3126" s="37"/>
      <c r="AB3126" s="37"/>
      <c r="AC3126" s="37"/>
      <c r="AD3126" s="37"/>
      <c r="AE3126" s="37"/>
      <c r="AF3126" s="37"/>
      <c r="AG3126" s="37"/>
      <c r="AH3126" s="37"/>
      <c r="AI3126" s="37"/>
      <c r="AJ3126" s="37"/>
      <c r="AK3126" s="37"/>
      <c r="AL3126" s="37"/>
      <c r="AM3126" s="37"/>
      <c r="AN3126" s="37"/>
      <c r="AO3126" s="37"/>
      <c r="AP3126" s="37"/>
      <c r="AQ3126" s="37"/>
      <c r="AR3126" s="37"/>
      <c r="AS3126" s="37"/>
      <c r="AT3126" s="37"/>
      <c r="AU3126" s="37"/>
      <c r="AV3126" s="37"/>
      <c r="AW3126" s="37"/>
      <c r="AX3126" s="37"/>
      <c r="AY3126" s="37"/>
      <c r="AZ3126" s="37"/>
      <c r="BA3126" s="37"/>
      <c r="BB3126" s="37"/>
      <c r="BC3126" s="37"/>
      <c r="BD3126" s="37"/>
      <c r="BE3126" s="37"/>
      <c r="BF3126" s="37"/>
      <c r="BG3126" s="37"/>
      <c r="BH3126" s="37"/>
      <c r="BI3126" s="37"/>
      <c r="BJ3126" s="37"/>
      <c r="BK3126" s="37"/>
      <c r="BL3126" s="37"/>
      <c r="BM3126" s="37"/>
      <c r="BN3126" s="37"/>
      <c r="BO3126" s="37"/>
      <c r="BP3126" s="37"/>
      <c r="BQ3126" s="37"/>
      <c r="BR3126" s="37"/>
      <c r="BS3126" s="37"/>
      <c r="BT3126" s="37"/>
      <c r="BU3126" s="37"/>
      <c r="BV3126" s="37"/>
      <c r="BW3126" s="37"/>
      <c r="BX3126" s="37"/>
      <c r="BY3126" s="37"/>
      <c r="BZ3126" s="37"/>
      <c r="CA3126" s="37"/>
      <c r="CB3126" s="37"/>
      <c r="CC3126" s="37"/>
      <c r="CD3126" s="37"/>
      <c r="CE3126" s="37"/>
      <c r="CF3126" s="37"/>
      <c r="CG3126" s="37"/>
      <c r="CH3126" s="37"/>
      <c r="CI3126" s="37"/>
      <c r="CJ3126" s="37"/>
      <c r="CK3126" s="37"/>
      <c r="CL3126" s="37"/>
      <c r="CM3126" s="37"/>
      <c r="CN3126" s="37"/>
      <c r="CO3126" s="37"/>
      <c r="CP3126" s="37"/>
      <c r="CQ3126" s="37"/>
      <c r="CR3126" s="37"/>
      <c r="CS3126" s="37"/>
      <c r="CT3126" s="37"/>
      <c r="CU3126" s="37"/>
      <c r="CV3126" s="37"/>
      <c r="CW3126" s="37"/>
      <c r="CX3126" s="37"/>
      <c r="CY3126" s="37"/>
      <c r="CZ3126" s="37"/>
      <c r="DA3126" s="37"/>
      <c r="DB3126" s="37"/>
      <c r="DC3126" s="37"/>
      <c r="DD3126" s="37"/>
      <c r="DE3126" s="37"/>
      <c r="DF3126" s="37"/>
      <c r="DG3126" s="37"/>
      <c r="DH3126" s="37"/>
      <c r="DI3126" s="37"/>
      <c r="DJ3126" s="37"/>
      <c r="DK3126" s="37"/>
      <c r="DL3126" s="37"/>
      <c r="DM3126" s="37"/>
      <c r="DN3126" s="37"/>
      <c r="DO3126" s="37"/>
      <c r="DP3126" s="37"/>
      <c r="DQ3126" s="37"/>
      <c r="DR3126" s="37"/>
      <c r="DS3126" s="37"/>
      <c r="DT3126" s="37"/>
      <c r="DU3126" s="37"/>
      <c r="DV3126" s="37"/>
      <c r="DW3126" s="37"/>
      <c r="DX3126" s="37"/>
      <c r="DY3126" s="37"/>
      <c r="DZ3126" s="37"/>
      <c r="EA3126" s="37"/>
      <c r="EB3126" s="37"/>
      <c r="EC3126" s="37"/>
      <c r="ED3126" s="37"/>
      <c r="EE3126" s="37"/>
      <c r="EF3126" s="37"/>
      <c r="EG3126" s="37"/>
      <c r="EH3126" s="37"/>
      <c r="EI3126" s="37"/>
      <c r="EJ3126" s="37"/>
      <c r="EK3126" s="37"/>
      <c r="EL3126" s="37"/>
      <c r="EM3126" s="37"/>
      <c r="EN3126" s="37"/>
      <c r="EO3126" s="37"/>
      <c r="EP3126" s="37"/>
      <c r="EQ3126" s="37"/>
      <c r="ER3126" s="37"/>
      <c r="ES3126" s="37"/>
      <c r="ET3126" s="37"/>
      <c r="EU3126" s="37"/>
      <c r="EV3126" s="37"/>
      <c r="EW3126" s="37"/>
      <c r="EX3126" s="37"/>
      <c r="EY3126" s="37"/>
      <c r="EZ3126" s="37"/>
      <c r="FA3126" s="37"/>
      <c r="FB3126" s="37"/>
      <c r="FC3126" s="37"/>
      <c r="FD3126" s="37"/>
      <c r="FE3126" s="37"/>
      <c r="FF3126" s="37"/>
      <c r="FG3126" s="37"/>
      <c r="FH3126" s="37"/>
      <c r="FI3126" s="37"/>
      <c r="FJ3126" s="37"/>
      <c r="FK3126" s="37"/>
      <c r="FL3126" s="37"/>
      <c r="FM3126" s="37"/>
      <c r="FN3126" s="37"/>
      <c r="FO3126" s="37"/>
      <c r="FP3126" s="37"/>
      <c r="FQ3126" s="37"/>
      <c r="FR3126" s="37"/>
      <c r="FS3126" s="37"/>
      <c r="FT3126" s="37"/>
      <c r="FU3126" s="37"/>
      <c r="FV3126" s="37"/>
      <c r="FW3126" s="37"/>
      <c r="FX3126" s="37"/>
      <c r="FY3126" s="37"/>
      <c r="FZ3126" s="37"/>
      <c r="GA3126" s="37"/>
      <c r="GB3126" s="37"/>
      <c r="GC3126" s="37"/>
      <c r="GD3126" s="37"/>
      <c r="GE3126" s="37"/>
      <c r="GF3126" s="37"/>
      <c r="GG3126" s="37"/>
      <c r="GH3126" s="37"/>
      <c r="GI3126" s="37"/>
      <c r="GJ3126" s="37"/>
      <c r="GK3126" s="37"/>
      <c r="GL3126" s="37"/>
      <c r="GM3126" s="37"/>
      <c r="GN3126" s="37"/>
      <c r="GO3126" s="37"/>
      <c r="GP3126" s="37"/>
      <c r="GQ3126" s="37"/>
      <c r="GR3126" s="37"/>
      <c r="GS3126" s="37"/>
      <c r="GT3126" s="37"/>
      <c r="GU3126" s="37"/>
      <c r="GV3126" s="37"/>
      <c r="GW3126" s="37"/>
      <c r="GX3126" s="37"/>
      <c r="GY3126" s="37"/>
      <c r="GZ3126" s="37"/>
      <c r="HA3126" s="37"/>
      <c r="HB3126" s="37"/>
      <c r="HC3126" s="37"/>
      <c r="HD3126" s="37"/>
      <c r="HE3126" s="37"/>
      <c r="HF3126" s="37"/>
      <c r="HG3126" s="37"/>
      <c r="HH3126" s="37"/>
      <c r="HI3126" s="37"/>
      <c r="HJ3126" s="37"/>
      <c r="HK3126" s="37"/>
      <c r="HL3126" s="37"/>
      <c r="HM3126" s="37"/>
      <c r="HN3126" s="37"/>
      <c r="HO3126" s="37"/>
      <c r="HP3126" s="37"/>
      <c r="HQ3126" s="37"/>
      <c r="HR3126" s="37"/>
      <c r="HS3126" s="37"/>
      <c r="HT3126" s="37"/>
      <c r="HU3126" s="37"/>
      <c r="HV3126" s="37"/>
      <c r="HW3126" s="37"/>
      <c r="HX3126" s="37"/>
      <c r="HY3126" s="37"/>
      <c r="HZ3126" s="37"/>
      <c r="IA3126" s="37"/>
      <c r="IB3126" s="37"/>
      <c r="IC3126" s="37"/>
      <c r="ID3126" s="37"/>
      <c r="IE3126" s="37"/>
      <c r="IF3126" s="37"/>
      <c r="IG3126" s="37"/>
      <c r="IH3126" s="37"/>
      <c r="II3126" s="37"/>
      <c r="IJ3126" s="37"/>
      <c r="IK3126" s="37"/>
      <c r="IL3126" s="37"/>
      <c r="IM3126" s="37"/>
      <c r="IN3126" s="37"/>
      <c r="IO3126" s="37"/>
      <c r="IP3126" s="37"/>
      <c r="IQ3126" s="37"/>
      <c r="IR3126" s="37"/>
      <c r="IS3126" s="37"/>
      <c r="IT3126" s="37"/>
      <c r="IU3126" s="37"/>
      <c r="IV3126" s="37"/>
      <c r="IW3126" s="37"/>
      <c r="IX3126" s="37"/>
      <c r="IY3126" s="37"/>
      <c r="IZ3126" s="37"/>
      <c r="JA3126" s="37"/>
      <c r="JB3126" s="37"/>
      <c r="JC3126" s="37"/>
      <c r="JD3126" s="37"/>
      <c r="JE3126" s="37"/>
      <c r="JF3126" s="37"/>
      <c r="JG3126" s="37"/>
      <c r="JH3126" s="37"/>
      <c r="JI3126" s="37"/>
      <c r="JJ3126" s="37"/>
      <c r="JK3126" s="37"/>
      <c r="JL3126" s="37"/>
      <c r="JM3126" s="37"/>
      <c r="JN3126" s="37"/>
      <c r="JO3126" s="37"/>
      <c r="JP3126" s="37"/>
      <c r="JQ3126" s="37"/>
      <c r="JR3126" s="37"/>
      <c r="JS3126" s="37"/>
      <c r="JT3126" s="37"/>
      <c r="JU3126" s="37"/>
      <c r="JV3126" s="37"/>
      <c r="JW3126" s="37"/>
      <c r="JX3126" s="37"/>
      <c r="JY3126" s="37"/>
      <c r="JZ3126" s="37"/>
      <c r="KA3126" s="37"/>
      <c r="KB3126" s="37"/>
      <c r="KC3126" s="37"/>
      <c r="KD3126" s="37"/>
      <c r="KE3126" s="37"/>
      <c r="KF3126" s="37"/>
      <c r="KG3126" s="37"/>
      <c r="KH3126" s="37"/>
      <c r="KI3126" s="37"/>
      <c r="KJ3126" s="37"/>
      <c r="KK3126" s="37"/>
      <c r="KL3126" s="37"/>
      <c r="KM3126" s="37"/>
      <c r="KN3126" s="37"/>
      <c r="KO3126" s="37"/>
      <c r="KP3126" s="37"/>
      <c r="KQ3126" s="37"/>
      <c r="KR3126" s="37"/>
      <c r="KS3126" s="37"/>
      <c r="KT3126" s="37"/>
      <c r="KU3126" s="37"/>
      <c r="KV3126" s="37"/>
      <c r="KW3126" s="37"/>
      <c r="KX3126" s="37"/>
      <c r="KY3126" s="37"/>
      <c r="KZ3126" s="37"/>
      <c r="LA3126" s="37"/>
      <c r="LB3126" s="37"/>
      <c r="LC3126" s="37"/>
      <c r="LD3126" s="37"/>
      <c r="LE3126" s="37"/>
      <c r="LF3126" s="37"/>
      <c r="LG3126" s="37"/>
      <c r="LH3126" s="37"/>
      <c r="LI3126" s="37"/>
      <c r="LJ3126" s="37"/>
      <c r="LK3126" s="37"/>
      <c r="LL3126" s="37"/>
      <c r="LM3126" s="37"/>
      <c r="LN3126" s="37"/>
      <c r="LO3126" s="37"/>
      <c r="LP3126" s="37"/>
      <c r="LQ3126" s="37"/>
      <c r="LR3126" s="37"/>
      <c r="LS3126" s="37"/>
      <c r="LT3126" s="37"/>
      <c r="LU3126" s="37"/>
      <c r="LV3126" s="37"/>
      <c r="LW3126" s="37"/>
      <c r="LX3126" s="37"/>
      <c r="LY3126" s="37"/>
      <c r="LZ3126" s="37"/>
      <c r="MA3126" s="37"/>
      <c r="MB3126" s="37"/>
      <c r="MC3126" s="37"/>
      <c r="MD3126" s="37"/>
      <c r="ME3126" s="37"/>
      <c r="MF3126" s="37"/>
      <c r="MG3126" s="37"/>
      <c r="MH3126" s="37"/>
      <c r="MI3126" s="37"/>
      <c r="MJ3126" s="37"/>
      <c r="MK3126" s="37"/>
      <c r="ML3126" s="37"/>
      <c r="MM3126" s="37"/>
      <c r="MN3126" s="37"/>
      <c r="MO3126" s="37"/>
      <c r="MP3126" s="37"/>
      <c r="MQ3126" s="37"/>
      <c r="MR3126" s="37"/>
      <c r="MS3126" s="37"/>
      <c r="MT3126" s="37"/>
      <c r="MU3126" s="37"/>
      <c r="MV3126" s="37"/>
      <c r="MW3126" s="37"/>
      <c r="MX3126" s="37"/>
      <c r="MY3126" s="37"/>
      <c r="MZ3126" s="37"/>
      <c r="NA3126" s="37"/>
      <c r="NB3126" s="37"/>
      <c r="NC3126" s="37"/>
      <c r="ND3126" s="37"/>
      <c r="NE3126" s="37"/>
      <c r="NF3126" s="37"/>
      <c r="NG3126" s="37"/>
      <c r="NH3126" s="37"/>
      <c r="NI3126" s="37"/>
      <c r="NJ3126" s="37"/>
      <c r="NK3126" s="37"/>
      <c r="NL3126" s="37"/>
      <c r="NM3126" s="37"/>
      <c r="NN3126" s="37"/>
      <c r="NO3126" s="37"/>
      <c r="NP3126" s="37"/>
      <c r="NQ3126" s="37"/>
      <c r="NR3126" s="37"/>
      <c r="NS3126" s="37"/>
      <c r="NT3126" s="37"/>
      <c r="NU3126" s="37"/>
      <c r="NV3126" s="37"/>
      <c r="NW3126" s="37"/>
      <c r="NX3126" s="37"/>
      <c r="NY3126" s="37"/>
      <c r="NZ3126" s="37"/>
      <c r="OA3126" s="37"/>
      <c r="OB3126" s="37"/>
      <c r="OC3126" s="37"/>
      <c r="OD3126" s="37"/>
      <c r="OE3126" s="37"/>
      <c r="OF3126" s="37"/>
      <c r="OG3126" s="37"/>
      <c r="OH3126" s="37"/>
      <c r="OI3126" s="37"/>
      <c r="OJ3126" s="37"/>
      <c r="OK3126" s="37"/>
      <c r="OL3126" s="37"/>
      <c r="OM3126" s="37"/>
      <c r="ON3126" s="37"/>
      <c r="OO3126" s="37"/>
      <c r="OP3126" s="37"/>
      <c r="OQ3126" s="37"/>
      <c r="OR3126" s="37"/>
      <c r="OS3126" s="37"/>
      <c r="OT3126" s="37"/>
      <c r="OU3126" s="37"/>
      <c r="OV3126" s="37"/>
      <c r="OW3126" s="37"/>
      <c r="OX3126" s="37"/>
      <c r="OY3126" s="37"/>
      <c r="OZ3126" s="37"/>
      <c r="PA3126" s="37"/>
      <c r="PB3126" s="37"/>
      <c r="PC3126" s="37"/>
      <c r="PD3126" s="37"/>
      <c r="PE3126" s="37"/>
      <c r="PF3126" s="37"/>
      <c r="PG3126" s="37"/>
      <c r="PH3126" s="37"/>
      <c r="PI3126" s="37"/>
      <c r="PJ3126" s="37"/>
      <c r="PK3126" s="37"/>
      <c r="PL3126" s="37"/>
      <c r="PM3126" s="37"/>
      <c r="PN3126" s="37"/>
      <c r="PO3126" s="37"/>
      <c r="PP3126" s="37"/>
      <c r="PQ3126" s="37"/>
      <c r="PR3126" s="37"/>
      <c r="PS3126" s="37"/>
      <c r="PT3126" s="37"/>
      <c r="PU3126" s="37"/>
      <c r="PV3126" s="37"/>
      <c r="PW3126" s="37"/>
      <c r="PX3126" s="37"/>
      <c r="PY3126" s="37"/>
      <c r="PZ3126" s="37"/>
      <c r="QA3126" s="37"/>
      <c r="QB3126" s="37"/>
      <c r="QC3126" s="37"/>
      <c r="QD3126" s="37"/>
      <c r="QE3126" s="37"/>
      <c r="QF3126" s="37"/>
      <c r="QG3126" s="37"/>
      <c r="QH3126" s="37"/>
      <c r="QI3126" s="37"/>
      <c r="QJ3126" s="37"/>
      <c r="QK3126" s="37"/>
      <c r="QL3126" s="37"/>
      <c r="QM3126" s="37"/>
      <c r="QN3126" s="37"/>
      <c r="QO3126" s="37"/>
      <c r="QP3126" s="37"/>
      <c r="QQ3126" s="37"/>
      <c r="QR3126" s="37"/>
      <c r="QS3126" s="37"/>
      <c r="QT3126" s="37"/>
      <c r="QU3126" s="37"/>
      <c r="QV3126" s="37"/>
      <c r="QW3126" s="37"/>
      <c r="QX3126" s="37"/>
      <c r="QY3126" s="37"/>
      <c r="QZ3126" s="37"/>
      <c r="RA3126" s="37"/>
      <c r="RB3126" s="37"/>
      <c r="RC3126" s="37"/>
      <c r="RD3126" s="37"/>
      <c r="RE3126" s="37"/>
      <c r="RF3126" s="37"/>
      <c r="RG3126" s="37"/>
      <c r="RH3126" s="37"/>
      <c r="RI3126" s="37"/>
      <c r="RJ3126" s="37"/>
      <c r="RK3126" s="37"/>
      <c r="RL3126" s="37"/>
      <c r="RM3126" s="37"/>
      <c r="RN3126" s="37"/>
      <c r="RO3126" s="37"/>
      <c r="RP3126" s="37"/>
      <c r="RQ3126" s="37"/>
      <c r="RR3126" s="37"/>
      <c r="RS3126" s="37"/>
      <c r="RT3126" s="37"/>
      <c r="RU3126" s="37"/>
      <c r="RV3126" s="37"/>
      <c r="RW3126" s="37"/>
      <c r="RX3126" s="37"/>
      <c r="RY3126" s="37"/>
      <c r="RZ3126" s="37"/>
      <c r="SA3126" s="37"/>
      <c r="SB3126" s="37"/>
      <c r="SC3126" s="37"/>
      <c r="SD3126" s="37"/>
      <c r="SE3126" s="37"/>
      <c r="SF3126" s="37"/>
    </row>
    <row r="3127" spans="1:500">
      <c r="A3127" s="37"/>
      <c r="B3127" s="37"/>
      <c r="C3127" s="37"/>
      <c r="D3127" s="37"/>
      <c r="E3127" s="37"/>
      <c r="F3127" s="37"/>
      <c r="G3127" s="37"/>
      <c r="H3127" s="37"/>
      <c r="I3127" s="37"/>
      <c r="J3127" s="37"/>
      <c r="K3127" s="37"/>
      <c r="L3127" s="37"/>
      <c r="M3127" s="37"/>
      <c r="N3127" s="37"/>
      <c r="O3127" s="37"/>
      <c r="P3127" s="37"/>
      <c r="Q3127" s="37"/>
      <c r="R3127" s="37"/>
      <c r="S3127" s="37"/>
      <c r="T3127" s="37"/>
      <c r="U3127" s="37"/>
      <c r="V3127" s="37"/>
      <c r="W3127" s="37"/>
      <c r="X3127" s="37"/>
      <c r="Y3127" s="37"/>
      <c r="Z3127" s="37"/>
      <c r="AA3127" s="37"/>
      <c r="AB3127" s="37"/>
      <c r="AC3127" s="37"/>
      <c r="AD3127" s="37"/>
      <c r="AE3127" s="37"/>
      <c r="AF3127" s="37"/>
      <c r="AG3127" s="37"/>
      <c r="AH3127" s="37"/>
      <c r="AI3127" s="37"/>
      <c r="AJ3127" s="37"/>
      <c r="AK3127" s="37"/>
      <c r="AL3127" s="37"/>
      <c r="AM3127" s="37"/>
      <c r="AN3127" s="37"/>
      <c r="AO3127" s="37"/>
      <c r="AP3127" s="37"/>
      <c r="AQ3127" s="37"/>
      <c r="AR3127" s="37"/>
      <c r="AS3127" s="37"/>
      <c r="AT3127" s="37"/>
      <c r="AU3127" s="37"/>
      <c r="AV3127" s="37"/>
      <c r="AW3127" s="37"/>
      <c r="AX3127" s="37"/>
      <c r="AY3127" s="37"/>
      <c r="AZ3127" s="37"/>
      <c r="BA3127" s="37"/>
      <c r="BB3127" s="37"/>
      <c r="BC3127" s="37"/>
      <c r="BD3127" s="37"/>
      <c r="BE3127" s="37"/>
      <c r="BF3127" s="37"/>
      <c r="BG3127" s="37"/>
      <c r="BH3127" s="37"/>
      <c r="BI3127" s="37"/>
      <c r="BJ3127" s="37"/>
      <c r="BK3127" s="37"/>
      <c r="BL3127" s="37"/>
      <c r="BM3127" s="37"/>
      <c r="BN3127" s="37"/>
      <c r="BO3127" s="37"/>
      <c r="BP3127" s="37"/>
      <c r="BQ3127" s="37"/>
      <c r="BR3127" s="37"/>
      <c r="BS3127" s="37"/>
      <c r="BT3127" s="37"/>
      <c r="BU3127" s="37"/>
      <c r="BV3127" s="37"/>
      <c r="BW3127" s="37"/>
      <c r="BX3127" s="37"/>
      <c r="BY3127" s="37"/>
      <c r="BZ3127" s="37"/>
      <c r="CA3127" s="37"/>
      <c r="CB3127" s="37"/>
      <c r="CC3127" s="37"/>
      <c r="CD3127" s="37"/>
      <c r="CE3127" s="37"/>
      <c r="CF3127" s="37"/>
      <c r="CG3127" s="37"/>
      <c r="CH3127" s="37"/>
      <c r="CI3127" s="37"/>
      <c r="CJ3127" s="37"/>
      <c r="CK3127" s="37"/>
      <c r="CL3127" s="37"/>
      <c r="CM3127" s="37"/>
      <c r="CN3127" s="37"/>
      <c r="CO3127" s="37"/>
      <c r="CP3127" s="37"/>
      <c r="CQ3127" s="37"/>
      <c r="CR3127" s="37"/>
      <c r="CS3127" s="37"/>
      <c r="CT3127" s="37"/>
      <c r="CU3127" s="37"/>
      <c r="CV3127" s="37"/>
      <c r="CW3127" s="37"/>
      <c r="CX3127" s="37"/>
      <c r="CY3127" s="37"/>
      <c r="CZ3127" s="37"/>
      <c r="DA3127" s="37"/>
      <c r="DB3127" s="37"/>
      <c r="DC3127" s="37"/>
      <c r="DD3127" s="37"/>
      <c r="DE3127" s="37"/>
      <c r="DF3127" s="37"/>
      <c r="DG3127" s="37"/>
      <c r="DH3127" s="37"/>
      <c r="DI3127" s="37"/>
      <c r="DJ3127" s="37"/>
      <c r="DK3127" s="37"/>
      <c r="DL3127" s="37"/>
      <c r="DM3127" s="37"/>
      <c r="DN3127" s="37"/>
      <c r="DO3127" s="37"/>
      <c r="DP3127" s="37"/>
      <c r="DQ3127" s="37"/>
      <c r="DR3127" s="37"/>
      <c r="DS3127" s="37"/>
      <c r="DT3127" s="37"/>
      <c r="DU3127" s="37"/>
      <c r="DV3127" s="37"/>
      <c r="DW3127" s="37"/>
      <c r="DX3127" s="37"/>
      <c r="DY3127" s="37"/>
      <c r="DZ3127" s="37"/>
      <c r="EA3127" s="37"/>
      <c r="EB3127" s="37"/>
      <c r="EC3127" s="37"/>
      <c r="ED3127" s="37"/>
      <c r="EE3127" s="37"/>
      <c r="EF3127" s="37"/>
      <c r="EG3127" s="37"/>
      <c r="EH3127" s="37"/>
      <c r="EI3127" s="37"/>
      <c r="EJ3127" s="37"/>
      <c r="EK3127" s="37"/>
      <c r="EL3127" s="37"/>
      <c r="EM3127" s="37"/>
      <c r="EN3127" s="37"/>
      <c r="EO3127" s="37"/>
      <c r="EP3127" s="37"/>
      <c r="EQ3127" s="37"/>
      <c r="ER3127" s="37"/>
      <c r="ES3127" s="37"/>
      <c r="ET3127" s="37"/>
      <c r="EU3127" s="37"/>
      <c r="EV3127" s="37"/>
      <c r="EW3127" s="37"/>
      <c r="EX3127" s="37"/>
      <c r="EY3127" s="37"/>
      <c r="EZ3127" s="37"/>
      <c r="FA3127" s="37"/>
      <c r="FB3127" s="37"/>
      <c r="FC3127" s="37"/>
      <c r="FD3127" s="37"/>
      <c r="FE3127" s="37"/>
      <c r="FF3127" s="37"/>
      <c r="FG3127" s="37"/>
      <c r="FH3127" s="37"/>
      <c r="FI3127" s="37"/>
      <c r="FJ3127" s="37"/>
      <c r="FK3127" s="37"/>
      <c r="FL3127" s="37"/>
      <c r="FM3127" s="37"/>
      <c r="FN3127" s="37"/>
      <c r="FO3127" s="37"/>
      <c r="FP3127" s="37"/>
      <c r="FQ3127" s="37"/>
      <c r="FR3127" s="37"/>
      <c r="FS3127" s="37"/>
      <c r="FT3127" s="37"/>
      <c r="FU3127" s="37"/>
      <c r="FV3127" s="37"/>
      <c r="FW3127" s="37"/>
      <c r="FX3127" s="37"/>
      <c r="FY3127" s="37"/>
      <c r="FZ3127" s="37"/>
      <c r="GA3127" s="37"/>
      <c r="GB3127" s="37"/>
      <c r="GC3127" s="37"/>
      <c r="GD3127" s="37"/>
      <c r="GE3127" s="37"/>
      <c r="GF3127" s="37"/>
      <c r="GG3127" s="37"/>
      <c r="GH3127" s="37"/>
      <c r="GI3127" s="37"/>
      <c r="GJ3127" s="37"/>
      <c r="GK3127" s="37"/>
      <c r="GL3127" s="37"/>
      <c r="GM3127" s="37"/>
      <c r="GN3127" s="37"/>
      <c r="GO3127" s="37"/>
      <c r="GP3127" s="37"/>
      <c r="GQ3127" s="37"/>
      <c r="GR3127" s="37"/>
      <c r="GS3127" s="37"/>
      <c r="GT3127" s="37"/>
      <c r="GU3127" s="37"/>
      <c r="GV3127" s="37"/>
      <c r="GW3127" s="37"/>
      <c r="GX3127" s="37"/>
      <c r="GY3127" s="37"/>
      <c r="GZ3127" s="37"/>
      <c r="HA3127" s="37"/>
      <c r="HB3127" s="37"/>
      <c r="HC3127" s="37"/>
      <c r="HD3127" s="37"/>
      <c r="HE3127" s="37"/>
      <c r="HF3127" s="37"/>
      <c r="HG3127" s="37"/>
      <c r="HH3127" s="37"/>
      <c r="HI3127" s="37"/>
      <c r="HJ3127" s="37"/>
      <c r="HK3127" s="37"/>
      <c r="HL3127" s="37"/>
      <c r="HM3127" s="37"/>
      <c r="HN3127" s="37"/>
      <c r="HO3127" s="37"/>
      <c r="HP3127" s="37"/>
      <c r="HQ3127" s="37"/>
      <c r="HR3127" s="37"/>
      <c r="HS3127" s="37"/>
      <c r="HT3127" s="37"/>
      <c r="HU3127" s="37"/>
      <c r="HV3127" s="37"/>
      <c r="HW3127" s="37"/>
      <c r="HX3127" s="37"/>
      <c r="HY3127" s="37"/>
      <c r="HZ3127" s="37"/>
      <c r="IA3127" s="37"/>
      <c r="IB3127" s="37"/>
      <c r="IC3127" s="37"/>
      <c r="ID3127" s="37"/>
      <c r="IE3127" s="37"/>
      <c r="IF3127" s="37"/>
      <c r="IG3127" s="37"/>
      <c r="IH3127" s="37"/>
      <c r="II3127" s="37"/>
      <c r="IJ3127" s="37"/>
      <c r="IK3127" s="37"/>
      <c r="IL3127" s="37"/>
      <c r="IM3127" s="37"/>
      <c r="IN3127" s="37"/>
      <c r="IO3127" s="37"/>
      <c r="IP3127" s="37"/>
      <c r="IQ3127" s="37"/>
      <c r="IR3127" s="37"/>
      <c r="IS3127" s="37"/>
      <c r="IT3127" s="37"/>
      <c r="IU3127" s="37"/>
      <c r="IV3127" s="37"/>
      <c r="IW3127" s="37"/>
      <c r="IX3127" s="37"/>
      <c r="IY3127" s="37"/>
      <c r="IZ3127" s="37"/>
      <c r="JA3127" s="37"/>
      <c r="JB3127" s="37"/>
      <c r="JC3127" s="37"/>
      <c r="JD3127" s="37"/>
      <c r="JE3127" s="37"/>
      <c r="JF3127" s="37"/>
      <c r="JG3127" s="37"/>
      <c r="JH3127" s="37"/>
      <c r="JI3127" s="37"/>
      <c r="JJ3127" s="37"/>
      <c r="JK3127" s="37"/>
      <c r="JL3127" s="37"/>
      <c r="JM3127" s="37"/>
      <c r="JN3127" s="37"/>
      <c r="JO3127" s="37"/>
      <c r="JP3127" s="37"/>
      <c r="JQ3127" s="37"/>
      <c r="JR3127" s="37"/>
      <c r="JS3127" s="37"/>
      <c r="JT3127" s="37"/>
      <c r="JU3127" s="37"/>
      <c r="JV3127" s="37"/>
      <c r="JW3127" s="37"/>
      <c r="JX3127" s="37"/>
      <c r="JY3127" s="37"/>
      <c r="JZ3127" s="37"/>
      <c r="KA3127" s="37"/>
      <c r="KB3127" s="37"/>
      <c r="KC3127" s="37"/>
      <c r="KD3127" s="37"/>
      <c r="KE3127" s="37"/>
      <c r="KF3127" s="37"/>
      <c r="KG3127" s="37"/>
      <c r="KH3127" s="37"/>
      <c r="KI3127" s="37"/>
      <c r="KJ3127" s="37"/>
      <c r="KK3127" s="37"/>
      <c r="KL3127" s="37"/>
      <c r="KM3127" s="37"/>
      <c r="KN3127" s="37"/>
      <c r="KO3127" s="37"/>
      <c r="KP3127" s="37"/>
      <c r="KQ3127" s="37"/>
      <c r="KR3127" s="37"/>
      <c r="KS3127" s="37"/>
      <c r="KT3127" s="37"/>
      <c r="KU3127" s="37"/>
      <c r="KV3127" s="37"/>
      <c r="KW3127" s="37"/>
      <c r="KX3127" s="37"/>
      <c r="KY3127" s="37"/>
      <c r="KZ3127" s="37"/>
      <c r="LA3127" s="37"/>
      <c r="LB3127" s="37"/>
      <c r="LC3127" s="37"/>
      <c r="LD3127" s="37"/>
      <c r="LE3127" s="37"/>
      <c r="LF3127" s="37"/>
      <c r="LG3127" s="37"/>
      <c r="LH3127" s="37"/>
      <c r="LI3127" s="37"/>
      <c r="LJ3127" s="37"/>
      <c r="LK3127" s="37"/>
      <c r="LL3127" s="37"/>
      <c r="LM3127" s="37"/>
      <c r="LN3127" s="37"/>
      <c r="LO3127" s="37"/>
      <c r="LP3127" s="37"/>
      <c r="LQ3127" s="37"/>
      <c r="LR3127" s="37"/>
      <c r="LS3127" s="37"/>
      <c r="LT3127" s="37"/>
      <c r="LU3127" s="37"/>
      <c r="LV3127" s="37"/>
      <c r="LW3127" s="37"/>
      <c r="LX3127" s="37"/>
      <c r="LY3127" s="37"/>
      <c r="LZ3127" s="37"/>
      <c r="MA3127" s="37"/>
      <c r="MB3127" s="37"/>
      <c r="MC3127" s="37"/>
      <c r="MD3127" s="37"/>
      <c r="ME3127" s="37"/>
      <c r="MF3127" s="37"/>
      <c r="MG3127" s="37"/>
      <c r="MH3127" s="37"/>
      <c r="MI3127" s="37"/>
      <c r="MJ3127" s="37"/>
      <c r="MK3127" s="37"/>
      <c r="ML3127" s="37"/>
      <c r="MM3127" s="37"/>
      <c r="MN3127" s="37"/>
      <c r="MO3127" s="37"/>
      <c r="MP3127" s="37"/>
      <c r="MQ3127" s="37"/>
      <c r="MR3127" s="37"/>
      <c r="MS3127" s="37"/>
      <c r="MT3127" s="37"/>
      <c r="MU3127" s="37"/>
      <c r="MV3127" s="37"/>
      <c r="MW3127" s="37"/>
      <c r="MX3127" s="37"/>
      <c r="MY3127" s="37"/>
      <c r="MZ3127" s="37"/>
      <c r="NA3127" s="37"/>
      <c r="NB3127" s="37"/>
      <c r="NC3127" s="37"/>
      <c r="ND3127" s="37"/>
      <c r="NE3127" s="37"/>
      <c r="NF3127" s="37"/>
      <c r="NG3127" s="37"/>
      <c r="NH3127" s="37"/>
      <c r="NI3127" s="37"/>
      <c r="NJ3127" s="37"/>
      <c r="NK3127" s="37"/>
      <c r="NL3127" s="37"/>
      <c r="NM3127" s="37"/>
      <c r="NN3127" s="37"/>
      <c r="NO3127" s="37"/>
      <c r="NP3127" s="37"/>
      <c r="NQ3127" s="37"/>
      <c r="NR3127" s="37"/>
      <c r="NS3127" s="37"/>
      <c r="NT3127" s="37"/>
      <c r="NU3127" s="37"/>
      <c r="NV3127" s="37"/>
      <c r="NW3127" s="37"/>
      <c r="NX3127" s="37"/>
      <c r="NY3127" s="37"/>
      <c r="NZ3127" s="37"/>
      <c r="OA3127" s="37"/>
      <c r="OB3127" s="37"/>
      <c r="OC3127" s="37"/>
      <c r="OD3127" s="37"/>
      <c r="OE3127" s="37"/>
      <c r="OF3127" s="37"/>
      <c r="OG3127" s="37"/>
      <c r="OH3127" s="37"/>
      <c r="OI3127" s="37"/>
      <c r="OJ3127" s="37"/>
      <c r="OK3127" s="37"/>
      <c r="OL3127" s="37"/>
      <c r="OM3127" s="37"/>
      <c r="ON3127" s="37"/>
      <c r="OO3127" s="37"/>
      <c r="OP3127" s="37"/>
      <c r="OQ3127" s="37"/>
      <c r="OR3127" s="37"/>
      <c r="OS3127" s="37"/>
      <c r="OT3127" s="37"/>
      <c r="OU3127" s="37"/>
      <c r="OV3127" s="37"/>
      <c r="OW3127" s="37"/>
      <c r="OX3127" s="37"/>
      <c r="OY3127" s="37"/>
      <c r="OZ3127" s="37"/>
      <c r="PA3127" s="37"/>
      <c r="PB3127" s="37"/>
      <c r="PC3127" s="37"/>
      <c r="PD3127" s="37"/>
      <c r="PE3127" s="37"/>
      <c r="PF3127" s="37"/>
      <c r="PG3127" s="37"/>
      <c r="PH3127" s="37"/>
      <c r="PI3127" s="37"/>
      <c r="PJ3127" s="37"/>
      <c r="PK3127" s="37"/>
      <c r="PL3127" s="37"/>
      <c r="PM3127" s="37"/>
      <c r="PN3127" s="37"/>
      <c r="PO3127" s="37"/>
      <c r="PP3127" s="37"/>
      <c r="PQ3127" s="37"/>
      <c r="PR3127" s="37"/>
      <c r="PS3127" s="37"/>
      <c r="PT3127" s="37"/>
      <c r="PU3127" s="37"/>
      <c r="PV3127" s="37"/>
      <c r="PW3127" s="37"/>
      <c r="PX3127" s="37"/>
      <c r="PY3127" s="37"/>
      <c r="PZ3127" s="37"/>
      <c r="QA3127" s="37"/>
      <c r="QB3127" s="37"/>
      <c r="QC3127" s="37"/>
      <c r="QD3127" s="37"/>
      <c r="QE3127" s="37"/>
      <c r="QF3127" s="37"/>
      <c r="QG3127" s="37"/>
      <c r="QH3127" s="37"/>
      <c r="QI3127" s="37"/>
      <c r="QJ3127" s="37"/>
      <c r="QK3127" s="37"/>
      <c r="QL3127" s="37"/>
      <c r="QM3127" s="37"/>
      <c r="QN3127" s="37"/>
      <c r="QO3127" s="37"/>
      <c r="QP3127" s="37"/>
      <c r="QQ3127" s="37"/>
      <c r="QR3127" s="37"/>
      <c r="QS3127" s="37"/>
      <c r="QT3127" s="37"/>
      <c r="QU3127" s="37"/>
      <c r="QV3127" s="37"/>
      <c r="QW3127" s="37"/>
      <c r="QX3127" s="37"/>
      <c r="QY3127" s="37"/>
      <c r="QZ3127" s="37"/>
      <c r="RA3127" s="37"/>
      <c r="RB3127" s="37"/>
      <c r="RC3127" s="37"/>
      <c r="RD3127" s="37"/>
      <c r="RE3127" s="37"/>
      <c r="RF3127" s="37"/>
      <c r="RG3127" s="37"/>
      <c r="RH3127" s="37"/>
      <c r="RI3127" s="37"/>
      <c r="RJ3127" s="37"/>
      <c r="RK3127" s="37"/>
      <c r="RL3127" s="37"/>
      <c r="RM3127" s="37"/>
      <c r="RN3127" s="37"/>
      <c r="RO3127" s="37"/>
      <c r="RP3127" s="37"/>
      <c r="RQ3127" s="37"/>
      <c r="RR3127" s="37"/>
      <c r="RS3127" s="37"/>
      <c r="RT3127" s="37"/>
      <c r="RU3127" s="37"/>
      <c r="RV3127" s="37"/>
      <c r="RW3127" s="37"/>
      <c r="RX3127" s="37"/>
      <c r="RY3127" s="37"/>
      <c r="RZ3127" s="37"/>
      <c r="SA3127" s="37"/>
      <c r="SB3127" s="37"/>
      <c r="SC3127" s="37"/>
      <c r="SD3127" s="37"/>
      <c r="SE3127" s="37"/>
      <c r="SF3127" s="37"/>
    </row>
    <row r="3128" spans="1:500">
      <c r="A3128" s="37"/>
      <c r="B3128" s="37"/>
      <c r="C3128" s="37"/>
      <c r="D3128" s="37"/>
      <c r="E3128" s="37"/>
      <c r="F3128" s="37"/>
      <c r="G3128" s="37"/>
      <c r="H3128" s="37"/>
      <c r="I3128" s="37"/>
      <c r="J3128" s="37"/>
      <c r="K3128" s="37"/>
      <c r="L3128" s="37"/>
      <c r="M3128" s="37"/>
      <c r="N3128" s="37"/>
      <c r="O3128" s="37"/>
      <c r="P3128" s="37"/>
      <c r="Q3128" s="37"/>
      <c r="R3128" s="37"/>
      <c r="S3128" s="37"/>
      <c r="T3128" s="37"/>
      <c r="U3128" s="37"/>
      <c r="V3128" s="37"/>
      <c r="W3128" s="37"/>
      <c r="X3128" s="37"/>
      <c r="Y3128" s="37"/>
      <c r="Z3128" s="37"/>
      <c r="AA3128" s="37"/>
      <c r="AB3128" s="37"/>
      <c r="AC3128" s="37"/>
      <c r="AD3128" s="37"/>
      <c r="AE3128" s="37"/>
      <c r="AF3128" s="37"/>
      <c r="AG3128" s="37"/>
      <c r="AH3128" s="37"/>
      <c r="AI3128" s="37"/>
      <c r="AJ3128" s="37"/>
      <c r="AK3128" s="37"/>
      <c r="AL3128" s="37"/>
      <c r="AM3128" s="37"/>
      <c r="AN3128" s="37"/>
      <c r="AO3128" s="37"/>
      <c r="AP3128" s="37"/>
      <c r="AQ3128" s="37"/>
      <c r="AR3128" s="37"/>
      <c r="AS3128" s="37"/>
      <c r="AT3128" s="37"/>
      <c r="AU3128" s="37"/>
      <c r="AV3128" s="37"/>
      <c r="AW3128" s="37"/>
      <c r="AX3128" s="37"/>
      <c r="AY3128" s="37"/>
      <c r="AZ3128" s="37"/>
      <c r="BA3128" s="37"/>
      <c r="BB3128" s="37"/>
      <c r="BC3128" s="37"/>
      <c r="BD3128" s="37"/>
      <c r="BE3128" s="37"/>
      <c r="BF3128" s="37"/>
      <c r="BG3128" s="37"/>
      <c r="BH3128" s="37"/>
      <c r="BI3128" s="37"/>
      <c r="BJ3128" s="37"/>
      <c r="BK3128" s="37"/>
      <c r="BL3128" s="37"/>
      <c r="BM3128" s="37"/>
      <c r="BN3128" s="37"/>
      <c r="BO3128" s="37"/>
      <c r="BP3128" s="37"/>
      <c r="BQ3128" s="37"/>
      <c r="BR3128" s="37"/>
      <c r="BS3128" s="37"/>
      <c r="BT3128" s="37"/>
      <c r="BU3128" s="37"/>
      <c r="BV3128" s="37"/>
      <c r="BW3128" s="37"/>
      <c r="BX3128" s="37"/>
      <c r="BY3128" s="37"/>
      <c r="BZ3128" s="37"/>
      <c r="CA3128" s="37"/>
      <c r="CB3128" s="37"/>
      <c r="CC3128" s="37"/>
      <c r="CD3128" s="37"/>
      <c r="CE3128" s="37"/>
      <c r="CF3128" s="37"/>
      <c r="CG3128" s="37"/>
      <c r="CH3128" s="37"/>
      <c r="CI3128" s="37"/>
      <c r="CJ3128" s="37"/>
      <c r="CK3128" s="37"/>
      <c r="CL3128" s="37"/>
      <c r="CM3128" s="37"/>
      <c r="CN3128" s="37"/>
      <c r="CO3128" s="37"/>
      <c r="CP3128" s="37"/>
      <c r="CQ3128" s="37"/>
      <c r="CR3128" s="37"/>
      <c r="CS3128" s="37"/>
      <c r="CT3128" s="37"/>
      <c r="CU3128" s="37"/>
      <c r="CV3128" s="37"/>
      <c r="CW3128" s="37"/>
      <c r="CX3128" s="37"/>
      <c r="CY3128" s="37"/>
      <c r="CZ3128" s="37"/>
      <c r="DA3128" s="37"/>
      <c r="DB3128" s="37"/>
      <c r="DC3128" s="37"/>
      <c r="DD3128" s="37"/>
      <c r="DE3128" s="37"/>
      <c r="DF3128" s="37"/>
      <c r="DG3128" s="37"/>
      <c r="DH3128" s="37"/>
      <c r="DI3128" s="37"/>
      <c r="DJ3128" s="37"/>
      <c r="DK3128" s="37"/>
      <c r="DL3128" s="37"/>
      <c r="DM3128" s="37"/>
      <c r="DN3128" s="37"/>
      <c r="DO3128" s="37"/>
      <c r="DP3128" s="37"/>
      <c r="DQ3128" s="37"/>
      <c r="DR3128" s="37"/>
      <c r="DS3128" s="37"/>
      <c r="DT3128" s="37"/>
      <c r="DU3128" s="37"/>
      <c r="DV3128" s="37"/>
      <c r="DW3128" s="37"/>
      <c r="DX3128" s="37"/>
      <c r="DY3128" s="37"/>
      <c r="DZ3128" s="37"/>
      <c r="EA3128" s="37"/>
      <c r="EB3128" s="37"/>
      <c r="EC3128" s="37"/>
      <c r="ED3128" s="37"/>
      <c r="EE3128" s="37"/>
      <c r="EF3128" s="37"/>
      <c r="EG3128" s="37"/>
      <c r="EH3128" s="37"/>
      <c r="EI3128" s="37"/>
      <c r="EJ3128" s="37"/>
      <c r="EK3128" s="37"/>
      <c r="EL3128" s="37"/>
      <c r="EM3128" s="37"/>
      <c r="EN3128" s="37"/>
      <c r="EO3128" s="37"/>
      <c r="EP3128" s="37"/>
      <c r="EQ3128" s="37"/>
      <c r="ER3128" s="37"/>
      <c r="ES3128" s="37"/>
      <c r="ET3128" s="37"/>
      <c r="EU3128" s="37"/>
      <c r="EV3128" s="37"/>
      <c r="EW3128" s="37"/>
      <c r="EX3128" s="37"/>
      <c r="EY3128" s="37"/>
      <c r="EZ3128" s="37"/>
      <c r="FA3128" s="37"/>
      <c r="FB3128" s="37"/>
      <c r="FC3128" s="37"/>
      <c r="FD3128" s="37"/>
      <c r="FE3128" s="37"/>
      <c r="FF3128" s="37"/>
      <c r="FG3128" s="37"/>
      <c r="FH3128" s="37"/>
      <c r="FI3128" s="37"/>
      <c r="FJ3128" s="37"/>
      <c r="FK3128" s="37"/>
      <c r="FL3128" s="37"/>
      <c r="FM3128" s="37"/>
      <c r="FN3128" s="37"/>
      <c r="FO3128" s="37"/>
      <c r="FP3128" s="37"/>
      <c r="FQ3128" s="37"/>
      <c r="FR3128" s="37"/>
      <c r="FS3128" s="37"/>
      <c r="FT3128" s="37"/>
      <c r="FU3128" s="37"/>
      <c r="FV3128" s="37"/>
      <c r="FW3128" s="37"/>
      <c r="FX3128" s="37"/>
      <c r="FY3128" s="37"/>
      <c r="FZ3128" s="37"/>
      <c r="GA3128" s="37"/>
      <c r="GB3128" s="37"/>
      <c r="GC3128" s="37"/>
      <c r="GD3128" s="37"/>
      <c r="GE3128" s="37"/>
      <c r="GF3128" s="37"/>
      <c r="GG3128" s="37"/>
      <c r="GH3128" s="37"/>
      <c r="GI3128" s="37"/>
      <c r="GJ3128" s="37"/>
      <c r="GK3128" s="37"/>
      <c r="GL3128" s="37"/>
      <c r="GM3128" s="37"/>
      <c r="GN3128" s="37"/>
      <c r="GO3128" s="37"/>
      <c r="GP3128" s="37"/>
      <c r="GQ3128" s="37"/>
      <c r="GR3128" s="37"/>
      <c r="GS3128" s="37"/>
      <c r="GT3128" s="37"/>
      <c r="GU3128" s="37"/>
      <c r="GV3128" s="37"/>
      <c r="GW3128" s="37"/>
      <c r="GX3128" s="37"/>
      <c r="GY3128" s="37"/>
      <c r="GZ3128" s="37"/>
      <c r="HA3128" s="37"/>
      <c r="HB3128" s="37"/>
      <c r="HC3128" s="37"/>
      <c r="HD3128" s="37"/>
      <c r="HE3128" s="37"/>
      <c r="HF3128" s="37"/>
      <c r="HG3128" s="37"/>
      <c r="HH3128" s="37"/>
      <c r="HI3128" s="37"/>
      <c r="HJ3128" s="37"/>
      <c r="HK3128" s="37"/>
      <c r="HL3128" s="37"/>
      <c r="HM3128" s="37"/>
      <c r="HN3128" s="37"/>
      <c r="HO3128" s="37"/>
      <c r="HP3128" s="37"/>
      <c r="HQ3128" s="37"/>
      <c r="HR3128" s="37"/>
      <c r="HS3128" s="37"/>
      <c r="HT3128" s="37"/>
      <c r="HU3128" s="37"/>
      <c r="HV3128" s="37"/>
      <c r="HW3128" s="37"/>
      <c r="HX3128" s="37"/>
      <c r="HY3128" s="37"/>
      <c r="HZ3128" s="37"/>
      <c r="IA3128" s="37"/>
      <c r="IB3128" s="37"/>
      <c r="IC3128" s="37"/>
      <c r="ID3128" s="37"/>
      <c r="IE3128" s="37"/>
      <c r="IF3128" s="37"/>
      <c r="IG3128" s="37"/>
      <c r="IH3128" s="37"/>
      <c r="II3128" s="37"/>
      <c r="IJ3128" s="37"/>
      <c r="IK3128" s="37"/>
      <c r="IL3128" s="37"/>
      <c r="IM3128" s="37"/>
      <c r="IN3128" s="37"/>
      <c r="IO3128" s="37"/>
      <c r="IP3128" s="37"/>
      <c r="IQ3128" s="37"/>
      <c r="IR3128" s="37"/>
      <c r="IS3128" s="37"/>
      <c r="IT3128" s="37"/>
      <c r="IU3128" s="37"/>
      <c r="IV3128" s="37"/>
      <c r="IW3128" s="37"/>
      <c r="IX3128" s="37"/>
      <c r="IY3128" s="37"/>
      <c r="IZ3128" s="37"/>
      <c r="JA3128" s="37"/>
      <c r="JB3128" s="37"/>
      <c r="JC3128" s="37"/>
      <c r="JD3128" s="37"/>
      <c r="JE3128" s="37"/>
      <c r="JF3128" s="37"/>
      <c r="JG3128" s="37"/>
      <c r="JH3128" s="37"/>
      <c r="JI3128" s="37"/>
      <c r="JJ3128" s="37"/>
      <c r="JK3128" s="37"/>
      <c r="JL3128" s="37"/>
      <c r="JM3128" s="37"/>
      <c r="JN3128" s="37"/>
      <c r="JO3128" s="37"/>
      <c r="JP3128" s="37"/>
      <c r="JQ3128" s="37"/>
      <c r="JR3128" s="37"/>
      <c r="JS3128" s="37"/>
      <c r="JT3128" s="37"/>
      <c r="JU3128" s="37"/>
      <c r="JV3128" s="37"/>
      <c r="JW3128" s="37"/>
      <c r="JX3128" s="37"/>
      <c r="JY3128" s="37"/>
      <c r="JZ3128" s="37"/>
      <c r="KA3128" s="37"/>
      <c r="KB3128" s="37"/>
      <c r="KC3128" s="37"/>
      <c r="KD3128" s="37"/>
      <c r="KE3128" s="37"/>
      <c r="KF3128" s="37"/>
      <c r="KG3128" s="37"/>
      <c r="KH3128" s="37"/>
      <c r="KI3128" s="37"/>
      <c r="KJ3128" s="37"/>
      <c r="KK3128" s="37"/>
      <c r="KL3128" s="37"/>
      <c r="KM3128" s="37"/>
      <c r="KN3128" s="37"/>
      <c r="KO3128" s="37"/>
      <c r="KP3128" s="37"/>
      <c r="KQ3128" s="37"/>
      <c r="KR3128" s="37"/>
      <c r="KS3128" s="37"/>
      <c r="KT3128" s="37"/>
      <c r="KU3128" s="37"/>
      <c r="KV3128" s="37"/>
      <c r="KW3128" s="37"/>
      <c r="KX3128" s="37"/>
      <c r="KY3128" s="37"/>
      <c r="KZ3128" s="37"/>
      <c r="LA3128" s="37"/>
      <c r="LB3128" s="37"/>
      <c r="LC3128" s="37"/>
      <c r="LD3128" s="37"/>
      <c r="LE3128" s="37"/>
      <c r="LF3128" s="37"/>
      <c r="LG3128" s="37"/>
      <c r="LH3128" s="37"/>
      <c r="LI3128" s="37"/>
      <c r="LJ3128" s="37"/>
      <c r="LK3128" s="37"/>
      <c r="LL3128" s="37"/>
      <c r="LM3128" s="37"/>
      <c r="LN3128" s="37"/>
      <c r="LO3128" s="37"/>
      <c r="LP3128" s="37"/>
      <c r="LQ3128" s="37"/>
      <c r="LR3128" s="37"/>
      <c r="LS3128" s="37"/>
      <c r="LT3128" s="37"/>
      <c r="LU3128" s="37"/>
      <c r="LV3128" s="37"/>
      <c r="LW3128" s="37"/>
      <c r="LX3128" s="37"/>
      <c r="LY3128" s="37"/>
      <c r="LZ3128" s="37"/>
      <c r="MA3128" s="37"/>
      <c r="MB3128" s="37"/>
      <c r="MC3128" s="37"/>
      <c r="MD3128" s="37"/>
      <c r="ME3128" s="37"/>
      <c r="MF3128" s="37"/>
      <c r="MG3128" s="37"/>
      <c r="MH3128" s="37"/>
      <c r="MI3128" s="37"/>
      <c r="MJ3128" s="37"/>
      <c r="MK3128" s="37"/>
      <c r="ML3128" s="37"/>
      <c r="MM3128" s="37"/>
      <c r="MN3128" s="37"/>
      <c r="MO3128" s="37"/>
      <c r="MP3128" s="37"/>
      <c r="MQ3128" s="37"/>
      <c r="MR3128" s="37"/>
      <c r="MS3128" s="37"/>
      <c r="MT3128" s="37"/>
      <c r="MU3128" s="37"/>
      <c r="MV3128" s="37"/>
      <c r="MW3128" s="37"/>
      <c r="MX3128" s="37"/>
      <c r="MY3128" s="37"/>
      <c r="MZ3128" s="37"/>
      <c r="NA3128" s="37"/>
      <c r="NB3128" s="37"/>
      <c r="NC3128" s="37"/>
      <c r="ND3128" s="37"/>
      <c r="NE3128" s="37"/>
      <c r="NF3128" s="37"/>
      <c r="NG3128" s="37"/>
      <c r="NH3128" s="37"/>
      <c r="NI3128" s="37"/>
      <c r="NJ3128" s="37"/>
      <c r="NK3128" s="37"/>
      <c r="NL3128" s="37"/>
      <c r="NM3128" s="37"/>
      <c r="NN3128" s="37"/>
      <c r="NO3128" s="37"/>
      <c r="NP3128" s="37"/>
      <c r="NQ3128" s="37"/>
      <c r="NR3128" s="37"/>
      <c r="NS3128" s="37"/>
      <c r="NT3128" s="37"/>
      <c r="NU3128" s="37"/>
      <c r="NV3128" s="37"/>
      <c r="NW3128" s="37"/>
      <c r="NX3128" s="37"/>
      <c r="NY3128" s="37"/>
      <c r="NZ3128" s="37"/>
      <c r="OA3128" s="37"/>
      <c r="OB3128" s="37"/>
      <c r="OC3128" s="37"/>
      <c r="OD3128" s="37"/>
      <c r="OE3128" s="37"/>
      <c r="OF3128" s="37"/>
      <c r="OG3128" s="37"/>
      <c r="OH3128" s="37"/>
      <c r="OI3128" s="37"/>
      <c r="OJ3128" s="37"/>
      <c r="OK3128" s="37"/>
      <c r="OL3128" s="37"/>
      <c r="OM3128" s="37"/>
      <c r="ON3128" s="37"/>
      <c r="OO3128" s="37"/>
      <c r="OP3128" s="37"/>
      <c r="OQ3128" s="37"/>
      <c r="OR3128" s="37"/>
      <c r="OS3128" s="37"/>
      <c r="OT3128" s="37"/>
      <c r="OU3128" s="37"/>
      <c r="OV3128" s="37"/>
      <c r="OW3128" s="37"/>
      <c r="OX3128" s="37"/>
      <c r="OY3128" s="37"/>
      <c r="OZ3128" s="37"/>
      <c r="PA3128" s="37"/>
      <c r="PB3128" s="37"/>
      <c r="PC3128" s="37"/>
      <c r="PD3128" s="37"/>
      <c r="PE3128" s="37"/>
      <c r="PF3128" s="37"/>
      <c r="PG3128" s="37"/>
      <c r="PH3128" s="37"/>
      <c r="PI3128" s="37"/>
      <c r="PJ3128" s="37"/>
      <c r="PK3128" s="37"/>
      <c r="PL3128" s="37"/>
      <c r="PM3128" s="37"/>
      <c r="PN3128" s="37"/>
      <c r="PO3128" s="37"/>
      <c r="PP3128" s="37"/>
      <c r="PQ3128" s="37"/>
      <c r="PR3128" s="37"/>
      <c r="PS3128" s="37"/>
      <c r="PT3128" s="37"/>
      <c r="PU3128" s="37"/>
      <c r="PV3128" s="37"/>
      <c r="PW3128" s="37"/>
      <c r="PX3128" s="37"/>
      <c r="PY3128" s="37"/>
      <c r="PZ3128" s="37"/>
      <c r="QA3128" s="37"/>
      <c r="QB3128" s="37"/>
      <c r="QC3128" s="37"/>
      <c r="QD3128" s="37"/>
      <c r="QE3128" s="37"/>
      <c r="QF3128" s="37"/>
      <c r="QG3128" s="37"/>
      <c r="QH3128" s="37"/>
      <c r="QI3128" s="37"/>
      <c r="QJ3128" s="37"/>
      <c r="QK3128" s="37"/>
      <c r="QL3128" s="37"/>
      <c r="QM3128" s="37"/>
      <c r="QN3128" s="37"/>
      <c r="QO3128" s="37"/>
      <c r="QP3128" s="37"/>
      <c r="QQ3128" s="37"/>
      <c r="QR3128" s="37"/>
      <c r="QS3128" s="37"/>
      <c r="QT3128" s="37"/>
      <c r="QU3128" s="37"/>
      <c r="QV3128" s="37"/>
      <c r="QW3128" s="37"/>
      <c r="QX3128" s="37"/>
      <c r="QY3128" s="37"/>
      <c r="QZ3128" s="37"/>
      <c r="RA3128" s="37"/>
      <c r="RB3128" s="37"/>
      <c r="RC3128" s="37"/>
      <c r="RD3128" s="37"/>
      <c r="RE3128" s="37"/>
      <c r="RF3128" s="37"/>
      <c r="RG3128" s="37"/>
      <c r="RH3128" s="37"/>
      <c r="RI3128" s="37"/>
      <c r="RJ3128" s="37"/>
      <c r="RK3128" s="37"/>
      <c r="RL3128" s="37"/>
      <c r="RM3128" s="37"/>
      <c r="RN3128" s="37"/>
      <c r="RO3128" s="37"/>
      <c r="RP3128" s="37"/>
      <c r="RQ3128" s="37"/>
      <c r="RR3128" s="37"/>
      <c r="RS3128" s="37"/>
      <c r="RT3128" s="37"/>
      <c r="RU3128" s="37"/>
      <c r="RV3128" s="37"/>
      <c r="RW3128" s="37"/>
      <c r="RX3128" s="37"/>
      <c r="RY3128" s="37"/>
      <c r="RZ3128" s="37"/>
      <c r="SA3128" s="37"/>
      <c r="SB3128" s="37"/>
      <c r="SC3128" s="37"/>
      <c r="SD3128" s="37"/>
      <c r="SE3128" s="37"/>
      <c r="SF3128" s="37"/>
    </row>
    <row r="3129" spans="1:500">
      <c r="A3129" s="37"/>
      <c r="B3129" s="37"/>
      <c r="C3129" s="37"/>
      <c r="D3129" s="37"/>
      <c r="E3129" s="37"/>
      <c r="F3129" s="37"/>
      <c r="G3129" s="37"/>
      <c r="H3129" s="37"/>
      <c r="I3129" s="37"/>
      <c r="J3129" s="37"/>
      <c r="K3129" s="37"/>
      <c r="L3129" s="37"/>
      <c r="M3129" s="37"/>
      <c r="N3129" s="37"/>
      <c r="O3129" s="37"/>
      <c r="P3129" s="37"/>
      <c r="Q3129" s="37"/>
      <c r="R3129" s="37"/>
      <c r="S3129" s="37"/>
      <c r="T3129" s="37"/>
      <c r="U3129" s="37"/>
      <c r="V3129" s="37"/>
      <c r="W3129" s="37"/>
      <c r="X3129" s="37"/>
      <c r="Y3129" s="37"/>
      <c r="Z3129" s="37"/>
      <c r="AA3129" s="37"/>
      <c r="AB3129" s="37"/>
      <c r="AC3129" s="37"/>
      <c r="AD3129" s="37"/>
      <c r="AE3129" s="37"/>
      <c r="AF3129" s="37"/>
      <c r="AG3129" s="37"/>
      <c r="AH3129" s="37"/>
      <c r="AI3129" s="37"/>
      <c r="AJ3129" s="37"/>
      <c r="AK3129" s="37"/>
      <c r="AL3129" s="37"/>
      <c r="AM3129" s="37"/>
      <c r="AN3129" s="37"/>
      <c r="AO3129" s="37"/>
      <c r="AP3129" s="37"/>
      <c r="AQ3129" s="37"/>
      <c r="AR3129" s="37"/>
      <c r="AS3129" s="37"/>
      <c r="AT3129" s="37"/>
      <c r="AU3129" s="37"/>
      <c r="AV3129" s="37"/>
      <c r="AW3129" s="37"/>
      <c r="AX3129" s="37"/>
      <c r="AY3129" s="37"/>
      <c r="AZ3129" s="37"/>
      <c r="BA3129" s="37"/>
      <c r="BB3129" s="37"/>
      <c r="BC3129" s="37"/>
      <c r="BD3129" s="37"/>
      <c r="BE3129" s="37"/>
      <c r="BF3129" s="37"/>
      <c r="BG3129" s="37"/>
      <c r="BH3129" s="37"/>
      <c r="BI3129" s="37"/>
      <c r="BJ3129" s="37"/>
      <c r="BK3129" s="37"/>
      <c r="BL3129" s="37"/>
      <c r="BM3129" s="37"/>
      <c r="BN3129" s="37"/>
      <c r="BO3129" s="37"/>
      <c r="BP3129" s="37"/>
      <c r="BQ3129" s="37"/>
      <c r="BR3129" s="37"/>
      <c r="BS3129" s="37"/>
      <c r="BT3129" s="37"/>
      <c r="BU3129" s="37"/>
      <c r="BV3129" s="37"/>
      <c r="BW3129" s="37"/>
      <c r="BX3129" s="37"/>
      <c r="BY3129" s="37"/>
      <c r="BZ3129" s="37"/>
      <c r="CA3129" s="37"/>
      <c r="CB3129" s="37"/>
      <c r="CC3129" s="37"/>
      <c r="CD3129" s="37"/>
      <c r="CE3129" s="37"/>
      <c r="CF3129" s="37"/>
      <c r="CG3129" s="37"/>
      <c r="CH3129" s="37"/>
      <c r="CI3129" s="37"/>
      <c r="CJ3129" s="37"/>
      <c r="CK3129" s="37"/>
      <c r="CL3129" s="37"/>
      <c r="CM3129" s="37"/>
      <c r="CN3129" s="37"/>
      <c r="CO3129" s="37"/>
      <c r="CP3129" s="37"/>
      <c r="CQ3129" s="37"/>
      <c r="CR3129" s="37"/>
      <c r="CS3129" s="37"/>
      <c r="CT3129" s="37"/>
      <c r="CU3129" s="37"/>
      <c r="CV3129" s="37"/>
      <c r="CW3129" s="37"/>
      <c r="CX3129" s="37"/>
      <c r="CY3129" s="37"/>
      <c r="CZ3129" s="37"/>
      <c r="DA3129" s="37"/>
      <c r="DB3129" s="37"/>
      <c r="DC3129" s="37"/>
      <c r="DD3129" s="37"/>
      <c r="DE3129" s="37"/>
      <c r="DF3129" s="37"/>
      <c r="DG3129" s="37"/>
      <c r="DH3129" s="37"/>
      <c r="DI3129" s="37"/>
      <c r="DJ3129" s="37"/>
      <c r="DK3129" s="37"/>
      <c r="DL3129" s="37"/>
      <c r="DM3129" s="37"/>
      <c r="DN3129" s="37"/>
      <c r="DO3129" s="37"/>
      <c r="DP3129" s="37"/>
      <c r="DQ3129" s="37"/>
      <c r="DR3129" s="37"/>
      <c r="DS3129" s="37"/>
      <c r="DT3129" s="37"/>
      <c r="DU3129" s="37"/>
      <c r="DV3129" s="37"/>
      <c r="DW3129" s="37"/>
      <c r="DX3129" s="37"/>
      <c r="DY3129" s="37"/>
      <c r="DZ3129" s="37"/>
      <c r="EA3129" s="37"/>
      <c r="EB3129" s="37"/>
      <c r="EC3129" s="37"/>
      <c r="ED3129" s="37"/>
      <c r="EE3129" s="37"/>
      <c r="EF3129" s="37"/>
      <c r="EG3129" s="37"/>
      <c r="EH3129" s="37"/>
      <c r="EI3129" s="37"/>
      <c r="EJ3129" s="37"/>
      <c r="EK3129" s="37"/>
      <c r="EL3129" s="37"/>
      <c r="EM3129" s="37"/>
      <c r="EN3129" s="37"/>
      <c r="EO3129" s="37"/>
      <c r="EP3129" s="37"/>
      <c r="EQ3129" s="37"/>
      <c r="ER3129" s="37"/>
      <c r="ES3129" s="37"/>
      <c r="ET3129" s="37"/>
      <c r="EU3129" s="37"/>
      <c r="EV3129" s="37"/>
      <c r="EW3129" s="37"/>
      <c r="EX3129" s="37"/>
      <c r="EY3129" s="37"/>
      <c r="EZ3129" s="37"/>
      <c r="FA3129" s="37"/>
      <c r="FB3129" s="37"/>
      <c r="FC3129" s="37"/>
      <c r="FD3129" s="37"/>
      <c r="FE3129" s="37"/>
      <c r="FF3129" s="37"/>
      <c r="FG3129" s="37"/>
      <c r="FH3129" s="37"/>
      <c r="FI3129" s="37"/>
      <c r="FJ3129" s="37"/>
      <c r="FK3129" s="37"/>
      <c r="FL3129" s="37"/>
      <c r="FM3129" s="37"/>
      <c r="FN3129" s="37"/>
      <c r="FO3129" s="37"/>
      <c r="FP3129" s="37"/>
      <c r="FQ3129" s="37"/>
      <c r="FR3129" s="37"/>
      <c r="FS3129" s="37"/>
      <c r="FT3129" s="37"/>
      <c r="FU3129" s="37"/>
      <c r="FV3129" s="37"/>
      <c r="FW3129" s="37"/>
      <c r="FX3129" s="37"/>
      <c r="FY3129" s="37"/>
      <c r="FZ3129" s="37"/>
      <c r="GA3129" s="37"/>
      <c r="GB3129" s="37"/>
      <c r="GC3129" s="37"/>
      <c r="GD3129" s="37"/>
      <c r="GE3129" s="37"/>
      <c r="GF3129" s="37"/>
      <c r="GG3129" s="37"/>
      <c r="GH3129" s="37"/>
      <c r="GI3129" s="37"/>
      <c r="GJ3129" s="37"/>
      <c r="GK3129" s="37"/>
      <c r="GL3129" s="37"/>
      <c r="GM3129" s="37"/>
      <c r="GN3129" s="37"/>
      <c r="GO3129" s="37"/>
      <c r="GP3129" s="37"/>
      <c r="GQ3129" s="37"/>
      <c r="GR3129" s="37"/>
      <c r="GS3129" s="37"/>
      <c r="GT3129" s="37"/>
      <c r="GU3129" s="37"/>
      <c r="GV3129" s="37"/>
      <c r="GW3129" s="37"/>
      <c r="GX3129" s="37"/>
      <c r="GY3129" s="37"/>
      <c r="GZ3129" s="37"/>
      <c r="HA3129" s="37"/>
      <c r="HB3129" s="37"/>
      <c r="HC3129" s="37"/>
      <c r="HD3129" s="37"/>
      <c r="HE3129" s="37"/>
      <c r="HF3129" s="37"/>
      <c r="HG3129" s="37"/>
      <c r="HH3129" s="37"/>
      <c r="HI3129" s="37"/>
      <c r="HJ3129" s="37"/>
      <c r="HK3129" s="37"/>
      <c r="HL3129" s="37"/>
      <c r="HM3129" s="37"/>
      <c r="HN3129" s="37"/>
      <c r="HO3129" s="37"/>
      <c r="HP3129" s="37"/>
      <c r="HQ3129" s="37"/>
      <c r="HR3129" s="37"/>
      <c r="HS3129" s="37"/>
      <c r="HT3129" s="37"/>
      <c r="HU3129" s="37"/>
      <c r="HV3129" s="37"/>
      <c r="HW3129" s="37"/>
      <c r="HX3129" s="37"/>
      <c r="HY3129" s="37"/>
      <c r="HZ3129" s="37"/>
      <c r="IA3129" s="37"/>
      <c r="IB3129" s="37"/>
      <c r="IC3129" s="37"/>
      <c r="ID3129" s="37"/>
      <c r="IE3129" s="37"/>
      <c r="IF3129" s="37"/>
      <c r="IG3129" s="37"/>
      <c r="IH3129" s="37"/>
      <c r="II3129" s="37"/>
      <c r="IJ3129" s="37"/>
      <c r="IK3129" s="37"/>
      <c r="IL3129" s="37"/>
      <c r="IM3129" s="37"/>
      <c r="IN3129" s="37"/>
      <c r="IO3129" s="37"/>
      <c r="IP3129" s="37"/>
      <c r="IQ3129" s="37"/>
      <c r="IR3129" s="37"/>
      <c r="IS3129" s="37"/>
      <c r="IT3129" s="37"/>
      <c r="IU3129" s="37"/>
      <c r="IV3129" s="37"/>
      <c r="IW3129" s="37"/>
      <c r="IX3129" s="37"/>
      <c r="IY3129" s="37"/>
      <c r="IZ3129" s="37"/>
      <c r="JA3129" s="37"/>
      <c r="JB3129" s="37"/>
      <c r="JC3129" s="37"/>
      <c r="JD3129" s="37"/>
      <c r="JE3129" s="37"/>
      <c r="JF3129" s="37"/>
      <c r="JG3129" s="37"/>
      <c r="JH3129" s="37"/>
      <c r="JI3129" s="37"/>
      <c r="JJ3129" s="37"/>
      <c r="JK3129" s="37"/>
      <c r="JL3129" s="37"/>
      <c r="JM3129" s="37"/>
      <c r="JN3129" s="37"/>
      <c r="JO3129" s="37"/>
      <c r="JP3129" s="37"/>
      <c r="JQ3129" s="37"/>
      <c r="JR3129" s="37"/>
      <c r="JS3129" s="37"/>
      <c r="JT3129" s="37"/>
      <c r="JU3129" s="37"/>
      <c r="JV3129" s="37"/>
      <c r="JW3129" s="37"/>
      <c r="JX3129" s="37"/>
      <c r="JY3129" s="37"/>
      <c r="JZ3129" s="37"/>
      <c r="KA3129" s="37"/>
      <c r="KB3129" s="37"/>
      <c r="KC3129" s="37"/>
      <c r="KD3129" s="37"/>
      <c r="KE3129" s="37"/>
      <c r="KF3129" s="37"/>
      <c r="KG3129" s="37"/>
      <c r="KH3129" s="37"/>
      <c r="KI3129" s="37"/>
      <c r="KJ3129" s="37"/>
      <c r="KK3129" s="37"/>
      <c r="KL3129" s="37"/>
      <c r="KM3129" s="37"/>
      <c r="KN3129" s="37"/>
      <c r="KO3129" s="37"/>
      <c r="KP3129" s="37"/>
      <c r="KQ3129" s="37"/>
      <c r="KR3129" s="37"/>
      <c r="KS3129" s="37"/>
      <c r="KT3129" s="37"/>
      <c r="KU3129" s="37"/>
      <c r="KV3129" s="37"/>
      <c r="KW3129" s="37"/>
      <c r="KX3129" s="37"/>
      <c r="KY3129" s="37"/>
      <c r="KZ3129" s="37"/>
      <c r="LA3129" s="37"/>
      <c r="LB3129" s="37"/>
      <c r="LC3129" s="37"/>
      <c r="LD3129" s="37"/>
      <c r="LE3129" s="37"/>
      <c r="LF3129" s="37"/>
      <c r="LG3129" s="37"/>
      <c r="LH3129" s="37"/>
      <c r="LI3129" s="37"/>
      <c r="LJ3129" s="37"/>
      <c r="LK3129" s="37"/>
      <c r="LL3129" s="37"/>
      <c r="LM3129" s="37"/>
      <c r="LN3129" s="37"/>
      <c r="LO3129" s="37"/>
      <c r="LP3129" s="37"/>
      <c r="LQ3129" s="37"/>
      <c r="LR3129" s="37"/>
      <c r="LS3129" s="37"/>
      <c r="LT3129" s="37"/>
      <c r="LU3129" s="37"/>
      <c r="LV3129" s="37"/>
      <c r="LW3129" s="37"/>
      <c r="LX3129" s="37"/>
      <c r="LY3129" s="37"/>
      <c r="LZ3129" s="37"/>
      <c r="MA3129" s="37"/>
      <c r="MB3129" s="37"/>
      <c r="MC3129" s="37"/>
      <c r="MD3129" s="37"/>
      <c r="ME3129" s="37"/>
      <c r="MF3129" s="37"/>
      <c r="MG3129" s="37"/>
      <c r="MH3129" s="37"/>
      <c r="MI3129" s="37"/>
      <c r="MJ3129" s="37"/>
      <c r="MK3129" s="37"/>
      <c r="ML3129" s="37"/>
      <c r="MM3129" s="37"/>
      <c r="MN3129" s="37"/>
      <c r="MO3129" s="37"/>
      <c r="MP3129" s="37"/>
      <c r="MQ3129" s="37"/>
      <c r="MR3129" s="37"/>
      <c r="MS3129" s="37"/>
      <c r="MT3129" s="37"/>
      <c r="MU3129" s="37"/>
      <c r="MV3129" s="37"/>
      <c r="MW3129" s="37"/>
      <c r="MX3129" s="37"/>
      <c r="MY3129" s="37"/>
      <c r="MZ3129" s="37"/>
      <c r="NA3129" s="37"/>
      <c r="NB3129" s="37"/>
      <c r="NC3129" s="37"/>
      <c r="ND3129" s="37"/>
      <c r="NE3129" s="37"/>
      <c r="NF3129" s="37"/>
      <c r="NG3129" s="37"/>
      <c r="NH3129" s="37"/>
      <c r="NI3129" s="37"/>
      <c r="NJ3129" s="37"/>
      <c r="NK3129" s="37"/>
      <c r="NL3129" s="37"/>
      <c r="NM3129" s="37"/>
      <c r="NN3129" s="37"/>
      <c r="NO3129" s="37"/>
      <c r="NP3129" s="37"/>
      <c r="NQ3129" s="37"/>
      <c r="NR3129" s="37"/>
      <c r="NS3129" s="37"/>
      <c r="NT3129" s="37"/>
      <c r="NU3129" s="37"/>
      <c r="NV3129" s="37"/>
      <c r="NW3129" s="37"/>
      <c r="NX3129" s="37"/>
      <c r="NY3129" s="37"/>
      <c r="NZ3129" s="37"/>
      <c r="OA3129" s="37"/>
      <c r="OB3129" s="37"/>
      <c r="OC3129" s="37"/>
      <c r="OD3129" s="37"/>
      <c r="OE3129" s="37"/>
      <c r="OF3129" s="37"/>
      <c r="OG3129" s="37"/>
      <c r="OH3129" s="37"/>
      <c r="OI3129" s="37"/>
      <c r="OJ3129" s="37"/>
      <c r="OK3129" s="37"/>
      <c r="OL3129" s="37"/>
      <c r="OM3129" s="37"/>
      <c r="ON3129" s="37"/>
      <c r="OO3129" s="37"/>
      <c r="OP3129" s="37"/>
      <c r="OQ3129" s="37"/>
      <c r="OR3129" s="37"/>
      <c r="OS3129" s="37"/>
      <c r="OT3129" s="37"/>
      <c r="OU3129" s="37"/>
      <c r="OV3129" s="37"/>
      <c r="OW3129" s="37"/>
      <c r="OX3129" s="37"/>
      <c r="OY3129" s="37"/>
      <c r="OZ3129" s="37"/>
      <c r="PA3129" s="37"/>
      <c r="PB3129" s="37"/>
      <c r="PC3129" s="37"/>
      <c r="PD3129" s="37"/>
      <c r="PE3129" s="37"/>
      <c r="PF3129" s="37"/>
      <c r="PG3129" s="37"/>
      <c r="PH3129" s="37"/>
      <c r="PI3129" s="37"/>
      <c r="PJ3129" s="37"/>
      <c r="PK3129" s="37"/>
      <c r="PL3129" s="37"/>
      <c r="PM3129" s="37"/>
      <c r="PN3129" s="37"/>
      <c r="PO3129" s="37"/>
      <c r="PP3129" s="37"/>
      <c r="PQ3129" s="37"/>
      <c r="PR3129" s="37"/>
      <c r="PS3129" s="37"/>
      <c r="PT3129" s="37"/>
      <c r="PU3129" s="37"/>
      <c r="PV3129" s="37"/>
      <c r="PW3129" s="37"/>
      <c r="PX3129" s="37"/>
      <c r="PY3129" s="37"/>
      <c r="PZ3129" s="37"/>
      <c r="QA3129" s="37"/>
      <c r="QB3129" s="37"/>
      <c r="QC3129" s="37"/>
      <c r="QD3129" s="37"/>
      <c r="QE3129" s="37"/>
      <c r="QF3129" s="37"/>
      <c r="QG3129" s="37"/>
      <c r="QH3129" s="37"/>
      <c r="QI3129" s="37"/>
      <c r="QJ3129" s="37"/>
      <c r="QK3129" s="37"/>
      <c r="QL3129" s="37"/>
      <c r="QM3129" s="37"/>
      <c r="QN3129" s="37"/>
      <c r="QO3129" s="37"/>
      <c r="QP3129" s="37"/>
      <c r="QQ3129" s="37"/>
      <c r="QR3129" s="37"/>
      <c r="QS3129" s="37"/>
      <c r="QT3129" s="37"/>
      <c r="QU3129" s="37"/>
      <c r="QV3129" s="37"/>
      <c r="QW3129" s="37"/>
      <c r="QX3129" s="37"/>
      <c r="QY3129" s="37"/>
      <c r="QZ3129" s="37"/>
      <c r="RA3129" s="37"/>
      <c r="RB3129" s="37"/>
      <c r="RC3129" s="37"/>
      <c r="RD3129" s="37"/>
      <c r="RE3129" s="37"/>
      <c r="RF3129" s="37"/>
      <c r="RG3129" s="37"/>
      <c r="RH3129" s="37"/>
      <c r="RI3129" s="37"/>
      <c r="RJ3129" s="37"/>
      <c r="RK3129" s="37"/>
      <c r="RL3129" s="37"/>
      <c r="RM3129" s="37"/>
      <c r="RN3129" s="37"/>
      <c r="RO3129" s="37"/>
      <c r="RP3129" s="37"/>
      <c r="RQ3129" s="37"/>
      <c r="RR3129" s="37"/>
      <c r="RS3129" s="37"/>
      <c r="RT3129" s="37"/>
      <c r="RU3129" s="37"/>
      <c r="RV3129" s="37"/>
      <c r="RW3129" s="37"/>
      <c r="RX3129" s="37"/>
      <c r="RY3129" s="37"/>
      <c r="RZ3129" s="37"/>
      <c r="SA3129" s="37"/>
      <c r="SB3129" s="37"/>
      <c r="SC3129" s="37"/>
      <c r="SD3129" s="37"/>
      <c r="SE3129" s="37"/>
      <c r="SF3129" s="37"/>
    </row>
    <row r="3130" spans="1:500">
      <c r="A3130" s="37"/>
      <c r="B3130" s="37"/>
      <c r="C3130" s="37"/>
      <c r="D3130" s="37"/>
      <c r="E3130" s="37"/>
      <c r="F3130" s="37"/>
      <c r="G3130" s="37"/>
      <c r="H3130" s="37"/>
      <c r="I3130" s="37"/>
      <c r="J3130" s="37"/>
      <c r="K3130" s="37"/>
      <c r="L3130" s="37"/>
      <c r="M3130" s="37"/>
      <c r="N3130" s="37"/>
      <c r="O3130" s="37"/>
      <c r="P3130" s="37"/>
      <c r="Q3130" s="37"/>
      <c r="R3130" s="37"/>
      <c r="S3130" s="37"/>
      <c r="T3130" s="37"/>
      <c r="U3130" s="37"/>
      <c r="V3130" s="37"/>
      <c r="W3130" s="37"/>
      <c r="X3130" s="37"/>
      <c r="Y3130" s="37"/>
      <c r="Z3130" s="37"/>
      <c r="AA3130" s="37"/>
      <c r="AB3130" s="37"/>
      <c r="AC3130" s="37"/>
      <c r="AD3130" s="37"/>
      <c r="AE3130" s="37"/>
      <c r="AF3130" s="37"/>
      <c r="AG3130" s="37"/>
      <c r="AH3130" s="37"/>
      <c r="AI3130" s="37"/>
      <c r="AJ3130" s="37"/>
      <c r="AK3130" s="37"/>
      <c r="AL3130" s="37"/>
      <c r="AM3130" s="37"/>
      <c r="AN3130" s="37"/>
      <c r="AO3130" s="37"/>
      <c r="AP3130" s="37"/>
      <c r="AQ3130" s="37"/>
      <c r="AR3130" s="37"/>
      <c r="AS3130" s="37"/>
      <c r="AT3130" s="37"/>
      <c r="AU3130" s="37"/>
      <c r="AV3130" s="37"/>
      <c r="AW3130" s="37"/>
      <c r="AX3130" s="37"/>
      <c r="AY3130" s="37"/>
      <c r="AZ3130" s="37"/>
      <c r="BA3130" s="37"/>
      <c r="BB3130" s="37"/>
      <c r="BC3130" s="37"/>
      <c r="BD3130" s="37"/>
      <c r="BE3130" s="37"/>
      <c r="BF3130" s="37"/>
      <c r="BG3130" s="37"/>
      <c r="BH3130" s="37"/>
      <c r="BI3130" s="37"/>
      <c r="BJ3130" s="37"/>
      <c r="BK3130" s="37"/>
      <c r="BL3130" s="37"/>
      <c r="BM3130" s="37"/>
      <c r="BN3130" s="37"/>
      <c r="BO3130" s="37"/>
      <c r="BP3130" s="37"/>
      <c r="BQ3130" s="37"/>
      <c r="BR3130" s="37"/>
      <c r="BS3130" s="37"/>
      <c r="BT3130" s="37"/>
      <c r="BU3130" s="37"/>
      <c r="BV3130" s="37"/>
      <c r="BW3130" s="37"/>
      <c r="BX3130" s="37"/>
      <c r="BY3130" s="37"/>
      <c r="BZ3130" s="37"/>
      <c r="CA3130" s="37"/>
      <c r="CB3130" s="37"/>
      <c r="CC3130" s="37"/>
      <c r="CD3130" s="37"/>
      <c r="CE3130" s="37"/>
      <c r="CF3130" s="37"/>
      <c r="CG3130" s="37"/>
      <c r="CH3130" s="37"/>
      <c r="CI3130" s="37"/>
      <c r="CJ3130" s="37"/>
      <c r="CK3130" s="37"/>
      <c r="CL3130" s="37"/>
      <c r="CM3130" s="37"/>
      <c r="CN3130" s="37"/>
      <c r="CO3130" s="37"/>
      <c r="CP3130" s="37"/>
      <c r="CQ3130" s="37"/>
      <c r="CR3130" s="37"/>
      <c r="CS3130" s="37"/>
      <c r="CT3130" s="37"/>
      <c r="CU3130" s="37"/>
      <c r="CV3130" s="37"/>
      <c r="CW3130" s="37"/>
      <c r="CX3130" s="37"/>
      <c r="CY3130" s="37"/>
      <c r="CZ3130" s="37"/>
      <c r="DA3130" s="37"/>
      <c r="DB3130" s="37"/>
      <c r="DC3130" s="37"/>
      <c r="DD3130" s="37"/>
      <c r="DE3130" s="37"/>
      <c r="DF3130" s="37"/>
      <c r="DG3130" s="37"/>
      <c r="DH3130" s="37"/>
      <c r="DI3130" s="37"/>
      <c r="DJ3130" s="37"/>
      <c r="DK3130" s="37"/>
      <c r="DL3130" s="37"/>
      <c r="DM3130" s="37"/>
      <c r="DN3130" s="37"/>
      <c r="DO3130" s="37"/>
      <c r="DP3130" s="37"/>
      <c r="DQ3130" s="37"/>
      <c r="DR3130" s="37"/>
      <c r="DS3130" s="37"/>
      <c r="DT3130" s="37"/>
      <c r="DU3130" s="37"/>
      <c r="DV3130" s="37"/>
      <c r="DW3130" s="37"/>
      <c r="DX3130" s="37"/>
      <c r="DY3130" s="37"/>
      <c r="DZ3130" s="37"/>
      <c r="EA3130" s="37"/>
      <c r="EB3130" s="37"/>
      <c r="EC3130" s="37"/>
      <c r="ED3130" s="37"/>
      <c r="EE3130" s="37"/>
      <c r="EF3130" s="37"/>
      <c r="EG3130" s="37"/>
      <c r="EH3130" s="37"/>
      <c r="EI3130" s="37"/>
      <c r="EJ3130" s="37"/>
      <c r="EK3130" s="37"/>
      <c r="EL3130" s="37"/>
      <c r="EM3130" s="37"/>
      <c r="EN3130" s="37"/>
      <c r="EO3130" s="37"/>
      <c r="EP3130" s="37"/>
      <c r="EQ3130" s="37"/>
      <c r="ER3130" s="37"/>
      <c r="ES3130" s="37"/>
      <c r="ET3130" s="37"/>
      <c r="EU3130" s="37"/>
      <c r="EV3130" s="37"/>
      <c r="EW3130" s="37"/>
      <c r="EX3130" s="37"/>
      <c r="EY3130" s="37"/>
      <c r="EZ3130" s="37"/>
      <c r="FA3130" s="37"/>
      <c r="FB3130" s="37"/>
      <c r="FC3130" s="37"/>
      <c r="FD3130" s="37"/>
      <c r="FE3130" s="37"/>
      <c r="FF3130" s="37"/>
      <c r="FG3130" s="37"/>
      <c r="FH3130" s="37"/>
      <c r="FI3130" s="37"/>
      <c r="FJ3130" s="37"/>
      <c r="FK3130" s="37"/>
      <c r="FL3130" s="37"/>
      <c r="FM3130" s="37"/>
      <c r="FN3130" s="37"/>
      <c r="FO3130" s="37"/>
      <c r="FP3130" s="37"/>
      <c r="FQ3130" s="37"/>
      <c r="FR3130" s="37"/>
      <c r="FS3130" s="37"/>
      <c r="FT3130" s="37"/>
      <c r="FU3130" s="37"/>
      <c r="FV3130" s="37"/>
      <c r="FW3130" s="37"/>
      <c r="FX3130" s="37"/>
      <c r="FY3130" s="37"/>
      <c r="FZ3130" s="37"/>
      <c r="GA3130" s="37"/>
      <c r="GB3130" s="37"/>
      <c r="GC3130" s="37"/>
      <c r="GD3130" s="37"/>
      <c r="GE3130" s="37"/>
      <c r="GF3130" s="37"/>
      <c r="GG3130" s="37"/>
      <c r="GH3130" s="37"/>
      <c r="GI3130" s="37"/>
      <c r="GJ3130" s="37"/>
      <c r="GK3130" s="37"/>
      <c r="GL3130" s="37"/>
      <c r="GM3130" s="37"/>
      <c r="GN3130" s="37"/>
      <c r="GO3130" s="37"/>
      <c r="GP3130" s="37"/>
      <c r="GQ3130" s="37"/>
      <c r="GR3130" s="37"/>
      <c r="GS3130" s="37"/>
      <c r="GT3130" s="37"/>
      <c r="GU3130" s="37"/>
      <c r="GV3130" s="37"/>
      <c r="GW3130" s="37"/>
      <c r="GX3130" s="37"/>
      <c r="GY3130" s="37"/>
      <c r="GZ3130" s="37"/>
      <c r="HA3130" s="37"/>
      <c r="HB3130" s="37"/>
      <c r="HC3130" s="37"/>
      <c r="HD3130" s="37"/>
      <c r="HE3130" s="37"/>
      <c r="HF3130" s="37"/>
      <c r="HG3130" s="37"/>
      <c r="HH3130" s="37"/>
      <c r="HI3130" s="37"/>
      <c r="HJ3130" s="37"/>
      <c r="HK3130" s="37"/>
      <c r="HL3130" s="37"/>
      <c r="HM3130" s="37"/>
      <c r="HN3130" s="37"/>
      <c r="HO3130" s="37"/>
      <c r="HP3130" s="37"/>
      <c r="HQ3130" s="37"/>
      <c r="HR3130" s="37"/>
      <c r="HS3130" s="37"/>
      <c r="HT3130" s="37"/>
      <c r="HU3130" s="37"/>
      <c r="HV3130" s="37"/>
      <c r="HW3130" s="37"/>
      <c r="HX3130" s="37"/>
      <c r="HY3130" s="37"/>
      <c r="HZ3130" s="37"/>
      <c r="IA3130" s="37"/>
      <c r="IB3130" s="37"/>
      <c r="IC3130" s="37"/>
      <c r="ID3130" s="37"/>
      <c r="IE3130" s="37"/>
      <c r="IF3130" s="37"/>
      <c r="IG3130" s="37"/>
      <c r="IH3130" s="37"/>
      <c r="II3130" s="37"/>
      <c r="IJ3130" s="37"/>
      <c r="IK3130" s="37"/>
      <c r="IL3130" s="37"/>
      <c r="IM3130" s="37"/>
      <c r="IN3130" s="37"/>
      <c r="IO3130" s="37"/>
      <c r="IP3130" s="37"/>
      <c r="IQ3130" s="37"/>
      <c r="IR3130" s="37"/>
      <c r="IS3130" s="37"/>
      <c r="IT3130" s="37"/>
      <c r="IU3130" s="37"/>
      <c r="IV3130" s="37"/>
      <c r="IW3130" s="37"/>
      <c r="IX3130" s="37"/>
      <c r="IY3130" s="37"/>
      <c r="IZ3130" s="37"/>
      <c r="JA3130" s="37"/>
      <c r="JB3130" s="37"/>
      <c r="JC3130" s="37"/>
      <c r="JD3130" s="37"/>
      <c r="JE3130" s="37"/>
      <c r="JF3130" s="37"/>
      <c r="JG3130" s="37"/>
      <c r="JH3130" s="37"/>
      <c r="JI3130" s="37"/>
      <c r="JJ3130" s="37"/>
      <c r="JK3130" s="37"/>
      <c r="JL3130" s="37"/>
      <c r="JM3130" s="37"/>
      <c r="JN3130" s="37"/>
      <c r="JO3130" s="37"/>
      <c r="JP3130" s="37"/>
      <c r="JQ3130" s="37"/>
      <c r="JR3130" s="37"/>
      <c r="JS3130" s="37"/>
      <c r="JT3130" s="37"/>
      <c r="JU3130" s="37"/>
      <c r="JV3130" s="37"/>
      <c r="JW3130" s="37"/>
      <c r="JX3130" s="37"/>
      <c r="JY3130" s="37"/>
      <c r="JZ3130" s="37"/>
      <c r="KA3130" s="37"/>
      <c r="KB3130" s="37"/>
      <c r="KC3130" s="37"/>
      <c r="KD3130" s="37"/>
      <c r="KE3130" s="37"/>
      <c r="KF3130" s="37"/>
      <c r="KG3130" s="37"/>
      <c r="KH3130" s="37"/>
      <c r="KI3130" s="37"/>
      <c r="KJ3130" s="37"/>
      <c r="KK3130" s="37"/>
      <c r="KL3130" s="37"/>
      <c r="KM3130" s="37"/>
      <c r="KN3130" s="37"/>
      <c r="KO3130" s="37"/>
      <c r="KP3130" s="37"/>
      <c r="KQ3130" s="37"/>
      <c r="KR3130" s="37"/>
      <c r="KS3130" s="37"/>
      <c r="KT3130" s="37"/>
      <c r="KU3130" s="37"/>
      <c r="KV3130" s="37"/>
      <c r="KW3130" s="37"/>
      <c r="KX3130" s="37"/>
      <c r="KY3130" s="37"/>
      <c r="KZ3130" s="37"/>
      <c r="LA3130" s="37"/>
      <c r="LB3130" s="37"/>
      <c r="LC3130" s="37"/>
      <c r="LD3130" s="37"/>
      <c r="LE3130" s="37"/>
      <c r="LF3130" s="37"/>
      <c r="LG3130" s="37"/>
      <c r="LH3130" s="37"/>
      <c r="LI3130" s="37"/>
      <c r="LJ3130" s="37"/>
      <c r="LK3130" s="37"/>
      <c r="LL3130" s="37"/>
      <c r="LM3130" s="37"/>
      <c r="LN3130" s="37"/>
      <c r="LO3130" s="37"/>
      <c r="LP3130" s="37"/>
      <c r="LQ3130" s="37"/>
      <c r="LR3130" s="37"/>
      <c r="LS3130" s="37"/>
      <c r="LT3130" s="37"/>
      <c r="LU3130" s="37"/>
      <c r="LV3130" s="37"/>
      <c r="LW3130" s="37"/>
      <c r="LX3130" s="37"/>
      <c r="LY3130" s="37"/>
      <c r="LZ3130" s="37"/>
      <c r="MA3130" s="37"/>
      <c r="MB3130" s="37"/>
      <c r="MC3130" s="37"/>
      <c r="MD3130" s="37"/>
      <c r="ME3130" s="37"/>
      <c r="MF3130" s="37"/>
      <c r="MG3130" s="37"/>
      <c r="MH3130" s="37"/>
      <c r="MI3130" s="37"/>
      <c r="MJ3130" s="37"/>
      <c r="MK3130" s="37"/>
      <c r="ML3130" s="37"/>
      <c r="MM3130" s="37"/>
      <c r="MN3130" s="37"/>
      <c r="MO3130" s="37"/>
      <c r="MP3130" s="37"/>
      <c r="MQ3130" s="37"/>
      <c r="MR3130" s="37"/>
      <c r="MS3130" s="37"/>
      <c r="MT3130" s="37"/>
      <c r="MU3130" s="37"/>
      <c r="MV3130" s="37"/>
      <c r="MW3130" s="37"/>
      <c r="MX3130" s="37"/>
      <c r="MY3130" s="37"/>
      <c r="MZ3130" s="37"/>
      <c r="NA3130" s="37"/>
      <c r="NB3130" s="37"/>
      <c r="NC3130" s="37"/>
      <c r="ND3130" s="37"/>
      <c r="NE3130" s="37"/>
      <c r="NF3130" s="37"/>
      <c r="NG3130" s="37"/>
      <c r="NH3130" s="37"/>
      <c r="NI3130" s="37"/>
      <c r="NJ3130" s="37"/>
      <c r="NK3130" s="37"/>
      <c r="NL3130" s="37"/>
      <c r="NM3130" s="37"/>
      <c r="NN3130" s="37"/>
      <c r="NO3130" s="37"/>
      <c r="NP3130" s="37"/>
      <c r="NQ3130" s="37"/>
      <c r="NR3130" s="37"/>
      <c r="NS3130" s="37"/>
      <c r="NT3130" s="37"/>
      <c r="NU3130" s="37"/>
      <c r="NV3130" s="37"/>
      <c r="NW3130" s="37"/>
      <c r="NX3130" s="37"/>
      <c r="NY3130" s="37"/>
      <c r="NZ3130" s="37"/>
      <c r="OA3130" s="37"/>
      <c r="OB3130" s="37"/>
      <c r="OC3130" s="37"/>
      <c r="OD3130" s="37"/>
      <c r="OE3130" s="37"/>
      <c r="OF3130" s="37"/>
      <c r="OG3130" s="37"/>
      <c r="OH3130" s="37"/>
      <c r="OI3130" s="37"/>
      <c r="OJ3130" s="37"/>
      <c r="OK3130" s="37"/>
      <c r="OL3130" s="37"/>
      <c r="OM3130" s="37"/>
      <c r="ON3130" s="37"/>
      <c r="OO3130" s="37"/>
      <c r="OP3130" s="37"/>
      <c r="OQ3130" s="37"/>
      <c r="OR3130" s="37"/>
      <c r="OS3130" s="37"/>
      <c r="OT3130" s="37"/>
      <c r="OU3130" s="37"/>
      <c r="OV3130" s="37"/>
      <c r="OW3130" s="37"/>
      <c r="OX3130" s="37"/>
      <c r="OY3130" s="37"/>
      <c r="OZ3130" s="37"/>
      <c r="PA3130" s="37"/>
      <c r="PB3130" s="37"/>
      <c r="PC3130" s="37"/>
      <c r="PD3130" s="37"/>
      <c r="PE3130" s="37"/>
      <c r="PF3130" s="37"/>
      <c r="PG3130" s="37"/>
      <c r="PH3130" s="37"/>
      <c r="PI3130" s="37"/>
      <c r="PJ3130" s="37"/>
      <c r="PK3130" s="37"/>
      <c r="PL3130" s="37"/>
      <c r="PM3130" s="37"/>
      <c r="PN3130" s="37"/>
      <c r="PO3130" s="37"/>
      <c r="PP3130" s="37"/>
      <c r="PQ3130" s="37"/>
      <c r="PR3130" s="37"/>
      <c r="PS3130" s="37"/>
      <c r="PT3130" s="37"/>
      <c r="PU3130" s="37"/>
      <c r="PV3130" s="37"/>
      <c r="PW3130" s="37"/>
      <c r="PX3130" s="37"/>
      <c r="PY3130" s="37"/>
      <c r="PZ3130" s="37"/>
      <c r="QA3130" s="37"/>
      <c r="QB3130" s="37"/>
      <c r="QC3130" s="37"/>
      <c r="QD3130" s="37"/>
      <c r="QE3130" s="37"/>
      <c r="QF3130" s="37"/>
      <c r="QG3130" s="37"/>
      <c r="QH3130" s="37"/>
      <c r="QI3130" s="37"/>
      <c r="QJ3130" s="37"/>
      <c r="QK3130" s="37"/>
      <c r="QL3130" s="37"/>
      <c r="QM3130" s="37"/>
      <c r="QN3130" s="37"/>
      <c r="QO3130" s="37"/>
      <c r="QP3130" s="37"/>
      <c r="QQ3130" s="37"/>
      <c r="QR3130" s="37"/>
      <c r="QS3130" s="37"/>
      <c r="QT3130" s="37"/>
      <c r="QU3130" s="37"/>
      <c r="QV3130" s="37"/>
      <c r="QW3130" s="37"/>
      <c r="QX3130" s="37"/>
      <c r="QY3130" s="37"/>
      <c r="QZ3130" s="37"/>
      <c r="RA3130" s="37"/>
      <c r="RB3130" s="37"/>
      <c r="RC3130" s="37"/>
      <c r="RD3130" s="37"/>
      <c r="RE3130" s="37"/>
      <c r="RF3130" s="37"/>
      <c r="RG3130" s="37"/>
      <c r="RH3130" s="37"/>
      <c r="RI3130" s="37"/>
      <c r="RJ3130" s="37"/>
      <c r="RK3130" s="37"/>
      <c r="RL3130" s="37"/>
      <c r="RM3130" s="37"/>
      <c r="RN3130" s="37"/>
      <c r="RO3130" s="37"/>
      <c r="RP3130" s="37"/>
      <c r="RQ3130" s="37"/>
      <c r="RR3130" s="37"/>
      <c r="RS3130" s="37"/>
      <c r="RT3130" s="37"/>
      <c r="RU3130" s="37"/>
      <c r="RV3130" s="37"/>
      <c r="RW3130" s="37"/>
      <c r="RX3130" s="37"/>
      <c r="RY3130" s="37"/>
      <c r="RZ3130" s="37"/>
      <c r="SA3130" s="37"/>
      <c r="SB3130" s="37"/>
      <c r="SC3130" s="37"/>
      <c r="SD3130" s="37"/>
      <c r="SE3130" s="37"/>
      <c r="SF3130" s="37"/>
    </row>
    <row r="3131" spans="1:500">
      <c r="A3131" s="37"/>
      <c r="B3131" s="37"/>
      <c r="C3131" s="37"/>
      <c r="D3131" s="37"/>
      <c r="E3131" s="37"/>
      <c r="F3131" s="37"/>
      <c r="G3131" s="37"/>
      <c r="H3131" s="37"/>
      <c r="I3131" s="37"/>
      <c r="J3131" s="37"/>
      <c r="K3131" s="37"/>
      <c r="L3131" s="37"/>
      <c r="M3131" s="37"/>
      <c r="N3131" s="37"/>
      <c r="O3131" s="37"/>
      <c r="P3131" s="37"/>
      <c r="Q3131" s="37"/>
      <c r="R3131" s="37"/>
      <c r="S3131" s="37"/>
      <c r="T3131" s="37"/>
      <c r="U3131" s="37"/>
      <c r="V3131" s="37"/>
      <c r="W3131" s="37"/>
      <c r="X3131" s="37"/>
      <c r="Y3131" s="37"/>
      <c r="Z3131" s="37"/>
      <c r="AA3131" s="37"/>
      <c r="AB3131" s="37"/>
      <c r="AC3131" s="37"/>
      <c r="AD3131" s="37"/>
      <c r="AE3131" s="37"/>
      <c r="AF3131" s="37"/>
      <c r="AG3131" s="37"/>
      <c r="AH3131" s="37"/>
      <c r="AI3131" s="37"/>
      <c r="AJ3131" s="37"/>
      <c r="AK3131" s="37"/>
      <c r="AL3131" s="37"/>
      <c r="AM3131" s="37"/>
      <c r="AN3131" s="37"/>
      <c r="AO3131" s="37"/>
      <c r="AP3131" s="37"/>
      <c r="AQ3131" s="37"/>
      <c r="AR3131" s="37"/>
      <c r="AS3131" s="37"/>
      <c r="AT3131" s="37"/>
      <c r="AU3131" s="37"/>
      <c r="AV3131" s="37"/>
      <c r="AW3131" s="37"/>
      <c r="AX3131" s="37"/>
      <c r="AY3131" s="37"/>
      <c r="AZ3131" s="37"/>
      <c r="BA3131" s="37"/>
      <c r="BB3131" s="37"/>
      <c r="BC3131" s="37"/>
      <c r="BD3131" s="37"/>
      <c r="BE3131" s="37"/>
      <c r="BF3131" s="37"/>
      <c r="BG3131" s="37"/>
      <c r="BH3131" s="37"/>
      <c r="BI3131" s="37"/>
      <c r="BJ3131" s="37"/>
      <c r="BK3131" s="37"/>
      <c r="BL3131" s="37"/>
      <c r="BM3131" s="37"/>
      <c r="BN3131" s="37"/>
      <c r="BO3131" s="37"/>
      <c r="BP3131" s="37"/>
      <c r="BQ3131" s="37"/>
      <c r="BR3131" s="37"/>
      <c r="BS3131" s="37"/>
      <c r="BT3131" s="37"/>
      <c r="BU3131" s="37"/>
      <c r="BV3131" s="37"/>
      <c r="BW3131" s="37"/>
      <c r="BX3131" s="37"/>
      <c r="BY3131" s="37"/>
      <c r="BZ3131" s="37"/>
      <c r="CA3131" s="37"/>
      <c r="CB3131" s="37"/>
      <c r="CC3131" s="37"/>
      <c r="CD3131" s="37"/>
      <c r="CE3131" s="37"/>
      <c r="CF3131" s="37"/>
      <c r="CG3131" s="37"/>
      <c r="CH3131" s="37"/>
      <c r="CI3131" s="37"/>
      <c r="CJ3131" s="37"/>
      <c r="CK3131" s="37"/>
      <c r="CL3131" s="37"/>
      <c r="CM3131" s="37"/>
      <c r="CN3131" s="37"/>
      <c r="CO3131" s="37"/>
      <c r="CP3131" s="37"/>
      <c r="CQ3131" s="37"/>
      <c r="CR3131" s="37"/>
      <c r="CS3131" s="37"/>
      <c r="CT3131" s="37"/>
      <c r="CU3131" s="37"/>
      <c r="CV3131" s="37"/>
      <c r="CW3131" s="37"/>
      <c r="CX3131" s="37"/>
      <c r="CY3131" s="37"/>
      <c r="CZ3131" s="37"/>
      <c r="DA3131" s="37"/>
      <c r="DB3131" s="37"/>
      <c r="DC3131" s="37"/>
      <c r="DD3131" s="37"/>
      <c r="DE3131" s="37"/>
      <c r="DF3131" s="37"/>
      <c r="DG3131" s="37"/>
      <c r="DH3131" s="37"/>
      <c r="DI3131" s="37"/>
      <c r="DJ3131" s="37"/>
      <c r="DK3131" s="37"/>
      <c r="DL3131" s="37"/>
      <c r="DM3131" s="37"/>
      <c r="DN3131" s="37"/>
      <c r="DO3131" s="37"/>
      <c r="DP3131" s="37"/>
      <c r="DQ3131" s="37"/>
      <c r="DR3131" s="37"/>
      <c r="DS3131" s="37"/>
      <c r="DT3131" s="37"/>
      <c r="DU3131" s="37"/>
      <c r="DV3131" s="37"/>
      <c r="DW3131" s="37"/>
      <c r="DX3131" s="37"/>
      <c r="DY3131" s="37"/>
      <c r="DZ3131" s="37"/>
      <c r="EA3131" s="37"/>
      <c r="EB3131" s="37"/>
      <c r="EC3131" s="37"/>
      <c r="ED3131" s="37"/>
      <c r="EE3131" s="37"/>
      <c r="EF3131" s="37"/>
      <c r="EG3131" s="37"/>
      <c r="EH3131" s="37"/>
      <c r="EI3131" s="37"/>
      <c r="EJ3131" s="37"/>
      <c r="EK3131" s="37"/>
      <c r="EL3131" s="37"/>
      <c r="EM3131" s="37"/>
      <c r="EN3131" s="37"/>
      <c r="EO3131" s="37"/>
      <c r="EP3131" s="37"/>
      <c r="EQ3131" s="37"/>
      <c r="ER3131" s="37"/>
      <c r="ES3131" s="37"/>
      <c r="ET3131" s="37"/>
      <c r="EU3131" s="37"/>
      <c r="EV3131" s="37"/>
      <c r="EW3131" s="37"/>
      <c r="EX3131" s="37"/>
      <c r="EY3131" s="37"/>
      <c r="EZ3131" s="37"/>
      <c r="FA3131" s="37"/>
      <c r="FB3131" s="37"/>
      <c r="FC3131" s="37"/>
      <c r="FD3131" s="37"/>
      <c r="FE3131" s="37"/>
      <c r="FF3131" s="37"/>
      <c r="FG3131" s="37"/>
      <c r="FH3131" s="37"/>
      <c r="FI3131" s="37"/>
      <c r="FJ3131" s="37"/>
      <c r="FK3131" s="37"/>
      <c r="FL3131" s="37"/>
      <c r="FM3131" s="37"/>
      <c r="FN3131" s="37"/>
      <c r="FO3131" s="37"/>
      <c r="FP3131" s="37"/>
      <c r="FQ3131" s="37"/>
      <c r="FR3131" s="37"/>
      <c r="FS3131" s="37"/>
      <c r="FT3131" s="37"/>
      <c r="FU3131" s="37"/>
      <c r="FV3131" s="37"/>
      <c r="FW3131" s="37"/>
      <c r="FX3131" s="37"/>
      <c r="FY3131" s="37"/>
      <c r="FZ3131" s="37"/>
      <c r="GA3131" s="37"/>
      <c r="GB3131" s="37"/>
      <c r="GC3131" s="37"/>
      <c r="GD3131" s="37"/>
      <c r="GE3131" s="37"/>
      <c r="GF3131" s="37"/>
      <c r="GG3131" s="37"/>
      <c r="GH3131" s="37"/>
      <c r="GI3131" s="37"/>
      <c r="GJ3131" s="37"/>
      <c r="GK3131" s="37"/>
      <c r="GL3131" s="37"/>
      <c r="GM3131" s="37"/>
      <c r="GN3131" s="37"/>
      <c r="GO3131" s="37"/>
      <c r="GP3131" s="37"/>
      <c r="GQ3131" s="37"/>
      <c r="GR3131" s="37"/>
      <c r="GS3131" s="37"/>
      <c r="GT3131" s="37"/>
      <c r="GU3131" s="37"/>
      <c r="GV3131" s="37"/>
      <c r="GW3131" s="37"/>
      <c r="GX3131" s="37"/>
      <c r="GY3131" s="37"/>
      <c r="GZ3131" s="37"/>
      <c r="HA3131" s="37"/>
      <c r="HB3131" s="37"/>
      <c r="HC3131" s="37"/>
      <c r="HD3131" s="37"/>
      <c r="HE3131" s="37"/>
      <c r="HF3131" s="37"/>
      <c r="HG3131" s="37"/>
      <c r="HH3131" s="37"/>
      <c r="HI3131" s="37"/>
      <c r="HJ3131" s="37"/>
      <c r="HK3131" s="37"/>
      <c r="HL3131" s="37"/>
      <c r="HM3131" s="37"/>
      <c r="HN3131" s="37"/>
      <c r="HO3131" s="37"/>
      <c r="HP3131" s="37"/>
      <c r="HQ3131" s="37"/>
      <c r="HR3131" s="37"/>
      <c r="HS3131" s="37"/>
      <c r="HT3131" s="37"/>
      <c r="HU3131" s="37"/>
      <c r="HV3131" s="37"/>
      <c r="HW3131" s="37"/>
      <c r="HX3131" s="37"/>
      <c r="HY3131" s="37"/>
      <c r="HZ3131" s="37"/>
      <c r="IA3131" s="37"/>
      <c r="IB3131" s="37"/>
      <c r="IC3131" s="37"/>
      <c r="ID3131" s="37"/>
      <c r="IE3131" s="37"/>
      <c r="IF3131" s="37"/>
      <c r="IG3131" s="37"/>
      <c r="IH3131" s="37"/>
      <c r="II3131" s="37"/>
      <c r="IJ3131" s="37"/>
      <c r="IK3131" s="37"/>
      <c r="IL3131" s="37"/>
      <c r="IM3131" s="37"/>
      <c r="IN3131" s="37"/>
      <c r="IO3131" s="37"/>
      <c r="IP3131" s="37"/>
      <c r="IQ3131" s="37"/>
      <c r="IR3131" s="37"/>
      <c r="IS3131" s="37"/>
      <c r="IT3131" s="37"/>
      <c r="IU3131" s="37"/>
      <c r="IV3131" s="37"/>
      <c r="IW3131" s="37"/>
      <c r="IX3131" s="37"/>
      <c r="IY3131" s="37"/>
      <c r="IZ3131" s="37"/>
      <c r="JA3131" s="37"/>
      <c r="JB3131" s="37"/>
      <c r="JC3131" s="37"/>
      <c r="JD3131" s="37"/>
      <c r="JE3131" s="37"/>
      <c r="JF3131" s="37"/>
      <c r="JG3131" s="37"/>
      <c r="JH3131" s="37"/>
      <c r="JI3131" s="37"/>
      <c r="JJ3131" s="37"/>
      <c r="JK3131" s="37"/>
      <c r="JL3131" s="37"/>
      <c r="JM3131" s="37"/>
      <c r="JN3131" s="37"/>
      <c r="JO3131" s="37"/>
      <c r="JP3131" s="37"/>
      <c r="JQ3131" s="37"/>
      <c r="JR3131" s="37"/>
      <c r="JS3131" s="37"/>
      <c r="JT3131" s="37"/>
      <c r="JU3131" s="37"/>
      <c r="JV3131" s="37"/>
      <c r="JW3131" s="37"/>
      <c r="JX3131" s="37"/>
      <c r="JY3131" s="37"/>
      <c r="JZ3131" s="37"/>
      <c r="KA3131" s="37"/>
      <c r="KB3131" s="37"/>
      <c r="KC3131" s="37"/>
      <c r="KD3131" s="37"/>
      <c r="KE3131" s="37"/>
      <c r="KF3131" s="37"/>
      <c r="KG3131" s="37"/>
      <c r="KH3131" s="37"/>
      <c r="KI3131" s="37"/>
      <c r="KJ3131" s="37"/>
      <c r="KK3131" s="37"/>
      <c r="KL3131" s="37"/>
      <c r="KM3131" s="37"/>
      <c r="KN3131" s="37"/>
      <c r="KO3131" s="37"/>
      <c r="KP3131" s="37"/>
      <c r="KQ3131" s="37"/>
      <c r="KR3131" s="37"/>
      <c r="KS3131" s="37"/>
      <c r="KT3131" s="37"/>
      <c r="KU3131" s="37"/>
      <c r="KV3131" s="37"/>
      <c r="KW3131" s="37"/>
      <c r="KX3131" s="37"/>
      <c r="KY3131" s="37"/>
      <c r="KZ3131" s="37"/>
      <c r="LA3131" s="37"/>
      <c r="LB3131" s="37"/>
      <c r="LC3131" s="37"/>
      <c r="LD3131" s="37"/>
      <c r="LE3131" s="37"/>
      <c r="LF3131" s="37"/>
      <c r="LG3131" s="37"/>
      <c r="LH3131" s="37"/>
      <c r="LI3131" s="37"/>
      <c r="LJ3131" s="37"/>
      <c r="LK3131" s="37"/>
      <c r="LL3131" s="37"/>
      <c r="LM3131" s="37"/>
      <c r="LN3131" s="37"/>
      <c r="LO3131" s="37"/>
      <c r="LP3131" s="37"/>
      <c r="LQ3131" s="37"/>
      <c r="LR3131" s="37"/>
      <c r="LS3131" s="37"/>
      <c r="LT3131" s="37"/>
      <c r="LU3131" s="37"/>
      <c r="LV3131" s="37"/>
      <c r="LW3131" s="37"/>
      <c r="LX3131" s="37"/>
      <c r="LY3131" s="37"/>
      <c r="LZ3131" s="37"/>
      <c r="MA3131" s="37"/>
      <c r="MB3131" s="37"/>
      <c r="MC3131" s="37"/>
      <c r="MD3131" s="37"/>
      <c r="ME3131" s="37"/>
      <c r="MF3131" s="37"/>
      <c r="MG3131" s="37"/>
      <c r="MH3131" s="37"/>
      <c r="MI3131" s="37"/>
      <c r="MJ3131" s="37"/>
      <c r="MK3131" s="37"/>
      <c r="ML3131" s="37"/>
      <c r="MM3131" s="37"/>
      <c r="MN3131" s="37"/>
      <c r="MO3131" s="37"/>
      <c r="MP3131" s="37"/>
      <c r="MQ3131" s="37"/>
      <c r="MR3131" s="37"/>
      <c r="MS3131" s="37"/>
      <c r="MT3131" s="37"/>
      <c r="MU3131" s="37"/>
      <c r="MV3131" s="37"/>
      <c r="MW3131" s="37"/>
      <c r="MX3131" s="37"/>
      <c r="MY3131" s="37"/>
      <c r="MZ3131" s="37"/>
      <c r="NA3131" s="37"/>
      <c r="NB3131" s="37"/>
      <c r="NC3131" s="37"/>
      <c r="ND3131" s="37"/>
      <c r="NE3131" s="37"/>
      <c r="NF3131" s="37"/>
      <c r="NG3131" s="37"/>
      <c r="NH3131" s="37"/>
      <c r="NI3131" s="37"/>
      <c r="NJ3131" s="37"/>
      <c r="NK3131" s="37"/>
      <c r="NL3131" s="37"/>
      <c r="NM3131" s="37"/>
      <c r="NN3131" s="37"/>
      <c r="NO3131" s="37"/>
      <c r="NP3131" s="37"/>
      <c r="NQ3131" s="37"/>
      <c r="NR3131" s="37"/>
      <c r="NS3131" s="37"/>
      <c r="NT3131" s="37"/>
      <c r="NU3131" s="37"/>
      <c r="NV3131" s="37"/>
      <c r="NW3131" s="37"/>
      <c r="NX3131" s="37"/>
      <c r="NY3131" s="37"/>
      <c r="NZ3131" s="37"/>
      <c r="OA3131" s="37"/>
      <c r="OB3131" s="37"/>
      <c r="OC3131" s="37"/>
      <c r="OD3131" s="37"/>
      <c r="OE3131" s="37"/>
      <c r="OF3131" s="37"/>
      <c r="OG3131" s="37"/>
      <c r="OH3131" s="37"/>
      <c r="OI3131" s="37"/>
      <c r="OJ3131" s="37"/>
      <c r="OK3131" s="37"/>
      <c r="OL3131" s="37"/>
      <c r="OM3131" s="37"/>
      <c r="ON3131" s="37"/>
      <c r="OO3131" s="37"/>
      <c r="OP3131" s="37"/>
      <c r="OQ3131" s="37"/>
      <c r="OR3131" s="37"/>
      <c r="OS3131" s="37"/>
      <c r="OT3131" s="37"/>
      <c r="OU3131" s="37"/>
      <c r="OV3131" s="37"/>
      <c r="OW3131" s="37"/>
      <c r="OX3131" s="37"/>
      <c r="OY3131" s="37"/>
      <c r="OZ3131" s="37"/>
      <c r="PA3131" s="37"/>
      <c r="PB3131" s="37"/>
      <c r="PC3131" s="37"/>
      <c r="PD3131" s="37"/>
      <c r="PE3131" s="37"/>
      <c r="PF3131" s="37"/>
      <c r="PG3131" s="37"/>
      <c r="PH3131" s="37"/>
      <c r="PI3131" s="37"/>
      <c r="PJ3131" s="37"/>
      <c r="PK3131" s="37"/>
      <c r="PL3131" s="37"/>
      <c r="PM3131" s="37"/>
      <c r="PN3131" s="37"/>
      <c r="PO3131" s="37"/>
      <c r="PP3131" s="37"/>
      <c r="PQ3131" s="37"/>
      <c r="PR3131" s="37"/>
      <c r="PS3131" s="37"/>
      <c r="PT3131" s="37"/>
      <c r="PU3131" s="37"/>
      <c r="PV3131" s="37"/>
      <c r="PW3131" s="37"/>
      <c r="PX3131" s="37"/>
      <c r="PY3131" s="37"/>
      <c r="PZ3131" s="37"/>
      <c r="QA3131" s="37"/>
      <c r="QB3131" s="37"/>
      <c r="QC3131" s="37"/>
      <c r="QD3131" s="37"/>
      <c r="QE3131" s="37"/>
      <c r="QF3131" s="37"/>
      <c r="QG3131" s="37"/>
      <c r="QH3131" s="37"/>
      <c r="QI3131" s="37"/>
      <c r="QJ3131" s="37"/>
      <c r="QK3131" s="37"/>
      <c r="QL3131" s="37"/>
      <c r="QM3131" s="37"/>
      <c r="QN3131" s="37"/>
      <c r="QO3131" s="37"/>
      <c r="QP3131" s="37"/>
      <c r="QQ3131" s="37"/>
      <c r="QR3131" s="37"/>
      <c r="QS3131" s="37"/>
      <c r="QT3131" s="37"/>
      <c r="QU3131" s="37"/>
      <c r="QV3131" s="37"/>
      <c r="QW3131" s="37"/>
      <c r="QX3131" s="37"/>
      <c r="QY3131" s="37"/>
      <c r="QZ3131" s="37"/>
      <c r="RA3131" s="37"/>
      <c r="RB3131" s="37"/>
      <c r="RC3131" s="37"/>
      <c r="RD3131" s="37"/>
      <c r="RE3131" s="37"/>
      <c r="RF3131" s="37"/>
      <c r="RG3131" s="37"/>
      <c r="RH3131" s="37"/>
      <c r="RI3131" s="37"/>
      <c r="RJ3131" s="37"/>
      <c r="RK3131" s="37"/>
      <c r="RL3131" s="37"/>
      <c r="RM3131" s="37"/>
      <c r="RN3131" s="37"/>
      <c r="RO3131" s="37"/>
      <c r="RP3131" s="37"/>
      <c r="RQ3131" s="37"/>
      <c r="RR3131" s="37"/>
      <c r="RS3131" s="37"/>
      <c r="RT3131" s="37"/>
      <c r="RU3131" s="37"/>
      <c r="RV3131" s="37"/>
      <c r="RW3131" s="37"/>
      <c r="RX3131" s="37"/>
      <c r="RY3131" s="37"/>
      <c r="RZ3131" s="37"/>
      <c r="SA3131" s="37"/>
      <c r="SB3131" s="37"/>
      <c r="SC3131" s="37"/>
      <c r="SD3131" s="37"/>
      <c r="SE3131" s="37"/>
      <c r="SF3131" s="37"/>
    </row>
    <row r="3132" spans="1:500">
      <c r="A3132" s="37"/>
      <c r="B3132" s="37"/>
      <c r="C3132" s="37"/>
      <c r="D3132" s="37"/>
      <c r="E3132" s="37"/>
      <c r="F3132" s="37"/>
      <c r="G3132" s="37"/>
      <c r="H3132" s="37"/>
      <c r="I3132" s="37"/>
      <c r="J3132" s="37"/>
      <c r="K3132" s="37"/>
      <c r="L3132" s="37"/>
      <c r="M3132" s="37"/>
      <c r="N3132" s="37"/>
      <c r="O3132" s="37"/>
      <c r="P3132" s="37"/>
      <c r="Q3132" s="37"/>
      <c r="R3132" s="37"/>
      <c r="S3132" s="37"/>
      <c r="T3132" s="37"/>
      <c r="U3132" s="37"/>
      <c r="V3132" s="37"/>
      <c r="W3132" s="37"/>
      <c r="X3132" s="37"/>
      <c r="Y3132" s="37"/>
      <c r="Z3132" s="37"/>
      <c r="AA3132" s="37"/>
      <c r="AB3132" s="37"/>
      <c r="AC3132" s="37"/>
      <c r="AD3132" s="37"/>
      <c r="AE3132" s="37"/>
      <c r="AF3132" s="37"/>
      <c r="AG3132" s="37"/>
      <c r="AH3132" s="37"/>
      <c r="AI3132" s="37"/>
      <c r="AJ3132" s="37"/>
      <c r="AK3132" s="37"/>
      <c r="AL3132" s="37"/>
      <c r="AM3132" s="37"/>
      <c r="AN3132" s="37"/>
      <c r="AO3132" s="37"/>
      <c r="AP3132" s="37"/>
      <c r="AQ3132" s="37"/>
      <c r="AR3132" s="37"/>
      <c r="AS3132" s="37"/>
      <c r="AT3132" s="37"/>
      <c r="AU3132" s="37"/>
      <c r="AV3132" s="37"/>
      <c r="AW3132" s="37"/>
      <c r="AX3132" s="37"/>
      <c r="AY3132" s="37"/>
      <c r="AZ3132" s="37"/>
      <c r="BA3132" s="37"/>
      <c r="BB3132" s="37"/>
      <c r="BC3132" s="37"/>
      <c r="BD3132" s="37"/>
      <c r="BE3132" s="37"/>
      <c r="BF3132" s="37"/>
      <c r="BG3132" s="37"/>
      <c r="BH3132" s="37"/>
      <c r="BI3132" s="37"/>
      <c r="BJ3132" s="37"/>
      <c r="BK3132" s="37"/>
      <c r="BL3132" s="37"/>
      <c r="BM3132" s="37"/>
      <c r="BN3132" s="37"/>
      <c r="BO3132" s="37"/>
      <c r="BP3132" s="37"/>
      <c r="BQ3132" s="37"/>
      <c r="BR3132" s="37"/>
      <c r="BS3132" s="37"/>
      <c r="BT3132" s="37"/>
      <c r="BU3132" s="37"/>
      <c r="BV3132" s="37"/>
      <c r="BW3132" s="37"/>
      <c r="BX3132" s="37"/>
      <c r="BY3132" s="37"/>
      <c r="BZ3132" s="37"/>
      <c r="CA3132" s="37"/>
      <c r="CB3132" s="37"/>
      <c r="CC3132" s="37"/>
      <c r="CD3132" s="37"/>
      <c r="CE3132" s="37"/>
      <c r="CF3132" s="37"/>
      <c r="CG3132" s="37"/>
      <c r="CH3132" s="37"/>
      <c r="CI3132" s="37"/>
      <c r="CJ3132" s="37"/>
      <c r="CK3132" s="37"/>
      <c r="CL3132" s="37"/>
      <c r="CM3132" s="37"/>
      <c r="CN3132" s="37"/>
      <c r="CO3132" s="37"/>
      <c r="CP3132" s="37"/>
      <c r="CQ3132" s="37"/>
      <c r="CR3132" s="37"/>
      <c r="CS3132" s="37"/>
      <c r="CT3132" s="37"/>
      <c r="CU3132" s="37"/>
      <c r="CV3132" s="37"/>
      <c r="CW3132" s="37"/>
      <c r="CX3132" s="37"/>
      <c r="CY3132" s="37"/>
      <c r="CZ3132" s="37"/>
      <c r="DA3132" s="37"/>
      <c r="DB3132" s="37"/>
      <c r="DC3132" s="37"/>
      <c r="DD3132" s="37"/>
      <c r="DE3132" s="37"/>
      <c r="DF3132" s="37"/>
      <c r="DG3132" s="37"/>
      <c r="DH3132" s="37"/>
      <c r="DI3132" s="37"/>
      <c r="DJ3132" s="37"/>
      <c r="DK3132" s="37"/>
      <c r="DL3132" s="37"/>
      <c r="DM3132" s="37"/>
      <c r="DN3132" s="37"/>
      <c r="DO3132" s="37"/>
      <c r="DP3132" s="37"/>
      <c r="DQ3132" s="37"/>
      <c r="DR3132" s="37"/>
      <c r="DS3132" s="37"/>
      <c r="DT3132" s="37"/>
      <c r="DU3132" s="37"/>
      <c r="DV3132" s="37"/>
      <c r="DW3132" s="37"/>
      <c r="DX3132" s="37"/>
      <c r="DY3132" s="37"/>
      <c r="DZ3132" s="37"/>
      <c r="EA3132" s="37"/>
      <c r="EB3132" s="37"/>
      <c r="EC3132" s="37"/>
      <c r="ED3132" s="37"/>
      <c r="EE3132" s="37"/>
      <c r="EF3132" s="37"/>
      <c r="EG3132" s="37"/>
      <c r="EH3132" s="37"/>
      <c r="EI3132" s="37"/>
      <c r="EJ3132" s="37"/>
      <c r="EK3132" s="37"/>
      <c r="EL3132" s="37"/>
      <c r="EM3132" s="37"/>
      <c r="EN3132" s="37"/>
      <c r="EO3132" s="37"/>
      <c r="EP3132" s="37"/>
      <c r="EQ3132" s="37"/>
      <c r="ER3132" s="37"/>
      <c r="ES3132" s="37"/>
      <c r="ET3132" s="37"/>
      <c r="EU3132" s="37"/>
      <c r="EV3132" s="37"/>
      <c r="EW3132" s="37"/>
      <c r="EX3132" s="37"/>
      <c r="EY3132" s="37"/>
      <c r="EZ3132" s="37"/>
      <c r="FA3132" s="37"/>
      <c r="FB3132" s="37"/>
      <c r="FC3132" s="37"/>
      <c r="FD3132" s="37"/>
      <c r="FE3132" s="37"/>
      <c r="FF3132" s="37"/>
      <c r="FG3132" s="37"/>
      <c r="FH3132" s="37"/>
      <c r="FI3132" s="37"/>
      <c r="FJ3132" s="37"/>
      <c r="FK3132" s="37"/>
      <c r="FL3132" s="37"/>
      <c r="FM3132" s="37"/>
      <c r="FN3132" s="37"/>
      <c r="FO3132" s="37"/>
      <c r="FP3132" s="37"/>
      <c r="FQ3132" s="37"/>
      <c r="FR3132" s="37"/>
      <c r="FS3132" s="37"/>
      <c r="FT3132" s="37"/>
      <c r="FU3132" s="37"/>
      <c r="FV3132" s="37"/>
      <c r="FW3132" s="37"/>
      <c r="FX3132" s="37"/>
      <c r="FY3132" s="37"/>
      <c r="FZ3132" s="37"/>
      <c r="GA3132" s="37"/>
      <c r="GB3132" s="37"/>
      <c r="GC3132" s="37"/>
      <c r="GD3132" s="37"/>
      <c r="GE3132" s="37"/>
      <c r="GF3132" s="37"/>
      <c r="GG3132" s="37"/>
      <c r="GH3132" s="37"/>
      <c r="GI3132" s="37"/>
      <c r="GJ3132" s="37"/>
      <c r="GK3132" s="37"/>
      <c r="GL3132" s="37"/>
      <c r="GM3132" s="37"/>
      <c r="GN3132" s="37"/>
      <c r="GO3132" s="37"/>
      <c r="GP3132" s="37"/>
      <c r="GQ3132" s="37"/>
      <c r="GR3132" s="37"/>
      <c r="GS3132" s="37"/>
      <c r="GT3132" s="37"/>
      <c r="GU3132" s="37"/>
      <c r="GV3132" s="37"/>
      <c r="GW3132" s="37"/>
      <c r="GX3132" s="37"/>
      <c r="GY3132" s="37"/>
      <c r="GZ3132" s="37"/>
      <c r="HA3132" s="37"/>
      <c r="HB3132" s="37"/>
      <c r="HC3132" s="37"/>
      <c r="HD3132" s="37"/>
      <c r="HE3132" s="37"/>
      <c r="HF3132" s="37"/>
      <c r="HG3132" s="37"/>
      <c r="HH3132" s="37"/>
      <c r="HI3132" s="37"/>
      <c r="HJ3132" s="37"/>
      <c r="HK3132" s="37"/>
      <c r="HL3132" s="37"/>
      <c r="HM3132" s="37"/>
      <c r="HN3132" s="37"/>
      <c r="HO3132" s="37"/>
      <c r="HP3132" s="37"/>
      <c r="HQ3132" s="37"/>
      <c r="HR3132" s="37"/>
      <c r="HS3132" s="37"/>
      <c r="HT3132" s="37"/>
      <c r="HU3132" s="37"/>
      <c r="HV3132" s="37"/>
      <c r="HW3132" s="37"/>
      <c r="HX3132" s="37"/>
      <c r="HY3132" s="37"/>
      <c r="HZ3132" s="37"/>
      <c r="IA3132" s="37"/>
      <c r="IB3132" s="37"/>
      <c r="IC3132" s="37"/>
      <c r="ID3132" s="37"/>
      <c r="IE3132" s="37"/>
      <c r="IF3132" s="37"/>
      <c r="IG3132" s="37"/>
      <c r="IH3132" s="37"/>
      <c r="II3132" s="37"/>
      <c r="IJ3132" s="37"/>
      <c r="IK3132" s="37"/>
      <c r="IL3132" s="37"/>
      <c r="IM3132" s="37"/>
      <c r="IN3132" s="37"/>
      <c r="IO3132" s="37"/>
      <c r="IP3132" s="37"/>
      <c r="IQ3132" s="37"/>
      <c r="IR3132" s="37"/>
      <c r="IS3132" s="37"/>
      <c r="IT3132" s="37"/>
      <c r="IU3132" s="37"/>
      <c r="IV3132" s="37"/>
      <c r="IW3132" s="37"/>
      <c r="IX3132" s="37"/>
      <c r="IY3132" s="37"/>
      <c r="IZ3132" s="37"/>
      <c r="JA3132" s="37"/>
      <c r="JB3132" s="37"/>
      <c r="JC3132" s="37"/>
      <c r="JD3132" s="37"/>
      <c r="JE3132" s="37"/>
      <c r="JF3132" s="37"/>
      <c r="JG3132" s="37"/>
      <c r="JH3132" s="37"/>
      <c r="JI3132" s="37"/>
      <c r="JJ3132" s="37"/>
      <c r="JK3132" s="37"/>
      <c r="JL3132" s="37"/>
      <c r="JM3132" s="37"/>
      <c r="JN3132" s="37"/>
      <c r="JO3132" s="37"/>
      <c r="JP3132" s="37"/>
      <c r="JQ3132" s="37"/>
      <c r="JR3132" s="37"/>
      <c r="JS3132" s="37"/>
      <c r="JT3132" s="37"/>
      <c r="JU3132" s="37"/>
      <c r="JV3132" s="37"/>
      <c r="JW3132" s="37"/>
      <c r="JX3132" s="37"/>
      <c r="JY3132" s="37"/>
      <c r="JZ3132" s="37"/>
      <c r="KA3132" s="37"/>
      <c r="KB3132" s="37"/>
      <c r="KC3132" s="37"/>
      <c r="KD3132" s="37"/>
      <c r="KE3132" s="37"/>
      <c r="KF3132" s="37"/>
      <c r="KG3132" s="37"/>
      <c r="KH3132" s="37"/>
      <c r="KI3132" s="37"/>
      <c r="KJ3132" s="37"/>
      <c r="KK3132" s="37"/>
      <c r="KL3132" s="37"/>
      <c r="KM3132" s="37"/>
      <c r="KN3132" s="37"/>
      <c r="KO3132" s="37"/>
      <c r="KP3132" s="37"/>
      <c r="KQ3132" s="37"/>
      <c r="KR3132" s="37"/>
      <c r="KS3132" s="37"/>
      <c r="KT3132" s="37"/>
      <c r="KU3132" s="37"/>
      <c r="KV3132" s="37"/>
      <c r="KW3132" s="37"/>
      <c r="KX3132" s="37"/>
      <c r="KY3132" s="37"/>
      <c r="KZ3132" s="37"/>
      <c r="LA3132" s="37"/>
      <c r="LB3132" s="37"/>
      <c r="LC3132" s="37"/>
      <c r="LD3132" s="37"/>
      <c r="LE3132" s="37"/>
      <c r="LF3132" s="37"/>
      <c r="LG3132" s="37"/>
      <c r="LH3132" s="37"/>
      <c r="LI3132" s="37"/>
      <c r="LJ3132" s="37"/>
      <c r="LK3132" s="37"/>
      <c r="LL3132" s="37"/>
      <c r="LM3132" s="37"/>
      <c r="LN3132" s="37"/>
      <c r="LO3132" s="37"/>
      <c r="LP3132" s="37"/>
      <c r="LQ3132" s="37"/>
      <c r="LR3132" s="37"/>
      <c r="LS3132" s="37"/>
      <c r="LT3132" s="37"/>
      <c r="LU3132" s="37"/>
      <c r="LV3132" s="37"/>
      <c r="LW3132" s="37"/>
      <c r="LX3132" s="37"/>
      <c r="LY3132" s="37"/>
      <c r="LZ3132" s="37"/>
      <c r="MA3132" s="37"/>
      <c r="MB3132" s="37"/>
      <c r="MC3132" s="37"/>
      <c r="MD3132" s="37"/>
      <c r="ME3132" s="37"/>
      <c r="MF3132" s="37"/>
      <c r="MG3132" s="37"/>
      <c r="MH3132" s="37"/>
      <c r="MI3132" s="37"/>
      <c r="MJ3132" s="37"/>
      <c r="MK3132" s="37"/>
      <c r="ML3132" s="37"/>
      <c r="MM3132" s="37"/>
      <c r="MN3132" s="37"/>
      <c r="MO3132" s="37"/>
      <c r="MP3132" s="37"/>
      <c r="MQ3132" s="37"/>
      <c r="MR3132" s="37"/>
      <c r="MS3132" s="37"/>
      <c r="MT3132" s="37"/>
      <c r="MU3132" s="37"/>
      <c r="MV3132" s="37"/>
      <c r="MW3132" s="37"/>
      <c r="MX3132" s="37"/>
      <c r="MY3132" s="37"/>
      <c r="MZ3132" s="37"/>
      <c r="NA3132" s="37"/>
      <c r="NB3132" s="37"/>
      <c r="NC3132" s="37"/>
      <c r="ND3132" s="37"/>
      <c r="NE3132" s="37"/>
      <c r="NF3132" s="37"/>
      <c r="NG3132" s="37"/>
      <c r="NH3132" s="37"/>
      <c r="NI3132" s="37"/>
      <c r="NJ3132" s="37"/>
      <c r="NK3132" s="37"/>
      <c r="NL3132" s="37"/>
      <c r="NM3132" s="37"/>
      <c r="NN3132" s="37"/>
      <c r="NO3132" s="37"/>
      <c r="NP3132" s="37"/>
      <c r="NQ3132" s="37"/>
      <c r="NR3132" s="37"/>
      <c r="NS3132" s="37"/>
      <c r="NT3132" s="37"/>
      <c r="NU3132" s="37"/>
      <c r="NV3132" s="37"/>
      <c r="NW3132" s="37"/>
      <c r="NX3132" s="37"/>
      <c r="NY3132" s="37"/>
      <c r="NZ3132" s="37"/>
      <c r="OA3132" s="37"/>
      <c r="OB3132" s="37"/>
      <c r="OC3132" s="37"/>
      <c r="OD3132" s="37"/>
      <c r="OE3132" s="37"/>
      <c r="OF3132" s="37"/>
      <c r="OG3132" s="37"/>
      <c r="OH3132" s="37"/>
      <c r="OI3132" s="37"/>
      <c r="OJ3132" s="37"/>
      <c r="OK3132" s="37"/>
      <c r="OL3132" s="37"/>
      <c r="OM3132" s="37"/>
      <c r="ON3132" s="37"/>
      <c r="OO3132" s="37"/>
      <c r="OP3132" s="37"/>
      <c r="OQ3132" s="37"/>
      <c r="OR3132" s="37"/>
      <c r="OS3132" s="37"/>
      <c r="OT3132" s="37"/>
      <c r="OU3132" s="37"/>
      <c r="OV3132" s="37"/>
      <c r="OW3132" s="37"/>
      <c r="OX3132" s="37"/>
      <c r="OY3132" s="37"/>
      <c r="OZ3132" s="37"/>
      <c r="PA3132" s="37"/>
      <c r="PB3132" s="37"/>
      <c r="PC3132" s="37"/>
      <c r="PD3132" s="37"/>
      <c r="PE3132" s="37"/>
      <c r="PF3132" s="37"/>
      <c r="PG3132" s="37"/>
      <c r="PH3132" s="37"/>
      <c r="PI3132" s="37"/>
      <c r="PJ3132" s="37"/>
      <c r="PK3132" s="37"/>
      <c r="PL3132" s="37"/>
      <c r="PM3132" s="37"/>
      <c r="PN3132" s="37"/>
      <c r="PO3132" s="37"/>
      <c r="PP3132" s="37"/>
      <c r="PQ3132" s="37"/>
      <c r="PR3132" s="37"/>
      <c r="PS3132" s="37"/>
      <c r="PT3132" s="37"/>
      <c r="PU3132" s="37"/>
      <c r="PV3132" s="37"/>
      <c r="PW3132" s="37"/>
      <c r="PX3132" s="37"/>
      <c r="PY3132" s="37"/>
      <c r="PZ3132" s="37"/>
      <c r="QA3132" s="37"/>
      <c r="QB3132" s="37"/>
      <c r="QC3132" s="37"/>
      <c r="QD3132" s="37"/>
      <c r="QE3132" s="37"/>
      <c r="QF3132" s="37"/>
      <c r="QG3132" s="37"/>
      <c r="QH3132" s="37"/>
      <c r="QI3132" s="37"/>
      <c r="QJ3132" s="37"/>
      <c r="QK3132" s="37"/>
      <c r="QL3132" s="37"/>
      <c r="QM3132" s="37"/>
      <c r="QN3132" s="37"/>
      <c r="QO3132" s="37"/>
      <c r="QP3132" s="37"/>
      <c r="QQ3132" s="37"/>
      <c r="QR3132" s="37"/>
      <c r="QS3132" s="37"/>
      <c r="QT3132" s="37"/>
      <c r="QU3132" s="37"/>
      <c r="QV3132" s="37"/>
      <c r="QW3132" s="37"/>
      <c r="QX3132" s="37"/>
      <c r="QY3132" s="37"/>
      <c r="QZ3132" s="37"/>
      <c r="RA3132" s="37"/>
      <c r="RB3132" s="37"/>
      <c r="RC3132" s="37"/>
      <c r="RD3132" s="37"/>
      <c r="RE3132" s="37"/>
      <c r="RF3132" s="37"/>
      <c r="RG3132" s="37"/>
      <c r="RH3132" s="37"/>
      <c r="RI3132" s="37"/>
      <c r="RJ3132" s="37"/>
      <c r="RK3132" s="37"/>
      <c r="RL3132" s="37"/>
      <c r="RM3132" s="37"/>
      <c r="RN3132" s="37"/>
      <c r="RO3132" s="37"/>
      <c r="RP3132" s="37"/>
      <c r="RQ3132" s="37"/>
      <c r="RR3132" s="37"/>
      <c r="RS3132" s="37"/>
      <c r="RT3132" s="37"/>
      <c r="RU3132" s="37"/>
      <c r="RV3132" s="37"/>
      <c r="RW3132" s="37"/>
      <c r="RX3132" s="37"/>
      <c r="RY3132" s="37"/>
      <c r="RZ3132" s="37"/>
      <c r="SA3132" s="37"/>
      <c r="SB3132" s="37"/>
      <c r="SC3132" s="37"/>
      <c r="SD3132" s="37"/>
      <c r="SE3132" s="37"/>
      <c r="SF3132" s="37"/>
    </row>
    <row r="3133" spans="1:500">
      <c r="A3133" s="37"/>
      <c r="B3133" s="37"/>
      <c r="C3133" s="37"/>
      <c r="D3133" s="37"/>
      <c r="E3133" s="37"/>
      <c r="F3133" s="37"/>
      <c r="G3133" s="37"/>
      <c r="H3133" s="37"/>
      <c r="I3133" s="37"/>
      <c r="J3133" s="37"/>
      <c r="K3133" s="37"/>
      <c r="L3133" s="37"/>
      <c r="M3133" s="37"/>
      <c r="N3133" s="37"/>
      <c r="O3133" s="37"/>
      <c r="P3133" s="37"/>
      <c r="Q3133" s="37"/>
      <c r="R3133" s="37"/>
      <c r="S3133" s="37"/>
      <c r="T3133" s="37"/>
      <c r="U3133" s="37"/>
      <c r="V3133" s="37"/>
      <c r="W3133" s="37"/>
      <c r="X3133" s="37"/>
      <c r="Y3133" s="37"/>
      <c r="Z3133" s="37"/>
      <c r="AA3133" s="37"/>
      <c r="AB3133" s="37"/>
      <c r="AC3133" s="37"/>
      <c r="AD3133" s="37"/>
      <c r="AE3133" s="37"/>
      <c r="AF3133" s="37"/>
      <c r="AG3133" s="37"/>
      <c r="AH3133" s="37"/>
      <c r="AI3133" s="37"/>
      <c r="AJ3133" s="37"/>
      <c r="AK3133" s="37"/>
      <c r="AL3133" s="37"/>
      <c r="AM3133" s="37"/>
      <c r="AN3133" s="37"/>
      <c r="AO3133" s="37"/>
      <c r="AP3133" s="37"/>
      <c r="AQ3133" s="37"/>
      <c r="AR3133" s="37"/>
      <c r="AS3133" s="37"/>
      <c r="AT3133" s="37"/>
      <c r="AU3133" s="37"/>
      <c r="AV3133" s="37"/>
      <c r="AW3133" s="37"/>
      <c r="AX3133" s="37"/>
      <c r="AY3133" s="37"/>
      <c r="AZ3133" s="37"/>
      <c r="BA3133" s="37"/>
      <c r="BB3133" s="37"/>
      <c r="BC3133" s="37"/>
      <c r="BD3133" s="37"/>
      <c r="BE3133" s="37"/>
      <c r="BF3133" s="37"/>
      <c r="BG3133" s="37"/>
      <c r="BH3133" s="37"/>
      <c r="BI3133" s="37"/>
      <c r="BJ3133" s="37"/>
      <c r="BK3133" s="37"/>
      <c r="BL3133" s="37"/>
      <c r="BM3133" s="37"/>
      <c r="BN3133" s="37"/>
      <c r="BO3133" s="37"/>
      <c r="BP3133" s="37"/>
      <c r="BQ3133" s="37"/>
      <c r="BR3133" s="37"/>
      <c r="BS3133" s="37"/>
      <c r="BT3133" s="37"/>
      <c r="BU3133" s="37"/>
      <c r="BV3133" s="37"/>
      <c r="BW3133" s="37"/>
      <c r="BX3133" s="37"/>
      <c r="BY3133" s="37"/>
      <c r="BZ3133" s="37"/>
      <c r="CA3133" s="37"/>
      <c r="CB3133" s="37"/>
      <c r="CC3133" s="37"/>
      <c r="CD3133" s="37"/>
      <c r="CE3133" s="37"/>
      <c r="CF3133" s="37"/>
      <c r="CG3133" s="37"/>
      <c r="CH3133" s="37"/>
      <c r="CI3133" s="37"/>
      <c r="CJ3133" s="37"/>
      <c r="CK3133" s="37"/>
      <c r="CL3133" s="37"/>
      <c r="CM3133" s="37"/>
      <c r="CN3133" s="37"/>
      <c r="CO3133" s="37"/>
      <c r="CP3133" s="37"/>
      <c r="CQ3133" s="37"/>
      <c r="CR3133" s="37"/>
      <c r="CS3133" s="37"/>
      <c r="CT3133" s="37"/>
      <c r="CU3133" s="37"/>
      <c r="CV3133" s="37"/>
      <c r="CW3133" s="37"/>
      <c r="CX3133" s="37"/>
      <c r="CY3133" s="37"/>
      <c r="CZ3133" s="37"/>
      <c r="DA3133" s="37"/>
      <c r="DB3133" s="37"/>
      <c r="DC3133" s="37"/>
      <c r="DD3133" s="37"/>
      <c r="DE3133" s="37"/>
      <c r="DF3133" s="37"/>
      <c r="DG3133" s="37"/>
      <c r="DH3133" s="37"/>
      <c r="DI3133" s="37"/>
      <c r="DJ3133" s="37"/>
      <c r="DK3133" s="37"/>
      <c r="DL3133" s="37"/>
      <c r="DM3133" s="37"/>
      <c r="DN3133" s="37"/>
      <c r="DO3133" s="37"/>
      <c r="DP3133" s="37"/>
      <c r="DQ3133" s="37"/>
      <c r="DR3133" s="37"/>
      <c r="DS3133" s="37"/>
      <c r="DT3133" s="37"/>
      <c r="DU3133" s="37"/>
      <c r="DV3133" s="37"/>
      <c r="DW3133" s="37"/>
      <c r="DX3133" s="37"/>
      <c r="DY3133" s="37"/>
      <c r="DZ3133" s="37"/>
      <c r="EA3133" s="37"/>
      <c r="EB3133" s="37"/>
      <c r="EC3133" s="37"/>
      <c r="ED3133" s="37"/>
      <c r="EE3133" s="37"/>
      <c r="EF3133" s="37"/>
      <c r="EG3133" s="37"/>
      <c r="EH3133" s="37"/>
      <c r="EI3133" s="37"/>
      <c r="EJ3133" s="37"/>
      <c r="EK3133" s="37"/>
      <c r="EL3133" s="37"/>
      <c r="EM3133" s="37"/>
      <c r="EN3133" s="37"/>
      <c r="EO3133" s="37"/>
      <c r="EP3133" s="37"/>
      <c r="EQ3133" s="37"/>
      <c r="ER3133" s="37"/>
      <c r="ES3133" s="37"/>
      <c r="ET3133" s="37"/>
      <c r="EU3133" s="37"/>
      <c r="EV3133" s="37"/>
      <c r="EW3133" s="37"/>
      <c r="EX3133" s="37"/>
      <c r="EY3133" s="37"/>
      <c r="EZ3133" s="37"/>
      <c r="FA3133" s="37"/>
      <c r="FB3133" s="37"/>
      <c r="FC3133" s="37"/>
      <c r="FD3133" s="37"/>
      <c r="FE3133" s="37"/>
      <c r="FF3133" s="37"/>
      <c r="FG3133" s="37"/>
      <c r="FH3133" s="37"/>
      <c r="FI3133" s="37"/>
      <c r="FJ3133" s="37"/>
      <c r="FK3133" s="37"/>
      <c r="FL3133" s="37"/>
      <c r="FM3133" s="37"/>
      <c r="FN3133" s="37"/>
      <c r="FO3133" s="37"/>
      <c r="FP3133" s="37"/>
      <c r="FQ3133" s="37"/>
      <c r="FR3133" s="37"/>
      <c r="FS3133" s="37"/>
      <c r="FT3133" s="37"/>
      <c r="FU3133" s="37"/>
      <c r="FV3133" s="37"/>
      <c r="FW3133" s="37"/>
      <c r="FX3133" s="37"/>
      <c r="FY3133" s="37"/>
      <c r="FZ3133" s="37"/>
      <c r="GA3133" s="37"/>
      <c r="GB3133" s="37"/>
      <c r="GC3133" s="37"/>
      <c r="GD3133" s="37"/>
      <c r="GE3133" s="37"/>
      <c r="GF3133" s="37"/>
      <c r="GG3133" s="37"/>
      <c r="GH3133" s="37"/>
      <c r="GI3133" s="37"/>
      <c r="GJ3133" s="37"/>
      <c r="GK3133" s="37"/>
      <c r="GL3133" s="37"/>
      <c r="GM3133" s="37"/>
      <c r="GN3133" s="37"/>
      <c r="GO3133" s="37"/>
      <c r="GP3133" s="37"/>
      <c r="GQ3133" s="37"/>
      <c r="GR3133" s="37"/>
      <c r="GS3133" s="37"/>
      <c r="GT3133" s="37"/>
      <c r="GU3133" s="37"/>
      <c r="GV3133" s="37"/>
      <c r="GW3133" s="37"/>
      <c r="GX3133" s="37"/>
      <c r="GY3133" s="37"/>
      <c r="GZ3133" s="37"/>
      <c r="HA3133" s="37"/>
      <c r="HB3133" s="37"/>
      <c r="HC3133" s="37"/>
      <c r="HD3133" s="37"/>
      <c r="HE3133" s="37"/>
      <c r="HF3133" s="37"/>
      <c r="HG3133" s="37"/>
      <c r="HH3133" s="37"/>
      <c r="HI3133" s="37"/>
      <c r="HJ3133" s="37"/>
      <c r="HK3133" s="37"/>
      <c r="HL3133" s="37"/>
      <c r="HM3133" s="37"/>
      <c r="HN3133" s="37"/>
      <c r="HO3133" s="37"/>
      <c r="HP3133" s="37"/>
      <c r="HQ3133" s="37"/>
      <c r="HR3133" s="37"/>
      <c r="HS3133" s="37"/>
      <c r="HT3133" s="37"/>
      <c r="HU3133" s="37"/>
      <c r="HV3133" s="37"/>
      <c r="HW3133" s="37"/>
      <c r="HX3133" s="37"/>
      <c r="HY3133" s="37"/>
      <c r="HZ3133" s="37"/>
      <c r="IA3133" s="37"/>
      <c r="IB3133" s="37"/>
      <c r="IC3133" s="37"/>
      <c r="ID3133" s="37"/>
      <c r="IE3133" s="37"/>
      <c r="IF3133" s="37"/>
      <c r="IG3133" s="37"/>
      <c r="IH3133" s="37"/>
      <c r="II3133" s="37"/>
      <c r="IJ3133" s="37"/>
      <c r="IK3133" s="37"/>
      <c r="IL3133" s="37"/>
      <c r="IM3133" s="37"/>
      <c r="IN3133" s="37"/>
      <c r="IO3133" s="37"/>
      <c r="IP3133" s="37"/>
      <c r="IQ3133" s="37"/>
      <c r="IR3133" s="37"/>
      <c r="IS3133" s="37"/>
      <c r="IT3133" s="37"/>
      <c r="IU3133" s="37"/>
      <c r="IV3133" s="37"/>
      <c r="IW3133" s="37"/>
      <c r="IX3133" s="37"/>
      <c r="IY3133" s="37"/>
      <c r="IZ3133" s="37"/>
      <c r="JA3133" s="37"/>
      <c r="JB3133" s="37"/>
      <c r="JC3133" s="37"/>
      <c r="JD3133" s="37"/>
      <c r="JE3133" s="37"/>
      <c r="JF3133" s="37"/>
      <c r="JG3133" s="37"/>
      <c r="JH3133" s="37"/>
      <c r="JI3133" s="37"/>
      <c r="JJ3133" s="37"/>
      <c r="JK3133" s="37"/>
      <c r="JL3133" s="37"/>
      <c r="JM3133" s="37"/>
      <c r="JN3133" s="37"/>
      <c r="JO3133" s="37"/>
      <c r="JP3133" s="37"/>
      <c r="JQ3133" s="37"/>
      <c r="JR3133" s="37"/>
      <c r="JS3133" s="37"/>
      <c r="JT3133" s="37"/>
      <c r="JU3133" s="37"/>
      <c r="JV3133" s="37"/>
      <c r="JW3133" s="37"/>
      <c r="JX3133" s="37"/>
      <c r="JY3133" s="37"/>
      <c r="JZ3133" s="37"/>
      <c r="KA3133" s="37"/>
      <c r="KB3133" s="37"/>
      <c r="KC3133" s="37"/>
      <c r="KD3133" s="37"/>
      <c r="KE3133" s="37"/>
      <c r="KF3133" s="37"/>
      <c r="KG3133" s="37"/>
      <c r="KH3133" s="37"/>
      <c r="KI3133" s="37"/>
      <c r="KJ3133" s="37"/>
      <c r="KK3133" s="37"/>
      <c r="KL3133" s="37"/>
      <c r="KM3133" s="37"/>
      <c r="KN3133" s="37"/>
      <c r="KO3133" s="37"/>
      <c r="KP3133" s="37"/>
      <c r="KQ3133" s="37"/>
      <c r="KR3133" s="37"/>
      <c r="KS3133" s="37"/>
      <c r="KT3133" s="37"/>
      <c r="KU3133" s="37"/>
      <c r="KV3133" s="37"/>
      <c r="KW3133" s="37"/>
      <c r="KX3133" s="37"/>
      <c r="KY3133" s="37"/>
      <c r="KZ3133" s="37"/>
      <c r="LA3133" s="37"/>
      <c r="LB3133" s="37"/>
      <c r="LC3133" s="37"/>
      <c r="LD3133" s="37"/>
      <c r="LE3133" s="37"/>
      <c r="LF3133" s="37"/>
      <c r="LG3133" s="37"/>
      <c r="LH3133" s="37"/>
      <c r="LI3133" s="37"/>
      <c r="LJ3133" s="37"/>
      <c r="LK3133" s="37"/>
      <c r="LL3133" s="37"/>
      <c r="LM3133" s="37"/>
      <c r="LN3133" s="37"/>
      <c r="LO3133" s="37"/>
      <c r="LP3133" s="37"/>
      <c r="LQ3133" s="37"/>
      <c r="LR3133" s="37"/>
      <c r="LS3133" s="37"/>
      <c r="LT3133" s="37"/>
      <c r="LU3133" s="37"/>
      <c r="LV3133" s="37"/>
      <c r="LW3133" s="37"/>
      <c r="LX3133" s="37"/>
      <c r="LY3133" s="37"/>
      <c r="LZ3133" s="37"/>
      <c r="MA3133" s="37"/>
      <c r="MB3133" s="37"/>
      <c r="MC3133" s="37"/>
      <c r="MD3133" s="37"/>
      <c r="ME3133" s="37"/>
      <c r="MF3133" s="37"/>
      <c r="MG3133" s="37"/>
      <c r="MH3133" s="37"/>
      <c r="MI3133" s="37"/>
      <c r="MJ3133" s="37"/>
      <c r="MK3133" s="37"/>
      <c r="ML3133" s="37"/>
      <c r="MM3133" s="37"/>
      <c r="MN3133" s="37"/>
      <c r="MO3133" s="37"/>
      <c r="MP3133" s="37"/>
      <c r="MQ3133" s="37"/>
      <c r="MR3133" s="37"/>
      <c r="MS3133" s="37"/>
      <c r="MT3133" s="37"/>
      <c r="MU3133" s="37"/>
      <c r="MV3133" s="37"/>
      <c r="MW3133" s="37"/>
      <c r="MX3133" s="37"/>
      <c r="MY3133" s="37"/>
      <c r="MZ3133" s="37"/>
      <c r="NA3133" s="37"/>
      <c r="NB3133" s="37"/>
      <c r="NC3133" s="37"/>
      <c r="ND3133" s="37"/>
      <c r="NE3133" s="37"/>
      <c r="NF3133" s="37"/>
      <c r="NG3133" s="37"/>
      <c r="NH3133" s="37"/>
      <c r="NI3133" s="37"/>
      <c r="NJ3133" s="37"/>
      <c r="NK3133" s="37"/>
      <c r="NL3133" s="37"/>
      <c r="NM3133" s="37"/>
      <c r="NN3133" s="37"/>
      <c r="NO3133" s="37"/>
      <c r="NP3133" s="37"/>
      <c r="NQ3133" s="37"/>
      <c r="NR3133" s="37"/>
      <c r="NS3133" s="37"/>
      <c r="NT3133" s="37"/>
      <c r="NU3133" s="37"/>
      <c r="NV3133" s="37"/>
      <c r="NW3133" s="37"/>
      <c r="NX3133" s="37"/>
      <c r="NY3133" s="37"/>
      <c r="NZ3133" s="37"/>
      <c r="OA3133" s="37"/>
      <c r="OB3133" s="37"/>
      <c r="OC3133" s="37"/>
      <c r="OD3133" s="37"/>
      <c r="OE3133" s="37"/>
      <c r="OF3133" s="37"/>
      <c r="OG3133" s="37"/>
      <c r="OH3133" s="37"/>
      <c r="OI3133" s="37"/>
      <c r="OJ3133" s="37"/>
      <c r="OK3133" s="37"/>
      <c r="OL3133" s="37"/>
      <c r="OM3133" s="37"/>
      <c r="ON3133" s="37"/>
      <c r="OO3133" s="37"/>
      <c r="OP3133" s="37"/>
      <c r="OQ3133" s="37"/>
      <c r="OR3133" s="37"/>
      <c r="OS3133" s="37"/>
      <c r="OT3133" s="37"/>
      <c r="OU3133" s="37"/>
      <c r="OV3133" s="37"/>
      <c r="OW3133" s="37"/>
      <c r="OX3133" s="37"/>
      <c r="OY3133" s="37"/>
      <c r="OZ3133" s="37"/>
      <c r="PA3133" s="37"/>
      <c r="PB3133" s="37"/>
      <c r="PC3133" s="37"/>
      <c r="PD3133" s="37"/>
      <c r="PE3133" s="37"/>
      <c r="PF3133" s="37"/>
      <c r="PG3133" s="37"/>
      <c r="PH3133" s="37"/>
      <c r="PI3133" s="37"/>
      <c r="PJ3133" s="37"/>
      <c r="PK3133" s="37"/>
      <c r="PL3133" s="37"/>
      <c r="PM3133" s="37"/>
      <c r="PN3133" s="37"/>
      <c r="PO3133" s="37"/>
      <c r="PP3133" s="37"/>
      <c r="PQ3133" s="37"/>
      <c r="PR3133" s="37"/>
      <c r="PS3133" s="37"/>
      <c r="PT3133" s="37"/>
      <c r="PU3133" s="37"/>
      <c r="PV3133" s="37"/>
      <c r="PW3133" s="37"/>
      <c r="PX3133" s="37"/>
      <c r="PY3133" s="37"/>
      <c r="PZ3133" s="37"/>
      <c r="QA3133" s="37"/>
      <c r="QB3133" s="37"/>
      <c r="QC3133" s="37"/>
      <c r="QD3133" s="37"/>
      <c r="QE3133" s="37"/>
      <c r="QF3133" s="37"/>
      <c r="QG3133" s="37"/>
      <c r="QH3133" s="37"/>
      <c r="QI3133" s="37"/>
      <c r="QJ3133" s="37"/>
      <c r="QK3133" s="37"/>
      <c r="QL3133" s="37"/>
      <c r="QM3133" s="37"/>
      <c r="QN3133" s="37"/>
      <c r="QO3133" s="37"/>
      <c r="QP3133" s="37"/>
      <c r="QQ3133" s="37"/>
      <c r="QR3133" s="37"/>
      <c r="QS3133" s="37"/>
      <c r="QT3133" s="37"/>
      <c r="QU3133" s="37"/>
      <c r="QV3133" s="37"/>
      <c r="QW3133" s="37"/>
      <c r="QX3133" s="37"/>
      <c r="QY3133" s="37"/>
      <c r="QZ3133" s="37"/>
      <c r="RA3133" s="37"/>
      <c r="RB3133" s="37"/>
      <c r="RC3133" s="37"/>
      <c r="RD3133" s="37"/>
      <c r="RE3133" s="37"/>
      <c r="RF3133" s="37"/>
      <c r="RG3133" s="37"/>
      <c r="RH3133" s="37"/>
      <c r="RI3133" s="37"/>
      <c r="RJ3133" s="37"/>
      <c r="RK3133" s="37"/>
      <c r="RL3133" s="37"/>
      <c r="RM3133" s="37"/>
      <c r="RN3133" s="37"/>
      <c r="RO3133" s="37"/>
      <c r="RP3133" s="37"/>
      <c r="RQ3133" s="37"/>
      <c r="RR3133" s="37"/>
      <c r="RS3133" s="37"/>
      <c r="RT3133" s="37"/>
      <c r="RU3133" s="37"/>
      <c r="RV3133" s="37"/>
      <c r="RW3133" s="37"/>
      <c r="RX3133" s="37"/>
      <c r="RY3133" s="37"/>
      <c r="RZ3133" s="37"/>
      <c r="SA3133" s="37"/>
      <c r="SB3133" s="37"/>
      <c r="SC3133" s="37"/>
      <c r="SD3133" s="37"/>
      <c r="SE3133" s="37"/>
      <c r="SF3133" s="37"/>
    </row>
    <row r="3134" spans="1:500">
      <c r="A3134" s="37"/>
      <c r="B3134" s="37"/>
      <c r="C3134" s="37"/>
      <c r="D3134" s="37"/>
      <c r="E3134" s="37"/>
      <c r="F3134" s="37"/>
      <c r="G3134" s="37"/>
      <c r="H3134" s="37"/>
      <c r="I3134" s="37"/>
      <c r="J3134" s="37"/>
      <c r="K3134" s="37"/>
      <c r="L3134" s="37"/>
      <c r="M3134" s="37"/>
      <c r="N3134" s="37"/>
      <c r="O3134" s="37"/>
      <c r="P3134" s="37"/>
      <c r="Q3134" s="37"/>
      <c r="R3134" s="37"/>
      <c r="S3134" s="37"/>
      <c r="T3134" s="37"/>
      <c r="U3134" s="37"/>
      <c r="V3134" s="37"/>
      <c r="W3134" s="37"/>
      <c r="X3134" s="37"/>
      <c r="Y3134" s="37"/>
      <c r="Z3134" s="37"/>
      <c r="AA3134" s="37"/>
      <c r="AB3134" s="37"/>
      <c r="AC3134" s="37"/>
      <c r="AD3134" s="37"/>
      <c r="AE3134" s="37"/>
      <c r="AF3134" s="37"/>
      <c r="AG3134" s="37"/>
      <c r="AH3134" s="37"/>
      <c r="AI3134" s="37"/>
      <c r="AJ3134" s="37"/>
      <c r="AK3134" s="37"/>
      <c r="AL3134" s="37"/>
      <c r="AM3134" s="37"/>
      <c r="AN3134" s="37"/>
      <c r="AO3134" s="37"/>
      <c r="AP3134" s="37"/>
      <c r="AQ3134" s="37"/>
      <c r="AR3134" s="37"/>
      <c r="AS3134" s="37"/>
      <c r="AT3134" s="37"/>
      <c r="AU3134" s="37"/>
      <c r="AV3134" s="37"/>
      <c r="AW3134" s="37"/>
      <c r="AX3134" s="37"/>
      <c r="AY3134" s="37"/>
      <c r="AZ3134" s="37"/>
      <c r="BA3134" s="37"/>
      <c r="BB3134" s="37"/>
      <c r="BC3134" s="37"/>
      <c r="BD3134" s="37"/>
      <c r="BE3134" s="37"/>
      <c r="BF3134" s="37"/>
      <c r="BG3134" s="37"/>
      <c r="BH3134" s="37"/>
      <c r="BI3134" s="37"/>
      <c r="BJ3134" s="37"/>
      <c r="BK3134" s="37"/>
      <c r="BL3134" s="37"/>
      <c r="BM3134" s="37"/>
      <c r="BN3134" s="37"/>
      <c r="BO3134" s="37"/>
      <c r="BP3134" s="37"/>
      <c r="BQ3134" s="37"/>
      <c r="BR3134" s="37"/>
      <c r="BS3134" s="37"/>
      <c r="BT3134" s="37"/>
      <c r="BU3134" s="37"/>
      <c r="BV3134" s="37"/>
      <c r="BW3134" s="37"/>
      <c r="BX3134" s="37"/>
      <c r="BY3134" s="37"/>
      <c r="BZ3134" s="37"/>
      <c r="CA3134" s="37"/>
      <c r="CB3134" s="37"/>
      <c r="CC3134" s="37"/>
      <c r="CD3134" s="37"/>
      <c r="CE3134" s="37"/>
      <c r="CF3134" s="37"/>
      <c r="CG3134" s="37"/>
      <c r="CH3134" s="37"/>
      <c r="CI3134" s="37"/>
      <c r="CJ3134" s="37"/>
      <c r="CK3134" s="37"/>
      <c r="CL3134" s="37"/>
      <c r="CM3134" s="37"/>
      <c r="CN3134" s="37"/>
      <c r="CO3134" s="37"/>
      <c r="CP3134" s="37"/>
      <c r="CQ3134" s="37"/>
      <c r="CR3134" s="37"/>
      <c r="CS3134" s="37"/>
      <c r="CT3134" s="37"/>
      <c r="CU3134" s="37"/>
      <c r="CV3134" s="37"/>
      <c r="CW3134" s="37"/>
      <c r="CX3134" s="37"/>
      <c r="CY3134" s="37"/>
      <c r="CZ3134" s="37"/>
      <c r="DA3134" s="37"/>
      <c r="DB3134" s="37"/>
      <c r="DC3134" s="37"/>
      <c r="DD3134" s="37"/>
      <c r="DE3134" s="37"/>
      <c r="DF3134" s="37"/>
      <c r="DG3134" s="37"/>
      <c r="DH3134" s="37"/>
      <c r="DI3134" s="37"/>
      <c r="DJ3134" s="37"/>
      <c r="DK3134" s="37"/>
      <c r="DL3134" s="37"/>
      <c r="DM3134" s="37"/>
      <c r="DN3134" s="37"/>
      <c r="DO3134" s="37"/>
      <c r="DP3134" s="37"/>
      <c r="DQ3134" s="37"/>
      <c r="DR3134" s="37"/>
      <c r="DS3134" s="37"/>
      <c r="DT3134" s="37"/>
      <c r="DU3134" s="37"/>
      <c r="DV3134" s="37"/>
      <c r="DW3134" s="37"/>
      <c r="DX3134" s="37"/>
      <c r="DY3134" s="37"/>
      <c r="DZ3134" s="37"/>
      <c r="EA3134" s="37"/>
      <c r="EB3134" s="37"/>
      <c r="EC3134" s="37"/>
      <c r="ED3134" s="37"/>
      <c r="EE3134" s="37"/>
      <c r="EF3134" s="37"/>
      <c r="EG3134" s="37"/>
      <c r="EH3134" s="37"/>
      <c r="EI3134" s="37"/>
      <c r="EJ3134" s="37"/>
      <c r="EK3134" s="37"/>
      <c r="EL3134" s="37"/>
      <c r="EM3134" s="37"/>
      <c r="EN3134" s="37"/>
      <c r="EO3134" s="37"/>
      <c r="EP3134" s="37"/>
      <c r="EQ3134" s="37"/>
      <c r="ER3134" s="37"/>
      <c r="ES3134" s="37"/>
      <c r="ET3134" s="37"/>
      <c r="EU3134" s="37"/>
      <c r="EV3134" s="37"/>
      <c r="EW3134" s="37"/>
      <c r="EX3134" s="37"/>
      <c r="EY3134" s="37"/>
      <c r="EZ3134" s="37"/>
      <c r="FA3134" s="37"/>
      <c r="FB3134" s="37"/>
      <c r="FC3134" s="37"/>
      <c r="FD3134" s="37"/>
      <c r="FE3134" s="37"/>
      <c r="FF3134" s="37"/>
      <c r="FG3134" s="37"/>
      <c r="FH3134" s="37"/>
      <c r="FI3134" s="37"/>
      <c r="FJ3134" s="37"/>
      <c r="FK3134" s="37"/>
      <c r="FL3134" s="37"/>
      <c r="FM3134" s="37"/>
      <c r="FN3134" s="37"/>
      <c r="FO3134" s="37"/>
      <c r="FP3134" s="37"/>
      <c r="FQ3134" s="37"/>
      <c r="FR3134" s="37"/>
      <c r="FS3134" s="37"/>
      <c r="FT3134" s="37"/>
      <c r="FU3134" s="37"/>
      <c r="FV3134" s="37"/>
      <c r="FW3134" s="37"/>
      <c r="FX3134" s="37"/>
      <c r="FY3134" s="37"/>
      <c r="FZ3134" s="37"/>
      <c r="GA3134" s="37"/>
      <c r="GB3134" s="37"/>
      <c r="GC3134" s="37"/>
      <c r="GD3134" s="37"/>
      <c r="GE3134" s="37"/>
      <c r="GF3134" s="37"/>
      <c r="GG3134" s="37"/>
      <c r="GH3134" s="37"/>
      <c r="GI3134" s="37"/>
      <c r="GJ3134" s="37"/>
      <c r="GK3134" s="37"/>
      <c r="GL3134" s="37"/>
      <c r="GM3134" s="37"/>
      <c r="GN3134" s="37"/>
      <c r="GO3134" s="37"/>
      <c r="GP3134" s="37"/>
      <c r="GQ3134" s="37"/>
      <c r="GR3134" s="37"/>
      <c r="GS3134" s="37"/>
      <c r="GT3134" s="37"/>
      <c r="GU3134" s="37"/>
      <c r="GV3134" s="37"/>
      <c r="GW3134" s="37"/>
      <c r="GX3134" s="37"/>
      <c r="GY3134" s="37"/>
      <c r="GZ3134" s="37"/>
      <c r="HA3134" s="37"/>
      <c r="HB3134" s="37"/>
      <c r="HC3134" s="37"/>
      <c r="HD3134" s="37"/>
      <c r="HE3134" s="37"/>
      <c r="HF3134" s="37"/>
      <c r="HG3134" s="37"/>
      <c r="HH3134" s="37"/>
      <c r="HI3134" s="37"/>
      <c r="HJ3134" s="37"/>
      <c r="HK3134" s="37"/>
      <c r="HL3134" s="37"/>
      <c r="HM3134" s="37"/>
      <c r="HN3134" s="37"/>
      <c r="HO3134" s="37"/>
      <c r="HP3134" s="37"/>
      <c r="HQ3134" s="37"/>
      <c r="HR3134" s="37"/>
      <c r="HS3134" s="37"/>
      <c r="HT3134" s="37"/>
      <c r="HU3134" s="37"/>
      <c r="HV3134" s="37"/>
      <c r="HW3134" s="37"/>
      <c r="HX3134" s="37"/>
      <c r="HY3134" s="37"/>
      <c r="HZ3134" s="37"/>
      <c r="IA3134" s="37"/>
      <c r="IB3134" s="37"/>
      <c r="IC3134" s="37"/>
      <c r="ID3134" s="37"/>
      <c r="IE3134" s="37"/>
      <c r="IF3134" s="37"/>
      <c r="IG3134" s="37"/>
      <c r="IH3134" s="37"/>
      <c r="II3134" s="37"/>
      <c r="IJ3134" s="37"/>
      <c r="IK3134" s="37"/>
      <c r="IL3134" s="37"/>
      <c r="IM3134" s="37"/>
      <c r="IN3134" s="37"/>
      <c r="IO3134" s="37"/>
      <c r="IP3134" s="37"/>
      <c r="IQ3134" s="37"/>
      <c r="IR3134" s="37"/>
      <c r="IS3134" s="37"/>
      <c r="IT3134" s="37"/>
      <c r="IU3134" s="37"/>
      <c r="IV3134" s="37"/>
      <c r="IW3134" s="37"/>
      <c r="IX3134" s="37"/>
      <c r="IY3134" s="37"/>
      <c r="IZ3134" s="37"/>
      <c r="JA3134" s="37"/>
      <c r="JB3134" s="37"/>
      <c r="JC3134" s="37"/>
      <c r="JD3134" s="37"/>
      <c r="JE3134" s="37"/>
      <c r="JF3134" s="37"/>
      <c r="JG3134" s="37"/>
      <c r="JH3134" s="37"/>
      <c r="JI3134" s="37"/>
      <c r="JJ3134" s="37"/>
      <c r="JK3134" s="37"/>
      <c r="JL3134" s="37"/>
      <c r="JM3134" s="37"/>
      <c r="JN3134" s="37"/>
      <c r="JO3134" s="37"/>
      <c r="JP3134" s="37"/>
      <c r="JQ3134" s="37"/>
      <c r="JR3134" s="37"/>
      <c r="JS3134" s="37"/>
      <c r="JT3134" s="37"/>
      <c r="JU3134" s="37"/>
      <c r="JV3134" s="37"/>
      <c r="JW3134" s="37"/>
      <c r="JX3134" s="37"/>
      <c r="JY3134" s="37"/>
      <c r="JZ3134" s="37"/>
      <c r="KA3134" s="37"/>
      <c r="KB3134" s="37"/>
      <c r="KC3134" s="37"/>
      <c r="KD3134" s="37"/>
      <c r="KE3134" s="37"/>
      <c r="KF3134" s="37"/>
      <c r="KG3134" s="37"/>
      <c r="KH3134" s="37"/>
      <c r="KI3134" s="37"/>
      <c r="KJ3134" s="37"/>
      <c r="KK3134" s="37"/>
      <c r="KL3134" s="37"/>
      <c r="KM3134" s="37"/>
      <c r="KN3134" s="37"/>
      <c r="KO3134" s="37"/>
      <c r="KP3134" s="37"/>
      <c r="KQ3134" s="37"/>
      <c r="KR3134" s="37"/>
      <c r="KS3134" s="37"/>
      <c r="KT3134" s="37"/>
      <c r="KU3134" s="37"/>
      <c r="KV3134" s="37"/>
      <c r="KW3134" s="37"/>
      <c r="KX3134" s="37"/>
      <c r="KY3134" s="37"/>
      <c r="KZ3134" s="37"/>
      <c r="LA3134" s="37"/>
      <c r="LB3134" s="37"/>
      <c r="LC3134" s="37"/>
      <c r="LD3134" s="37"/>
      <c r="LE3134" s="37"/>
      <c r="LF3134" s="37"/>
      <c r="LG3134" s="37"/>
      <c r="LH3134" s="37"/>
      <c r="LI3134" s="37"/>
      <c r="LJ3134" s="37"/>
      <c r="LK3134" s="37"/>
      <c r="LL3134" s="37"/>
      <c r="LM3134" s="37"/>
      <c r="LN3134" s="37"/>
      <c r="LO3134" s="37"/>
      <c r="LP3134" s="37"/>
      <c r="LQ3134" s="37"/>
      <c r="LR3134" s="37"/>
      <c r="LS3134" s="37"/>
      <c r="LT3134" s="37"/>
      <c r="LU3134" s="37"/>
      <c r="LV3134" s="37"/>
      <c r="LW3134" s="37"/>
      <c r="LX3134" s="37"/>
      <c r="LY3134" s="37"/>
      <c r="LZ3134" s="37"/>
      <c r="MA3134" s="37"/>
      <c r="MB3134" s="37"/>
      <c r="MC3134" s="37"/>
      <c r="MD3134" s="37"/>
      <c r="ME3134" s="37"/>
      <c r="MF3134" s="37"/>
      <c r="MG3134" s="37"/>
      <c r="MH3134" s="37"/>
      <c r="MI3134" s="37"/>
      <c r="MJ3134" s="37"/>
      <c r="MK3134" s="37"/>
      <c r="ML3134" s="37"/>
      <c r="MM3134" s="37"/>
      <c r="MN3134" s="37"/>
      <c r="MO3134" s="37"/>
      <c r="MP3134" s="37"/>
      <c r="MQ3134" s="37"/>
      <c r="MR3134" s="37"/>
      <c r="MS3134" s="37"/>
      <c r="MT3134" s="37"/>
      <c r="MU3134" s="37"/>
      <c r="MV3134" s="37"/>
      <c r="MW3134" s="37"/>
      <c r="MX3134" s="37"/>
      <c r="MY3134" s="37"/>
      <c r="MZ3134" s="37"/>
      <c r="NA3134" s="37"/>
      <c r="NB3134" s="37"/>
      <c r="NC3134" s="37"/>
      <c r="ND3134" s="37"/>
      <c r="NE3134" s="37"/>
      <c r="NF3134" s="37"/>
      <c r="NG3134" s="37"/>
      <c r="NH3134" s="37"/>
      <c r="NI3134" s="37"/>
      <c r="NJ3134" s="37"/>
      <c r="NK3134" s="37"/>
      <c r="NL3134" s="37"/>
      <c r="NM3134" s="37"/>
      <c r="NN3134" s="37"/>
      <c r="NO3134" s="37"/>
      <c r="NP3134" s="37"/>
      <c r="NQ3134" s="37"/>
      <c r="NR3134" s="37"/>
      <c r="NS3134" s="37"/>
      <c r="NT3134" s="37"/>
      <c r="NU3134" s="37"/>
      <c r="NV3134" s="37"/>
      <c r="NW3134" s="37"/>
      <c r="NX3134" s="37"/>
      <c r="NY3134" s="37"/>
      <c r="NZ3134" s="37"/>
      <c r="OA3134" s="37"/>
      <c r="OB3134" s="37"/>
      <c r="OC3134" s="37"/>
      <c r="OD3134" s="37"/>
      <c r="OE3134" s="37"/>
      <c r="OF3134" s="37"/>
      <c r="OG3134" s="37"/>
      <c r="OH3134" s="37"/>
      <c r="OI3134" s="37"/>
      <c r="OJ3134" s="37"/>
      <c r="OK3134" s="37"/>
      <c r="OL3134" s="37"/>
      <c r="OM3134" s="37"/>
      <c r="ON3134" s="37"/>
      <c r="OO3134" s="37"/>
      <c r="OP3134" s="37"/>
      <c r="OQ3134" s="37"/>
      <c r="OR3134" s="37"/>
      <c r="OS3134" s="37"/>
      <c r="OT3134" s="37"/>
      <c r="OU3134" s="37"/>
      <c r="OV3134" s="37"/>
      <c r="OW3134" s="37"/>
      <c r="OX3134" s="37"/>
      <c r="OY3134" s="37"/>
      <c r="OZ3134" s="37"/>
      <c r="PA3134" s="37"/>
      <c r="PB3134" s="37"/>
      <c r="PC3134" s="37"/>
      <c r="PD3134" s="37"/>
      <c r="PE3134" s="37"/>
      <c r="PF3134" s="37"/>
      <c r="PG3134" s="37"/>
      <c r="PH3134" s="37"/>
      <c r="PI3134" s="37"/>
      <c r="PJ3134" s="37"/>
      <c r="PK3134" s="37"/>
      <c r="PL3134" s="37"/>
      <c r="PM3134" s="37"/>
      <c r="PN3134" s="37"/>
      <c r="PO3134" s="37"/>
      <c r="PP3134" s="37"/>
      <c r="PQ3134" s="37"/>
      <c r="PR3134" s="37"/>
      <c r="PS3134" s="37"/>
      <c r="PT3134" s="37"/>
      <c r="PU3134" s="37"/>
      <c r="PV3134" s="37"/>
      <c r="PW3134" s="37"/>
      <c r="PX3134" s="37"/>
      <c r="PY3134" s="37"/>
      <c r="PZ3134" s="37"/>
      <c r="QA3134" s="37"/>
      <c r="QB3134" s="37"/>
      <c r="QC3134" s="37"/>
      <c r="QD3134" s="37"/>
      <c r="QE3134" s="37"/>
      <c r="QF3134" s="37"/>
      <c r="QG3134" s="37"/>
      <c r="QH3134" s="37"/>
      <c r="QI3134" s="37"/>
      <c r="QJ3134" s="37"/>
      <c r="QK3134" s="37"/>
      <c r="QL3134" s="37"/>
      <c r="QM3134" s="37"/>
      <c r="QN3134" s="37"/>
      <c r="QO3134" s="37"/>
      <c r="QP3134" s="37"/>
      <c r="QQ3134" s="37"/>
      <c r="QR3134" s="37"/>
      <c r="QS3134" s="37"/>
      <c r="QT3134" s="37"/>
      <c r="QU3134" s="37"/>
      <c r="QV3134" s="37"/>
      <c r="QW3134" s="37"/>
      <c r="QX3134" s="37"/>
      <c r="QY3134" s="37"/>
      <c r="QZ3134" s="37"/>
      <c r="RA3134" s="37"/>
      <c r="RB3134" s="37"/>
      <c r="RC3134" s="37"/>
      <c r="RD3134" s="37"/>
      <c r="RE3134" s="37"/>
      <c r="RF3134" s="37"/>
      <c r="RG3134" s="37"/>
      <c r="RH3134" s="37"/>
      <c r="RI3134" s="37"/>
      <c r="RJ3134" s="37"/>
      <c r="RK3134" s="37"/>
      <c r="RL3134" s="37"/>
      <c r="RM3134" s="37"/>
      <c r="RN3134" s="37"/>
      <c r="RO3134" s="37"/>
      <c r="RP3134" s="37"/>
      <c r="RQ3134" s="37"/>
      <c r="RR3134" s="37"/>
      <c r="RS3134" s="37"/>
      <c r="RT3134" s="37"/>
      <c r="RU3134" s="37"/>
      <c r="RV3134" s="37"/>
      <c r="RW3134" s="37"/>
      <c r="RX3134" s="37"/>
      <c r="RY3134" s="37"/>
      <c r="RZ3134" s="37"/>
      <c r="SA3134" s="37"/>
      <c r="SB3134" s="37"/>
      <c r="SC3134" s="37"/>
      <c r="SD3134" s="37"/>
      <c r="SE3134" s="37"/>
      <c r="SF3134" s="37"/>
    </row>
    <row r="3135" spans="1:500">
      <c r="A3135" s="37"/>
      <c r="B3135" s="37"/>
      <c r="C3135" s="37"/>
      <c r="D3135" s="37"/>
      <c r="E3135" s="37"/>
      <c r="F3135" s="37"/>
      <c r="G3135" s="37"/>
      <c r="H3135" s="37"/>
      <c r="I3135" s="37"/>
      <c r="J3135" s="37"/>
      <c r="K3135" s="37"/>
      <c r="L3135" s="37"/>
      <c r="M3135" s="37"/>
      <c r="N3135" s="37"/>
      <c r="O3135" s="37"/>
      <c r="P3135" s="37"/>
      <c r="Q3135" s="37"/>
      <c r="R3135" s="37"/>
      <c r="S3135" s="37"/>
      <c r="T3135" s="37"/>
      <c r="U3135" s="37"/>
      <c r="V3135" s="37"/>
      <c r="W3135" s="37"/>
      <c r="X3135" s="37"/>
      <c r="Y3135" s="37"/>
      <c r="Z3135" s="37"/>
      <c r="AA3135" s="37"/>
      <c r="AB3135" s="37"/>
      <c r="AC3135" s="37"/>
      <c r="AD3135" s="37"/>
      <c r="AE3135" s="37"/>
      <c r="AF3135" s="37"/>
      <c r="AG3135" s="37"/>
      <c r="AH3135" s="37"/>
      <c r="AI3135" s="37"/>
      <c r="AJ3135" s="37"/>
      <c r="AK3135" s="37"/>
      <c r="AL3135" s="37"/>
      <c r="AM3135" s="37"/>
      <c r="AN3135" s="37"/>
      <c r="AO3135" s="37"/>
      <c r="AP3135" s="37"/>
      <c r="AQ3135" s="37"/>
      <c r="AR3135" s="37"/>
      <c r="AS3135" s="37"/>
      <c r="AT3135" s="37"/>
      <c r="AU3135" s="37"/>
      <c r="AV3135" s="37"/>
      <c r="AW3135" s="37"/>
      <c r="AX3135" s="37"/>
      <c r="AY3135" s="37"/>
      <c r="AZ3135" s="37"/>
      <c r="BA3135" s="37"/>
      <c r="BB3135" s="37"/>
      <c r="BC3135" s="37"/>
      <c r="BD3135" s="37"/>
      <c r="BE3135" s="37"/>
      <c r="BF3135" s="37"/>
      <c r="BG3135" s="37"/>
      <c r="BH3135" s="37"/>
      <c r="BI3135" s="37"/>
      <c r="BJ3135" s="37"/>
      <c r="BK3135" s="37"/>
      <c r="BL3135" s="37"/>
      <c r="BM3135" s="37"/>
      <c r="BN3135" s="37"/>
      <c r="BO3135" s="37"/>
      <c r="BP3135" s="37"/>
      <c r="BQ3135" s="37"/>
      <c r="BR3135" s="37"/>
      <c r="BS3135" s="37"/>
      <c r="BT3135" s="37"/>
      <c r="BU3135" s="37"/>
      <c r="BV3135" s="37"/>
      <c r="BW3135" s="37"/>
      <c r="BX3135" s="37"/>
      <c r="BY3135" s="37"/>
      <c r="BZ3135" s="37"/>
      <c r="CA3135" s="37"/>
      <c r="CB3135" s="37"/>
      <c r="CC3135" s="37"/>
      <c r="CD3135" s="37"/>
      <c r="CE3135" s="37"/>
      <c r="CF3135" s="37"/>
      <c r="CG3135" s="37"/>
      <c r="CH3135" s="37"/>
      <c r="CI3135" s="37"/>
      <c r="CJ3135" s="37"/>
      <c r="CK3135" s="37"/>
      <c r="CL3135" s="37"/>
      <c r="CM3135" s="37"/>
      <c r="CN3135" s="37"/>
      <c r="CO3135" s="37"/>
      <c r="CP3135" s="37"/>
      <c r="CQ3135" s="37"/>
      <c r="CR3135" s="37"/>
      <c r="CS3135" s="37"/>
      <c r="CT3135" s="37"/>
      <c r="CU3135" s="37"/>
      <c r="CV3135" s="37"/>
      <c r="CW3135" s="37"/>
      <c r="CX3135" s="37"/>
      <c r="CY3135" s="37"/>
      <c r="CZ3135" s="37"/>
      <c r="DA3135" s="37"/>
      <c r="DB3135" s="37"/>
      <c r="DC3135" s="37"/>
      <c r="DD3135" s="37"/>
      <c r="DE3135" s="37"/>
      <c r="DF3135" s="37"/>
      <c r="DG3135" s="37"/>
      <c r="DH3135" s="37"/>
      <c r="DI3135" s="37"/>
      <c r="DJ3135" s="37"/>
      <c r="DK3135" s="37"/>
      <c r="DL3135" s="37"/>
      <c r="DM3135" s="37"/>
      <c r="DN3135" s="37"/>
      <c r="DO3135" s="37"/>
      <c r="DP3135" s="37"/>
      <c r="DQ3135" s="37"/>
      <c r="DR3135" s="37"/>
      <c r="DS3135" s="37"/>
      <c r="DT3135" s="37"/>
      <c r="DU3135" s="37"/>
      <c r="DV3135" s="37"/>
      <c r="DW3135" s="37"/>
      <c r="DX3135" s="37"/>
      <c r="DY3135" s="37"/>
      <c r="DZ3135" s="37"/>
      <c r="EA3135" s="37"/>
      <c r="EB3135" s="37"/>
      <c r="EC3135" s="37"/>
      <c r="ED3135" s="37"/>
      <c r="EE3135" s="37"/>
      <c r="EF3135" s="37"/>
      <c r="EG3135" s="37"/>
      <c r="EH3135" s="37"/>
      <c r="EI3135" s="37"/>
      <c r="EJ3135" s="37"/>
      <c r="EK3135" s="37"/>
      <c r="EL3135" s="37"/>
      <c r="EM3135" s="37"/>
      <c r="EN3135" s="37"/>
      <c r="EO3135" s="37"/>
      <c r="EP3135" s="37"/>
      <c r="EQ3135" s="37"/>
      <c r="ER3135" s="37"/>
      <c r="ES3135" s="37"/>
      <c r="ET3135" s="37"/>
      <c r="EU3135" s="37"/>
      <c r="EV3135" s="37"/>
      <c r="EW3135" s="37"/>
      <c r="EX3135" s="37"/>
      <c r="EY3135" s="37"/>
      <c r="EZ3135" s="37"/>
      <c r="FA3135" s="37"/>
      <c r="FB3135" s="37"/>
      <c r="FC3135" s="37"/>
      <c r="FD3135" s="37"/>
      <c r="FE3135" s="37"/>
      <c r="FF3135" s="37"/>
      <c r="FG3135" s="37"/>
      <c r="FH3135" s="37"/>
      <c r="FI3135" s="37"/>
      <c r="FJ3135" s="37"/>
      <c r="FK3135" s="37"/>
      <c r="FL3135" s="37"/>
      <c r="FM3135" s="37"/>
      <c r="FN3135" s="37"/>
      <c r="FO3135" s="37"/>
      <c r="FP3135" s="37"/>
      <c r="FQ3135" s="37"/>
      <c r="FR3135" s="37"/>
      <c r="FS3135" s="37"/>
      <c r="FT3135" s="37"/>
      <c r="FU3135" s="37"/>
      <c r="FV3135" s="37"/>
      <c r="FW3135" s="37"/>
      <c r="FX3135" s="37"/>
      <c r="FY3135" s="37"/>
      <c r="FZ3135" s="37"/>
      <c r="GA3135" s="37"/>
      <c r="GB3135" s="37"/>
      <c r="GC3135" s="37"/>
      <c r="GD3135" s="37"/>
      <c r="GE3135" s="37"/>
      <c r="GF3135" s="37"/>
      <c r="GG3135" s="37"/>
      <c r="GH3135" s="37"/>
      <c r="GI3135" s="37"/>
      <c r="GJ3135" s="37"/>
      <c r="GK3135" s="37"/>
      <c r="GL3135" s="37"/>
      <c r="GM3135" s="37"/>
      <c r="GN3135" s="37"/>
      <c r="GO3135" s="37"/>
      <c r="GP3135" s="37"/>
      <c r="GQ3135" s="37"/>
      <c r="GR3135" s="37"/>
      <c r="GS3135" s="37"/>
      <c r="GT3135" s="37"/>
      <c r="GU3135" s="37"/>
      <c r="GV3135" s="37"/>
      <c r="GW3135" s="37"/>
      <c r="GX3135" s="37"/>
      <c r="GY3135" s="37"/>
      <c r="GZ3135" s="37"/>
      <c r="HA3135" s="37"/>
      <c r="HB3135" s="37"/>
      <c r="HC3135" s="37"/>
      <c r="HD3135" s="37"/>
      <c r="HE3135" s="37"/>
      <c r="HF3135" s="37"/>
      <c r="HG3135" s="37"/>
      <c r="HH3135" s="37"/>
      <c r="HI3135" s="37"/>
      <c r="HJ3135" s="37"/>
      <c r="HK3135" s="37"/>
      <c r="HL3135" s="37"/>
      <c r="HM3135" s="37"/>
      <c r="HN3135" s="37"/>
      <c r="HO3135" s="37"/>
      <c r="HP3135" s="37"/>
      <c r="HQ3135" s="37"/>
      <c r="HR3135" s="37"/>
      <c r="HS3135" s="37"/>
      <c r="HT3135" s="37"/>
      <c r="HU3135" s="37"/>
      <c r="HV3135" s="37"/>
      <c r="HW3135" s="37"/>
      <c r="HX3135" s="37"/>
      <c r="HY3135" s="37"/>
      <c r="HZ3135" s="37"/>
      <c r="IA3135" s="37"/>
      <c r="IB3135" s="37"/>
      <c r="IC3135" s="37"/>
      <c r="ID3135" s="37"/>
      <c r="IE3135" s="37"/>
      <c r="IF3135" s="37"/>
      <c r="IG3135" s="37"/>
      <c r="IH3135" s="37"/>
      <c r="II3135" s="37"/>
      <c r="IJ3135" s="37"/>
      <c r="IK3135" s="37"/>
      <c r="IL3135" s="37"/>
      <c r="IM3135" s="37"/>
      <c r="IN3135" s="37"/>
      <c r="IO3135" s="37"/>
      <c r="IP3135" s="37"/>
      <c r="IQ3135" s="37"/>
      <c r="IR3135" s="37"/>
      <c r="IS3135" s="37"/>
      <c r="IT3135" s="37"/>
      <c r="IU3135" s="37"/>
      <c r="IV3135" s="37"/>
      <c r="IW3135" s="37"/>
      <c r="IX3135" s="37"/>
      <c r="IY3135" s="37"/>
      <c r="IZ3135" s="37"/>
      <c r="JA3135" s="37"/>
      <c r="JB3135" s="37"/>
      <c r="JC3135" s="37"/>
      <c r="JD3135" s="37"/>
      <c r="JE3135" s="37"/>
      <c r="JF3135" s="37"/>
      <c r="JG3135" s="37"/>
      <c r="JH3135" s="37"/>
      <c r="JI3135" s="37"/>
      <c r="JJ3135" s="37"/>
      <c r="JK3135" s="37"/>
      <c r="JL3135" s="37"/>
      <c r="JM3135" s="37"/>
      <c r="JN3135" s="37"/>
      <c r="JO3135" s="37"/>
      <c r="JP3135" s="37"/>
      <c r="JQ3135" s="37"/>
      <c r="JR3135" s="37"/>
      <c r="JS3135" s="37"/>
      <c r="JT3135" s="37"/>
      <c r="JU3135" s="37"/>
      <c r="JV3135" s="37"/>
      <c r="JW3135" s="37"/>
      <c r="JX3135" s="37"/>
      <c r="JY3135" s="37"/>
      <c r="JZ3135" s="37"/>
      <c r="KA3135" s="37"/>
      <c r="KB3135" s="37"/>
      <c r="KC3135" s="37"/>
      <c r="KD3135" s="37"/>
      <c r="KE3135" s="37"/>
      <c r="KF3135" s="37"/>
      <c r="KG3135" s="37"/>
      <c r="KH3135" s="37"/>
      <c r="KI3135" s="37"/>
      <c r="KJ3135" s="37"/>
      <c r="KK3135" s="37"/>
      <c r="KL3135" s="37"/>
      <c r="KM3135" s="37"/>
      <c r="KN3135" s="37"/>
      <c r="KO3135" s="37"/>
      <c r="KP3135" s="37"/>
      <c r="KQ3135" s="37"/>
      <c r="KR3135" s="37"/>
      <c r="KS3135" s="37"/>
      <c r="KT3135" s="37"/>
      <c r="KU3135" s="37"/>
      <c r="KV3135" s="37"/>
      <c r="KW3135" s="37"/>
      <c r="KX3135" s="37"/>
      <c r="KY3135" s="37"/>
      <c r="KZ3135" s="37"/>
      <c r="LA3135" s="37"/>
      <c r="LB3135" s="37"/>
      <c r="LC3135" s="37"/>
      <c r="LD3135" s="37"/>
      <c r="LE3135" s="37"/>
      <c r="LF3135" s="37"/>
      <c r="LG3135" s="37"/>
      <c r="LH3135" s="37"/>
      <c r="LI3135" s="37"/>
      <c r="LJ3135" s="37"/>
      <c r="LK3135" s="37"/>
      <c r="LL3135" s="37"/>
      <c r="LM3135" s="37"/>
      <c r="LN3135" s="37"/>
      <c r="LO3135" s="37"/>
      <c r="LP3135" s="37"/>
      <c r="LQ3135" s="37"/>
      <c r="LR3135" s="37"/>
      <c r="LS3135" s="37"/>
      <c r="LT3135" s="37"/>
      <c r="LU3135" s="37"/>
      <c r="LV3135" s="37"/>
      <c r="LW3135" s="37"/>
      <c r="LX3135" s="37"/>
      <c r="LY3135" s="37"/>
      <c r="LZ3135" s="37"/>
      <c r="MA3135" s="37"/>
      <c r="MB3135" s="37"/>
      <c r="MC3135" s="37"/>
      <c r="MD3135" s="37"/>
      <c r="ME3135" s="37"/>
      <c r="MF3135" s="37"/>
      <c r="MG3135" s="37"/>
      <c r="MH3135" s="37"/>
      <c r="MI3135" s="37"/>
      <c r="MJ3135" s="37"/>
      <c r="MK3135" s="37"/>
      <c r="ML3135" s="37"/>
      <c r="MM3135" s="37"/>
      <c r="MN3135" s="37"/>
      <c r="MO3135" s="37"/>
      <c r="MP3135" s="37"/>
      <c r="MQ3135" s="37"/>
      <c r="MR3135" s="37"/>
      <c r="MS3135" s="37"/>
      <c r="MT3135" s="37"/>
      <c r="MU3135" s="37"/>
      <c r="MV3135" s="37"/>
      <c r="MW3135" s="37"/>
      <c r="MX3135" s="37"/>
      <c r="MY3135" s="37"/>
      <c r="MZ3135" s="37"/>
      <c r="NA3135" s="37"/>
      <c r="NB3135" s="37"/>
      <c r="NC3135" s="37"/>
      <c r="ND3135" s="37"/>
      <c r="NE3135" s="37"/>
      <c r="NF3135" s="37"/>
      <c r="NG3135" s="37"/>
      <c r="NH3135" s="37"/>
      <c r="NI3135" s="37"/>
      <c r="NJ3135" s="37"/>
      <c r="NK3135" s="37"/>
      <c r="NL3135" s="37"/>
      <c r="NM3135" s="37"/>
      <c r="NN3135" s="37"/>
      <c r="NO3135" s="37"/>
      <c r="NP3135" s="37"/>
      <c r="NQ3135" s="37"/>
      <c r="NR3135" s="37"/>
      <c r="NS3135" s="37"/>
      <c r="NT3135" s="37"/>
      <c r="NU3135" s="37"/>
      <c r="NV3135" s="37"/>
      <c r="NW3135" s="37"/>
      <c r="NX3135" s="37"/>
      <c r="NY3135" s="37"/>
      <c r="NZ3135" s="37"/>
      <c r="OA3135" s="37"/>
      <c r="OB3135" s="37"/>
      <c r="OC3135" s="37"/>
      <c r="OD3135" s="37"/>
      <c r="OE3135" s="37"/>
      <c r="OF3135" s="37"/>
      <c r="OG3135" s="37"/>
      <c r="OH3135" s="37"/>
      <c r="OI3135" s="37"/>
      <c r="OJ3135" s="37"/>
      <c r="OK3135" s="37"/>
      <c r="OL3135" s="37"/>
      <c r="OM3135" s="37"/>
      <c r="ON3135" s="37"/>
      <c r="OO3135" s="37"/>
      <c r="OP3135" s="37"/>
      <c r="OQ3135" s="37"/>
      <c r="OR3135" s="37"/>
      <c r="OS3135" s="37"/>
      <c r="OT3135" s="37"/>
      <c r="OU3135" s="37"/>
      <c r="OV3135" s="37"/>
      <c r="OW3135" s="37"/>
      <c r="OX3135" s="37"/>
      <c r="OY3135" s="37"/>
      <c r="OZ3135" s="37"/>
      <c r="PA3135" s="37"/>
      <c r="PB3135" s="37"/>
      <c r="PC3135" s="37"/>
      <c r="PD3135" s="37"/>
      <c r="PE3135" s="37"/>
      <c r="PF3135" s="37"/>
      <c r="PG3135" s="37"/>
      <c r="PH3135" s="37"/>
      <c r="PI3135" s="37"/>
      <c r="PJ3135" s="37"/>
      <c r="PK3135" s="37"/>
      <c r="PL3135" s="37"/>
      <c r="PM3135" s="37"/>
      <c r="PN3135" s="37"/>
      <c r="PO3135" s="37"/>
      <c r="PP3135" s="37"/>
      <c r="PQ3135" s="37"/>
      <c r="PR3135" s="37"/>
      <c r="PS3135" s="37"/>
      <c r="PT3135" s="37"/>
      <c r="PU3135" s="37"/>
      <c r="PV3135" s="37"/>
      <c r="PW3135" s="37"/>
      <c r="PX3135" s="37"/>
      <c r="PY3135" s="37"/>
      <c r="PZ3135" s="37"/>
      <c r="QA3135" s="37"/>
      <c r="QB3135" s="37"/>
      <c r="QC3135" s="37"/>
      <c r="QD3135" s="37"/>
      <c r="QE3135" s="37"/>
      <c r="QF3135" s="37"/>
      <c r="QG3135" s="37"/>
      <c r="QH3135" s="37"/>
      <c r="QI3135" s="37"/>
      <c r="QJ3135" s="37"/>
      <c r="QK3135" s="37"/>
      <c r="QL3135" s="37"/>
      <c r="QM3135" s="37"/>
      <c r="QN3135" s="37"/>
      <c r="QO3135" s="37"/>
      <c r="QP3135" s="37"/>
      <c r="QQ3135" s="37"/>
      <c r="QR3135" s="37"/>
      <c r="QS3135" s="37"/>
      <c r="QT3135" s="37"/>
      <c r="QU3135" s="37"/>
      <c r="QV3135" s="37"/>
      <c r="QW3135" s="37"/>
      <c r="QX3135" s="37"/>
      <c r="QY3135" s="37"/>
      <c r="QZ3135" s="37"/>
      <c r="RA3135" s="37"/>
      <c r="RB3135" s="37"/>
      <c r="RC3135" s="37"/>
      <c r="RD3135" s="37"/>
      <c r="RE3135" s="37"/>
      <c r="RF3135" s="37"/>
      <c r="RG3135" s="37"/>
      <c r="RH3135" s="37"/>
      <c r="RI3135" s="37"/>
      <c r="RJ3135" s="37"/>
      <c r="RK3135" s="37"/>
      <c r="RL3135" s="37"/>
      <c r="RM3135" s="37"/>
      <c r="RN3135" s="37"/>
      <c r="RO3135" s="37"/>
      <c r="RP3135" s="37"/>
      <c r="RQ3135" s="37"/>
      <c r="RR3135" s="37"/>
      <c r="RS3135" s="37"/>
      <c r="RT3135" s="37"/>
      <c r="RU3135" s="37"/>
      <c r="RV3135" s="37"/>
      <c r="RW3135" s="37"/>
      <c r="RX3135" s="37"/>
      <c r="RY3135" s="37"/>
      <c r="RZ3135" s="37"/>
      <c r="SA3135" s="37"/>
      <c r="SB3135" s="37"/>
      <c r="SC3135" s="37"/>
      <c r="SD3135" s="37"/>
      <c r="SE3135" s="37"/>
      <c r="SF3135" s="37"/>
    </row>
    <row r="3136" spans="1:500">
      <c r="A3136" s="37"/>
      <c r="B3136" s="37"/>
      <c r="C3136" s="37"/>
      <c r="D3136" s="37"/>
      <c r="E3136" s="37"/>
      <c r="F3136" s="37"/>
      <c r="G3136" s="37"/>
      <c r="H3136" s="37"/>
      <c r="I3136" s="37"/>
      <c r="J3136" s="37"/>
      <c r="K3136" s="37"/>
      <c r="L3136" s="37"/>
      <c r="M3136" s="37"/>
      <c r="N3136" s="37"/>
      <c r="O3136" s="37"/>
      <c r="P3136" s="37"/>
      <c r="Q3136" s="37"/>
      <c r="R3136" s="37"/>
      <c r="S3136" s="37"/>
      <c r="T3136" s="37"/>
      <c r="U3136" s="37"/>
      <c r="V3136" s="37"/>
      <c r="W3136" s="37"/>
      <c r="X3136" s="37"/>
      <c r="Y3136" s="37"/>
      <c r="Z3136" s="37"/>
      <c r="AA3136" s="37"/>
      <c r="AB3136" s="37"/>
      <c r="AC3136" s="37"/>
      <c r="AD3136" s="37"/>
      <c r="AE3136" s="37"/>
      <c r="AF3136" s="37"/>
      <c r="AG3136" s="37"/>
      <c r="AH3136" s="37"/>
      <c r="AI3136" s="37"/>
      <c r="AJ3136" s="37"/>
      <c r="AK3136" s="37"/>
      <c r="AL3136" s="37"/>
      <c r="AM3136" s="37"/>
      <c r="AN3136" s="37"/>
      <c r="AO3136" s="37"/>
      <c r="AP3136" s="37"/>
      <c r="AQ3136" s="37"/>
      <c r="AR3136" s="37"/>
      <c r="AS3136" s="37"/>
      <c r="AT3136" s="37"/>
      <c r="AU3136" s="37"/>
      <c r="AV3136" s="37"/>
      <c r="AW3136" s="37"/>
      <c r="AX3136" s="37"/>
      <c r="AY3136" s="37"/>
      <c r="AZ3136" s="37"/>
      <c r="BA3136" s="37"/>
      <c r="BB3136" s="37"/>
      <c r="BC3136" s="37"/>
      <c r="BD3136" s="37"/>
      <c r="BE3136" s="37"/>
      <c r="BF3136" s="37"/>
      <c r="BG3136" s="37"/>
      <c r="BH3136" s="37"/>
      <c r="BI3136" s="37"/>
      <c r="BJ3136" s="37"/>
      <c r="BK3136" s="37"/>
      <c r="BL3136" s="37"/>
      <c r="BM3136" s="37"/>
      <c r="BN3136" s="37"/>
      <c r="BO3136" s="37"/>
      <c r="BP3136" s="37"/>
      <c r="BQ3136" s="37"/>
      <c r="BR3136" s="37"/>
      <c r="BS3136" s="37"/>
      <c r="BT3136" s="37"/>
      <c r="BU3136" s="37"/>
      <c r="BV3136" s="37"/>
      <c r="BW3136" s="37"/>
      <c r="BX3136" s="37"/>
      <c r="BY3136" s="37"/>
      <c r="BZ3136" s="37"/>
      <c r="CA3136" s="37"/>
      <c r="CB3136" s="37"/>
      <c r="CC3136" s="37"/>
      <c r="CD3136" s="37"/>
      <c r="CE3136" s="37"/>
      <c r="CF3136" s="37"/>
      <c r="CG3136" s="37"/>
      <c r="CH3136" s="37"/>
      <c r="CI3136" s="37"/>
      <c r="CJ3136" s="37"/>
      <c r="CK3136" s="37"/>
      <c r="CL3136" s="37"/>
      <c r="CM3136" s="37"/>
      <c r="CN3136" s="37"/>
      <c r="CO3136" s="37"/>
      <c r="CP3136" s="37"/>
      <c r="CQ3136" s="37"/>
      <c r="CR3136" s="37"/>
      <c r="CS3136" s="37"/>
      <c r="CT3136" s="37"/>
      <c r="CU3136" s="37"/>
      <c r="CV3136" s="37"/>
      <c r="CW3136" s="37"/>
      <c r="CX3136" s="37"/>
      <c r="CY3136" s="37"/>
      <c r="CZ3136" s="37"/>
      <c r="DA3136" s="37"/>
      <c r="DB3136" s="37"/>
      <c r="DC3136" s="37"/>
      <c r="DD3136" s="37"/>
      <c r="DE3136" s="37"/>
      <c r="DF3136" s="37"/>
      <c r="DG3136" s="37"/>
      <c r="DH3136" s="37"/>
      <c r="DI3136" s="37"/>
      <c r="DJ3136" s="37"/>
      <c r="DK3136" s="37"/>
      <c r="DL3136" s="37"/>
      <c r="DM3136" s="37"/>
      <c r="DN3136" s="37"/>
      <c r="DO3136" s="37"/>
      <c r="DP3136" s="37"/>
      <c r="DQ3136" s="37"/>
      <c r="DR3136" s="37"/>
      <c r="DS3136" s="37"/>
      <c r="DT3136" s="37"/>
      <c r="DU3136" s="37"/>
      <c r="DV3136" s="37"/>
      <c r="DW3136" s="37"/>
      <c r="DX3136" s="37"/>
      <c r="DY3136" s="37"/>
      <c r="DZ3136" s="37"/>
      <c r="EA3136" s="37"/>
      <c r="EB3136" s="37"/>
      <c r="EC3136" s="37"/>
      <c r="ED3136" s="37"/>
      <c r="EE3136" s="37"/>
      <c r="EF3136" s="37"/>
      <c r="EG3136" s="37"/>
      <c r="EH3136" s="37"/>
      <c r="EI3136" s="37"/>
      <c r="EJ3136" s="37"/>
      <c r="EK3136" s="37"/>
      <c r="EL3136" s="37"/>
      <c r="EM3136" s="37"/>
      <c r="EN3136" s="37"/>
      <c r="EO3136" s="37"/>
      <c r="EP3136" s="37"/>
      <c r="EQ3136" s="37"/>
      <c r="ER3136" s="37"/>
      <c r="ES3136" s="37"/>
      <c r="ET3136" s="37"/>
      <c r="EU3136" s="37"/>
      <c r="EV3136" s="37"/>
      <c r="EW3136" s="37"/>
      <c r="EX3136" s="37"/>
      <c r="EY3136" s="37"/>
      <c r="EZ3136" s="37"/>
      <c r="FA3136" s="37"/>
      <c r="FB3136" s="37"/>
      <c r="FC3136" s="37"/>
      <c r="FD3136" s="37"/>
      <c r="FE3136" s="37"/>
      <c r="FF3136" s="37"/>
      <c r="FG3136" s="37"/>
      <c r="FH3136" s="37"/>
      <c r="FI3136" s="37"/>
      <c r="FJ3136" s="37"/>
      <c r="FK3136" s="37"/>
      <c r="FL3136" s="37"/>
      <c r="FM3136" s="37"/>
      <c r="FN3136" s="37"/>
      <c r="FO3136" s="37"/>
      <c r="FP3136" s="37"/>
      <c r="FQ3136" s="37"/>
      <c r="FR3136" s="37"/>
      <c r="FS3136" s="37"/>
      <c r="FT3136" s="37"/>
      <c r="FU3136" s="37"/>
      <c r="FV3136" s="37"/>
      <c r="FW3136" s="37"/>
      <c r="FX3136" s="37"/>
      <c r="FY3136" s="37"/>
      <c r="FZ3136" s="37"/>
      <c r="GA3136" s="37"/>
      <c r="GB3136" s="37"/>
      <c r="GC3136" s="37"/>
      <c r="GD3136" s="37"/>
      <c r="GE3136" s="37"/>
      <c r="GF3136" s="37"/>
      <c r="GG3136" s="37"/>
      <c r="GH3136" s="37"/>
      <c r="GI3136" s="37"/>
      <c r="GJ3136" s="37"/>
      <c r="GK3136" s="37"/>
      <c r="GL3136" s="37"/>
      <c r="GM3136" s="37"/>
      <c r="GN3136" s="37"/>
      <c r="GO3136" s="37"/>
      <c r="GP3136" s="37"/>
      <c r="GQ3136" s="37"/>
      <c r="GR3136" s="37"/>
      <c r="GS3136" s="37"/>
      <c r="GT3136" s="37"/>
      <c r="GU3136" s="37"/>
      <c r="GV3136" s="37"/>
      <c r="GW3136" s="37"/>
      <c r="GX3136" s="37"/>
      <c r="GY3136" s="37"/>
      <c r="GZ3136" s="37"/>
      <c r="HA3136" s="37"/>
      <c r="HB3136" s="37"/>
      <c r="HC3136" s="37"/>
      <c r="HD3136" s="37"/>
      <c r="HE3136" s="37"/>
      <c r="HF3136" s="37"/>
      <c r="HG3136" s="37"/>
      <c r="HH3136" s="37"/>
      <c r="HI3136" s="37"/>
      <c r="HJ3136" s="37"/>
      <c r="HK3136" s="37"/>
      <c r="HL3136" s="37"/>
      <c r="HM3136" s="37"/>
      <c r="HN3136" s="37"/>
      <c r="HO3136" s="37"/>
      <c r="HP3136" s="37"/>
      <c r="HQ3136" s="37"/>
      <c r="HR3136" s="37"/>
      <c r="HS3136" s="37"/>
      <c r="HT3136" s="37"/>
      <c r="HU3136" s="37"/>
      <c r="HV3136" s="37"/>
      <c r="HW3136" s="37"/>
      <c r="HX3136" s="37"/>
      <c r="HY3136" s="37"/>
      <c r="HZ3136" s="37"/>
      <c r="IA3136" s="37"/>
      <c r="IB3136" s="37"/>
      <c r="IC3136" s="37"/>
      <c r="ID3136" s="37"/>
      <c r="IE3136" s="37"/>
      <c r="IF3136" s="37"/>
      <c r="IG3136" s="37"/>
      <c r="IH3136" s="37"/>
      <c r="II3136" s="37"/>
      <c r="IJ3136" s="37"/>
      <c r="IK3136" s="37"/>
      <c r="IL3136" s="37"/>
      <c r="IM3136" s="37"/>
      <c r="IN3136" s="37"/>
      <c r="IO3136" s="37"/>
      <c r="IP3136" s="37"/>
      <c r="IQ3136" s="37"/>
      <c r="IR3136" s="37"/>
      <c r="IS3136" s="37"/>
      <c r="IT3136" s="37"/>
      <c r="IU3136" s="37"/>
      <c r="IV3136" s="37"/>
      <c r="IW3136" s="37"/>
      <c r="IX3136" s="37"/>
      <c r="IY3136" s="37"/>
      <c r="IZ3136" s="37"/>
      <c r="JA3136" s="37"/>
      <c r="JB3136" s="37"/>
      <c r="JC3136" s="37"/>
      <c r="JD3136" s="37"/>
      <c r="JE3136" s="37"/>
      <c r="JF3136" s="37"/>
      <c r="JG3136" s="37"/>
      <c r="JH3136" s="37"/>
      <c r="JI3136" s="37"/>
      <c r="JJ3136" s="37"/>
      <c r="JK3136" s="37"/>
      <c r="JL3136" s="37"/>
      <c r="JM3136" s="37"/>
      <c r="JN3136" s="37"/>
      <c r="JO3136" s="37"/>
      <c r="JP3136" s="37"/>
      <c r="JQ3136" s="37"/>
      <c r="JR3136" s="37"/>
      <c r="JS3136" s="37"/>
      <c r="JT3136" s="37"/>
      <c r="JU3136" s="37"/>
      <c r="JV3136" s="37"/>
      <c r="JW3136" s="37"/>
      <c r="JX3136" s="37"/>
      <c r="JY3136" s="37"/>
      <c r="JZ3136" s="37"/>
      <c r="KA3136" s="37"/>
      <c r="KB3136" s="37"/>
      <c r="KC3136" s="37"/>
      <c r="KD3136" s="37"/>
      <c r="KE3136" s="37"/>
      <c r="KF3136" s="37"/>
      <c r="KG3136" s="37"/>
      <c r="KH3136" s="37"/>
      <c r="KI3136" s="37"/>
      <c r="KJ3136" s="37"/>
      <c r="KK3136" s="37"/>
      <c r="KL3136" s="37"/>
      <c r="KM3136" s="37"/>
      <c r="KN3136" s="37"/>
      <c r="KO3136" s="37"/>
      <c r="KP3136" s="37"/>
      <c r="KQ3136" s="37"/>
      <c r="KR3136" s="37"/>
      <c r="KS3136" s="37"/>
      <c r="KT3136" s="37"/>
      <c r="KU3136" s="37"/>
      <c r="KV3136" s="37"/>
      <c r="KW3136" s="37"/>
      <c r="KX3136" s="37"/>
      <c r="KY3136" s="37"/>
      <c r="KZ3136" s="37"/>
      <c r="LA3136" s="37"/>
      <c r="LB3136" s="37"/>
      <c r="LC3136" s="37"/>
      <c r="LD3136" s="37"/>
      <c r="LE3136" s="37"/>
      <c r="LF3136" s="37"/>
      <c r="LG3136" s="37"/>
      <c r="LH3136" s="37"/>
      <c r="LI3136" s="37"/>
      <c r="LJ3136" s="37"/>
      <c r="LK3136" s="37"/>
      <c r="LL3136" s="37"/>
      <c r="LM3136" s="37"/>
      <c r="LN3136" s="37"/>
      <c r="LO3136" s="37"/>
      <c r="LP3136" s="37"/>
      <c r="LQ3136" s="37"/>
      <c r="LR3136" s="37"/>
      <c r="LS3136" s="37"/>
      <c r="LT3136" s="37"/>
      <c r="LU3136" s="37"/>
      <c r="LV3136" s="37"/>
      <c r="LW3136" s="37"/>
      <c r="LX3136" s="37"/>
      <c r="LY3136" s="37"/>
      <c r="LZ3136" s="37"/>
      <c r="MA3136" s="37"/>
      <c r="MB3136" s="37"/>
      <c r="MC3136" s="37"/>
      <c r="MD3136" s="37"/>
      <c r="ME3136" s="37"/>
      <c r="MF3136" s="37"/>
      <c r="MG3136" s="37"/>
      <c r="MH3136" s="37"/>
      <c r="MI3136" s="37"/>
      <c r="MJ3136" s="37"/>
      <c r="MK3136" s="37"/>
      <c r="ML3136" s="37"/>
      <c r="MM3136" s="37"/>
      <c r="MN3136" s="37"/>
      <c r="MO3136" s="37"/>
      <c r="MP3136" s="37"/>
      <c r="MQ3136" s="37"/>
      <c r="MR3136" s="37"/>
      <c r="MS3136" s="37"/>
      <c r="MT3136" s="37"/>
      <c r="MU3136" s="37"/>
      <c r="MV3136" s="37"/>
      <c r="MW3136" s="37"/>
      <c r="MX3136" s="37"/>
      <c r="MY3136" s="37"/>
      <c r="MZ3136" s="37"/>
      <c r="NA3136" s="37"/>
      <c r="NB3136" s="37"/>
      <c r="NC3136" s="37"/>
      <c r="ND3136" s="37"/>
      <c r="NE3136" s="37"/>
      <c r="NF3136" s="37"/>
      <c r="NG3136" s="37"/>
      <c r="NH3136" s="37"/>
      <c r="NI3136" s="37"/>
      <c r="NJ3136" s="37"/>
      <c r="NK3136" s="37"/>
      <c r="NL3136" s="37"/>
      <c r="NM3136" s="37"/>
      <c r="NN3136" s="37"/>
      <c r="NO3136" s="37"/>
      <c r="NP3136" s="37"/>
      <c r="NQ3136" s="37"/>
      <c r="NR3136" s="37"/>
      <c r="NS3136" s="37"/>
      <c r="NT3136" s="37"/>
      <c r="NU3136" s="37"/>
      <c r="NV3136" s="37"/>
      <c r="NW3136" s="37"/>
      <c r="NX3136" s="37"/>
      <c r="NY3136" s="37"/>
      <c r="NZ3136" s="37"/>
      <c r="OA3136" s="37"/>
      <c r="OB3136" s="37"/>
      <c r="OC3136" s="37"/>
      <c r="OD3136" s="37"/>
      <c r="OE3136" s="37"/>
      <c r="OF3136" s="37"/>
      <c r="OG3136" s="37"/>
      <c r="OH3136" s="37"/>
      <c r="OI3136" s="37"/>
      <c r="OJ3136" s="37"/>
      <c r="OK3136" s="37"/>
      <c r="OL3136" s="37"/>
      <c r="OM3136" s="37"/>
      <c r="ON3136" s="37"/>
      <c r="OO3136" s="37"/>
      <c r="OP3136" s="37"/>
      <c r="OQ3136" s="37"/>
      <c r="OR3136" s="37"/>
      <c r="OS3136" s="37"/>
      <c r="OT3136" s="37"/>
      <c r="OU3136" s="37"/>
      <c r="OV3136" s="37"/>
      <c r="OW3136" s="37"/>
      <c r="OX3136" s="37"/>
      <c r="OY3136" s="37"/>
      <c r="OZ3136" s="37"/>
      <c r="PA3136" s="37"/>
      <c r="PB3136" s="37"/>
      <c r="PC3136" s="37"/>
      <c r="PD3136" s="37"/>
      <c r="PE3136" s="37"/>
      <c r="PF3136" s="37"/>
      <c r="PG3136" s="37"/>
      <c r="PH3136" s="37"/>
      <c r="PI3136" s="37"/>
      <c r="PJ3136" s="37"/>
      <c r="PK3136" s="37"/>
      <c r="PL3136" s="37"/>
      <c r="PM3136" s="37"/>
      <c r="PN3136" s="37"/>
      <c r="PO3136" s="37"/>
      <c r="PP3136" s="37"/>
      <c r="PQ3136" s="37"/>
      <c r="PR3136" s="37"/>
      <c r="PS3136" s="37"/>
      <c r="PT3136" s="37"/>
      <c r="PU3136" s="37"/>
      <c r="PV3136" s="37"/>
      <c r="PW3136" s="37"/>
      <c r="PX3136" s="37"/>
      <c r="PY3136" s="37"/>
      <c r="PZ3136" s="37"/>
      <c r="QA3136" s="37"/>
      <c r="QB3136" s="37"/>
      <c r="QC3136" s="37"/>
      <c r="QD3136" s="37"/>
      <c r="QE3136" s="37"/>
      <c r="QF3136" s="37"/>
      <c r="QG3136" s="37"/>
      <c r="QH3136" s="37"/>
      <c r="QI3136" s="37"/>
      <c r="QJ3136" s="37"/>
      <c r="QK3136" s="37"/>
      <c r="QL3136" s="37"/>
      <c r="QM3136" s="37"/>
      <c r="QN3136" s="37"/>
      <c r="QO3136" s="37"/>
      <c r="QP3136" s="37"/>
      <c r="QQ3136" s="37"/>
      <c r="QR3136" s="37"/>
      <c r="QS3136" s="37"/>
      <c r="QT3136" s="37"/>
      <c r="QU3136" s="37"/>
      <c r="QV3136" s="37"/>
      <c r="QW3136" s="37"/>
      <c r="QX3136" s="37"/>
      <c r="QY3136" s="37"/>
      <c r="QZ3136" s="37"/>
      <c r="RA3136" s="37"/>
      <c r="RB3136" s="37"/>
      <c r="RC3136" s="37"/>
      <c r="RD3136" s="37"/>
      <c r="RE3136" s="37"/>
      <c r="RF3136" s="37"/>
      <c r="RG3136" s="37"/>
      <c r="RH3136" s="37"/>
      <c r="RI3136" s="37"/>
      <c r="RJ3136" s="37"/>
      <c r="RK3136" s="37"/>
      <c r="RL3136" s="37"/>
      <c r="RM3136" s="37"/>
      <c r="RN3136" s="37"/>
      <c r="RO3136" s="37"/>
      <c r="RP3136" s="37"/>
      <c r="RQ3136" s="37"/>
      <c r="RR3136" s="37"/>
      <c r="RS3136" s="37"/>
      <c r="RT3136" s="37"/>
      <c r="RU3136" s="37"/>
      <c r="RV3136" s="37"/>
      <c r="RW3136" s="37"/>
      <c r="RX3136" s="37"/>
      <c r="RY3136" s="37"/>
      <c r="RZ3136" s="37"/>
      <c r="SA3136" s="37"/>
      <c r="SB3136" s="37"/>
      <c r="SC3136" s="37"/>
      <c r="SD3136" s="37"/>
      <c r="SE3136" s="37"/>
      <c r="SF3136" s="37"/>
    </row>
    <row r="3137" spans="1:500">
      <c r="A3137" s="37"/>
      <c r="B3137" s="37"/>
      <c r="C3137" s="37"/>
      <c r="D3137" s="37"/>
      <c r="E3137" s="37"/>
      <c r="F3137" s="37"/>
      <c r="G3137" s="37"/>
      <c r="H3137" s="37"/>
      <c r="I3137" s="37"/>
      <c r="J3137" s="37"/>
      <c r="K3137" s="37"/>
      <c r="L3137" s="37"/>
      <c r="M3137" s="37"/>
      <c r="N3137" s="37"/>
      <c r="O3137" s="37"/>
      <c r="P3137" s="37"/>
      <c r="Q3137" s="37"/>
      <c r="R3137" s="37"/>
      <c r="S3137" s="37"/>
      <c r="T3137" s="37"/>
      <c r="U3137" s="37"/>
      <c r="V3137" s="37"/>
      <c r="W3137" s="37"/>
      <c r="X3137" s="37"/>
      <c r="Y3137" s="37"/>
      <c r="Z3137" s="37"/>
      <c r="AA3137" s="37"/>
      <c r="AB3137" s="37"/>
      <c r="AC3137" s="37"/>
      <c r="AD3137" s="37"/>
      <c r="AE3137" s="37"/>
      <c r="AF3137" s="37"/>
      <c r="AG3137" s="37"/>
      <c r="AH3137" s="37"/>
      <c r="AI3137" s="37"/>
      <c r="AJ3137" s="37"/>
      <c r="AK3137" s="37"/>
      <c r="AL3137" s="37"/>
      <c r="AM3137" s="37"/>
      <c r="AN3137" s="37"/>
      <c r="AO3137" s="37"/>
      <c r="AP3137" s="37"/>
      <c r="AQ3137" s="37"/>
      <c r="AR3137" s="37"/>
      <c r="AS3137" s="37"/>
      <c r="AT3137" s="37"/>
      <c r="AU3137" s="37"/>
      <c r="AV3137" s="37"/>
      <c r="AW3137" s="37"/>
      <c r="AX3137" s="37"/>
      <c r="AY3137" s="37"/>
      <c r="AZ3137" s="37"/>
      <c r="BA3137" s="37"/>
      <c r="BB3137" s="37"/>
      <c r="BC3137" s="37"/>
      <c r="BD3137" s="37"/>
      <c r="BE3137" s="37"/>
      <c r="BF3137" s="37"/>
      <c r="BG3137" s="37"/>
      <c r="BH3137" s="37"/>
      <c r="BI3137" s="37"/>
      <c r="BJ3137" s="37"/>
      <c r="BK3137" s="37"/>
      <c r="BL3137" s="37"/>
      <c r="BM3137" s="37"/>
      <c r="BN3137" s="37"/>
      <c r="BO3137" s="37"/>
      <c r="BP3137" s="37"/>
      <c r="BQ3137" s="37"/>
      <c r="BR3137" s="37"/>
      <c r="BS3137" s="37"/>
      <c r="BT3137" s="37"/>
      <c r="BU3137" s="37"/>
      <c r="BV3137" s="37"/>
      <c r="BW3137" s="37"/>
      <c r="BX3137" s="37"/>
      <c r="BY3137" s="37"/>
      <c r="BZ3137" s="37"/>
      <c r="CA3137" s="37"/>
      <c r="CB3137" s="37"/>
      <c r="CC3137" s="37"/>
      <c r="CD3137" s="37"/>
      <c r="CE3137" s="37"/>
      <c r="CF3137" s="37"/>
      <c r="CG3137" s="37"/>
      <c r="CH3137" s="37"/>
      <c r="CI3137" s="37"/>
      <c r="CJ3137" s="37"/>
      <c r="CK3137" s="37"/>
      <c r="CL3137" s="37"/>
      <c r="CM3137" s="37"/>
      <c r="CN3137" s="37"/>
      <c r="CO3137" s="37"/>
      <c r="CP3137" s="37"/>
      <c r="CQ3137" s="37"/>
      <c r="CR3137" s="37"/>
      <c r="CS3137" s="37"/>
      <c r="CT3137" s="37"/>
      <c r="CU3137" s="37"/>
      <c r="CV3137" s="37"/>
      <c r="CW3137" s="37"/>
      <c r="CX3137" s="37"/>
      <c r="CY3137" s="37"/>
      <c r="CZ3137" s="37"/>
      <c r="DA3137" s="37"/>
      <c r="DB3137" s="37"/>
      <c r="DC3137" s="37"/>
      <c r="DD3137" s="37"/>
      <c r="DE3137" s="37"/>
      <c r="DF3137" s="37"/>
      <c r="DG3137" s="37"/>
      <c r="DH3137" s="37"/>
      <c r="DI3137" s="37"/>
      <c r="DJ3137" s="37"/>
      <c r="DK3137" s="37"/>
      <c r="DL3137" s="37"/>
      <c r="DM3137" s="37"/>
      <c r="DN3137" s="37"/>
      <c r="DO3137" s="37"/>
      <c r="DP3137" s="37"/>
      <c r="DQ3137" s="37"/>
      <c r="DR3137" s="37"/>
      <c r="DS3137" s="37"/>
      <c r="DT3137" s="37"/>
      <c r="DU3137" s="37"/>
      <c r="DV3137" s="37"/>
      <c r="DW3137" s="37"/>
      <c r="DX3137" s="37"/>
      <c r="DY3137" s="37"/>
      <c r="DZ3137" s="37"/>
      <c r="EA3137" s="37"/>
      <c r="EB3137" s="37"/>
      <c r="EC3137" s="37"/>
      <c r="ED3137" s="37"/>
      <c r="EE3137" s="37"/>
      <c r="EF3137" s="37"/>
      <c r="EG3137" s="37"/>
      <c r="EH3137" s="37"/>
      <c r="EI3137" s="37"/>
      <c r="EJ3137" s="37"/>
      <c r="EK3137" s="37"/>
      <c r="EL3137" s="37"/>
      <c r="EM3137" s="37"/>
      <c r="EN3137" s="37"/>
      <c r="EO3137" s="37"/>
      <c r="EP3137" s="37"/>
      <c r="EQ3137" s="37"/>
      <c r="ER3137" s="37"/>
      <c r="ES3137" s="37"/>
      <c r="ET3137" s="37"/>
      <c r="EU3137" s="37"/>
      <c r="EV3137" s="37"/>
      <c r="EW3137" s="37"/>
      <c r="EX3137" s="37"/>
      <c r="EY3137" s="37"/>
      <c r="EZ3137" s="37"/>
      <c r="FA3137" s="37"/>
      <c r="FB3137" s="37"/>
      <c r="FC3137" s="37"/>
      <c r="FD3137" s="37"/>
      <c r="FE3137" s="37"/>
      <c r="FF3137" s="37"/>
      <c r="FG3137" s="37"/>
      <c r="FH3137" s="37"/>
      <c r="FI3137" s="37"/>
      <c r="FJ3137" s="37"/>
      <c r="FK3137" s="37"/>
      <c r="FL3137" s="37"/>
      <c r="FM3137" s="37"/>
      <c r="FN3137" s="37"/>
      <c r="FO3137" s="37"/>
      <c r="FP3137" s="37"/>
      <c r="FQ3137" s="37"/>
      <c r="FR3137" s="37"/>
      <c r="FS3137" s="37"/>
      <c r="FT3137" s="37"/>
      <c r="FU3137" s="37"/>
      <c r="FV3137" s="37"/>
      <c r="FW3137" s="37"/>
      <c r="FX3137" s="37"/>
      <c r="FY3137" s="37"/>
      <c r="FZ3137" s="37"/>
      <c r="GA3137" s="37"/>
      <c r="GB3137" s="37"/>
      <c r="GC3137" s="37"/>
      <c r="GD3137" s="37"/>
      <c r="GE3137" s="37"/>
      <c r="GF3137" s="37"/>
      <c r="GG3137" s="37"/>
      <c r="GH3137" s="37"/>
      <c r="GI3137" s="37"/>
      <c r="GJ3137" s="37"/>
      <c r="GK3137" s="37"/>
      <c r="GL3137" s="37"/>
      <c r="GM3137" s="37"/>
      <c r="GN3137" s="37"/>
      <c r="GO3137" s="37"/>
      <c r="GP3137" s="37"/>
      <c r="GQ3137" s="37"/>
      <c r="GR3137" s="37"/>
      <c r="GS3137" s="37"/>
      <c r="GT3137" s="37"/>
      <c r="GU3137" s="37"/>
      <c r="GV3137" s="37"/>
      <c r="GW3137" s="37"/>
      <c r="GX3137" s="37"/>
      <c r="GY3137" s="37"/>
      <c r="GZ3137" s="37"/>
      <c r="HA3137" s="37"/>
      <c r="HB3137" s="37"/>
      <c r="HC3137" s="37"/>
      <c r="HD3137" s="37"/>
      <c r="HE3137" s="37"/>
      <c r="HF3137" s="37"/>
      <c r="HG3137" s="37"/>
      <c r="HH3137" s="37"/>
      <c r="HI3137" s="37"/>
      <c r="HJ3137" s="37"/>
      <c r="HK3137" s="37"/>
      <c r="HL3137" s="37"/>
      <c r="HM3137" s="37"/>
      <c r="HN3137" s="37"/>
      <c r="HO3137" s="37"/>
      <c r="HP3137" s="37"/>
      <c r="HQ3137" s="37"/>
      <c r="HR3137" s="37"/>
      <c r="HS3137" s="37"/>
      <c r="HT3137" s="37"/>
      <c r="HU3137" s="37"/>
      <c r="HV3137" s="37"/>
      <c r="HW3137" s="37"/>
      <c r="HX3137" s="37"/>
      <c r="HY3137" s="37"/>
      <c r="HZ3137" s="37"/>
      <c r="IA3137" s="37"/>
      <c r="IB3137" s="37"/>
      <c r="IC3137" s="37"/>
      <c r="ID3137" s="37"/>
      <c r="IE3137" s="37"/>
      <c r="IF3137" s="37"/>
      <c r="IG3137" s="37"/>
      <c r="IH3137" s="37"/>
      <c r="II3137" s="37"/>
      <c r="IJ3137" s="37"/>
      <c r="IK3137" s="37"/>
      <c r="IL3137" s="37"/>
      <c r="IM3137" s="37"/>
      <c r="IN3137" s="37"/>
      <c r="IO3137" s="37"/>
      <c r="IP3137" s="37"/>
      <c r="IQ3137" s="37"/>
      <c r="IR3137" s="37"/>
      <c r="IS3137" s="37"/>
      <c r="IT3137" s="37"/>
      <c r="IU3137" s="37"/>
      <c r="IV3137" s="37"/>
      <c r="IW3137" s="37"/>
      <c r="IX3137" s="37"/>
      <c r="IY3137" s="37"/>
      <c r="IZ3137" s="37"/>
      <c r="JA3137" s="37"/>
      <c r="JB3137" s="37"/>
      <c r="JC3137" s="37"/>
      <c r="JD3137" s="37"/>
      <c r="JE3137" s="37"/>
      <c r="JF3137" s="37"/>
      <c r="JG3137" s="37"/>
      <c r="JH3137" s="37"/>
      <c r="JI3137" s="37"/>
      <c r="JJ3137" s="37"/>
      <c r="JK3137" s="37"/>
      <c r="JL3137" s="37"/>
      <c r="JM3137" s="37"/>
      <c r="JN3137" s="37"/>
      <c r="JO3137" s="37"/>
      <c r="JP3137" s="37"/>
      <c r="JQ3137" s="37"/>
      <c r="JR3137" s="37"/>
      <c r="JS3137" s="37"/>
      <c r="JT3137" s="37"/>
      <c r="JU3137" s="37"/>
      <c r="JV3137" s="37"/>
      <c r="JW3137" s="37"/>
      <c r="JX3137" s="37"/>
      <c r="JY3137" s="37"/>
      <c r="JZ3137" s="37"/>
      <c r="KA3137" s="37"/>
      <c r="KB3137" s="37"/>
      <c r="KC3137" s="37"/>
      <c r="KD3137" s="37"/>
      <c r="KE3137" s="37"/>
      <c r="KF3137" s="37"/>
      <c r="KG3137" s="37"/>
      <c r="KH3137" s="37"/>
      <c r="KI3137" s="37"/>
      <c r="KJ3137" s="37"/>
      <c r="KK3137" s="37"/>
      <c r="KL3137" s="37"/>
      <c r="KM3137" s="37"/>
      <c r="KN3137" s="37"/>
      <c r="KO3137" s="37"/>
      <c r="KP3137" s="37"/>
      <c r="KQ3137" s="37"/>
      <c r="KR3137" s="37"/>
      <c r="KS3137" s="37"/>
      <c r="KT3137" s="37"/>
      <c r="KU3137" s="37"/>
      <c r="KV3137" s="37"/>
      <c r="KW3137" s="37"/>
      <c r="KX3137" s="37"/>
      <c r="KY3137" s="37"/>
      <c r="KZ3137" s="37"/>
      <c r="LA3137" s="37"/>
      <c r="LB3137" s="37"/>
      <c r="LC3137" s="37"/>
      <c r="LD3137" s="37"/>
      <c r="LE3137" s="37"/>
      <c r="LF3137" s="37"/>
      <c r="LG3137" s="37"/>
      <c r="LH3137" s="37"/>
      <c r="LI3137" s="37"/>
      <c r="LJ3137" s="37"/>
      <c r="LK3137" s="37"/>
      <c r="LL3137" s="37"/>
      <c r="LM3137" s="37"/>
      <c r="LN3137" s="37"/>
      <c r="LO3137" s="37"/>
      <c r="LP3137" s="37"/>
      <c r="LQ3137" s="37"/>
      <c r="LR3137" s="37"/>
      <c r="LS3137" s="37"/>
      <c r="LT3137" s="37"/>
      <c r="LU3137" s="37"/>
      <c r="LV3137" s="37"/>
      <c r="LW3137" s="37"/>
      <c r="LX3137" s="37"/>
      <c r="LY3137" s="37"/>
      <c r="LZ3137" s="37"/>
      <c r="MA3137" s="37"/>
      <c r="MB3137" s="37"/>
      <c r="MC3137" s="37"/>
      <c r="MD3137" s="37"/>
      <c r="ME3137" s="37"/>
      <c r="MF3137" s="37"/>
      <c r="MG3137" s="37"/>
      <c r="MH3137" s="37"/>
      <c r="MI3137" s="37"/>
      <c r="MJ3137" s="37"/>
      <c r="MK3137" s="37"/>
      <c r="ML3137" s="37"/>
      <c r="MM3137" s="37"/>
      <c r="MN3137" s="37"/>
      <c r="MO3137" s="37"/>
      <c r="MP3137" s="37"/>
      <c r="MQ3137" s="37"/>
      <c r="MR3137" s="37"/>
      <c r="MS3137" s="37"/>
      <c r="MT3137" s="37"/>
      <c r="MU3137" s="37"/>
      <c r="MV3137" s="37"/>
      <c r="MW3137" s="37"/>
      <c r="MX3137" s="37"/>
      <c r="MY3137" s="37"/>
      <c r="MZ3137" s="37"/>
      <c r="NA3137" s="37"/>
      <c r="NB3137" s="37"/>
      <c r="NC3137" s="37"/>
      <c r="ND3137" s="37"/>
      <c r="NE3137" s="37"/>
      <c r="NF3137" s="37"/>
      <c r="NG3137" s="37"/>
      <c r="NH3137" s="37"/>
      <c r="NI3137" s="37"/>
      <c r="NJ3137" s="37"/>
      <c r="NK3137" s="37"/>
      <c r="NL3137" s="37"/>
      <c r="NM3137" s="37"/>
      <c r="NN3137" s="37"/>
      <c r="NO3137" s="37"/>
      <c r="NP3137" s="37"/>
      <c r="NQ3137" s="37"/>
      <c r="NR3137" s="37"/>
      <c r="NS3137" s="37"/>
      <c r="NT3137" s="37"/>
      <c r="NU3137" s="37"/>
      <c r="NV3137" s="37"/>
      <c r="NW3137" s="37"/>
      <c r="NX3137" s="37"/>
      <c r="NY3137" s="37"/>
      <c r="NZ3137" s="37"/>
      <c r="OA3137" s="37"/>
      <c r="OB3137" s="37"/>
      <c r="OC3137" s="37"/>
      <c r="OD3137" s="37"/>
      <c r="OE3137" s="37"/>
      <c r="OF3137" s="37"/>
      <c r="OG3137" s="37"/>
      <c r="OH3137" s="37"/>
      <c r="OI3137" s="37"/>
      <c r="OJ3137" s="37"/>
      <c r="OK3137" s="37"/>
      <c r="OL3137" s="37"/>
      <c r="OM3137" s="37"/>
      <c r="ON3137" s="37"/>
      <c r="OO3137" s="37"/>
      <c r="OP3137" s="37"/>
      <c r="OQ3137" s="37"/>
      <c r="OR3137" s="37"/>
      <c r="OS3137" s="37"/>
      <c r="OT3137" s="37"/>
      <c r="OU3137" s="37"/>
      <c r="OV3137" s="37"/>
      <c r="OW3137" s="37"/>
      <c r="OX3137" s="37"/>
      <c r="OY3137" s="37"/>
      <c r="OZ3137" s="37"/>
      <c r="PA3137" s="37"/>
      <c r="PB3137" s="37"/>
      <c r="PC3137" s="37"/>
      <c r="PD3137" s="37"/>
      <c r="PE3137" s="37"/>
      <c r="PF3137" s="37"/>
      <c r="PG3137" s="37"/>
      <c r="PH3137" s="37"/>
      <c r="PI3137" s="37"/>
      <c r="PJ3137" s="37"/>
      <c r="PK3137" s="37"/>
      <c r="PL3137" s="37"/>
      <c r="PM3137" s="37"/>
      <c r="PN3137" s="37"/>
      <c r="PO3137" s="37"/>
      <c r="PP3137" s="37"/>
      <c r="PQ3137" s="37"/>
      <c r="PR3137" s="37"/>
      <c r="PS3137" s="37"/>
      <c r="PT3137" s="37"/>
      <c r="PU3137" s="37"/>
      <c r="PV3137" s="37"/>
      <c r="PW3137" s="37"/>
      <c r="PX3137" s="37"/>
      <c r="PY3137" s="37"/>
      <c r="PZ3137" s="37"/>
      <c r="QA3137" s="37"/>
      <c r="QB3137" s="37"/>
      <c r="QC3137" s="37"/>
      <c r="QD3137" s="37"/>
      <c r="QE3137" s="37"/>
      <c r="QF3137" s="37"/>
      <c r="QG3137" s="37"/>
      <c r="QH3137" s="37"/>
      <c r="QI3137" s="37"/>
      <c r="QJ3137" s="37"/>
      <c r="QK3137" s="37"/>
      <c r="QL3137" s="37"/>
      <c r="QM3137" s="37"/>
      <c r="QN3137" s="37"/>
      <c r="QO3137" s="37"/>
      <c r="QP3137" s="37"/>
      <c r="QQ3137" s="37"/>
      <c r="QR3137" s="37"/>
      <c r="QS3137" s="37"/>
      <c r="QT3137" s="37"/>
      <c r="QU3137" s="37"/>
      <c r="QV3137" s="37"/>
      <c r="QW3137" s="37"/>
      <c r="QX3137" s="37"/>
      <c r="QY3137" s="37"/>
      <c r="QZ3137" s="37"/>
      <c r="RA3137" s="37"/>
      <c r="RB3137" s="37"/>
      <c r="RC3137" s="37"/>
      <c r="RD3137" s="37"/>
      <c r="RE3137" s="37"/>
      <c r="RF3137" s="37"/>
      <c r="RG3137" s="37"/>
      <c r="RH3137" s="37"/>
      <c r="RI3137" s="37"/>
      <c r="RJ3137" s="37"/>
      <c r="RK3137" s="37"/>
      <c r="RL3137" s="37"/>
      <c r="RM3137" s="37"/>
      <c r="RN3137" s="37"/>
      <c r="RO3137" s="37"/>
      <c r="RP3137" s="37"/>
      <c r="RQ3137" s="37"/>
      <c r="RR3137" s="37"/>
      <c r="RS3137" s="37"/>
      <c r="RT3137" s="37"/>
      <c r="RU3137" s="37"/>
      <c r="RV3137" s="37"/>
      <c r="RW3137" s="37"/>
      <c r="RX3137" s="37"/>
      <c r="RY3137" s="37"/>
      <c r="RZ3137" s="37"/>
      <c r="SA3137" s="37"/>
      <c r="SB3137" s="37"/>
      <c r="SC3137" s="37"/>
      <c r="SD3137" s="37"/>
      <c r="SE3137" s="37"/>
      <c r="SF3137" s="37"/>
    </row>
    <row r="3138" spans="1:500">
      <c r="A3138" s="37"/>
      <c r="B3138" s="37"/>
      <c r="C3138" s="37"/>
      <c r="D3138" s="37"/>
      <c r="E3138" s="37"/>
      <c r="F3138" s="37"/>
      <c r="G3138" s="37"/>
      <c r="H3138" s="37"/>
      <c r="I3138" s="37"/>
      <c r="J3138" s="37"/>
      <c r="K3138" s="37"/>
      <c r="L3138" s="37"/>
      <c r="M3138" s="37"/>
      <c r="N3138" s="37"/>
      <c r="O3138" s="37"/>
      <c r="P3138" s="37"/>
      <c r="Q3138" s="37"/>
      <c r="R3138" s="37"/>
      <c r="S3138" s="37"/>
      <c r="T3138" s="37"/>
      <c r="U3138" s="37"/>
      <c r="V3138" s="37"/>
      <c r="W3138" s="37"/>
      <c r="X3138" s="37"/>
      <c r="Y3138" s="37"/>
      <c r="Z3138" s="37"/>
      <c r="AA3138" s="37"/>
      <c r="AB3138" s="37"/>
      <c r="AC3138" s="37"/>
      <c r="AD3138" s="37"/>
      <c r="AE3138" s="37"/>
      <c r="AF3138" s="37"/>
      <c r="AG3138" s="37"/>
      <c r="AH3138" s="37"/>
      <c r="AI3138" s="37"/>
      <c r="AJ3138" s="37"/>
      <c r="AK3138" s="37"/>
      <c r="AL3138" s="37"/>
      <c r="AM3138" s="37"/>
      <c r="AN3138" s="37"/>
      <c r="AO3138" s="37"/>
      <c r="AP3138" s="37"/>
      <c r="AQ3138" s="37"/>
      <c r="AR3138" s="37"/>
      <c r="AS3138" s="37"/>
      <c r="AT3138" s="37"/>
      <c r="AU3138" s="37"/>
      <c r="AV3138" s="37"/>
      <c r="AW3138" s="37"/>
      <c r="AX3138" s="37"/>
      <c r="AY3138" s="37"/>
      <c r="AZ3138" s="37"/>
      <c r="BA3138" s="37"/>
      <c r="BB3138" s="37"/>
      <c r="BC3138" s="37"/>
      <c r="BD3138" s="37"/>
      <c r="BE3138" s="37"/>
      <c r="BF3138" s="37"/>
      <c r="BG3138" s="37"/>
      <c r="BH3138" s="37"/>
      <c r="BI3138" s="37"/>
      <c r="BJ3138" s="37"/>
      <c r="BK3138" s="37"/>
      <c r="BL3138" s="37"/>
      <c r="BM3138" s="37"/>
      <c r="BN3138" s="37"/>
      <c r="BO3138" s="37"/>
      <c r="BP3138" s="37"/>
      <c r="BQ3138" s="37"/>
      <c r="BR3138" s="37"/>
      <c r="BS3138" s="37"/>
      <c r="BT3138" s="37"/>
      <c r="BU3138" s="37"/>
      <c r="BV3138" s="37"/>
      <c r="BW3138" s="37"/>
      <c r="BX3138" s="37"/>
      <c r="BY3138" s="37"/>
      <c r="BZ3138" s="37"/>
      <c r="CA3138" s="37"/>
      <c r="CB3138" s="37"/>
      <c r="CC3138" s="37"/>
      <c r="CD3138" s="37"/>
      <c r="CE3138" s="37"/>
      <c r="CF3138" s="37"/>
      <c r="CG3138" s="37"/>
      <c r="CH3138" s="37"/>
      <c r="CI3138" s="37"/>
      <c r="CJ3138" s="37"/>
      <c r="CK3138" s="37"/>
      <c r="CL3138" s="37"/>
      <c r="CM3138" s="37"/>
      <c r="CN3138" s="37"/>
      <c r="CO3138" s="37"/>
      <c r="CP3138" s="37"/>
      <c r="CQ3138" s="37"/>
      <c r="CR3138" s="37"/>
      <c r="CS3138" s="37"/>
      <c r="CT3138" s="37"/>
      <c r="CU3138" s="37"/>
      <c r="CV3138" s="37"/>
      <c r="CW3138" s="37"/>
      <c r="CX3138" s="37"/>
      <c r="CY3138" s="37"/>
      <c r="CZ3138" s="37"/>
      <c r="DA3138" s="37"/>
      <c r="DB3138" s="37"/>
      <c r="DC3138" s="37"/>
      <c r="DD3138" s="37"/>
      <c r="DE3138" s="37"/>
      <c r="DF3138" s="37"/>
      <c r="DG3138" s="37"/>
      <c r="DH3138" s="37"/>
      <c r="DI3138" s="37"/>
      <c r="DJ3138" s="37"/>
      <c r="DK3138" s="37"/>
      <c r="DL3138" s="37"/>
      <c r="DM3138" s="37"/>
      <c r="DN3138" s="37"/>
      <c r="DO3138" s="37"/>
      <c r="DP3138" s="37"/>
      <c r="DQ3138" s="37"/>
      <c r="DR3138" s="37"/>
      <c r="DS3138" s="37"/>
      <c r="DT3138" s="37"/>
      <c r="DU3138" s="37"/>
      <c r="DV3138" s="37"/>
      <c r="DW3138" s="37"/>
      <c r="DX3138" s="37"/>
      <c r="DY3138" s="37"/>
      <c r="DZ3138" s="37"/>
      <c r="EA3138" s="37"/>
      <c r="EB3138" s="37"/>
      <c r="EC3138" s="37"/>
      <c r="ED3138" s="37"/>
      <c r="EE3138" s="37"/>
      <c r="EF3138" s="37"/>
      <c r="EG3138" s="37"/>
      <c r="EH3138" s="37"/>
      <c r="EI3138" s="37"/>
      <c r="EJ3138" s="37"/>
      <c r="EK3138" s="37"/>
      <c r="EL3138" s="37"/>
      <c r="EM3138" s="37"/>
      <c r="EN3138" s="37"/>
      <c r="EO3138" s="37"/>
      <c r="EP3138" s="37"/>
      <c r="EQ3138" s="37"/>
      <c r="ER3138" s="37"/>
      <c r="ES3138" s="37"/>
      <c r="ET3138" s="37"/>
      <c r="EU3138" s="37"/>
      <c r="EV3138" s="37"/>
      <c r="EW3138" s="37"/>
      <c r="EX3138" s="37"/>
      <c r="EY3138" s="37"/>
      <c r="EZ3138" s="37"/>
      <c r="FA3138" s="37"/>
      <c r="FB3138" s="37"/>
      <c r="FC3138" s="37"/>
      <c r="FD3138" s="37"/>
      <c r="FE3138" s="37"/>
      <c r="FF3138" s="37"/>
      <c r="FG3138" s="37"/>
      <c r="FH3138" s="37"/>
      <c r="FI3138" s="37"/>
      <c r="FJ3138" s="37"/>
      <c r="FK3138" s="37"/>
      <c r="FL3138" s="37"/>
      <c r="FM3138" s="37"/>
      <c r="FN3138" s="37"/>
      <c r="FO3138" s="37"/>
      <c r="FP3138" s="37"/>
      <c r="FQ3138" s="37"/>
      <c r="FR3138" s="37"/>
      <c r="FS3138" s="37"/>
      <c r="FT3138" s="37"/>
      <c r="FU3138" s="37"/>
      <c r="FV3138" s="37"/>
      <c r="FW3138" s="37"/>
      <c r="FX3138" s="37"/>
      <c r="FY3138" s="37"/>
      <c r="FZ3138" s="37"/>
      <c r="GA3138" s="37"/>
      <c r="GB3138" s="37"/>
      <c r="GC3138" s="37"/>
      <c r="GD3138" s="37"/>
      <c r="GE3138" s="37"/>
      <c r="GF3138" s="37"/>
      <c r="GG3138" s="37"/>
      <c r="GH3138" s="37"/>
      <c r="GI3138" s="37"/>
      <c r="GJ3138" s="37"/>
      <c r="GK3138" s="37"/>
      <c r="GL3138" s="37"/>
      <c r="GM3138" s="37"/>
      <c r="GN3138" s="37"/>
      <c r="GO3138" s="37"/>
      <c r="GP3138" s="37"/>
      <c r="GQ3138" s="37"/>
      <c r="GR3138" s="37"/>
      <c r="GS3138" s="37"/>
      <c r="GT3138" s="37"/>
      <c r="GU3138" s="37"/>
      <c r="GV3138" s="37"/>
      <c r="GW3138" s="37"/>
      <c r="GX3138" s="37"/>
      <c r="GY3138" s="37"/>
      <c r="GZ3138" s="37"/>
      <c r="HA3138" s="37"/>
      <c r="HB3138" s="37"/>
      <c r="HC3138" s="37"/>
      <c r="HD3138" s="37"/>
      <c r="HE3138" s="37"/>
      <c r="HF3138" s="37"/>
      <c r="HG3138" s="37"/>
      <c r="HH3138" s="37"/>
      <c r="HI3138" s="37"/>
      <c r="HJ3138" s="37"/>
      <c r="HK3138" s="37"/>
      <c r="HL3138" s="37"/>
      <c r="HM3138" s="37"/>
      <c r="HN3138" s="37"/>
      <c r="HO3138" s="37"/>
      <c r="HP3138" s="37"/>
      <c r="HQ3138" s="37"/>
      <c r="HR3138" s="37"/>
      <c r="HS3138" s="37"/>
      <c r="HT3138" s="37"/>
      <c r="HU3138" s="37"/>
      <c r="HV3138" s="37"/>
      <c r="HW3138" s="37"/>
      <c r="HX3138" s="37"/>
      <c r="HY3138" s="37"/>
      <c r="HZ3138" s="37"/>
      <c r="IA3138" s="37"/>
      <c r="IB3138" s="37"/>
      <c r="IC3138" s="37"/>
      <c r="ID3138" s="37"/>
      <c r="IE3138" s="37"/>
      <c r="IF3138" s="37"/>
      <c r="IG3138" s="37"/>
      <c r="IH3138" s="37"/>
      <c r="II3138" s="37"/>
      <c r="IJ3138" s="37"/>
      <c r="IK3138" s="37"/>
      <c r="IL3138" s="37"/>
      <c r="IM3138" s="37"/>
      <c r="IN3138" s="37"/>
      <c r="IO3138" s="37"/>
      <c r="IP3138" s="37"/>
      <c r="IQ3138" s="37"/>
      <c r="IR3138" s="37"/>
      <c r="IS3138" s="37"/>
      <c r="IT3138" s="37"/>
      <c r="IU3138" s="37"/>
      <c r="IV3138" s="37"/>
      <c r="IW3138" s="37"/>
      <c r="IX3138" s="37"/>
      <c r="IY3138" s="37"/>
      <c r="IZ3138" s="37"/>
      <c r="JA3138" s="37"/>
      <c r="JB3138" s="37"/>
      <c r="JC3138" s="37"/>
      <c r="JD3138" s="37"/>
      <c r="JE3138" s="37"/>
      <c r="JF3138" s="37"/>
      <c r="JG3138" s="37"/>
      <c r="JH3138" s="37"/>
      <c r="JI3138" s="37"/>
      <c r="JJ3138" s="37"/>
      <c r="JK3138" s="37"/>
      <c r="JL3138" s="37"/>
      <c r="JM3138" s="37"/>
      <c r="JN3138" s="37"/>
      <c r="JO3138" s="37"/>
      <c r="JP3138" s="37"/>
      <c r="JQ3138" s="37"/>
      <c r="JR3138" s="37"/>
      <c r="JS3138" s="37"/>
      <c r="JT3138" s="37"/>
      <c r="JU3138" s="37"/>
      <c r="JV3138" s="37"/>
      <c r="JW3138" s="37"/>
      <c r="JX3138" s="37"/>
      <c r="JY3138" s="37"/>
      <c r="JZ3138" s="37"/>
      <c r="KA3138" s="37"/>
      <c r="KB3138" s="37"/>
      <c r="KC3138" s="37"/>
      <c r="KD3138" s="37"/>
      <c r="KE3138" s="37"/>
      <c r="KF3138" s="37"/>
      <c r="KG3138" s="37"/>
      <c r="KH3138" s="37"/>
      <c r="KI3138" s="37"/>
      <c r="KJ3138" s="37"/>
      <c r="KK3138" s="37"/>
      <c r="KL3138" s="37"/>
      <c r="KM3138" s="37"/>
      <c r="KN3138" s="37"/>
      <c r="KO3138" s="37"/>
      <c r="KP3138" s="37"/>
      <c r="KQ3138" s="37"/>
      <c r="KR3138" s="37"/>
      <c r="KS3138" s="37"/>
      <c r="KT3138" s="37"/>
      <c r="KU3138" s="37"/>
      <c r="KV3138" s="37"/>
      <c r="KW3138" s="37"/>
      <c r="KX3138" s="37"/>
      <c r="KY3138" s="37"/>
      <c r="KZ3138" s="37"/>
      <c r="LA3138" s="37"/>
      <c r="LB3138" s="37"/>
      <c r="LC3138" s="37"/>
      <c r="LD3138" s="37"/>
      <c r="LE3138" s="37"/>
      <c r="LF3138" s="37"/>
      <c r="LG3138" s="37"/>
      <c r="LH3138" s="37"/>
      <c r="LI3138" s="37"/>
      <c r="LJ3138" s="37"/>
      <c r="LK3138" s="37"/>
      <c r="LL3138" s="37"/>
      <c r="LM3138" s="37"/>
      <c r="LN3138" s="37"/>
      <c r="LO3138" s="37"/>
      <c r="LP3138" s="37"/>
      <c r="LQ3138" s="37"/>
      <c r="LR3138" s="37"/>
      <c r="LS3138" s="37"/>
      <c r="LT3138" s="37"/>
      <c r="LU3138" s="37"/>
      <c r="LV3138" s="37"/>
      <c r="LW3138" s="37"/>
      <c r="LX3138" s="37"/>
      <c r="LY3138" s="37"/>
      <c r="LZ3138" s="37"/>
      <c r="MA3138" s="37"/>
      <c r="MB3138" s="37"/>
      <c r="MC3138" s="37"/>
      <c r="MD3138" s="37"/>
      <c r="ME3138" s="37"/>
      <c r="MF3138" s="37"/>
      <c r="MG3138" s="37"/>
      <c r="MH3138" s="37"/>
      <c r="MI3138" s="37"/>
      <c r="MJ3138" s="37"/>
      <c r="MK3138" s="37"/>
      <c r="ML3138" s="37"/>
      <c r="MM3138" s="37"/>
      <c r="MN3138" s="37"/>
      <c r="MO3138" s="37"/>
      <c r="MP3138" s="37"/>
      <c r="MQ3138" s="37"/>
      <c r="MR3138" s="37"/>
      <c r="MS3138" s="37"/>
      <c r="MT3138" s="37"/>
      <c r="MU3138" s="37"/>
      <c r="MV3138" s="37"/>
      <c r="MW3138" s="37"/>
      <c r="MX3138" s="37"/>
      <c r="MY3138" s="37"/>
      <c r="MZ3138" s="37"/>
      <c r="NA3138" s="37"/>
      <c r="NB3138" s="37"/>
      <c r="NC3138" s="37"/>
      <c r="ND3138" s="37"/>
      <c r="NE3138" s="37"/>
      <c r="NF3138" s="37"/>
      <c r="NG3138" s="37"/>
      <c r="NH3138" s="37"/>
      <c r="NI3138" s="37"/>
      <c r="NJ3138" s="37"/>
      <c r="NK3138" s="37"/>
      <c r="NL3138" s="37"/>
      <c r="NM3138" s="37"/>
      <c r="NN3138" s="37"/>
      <c r="NO3138" s="37"/>
      <c r="NP3138" s="37"/>
      <c r="NQ3138" s="37"/>
      <c r="NR3138" s="37"/>
      <c r="NS3138" s="37"/>
      <c r="NT3138" s="37"/>
      <c r="NU3138" s="37"/>
      <c r="NV3138" s="37"/>
      <c r="NW3138" s="37"/>
      <c r="NX3138" s="37"/>
      <c r="NY3138" s="37"/>
      <c r="NZ3138" s="37"/>
      <c r="OA3138" s="37"/>
      <c r="OB3138" s="37"/>
      <c r="OC3138" s="37"/>
      <c r="OD3138" s="37"/>
      <c r="OE3138" s="37"/>
      <c r="OF3138" s="37"/>
      <c r="OG3138" s="37"/>
      <c r="OH3138" s="37"/>
      <c r="OI3138" s="37"/>
      <c r="OJ3138" s="37"/>
      <c r="OK3138" s="37"/>
      <c r="OL3138" s="37"/>
      <c r="OM3138" s="37"/>
      <c r="ON3138" s="37"/>
      <c r="OO3138" s="37"/>
      <c r="OP3138" s="37"/>
      <c r="OQ3138" s="37"/>
      <c r="OR3138" s="37"/>
      <c r="OS3138" s="37"/>
      <c r="OT3138" s="37"/>
      <c r="OU3138" s="37"/>
      <c r="OV3138" s="37"/>
      <c r="OW3138" s="37"/>
      <c r="OX3138" s="37"/>
      <c r="OY3138" s="37"/>
      <c r="OZ3138" s="37"/>
      <c r="PA3138" s="37"/>
      <c r="PB3138" s="37"/>
      <c r="PC3138" s="37"/>
      <c r="PD3138" s="37"/>
      <c r="PE3138" s="37"/>
      <c r="PF3138" s="37"/>
      <c r="PG3138" s="37"/>
      <c r="PH3138" s="37"/>
      <c r="PI3138" s="37"/>
      <c r="PJ3138" s="37"/>
      <c r="PK3138" s="37"/>
      <c r="PL3138" s="37"/>
      <c r="PM3138" s="37"/>
      <c r="PN3138" s="37"/>
      <c r="PO3138" s="37"/>
      <c r="PP3138" s="37"/>
      <c r="PQ3138" s="37"/>
      <c r="PR3138" s="37"/>
      <c r="PS3138" s="37"/>
      <c r="PT3138" s="37"/>
      <c r="PU3138" s="37"/>
      <c r="PV3138" s="37"/>
      <c r="PW3138" s="37"/>
      <c r="PX3138" s="37"/>
      <c r="PY3138" s="37"/>
      <c r="PZ3138" s="37"/>
      <c r="QA3138" s="37"/>
      <c r="QB3138" s="37"/>
      <c r="QC3138" s="37"/>
      <c r="QD3138" s="37"/>
      <c r="QE3138" s="37"/>
      <c r="QF3138" s="37"/>
      <c r="QG3138" s="37"/>
      <c r="QH3138" s="37"/>
      <c r="QI3138" s="37"/>
      <c r="QJ3138" s="37"/>
      <c r="QK3138" s="37"/>
      <c r="QL3138" s="37"/>
      <c r="QM3138" s="37"/>
      <c r="QN3138" s="37"/>
      <c r="QO3138" s="37"/>
      <c r="QP3138" s="37"/>
      <c r="QQ3138" s="37"/>
      <c r="QR3138" s="37"/>
      <c r="QS3138" s="37"/>
      <c r="QT3138" s="37"/>
      <c r="QU3138" s="37"/>
      <c r="QV3138" s="37"/>
      <c r="QW3138" s="37"/>
      <c r="QX3138" s="37"/>
      <c r="QY3138" s="37"/>
      <c r="QZ3138" s="37"/>
      <c r="RA3138" s="37"/>
      <c r="RB3138" s="37"/>
      <c r="RC3138" s="37"/>
      <c r="RD3138" s="37"/>
      <c r="RE3138" s="37"/>
      <c r="RF3138" s="37"/>
      <c r="RG3138" s="37"/>
      <c r="RH3138" s="37"/>
      <c r="RI3138" s="37"/>
      <c r="RJ3138" s="37"/>
      <c r="RK3138" s="37"/>
      <c r="RL3138" s="37"/>
      <c r="RM3138" s="37"/>
      <c r="RN3138" s="37"/>
      <c r="RO3138" s="37"/>
      <c r="RP3138" s="37"/>
      <c r="RQ3138" s="37"/>
      <c r="RR3138" s="37"/>
      <c r="RS3138" s="37"/>
      <c r="RT3138" s="37"/>
      <c r="RU3138" s="37"/>
      <c r="RV3138" s="37"/>
      <c r="RW3138" s="37"/>
      <c r="RX3138" s="37"/>
      <c r="RY3138" s="37"/>
      <c r="RZ3138" s="37"/>
      <c r="SA3138" s="37"/>
      <c r="SB3138" s="37"/>
      <c r="SC3138" s="37"/>
      <c r="SD3138" s="37"/>
      <c r="SE3138" s="37"/>
      <c r="SF3138" s="37"/>
    </row>
    <row r="3139" spans="1:500">
      <c r="A3139" s="37"/>
      <c r="B3139" s="37"/>
      <c r="C3139" s="37"/>
      <c r="D3139" s="37"/>
      <c r="E3139" s="37"/>
      <c r="F3139" s="37"/>
      <c r="G3139" s="37"/>
      <c r="H3139" s="37"/>
      <c r="I3139" s="37"/>
      <c r="J3139" s="37"/>
      <c r="K3139" s="37"/>
      <c r="L3139" s="37"/>
      <c r="M3139" s="37"/>
      <c r="N3139" s="37"/>
      <c r="O3139" s="37"/>
      <c r="P3139" s="37"/>
      <c r="Q3139" s="37"/>
      <c r="R3139" s="37"/>
      <c r="S3139" s="37"/>
      <c r="T3139" s="37"/>
      <c r="U3139" s="37"/>
      <c r="V3139" s="37"/>
      <c r="W3139" s="37"/>
      <c r="X3139" s="37"/>
      <c r="Y3139" s="37"/>
      <c r="Z3139" s="37"/>
      <c r="AA3139" s="37"/>
      <c r="AB3139" s="37"/>
      <c r="AC3139" s="37"/>
      <c r="AD3139" s="37"/>
      <c r="AE3139" s="37"/>
      <c r="AF3139" s="37"/>
      <c r="AG3139" s="37"/>
      <c r="AH3139" s="37"/>
      <c r="AI3139" s="37"/>
      <c r="AJ3139" s="37"/>
      <c r="AK3139" s="37"/>
      <c r="AL3139" s="37"/>
      <c r="AM3139" s="37"/>
      <c r="AN3139" s="37"/>
      <c r="AO3139" s="37"/>
      <c r="AP3139" s="37"/>
      <c r="AQ3139" s="37"/>
      <c r="AR3139" s="37"/>
      <c r="AS3139" s="37"/>
      <c r="AT3139" s="37"/>
      <c r="AU3139" s="37"/>
      <c r="AV3139" s="37"/>
      <c r="AW3139" s="37"/>
      <c r="AX3139" s="37"/>
      <c r="AY3139" s="37"/>
      <c r="AZ3139" s="37"/>
      <c r="BA3139" s="37"/>
      <c r="BB3139" s="37"/>
      <c r="BC3139" s="37"/>
      <c r="BD3139" s="37"/>
      <c r="BE3139" s="37"/>
      <c r="BF3139" s="37"/>
      <c r="BG3139" s="37"/>
      <c r="BH3139" s="37"/>
      <c r="BI3139" s="37"/>
      <c r="BJ3139" s="37"/>
      <c r="BK3139" s="37"/>
      <c r="BL3139" s="37"/>
      <c r="BM3139" s="37"/>
      <c r="BN3139" s="37"/>
      <c r="BO3139" s="37"/>
      <c r="BP3139" s="37"/>
      <c r="BQ3139" s="37"/>
      <c r="BR3139" s="37"/>
      <c r="BS3139" s="37"/>
      <c r="BT3139" s="37"/>
      <c r="BU3139" s="37"/>
      <c r="BV3139" s="37"/>
      <c r="BW3139" s="37"/>
      <c r="BX3139" s="37"/>
      <c r="BY3139" s="37"/>
      <c r="BZ3139" s="37"/>
      <c r="CA3139" s="37"/>
      <c r="CB3139" s="37"/>
      <c r="CC3139" s="37"/>
      <c r="CD3139" s="37"/>
      <c r="CE3139" s="37"/>
      <c r="CF3139" s="37"/>
      <c r="CG3139" s="37"/>
      <c r="CH3139" s="37"/>
      <c r="CI3139" s="37"/>
      <c r="CJ3139" s="37"/>
      <c r="CK3139" s="37"/>
      <c r="CL3139" s="37"/>
      <c r="CM3139" s="37"/>
      <c r="CN3139" s="37"/>
      <c r="CO3139" s="37"/>
      <c r="CP3139" s="37"/>
      <c r="CQ3139" s="37"/>
      <c r="CR3139" s="37"/>
      <c r="CS3139" s="37"/>
      <c r="CT3139" s="37"/>
      <c r="CU3139" s="37"/>
      <c r="CV3139" s="37"/>
      <c r="CW3139" s="37"/>
      <c r="CX3139" s="37"/>
      <c r="CY3139" s="37"/>
      <c r="CZ3139" s="37"/>
      <c r="DA3139" s="37"/>
      <c r="DB3139" s="37"/>
      <c r="DC3139" s="37"/>
      <c r="DD3139" s="37"/>
      <c r="DE3139" s="37"/>
      <c r="DF3139" s="37"/>
      <c r="DG3139" s="37"/>
      <c r="DH3139" s="37"/>
      <c r="DI3139" s="37"/>
      <c r="DJ3139" s="37"/>
      <c r="DK3139" s="37"/>
      <c r="DL3139" s="37"/>
      <c r="DM3139" s="37"/>
      <c r="DN3139" s="37"/>
      <c r="DO3139" s="37"/>
      <c r="DP3139" s="37"/>
      <c r="DQ3139" s="37"/>
      <c r="DR3139" s="37"/>
      <c r="DS3139" s="37"/>
      <c r="DT3139" s="37"/>
      <c r="DU3139" s="37"/>
      <c r="DV3139" s="37"/>
      <c r="DW3139" s="37"/>
      <c r="DX3139" s="37"/>
      <c r="DY3139" s="37"/>
      <c r="DZ3139" s="37"/>
      <c r="EA3139" s="37"/>
      <c r="EB3139" s="37"/>
      <c r="EC3139" s="37"/>
      <c r="ED3139" s="37"/>
      <c r="EE3139" s="37"/>
      <c r="EF3139" s="37"/>
      <c r="EG3139" s="37"/>
      <c r="EH3139" s="37"/>
      <c r="EI3139" s="37"/>
      <c r="EJ3139" s="37"/>
      <c r="EK3139" s="37"/>
      <c r="EL3139" s="37"/>
      <c r="EM3139" s="37"/>
      <c r="EN3139" s="37"/>
      <c r="EO3139" s="37"/>
      <c r="EP3139" s="37"/>
      <c r="EQ3139" s="37"/>
      <c r="ER3139" s="37"/>
      <c r="ES3139" s="37"/>
      <c r="ET3139" s="37"/>
      <c r="EU3139" s="37"/>
      <c r="EV3139" s="37"/>
      <c r="EW3139" s="37"/>
      <c r="EX3139" s="37"/>
      <c r="EY3139" s="37"/>
      <c r="EZ3139" s="37"/>
      <c r="FA3139" s="37"/>
      <c r="FB3139" s="37"/>
      <c r="FC3139" s="37"/>
      <c r="FD3139" s="37"/>
      <c r="FE3139" s="37"/>
      <c r="FF3139" s="37"/>
      <c r="FG3139" s="37"/>
      <c r="FH3139" s="37"/>
      <c r="FI3139" s="37"/>
      <c r="FJ3139" s="37"/>
      <c r="FK3139" s="37"/>
      <c r="FL3139" s="37"/>
      <c r="FM3139" s="37"/>
      <c r="FN3139" s="37"/>
      <c r="FO3139" s="37"/>
      <c r="FP3139" s="37"/>
      <c r="FQ3139" s="37"/>
      <c r="FR3139" s="37"/>
      <c r="FS3139" s="37"/>
      <c r="FT3139" s="37"/>
      <c r="FU3139" s="37"/>
      <c r="FV3139" s="37"/>
      <c r="FW3139" s="37"/>
      <c r="FX3139" s="37"/>
      <c r="FY3139" s="37"/>
      <c r="FZ3139" s="37"/>
      <c r="GA3139" s="37"/>
      <c r="GB3139" s="37"/>
      <c r="GC3139" s="37"/>
      <c r="GD3139" s="37"/>
      <c r="GE3139" s="37"/>
      <c r="GF3139" s="37"/>
      <c r="GG3139" s="37"/>
      <c r="GH3139" s="37"/>
      <c r="GI3139" s="37"/>
      <c r="GJ3139" s="37"/>
      <c r="GK3139" s="37"/>
      <c r="GL3139" s="37"/>
      <c r="GM3139" s="37"/>
      <c r="GN3139" s="37"/>
      <c r="GO3139" s="37"/>
      <c r="GP3139" s="37"/>
      <c r="GQ3139" s="37"/>
      <c r="GR3139" s="37"/>
      <c r="GS3139" s="37"/>
      <c r="GT3139" s="37"/>
      <c r="GU3139" s="37"/>
      <c r="GV3139" s="37"/>
      <c r="GW3139" s="37"/>
      <c r="GX3139" s="37"/>
      <c r="GY3139" s="37"/>
      <c r="GZ3139" s="37"/>
      <c r="HA3139" s="37"/>
      <c r="HB3139" s="37"/>
      <c r="HC3139" s="37"/>
      <c r="HD3139" s="37"/>
      <c r="HE3139" s="37"/>
      <c r="HF3139" s="37"/>
      <c r="HG3139" s="37"/>
      <c r="HH3139" s="37"/>
      <c r="HI3139" s="37"/>
      <c r="HJ3139" s="37"/>
      <c r="HK3139" s="37"/>
      <c r="HL3139" s="37"/>
      <c r="HM3139" s="37"/>
      <c r="HN3139" s="37"/>
      <c r="HO3139" s="37"/>
      <c r="HP3139" s="37"/>
      <c r="HQ3139" s="37"/>
      <c r="HR3139" s="37"/>
      <c r="HS3139" s="37"/>
      <c r="HT3139" s="37"/>
      <c r="HU3139" s="37"/>
      <c r="HV3139" s="37"/>
      <c r="HW3139" s="37"/>
      <c r="HX3139" s="37"/>
      <c r="HY3139" s="37"/>
      <c r="HZ3139" s="37"/>
      <c r="IA3139" s="37"/>
      <c r="IB3139" s="37"/>
      <c r="IC3139" s="37"/>
      <c r="ID3139" s="37"/>
      <c r="IE3139" s="37"/>
      <c r="IF3139" s="37"/>
      <c r="IG3139" s="37"/>
      <c r="IH3139" s="37"/>
      <c r="II3139" s="37"/>
      <c r="IJ3139" s="37"/>
      <c r="IK3139" s="37"/>
      <c r="IL3139" s="37"/>
      <c r="IM3139" s="37"/>
      <c r="IN3139" s="37"/>
      <c r="IO3139" s="37"/>
      <c r="IP3139" s="37"/>
      <c r="IQ3139" s="37"/>
      <c r="IR3139" s="37"/>
      <c r="IS3139" s="37"/>
      <c r="IT3139" s="37"/>
      <c r="IU3139" s="37"/>
      <c r="IV3139" s="37"/>
      <c r="IW3139" s="37"/>
      <c r="IX3139" s="37"/>
      <c r="IY3139" s="37"/>
      <c r="IZ3139" s="37"/>
      <c r="JA3139" s="37"/>
      <c r="JB3139" s="37"/>
      <c r="JC3139" s="37"/>
      <c r="JD3139" s="37"/>
      <c r="JE3139" s="37"/>
      <c r="JF3139" s="37"/>
      <c r="JG3139" s="37"/>
      <c r="JH3139" s="37"/>
      <c r="JI3139" s="37"/>
      <c r="JJ3139" s="37"/>
      <c r="JK3139" s="37"/>
      <c r="JL3139" s="37"/>
      <c r="JM3139" s="37"/>
      <c r="JN3139" s="37"/>
      <c r="JO3139" s="37"/>
      <c r="JP3139" s="37"/>
      <c r="JQ3139" s="37"/>
      <c r="JR3139" s="37"/>
      <c r="JS3139" s="37"/>
      <c r="JT3139" s="37"/>
      <c r="JU3139" s="37"/>
      <c r="JV3139" s="37"/>
      <c r="JW3139" s="37"/>
      <c r="JX3139" s="37"/>
      <c r="JY3139" s="37"/>
      <c r="JZ3139" s="37"/>
      <c r="KA3139" s="37"/>
      <c r="KB3139" s="37"/>
      <c r="KC3139" s="37"/>
      <c r="KD3139" s="37"/>
      <c r="KE3139" s="37"/>
      <c r="KF3139" s="37"/>
      <c r="KG3139" s="37"/>
      <c r="KH3139" s="37"/>
      <c r="KI3139" s="37"/>
      <c r="KJ3139" s="37"/>
      <c r="KK3139" s="37"/>
      <c r="KL3139" s="37"/>
      <c r="KM3139" s="37"/>
      <c r="KN3139" s="37"/>
      <c r="KO3139" s="37"/>
      <c r="KP3139" s="37"/>
      <c r="KQ3139" s="37"/>
      <c r="KR3139" s="37"/>
      <c r="KS3139" s="37"/>
      <c r="KT3139" s="37"/>
      <c r="KU3139" s="37"/>
      <c r="KV3139" s="37"/>
      <c r="KW3139" s="37"/>
      <c r="KX3139" s="37"/>
      <c r="KY3139" s="37"/>
      <c r="KZ3139" s="37"/>
      <c r="LA3139" s="37"/>
      <c r="LB3139" s="37"/>
      <c r="LC3139" s="37"/>
      <c r="LD3139" s="37"/>
      <c r="LE3139" s="37"/>
      <c r="LF3139" s="37"/>
      <c r="LG3139" s="37"/>
      <c r="LH3139" s="37"/>
      <c r="LI3139" s="37"/>
      <c r="LJ3139" s="37"/>
      <c r="LK3139" s="37"/>
      <c r="LL3139" s="37"/>
      <c r="LM3139" s="37"/>
      <c r="LN3139" s="37"/>
      <c r="LO3139" s="37"/>
      <c r="LP3139" s="37"/>
      <c r="LQ3139" s="37"/>
      <c r="LR3139" s="37"/>
      <c r="LS3139" s="37"/>
      <c r="LT3139" s="37"/>
      <c r="LU3139" s="37"/>
      <c r="LV3139" s="37"/>
      <c r="LW3139" s="37"/>
      <c r="LX3139" s="37"/>
      <c r="LY3139" s="37"/>
      <c r="LZ3139" s="37"/>
      <c r="MA3139" s="37"/>
      <c r="MB3139" s="37"/>
      <c r="MC3139" s="37"/>
      <c r="MD3139" s="37"/>
      <c r="ME3139" s="37"/>
      <c r="MF3139" s="37"/>
      <c r="MG3139" s="37"/>
      <c r="MH3139" s="37"/>
      <c r="MI3139" s="37"/>
      <c r="MJ3139" s="37"/>
      <c r="MK3139" s="37"/>
      <c r="ML3139" s="37"/>
      <c r="MM3139" s="37"/>
      <c r="MN3139" s="37"/>
      <c r="MO3139" s="37"/>
      <c r="MP3139" s="37"/>
      <c r="MQ3139" s="37"/>
      <c r="MR3139" s="37"/>
      <c r="MS3139" s="37"/>
      <c r="MT3139" s="37"/>
      <c r="MU3139" s="37"/>
      <c r="MV3139" s="37"/>
      <c r="MW3139" s="37"/>
      <c r="MX3139" s="37"/>
      <c r="MY3139" s="37"/>
      <c r="MZ3139" s="37"/>
      <c r="NA3139" s="37"/>
      <c r="NB3139" s="37"/>
      <c r="NC3139" s="37"/>
      <c r="ND3139" s="37"/>
      <c r="NE3139" s="37"/>
      <c r="NF3139" s="37"/>
      <c r="NG3139" s="37"/>
      <c r="NH3139" s="37"/>
      <c r="NI3139" s="37"/>
      <c r="NJ3139" s="37"/>
      <c r="NK3139" s="37"/>
      <c r="NL3139" s="37"/>
      <c r="NM3139" s="37"/>
      <c r="NN3139" s="37"/>
      <c r="NO3139" s="37"/>
      <c r="NP3139" s="37"/>
      <c r="NQ3139" s="37"/>
      <c r="NR3139" s="37"/>
      <c r="NS3139" s="37"/>
      <c r="NT3139" s="37"/>
      <c r="NU3139" s="37"/>
      <c r="NV3139" s="37"/>
      <c r="NW3139" s="37"/>
      <c r="NX3139" s="37"/>
      <c r="NY3139" s="37"/>
      <c r="NZ3139" s="37"/>
      <c r="OA3139" s="37"/>
      <c r="OB3139" s="37"/>
      <c r="OC3139" s="37"/>
      <c r="OD3139" s="37"/>
      <c r="OE3139" s="37"/>
      <c r="OF3139" s="37"/>
      <c r="OG3139" s="37"/>
      <c r="OH3139" s="37"/>
      <c r="OI3139" s="37"/>
      <c r="OJ3139" s="37"/>
      <c r="OK3139" s="37"/>
      <c r="OL3139" s="37"/>
      <c r="OM3139" s="37"/>
      <c r="ON3139" s="37"/>
      <c r="OO3139" s="37"/>
      <c r="OP3139" s="37"/>
      <c r="OQ3139" s="37"/>
      <c r="OR3139" s="37"/>
      <c r="OS3139" s="37"/>
      <c r="OT3139" s="37"/>
      <c r="OU3139" s="37"/>
      <c r="OV3139" s="37"/>
      <c r="OW3139" s="37"/>
      <c r="OX3139" s="37"/>
      <c r="OY3139" s="37"/>
      <c r="OZ3139" s="37"/>
      <c r="PA3139" s="37"/>
      <c r="PB3139" s="37"/>
      <c r="PC3139" s="37"/>
      <c r="PD3139" s="37"/>
      <c r="PE3139" s="37"/>
      <c r="PF3139" s="37"/>
      <c r="PG3139" s="37"/>
      <c r="PH3139" s="37"/>
      <c r="PI3139" s="37"/>
      <c r="PJ3139" s="37"/>
      <c r="PK3139" s="37"/>
      <c r="PL3139" s="37"/>
      <c r="PM3139" s="37"/>
      <c r="PN3139" s="37"/>
      <c r="PO3139" s="37"/>
      <c r="PP3139" s="37"/>
      <c r="PQ3139" s="37"/>
      <c r="PR3139" s="37"/>
      <c r="PS3139" s="37"/>
      <c r="PT3139" s="37"/>
      <c r="PU3139" s="37"/>
      <c r="PV3139" s="37"/>
      <c r="PW3139" s="37"/>
      <c r="PX3139" s="37"/>
      <c r="PY3139" s="37"/>
      <c r="PZ3139" s="37"/>
      <c r="QA3139" s="37"/>
      <c r="QB3139" s="37"/>
      <c r="QC3139" s="37"/>
      <c r="QD3139" s="37"/>
      <c r="QE3139" s="37"/>
      <c r="QF3139" s="37"/>
      <c r="QG3139" s="37"/>
      <c r="QH3139" s="37"/>
      <c r="QI3139" s="37"/>
      <c r="QJ3139" s="37"/>
      <c r="QK3139" s="37"/>
      <c r="QL3139" s="37"/>
      <c r="QM3139" s="37"/>
      <c r="QN3139" s="37"/>
      <c r="QO3139" s="37"/>
      <c r="QP3139" s="37"/>
      <c r="QQ3139" s="37"/>
      <c r="QR3139" s="37"/>
      <c r="QS3139" s="37"/>
      <c r="QT3139" s="37"/>
      <c r="QU3139" s="37"/>
      <c r="QV3139" s="37"/>
      <c r="QW3139" s="37"/>
      <c r="QX3139" s="37"/>
      <c r="QY3139" s="37"/>
      <c r="QZ3139" s="37"/>
      <c r="RA3139" s="37"/>
      <c r="RB3139" s="37"/>
      <c r="RC3139" s="37"/>
      <c r="RD3139" s="37"/>
      <c r="RE3139" s="37"/>
      <c r="RF3139" s="37"/>
      <c r="RG3139" s="37"/>
      <c r="RH3139" s="37"/>
      <c r="RI3139" s="37"/>
      <c r="RJ3139" s="37"/>
      <c r="RK3139" s="37"/>
      <c r="RL3139" s="37"/>
      <c r="RM3139" s="37"/>
      <c r="RN3139" s="37"/>
      <c r="RO3139" s="37"/>
      <c r="RP3139" s="37"/>
      <c r="RQ3139" s="37"/>
      <c r="RR3139" s="37"/>
      <c r="RS3139" s="37"/>
      <c r="RT3139" s="37"/>
      <c r="RU3139" s="37"/>
      <c r="RV3139" s="37"/>
      <c r="RW3139" s="37"/>
      <c r="RX3139" s="37"/>
      <c r="RY3139" s="37"/>
      <c r="RZ3139" s="37"/>
      <c r="SA3139" s="37"/>
      <c r="SB3139" s="37"/>
      <c r="SC3139" s="37"/>
      <c r="SD3139" s="37"/>
      <c r="SE3139" s="37"/>
      <c r="SF3139" s="37"/>
    </row>
    <row r="3140" spans="1:500">
      <c r="A3140" s="37"/>
      <c r="B3140" s="37"/>
      <c r="C3140" s="37"/>
      <c r="D3140" s="37"/>
      <c r="E3140" s="37"/>
      <c r="F3140" s="37"/>
      <c r="G3140" s="37"/>
      <c r="H3140" s="37"/>
      <c r="I3140" s="37"/>
      <c r="J3140" s="37"/>
      <c r="K3140" s="37"/>
      <c r="L3140" s="37"/>
      <c r="M3140" s="37"/>
      <c r="N3140" s="37"/>
      <c r="O3140" s="37"/>
      <c r="P3140" s="37"/>
      <c r="Q3140" s="37"/>
      <c r="R3140" s="37"/>
      <c r="S3140" s="37"/>
      <c r="T3140" s="37"/>
      <c r="U3140" s="37"/>
      <c r="V3140" s="37"/>
      <c r="W3140" s="37"/>
      <c r="X3140" s="37"/>
      <c r="Y3140" s="37"/>
      <c r="Z3140" s="37"/>
      <c r="AA3140" s="37"/>
      <c r="AB3140" s="37"/>
      <c r="AC3140" s="37"/>
      <c r="AD3140" s="37"/>
      <c r="AE3140" s="37"/>
      <c r="AF3140" s="37"/>
      <c r="AG3140" s="37"/>
      <c r="AH3140" s="37"/>
      <c r="AI3140" s="37"/>
      <c r="AJ3140" s="37"/>
      <c r="AK3140" s="37"/>
      <c r="AL3140" s="37"/>
      <c r="AM3140" s="37"/>
      <c r="AN3140" s="37"/>
      <c r="AO3140" s="37"/>
      <c r="AP3140" s="37"/>
      <c r="AQ3140" s="37"/>
      <c r="AR3140" s="37"/>
      <c r="AS3140" s="37"/>
      <c r="AT3140" s="37"/>
      <c r="AU3140" s="37"/>
      <c r="AV3140" s="37"/>
      <c r="AW3140" s="37"/>
      <c r="AX3140" s="37"/>
      <c r="AY3140" s="37"/>
      <c r="AZ3140" s="37"/>
      <c r="BA3140" s="37"/>
      <c r="BB3140" s="37"/>
      <c r="BC3140" s="37"/>
      <c r="BD3140" s="37"/>
      <c r="BE3140" s="37"/>
      <c r="BF3140" s="37"/>
      <c r="BG3140" s="37"/>
      <c r="BH3140" s="37"/>
      <c r="BI3140" s="37"/>
      <c r="BJ3140" s="37"/>
      <c r="BK3140" s="37"/>
      <c r="BL3140" s="37"/>
      <c r="BM3140" s="37"/>
      <c r="BN3140" s="37"/>
      <c r="BO3140" s="37"/>
      <c r="BP3140" s="37"/>
      <c r="BQ3140" s="37"/>
      <c r="BR3140" s="37"/>
      <c r="BS3140" s="37"/>
      <c r="BT3140" s="37"/>
      <c r="BU3140" s="37"/>
      <c r="BV3140" s="37"/>
      <c r="BW3140" s="37"/>
      <c r="BX3140" s="37"/>
      <c r="BY3140" s="37"/>
      <c r="BZ3140" s="37"/>
      <c r="CA3140" s="37"/>
      <c r="CB3140" s="37"/>
      <c r="CC3140" s="37"/>
      <c r="CD3140" s="37"/>
      <c r="CE3140" s="37"/>
      <c r="CF3140" s="37"/>
      <c r="CG3140" s="37"/>
      <c r="CH3140" s="37"/>
      <c r="CI3140" s="37"/>
      <c r="CJ3140" s="37"/>
      <c r="CK3140" s="37"/>
      <c r="CL3140" s="37"/>
      <c r="CM3140" s="37"/>
      <c r="CN3140" s="37"/>
      <c r="CO3140" s="37"/>
      <c r="CP3140" s="37"/>
      <c r="CQ3140" s="37"/>
      <c r="CR3140" s="37"/>
      <c r="CS3140" s="37"/>
      <c r="CT3140" s="37"/>
      <c r="CU3140" s="37"/>
      <c r="CV3140" s="37"/>
      <c r="CW3140" s="37"/>
      <c r="CX3140" s="37"/>
      <c r="CY3140" s="37"/>
      <c r="CZ3140" s="37"/>
      <c r="DA3140" s="37"/>
      <c r="DB3140" s="37"/>
      <c r="DC3140" s="37"/>
      <c r="DD3140" s="37"/>
      <c r="DE3140" s="37"/>
      <c r="DF3140" s="37"/>
      <c r="DG3140" s="37"/>
      <c r="DH3140" s="37"/>
      <c r="DI3140" s="37"/>
      <c r="DJ3140" s="37"/>
      <c r="DK3140" s="37"/>
      <c r="DL3140" s="37"/>
      <c r="DM3140" s="37"/>
      <c r="DN3140" s="37"/>
      <c r="DO3140" s="37"/>
      <c r="DP3140" s="37"/>
      <c r="DQ3140" s="37"/>
      <c r="DR3140" s="37"/>
      <c r="DS3140" s="37"/>
      <c r="DT3140" s="37"/>
      <c r="DU3140" s="37"/>
      <c r="DV3140" s="37"/>
      <c r="DW3140" s="37"/>
      <c r="DX3140" s="37"/>
      <c r="DY3140" s="37"/>
      <c r="DZ3140" s="37"/>
      <c r="EA3140" s="37"/>
      <c r="EB3140" s="37"/>
      <c r="EC3140" s="37"/>
      <c r="ED3140" s="37"/>
      <c r="EE3140" s="37"/>
      <c r="EF3140" s="37"/>
      <c r="EG3140" s="37"/>
      <c r="EH3140" s="37"/>
      <c r="EI3140" s="37"/>
      <c r="EJ3140" s="37"/>
      <c r="EK3140" s="37"/>
      <c r="EL3140" s="37"/>
      <c r="EM3140" s="37"/>
      <c r="EN3140" s="37"/>
      <c r="EO3140" s="37"/>
      <c r="EP3140" s="37"/>
      <c r="EQ3140" s="37"/>
      <c r="ER3140" s="37"/>
      <c r="ES3140" s="37"/>
      <c r="ET3140" s="37"/>
      <c r="EU3140" s="37"/>
      <c r="EV3140" s="37"/>
      <c r="EW3140" s="37"/>
      <c r="EX3140" s="37"/>
      <c r="EY3140" s="37"/>
      <c r="EZ3140" s="37"/>
      <c r="FA3140" s="37"/>
      <c r="FB3140" s="37"/>
      <c r="FC3140" s="37"/>
      <c r="FD3140" s="37"/>
      <c r="FE3140" s="37"/>
      <c r="FF3140" s="37"/>
      <c r="FG3140" s="37"/>
      <c r="FH3140" s="37"/>
      <c r="FI3140" s="37"/>
      <c r="FJ3140" s="37"/>
      <c r="FK3140" s="37"/>
      <c r="FL3140" s="37"/>
      <c r="FM3140" s="37"/>
      <c r="FN3140" s="37"/>
      <c r="FO3140" s="37"/>
      <c r="FP3140" s="37"/>
      <c r="FQ3140" s="37"/>
      <c r="FR3140" s="37"/>
      <c r="FS3140" s="37"/>
      <c r="FT3140" s="37"/>
      <c r="FU3140" s="37"/>
      <c r="FV3140" s="37"/>
      <c r="FW3140" s="37"/>
      <c r="FX3140" s="37"/>
      <c r="FY3140" s="37"/>
      <c r="FZ3140" s="37"/>
      <c r="GA3140" s="37"/>
      <c r="GB3140" s="37"/>
      <c r="GC3140" s="37"/>
      <c r="GD3140" s="37"/>
      <c r="GE3140" s="37"/>
      <c r="GF3140" s="37"/>
      <c r="GG3140" s="37"/>
      <c r="GH3140" s="37"/>
      <c r="GI3140" s="37"/>
      <c r="GJ3140" s="37"/>
      <c r="GK3140" s="37"/>
      <c r="GL3140" s="37"/>
      <c r="GM3140" s="37"/>
      <c r="GN3140" s="37"/>
      <c r="GO3140" s="37"/>
      <c r="GP3140" s="37"/>
      <c r="GQ3140" s="37"/>
      <c r="GR3140" s="37"/>
      <c r="GS3140" s="37"/>
      <c r="GT3140" s="37"/>
      <c r="GU3140" s="37"/>
      <c r="GV3140" s="37"/>
      <c r="GW3140" s="37"/>
      <c r="GX3140" s="37"/>
      <c r="GY3140" s="37"/>
      <c r="GZ3140" s="37"/>
      <c r="HA3140" s="37"/>
      <c r="HB3140" s="37"/>
      <c r="HC3140" s="37"/>
      <c r="HD3140" s="37"/>
      <c r="HE3140" s="37"/>
      <c r="HF3140" s="37"/>
      <c r="HG3140" s="37"/>
      <c r="HH3140" s="37"/>
      <c r="HI3140" s="37"/>
      <c r="HJ3140" s="37"/>
      <c r="HK3140" s="37"/>
      <c r="HL3140" s="37"/>
      <c r="HM3140" s="37"/>
      <c r="HN3140" s="37"/>
      <c r="HO3140" s="37"/>
      <c r="HP3140" s="37"/>
      <c r="HQ3140" s="37"/>
      <c r="HR3140" s="37"/>
      <c r="HS3140" s="37"/>
      <c r="HT3140" s="37"/>
      <c r="HU3140" s="37"/>
      <c r="HV3140" s="37"/>
      <c r="HW3140" s="37"/>
      <c r="HX3140" s="37"/>
      <c r="HY3140" s="37"/>
      <c r="HZ3140" s="37"/>
      <c r="IA3140" s="37"/>
      <c r="IB3140" s="37"/>
      <c r="IC3140" s="37"/>
      <c r="ID3140" s="37"/>
      <c r="IE3140" s="37"/>
      <c r="IF3140" s="37"/>
      <c r="IG3140" s="37"/>
      <c r="IH3140" s="37"/>
      <c r="II3140" s="37"/>
      <c r="IJ3140" s="37"/>
      <c r="IK3140" s="37"/>
      <c r="IL3140" s="37"/>
      <c r="IM3140" s="37"/>
      <c r="IN3140" s="37"/>
      <c r="IO3140" s="37"/>
      <c r="IP3140" s="37"/>
      <c r="IQ3140" s="37"/>
      <c r="IR3140" s="37"/>
      <c r="IS3140" s="37"/>
      <c r="IT3140" s="37"/>
      <c r="IU3140" s="37"/>
      <c r="IV3140" s="37"/>
      <c r="IW3140" s="37"/>
      <c r="IX3140" s="37"/>
      <c r="IY3140" s="37"/>
      <c r="IZ3140" s="37"/>
      <c r="JA3140" s="37"/>
      <c r="JB3140" s="37"/>
      <c r="JC3140" s="37"/>
      <c r="JD3140" s="37"/>
      <c r="JE3140" s="37"/>
      <c r="JF3140" s="37"/>
      <c r="JG3140" s="37"/>
      <c r="JH3140" s="37"/>
      <c r="JI3140" s="37"/>
      <c r="JJ3140" s="37"/>
      <c r="JK3140" s="37"/>
      <c r="JL3140" s="37"/>
      <c r="JM3140" s="37"/>
      <c r="JN3140" s="37"/>
      <c r="JO3140" s="37"/>
      <c r="JP3140" s="37"/>
      <c r="JQ3140" s="37"/>
      <c r="JR3140" s="37"/>
      <c r="JS3140" s="37"/>
      <c r="JT3140" s="37"/>
      <c r="JU3140" s="37"/>
      <c r="JV3140" s="37"/>
      <c r="JW3140" s="37"/>
      <c r="JX3140" s="37"/>
      <c r="JY3140" s="37"/>
      <c r="JZ3140" s="37"/>
      <c r="KA3140" s="37"/>
      <c r="KB3140" s="37"/>
      <c r="KC3140" s="37"/>
      <c r="KD3140" s="37"/>
      <c r="KE3140" s="37"/>
      <c r="KF3140" s="37"/>
      <c r="KG3140" s="37"/>
      <c r="KH3140" s="37"/>
      <c r="KI3140" s="37"/>
      <c r="KJ3140" s="37"/>
      <c r="KK3140" s="37"/>
      <c r="KL3140" s="37"/>
      <c r="KM3140" s="37"/>
      <c r="KN3140" s="37"/>
      <c r="KO3140" s="37"/>
      <c r="KP3140" s="37"/>
      <c r="KQ3140" s="37"/>
      <c r="KR3140" s="37"/>
      <c r="KS3140" s="37"/>
      <c r="KT3140" s="37"/>
      <c r="KU3140" s="37"/>
      <c r="KV3140" s="37"/>
      <c r="KW3140" s="37"/>
      <c r="KX3140" s="37"/>
      <c r="KY3140" s="37"/>
      <c r="KZ3140" s="37"/>
      <c r="LA3140" s="37"/>
      <c r="LB3140" s="37"/>
      <c r="LC3140" s="37"/>
      <c r="LD3140" s="37"/>
      <c r="LE3140" s="37"/>
      <c r="LF3140" s="37"/>
      <c r="LG3140" s="37"/>
      <c r="LH3140" s="37"/>
      <c r="LI3140" s="37"/>
      <c r="LJ3140" s="37"/>
      <c r="LK3140" s="37"/>
      <c r="LL3140" s="37"/>
      <c r="LM3140" s="37"/>
      <c r="LN3140" s="37"/>
      <c r="LO3140" s="37"/>
      <c r="LP3140" s="37"/>
      <c r="LQ3140" s="37"/>
      <c r="LR3140" s="37"/>
      <c r="LS3140" s="37"/>
      <c r="LT3140" s="37"/>
      <c r="LU3140" s="37"/>
      <c r="LV3140" s="37"/>
      <c r="LW3140" s="37"/>
      <c r="LX3140" s="37"/>
      <c r="LY3140" s="37"/>
      <c r="LZ3140" s="37"/>
      <c r="MA3140" s="37"/>
      <c r="MB3140" s="37"/>
      <c r="MC3140" s="37"/>
      <c r="MD3140" s="37"/>
      <c r="ME3140" s="37"/>
      <c r="MF3140" s="37"/>
      <c r="MG3140" s="37"/>
      <c r="MH3140" s="37"/>
      <c r="MI3140" s="37"/>
      <c r="MJ3140" s="37"/>
      <c r="MK3140" s="37"/>
      <c r="ML3140" s="37"/>
      <c r="MM3140" s="37"/>
      <c r="MN3140" s="37"/>
      <c r="MO3140" s="37"/>
      <c r="MP3140" s="37"/>
      <c r="MQ3140" s="37"/>
      <c r="MR3140" s="37"/>
      <c r="MS3140" s="37"/>
      <c r="MT3140" s="37"/>
      <c r="MU3140" s="37"/>
      <c r="MV3140" s="37"/>
      <c r="MW3140" s="37"/>
      <c r="MX3140" s="37"/>
      <c r="MY3140" s="37"/>
      <c r="MZ3140" s="37"/>
      <c r="NA3140" s="37"/>
      <c r="NB3140" s="37"/>
      <c r="NC3140" s="37"/>
      <c r="ND3140" s="37"/>
      <c r="NE3140" s="37"/>
      <c r="NF3140" s="37"/>
      <c r="NG3140" s="37"/>
      <c r="NH3140" s="37"/>
      <c r="NI3140" s="37"/>
      <c r="NJ3140" s="37"/>
      <c r="NK3140" s="37"/>
      <c r="NL3140" s="37"/>
      <c r="NM3140" s="37"/>
      <c r="NN3140" s="37"/>
      <c r="NO3140" s="37"/>
      <c r="NP3140" s="37"/>
      <c r="NQ3140" s="37"/>
      <c r="NR3140" s="37"/>
      <c r="NS3140" s="37"/>
      <c r="NT3140" s="37"/>
      <c r="NU3140" s="37"/>
      <c r="NV3140" s="37"/>
      <c r="NW3140" s="37"/>
      <c r="NX3140" s="37"/>
      <c r="NY3140" s="37"/>
      <c r="NZ3140" s="37"/>
      <c r="OA3140" s="37"/>
      <c r="OB3140" s="37"/>
      <c r="OC3140" s="37"/>
      <c r="OD3140" s="37"/>
      <c r="OE3140" s="37"/>
      <c r="OF3140" s="37"/>
      <c r="OG3140" s="37"/>
      <c r="OH3140" s="37"/>
      <c r="OI3140" s="37"/>
      <c r="OJ3140" s="37"/>
      <c r="OK3140" s="37"/>
      <c r="OL3140" s="37"/>
      <c r="OM3140" s="37"/>
      <c r="ON3140" s="37"/>
      <c r="OO3140" s="37"/>
      <c r="OP3140" s="37"/>
      <c r="OQ3140" s="37"/>
      <c r="OR3140" s="37"/>
      <c r="OS3140" s="37"/>
      <c r="OT3140" s="37"/>
      <c r="OU3140" s="37"/>
      <c r="OV3140" s="37"/>
      <c r="OW3140" s="37"/>
      <c r="OX3140" s="37"/>
      <c r="OY3140" s="37"/>
      <c r="OZ3140" s="37"/>
      <c r="PA3140" s="37"/>
      <c r="PB3140" s="37"/>
      <c r="PC3140" s="37"/>
      <c r="PD3140" s="37"/>
      <c r="PE3140" s="37"/>
      <c r="PF3140" s="37"/>
      <c r="PG3140" s="37"/>
      <c r="PH3140" s="37"/>
      <c r="PI3140" s="37"/>
      <c r="PJ3140" s="37"/>
      <c r="PK3140" s="37"/>
      <c r="PL3140" s="37"/>
      <c r="PM3140" s="37"/>
      <c r="PN3140" s="37"/>
      <c r="PO3140" s="37"/>
      <c r="PP3140" s="37"/>
      <c r="PQ3140" s="37"/>
      <c r="PR3140" s="37"/>
      <c r="PS3140" s="37"/>
      <c r="PT3140" s="37"/>
      <c r="PU3140" s="37"/>
      <c r="PV3140" s="37"/>
      <c r="PW3140" s="37"/>
      <c r="PX3140" s="37"/>
      <c r="PY3140" s="37"/>
      <c r="PZ3140" s="37"/>
      <c r="QA3140" s="37"/>
      <c r="QB3140" s="37"/>
      <c r="QC3140" s="37"/>
      <c r="QD3140" s="37"/>
      <c r="QE3140" s="37"/>
      <c r="QF3140" s="37"/>
      <c r="QG3140" s="37"/>
      <c r="QH3140" s="37"/>
      <c r="QI3140" s="37"/>
      <c r="QJ3140" s="37"/>
      <c r="QK3140" s="37"/>
      <c r="QL3140" s="37"/>
      <c r="QM3140" s="37"/>
      <c r="QN3140" s="37"/>
      <c r="QO3140" s="37"/>
      <c r="QP3140" s="37"/>
      <c r="QQ3140" s="37"/>
      <c r="QR3140" s="37"/>
      <c r="QS3140" s="37"/>
      <c r="QT3140" s="37"/>
      <c r="QU3140" s="37"/>
      <c r="QV3140" s="37"/>
      <c r="QW3140" s="37"/>
      <c r="QX3140" s="37"/>
      <c r="QY3140" s="37"/>
      <c r="QZ3140" s="37"/>
      <c r="RA3140" s="37"/>
      <c r="RB3140" s="37"/>
      <c r="RC3140" s="37"/>
      <c r="RD3140" s="37"/>
      <c r="RE3140" s="37"/>
      <c r="RF3140" s="37"/>
      <c r="RG3140" s="37"/>
      <c r="RH3140" s="37"/>
      <c r="RI3140" s="37"/>
      <c r="RJ3140" s="37"/>
      <c r="RK3140" s="37"/>
      <c r="RL3140" s="37"/>
      <c r="RM3140" s="37"/>
      <c r="RN3140" s="37"/>
      <c r="RO3140" s="37"/>
      <c r="RP3140" s="37"/>
      <c r="RQ3140" s="37"/>
      <c r="RR3140" s="37"/>
      <c r="RS3140" s="37"/>
      <c r="RT3140" s="37"/>
      <c r="RU3140" s="37"/>
      <c r="RV3140" s="37"/>
      <c r="RW3140" s="37"/>
      <c r="RX3140" s="37"/>
      <c r="RY3140" s="37"/>
      <c r="RZ3140" s="37"/>
      <c r="SA3140" s="37"/>
      <c r="SB3140" s="37"/>
      <c r="SC3140" s="37"/>
      <c r="SD3140" s="37"/>
      <c r="SE3140" s="37"/>
      <c r="SF3140" s="37"/>
    </row>
    <row r="3141" spans="1:500">
      <c r="A3141" s="37"/>
      <c r="B3141" s="37"/>
      <c r="C3141" s="37"/>
      <c r="D3141" s="37"/>
      <c r="E3141" s="37"/>
      <c r="F3141" s="37"/>
      <c r="G3141" s="37"/>
      <c r="H3141" s="37"/>
      <c r="I3141" s="37"/>
      <c r="J3141" s="37"/>
      <c r="K3141" s="37"/>
      <c r="L3141" s="37"/>
      <c r="M3141" s="37"/>
      <c r="N3141" s="37"/>
      <c r="O3141" s="37"/>
      <c r="P3141" s="37"/>
      <c r="Q3141" s="37"/>
      <c r="R3141" s="37"/>
      <c r="S3141" s="37"/>
      <c r="T3141" s="37"/>
      <c r="U3141" s="37"/>
      <c r="V3141" s="37"/>
      <c r="W3141" s="37"/>
      <c r="X3141" s="37"/>
      <c r="Y3141" s="37"/>
      <c r="Z3141" s="37"/>
      <c r="AA3141" s="37"/>
      <c r="AB3141" s="37"/>
      <c r="AC3141" s="37"/>
      <c r="AD3141" s="37"/>
      <c r="AE3141" s="37"/>
      <c r="AF3141" s="37"/>
      <c r="AG3141" s="37"/>
      <c r="AH3141" s="37"/>
      <c r="AI3141" s="37"/>
      <c r="AJ3141" s="37"/>
      <c r="AK3141" s="37"/>
      <c r="AL3141" s="37"/>
      <c r="AM3141" s="37"/>
      <c r="AN3141" s="37"/>
      <c r="AO3141" s="37"/>
      <c r="AP3141" s="37"/>
      <c r="AQ3141" s="37"/>
      <c r="AR3141" s="37"/>
      <c r="AS3141" s="37"/>
      <c r="AT3141" s="37"/>
      <c r="AU3141" s="37"/>
      <c r="AV3141" s="37"/>
      <c r="AW3141" s="37"/>
      <c r="AX3141" s="37"/>
      <c r="AY3141" s="37"/>
      <c r="AZ3141" s="37"/>
      <c r="BA3141" s="37"/>
      <c r="BB3141" s="37"/>
      <c r="BC3141" s="37"/>
      <c r="BD3141" s="37"/>
      <c r="BE3141" s="37"/>
      <c r="BF3141" s="37"/>
      <c r="BG3141" s="37"/>
      <c r="BH3141" s="37"/>
      <c r="BI3141" s="37"/>
      <c r="BJ3141" s="37"/>
      <c r="BK3141" s="37"/>
      <c r="BL3141" s="37"/>
      <c r="BM3141" s="37"/>
      <c r="BN3141" s="37"/>
      <c r="BO3141" s="37"/>
      <c r="BP3141" s="37"/>
      <c r="BQ3141" s="37"/>
      <c r="BR3141" s="37"/>
      <c r="BS3141" s="37"/>
      <c r="BT3141" s="37"/>
      <c r="BU3141" s="37"/>
      <c r="BV3141" s="37"/>
      <c r="BW3141" s="37"/>
      <c r="BX3141" s="37"/>
      <c r="BY3141" s="37"/>
      <c r="BZ3141" s="37"/>
      <c r="CA3141" s="37"/>
      <c r="CB3141" s="37"/>
      <c r="CC3141" s="37"/>
      <c r="CD3141" s="37"/>
      <c r="CE3141" s="37"/>
      <c r="CF3141" s="37"/>
      <c r="CG3141" s="37"/>
      <c r="CH3141" s="37"/>
      <c r="CI3141" s="37"/>
      <c r="CJ3141" s="37"/>
      <c r="CK3141" s="37"/>
      <c r="CL3141" s="37"/>
      <c r="CM3141" s="37"/>
      <c r="CN3141" s="37"/>
      <c r="CO3141" s="37"/>
      <c r="CP3141" s="37"/>
      <c r="CQ3141" s="37"/>
      <c r="CR3141" s="37"/>
      <c r="CS3141" s="37"/>
      <c r="CT3141" s="37"/>
      <c r="CU3141" s="37"/>
      <c r="CV3141" s="37"/>
      <c r="CW3141" s="37"/>
      <c r="CX3141" s="37"/>
      <c r="CY3141" s="37"/>
      <c r="CZ3141" s="37"/>
      <c r="DA3141" s="37"/>
      <c r="DB3141" s="37"/>
      <c r="DC3141" s="37"/>
      <c r="DD3141" s="37"/>
      <c r="DE3141" s="37"/>
      <c r="DF3141" s="37"/>
      <c r="DG3141" s="37"/>
      <c r="DH3141" s="37"/>
      <c r="DI3141" s="37"/>
      <c r="DJ3141" s="37"/>
      <c r="DK3141" s="37"/>
      <c r="DL3141" s="37"/>
      <c r="DM3141" s="37"/>
      <c r="DN3141" s="37"/>
      <c r="DO3141" s="37"/>
      <c r="DP3141" s="37"/>
      <c r="DQ3141" s="37"/>
      <c r="DR3141" s="37"/>
      <c r="DS3141" s="37"/>
      <c r="DT3141" s="37"/>
      <c r="DU3141" s="37"/>
      <c r="DV3141" s="37"/>
      <c r="DW3141" s="37"/>
      <c r="DX3141" s="37"/>
      <c r="DY3141" s="37"/>
      <c r="DZ3141" s="37"/>
      <c r="EA3141" s="37"/>
      <c r="EB3141" s="37"/>
      <c r="EC3141" s="37"/>
      <c r="ED3141" s="37"/>
      <c r="EE3141" s="37"/>
      <c r="EF3141" s="37"/>
      <c r="EG3141" s="37"/>
      <c r="EH3141" s="37"/>
      <c r="EI3141" s="37"/>
      <c r="EJ3141" s="37"/>
      <c r="EK3141" s="37"/>
      <c r="EL3141" s="37"/>
      <c r="EM3141" s="37"/>
      <c r="EN3141" s="37"/>
      <c r="EO3141" s="37"/>
      <c r="EP3141" s="37"/>
      <c r="EQ3141" s="37"/>
      <c r="ER3141" s="37"/>
      <c r="ES3141" s="37"/>
      <c r="ET3141" s="37"/>
      <c r="EU3141" s="37"/>
      <c r="EV3141" s="37"/>
      <c r="EW3141" s="37"/>
      <c r="EX3141" s="37"/>
      <c r="EY3141" s="37"/>
      <c r="EZ3141" s="37"/>
      <c r="FA3141" s="37"/>
      <c r="FB3141" s="37"/>
      <c r="FC3141" s="37"/>
      <c r="FD3141" s="37"/>
      <c r="FE3141" s="37"/>
      <c r="FF3141" s="37"/>
      <c r="FG3141" s="37"/>
      <c r="FH3141" s="37"/>
      <c r="FI3141" s="37"/>
      <c r="FJ3141" s="37"/>
      <c r="FK3141" s="37"/>
      <c r="FL3141" s="37"/>
      <c r="FM3141" s="37"/>
      <c r="FN3141" s="37"/>
      <c r="FO3141" s="37"/>
      <c r="FP3141" s="37"/>
      <c r="FQ3141" s="37"/>
      <c r="FR3141" s="37"/>
      <c r="FS3141" s="37"/>
      <c r="FT3141" s="37"/>
      <c r="FU3141" s="37"/>
      <c r="FV3141" s="37"/>
      <c r="FW3141" s="37"/>
      <c r="FX3141" s="37"/>
      <c r="FY3141" s="37"/>
      <c r="FZ3141" s="37"/>
      <c r="GA3141" s="37"/>
      <c r="GB3141" s="37"/>
      <c r="GC3141" s="37"/>
      <c r="GD3141" s="37"/>
      <c r="GE3141" s="37"/>
      <c r="GF3141" s="37"/>
      <c r="GG3141" s="37"/>
      <c r="GH3141" s="37"/>
      <c r="GI3141" s="37"/>
      <c r="GJ3141" s="37"/>
      <c r="GK3141" s="37"/>
      <c r="GL3141" s="37"/>
      <c r="GM3141" s="37"/>
      <c r="GN3141" s="37"/>
      <c r="GO3141" s="37"/>
      <c r="GP3141" s="37"/>
      <c r="GQ3141" s="37"/>
      <c r="GR3141" s="37"/>
      <c r="GS3141" s="37"/>
      <c r="GT3141" s="37"/>
      <c r="GU3141" s="37"/>
      <c r="GV3141" s="37"/>
      <c r="GW3141" s="37"/>
      <c r="GX3141" s="37"/>
      <c r="GY3141" s="37"/>
      <c r="GZ3141" s="37"/>
      <c r="HA3141" s="37"/>
      <c r="HB3141" s="37"/>
      <c r="HC3141" s="37"/>
      <c r="HD3141" s="37"/>
      <c r="HE3141" s="37"/>
      <c r="HF3141" s="37"/>
      <c r="HG3141" s="37"/>
      <c r="HH3141" s="37"/>
      <c r="HI3141" s="37"/>
      <c r="HJ3141" s="37"/>
      <c r="HK3141" s="37"/>
      <c r="HL3141" s="37"/>
      <c r="HM3141" s="37"/>
      <c r="HN3141" s="37"/>
      <c r="HO3141" s="37"/>
      <c r="HP3141" s="37"/>
      <c r="HQ3141" s="37"/>
      <c r="HR3141" s="37"/>
      <c r="HS3141" s="37"/>
      <c r="HT3141" s="37"/>
      <c r="HU3141" s="37"/>
      <c r="HV3141" s="37"/>
      <c r="HW3141" s="37"/>
      <c r="HX3141" s="37"/>
      <c r="HY3141" s="37"/>
      <c r="HZ3141" s="37"/>
      <c r="IA3141" s="37"/>
      <c r="IB3141" s="37"/>
      <c r="IC3141" s="37"/>
      <c r="ID3141" s="37"/>
      <c r="IE3141" s="37"/>
      <c r="IF3141" s="37"/>
      <c r="IG3141" s="37"/>
      <c r="IH3141" s="37"/>
      <c r="II3141" s="37"/>
      <c r="IJ3141" s="37"/>
      <c r="IK3141" s="37"/>
      <c r="IL3141" s="37"/>
      <c r="IM3141" s="37"/>
      <c r="IN3141" s="37"/>
      <c r="IO3141" s="37"/>
      <c r="IP3141" s="37"/>
      <c r="IQ3141" s="37"/>
      <c r="IR3141" s="37"/>
      <c r="IS3141" s="37"/>
      <c r="IT3141" s="37"/>
      <c r="IU3141" s="37"/>
      <c r="IV3141" s="37"/>
      <c r="IW3141" s="37"/>
      <c r="IX3141" s="37"/>
      <c r="IY3141" s="37"/>
      <c r="IZ3141" s="37"/>
      <c r="JA3141" s="37"/>
      <c r="JB3141" s="37"/>
      <c r="JC3141" s="37"/>
      <c r="JD3141" s="37"/>
      <c r="JE3141" s="37"/>
      <c r="JF3141" s="37"/>
      <c r="JG3141" s="37"/>
      <c r="JH3141" s="37"/>
      <c r="JI3141" s="37"/>
      <c r="JJ3141" s="37"/>
      <c r="JK3141" s="37"/>
      <c r="JL3141" s="37"/>
      <c r="JM3141" s="37"/>
      <c r="JN3141" s="37"/>
      <c r="JO3141" s="37"/>
      <c r="JP3141" s="37"/>
      <c r="JQ3141" s="37"/>
      <c r="JR3141" s="37"/>
      <c r="JS3141" s="37"/>
      <c r="JT3141" s="37"/>
      <c r="JU3141" s="37"/>
      <c r="JV3141" s="37"/>
      <c r="JW3141" s="37"/>
      <c r="JX3141" s="37"/>
      <c r="JY3141" s="37"/>
      <c r="JZ3141" s="37"/>
      <c r="KA3141" s="37"/>
      <c r="KB3141" s="37"/>
      <c r="KC3141" s="37"/>
      <c r="KD3141" s="37"/>
      <c r="KE3141" s="37"/>
      <c r="KF3141" s="37"/>
      <c r="KG3141" s="37"/>
      <c r="KH3141" s="37"/>
      <c r="KI3141" s="37"/>
      <c r="KJ3141" s="37"/>
      <c r="KK3141" s="37"/>
      <c r="KL3141" s="37"/>
      <c r="KM3141" s="37"/>
      <c r="KN3141" s="37"/>
      <c r="KO3141" s="37"/>
      <c r="KP3141" s="37"/>
      <c r="KQ3141" s="37"/>
      <c r="KR3141" s="37"/>
      <c r="KS3141" s="37"/>
      <c r="KT3141" s="37"/>
      <c r="KU3141" s="37"/>
      <c r="KV3141" s="37"/>
      <c r="KW3141" s="37"/>
      <c r="KX3141" s="37"/>
      <c r="KY3141" s="37"/>
      <c r="KZ3141" s="37"/>
      <c r="LA3141" s="37"/>
      <c r="LB3141" s="37"/>
      <c r="LC3141" s="37"/>
      <c r="LD3141" s="37"/>
      <c r="LE3141" s="37"/>
      <c r="LF3141" s="37"/>
      <c r="LG3141" s="37"/>
      <c r="LH3141" s="37"/>
      <c r="LI3141" s="37"/>
      <c r="LJ3141" s="37"/>
      <c r="LK3141" s="37"/>
      <c r="LL3141" s="37"/>
      <c r="LM3141" s="37"/>
      <c r="LN3141" s="37"/>
      <c r="LO3141" s="37"/>
      <c r="LP3141" s="37"/>
      <c r="LQ3141" s="37"/>
      <c r="LR3141" s="37"/>
      <c r="LS3141" s="37"/>
      <c r="LT3141" s="37"/>
      <c r="LU3141" s="37"/>
      <c r="LV3141" s="37"/>
      <c r="LW3141" s="37"/>
      <c r="LX3141" s="37"/>
      <c r="LY3141" s="37"/>
      <c r="LZ3141" s="37"/>
      <c r="MA3141" s="37"/>
      <c r="MB3141" s="37"/>
      <c r="MC3141" s="37"/>
      <c r="MD3141" s="37"/>
      <c r="ME3141" s="37"/>
      <c r="MF3141" s="37"/>
      <c r="MG3141" s="37"/>
      <c r="MH3141" s="37"/>
      <c r="MI3141" s="37"/>
      <c r="MJ3141" s="37"/>
      <c r="MK3141" s="37"/>
      <c r="ML3141" s="37"/>
      <c r="MM3141" s="37"/>
      <c r="MN3141" s="37"/>
      <c r="MO3141" s="37"/>
      <c r="MP3141" s="37"/>
      <c r="MQ3141" s="37"/>
      <c r="MR3141" s="37"/>
      <c r="MS3141" s="37"/>
      <c r="MT3141" s="37"/>
      <c r="MU3141" s="37"/>
      <c r="MV3141" s="37"/>
      <c r="MW3141" s="37"/>
      <c r="MX3141" s="37"/>
      <c r="MY3141" s="37"/>
      <c r="MZ3141" s="37"/>
      <c r="NA3141" s="37"/>
      <c r="NB3141" s="37"/>
      <c r="NC3141" s="37"/>
      <c r="ND3141" s="37"/>
      <c r="NE3141" s="37"/>
      <c r="NF3141" s="37"/>
      <c r="NG3141" s="37"/>
      <c r="NH3141" s="37"/>
      <c r="NI3141" s="37"/>
      <c r="NJ3141" s="37"/>
      <c r="NK3141" s="37"/>
      <c r="NL3141" s="37"/>
      <c r="NM3141" s="37"/>
      <c r="NN3141" s="37"/>
      <c r="NO3141" s="37"/>
      <c r="NP3141" s="37"/>
      <c r="NQ3141" s="37"/>
      <c r="NR3141" s="37"/>
      <c r="NS3141" s="37"/>
      <c r="NT3141" s="37"/>
      <c r="NU3141" s="37"/>
      <c r="NV3141" s="37"/>
      <c r="NW3141" s="37"/>
      <c r="NX3141" s="37"/>
      <c r="NY3141" s="37"/>
      <c r="NZ3141" s="37"/>
      <c r="OA3141" s="37"/>
      <c r="OB3141" s="37"/>
      <c r="OC3141" s="37"/>
      <c r="OD3141" s="37"/>
      <c r="OE3141" s="37"/>
      <c r="OF3141" s="37"/>
      <c r="OG3141" s="37"/>
      <c r="OH3141" s="37"/>
      <c r="OI3141" s="37"/>
      <c r="OJ3141" s="37"/>
      <c r="OK3141" s="37"/>
      <c r="OL3141" s="37"/>
      <c r="OM3141" s="37"/>
      <c r="ON3141" s="37"/>
      <c r="OO3141" s="37"/>
      <c r="OP3141" s="37"/>
      <c r="OQ3141" s="37"/>
      <c r="OR3141" s="37"/>
      <c r="OS3141" s="37"/>
      <c r="OT3141" s="37"/>
      <c r="OU3141" s="37"/>
      <c r="OV3141" s="37"/>
      <c r="OW3141" s="37"/>
      <c r="OX3141" s="37"/>
      <c r="OY3141" s="37"/>
      <c r="OZ3141" s="37"/>
      <c r="PA3141" s="37"/>
      <c r="PB3141" s="37"/>
      <c r="PC3141" s="37"/>
      <c r="PD3141" s="37"/>
      <c r="PE3141" s="37"/>
      <c r="PF3141" s="37"/>
      <c r="PG3141" s="37"/>
      <c r="PH3141" s="37"/>
      <c r="PI3141" s="37"/>
      <c r="PJ3141" s="37"/>
      <c r="PK3141" s="37"/>
      <c r="PL3141" s="37"/>
      <c r="PM3141" s="37"/>
      <c r="PN3141" s="37"/>
      <c r="PO3141" s="37"/>
      <c r="PP3141" s="37"/>
      <c r="PQ3141" s="37"/>
      <c r="PR3141" s="37"/>
      <c r="PS3141" s="37"/>
      <c r="PT3141" s="37"/>
      <c r="PU3141" s="37"/>
      <c r="PV3141" s="37"/>
      <c r="PW3141" s="37"/>
      <c r="PX3141" s="37"/>
      <c r="PY3141" s="37"/>
      <c r="PZ3141" s="37"/>
      <c r="QA3141" s="37"/>
      <c r="QB3141" s="37"/>
      <c r="QC3141" s="37"/>
      <c r="QD3141" s="37"/>
      <c r="QE3141" s="37"/>
      <c r="QF3141" s="37"/>
      <c r="QG3141" s="37"/>
      <c r="QH3141" s="37"/>
      <c r="QI3141" s="37"/>
      <c r="QJ3141" s="37"/>
      <c r="QK3141" s="37"/>
      <c r="QL3141" s="37"/>
      <c r="QM3141" s="37"/>
      <c r="QN3141" s="37"/>
      <c r="QO3141" s="37"/>
      <c r="QP3141" s="37"/>
      <c r="QQ3141" s="37"/>
      <c r="QR3141" s="37"/>
      <c r="QS3141" s="37"/>
      <c r="QT3141" s="37"/>
      <c r="QU3141" s="37"/>
      <c r="QV3141" s="37"/>
      <c r="QW3141" s="37"/>
      <c r="QX3141" s="37"/>
      <c r="QY3141" s="37"/>
      <c r="QZ3141" s="37"/>
      <c r="RA3141" s="37"/>
      <c r="RB3141" s="37"/>
      <c r="RC3141" s="37"/>
      <c r="RD3141" s="37"/>
      <c r="RE3141" s="37"/>
      <c r="RF3141" s="37"/>
      <c r="RG3141" s="37"/>
      <c r="RH3141" s="37"/>
      <c r="RI3141" s="37"/>
      <c r="RJ3141" s="37"/>
      <c r="RK3141" s="37"/>
      <c r="RL3141" s="37"/>
      <c r="RM3141" s="37"/>
      <c r="RN3141" s="37"/>
      <c r="RO3141" s="37"/>
      <c r="RP3141" s="37"/>
      <c r="RQ3141" s="37"/>
      <c r="RR3141" s="37"/>
      <c r="RS3141" s="37"/>
      <c r="RT3141" s="37"/>
      <c r="RU3141" s="37"/>
      <c r="RV3141" s="37"/>
      <c r="RW3141" s="37"/>
      <c r="RX3141" s="37"/>
      <c r="RY3141" s="37"/>
      <c r="RZ3141" s="37"/>
      <c r="SA3141" s="37"/>
      <c r="SB3141" s="37"/>
      <c r="SC3141" s="37"/>
      <c r="SD3141" s="37"/>
      <c r="SE3141" s="37"/>
      <c r="SF3141" s="37"/>
    </row>
    <row r="3142" spans="1:500">
      <c r="A3142" s="37"/>
      <c r="B3142" s="37"/>
      <c r="C3142" s="37"/>
      <c r="D3142" s="37"/>
      <c r="E3142" s="37"/>
      <c r="F3142" s="37"/>
      <c r="G3142" s="37"/>
      <c r="H3142" s="37"/>
      <c r="I3142" s="37"/>
      <c r="J3142" s="37"/>
      <c r="K3142" s="37"/>
      <c r="L3142" s="37"/>
      <c r="M3142" s="37"/>
      <c r="N3142" s="37"/>
      <c r="O3142" s="37"/>
      <c r="P3142" s="37"/>
      <c r="Q3142" s="37"/>
      <c r="R3142" s="37"/>
      <c r="S3142" s="37"/>
      <c r="T3142" s="37"/>
      <c r="U3142" s="37"/>
      <c r="V3142" s="37"/>
      <c r="W3142" s="37"/>
      <c r="X3142" s="37"/>
      <c r="Y3142" s="37"/>
      <c r="Z3142" s="37"/>
      <c r="AA3142" s="37"/>
      <c r="AB3142" s="37"/>
      <c r="AC3142" s="37"/>
      <c r="AD3142" s="37"/>
      <c r="AE3142" s="37"/>
      <c r="AF3142" s="37"/>
      <c r="AG3142" s="37"/>
      <c r="AH3142" s="37"/>
      <c r="AI3142" s="37"/>
      <c r="AJ3142" s="37"/>
      <c r="AK3142" s="37"/>
      <c r="AL3142" s="37"/>
      <c r="AM3142" s="37"/>
      <c r="AN3142" s="37"/>
      <c r="AO3142" s="37"/>
      <c r="AP3142" s="37"/>
      <c r="AQ3142" s="37"/>
      <c r="AR3142" s="37"/>
      <c r="AS3142" s="37"/>
      <c r="AT3142" s="37"/>
      <c r="AU3142" s="37"/>
      <c r="AV3142" s="37"/>
      <c r="AW3142" s="37"/>
      <c r="AX3142" s="37"/>
      <c r="AY3142" s="37"/>
      <c r="AZ3142" s="37"/>
      <c r="BA3142" s="37"/>
      <c r="BB3142" s="37"/>
      <c r="BC3142" s="37"/>
      <c r="BD3142" s="37"/>
      <c r="BE3142" s="37"/>
      <c r="BF3142" s="37"/>
      <c r="BG3142" s="37"/>
      <c r="BH3142" s="37"/>
      <c r="BI3142" s="37"/>
      <c r="BJ3142" s="37"/>
      <c r="BK3142" s="37"/>
      <c r="BL3142" s="37"/>
      <c r="BM3142" s="37"/>
      <c r="BN3142" s="37"/>
      <c r="BO3142" s="37"/>
      <c r="BP3142" s="37"/>
      <c r="BQ3142" s="37"/>
      <c r="BR3142" s="37"/>
      <c r="BS3142" s="37"/>
      <c r="BT3142" s="37"/>
      <c r="BU3142" s="37"/>
      <c r="BV3142" s="37"/>
      <c r="BW3142" s="37"/>
      <c r="BX3142" s="37"/>
      <c r="BY3142" s="37"/>
      <c r="BZ3142" s="37"/>
      <c r="CA3142" s="37"/>
      <c r="CB3142" s="37"/>
      <c r="CC3142" s="37"/>
      <c r="CD3142" s="37"/>
      <c r="CE3142" s="37"/>
      <c r="CF3142" s="37"/>
      <c r="CG3142" s="37"/>
      <c r="CH3142" s="37"/>
      <c r="CI3142" s="37"/>
      <c r="CJ3142" s="37"/>
      <c r="CK3142" s="37"/>
      <c r="CL3142" s="37"/>
      <c r="CM3142" s="37"/>
      <c r="CN3142" s="37"/>
      <c r="CO3142" s="37"/>
      <c r="CP3142" s="37"/>
      <c r="CQ3142" s="37"/>
      <c r="CR3142" s="37"/>
      <c r="CS3142" s="37"/>
      <c r="CT3142" s="37"/>
      <c r="CU3142" s="37"/>
      <c r="CV3142" s="37"/>
      <c r="CW3142" s="37"/>
      <c r="CX3142" s="37"/>
      <c r="CY3142" s="37"/>
      <c r="CZ3142" s="37"/>
      <c r="DA3142" s="37"/>
      <c r="DB3142" s="37"/>
      <c r="DC3142" s="37"/>
      <c r="DD3142" s="37"/>
      <c r="DE3142" s="37"/>
      <c r="DF3142" s="37"/>
      <c r="DG3142" s="37"/>
      <c r="DH3142" s="37"/>
      <c r="DI3142" s="37"/>
      <c r="DJ3142" s="37"/>
      <c r="DK3142" s="37"/>
      <c r="DL3142" s="37"/>
      <c r="DM3142" s="37"/>
      <c r="DN3142" s="37"/>
      <c r="DO3142" s="37"/>
      <c r="DP3142" s="37"/>
      <c r="DQ3142" s="37"/>
      <c r="DR3142" s="37"/>
      <c r="DS3142" s="37"/>
      <c r="DT3142" s="37"/>
      <c r="DU3142" s="37"/>
      <c r="DV3142" s="37"/>
      <c r="DW3142" s="37"/>
      <c r="DX3142" s="37"/>
      <c r="DY3142" s="37"/>
      <c r="DZ3142" s="37"/>
      <c r="EA3142" s="37"/>
      <c r="EB3142" s="37"/>
      <c r="EC3142" s="37"/>
      <c r="ED3142" s="37"/>
      <c r="EE3142" s="37"/>
      <c r="EF3142" s="37"/>
      <c r="EG3142" s="37"/>
      <c r="EH3142" s="37"/>
      <c r="EI3142" s="37"/>
      <c r="EJ3142" s="37"/>
      <c r="EK3142" s="37"/>
      <c r="EL3142" s="37"/>
      <c r="EM3142" s="37"/>
      <c r="EN3142" s="37"/>
      <c r="EO3142" s="37"/>
      <c r="EP3142" s="37"/>
      <c r="EQ3142" s="37"/>
      <c r="ER3142" s="37"/>
      <c r="ES3142" s="37"/>
      <c r="ET3142" s="37"/>
      <c r="EU3142" s="37"/>
      <c r="EV3142" s="37"/>
      <c r="EW3142" s="37"/>
      <c r="EX3142" s="37"/>
      <c r="EY3142" s="37"/>
      <c r="EZ3142" s="37"/>
      <c r="FA3142" s="37"/>
      <c r="FB3142" s="37"/>
      <c r="FC3142" s="37"/>
      <c r="FD3142" s="37"/>
      <c r="FE3142" s="37"/>
      <c r="FF3142" s="37"/>
      <c r="FG3142" s="37"/>
      <c r="FH3142" s="37"/>
      <c r="FI3142" s="37"/>
      <c r="FJ3142" s="37"/>
      <c r="FK3142" s="37"/>
      <c r="FL3142" s="37"/>
      <c r="FM3142" s="37"/>
      <c r="FN3142" s="37"/>
      <c r="FO3142" s="37"/>
      <c r="FP3142" s="37"/>
      <c r="FQ3142" s="37"/>
      <c r="FR3142" s="37"/>
      <c r="FS3142" s="37"/>
      <c r="FT3142" s="37"/>
      <c r="FU3142" s="37"/>
      <c r="FV3142" s="37"/>
      <c r="FW3142" s="37"/>
      <c r="FX3142" s="37"/>
      <c r="FY3142" s="37"/>
      <c r="FZ3142" s="37"/>
      <c r="GA3142" s="37"/>
      <c r="GB3142" s="37"/>
      <c r="GC3142" s="37"/>
      <c r="GD3142" s="37"/>
      <c r="GE3142" s="37"/>
      <c r="GF3142" s="37"/>
      <c r="GG3142" s="37"/>
      <c r="GH3142" s="37"/>
      <c r="GI3142" s="37"/>
      <c r="GJ3142" s="37"/>
      <c r="GK3142" s="37"/>
      <c r="GL3142" s="37"/>
      <c r="GM3142" s="37"/>
      <c r="GN3142" s="37"/>
      <c r="GO3142" s="37"/>
      <c r="GP3142" s="37"/>
      <c r="GQ3142" s="37"/>
      <c r="GR3142" s="37"/>
      <c r="GS3142" s="37"/>
      <c r="GT3142" s="37"/>
      <c r="GU3142" s="37"/>
      <c r="GV3142" s="37"/>
      <c r="GW3142" s="37"/>
      <c r="GX3142" s="37"/>
      <c r="GY3142" s="37"/>
      <c r="GZ3142" s="37"/>
      <c r="HA3142" s="37"/>
      <c r="HB3142" s="37"/>
      <c r="HC3142" s="37"/>
      <c r="HD3142" s="37"/>
      <c r="HE3142" s="37"/>
      <c r="HF3142" s="37"/>
      <c r="HG3142" s="37"/>
      <c r="HH3142" s="37"/>
      <c r="HI3142" s="37"/>
      <c r="HJ3142" s="37"/>
      <c r="HK3142" s="37"/>
      <c r="HL3142" s="37"/>
      <c r="HM3142" s="37"/>
      <c r="HN3142" s="37"/>
      <c r="HO3142" s="37"/>
      <c r="HP3142" s="37"/>
      <c r="HQ3142" s="37"/>
      <c r="HR3142" s="37"/>
      <c r="HS3142" s="37"/>
      <c r="HT3142" s="37"/>
      <c r="HU3142" s="37"/>
      <c r="HV3142" s="37"/>
      <c r="HW3142" s="37"/>
      <c r="HX3142" s="37"/>
      <c r="HY3142" s="37"/>
      <c r="HZ3142" s="37"/>
      <c r="IA3142" s="37"/>
      <c r="IB3142" s="37"/>
      <c r="IC3142" s="37"/>
      <c r="ID3142" s="37"/>
      <c r="IE3142" s="37"/>
      <c r="IF3142" s="37"/>
      <c r="IG3142" s="37"/>
      <c r="IH3142" s="37"/>
      <c r="II3142" s="37"/>
      <c r="IJ3142" s="37"/>
      <c r="IK3142" s="37"/>
      <c r="IL3142" s="37"/>
      <c r="IM3142" s="37"/>
      <c r="IN3142" s="37"/>
      <c r="IO3142" s="37"/>
      <c r="IP3142" s="37"/>
      <c r="IQ3142" s="37"/>
      <c r="IR3142" s="37"/>
      <c r="IS3142" s="37"/>
      <c r="IT3142" s="37"/>
      <c r="IU3142" s="37"/>
      <c r="IV3142" s="37"/>
      <c r="IW3142" s="37"/>
      <c r="IX3142" s="37"/>
      <c r="IY3142" s="37"/>
      <c r="IZ3142" s="37"/>
      <c r="JA3142" s="37"/>
      <c r="JB3142" s="37"/>
      <c r="JC3142" s="37"/>
      <c r="JD3142" s="37"/>
      <c r="JE3142" s="37"/>
      <c r="JF3142" s="37"/>
      <c r="JG3142" s="37"/>
      <c r="JH3142" s="37"/>
      <c r="JI3142" s="37"/>
      <c r="JJ3142" s="37"/>
      <c r="JK3142" s="37"/>
      <c r="JL3142" s="37"/>
      <c r="JM3142" s="37"/>
      <c r="JN3142" s="37"/>
      <c r="JO3142" s="37"/>
      <c r="JP3142" s="37"/>
      <c r="JQ3142" s="37"/>
      <c r="JR3142" s="37"/>
      <c r="JS3142" s="37"/>
      <c r="JT3142" s="37"/>
      <c r="JU3142" s="37"/>
      <c r="JV3142" s="37"/>
      <c r="JW3142" s="37"/>
      <c r="JX3142" s="37"/>
      <c r="JY3142" s="37"/>
      <c r="JZ3142" s="37"/>
      <c r="KA3142" s="37"/>
      <c r="KB3142" s="37"/>
      <c r="KC3142" s="37"/>
      <c r="KD3142" s="37"/>
      <c r="KE3142" s="37"/>
      <c r="KF3142" s="37"/>
      <c r="KG3142" s="37"/>
      <c r="KH3142" s="37"/>
      <c r="KI3142" s="37"/>
      <c r="KJ3142" s="37"/>
      <c r="KK3142" s="37"/>
      <c r="KL3142" s="37"/>
      <c r="KM3142" s="37"/>
      <c r="KN3142" s="37"/>
      <c r="KO3142" s="37"/>
      <c r="KP3142" s="37"/>
      <c r="KQ3142" s="37"/>
      <c r="KR3142" s="37"/>
      <c r="KS3142" s="37"/>
      <c r="KT3142" s="37"/>
      <c r="KU3142" s="37"/>
      <c r="KV3142" s="37"/>
      <c r="KW3142" s="37"/>
      <c r="KX3142" s="37"/>
      <c r="KY3142" s="37"/>
      <c r="KZ3142" s="37"/>
      <c r="LA3142" s="37"/>
      <c r="LB3142" s="37"/>
      <c r="LC3142" s="37"/>
      <c r="LD3142" s="37"/>
      <c r="LE3142" s="37"/>
      <c r="LF3142" s="37"/>
      <c r="LG3142" s="37"/>
      <c r="LH3142" s="37"/>
      <c r="LI3142" s="37"/>
      <c r="LJ3142" s="37"/>
      <c r="LK3142" s="37"/>
      <c r="LL3142" s="37"/>
      <c r="LM3142" s="37"/>
      <c r="LN3142" s="37"/>
      <c r="LO3142" s="37"/>
      <c r="LP3142" s="37"/>
      <c r="LQ3142" s="37"/>
      <c r="LR3142" s="37"/>
      <c r="LS3142" s="37"/>
      <c r="LT3142" s="37"/>
      <c r="LU3142" s="37"/>
      <c r="LV3142" s="37"/>
      <c r="LW3142" s="37"/>
      <c r="LX3142" s="37"/>
      <c r="LY3142" s="37"/>
      <c r="LZ3142" s="37"/>
      <c r="MA3142" s="37"/>
      <c r="MB3142" s="37"/>
      <c r="MC3142" s="37"/>
      <c r="MD3142" s="37"/>
      <c r="ME3142" s="37"/>
      <c r="MF3142" s="37"/>
      <c r="MG3142" s="37"/>
      <c r="MH3142" s="37"/>
      <c r="MI3142" s="37"/>
      <c r="MJ3142" s="37"/>
      <c r="MK3142" s="37"/>
      <c r="ML3142" s="37"/>
      <c r="MM3142" s="37"/>
      <c r="MN3142" s="37"/>
      <c r="MO3142" s="37"/>
      <c r="MP3142" s="37"/>
      <c r="MQ3142" s="37"/>
      <c r="MR3142" s="37"/>
      <c r="MS3142" s="37"/>
      <c r="MT3142" s="37"/>
      <c r="MU3142" s="37"/>
      <c r="MV3142" s="37"/>
      <c r="MW3142" s="37"/>
      <c r="MX3142" s="37"/>
      <c r="MY3142" s="37"/>
      <c r="MZ3142" s="37"/>
      <c r="NA3142" s="37"/>
      <c r="NB3142" s="37"/>
      <c r="NC3142" s="37"/>
      <c r="ND3142" s="37"/>
      <c r="NE3142" s="37"/>
      <c r="NF3142" s="37"/>
      <c r="NG3142" s="37"/>
      <c r="NH3142" s="37"/>
      <c r="NI3142" s="37"/>
      <c r="NJ3142" s="37"/>
      <c r="NK3142" s="37"/>
      <c r="NL3142" s="37"/>
      <c r="NM3142" s="37"/>
      <c r="NN3142" s="37"/>
      <c r="NO3142" s="37"/>
      <c r="NP3142" s="37"/>
      <c r="NQ3142" s="37"/>
      <c r="NR3142" s="37"/>
      <c r="NS3142" s="37"/>
      <c r="NT3142" s="37"/>
      <c r="NU3142" s="37"/>
      <c r="NV3142" s="37"/>
      <c r="NW3142" s="37"/>
      <c r="NX3142" s="37"/>
      <c r="NY3142" s="37"/>
      <c r="NZ3142" s="37"/>
      <c r="OA3142" s="37"/>
      <c r="OB3142" s="37"/>
      <c r="OC3142" s="37"/>
      <c r="OD3142" s="37"/>
      <c r="OE3142" s="37"/>
      <c r="OF3142" s="37"/>
      <c r="OG3142" s="37"/>
      <c r="OH3142" s="37"/>
      <c r="OI3142" s="37"/>
      <c r="OJ3142" s="37"/>
      <c r="OK3142" s="37"/>
      <c r="OL3142" s="37"/>
      <c r="OM3142" s="37"/>
      <c r="ON3142" s="37"/>
      <c r="OO3142" s="37"/>
      <c r="OP3142" s="37"/>
      <c r="OQ3142" s="37"/>
      <c r="OR3142" s="37"/>
      <c r="OS3142" s="37"/>
      <c r="OT3142" s="37"/>
      <c r="OU3142" s="37"/>
      <c r="OV3142" s="37"/>
      <c r="OW3142" s="37"/>
      <c r="OX3142" s="37"/>
      <c r="OY3142" s="37"/>
      <c r="OZ3142" s="37"/>
      <c r="PA3142" s="37"/>
      <c r="PB3142" s="37"/>
      <c r="PC3142" s="37"/>
      <c r="PD3142" s="37"/>
      <c r="PE3142" s="37"/>
      <c r="PF3142" s="37"/>
      <c r="PG3142" s="37"/>
      <c r="PH3142" s="37"/>
      <c r="PI3142" s="37"/>
      <c r="PJ3142" s="37"/>
      <c r="PK3142" s="37"/>
      <c r="PL3142" s="37"/>
      <c r="PM3142" s="37"/>
      <c r="PN3142" s="37"/>
      <c r="PO3142" s="37"/>
      <c r="PP3142" s="37"/>
      <c r="PQ3142" s="37"/>
      <c r="PR3142" s="37"/>
      <c r="PS3142" s="37"/>
      <c r="PT3142" s="37"/>
      <c r="PU3142" s="37"/>
      <c r="PV3142" s="37"/>
      <c r="PW3142" s="37"/>
      <c r="PX3142" s="37"/>
      <c r="PY3142" s="37"/>
      <c r="PZ3142" s="37"/>
      <c r="QA3142" s="37"/>
      <c r="QB3142" s="37"/>
      <c r="QC3142" s="37"/>
      <c r="QD3142" s="37"/>
      <c r="QE3142" s="37"/>
      <c r="QF3142" s="37"/>
      <c r="QG3142" s="37"/>
      <c r="QH3142" s="37"/>
      <c r="QI3142" s="37"/>
      <c r="QJ3142" s="37"/>
      <c r="QK3142" s="37"/>
      <c r="QL3142" s="37"/>
      <c r="QM3142" s="37"/>
      <c r="QN3142" s="37"/>
      <c r="QO3142" s="37"/>
      <c r="QP3142" s="37"/>
      <c r="QQ3142" s="37"/>
      <c r="QR3142" s="37"/>
      <c r="QS3142" s="37"/>
      <c r="QT3142" s="37"/>
      <c r="QU3142" s="37"/>
      <c r="QV3142" s="37"/>
      <c r="QW3142" s="37"/>
      <c r="QX3142" s="37"/>
      <c r="QY3142" s="37"/>
      <c r="QZ3142" s="37"/>
      <c r="RA3142" s="37"/>
      <c r="RB3142" s="37"/>
      <c r="RC3142" s="37"/>
      <c r="RD3142" s="37"/>
      <c r="RE3142" s="37"/>
      <c r="RF3142" s="37"/>
      <c r="RG3142" s="37"/>
      <c r="RH3142" s="37"/>
      <c r="RI3142" s="37"/>
      <c r="RJ3142" s="37"/>
      <c r="RK3142" s="37"/>
      <c r="RL3142" s="37"/>
      <c r="RM3142" s="37"/>
      <c r="RN3142" s="37"/>
      <c r="RO3142" s="37"/>
      <c r="RP3142" s="37"/>
      <c r="RQ3142" s="37"/>
      <c r="RR3142" s="37"/>
      <c r="RS3142" s="37"/>
      <c r="RT3142" s="37"/>
      <c r="RU3142" s="37"/>
      <c r="RV3142" s="37"/>
      <c r="RW3142" s="37"/>
      <c r="RX3142" s="37"/>
      <c r="RY3142" s="37"/>
      <c r="RZ3142" s="37"/>
      <c r="SA3142" s="37"/>
      <c r="SB3142" s="37"/>
      <c r="SC3142" s="37"/>
      <c r="SD3142" s="37"/>
      <c r="SE3142" s="37"/>
      <c r="SF3142" s="37"/>
    </row>
    <row r="3143" spans="1:500">
      <c r="A3143" s="37"/>
      <c r="B3143" s="37"/>
      <c r="C3143" s="37"/>
      <c r="D3143" s="37"/>
      <c r="E3143" s="37"/>
      <c r="F3143" s="37"/>
      <c r="G3143" s="37"/>
      <c r="H3143" s="37"/>
      <c r="I3143" s="37"/>
      <c r="J3143" s="37"/>
      <c r="K3143" s="37"/>
      <c r="L3143" s="37"/>
      <c r="M3143" s="37"/>
      <c r="N3143" s="37"/>
      <c r="O3143" s="37"/>
      <c r="P3143" s="37"/>
      <c r="Q3143" s="37"/>
      <c r="R3143" s="37"/>
      <c r="S3143" s="37"/>
      <c r="T3143" s="37"/>
      <c r="U3143" s="37"/>
      <c r="V3143" s="37"/>
      <c r="W3143" s="37"/>
      <c r="X3143" s="37"/>
      <c r="Y3143" s="37"/>
      <c r="Z3143" s="37"/>
      <c r="AA3143" s="37"/>
      <c r="AB3143" s="37"/>
      <c r="AC3143" s="37"/>
      <c r="AD3143" s="37"/>
      <c r="AE3143" s="37"/>
      <c r="AF3143" s="37"/>
      <c r="AG3143" s="37"/>
      <c r="AH3143" s="37"/>
      <c r="AI3143" s="37"/>
      <c r="AJ3143" s="37"/>
      <c r="AK3143" s="37"/>
      <c r="AL3143" s="37"/>
      <c r="AM3143" s="37"/>
      <c r="AN3143" s="37"/>
      <c r="AO3143" s="37"/>
      <c r="AP3143" s="37"/>
      <c r="AQ3143" s="37"/>
      <c r="AR3143" s="37"/>
      <c r="AS3143" s="37"/>
      <c r="AT3143" s="37"/>
      <c r="AU3143" s="37"/>
      <c r="AV3143" s="37"/>
      <c r="AW3143" s="37"/>
      <c r="AX3143" s="37"/>
      <c r="AY3143" s="37"/>
      <c r="AZ3143" s="37"/>
      <c r="BA3143" s="37"/>
      <c r="BB3143" s="37"/>
      <c r="BC3143" s="37"/>
      <c r="BD3143" s="37"/>
      <c r="BE3143" s="37"/>
      <c r="BF3143" s="37"/>
      <c r="BG3143" s="37"/>
      <c r="BH3143" s="37"/>
      <c r="BI3143" s="37"/>
      <c r="BJ3143" s="37"/>
      <c r="BK3143" s="37"/>
      <c r="BL3143" s="37"/>
      <c r="BM3143" s="37"/>
      <c r="BN3143" s="37"/>
      <c r="BO3143" s="37"/>
      <c r="BP3143" s="37"/>
      <c r="BQ3143" s="37"/>
      <c r="BR3143" s="37"/>
      <c r="BS3143" s="37"/>
      <c r="BT3143" s="37"/>
      <c r="BU3143" s="37"/>
      <c r="BV3143" s="37"/>
      <c r="BW3143" s="37"/>
      <c r="BX3143" s="37"/>
      <c r="BY3143" s="37"/>
      <c r="BZ3143" s="37"/>
      <c r="CA3143" s="37"/>
      <c r="CB3143" s="37"/>
      <c r="CC3143" s="37"/>
      <c r="CD3143" s="37"/>
      <c r="CE3143" s="37"/>
      <c r="CF3143" s="37"/>
      <c r="CG3143" s="37"/>
      <c r="CH3143" s="37"/>
      <c r="CI3143" s="37"/>
      <c r="CJ3143" s="37"/>
      <c r="CK3143" s="37"/>
      <c r="CL3143" s="37"/>
      <c r="CM3143" s="37"/>
      <c r="CN3143" s="37"/>
      <c r="CO3143" s="37"/>
      <c r="CP3143" s="37"/>
      <c r="CQ3143" s="37"/>
      <c r="CR3143" s="37"/>
      <c r="CS3143" s="37"/>
      <c r="CT3143" s="37"/>
      <c r="CU3143" s="37"/>
      <c r="CV3143" s="37"/>
      <c r="CW3143" s="37"/>
      <c r="CX3143" s="37"/>
      <c r="CY3143" s="37"/>
      <c r="CZ3143" s="37"/>
      <c r="DA3143" s="37"/>
      <c r="DB3143" s="37"/>
      <c r="DC3143" s="37"/>
      <c r="DD3143" s="37"/>
      <c r="DE3143" s="37"/>
      <c r="DF3143" s="37"/>
      <c r="DG3143" s="37"/>
      <c r="DH3143" s="37"/>
      <c r="DI3143" s="37"/>
      <c r="DJ3143" s="37"/>
      <c r="DK3143" s="37"/>
      <c r="DL3143" s="37"/>
      <c r="DM3143" s="37"/>
      <c r="DN3143" s="37"/>
      <c r="DO3143" s="37"/>
      <c r="DP3143" s="37"/>
      <c r="DQ3143" s="37"/>
      <c r="DR3143" s="37"/>
      <c r="DS3143" s="37"/>
      <c r="DT3143" s="37"/>
      <c r="DU3143" s="37"/>
      <c r="DV3143" s="37"/>
      <c r="DW3143" s="37"/>
      <c r="DX3143" s="37"/>
      <c r="DY3143" s="37"/>
      <c r="DZ3143" s="37"/>
      <c r="EA3143" s="37"/>
      <c r="EB3143" s="37"/>
      <c r="EC3143" s="37"/>
      <c r="ED3143" s="37"/>
      <c r="EE3143" s="37"/>
      <c r="EF3143" s="37"/>
      <c r="EG3143" s="37"/>
      <c r="EH3143" s="37"/>
      <c r="EI3143" s="37"/>
      <c r="EJ3143" s="37"/>
      <c r="EK3143" s="37"/>
      <c r="EL3143" s="37"/>
      <c r="EM3143" s="37"/>
      <c r="EN3143" s="37"/>
      <c r="EO3143" s="37"/>
      <c r="EP3143" s="37"/>
      <c r="EQ3143" s="37"/>
      <c r="ER3143" s="37"/>
      <c r="ES3143" s="37"/>
      <c r="ET3143" s="37"/>
      <c r="EU3143" s="37"/>
      <c r="EV3143" s="37"/>
      <c r="EW3143" s="37"/>
      <c r="EX3143" s="37"/>
      <c r="EY3143" s="37"/>
      <c r="EZ3143" s="37"/>
      <c r="FA3143" s="37"/>
      <c r="FB3143" s="37"/>
      <c r="FC3143" s="37"/>
      <c r="FD3143" s="37"/>
      <c r="FE3143" s="37"/>
      <c r="FF3143" s="37"/>
      <c r="FG3143" s="37"/>
      <c r="FH3143" s="37"/>
      <c r="FI3143" s="37"/>
      <c r="FJ3143" s="37"/>
      <c r="FK3143" s="37"/>
      <c r="FL3143" s="37"/>
      <c r="FM3143" s="37"/>
      <c r="FN3143" s="37"/>
      <c r="FO3143" s="37"/>
      <c r="FP3143" s="37"/>
      <c r="FQ3143" s="37"/>
      <c r="FR3143" s="37"/>
      <c r="FS3143" s="37"/>
      <c r="FT3143" s="37"/>
      <c r="FU3143" s="37"/>
      <c r="FV3143" s="37"/>
      <c r="FW3143" s="37"/>
      <c r="FX3143" s="37"/>
      <c r="FY3143" s="37"/>
      <c r="FZ3143" s="37"/>
      <c r="GA3143" s="37"/>
      <c r="GB3143" s="37"/>
      <c r="GC3143" s="37"/>
      <c r="GD3143" s="37"/>
      <c r="GE3143" s="37"/>
      <c r="GF3143" s="37"/>
      <c r="GG3143" s="37"/>
      <c r="GH3143" s="37"/>
      <c r="GI3143" s="37"/>
      <c r="GJ3143" s="37"/>
      <c r="GK3143" s="37"/>
      <c r="GL3143" s="37"/>
      <c r="GM3143" s="37"/>
      <c r="GN3143" s="37"/>
      <c r="GO3143" s="37"/>
      <c r="GP3143" s="37"/>
      <c r="GQ3143" s="37"/>
      <c r="GR3143" s="37"/>
      <c r="GS3143" s="37"/>
      <c r="GT3143" s="37"/>
      <c r="GU3143" s="37"/>
      <c r="GV3143" s="37"/>
      <c r="GW3143" s="37"/>
      <c r="GX3143" s="37"/>
      <c r="GY3143" s="37"/>
      <c r="GZ3143" s="37"/>
      <c r="HA3143" s="37"/>
      <c r="HB3143" s="37"/>
      <c r="HC3143" s="37"/>
      <c r="HD3143" s="37"/>
      <c r="HE3143" s="37"/>
      <c r="HF3143" s="37"/>
      <c r="HG3143" s="37"/>
      <c r="HH3143" s="37"/>
      <c r="HI3143" s="37"/>
      <c r="HJ3143" s="37"/>
      <c r="HK3143" s="37"/>
      <c r="HL3143" s="37"/>
      <c r="HM3143" s="37"/>
      <c r="HN3143" s="37"/>
      <c r="HO3143" s="37"/>
      <c r="HP3143" s="37"/>
      <c r="HQ3143" s="37"/>
      <c r="HR3143" s="37"/>
      <c r="HS3143" s="37"/>
      <c r="HT3143" s="37"/>
      <c r="HU3143" s="37"/>
      <c r="HV3143" s="37"/>
      <c r="HW3143" s="37"/>
      <c r="HX3143" s="37"/>
      <c r="HY3143" s="37"/>
      <c r="HZ3143" s="37"/>
      <c r="IA3143" s="37"/>
      <c r="IB3143" s="37"/>
      <c r="IC3143" s="37"/>
      <c r="ID3143" s="37"/>
      <c r="IE3143" s="37"/>
      <c r="IF3143" s="37"/>
      <c r="IG3143" s="37"/>
      <c r="IH3143" s="37"/>
      <c r="II3143" s="37"/>
      <c r="IJ3143" s="37"/>
      <c r="IK3143" s="37"/>
      <c r="IL3143" s="37"/>
      <c r="IM3143" s="37"/>
      <c r="IN3143" s="37"/>
      <c r="IO3143" s="37"/>
      <c r="IP3143" s="37"/>
      <c r="IQ3143" s="37"/>
      <c r="IR3143" s="37"/>
      <c r="IS3143" s="37"/>
      <c r="IT3143" s="37"/>
      <c r="IU3143" s="37"/>
      <c r="IV3143" s="37"/>
      <c r="IW3143" s="37"/>
      <c r="IX3143" s="37"/>
      <c r="IY3143" s="37"/>
      <c r="IZ3143" s="37"/>
      <c r="JA3143" s="37"/>
      <c r="JB3143" s="37"/>
      <c r="JC3143" s="37"/>
      <c r="JD3143" s="37"/>
      <c r="JE3143" s="37"/>
      <c r="JF3143" s="37"/>
      <c r="JG3143" s="37"/>
      <c r="JH3143" s="37"/>
      <c r="JI3143" s="37"/>
      <c r="JJ3143" s="37"/>
      <c r="JK3143" s="37"/>
      <c r="JL3143" s="37"/>
      <c r="JM3143" s="37"/>
      <c r="JN3143" s="37"/>
      <c r="JO3143" s="37"/>
      <c r="JP3143" s="37"/>
      <c r="JQ3143" s="37"/>
      <c r="JR3143" s="37"/>
      <c r="JS3143" s="37"/>
      <c r="JT3143" s="37"/>
      <c r="JU3143" s="37"/>
      <c r="JV3143" s="37"/>
      <c r="JW3143" s="37"/>
      <c r="JX3143" s="37"/>
      <c r="JY3143" s="37"/>
      <c r="JZ3143" s="37"/>
      <c r="KA3143" s="37"/>
      <c r="KB3143" s="37"/>
      <c r="KC3143" s="37"/>
      <c r="KD3143" s="37"/>
      <c r="KE3143" s="37"/>
      <c r="KF3143" s="37"/>
      <c r="KG3143" s="37"/>
      <c r="KH3143" s="37"/>
      <c r="KI3143" s="37"/>
      <c r="KJ3143" s="37"/>
      <c r="KK3143" s="37"/>
      <c r="KL3143" s="37"/>
      <c r="KM3143" s="37"/>
      <c r="KN3143" s="37"/>
      <c r="KO3143" s="37"/>
      <c r="KP3143" s="37"/>
      <c r="KQ3143" s="37"/>
      <c r="KR3143" s="37"/>
      <c r="KS3143" s="37"/>
      <c r="KT3143" s="37"/>
      <c r="KU3143" s="37"/>
      <c r="KV3143" s="37"/>
      <c r="KW3143" s="37"/>
      <c r="KX3143" s="37"/>
      <c r="KY3143" s="37"/>
      <c r="KZ3143" s="37"/>
      <c r="LA3143" s="37"/>
      <c r="LB3143" s="37"/>
      <c r="LC3143" s="37"/>
      <c r="LD3143" s="37"/>
      <c r="LE3143" s="37"/>
      <c r="LF3143" s="37"/>
      <c r="LG3143" s="37"/>
      <c r="LH3143" s="37"/>
      <c r="LI3143" s="37"/>
      <c r="LJ3143" s="37"/>
      <c r="LK3143" s="37"/>
      <c r="LL3143" s="37"/>
      <c r="LM3143" s="37"/>
      <c r="LN3143" s="37"/>
      <c r="LO3143" s="37"/>
      <c r="LP3143" s="37"/>
      <c r="LQ3143" s="37"/>
      <c r="LR3143" s="37"/>
      <c r="LS3143" s="37"/>
      <c r="LT3143" s="37"/>
      <c r="LU3143" s="37"/>
      <c r="LV3143" s="37"/>
      <c r="LW3143" s="37"/>
      <c r="LX3143" s="37"/>
      <c r="LY3143" s="37"/>
      <c r="LZ3143" s="37"/>
      <c r="MA3143" s="37"/>
      <c r="MB3143" s="37"/>
      <c r="MC3143" s="37"/>
      <c r="MD3143" s="37"/>
      <c r="ME3143" s="37"/>
      <c r="MF3143" s="37"/>
      <c r="MG3143" s="37"/>
      <c r="MH3143" s="37"/>
      <c r="MI3143" s="37"/>
      <c r="MJ3143" s="37"/>
      <c r="MK3143" s="37"/>
      <c r="ML3143" s="37"/>
      <c r="MM3143" s="37"/>
      <c r="MN3143" s="37"/>
      <c r="MO3143" s="37"/>
      <c r="MP3143" s="37"/>
      <c r="MQ3143" s="37"/>
      <c r="MR3143" s="37"/>
      <c r="MS3143" s="37"/>
      <c r="MT3143" s="37"/>
      <c r="MU3143" s="37"/>
      <c r="MV3143" s="37"/>
      <c r="MW3143" s="37"/>
      <c r="MX3143" s="37"/>
      <c r="MY3143" s="37"/>
      <c r="MZ3143" s="37"/>
      <c r="NA3143" s="37"/>
      <c r="NB3143" s="37"/>
      <c r="NC3143" s="37"/>
      <c r="ND3143" s="37"/>
      <c r="NE3143" s="37"/>
      <c r="NF3143" s="37"/>
      <c r="NG3143" s="37"/>
      <c r="NH3143" s="37"/>
      <c r="NI3143" s="37"/>
      <c r="NJ3143" s="37"/>
      <c r="NK3143" s="37"/>
      <c r="NL3143" s="37"/>
      <c r="NM3143" s="37"/>
      <c r="NN3143" s="37"/>
      <c r="NO3143" s="37"/>
      <c r="NP3143" s="37"/>
      <c r="NQ3143" s="37"/>
      <c r="NR3143" s="37"/>
      <c r="NS3143" s="37"/>
      <c r="NT3143" s="37"/>
      <c r="NU3143" s="37"/>
      <c r="NV3143" s="37"/>
      <c r="NW3143" s="37"/>
      <c r="NX3143" s="37"/>
      <c r="NY3143" s="37"/>
      <c r="NZ3143" s="37"/>
      <c r="OA3143" s="37"/>
      <c r="OB3143" s="37"/>
      <c r="OC3143" s="37"/>
      <c r="OD3143" s="37"/>
      <c r="OE3143" s="37"/>
      <c r="OF3143" s="37"/>
      <c r="OG3143" s="37"/>
      <c r="OH3143" s="37"/>
      <c r="OI3143" s="37"/>
      <c r="OJ3143" s="37"/>
      <c r="OK3143" s="37"/>
      <c r="OL3143" s="37"/>
      <c r="OM3143" s="37"/>
      <c r="ON3143" s="37"/>
      <c r="OO3143" s="37"/>
      <c r="OP3143" s="37"/>
      <c r="OQ3143" s="37"/>
      <c r="OR3143" s="37"/>
      <c r="OS3143" s="37"/>
      <c r="OT3143" s="37"/>
      <c r="OU3143" s="37"/>
      <c r="OV3143" s="37"/>
      <c r="OW3143" s="37"/>
      <c r="OX3143" s="37"/>
      <c r="OY3143" s="37"/>
      <c r="OZ3143" s="37"/>
      <c r="PA3143" s="37"/>
      <c r="PB3143" s="37"/>
      <c r="PC3143" s="37"/>
      <c r="PD3143" s="37"/>
      <c r="PE3143" s="37"/>
      <c r="PF3143" s="37"/>
      <c r="PG3143" s="37"/>
      <c r="PH3143" s="37"/>
      <c r="PI3143" s="37"/>
      <c r="PJ3143" s="37"/>
      <c r="PK3143" s="37"/>
      <c r="PL3143" s="37"/>
      <c r="PM3143" s="37"/>
      <c r="PN3143" s="37"/>
      <c r="PO3143" s="37"/>
      <c r="PP3143" s="37"/>
      <c r="PQ3143" s="37"/>
      <c r="PR3143" s="37"/>
      <c r="PS3143" s="37"/>
      <c r="PT3143" s="37"/>
      <c r="PU3143" s="37"/>
      <c r="PV3143" s="37"/>
      <c r="PW3143" s="37"/>
      <c r="PX3143" s="37"/>
      <c r="PY3143" s="37"/>
      <c r="PZ3143" s="37"/>
      <c r="QA3143" s="37"/>
      <c r="QB3143" s="37"/>
      <c r="QC3143" s="37"/>
      <c r="QD3143" s="37"/>
      <c r="QE3143" s="37"/>
      <c r="QF3143" s="37"/>
      <c r="QG3143" s="37"/>
      <c r="QH3143" s="37"/>
      <c r="QI3143" s="37"/>
      <c r="QJ3143" s="37"/>
      <c r="QK3143" s="37"/>
      <c r="QL3143" s="37"/>
      <c r="QM3143" s="37"/>
      <c r="QN3143" s="37"/>
      <c r="QO3143" s="37"/>
      <c r="QP3143" s="37"/>
      <c r="QQ3143" s="37"/>
      <c r="QR3143" s="37"/>
      <c r="QS3143" s="37"/>
      <c r="QT3143" s="37"/>
      <c r="QU3143" s="37"/>
      <c r="QV3143" s="37"/>
      <c r="QW3143" s="37"/>
      <c r="QX3143" s="37"/>
      <c r="QY3143" s="37"/>
      <c r="QZ3143" s="37"/>
      <c r="RA3143" s="37"/>
      <c r="RB3143" s="37"/>
      <c r="RC3143" s="37"/>
      <c r="RD3143" s="37"/>
      <c r="RE3143" s="37"/>
      <c r="RF3143" s="37"/>
      <c r="RG3143" s="37"/>
      <c r="RH3143" s="37"/>
      <c r="RI3143" s="37"/>
      <c r="RJ3143" s="37"/>
      <c r="RK3143" s="37"/>
      <c r="RL3143" s="37"/>
      <c r="RM3143" s="37"/>
      <c r="RN3143" s="37"/>
      <c r="RO3143" s="37"/>
      <c r="RP3143" s="37"/>
      <c r="RQ3143" s="37"/>
      <c r="RR3143" s="37"/>
      <c r="RS3143" s="37"/>
      <c r="RT3143" s="37"/>
      <c r="RU3143" s="37"/>
      <c r="RV3143" s="37"/>
      <c r="RW3143" s="37"/>
      <c r="RX3143" s="37"/>
      <c r="RY3143" s="37"/>
      <c r="RZ3143" s="37"/>
      <c r="SA3143" s="37"/>
      <c r="SB3143" s="37"/>
      <c r="SC3143" s="37"/>
      <c r="SD3143" s="37"/>
      <c r="SE3143" s="37"/>
      <c r="SF3143" s="37"/>
    </row>
    <row r="3144" spans="1:500">
      <c r="A3144" s="37"/>
      <c r="B3144" s="37"/>
      <c r="C3144" s="37"/>
      <c r="D3144" s="37"/>
      <c r="E3144" s="37"/>
      <c r="F3144" s="37"/>
      <c r="G3144" s="37"/>
      <c r="H3144" s="37"/>
      <c r="I3144" s="37"/>
      <c r="J3144" s="37"/>
      <c r="K3144" s="37"/>
      <c r="L3144" s="37"/>
      <c r="M3144" s="37"/>
      <c r="N3144" s="37"/>
      <c r="O3144" s="37"/>
      <c r="P3144" s="37"/>
      <c r="Q3144" s="37"/>
      <c r="R3144" s="37"/>
      <c r="S3144" s="37"/>
      <c r="T3144" s="37"/>
      <c r="U3144" s="37"/>
      <c r="V3144" s="37"/>
      <c r="W3144" s="37"/>
      <c r="X3144" s="37"/>
      <c r="Y3144" s="37"/>
      <c r="Z3144" s="37"/>
      <c r="AA3144" s="37"/>
      <c r="AB3144" s="37"/>
      <c r="AC3144" s="37"/>
      <c r="AD3144" s="37"/>
      <c r="AE3144" s="37"/>
      <c r="AF3144" s="37"/>
      <c r="AG3144" s="37"/>
      <c r="AH3144" s="37"/>
      <c r="AI3144" s="37"/>
      <c r="AJ3144" s="37"/>
      <c r="AK3144" s="37"/>
      <c r="AL3144" s="37"/>
      <c r="AM3144" s="37"/>
      <c r="AN3144" s="37"/>
      <c r="AO3144" s="37"/>
      <c r="AP3144" s="37"/>
      <c r="AQ3144" s="37"/>
      <c r="AR3144" s="37"/>
      <c r="AS3144" s="37"/>
      <c r="AT3144" s="37"/>
      <c r="AU3144" s="37"/>
      <c r="AV3144" s="37"/>
      <c r="AW3144" s="37"/>
      <c r="AX3144" s="37"/>
      <c r="AY3144" s="37"/>
      <c r="AZ3144" s="37"/>
      <c r="BA3144" s="37"/>
      <c r="BB3144" s="37"/>
      <c r="BC3144" s="37"/>
      <c r="BD3144" s="37"/>
      <c r="BE3144" s="37"/>
      <c r="BF3144" s="37"/>
      <c r="BG3144" s="37"/>
      <c r="BH3144" s="37"/>
      <c r="BI3144" s="37"/>
      <c r="BJ3144" s="37"/>
      <c r="BK3144" s="37"/>
      <c r="BL3144" s="37"/>
      <c r="BM3144" s="37"/>
      <c r="BN3144" s="37"/>
      <c r="BO3144" s="37"/>
      <c r="BP3144" s="37"/>
      <c r="BQ3144" s="37"/>
      <c r="BR3144" s="37"/>
      <c r="BS3144" s="37"/>
      <c r="BT3144" s="37"/>
      <c r="BU3144" s="37"/>
      <c r="BV3144" s="37"/>
      <c r="BW3144" s="37"/>
      <c r="BX3144" s="37"/>
      <c r="BY3144" s="37"/>
      <c r="BZ3144" s="37"/>
      <c r="CA3144" s="37"/>
      <c r="CB3144" s="37"/>
      <c r="CC3144" s="37"/>
      <c r="CD3144" s="37"/>
      <c r="CE3144" s="37"/>
      <c r="CF3144" s="37"/>
      <c r="CG3144" s="37"/>
      <c r="CH3144" s="37"/>
      <c r="CI3144" s="37"/>
      <c r="CJ3144" s="37"/>
      <c r="CK3144" s="37"/>
      <c r="CL3144" s="37"/>
      <c r="CM3144" s="37"/>
      <c r="CN3144" s="37"/>
      <c r="CO3144" s="37"/>
      <c r="CP3144" s="37"/>
      <c r="CQ3144" s="37"/>
      <c r="CR3144" s="37"/>
      <c r="CS3144" s="37"/>
      <c r="CT3144" s="37"/>
      <c r="CU3144" s="37"/>
      <c r="CV3144" s="37"/>
      <c r="CW3144" s="37"/>
      <c r="CX3144" s="37"/>
      <c r="CY3144" s="37"/>
      <c r="CZ3144" s="37"/>
      <c r="DA3144" s="37"/>
      <c r="DB3144" s="37"/>
      <c r="DC3144" s="37"/>
      <c r="DD3144" s="37"/>
      <c r="DE3144" s="37"/>
      <c r="DF3144" s="37"/>
      <c r="DG3144" s="37"/>
      <c r="DH3144" s="37"/>
      <c r="DI3144" s="37"/>
      <c r="DJ3144" s="37"/>
      <c r="DK3144" s="37"/>
      <c r="DL3144" s="37"/>
      <c r="DM3144" s="37"/>
      <c r="DN3144" s="37"/>
      <c r="DO3144" s="37"/>
      <c r="DP3144" s="37"/>
      <c r="DQ3144" s="37"/>
      <c r="DR3144" s="37"/>
      <c r="DS3144" s="37"/>
      <c r="DT3144" s="37"/>
      <c r="DU3144" s="37"/>
      <c r="DV3144" s="37"/>
      <c r="DW3144" s="37"/>
      <c r="DX3144" s="37"/>
      <c r="DY3144" s="37"/>
      <c r="DZ3144" s="37"/>
      <c r="EA3144" s="37"/>
      <c r="EB3144" s="37"/>
      <c r="EC3144" s="37"/>
      <c r="ED3144" s="37"/>
      <c r="EE3144" s="37"/>
      <c r="EF3144" s="37"/>
      <c r="EG3144" s="37"/>
      <c r="EH3144" s="37"/>
      <c r="EI3144" s="37"/>
      <c r="EJ3144" s="37"/>
      <c r="EK3144" s="37"/>
      <c r="EL3144" s="37"/>
      <c r="EM3144" s="37"/>
      <c r="EN3144" s="37"/>
      <c r="EO3144" s="37"/>
      <c r="EP3144" s="37"/>
      <c r="EQ3144" s="37"/>
      <c r="ER3144" s="37"/>
      <c r="ES3144" s="37"/>
      <c r="ET3144" s="37"/>
      <c r="EU3144" s="37"/>
      <c r="EV3144" s="37"/>
      <c r="EW3144" s="37"/>
      <c r="EX3144" s="37"/>
      <c r="EY3144" s="37"/>
      <c r="EZ3144" s="37"/>
      <c r="FA3144" s="37"/>
      <c r="FB3144" s="37"/>
      <c r="FC3144" s="37"/>
      <c r="FD3144" s="37"/>
      <c r="FE3144" s="37"/>
      <c r="FF3144" s="37"/>
      <c r="FG3144" s="37"/>
      <c r="FH3144" s="37"/>
      <c r="FI3144" s="37"/>
      <c r="FJ3144" s="37"/>
      <c r="FK3144" s="37"/>
      <c r="FL3144" s="37"/>
      <c r="FM3144" s="37"/>
      <c r="FN3144" s="37"/>
      <c r="FO3144" s="37"/>
      <c r="FP3144" s="37"/>
      <c r="FQ3144" s="37"/>
      <c r="FR3144" s="37"/>
      <c r="FS3144" s="37"/>
      <c r="FT3144" s="37"/>
      <c r="FU3144" s="37"/>
      <c r="FV3144" s="37"/>
      <c r="FW3144" s="37"/>
      <c r="FX3144" s="37"/>
      <c r="FY3144" s="37"/>
      <c r="FZ3144" s="37"/>
      <c r="GA3144" s="37"/>
      <c r="GB3144" s="37"/>
      <c r="GC3144" s="37"/>
      <c r="GD3144" s="37"/>
      <c r="GE3144" s="37"/>
      <c r="GF3144" s="37"/>
      <c r="GG3144" s="37"/>
      <c r="GH3144" s="37"/>
      <c r="GI3144" s="37"/>
      <c r="GJ3144" s="37"/>
      <c r="GK3144" s="37"/>
      <c r="GL3144" s="37"/>
      <c r="GM3144" s="37"/>
      <c r="GN3144" s="37"/>
      <c r="GO3144" s="37"/>
      <c r="GP3144" s="37"/>
      <c r="GQ3144" s="37"/>
      <c r="GR3144" s="37"/>
      <c r="GS3144" s="37"/>
      <c r="GT3144" s="37"/>
      <c r="GU3144" s="37"/>
      <c r="GV3144" s="37"/>
      <c r="GW3144" s="37"/>
      <c r="GX3144" s="37"/>
      <c r="GY3144" s="37"/>
      <c r="GZ3144" s="37"/>
      <c r="HA3144" s="37"/>
      <c r="HB3144" s="37"/>
      <c r="HC3144" s="37"/>
      <c r="HD3144" s="37"/>
      <c r="HE3144" s="37"/>
      <c r="HF3144" s="37"/>
      <c r="HG3144" s="37"/>
      <c r="HH3144" s="37"/>
      <c r="HI3144" s="37"/>
      <c r="HJ3144" s="37"/>
      <c r="HK3144" s="37"/>
      <c r="HL3144" s="37"/>
      <c r="HM3144" s="37"/>
      <c r="HN3144" s="37"/>
      <c r="HO3144" s="37"/>
      <c r="HP3144" s="37"/>
      <c r="HQ3144" s="37"/>
      <c r="HR3144" s="37"/>
      <c r="HS3144" s="37"/>
      <c r="HT3144" s="37"/>
      <c r="HU3144" s="37"/>
      <c r="HV3144" s="37"/>
      <c r="HW3144" s="37"/>
      <c r="HX3144" s="37"/>
      <c r="HY3144" s="37"/>
      <c r="HZ3144" s="37"/>
      <c r="IA3144" s="37"/>
      <c r="IB3144" s="37"/>
      <c r="IC3144" s="37"/>
      <c r="ID3144" s="37"/>
      <c r="IE3144" s="37"/>
      <c r="IF3144" s="37"/>
      <c r="IG3144" s="37"/>
      <c r="IH3144" s="37"/>
      <c r="II3144" s="37"/>
      <c r="IJ3144" s="37"/>
      <c r="IK3144" s="37"/>
      <c r="IL3144" s="37"/>
      <c r="IM3144" s="37"/>
      <c r="IN3144" s="37"/>
      <c r="IO3144" s="37"/>
      <c r="IP3144" s="37"/>
      <c r="IQ3144" s="37"/>
      <c r="IR3144" s="37"/>
      <c r="IS3144" s="37"/>
      <c r="IT3144" s="37"/>
      <c r="IU3144" s="37"/>
      <c r="IV3144" s="37"/>
      <c r="IW3144" s="37"/>
      <c r="IX3144" s="37"/>
      <c r="IY3144" s="37"/>
      <c r="IZ3144" s="37"/>
      <c r="JA3144" s="37"/>
      <c r="JB3144" s="37"/>
      <c r="JC3144" s="37"/>
      <c r="JD3144" s="37"/>
      <c r="JE3144" s="37"/>
      <c r="JF3144" s="37"/>
      <c r="JG3144" s="37"/>
      <c r="JH3144" s="37"/>
      <c r="JI3144" s="37"/>
      <c r="JJ3144" s="37"/>
      <c r="JK3144" s="37"/>
      <c r="JL3144" s="37"/>
      <c r="JM3144" s="37"/>
      <c r="JN3144" s="37"/>
      <c r="JO3144" s="37"/>
      <c r="JP3144" s="37"/>
      <c r="JQ3144" s="37"/>
      <c r="JR3144" s="37"/>
      <c r="JS3144" s="37"/>
      <c r="JT3144" s="37"/>
      <c r="JU3144" s="37"/>
      <c r="JV3144" s="37"/>
      <c r="JW3144" s="37"/>
      <c r="JX3144" s="37"/>
      <c r="JY3144" s="37"/>
      <c r="JZ3144" s="37"/>
      <c r="KA3144" s="37"/>
      <c r="KB3144" s="37"/>
      <c r="KC3144" s="37"/>
      <c r="KD3144" s="37"/>
      <c r="KE3144" s="37"/>
      <c r="KF3144" s="37"/>
      <c r="KG3144" s="37"/>
      <c r="KH3144" s="37"/>
      <c r="KI3144" s="37"/>
      <c r="KJ3144" s="37"/>
      <c r="KK3144" s="37"/>
      <c r="KL3144" s="37"/>
      <c r="KM3144" s="37"/>
      <c r="KN3144" s="37"/>
      <c r="KO3144" s="37"/>
      <c r="KP3144" s="37"/>
      <c r="KQ3144" s="37"/>
      <c r="KR3144" s="37"/>
      <c r="KS3144" s="37"/>
      <c r="KT3144" s="37"/>
      <c r="KU3144" s="37"/>
      <c r="KV3144" s="37"/>
      <c r="KW3144" s="37"/>
      <c r="KX3144" s="37"/>
      <c r="KY3144" s="37"/>
      <c r="KZ3144" s="37"/>
      <c r="LA3144" s="37"/>
      <c r="LB3144" s="37"/>
      <c r="LC3144" s="37"/>
      <c r="LD3144" s="37"/>
      <c r="LE3144" s="37"/>
      <c r="LF3144" s="37"/>
      <c r="LG3144" s="37"/>
      <c r="LH3144" s="37"/>
      <c r="LI3144" s="37"/>
      <c r="LJ3144" s="37"/>
      <c r="LK3144" s="37"/>
      <c r="LL3144" s="37"/>
      <c r="LM3144" s="37"/>
      <c r="LN3144" s="37"/>
      <c r="LO3144" s="37"/>
      <c r="LP3144" s="37"/>
      <c r="LQ3144" s="37"/>
      <c r="LR3144" s="37"/>
      <c r="LS3144" s="37"/>
      <c r="LT3144" s="37"/>
      <c r="LU3144" s="37"/>
      <c r="LV3144" s="37"/>
      <c r="LW3144" s="37"/>
      <c r="LX3144" s="37"/>
      <c r="LY3144" s="37"/>
      <c r="LZ3144" s="37"/>
      <c r="MA3144" s="37"/>
      <c r="MB3144" s="37"/>
      <c r="MC3144" s="37"/>
      <c r="MD3144" s="37"/>
      <c r="ME3144" s="37"/>
      <c r="MF3144" s="37"/>
      <c r="MG3144" s="37"/>
      <c r="MH3144" s="37"/>
      <c r="MI3144" s="37"/>
      <c r="MJ3144" s="37"/>
      <c r="MK3144" s="37"/>
      <c r="ML3144" s="37"/>
      <c r="MM3144" s="37"/>
      <c r="MN3144" s="37"/>
      <c r="MO3144" s="37"/>
      <c r="MP3144" s="37"/>
      <c r="MQ3144" s="37"/>
      <c r="MR3144" s="37"/>
      <c r="MS3144" s="37"/>
      <c r="MT3144" s="37"/>
      <c r="MU3144" s="37"/>
      <c r="MV3144" s="37"/>
      <c r="MW3144" s="37"/>
      <c r="MX3144" s="37"/>
      <c r="MY3144" s="37"/>
      <c r="MZ3144" s="37"/>
      <c r="NA3144" s="37"/>
      <c r="NB3144" s="37"/>
      <c r="NC3144" s="37"/>
      <c r="ND3144" s="37"/>
      <c r="NE3144" s="37"/>
      <c r="NF3144" s="37"/>
      <c r="NG3144" s="37"/>
      <c r="NH3144" s="37"/>
      <c r="NI3144" s="37"/>
      <c r="NJ3144" s="37"/>
      <c r="NK3144" s="37"/>
      <c r="NL3144" s="37"/>
      <c r="NM3144" s="37"/>
      <c r="NN3144" s="37"/>
      <c r="NO3144" s="37"/>
      <c r="NP3144" s="37"/>
      <c r="NQ3144" s="37"/>
      <c r="NR3144" s="37"/>
      <c r="NS3144" s="37"/>
      <c r="NT3144" s="37"/>
      <c r="NU3144" s="37"/>
      <c r="NV3144" s="37"/>
      <c r="NW3144" s="37"/>
      <c r="NX3144" s="37"/>
      <c r="NY3144" s="37"/>
      <c r="NZ3144" s="37"/>
      <c r="OA3144" s="37"/>
      <c r="OB3144" s="37"/>
      <c r="OC3144" s="37"/>
      <c r="OD3144" s="37"/>
      <c r="OE3144" s="37"/>
      <c r="OF3144" s="37"/>
      <c r="OG3144" s="37"/>
      <c r="OH3144" s="37"/>
      <c r="OI3144" s="37"/>
      <c r="OJ3144" s="37"/>
      <c r="OK3144" s="37"/>
      <c r="OL3144" s="37"/>
      <c r="OM3144" s="37"/>
      <c r="ON3144" s="37"/>
      <c r="OO3144" s="37"/>
      <c r="OP3144" s="37"/>
      <c r="OQ3144" s="37"/>
      <c r="OR3144" s="37"/>
      <c r="OS3144" s="37"/>
      <c r="OT3144" s="37"/>
      <c r="OU3144" s="37"/>
      <c r="OV3144" s="37"/>
      <c r="OW3144" s="37"/>
      <c r="OX3144" s="37"/>
      <c r="OY3144" s="37"/>
      <c r="OZ3144" s="37"/>
      <c r="PA3144" s="37"/>
      <c r="PB3144" s="37"/>
      <c r="PC3144" s="37"/>
      <c r="PD3144" s="37"/>
      <c r="PE3144" s="37"/>
      <c r="PF3144" s="37"/>
      <c r="PG3144" s="37"/>
      <c r="PH3144" s="37"/>
      <c r="PI3144" s="37"/>
      <c r="PJ3144" s="37"/>
      <c r="PK3144" s="37"/>
      <c r="PL3144" s="37"/>
      <c r="PM3144" s="37"/>
      <c r="PN3144" s="37"/>
      <c r="PO3144" s="37"/>
      <c r="PP3144" s="37"/>
      <c r="PQ3144" s="37"/>
      <c r="PR3144" s="37"/>
      <c r="PS3144" s="37"/>
      <c r="PT3144" s="37"/>
      <c r="PU3144" s="37"/>
      <c r="PV3144" s="37"/>
      <c r="PW3144" s="37"/>
      <c r="PX3144" s="37"/>
      <c r="PY3144" s="37"/>
      <c r="PZ3144" s="37"/>
      <c r="QA3144" s="37"/>
      <c r="QB3144" s="37"/>
      <c r="QC3144" s="37"/>
      <c r="QD3144" s="37"/>
      <c r="QE3144" s="37"/>
      <c r="QF3144" s="37"/>
      <c r="QG3144" s="37"/>
      <c r="QH3144" s="37"/>
      <c r="QI3144" s="37"/>
      <c r="QJ3144" s="37"/>
      <c r="QK3144" s="37"/>
      <c r="QL3144" s="37"/>
      <c r="QM3144" s="37"/>
      <c r="QN3144" s="37"/>
      <c r="QO3144" s="37"/>
      <c r="QP3144" s="37"/>
      <c r="QQ3144" s="37"/>
      <c r="QR3144" s="37"/>
      <c r="QS3144" s="37"/>
      <c r="QT3144" s="37"/>
      <c r="QU3144" s="37"/>
      <c r="QV3144" s="37"/>
      <c r="QW3144" s="37"/>
      <c r="QX3144" s="37"/>
      <c r="QY3144" s="37"/>
      <c r="QZ3144" s="37"/>
      <c r="RA3144" s="37"/>
      <c r="RB3144" s="37"/>
      <c r="RC3144" s="37"/>
      <c r="RD3144" s="37"/>
      <c r="RE3144" s="37"/>
      <c r="RF3144" s="37"/>
      <c r="RG3144" s="37"/>
      <c r="RH3144" s="37"/>
      <c r="RI3144" s="37"/>
      <c r="RJ3144" s="37"/>
      <c r="RK3144" s="37"/>
      <c r="RL3144" s="37"/>
      <c r="RM3144" s="37"/>
      <c r="RN3144" s="37"/>
      <c r="RO3144" s="37"/>
      <c r="RP3144" s="37"/>
      <c r="RQ3144" s="37"/>
      <c r="RR3144" s="37"/>
      <c r="RS3144" s="37"/>
      <c r="RT3144" s="37"/>
      <c r="RU3144" s="37"/>
      <c r="RV3144" s="37"/>
      <c r="RW3144" s="37"/>
      <c r="RX3144" s="37"/>
      <c r="RY3144" s="37"/>
      <c r="RZ3144" s="37"/>
      <c r="SA3144" s="37"/>
      <c r="SB3144" s="37"/>
      <c r="SC3144" s="37"/>
      <c r="SD3144" s="37"/>
      <c r="SE3144" s="37"/>
      <c r="SF3144" s="37"/>
    </row>
    <row r="3145" spans="1:500">
      <c r="A3145" s="37"/>
      <c r="B3145" s="37"/>
      <c r="C3145" s="37"/>
      <c r="D3145" s="37"/>
      <c r="E3145" s="37"/>
      <c r="F3145" s="37"/>
      <c r="G3145" s="37"/>
      <c r="H3145" s="37"/>
      <c r="I3145" s="37"/>
      <c r="J3145" s="37"/>
      <c r="K3145" s="37"/>
      <c r="L3145" s="37"/>
      <c r="M3145" s="37"/>
      <c r="N3145" s="37"/>
      <c r="O3145" s="37"/>
      <c r="P3145" s="37"/>
      <c r="Q3145" s="37"/>
      <c r="R3145" s="37"/>
      <c r="S3145" s="37"/>
      <c r="T3145" s="37"/>
      <c r="U3145" s="37"/>
      <c r="V3145" s="37"/>
      <c r="W3145" s="37"/>
      <c r="X3145" s="37"/>
      <c r="Y3145" s="37"/>
      <c r="Z3145" s="37"/>
      <c r="AA3145" s="37"/>
      <c r="AB3145" s="37"/>
      <c r="AC3145" s="37"/>
      <c r="AD3145" s="37"/>
      <c r="AE3145" s="37"/>
      <c r="AF3145" s="37"/>
      <c r="AG3145" s="37"/>
      <c r="AH3145" s="37"/>
      <c r="AI3145" s="37"/>
      <c r="AJ3145" s="37"/>
      <c r="AK3145" s="37"/>
      <c r="AL3145" s="37"/>
      <c r="AM3145" s="37"/>
      <c r="AN3145" s="37"/>
      <c r="AO3145" s="37"/>
      <c r="AP3145" s="37"/>
      <c r="AQ3145" s="37"/>
      <c r="AR3145" s="37"/>
      <c r="AS3145" s="37"/>
      <c r="AT3145" s="37"/>
      <c r="AU3145" s="37"/>
      <c r="AV3145" s="37"/>
      <c r="AW3145" s="37"/>
      <c r="AX3145" s="37"/>
      <c r="AY3145" s="37"/>
      <c r="AZ3145" s="37"/>
      <c r="BA3145" s="37"/>
      <c r="BB3145" s="37"/>
      <c r="BC3145" s="37"/>
      <c r="BD3145" s="37"/>
      <c r="BE3145" s="37"/>
      <c r="BF3145" s="37"/>
      <c r="BG3145" s="37"/>
      <c r="BH3145" s="37"/>
      <c r="BI3145" s="37"/>
      <c r="BJ3145" s="37"/>
      <c r="BK3145" s="37"/>
      <c r="BL3145" s="37"/>
      <c r="BM3145" s="37"/>
      <c r="BN3145" s="37"/>
      <c r="BO3145" s="37"/>
      <c r="BP3145" s="37"/>
      <c r="BQ3145" s="37"/>
      <c r="BR3145" s="37"/>
      <c r="BS3145" s="37"/>
      <c r="BT3145" s="37"/>
      <c r="BU3145" s="37"/>
      <c r="BV3145" s="37"/>
      <c r="BW3145" s="37"/>
      <c r="BX3145" s="37"/>
      <c r="BY3145" s="37"/>
      <c r="BZ3145" s="37"/>
      <c r="CA3145" s="37"/>
      <c r="CB3145" s="37"/>
      <c r="CC3145" s="37"/>
      <c r="CD3145" s="37"/>
      <c r="CE3145" s="37"/>
      <c r="CF3145" s="37"/>
      <c r="CG3145" s="37"/>
      <c r="CH3145" s="37"/>
      <c r="CI3145" s="37"/>
      <c r="CJ3145" s="37"/>
      <c r="CK3145" s="37"/>
      <c r="CL3145" s="37"/>
      <c r="CM3145" s="37"/>
      <c r="CN3145" s="37"/>
      <c r="CO3145" s="37"/>
      <c r="CP3145" s="37"/>
      <c r="CQ3145" s="37"/>
      <c r="CR3145" s="37"/>
      <c r="CS3145" s="37"/>
      <c r="CT3145" s="37"/>
      <c r="CU3145" s="37"/>
      <c r="CV3145" s="37"/>
      <c r="CW3145" s="37"/>
      <c r="CX3145" s="37"/>
      <c r="CY3145" s="37"/>
      <c r="CZ3145" s="37"/>
      <c r="DA3145" s="37"/>
      <c r="DB3145" s="37"/>
      <c r="DC3145" s="37"/>
      <c r="DD3145" s="37"/>
      <c r="DE3145" s="37"/>
      <c r="DF3145" s="37"/>
      <c r="DG3145" s="37"/>
      <c r="DH3145" s="37"/>
      <c r="DI3145" s="37"/>
      <c r="DJ3145" s="37"/>
      <c r="DK3145" s="37"/>
      <c r="DL3145" s="37"/>
      <c r="DM3145" s="37"/>
      <c r="DN3145" s="37"/>
      <c r="DO3145" s="37"/>
      <c r="DP3145" s="37"/>
      <c r="DQ3145" s="37"/>
      <c r="DR3145" s="37"/>
      <c r="DS3145" s="37"/>
      <c r="DT3145" s="37"/>
      <c r="DU3145" s="37"/>
      <c r="DV3145" s="37"/>
      <c r="DW3145" s="37"/>
      <c r="DX3145" s="37"/>
      <c r="DY3145" s="37"/>
      <c r="DZ3145" s="37"/>
      <c r="EA3145" s="37"/>
      <c r="EB3145" s="37"/>
      <c r="EC3145" s="37"/>
      <c r="ED3145" s="37"/>
      <c r="EE3145" s="37"/>
      <c r="EF3145" s="37"/>
      <c r="EG3145" s="37"/>
      <c r="EH3145" s="37"/>
      <c r="EI3145" s="37"/>
      <c r="EJ3145" s="37"/>
      <c r="EK3145" s="37"/>
      <c r="EL3145" s="37"/>
      <c r="EM3145" s="37"/>
      <c r="EN3145" s="37"/>
      <c r="EO3145" s="37"/>
      <c r="EP3145" s="37"/>
      <c r="EQ3145" s="37"/>
      <c r="ER3145" s="37"/>
      <c r="ES3145" s="37"/>
      <c r="ET3145" s="37"/>
      <c r="EU3145" s="37"/>
      <c r="EV3145" s="37"/>
      <c r="EW3145" s="37"/>
      <c r="EX3145" s="37"/>
      <c r="EY3145" s="37"/>
      <c r="EZ3145" s="37"/>
      <c r="FA3145" s="37"/>
      <c r="FB3145" s="37"/>
      <c r="FC3145" s="37"/>
      <c r="FD3145" s="37"/>
      <c r="FE3145" s="37"/>
      <c r="FF3145" s="37"/>
      <c r="FG3145" s="37"/>
      <c r="FH3145" s="37"/>
      <c r="FI3145" s="37"/>
      <c r="FJ3145" s="37"/>
      <c r="FK3145" s="37"/>
      <c r="FL3145" s="37"/>
      <c r="FM3145" s="37"/>
      <c r="FN3145" s="37"/>
      <c r="FO3145" s="37"/>
      <c r="FP3145" s="37"/>
      <c r="FQ3145" s="37"/>
      <c r="FR3145" s="37"/>
      <c r="FS3145" s="37"/>
      <c r="FT3145" s="37"/>
      <c r="FU3145" s="37"/>
      <c r="FV3145" s="37"/>
      <c r="FW3145" s="37"/>
      <c r="FX3145" s="37"/>
      <c r="FY3145" s="37"/>
      <c r="FZ3145" s="37"/>
      <c r="GA3145" s="37"/>
      <c r="GB3145" s="37"/>
      <c r="GC3145" s="37"/>
      <c r="GD3145" s="37"/>
      <c r="GE3145" s="37"/>
      <c r="GF3145" s="37"/>
      <c r="GG3145" s="37"/>
      <c r="GH3145" s="37"/>
      <c r="GI3145" s="37"/>
      <c r="GJ3145" s="37"/>
      <c r="GK3145" s="37"/>
      <c r="GL3145" s="37"/>
      <c r="GM3145" s="37"/>
      <c r="GN3145" s="37"/>
      <c r="GO3145" s="37"/>
      <c r="GP3145" s="37"/>
      <c r="GQ3145" s="37"/>
      <c r="GR3145" s="37"/>
      <c r="GS3145" s="37"/>
      <c r="GT3145" s="37"/>
      <c r="GU3145" s="37"/>
      <c r="GV3145" s="37"/>
      <c r="GW3145" s="37"/>
      <c r="GX3145" s="37"/>
      <c r="GY3145" s="37"/>
      <c r="GZ3145" s="37"/>
      <c r="HA3145" s="37"/>
      <c r="HB3145" s="37"/>
      <c r="HC3145" s="37"/>
      <c r="HD3145" s="37"/>
      <c r="HE3145" s="37"/>
      <c r="HF3145" s="37"/>
      <c r="HG3145" s="37"/>
      <c r="HH3145" s="37"/>
      <c r="HI3145" s="37"/>
      <c r="HJ3145" s="37"/>
      <c r="HK3145" s="37"/>
      <c r="HL3145" s="37"/>
      <c r="HM3145" s="37"/>
      <c r="HN3145" s="37"/>
      <c r="HO3145" s="37"/>
      <c r="HP3145" s="37"/>
      <c r="HQ3145" s="37"/>
      <c r="HR3145" s="37"/>
      <c r="HS3145" s="37"/>
      <c r="HT3145" s="37"/>
      <c r="HU3145" s="37"/>
      <c r="HV3145" s="37"/>
      <c r="HW3145" s="37"/>
      <c r="HX3145" s="37"/>
      <c r="HY3145" s="37"/>
      <c r="HZ3145" s="37"/>
      <c r="IA3145" s="37"/>
      <c r="IB3145" s="37"/>
      <c r="IC3145" s="37"/>
      <c r="ID3145" s="37"/>
      <c r="IE3145" s="37"/>
      <c r="IF3145" s="37"/>
      <c r="IG3145" s="37"/>
      <c r="IH3145" s="37"/>
      <c r="II3145" s="37"/>
      <c r="IJ3145" s="37"/>
      <c r="IK3145" s="37"/>
      <c r="IL3145" s="37"/>
      <c r="IM3145" s="37"/>
      <c r="IN3145" s="37"/>
      <c r="IO3145" s="37"/>
      <c r="IP3145" s="37"/>
      <c r="IQ3145" s="37"/>
      <c r="IR3145" s="37"/>
      <c r="IS3145" s="37"/>
      <c r="IT3145" s="37"/>
      <c r="IU3145" s="37"/>
      <c r="IV3145" s="37"/>
      <c r="IW3145" s="37"/>
      <c r="IX3145" s="37"/>
      <c r="IY3145" s="37"/>
      <c r="IZ3145" s="37"/>
      <c r="JA3145" s="37"/>
      <c r="JB3145" s="37"/>
      <c r="JC3145" s="37"/>
      <c r="JD3145" s="37"/>
      <c r="JE3145" s="37"/>
      <c r="JF3145" s="37"/>
      <c r="JG3145" s="37"/>
      <c r="JH3145" s="37"/>
      <c r="JI3145" s="37"/>
      <c r="JJ3145" s="37"/>
      <c r="JK3145" s="37"/>
      <c r="JL3145" s="37"/>
      <c r="JM3145" s="37"/>
      <c r="JN3145" s="37"/>
      <c r="JO3145" s="37"/>
      <c r="JP3145" s="37"/>
      <c r="JQ3145" s="37"/>
      <c r="JR3145" s="37"/>
      <c r="JS3145" s="37"/>
      <c r="JT3145" s="37"/>
      <c r="JU3145" s="37"/>
      <c r="JV3145" s="37"/>
      <c r="JW3145" s="37"/>
      <c r="JX3145" s="37"/>
      <c r="JY3145" s="37"/>
      <c r="JZ3145" s="37"/>
      <c r="KA3145" s="37"/>
      <c r="KB3145" s="37"/>
      <c r="KC3145" s="37"/>
      <c r="KD3145" s="37"/>
      <c r="KE3145" s="37"/>
      <c r="KF3145" s="37"/>
      <c r="KG3145" s="37"/>
      <c r="KH3145" s="37"/>
      <c r="KI3145" s="37"/>
      <c r="KJ3145" s="37"/>
      <c r="KK3145" s="37"/>
      <c r="KL3145" s="37"/>
      <c r="KM3145" s="37"/>
      <c r="KN3145" s="37"/>
      <c r="KO3145" s="37"/>
      <c r="KP3145" s="37"/>
      <c r="KQ3145" s="37"/>
      <c r="KR3145" s="37"/>
      <c r="KS3145" s="37"/>
      <c r="KT3145" s="37"/>
      <c r="KU3145" s="37"/>
      <c r="KV3145" s="37"/>
      <c r="KW3145" s="37"/>
      <c r="KX3145" s="37"/>
      <c r="KY3145" s="37"/>
      <c r="KZ3145" s="37"/>
      <c r="LA3145" s="37"/>
      <c r="LB3145" s="37"/>
      <c r="LC3145" s="37"/>
      <c r="LD3145" s="37"/>
      <c r="LE3145" s="37"/>
      <c r="LF3145" s="37"/>
      <c r="LG3145" s="37"/>
      <c r="LH3145" s="37"/>
      <c r="LI3145" s="37"/>
      <c r="LJ3145" s="37"/>
      <c r="LK3145" s="37"/>
      <c r="LL3145" s="37"/>
      <c r="LM3145" s="37"/>
      <c r="LN3145" s="37"/>
      <c r="LO3145" s="37"/>
      <c r="LP3145" s="37"/>
      <c r="LQ3145" s="37"/>
      <c r="LR3145" s="37"/>
      <c r="LS3145" s="37"/>
      <c r="LT3145" s="37"/>
      <c r="LU3145" s="37"/>
      <c r="LV3145" s="37"/>
      <c r="LW3145" s="37"/>
      <c r="LX3145" s="37"/>
      <c r="LY3145" s="37"/>
      <c r="LZ3145" s="37"/>
      <c r="MA3145" s="37"/>
      <c r="MB3145" s="37"/>
      <c r="MC3145" s="37"/>
      <c r="MD3145" s="37"/>
      <c r="ME3145" s="37"/>
      <c r="MF3145" s="37"/>
      <c r="MG3145" s="37"/>
      <c r="MH3145" s="37"/>
      <c r="MI3145" s="37"/>
      <c r="MJ3145" s="37"/>
      <c r="MK3145" s="37"/>
      <c r="ML3145" s="37"/>
      <c r="MM3145" s="37"/>
      <c r="MN3145" s="37"/>
      <c r="MO3145" s="37"/>
      <c r="MP3145" s="37"/>
      <c r="MQ3145" s="37"/>
      <c r="MR3145" s="37"/>
      <c r="MS3145" s="37"/>
      <c r="MT3145" s="37"/>
      <c r="MU3145" s="37"/>
      <c r="MV3145" s="37"/>
      <c r="MW3145" s="37"/>
      <c r="MX3145" s="37"/>
      <c r="MY3145" s="37"/>
      <c r="MZ3145" s="37"/>
      <c r="NA3145" s="37"/>
      <c r="NB3145" s="37"/>
      <c r="NC3145" s="37"/>
      <c r="ND3145" s="37"/>
      <c r="NE3145" s="37"/>
      <c r="NF3145" s="37"/>
      <c r="NG3145" s="37"/>
      <c r="NH3145" s="37"/>
      <c r="NI3145" s="37"/>
      <c r="NJ3145" s="37"/>
      <c r="NK3145" s="37"/>
      <c r="NL3145" s="37"/>
      <c r="NM3145" s="37"/>
      <c r="NN3145" s="37"/>
      <c r="NO3145" s="37"/>
      <c r="NP3145" s="37"/>
      <c r="NQ3145" s="37"/>
      <c r="NR3145" s="37"/>
      <c r="NS3145" s="37"/>
      <c r="NT3145" s="37"/>
      <c r="NU3145" s="37"/>
      <c r="NV3145" s="37"/>
      <c r="NW3145" s="37"/>
      <c r="NX3145" s="37"/>
      <c r="NY3145" s="37"/>
      <c r="NZ3145" s="37"/>
      <c r="OA3145" s="37"/>
      <c r="OB3145" s="37"/>
      <c r="OC3145" s="37"/>
      <c r="OD3145" s="37"/>
      <c r="OE3145" s="37"/>
      <c r="OF3145" s="37"/>
      <c r="OG3145" s="37"/>
      <c r="OH3145" s="37"/>
      <c r="OI3145" s="37"/>
      <c r="OJ3145" s="37"/>
      <c r="OK3145" s="37"/>
      <c r="OL3145" s="37"/>
      <c r="OM3145" s="37"/>
      <c r="ON3145" s="37"/>
      <c r="OO3145" s="37"/>
      <c r="OP3145" s="37"/>
      <c r="OQ3145" s="37"/>
      <c r="OR3145" s="37"/>
      <c r="OS3145" s="37"/>
      <c r="OT3145" s="37"/>
      <c r="OU3145" s="37"/>
      <c r="OV3145" s="37"/>
      <c r="OW3145" s="37"/>
      <c r="OX3145" s="37"/>
      <c r="OY3145" s="37"/>
      <c r="OZ3145" s="37"/>
      <c r="PA3145" s="37"/>
      <c r="PB3145" s="37"/>
      <c r="PC3145" s="37"/>
      <c r="PD3145" s="37"/>
      <c r="PE3145" s="37"/>
      <c r="PF3145" s="37"/>
      <c r="PG3145" s="37"/>
      <c r="PH3145" s="37"/>
      <c r="PI3145" s="37"/>
      <c r="PJ3145" s="37"/>
      <c r="PK3145" s="37"/>
      <c r="PL3145" s="37"/>
      <c r="PM3145" s="37"/>
      <c r="PN3145" s="37"/>
      <c r="PO3145" s="37"/>
      <c r="PP3145" s="37"/>
      <c r="PQ3145" s="37"/>
      <c r="PR3145" s="37"/>
      <c r="PS3145" s="37"/>
      <c r="PT3145" s="37"/>
      <c r="PU3145" s="37"/>
      <c r="PV3145" s="37"/>
      <c r="PW3145" s="37"/>
      <c r="PX3145" s="37"/>
      <c r="PY3145" s="37"/>
      <c r="PZ3145" s="37"/>
      <c r="QA3145" s="37"/>
      <c r="QB3145" s="37"/>
      <c r="QC3145" s="37"/>
      <c r="QD3145" s="37"/>
      <c r="QE3145" s="37"/>
      <c r="QF3145" s="37"/>
      <c r="QG3145" s="37"/>
      <c r="QH3145" s="37"/>
      <c r="QI3145" s="37"/>
      <c r="QJ3145" s="37"/>
      <c r="QK3145" s="37"/>
      <c r="QL3145" s="37"/>
      <c r="QM3145" s="37"/>
      <c r="QN3145" s="37"/>
      <c r="QO3145" s="37"/>
      <c r="QP3145" s="37"/>
      <c r="QQ3145" s="37"/>
      <c r="QR3145" s="37"/>
      <c r="QS3145" s="37"/>
      <c r="QT3145" s="37"/>
      <c r="QU3145" s="37"/>
      <c r="QV3145" s="37"/>
      <c r="QW3145" s="37"/>
      <c r="QX3145" s="37"/>
      <c r="QY3145" s="37"/>
      <c r="QZ3145" s="37"/>
      <c r="RA3145" s="37"/>
      <c r="RB3145" s="37"/>
      <c r="RC3145" s="37"/>
      <c r="RD3145" s="37"/>
      <c r="RE3145" s="37"/>
      <c r="RF3145" s="37"/>
      <c r="RG3145" s="37"/>
      <c r="RH3145" s="37"/>
      <c r="RI3145" s="37"/>
      <c r="RJ3145" s="37"/>
      <c r="RK3145" s="37"/>
      <c r="RL3145" s="37"/>
      <c r="RM3145" s="37"/>
      <c r="RN3145" s="37"/>
      <c r="RO3145" s="37"/>
      <c r="RP3145" s="37"/>
      <c r="RQ3145" s="37"/>
      <c r="RR3145" s="37"/>
      <c r="RS3145" s="37"/>
      <c r="RT3145" s="37"/>
      <c r="RU3145" s="37"/>
      <c r="RV3145" s="37"/>
      <c r="RW3145" s="37"/>
      <c r="RX3145" s="37"/>
      <c r="RY3145" s="37"/>
      <c r="RZ3145" s="37"/>
      <c r="SA3145" s="37"/>
      <c r="SB3145" s="37"/>
      <c r="SC3145" s="37"/>
      <c r="SD3145" s="37"/>
      <c r="SE3145" s="37"/>
      <c r="SF3145" s="37"/>
    </row>
    <row r="3146" spans="1:500">
      <c r="A3146" s="37"/>
      <c r="B3146" s="37"/>
      <c r="C3146" s="37"/>
      <c r="D3146" s="37"/>
      <c r="E3146" s="37"/>
      <c r="F3146" s="37"/>
      <c r="G3146" s="37"/>
      <c r="H3146" s="37"/>
      <c r="I3146" s="37"/>
      <c r="J3146" s="37"/>
      <c r="K3146" s="37"/>
      <c r="L3146" s="37"/>
      <c r="M3146" s="37"/>
      <c r="N3146" s="37"/>
      <c r="O3146" s="37"/>
      <c r="P3146" s="37"/>
      <c r="Q3146" s="37"/>
      <c r="R3146" s="37"/>
      <c r="S3146" s="37"/>
      <c r="T3146" s="37"/>
      <c r="U3146" s="37"/>
      <c r="V3146" s="37"/>
      <c r="W3146" s="37"/>
      <c r="X3146" s="37"/>
      <c r="Y3146" s="37"/>
      <c r="Z3146" s="37"/>
      <c r="AA3146" s="37"/>
      <c r="AB3146" s="37"/>
      <c r="AC3146" s="37"/>
      <c r="AD3146" s="37"/>
      <c r="AE3146" s="37"/>
      <c r="AF3146" s="37"/>
      <c r="AG3146" s="37"/>
      <c r="AH3146" s="37"/>
      <c r="AI3146" s="37"/>
      <c r="AJ3146" s="37"/>
      <c r="AK3146" s="37"/>
      <c r="AL3146" s="37"/>
      <c r="AM3146" s="37"/>
      <c r="AN3146" s="37"/>
      <c r="AO3146" s="37"/>
      <c r="AP3146" s="37"/>
      <c r="AQ3146" s="37"/>
      <c r="AR3146" s="37"/>
      <c r="AS3146" s="37"/>
      <c r="AT3146" s="37"/>
      <c r="AU3146" s="37"/>
      <c r="AV3146" s="37"/>
      <c r="AW3146" s="37"/>
      <c r="AX3146" s="37"/>
      <c r="AY3146" s="37"/>
      <c r="AZ3146" s="37"/>
      <c r="BA3146" s="37"/>
      <c r="BB3146" s="37"/>
      <c r="BC3146" s="37"/>
      <c r="BD3146" s="37"/>
      <c r="BE3146" s="37"/>
      <c r="BF3146" s="37"/>
      <c r="BG3146" s="37"/>
      <c r="BH3146" s="37"/>
      <c r="BI3146" s="37"/>
      <c r="BJ3146" s="37"/>
      <c r="BK3146" s="37"/>
      <c r="BL3146" s="37"/>
      <c r="BM3146" s="37"/>
      <c r="BN3146" s="37"/>
      <c r="BO3146" s="37"/>
      <c r="BP3146" s="37"/>
      <c r="BQ3146" s="37"/>
      <c r="BR3146" s="37"/>
      <c r="BS3146" s="37"/>
      <c r="BT3146" s="37"/>
      <c r="BU3146" s="37"/>
      <c r="BV3146" s="37"/>
      <c r="BW3146" s="37"/>
      <c r="BX3146" s="37"/>
      <c r="BY3146" s="37"/>
      <c r="BZ3146" s="37"/>
      <c r="CA3146" s="37"/>
      <c r="CB3146" s="37"/>
      <c r="CC3146" s="37"/>
      <c r="CD3146" s="37"/>
      <c r="CE3146" s="37"/>
      <c r="CF3146" s="37"/>
      <c r="CG3146" s="37"/>
      <c r="CH3146" s="37"/>
      <c r="CI3146" s="37"/>
      <c r="CJ3146" s="37"/>
      <c r="CK3146" s="37"/>
      <c r="CL3146" s="37"/>
      <c r="CM3146" s="37"/>
      <c r="CN3146" s="37"/>
      <c r="CO3146" s="37"/>
      <c r="CP3146" s="37"/>
      <c r="CQ3146" s="37"/>
      <c r="CR3146" s="37"/>
      <c r="CS3146" s="37"/>
      <c r="CT3146" s="37"/>
      <c r="CU3146" s="37"/>
      <c r="CV3146" s="37"/>
      <c r="CW3146" s="37"/>
      <c r="CX3146" s="37"/>
      <c r="CY3146" s="37"/>
      <c r="CZ3146" s="37"/>
      <c r="DA3146" s="37"/>
      <c r="DB3146" s="37"/>
      <c r="DC3146" s="37"/>
      <c r="DD3146" s="37"/>
      <c r="DE3146" s="37"/>
      <c r="DF3146" s="37"/>
      <c r="DG3146" s="37"/>
      <c r="DH3146" s="37"/>
      <c r="DI3146" s="37"/>
      <c r="DJ3146" s="37"/>
      <c r="DK3146" s="37"/>
      <c r="DL3146" s="37"/>
      <c r="DM3146" s="37"/>
      <c r="DN3146" s="37"/>
      <c r="DO3146" s="37"/>
      <c r="DP3146" s="37"/>
      <c r="DQ3146" s="37"/>
      <c r="DR3146" s="37"/>
      <c r="DS3146" s="37"/>
      <c r="DT3146" s="37"/>
      <c r="DU3146" s="37"/>
      <c r="DV3146" s="37"/>
      <c r="DW3146" s="37"/>
      <c r="DX3146" s="37"/>
      <c r="DY3146" s="37"/>
      <c r="DZ3146" s="37"/>
      <c r="EA3146" s="37"/>
      <c r="EB3146" s="37"/>
      <c r="EC3146" s="37"/>
      <c r="ED3146" s="37"/>
      <c r="EE3146" s="37"/>
      <c r="EF3146" s="37"/>
      <c r="EG3146" s="37"/>
      <c r="EH3146" s="37"/>
      <c r="EI3146" s="37"/>
      <c r="EJ3146" s="37"/>
      <c r="EK3146" s="37"/>
      <c r="EL3146" s="37"/>
      <c r="EM3146" s="37"/>
      <c r="EN3146" s="37"/>
      <c r="EO3146" s="37"/>
      <c r="EP3146" s="37"/>
      <c r="EQ3146" s="37"/>
      <c r="ER3146" s="37"/>
      <c r="ES3146" s="37"/>
      <c r="ET3146" s="37"/>
      <c r="EU3146" s="37"/>
      <c r="EV3146" s="37"/>
      <c r="EW3146" s="37"/>
      <c r="EX3146" s="37"/>
      <c r="EY3146" s="37"/>
      <c r="EZ3146" s="37"/>
      <c r="FA3146" s="37"/>
      <c r="FB3146" s="37"/>
      <c r="FC3146" s="37"/>
      <c r="FD3146" s="37"/>
      <c r="FE3146" s="37"/>
      <c r="FF3146" s="37"/>
      <c r="FG3146" s="37"/>
      <c r="FH3146" s="37"/>
      <c r="FI3146" s="37"/>
      <c r="FJ3146" s="37"/>
      <c r="FK3146" s="37"/>
      <c r="FL3146" s="37"/>
      <c r="FM3146" s="37"/>
      <c r="FN3146" s="37"/>
      <c r="FO3146" s="37"/>
      <c r="FP3146" s="37"/>
      <c r="FQ3146" s="37"/>
      <c r="FR3146" s="37"/>
      <c r="FS3146" s="37"/>
      <c r="FT3146" s="37"/>
      <c r="FU3146" s="37"/>
      <c r="FV3146" s="37"/>
      <c r="FW3146" s="37"/>
      <c r="FX3146" s="37"/>
      <c r="FY3146" s="37"/>
      <c r="FZ3146" s="37"/>
      <c r="GA3146" s="37"/>
      <c r="GB3146" s="37"/>
      <c r="GC3146" s="37"/>
      <c r="GD3146" s="37"/>
      <c r="GE3146" s="37"/>
      <c r="GF3146" s="37"/>
      <c r="GG3146" s="37"/>
      <c r="GH3146" s="37"/>
      <c r="GI3146" s="37"/>
      <c r="GJ3146" s="37"/>
      <c r="GK3146" s="37"/>
      <c r="GL3146" s="37"/>
      <c r="GM3146" s="37"/>
      <c r="GN3146" s="37"/>
      <c r="GO3146" s="37"/>
      <c r="GP3146" s="37"/>
      <c r="GQ3146" s="37"/>
      <c r="GR3146" s="37"/>
      <c r="GS3146" s="37"/>
      <c r="GT3146" s="37"/>
      <c r="GU3146" s="37"/>
      <c r="GV3146" s="37"/>
      <c r="GW3146" s="37"/>
      <c r="GX3146" s="37"/>
      <c r="GY3146" s="37"/>
      <c r="GZ3146" s="37"/>
      <c r="HA3146" s="37"/>
      <c r="HB3146" s="37"/>
      <c r="HC3146" s="37"/>
      <c r="HD3146" s="37"/>
      <c r="HE3146" s="37"/>
      <c r="HF3146" s="37"/>
      <c r="HG3146" s="37"/>
      <c r="HH3146" s="37"/>
      <c r="HI3146" s="37"/>
      <c r="HJ3146" s="37"/>
      <c r="HK3146" s="37"/>
      <c r="HL3146" s="37"/>
      <c r="HM3146" s="37"/>
      <c r="HN3146" s="37"/>
      <c r="HO3146" s="37"/>
      <c r="HP3146" s="37"/>
      <c r="HQ3146" s="37"/>
      <c r="HR3146" s="37"/>
      <c r="HS3146" s="37"/>
      <c r="HT3146" s="37"/>
      <c r="HU3146" s="37"/>
      <c r="HV3146" s="37"/>
      <c r="HW3146" s="37"/>
      <c r="HX3146" s="37"/>
      <c r="HY3146" s="37"/>
      <c r="HZ3146" s="37"/>
      <c r="IA3146" s="37"/>
      <c r="IB3146" s="37"/>
      <c r="IC3146" s="37"/>
      <c r="ID3146" s="37"/>
      <c r="IE3146" s="37"/>
      <c r="IF3146" s="37"/>
      <c r="IG3146" s="37"/>
      <c r="IH3146" s="37"/>
      <c r="II3146" s="37"/>
      <c r="IJ3146" s="37"/>
      <c r="IK3146" s="37"/>
      <c r="IL3146" s="37"/>
      <c r="IM3146" s="37"/>
      <c r="IN3146" s="37"/>
      <c r="IO3146" s="37"/>
      <c r="IP3146" s="37"/>
      <c r="IQ3146" s="37"/>
      <c r="IR3146" s="37"/>
      <c r="IS3146" s="37"/>
      <c r="IT3146" s="37"/>
      <c r="IU3146" s="37"/>
      <c r="IV3146" s="37"/>
      <c r="IW3146" s="37"/>
      <c r="IX3146" s="37"/>
      <c r="IY3146" s="37"/>
      <c r="IZ3146" s="37"/>
      <c r="JA3146" s="37"/>
      <c r="JB3146" s="37"/>
      <c r="JC3146" s="37"/>
      <c r="JD3146" s="37"/>
      <c r="JE3146" s="37"/>
      <c r="JF3146" s="37"/>
      <c r="JG3146" s="37"/>
      <c r="JH3146" s="37"/>
      <c r="JI3146" s="37"/>
      <c r="JJ3146" s="37"/>
      <c r="JK3146" s="37"/>
      <c r="JL3146" s="37"/>
      <c r="JM3146" s="37"/>
      <c r="JN3146" s="37"/>
      <c r="JO3146" s="37"/>
      <c r="JP3146" s="37"/>
      <c r="JQ3146" s="37"/>
      <c r="JR3146" s="37"/>
      <c r="JS3146" s="37"/>
      <c r="JT3146" s="37"/>
      <c r="JU3146" s="37"/>
      <c r="JV3146" s="37"/>
      <c r="JW3146" s="37"/>
      <c r="JX3146" s="37"/>
      <c r="JY3146" s="37"/>
      <c r="JZ3146" s="37"/>
      <c r="KA3146" s="37"/>
      <c r="KB3146" s="37"/>
      <c r="KC3146" s="37"/>
      <c r="KD3146" s="37"/>
      <c r="KE3146" s="37"/>
      <c r="KF3146" s="37"/>
      <c r="KG3146" s="37"/>
      <c r="KH3146" s="37"/>
      <c r="KI3146" s="37"/>
      <c r="KJ3146" s="37"/>
      <c r="KK3146" s="37"/>
      <c r="KL3146" s="37"/>
      <c r="KM3146" s="37"/>
      <c r="KN3146" s="37"/>
      <c r="KO3146" s="37"/>
      <c r="KP3146" s="37"/>
      <c r="KQ3146" s="37"/>
      <c r="KR3146" s="37"/>
      <c r="KS3146" s="37"/>
      <c r="KT3146" s="37"/>
      <c r="KU3146" s="37"/>
      <c r="KV3146" s="37"/>
      <c r="KW3146" s="37"/>
      <c r="KX3146" s="37"/>
      <c r="KY3146" s="37"/>
      <c r="KZ3146" s="37"/>
      <c r="LA3146" s="37"/>
      <c r="LB3146" s="37"/>
      <c r="LC3146" s="37"/>
      <c r="LD3146" s="37"/>
      <c r="LE3146" s="37"/>
      <c r="LF3146" s="37"/>
      <c r="LG3146" s="37"/>
      <c r="LH3146" s="37"/>
      <c r="LI3146" s="37"/>
      <c r="LJ3146" s="37"/>
      <c r="LK3146" s="37"/>
      <c r="LL3146" s="37"/>
      <c r="LM3146" s="37"/>
      <c r="LN3146" s="37"/>
      <c r="LO3146" s="37"/>
      <c r="LP3146" s="37"/>
      <c r="LQ3146" s="37"/>
      <c r="LR3146" s="37"/>
      <c r="LS3146" s="37"/>
      <c r="LT3146" s="37"/>
      <c r="LU3146" s="37"/>
      <c r="LV3146" s="37"/>
      <c r="LW3146" s="37"/>
      <c r="LX3146" s="37"/>
      <c r="LY3146" s="37"/>
      <c r="LZ3146" s="37"/>
      <c r="MA3146" s="37"/>
      <c r="MB3146" s="37"/>
      <c r="MC3146" s="37"/>
      <c r="MD3146" s="37"/>
      <c r="ME3146" s="37"/>
      <c r="MF3146" s="37"/>
      <c r="MG3146" s="37"/>
      <c r="MH3146" s="37"/>
      <c r="MI3146" s="37"/>
      <c r="MJ3146" s="37"/>
      <c r="MK3146" s="37"/>
      <c r="ML3146" s="37"/>
      <c r="MM3146" s="37"/>
      <c r="MN3146" s="37"/>
      <c r="MO3146" s="37"/>
      <c r="MP3146" s="37"/>
      <c r="MQ3146" s="37"/>
      <c r="MR3146" s="37"/>
      <c r="MS3146" s="37"/>
      <c r="MT3146" s="37"/>
      <c r="MU3146" s="37"/>
      <c r="MV3146" s="37"/>
      <c r="MW3146" s="37"/>
      <c r="MX3146" s="37"/>
      <c r="MY3146" s="37"/>
      <c r="MZ3146" s="37"/>
      <c r="NA3146" s="37"/>
      <c r="NB3146" s="37"/>
      <c r="NC3146" s="37"/>
      <c r="ND3146" s="37"/>
      <c r="NE3146" s="37"/>
      <c r="NF3146" s="37"/>
      <c r="NG3146" s="37"/>
      <c r="NH3146" s="37"/>
      <c r="NI3146" s="37"/>
      <c r="NJ3146" s="37"/>
      <c r="NK3146" s="37"/>
      <c r="NL3146" s="37"/>
      <c r="NM3146" s="37"/>
      <c r="NN3146" s="37"/>
      <c r="NO3146" s="37"/>
      <c r="NP3146" s="37"/>
      <c r="NQ3146" s="37"/>
      <c r="NR3146" s="37"/>
      <c r="NS3146" s="37"/>
      <c r="NT3146" s="37"/>
      <c r="NU3146" s="37"/>
      <c r="NV3146" s="37"/>
      <c r="NW3146" s="37"/>
      <c r="NX3146" s="37"/>
      <c r="NY3146" s="37"/>
      <c r="NZ3146" s="37"/>
      <c r="OA3146" s="37"/>
      <c r="OB3146" s="37"/>
      <c r="OC3146" s="37"/>
      <c r="OD3146" s="37"/>
      <c r="OE3146" s="37"/>
      <c r="OF3146" s="37"/>
      <c r="OG3146" s="37"/>
      <c r="OH3146" s="37"/>
      <c r="OI3146" s="37"/>
      <c r="OJ3146" s="37"/>
      <c r="OK3146" s="37"/>
      <c r="OL3146" s="37"/>
      <c r="OM3146" s="37"/>
      <c r="ON3146" s="37"/>
      <c r="OO3146" s="37"/>
      <c r="OP3146" s="37"/>
      <c r="OQ3146" s="37"/>
      <c r="OR3146" s="37"/>
      <c r="OS3146" s="37"/>
      <c r="OT3146" s="37"/>
      <c r="OU3146" s="37"/>
      <c r="OV3146" s="37"/>
      <c r="OW3146" s="37"/>
      <c r="OX3146" s="37"/>
      <c r="OY3146" s="37"/>
      <c r="OZ3146" s="37"/>
      <c r="PA3146" s="37"/>
      <c r="PB3146" s="37"/>
      <c r="PC3146" s="37"/>
      <c r="PD3146" s="37"/>
      <c r="PE3146" s="37"/>
      <c r="PF3146" s="37"/>
      <c r="PG3146" s="37"/>
      <c r="PH3146" s="37"/>
      <c r="PI3146" s="37"/>
      <c r="PJ3146" s="37"/>
      <c r="PK3146" s="37"/>
      <c r="PL3146" s="37"/>
      <c r="PM3146" s="37"/>
      <c r="PN3146" s="37"/>
      <c r="PO3146" s="37"/>
      <c r="PP3146" s="37"/>
      <c r="PQ3146" s="37"/>
      <c r="PR3146" s="37"/>
      <c r="PS3146" s="37"/>
      <c r="PT3146" s="37"/>
      <c r="PU3146" s="37"/>
      <c r="PV3146" s="37"/>
      <c r="PW3146" s="37"/>
      <c r="PX3146" s="37"/>
      <c r="PY3146" s="37"/>
      <c r="PZ3146" s="37"/>
      <c r="QA3146" s="37"/>
      <c r="QB3146" s="37"/>
      <c r="QC3146" s="37"/>
      <c r="QD3146" s="37"/>
      <c r="QE3146" s="37"/>
      <c r="QF3146" s="37"/>
      <c r="QG3146" s="37"/>
      <c r="QH3146" s="37"/>
      <c r="QI3146" s="37"/>
      <c r="QJ3146" s="37"/>
      <c r="QK3146" s="37"/>
      <c r="QL3146" s="37"/>
      <c r="QM3146" s="37"/>
      <c r="QN3146" s="37"/>
      <c r="QO3146" s="37"/>
      <c r="QP3146" s="37"/>
      <c r="QQ3146" s="37"/>
      <c r="QR3146" s="37"/>
      <c r="QS3146" s="37"/>
      <c r="QT3146" s="37"/>
      <c r="QU3146" s="37"/>
      <c r="QV3146" s="37"/>
      <c r="QW3146" s="37"/>
      <c r="QX3146" s="37"/>
      <c r="QY3146" s="37"/>
      <c r="QZ3146" s="37"/>
      <c r="RA3146" s="37"/>
      <c r="RB3146" s="37"/>
      <c r="RC3146" s="37"/>
      <c r="RD3146" s="37"/>
      <c r="RE3146" s="37"/>
      <c r="RF3146" s="37"/>
      <c r="RG3146" s="37"/>
      <c r="RH3146" s="37"/>
      <c r="RI3146" s="37"/>
      <c r="RJ3146" s="37"/>
      <c r="RK3146" s="37"/>
      <c r="RL3146" s="37"/>
      <c r="RM3146" s="37"/>
      <c r="RN3146" s="37"/>
      <c r="RO3146" s="37"/>
      <c r="RP3146" s="37"/>
      <c r="RQ3146" s="37"/>
      <c r="RR3146" s="37"/>
      <c r="RS3146" s="37"/>
      <c r="RT3146" s="37"/>
      <c r="RU3146" s="37"/>
      <c r="RV3146" s="37"/>
      <c r="RW3146" s="37"/>
      <c r="RX3146" s="37"/>
      <c r="RY3146" s="37"/>
      <c r="RZ3146" s="37"/>
      <c r="SA3146" s="37"/>
      <c r="SB3146" s="37"/>
      <c r="SC3146" s="37"/>
      <c r="SD3146" s="37"/>
      <c r="SE3146" s="37"/>
      <c r="SF3146" s="37"/>
    </row>
    <row r="3147" spans="1:500">
      <c r="A3147" s="37"/>
      <c r="B3147" s="37"/>
      <c r="C3147" s="37"/>
      <c r="D3147" s="37"/>
      <c r="E3147" s="37"/>
      <c r="F3147" s="37"/>
      <c r="G3147" s="37"/>
      <c r="H3147" s="37"/>
      <c r="I3147" s="37"/>
      <c r="J3147" s="37"/>
      <c r="K3147" s="37"/>
      <c r="L3147" s="37"/>
      <c r="M3147" s="37"/>
      <c r="N3147" s="37"/>
      <c r="O3147" s="37"/>
      <c r="P3147" s="37"/>
      <c r="Q3147" s="37"/>
      <c r="R3147" s="37"/>
      <c r="S3147" s="37"/>
      <c r="T3147" s="37"/>
      <c r="U3147" s="37"/>
      <c r="V3147" s="37"/>
      <c r="W3147" s="37"/>
      <c r="X3147" s="37"/>
      <c r="Y3147" s="37"/>
      <c r="Z3147" s="37"/>
      <c r="AA3147" s="37"/>
      <c r="AB3147" s="37"/>
      <c r="AC3147" s="37"/>
      <c r="AD3147" s="37"/>
      <c r="AE3147" s="37"/>
      <c r="AF3147" s="37"/>
      <c r="AG3147" s="37"/>
      <c r="AH3147" s="37"/>
      <c r="AI3147" s="37"/>
      <c r="AJ3147" s="37"/>
      <c r="AK3147" s="37"/>
      <c r="AL3147" s="37"/>
      <c r="AM3147" s="37"/>
      <c r="AN3147" s="37"/>
      <c r="AO3147" s="37"/>
      <c r="AP3147" s="37"/>
      <c r="AQ3147" s="37"/>
      <c r="AR3147" s="37"/>
      <c r="AS3147" s="37"/>
      <c r="AT3147" s="37"/>
      <c r="AU3147" s="37"/>
      <c r="AV3147" s="37"/>
      <c r="AW3147" s="37"/>
      <c r="AX3147" s="37"/>
      <c r="AY3147" s="37"/>
      <c r="AZ3147" s="37"/>
      <c r="BA3147" s="37"/>
      <c r="BB3147" s="37"/>
      <c r="BC3147" s="37"/>
      <c r="BD3147" s="37"/>
      <c r="BE3147" s="37"/>
      <c r="BF3147" s="37"/>
      <c r="BG3147" s="37"/>
      <c r="BH3147" s="37"/>
      <c r="BI3147" s="37"/>
      <c r="BJ3147" s="37"/>
      <c r="BK3147" s="37"/>
      <c r="BL3147" s="37"/>
      <c r="BM3147" s="37"/>
      <c r="BN3147" s="37"/>
      <c r="BO3147" s="37"/>
      <c r="BP3147" s="37"/>
      <c r="BQ3147" s="37"/>
      <c r="BR3147" s="37"/>
      <c r="BS3147" s="37"/>
      <c r="BT3147" s="37"/>
      <c r="BU3147" s="37"/>
      <c r="BV3147" s="37"/>
      <c r="BW3147" s="37"/>
      <c r="BX3147" s="37"/>
      <c r="BY3147" s="37"/>
      <c r="BZ3147" s="37"/>
      <c r="CA3147" s="37"/>
      <c r="CB3147" s="37"/>
      <c r="CC3147" s="37"/>
      <c r="CD3147" s="37"/>
      <c r="CE3147" s="37"/>
      <c r="CF3147" s="37"/>
      <c r="CG3147" s="37"/>
      <c r="CH3147" s="37"/>
      <c r="CI3147" s="37"/>
      <c r="CJ3147" s="37"/>
      <c r="CK3147" s="37"/>
      <c r="CL3147" s="37"/>
      <c r="CM3147" s="37"/>
      <c r="CN3147" s="37"/>
      <c r="CO3147" s="37"/>
      <c r="CP3147" s="37"/>
      <c r="CQ3147" s="37"/>
      <c r="CR3147" s="37"/>
      <c r="CS3147" s="37"/>
      <c r="CT3147" s="37"/>
      <c r="CU3147" s="37"/>
      <c r="CV3147" s="37"/>
      <c r="CW3147" s="37"/>
      <c r="CX3147" s="37"/>
      <c r="CY3147" s="37"/>
      <c r="CZ3147" s="37"/>
      <c r="DA3147" s="37"/>
      <c r="DB3147" s="37"/>
      <c r="DC3147" s="37"/>
      <c r="DD3147" s="37"/>
      <c r="DE3147" s="37"/>
      <c r="DF3147" s="37"/>
      <c r="DG3147" s="37"/>
      <c r="DH3147" s="37"/>
      <c r="DI3147" s="37"/>
      <c r="DJ3147" s="37"/>
      <c r="DK3147" s="37"/>
      <c r="DL3147" s="37"/>
      <c r="DM3147" s="37"/>
      <c r="DN3147" s="37"/>
      <c r="DO3147" s="37"/>
      <c r="DP3147" s="37"/>
      <c r="DQ3147" s="37"/>
      <c r="DR3147" s="37"/>
      <c r="DS3147" s="37"/>
      <c r="DT3147" s="37"/>
      <c r="DU3147" s="37"/>
      <c r="DV3147" s="37"/>
      <c r="DW3147" s="37"/>
      <c r="DX3147" s="37"/>
      <c r="DY3147" s="37"/>
      <c r="DZ3147" s="37"/>
      <c r="EA3147" s="37"/>
      <c r="EB3147" s="37"/>
      <c r="EC3147" s="37"/>
      <c r="ED3147" s="37"/>
      <c r="EE3147" s="37"/>
      <c r="EF3147" s="37"/>
      <c r="EG3147" s="37"/>
      <c r="EH3147" s="37"/>
      <c r="EI3147" s="37"/>
      <c r="EJ3147" s="37"/>
      <c r="EK3147" s="37"/>
      <c r="EL3147" s="37"/>
      <c r="EM3147" s="37"/>
      <c r="EN3147" s="37"/>
      <c r="EO3147" s="37"/>
      <c r="EP3147" s="37"/>
      <c r="EQ3147" s="37"/>
      <c r="ER3147" s="37"/>
      <c r="ES3147" s="37"/>
      <c r="ET3147" s="37"/>
      <c r="EU3147" s="37"/>
      <c r="EV3147" s="37"/>
      <c r="EW3147" s="37"/>
      <c r="EX3147" s="37"/>
      <c r="EY3147" s="37"/>
      <c r="EZ3147" s="37"/>
      <c r="FA3147" s="37"/>
      <c r="FB3147" s="37"/>
      <c r="FC3147" s="37"/>
      <c r="FD3147" s="37"/>
      <c r="FE3147" s="37"/>
      <c r="FF3147" s="37"/>
      <c r="FG3147" s="37"/>
      <c r="FH3147" s="37"/>
      <c r="FI3147" s="37"/>
      <c r="FJ3147" s="37"/>
      <c r="FK3147" s="37"/>
      <c r="FL3147" s="37"/>
      <c r="FM3147" s="37"/>
      <c r="FN3147" s="37"/>
      <c r="FO3147" s="37"/>
      <c r="FP3147" s="37"/>
      <c r="FQ3147" s="37"/>
      <c r="FR3147" s="37"/>
      <c r="FS3147" s="37"/>
      <c r="FT3147" s="37"/>
      <c r="FU3147" s="37"/>
      <c r="FV3147" s="37"/>
      <c r="FW3147" s="37"/>
      <c r="FX3147" s="37"/>
      <c r="FY3147" s="37"/>
      <c r="FZ3147" s="37"/>
      <c r="GA3147" s="37"/>
      <c r="GB3147" s="37"/>
      <c r="GC3147" s="37"/>
      <c r="GD3147" s="37"/>
      <c r="GE3147" s="37"/>
      <c r="GF3147" s="37"/>
      <c r="GG3147" s="37"/>
      <c r="GH3147" s="37"/>
      <c r="GI3147" s="37"/>
      <c r="GJ3147" s="37"/>
      <c r="GK3147" s="37"/>
      <c r="GL3147" s="37"/>
      <c r="GM3147" s="37"/>
      <c r="GN3147" s="37"/>
      <c r="GO3147" s="37"/>
      <c r="GP3147" s="37"/>
      <c r="GQ3147" s="37"/>
      <c r="GR3147" s="37"/>
      <c r="GS3147" s="37"/>
      <c r="GT3147" s="37"/>
      <c r="GU3147" s="37"/>
      <c r="GV3147" s="37"/>
      <c r="GW3147" s="37"/>
      <c r="GX3147" s="37"/>
      <c r="GY3147" s="37"/>
      <c r="GZ3147" s="37"/>
      <c r="HA3147" s="37"/>
      <c r="HB3147" s="37"/>
      <c r="HC3147" s="37"/>
      <c r="HD3147" s="37"/>
      <c r="HE3147" s="37"/>
      <c r="HF3147" s="37"/>
      <c r="HG3147" s="37"/>
      <c r="HH3147" s="37"/>
      <c r="HI3147" s="37"/>
      <c r="HJ3147" s="37"/>
      <c r="HK3147" s="37"/>
      <c r="HL3147" s="37"/>
      <c r="HM3147" s="37"/>
      <c r="HN3147" s="37"/>
      <c r="HO3147" s="37"/>
      <c r="HP3147" s="37"/>
      <c r="HQ3147" s="37"/>
      <c r="HR3147" s="37"/>
      <c r="HS3147" s="37"/>
      <c r="HT3147" s="37"/>
      <c r="HU3147" s="37"/>
      <c r="HV3147" s="37"/>
      <c r="HW3147" s="37"/>
      <c r="HX3147" s="37"/>
      <c r="HY3147" s="37"/>
      <c r="HZ3147" s="37"/>
      <c r="IA3147" s="37"/>
      <c r="IB3147" s="37"/>
      <c r="IC3147" s="37"/>
      <c r="ID3147" s="37"/>
      <c r="IE3147" s="37"/>
      <c r="IF3147" s="37"/>
      <c r="IG3147" s="37"/>
      <c r="IH3147" s="37"/>
      <c r="II3147" s="37"/>
      <c r="IJ3147" s="37"/>
      <c r="IK3147" s="37"/>
      <c r="IL3147" s="37"/>
      <c r="IM3147" s="37"/>
      <c r="IN3147" s="37"/>
      <c r="IO3147" s="37"/>
      <c r="IP3147" s="37"/>
      <c r="IQ3147" s="37"/>
      <c r="IR3147" s="37"/>
      <c r="IS3147" s="37"/>
      <c r="IT3147" s="37"/>
      <c r="IU3147" s="37"/>
      <c r="IV3147" s="37"/>
      <c r="IW3147" s="37"/>
      <c r="IX3147" s="37"/>
      <c r="IY3147" s="37"/>
      <c r="IZ3147" s="37"/>
      <c r="JA3147" s="37"/>
      <c r="JB3147" s="37"/>
      <c r="JC3147" s="37"/>
      <c r="JD3147" s="37"/>
      <c r="JE3147" s="37"/>
      <c r="JF3147" s="37"/>
      <c r="JG3147" s="37"/>
      <c r="JH3147" s="37"/>
      <c r="JI3147" s="37"/>
      <c r="JJ3147" s="37"/>
      <c r="JK3147" s="37"/>
      <c r="JL3147" s="37"/>
      <c r="JM3147" s="37"/>
      <c r="JN3147" s="37"/>
      <c r="JO3147" s="37"/>
      <c r="JP3147" s="37"/>
      <c r="JQ3147" s="37"/>
      <c r="JR3147" s="37"/>
      <c r="JS3147" s="37"/>
      <c r="JT3147" s="37"/>
      <c r="JU3147" s="37"/>
      <c r="JV3147" s="37"/>
      <c r="JW3147" s="37"/>
      <c r="JX3147" s="37"/>
      <c r="JY3147" s="37"/>
      <c r="JZ3147" s="37"/>
      <c r="KA3147" s="37"/>
      <c r="KB3147" s="37"/>
      <c r="KC3147" s="37"/>
      <c r="KD3147" s="37"/>
      <c r="KE3147" s="37"/>
      <c r="KF3147" s="37"/>
      <c r="KG3147" s="37"/>
      <c r="KH3147" s="37"/>
      <c r="KI3147" s="37"/>
      <c r="KJ3147" s="37"/>
      <c r="KK3147" s="37"/>
      <c r="KL3147" s="37"/>
      <c r="KM3147" s="37"/>
      <c r="KN3147" s="37"/>
      <c r="KO3147" s="37"/>
      <c r="KP3147" s="37"/>
      <c r="KQ3147" s="37"/>
      <c r="KR3147" s="37"/>
      <c r="KS3147" s="37"/>
      <c r="KT3147" s="37"/>
      <c r="KU3147" s="37"/>
      <c r="KV3147" s="37"/>
      <c r="KW3147" s="37"/>
      <c r="KX3147" s="37"/>
      <c r="KY3147" s="37"/>
      <c r="KZ3147" s="37"/>
      <c r="LA3147" s="37"/>
      <c r="LB3147" s="37"/>
      <c r="LC3147" s="37"/>
      <c r="LD3147" s="37"/>
      <c r="LE3147" s="37"/>
      <c r="LF3147" s="37"/>
      <c r="LG3147" s="37"/>
      <c r="LH3147" s="37"/>
      <c r="LI3147" s="37"/>
      <c r="LJ3147" s="37"/>
      <c r="LK3147" s="37"/>
      <c r="LL3147" s="37"/>
      <c r="LM3147" s="37"/>
      <c r="LN3147" s="37"/>
      <c r="LO3147" s="37"/>
      <c r="LP3147" s="37"/>
      <c r="LQ3147" s="37"/>
      <c r="LR3147" s="37"/>
      <c r="LS3147" s="37"/>
      <c r="LT3147" s="37"/>
      <c r="LU3147" s="37"/>
      <c r="LV3147" s="37"/>
      <c r="LW3147" s="37"/>
      <c r="LX3147" s="37"/>
      <c r="LY3147" s="37"/>
      <c r="LZ3147" s="37"/>
      <c r="MA3147" s="37"/>
      <c r="MB3147" s="37"/>
      <c r="MC3147" s="37"/>
      <c r="MD3147" s="37"/>
      <c r="ME3147" s="37"/>
      <c r="MF3147" s="37"/>
      <c r="MG3147" s="37"/>
      <c r="MH3147" s="37"/>
      <c r="MI3147" s="37"/>
      <c r="MJ3147" s="37"/>
      <c r="MK3147" s="37"/>
      <c r="ML3147" s="37"/>
      <c r="MM3147" s="37"/>
      <c r="MN3147" s="37"/>
      <c r="MO3147" s="37"/>
      <c r="MP3147" s="37"/>
      <c r="MQ3147" s="37"/>
      <c r="MR3147" s="37"/>
      <c r="MS3147" s="37"/>
      <c r="MT3147" s="37"/>
      <c r="MU3147" s="37"/>
      <c r="MV3147" s="37"/>
      <c r="MW3147" s="37"/>
      <c r="MX3147" s="37"/>
      <c r="MY3147" s="37"/>
      <c r="MZ3147" s="37"/>
      <c r="NA3147" s="37"/>
      <c r="NB3147" s="37"/>
      <c r="NC3147" s="37"/>
      <c r="ND3147" s="37"/>
      <c r="NE3147" s="37"/>
      <c r="NF3147" s="37"/>
      <c r="NG3147" s="37"/>
      <c r="NH3147" s="37"/>
      <c r="NI3147" s="37"/>
      <c r="NJ3147" s="37"/>
      <c r="NK3147" s="37"/>
      <c r="NL3147" s="37"/>
      <c r="NM3147" s="37"/>
      <c r="NN3147" s="37"/>
      <c r="NO3147" s="37"/>
      <c r="NP3147" s="37"/>
      <c r="NQ3147" s="37"/>
      <c r="NR3147" s="37"/>
      <c r="NS3147" s="37"/>
      <c r="NT3147" s="37"/>
      <c r="NU3147" s="37"/>
      <c r="NV3147" s="37"/>
      <c r="NW3147" s="37"/>
      <c r="NX3147" s="37"/>
      <c r="NY3147" s="37"/>
      <c r="NZ3147" s="37"/>
      <c r="OA3147" s="37"/>
      <c r="OB3147" s="37"/>
      <c r="OC3147" s="37"/>
      <c r="OD3147" s="37"/>
      <c r="OE3147" s="37"/>
      <c r="OF3147" s="37"/>
      <c r="OG3147" s="37"/>
      <c r="OH3147" s="37"/>
      <c r="OI3147" s="37"/>
      <c r="OJ3147" s="37"/>
      <c r="OK3147" s="37"/>
      <c r="OL3147" s="37"/>
      <c r="OM3147" s="37"/>
      <c r="ON3147" s="37"/>
      <c r="OO3147" s="37"/>
      <c r="OP3147" s="37"/>
      <c r="OQ3147" s="37"/>
      <c r="OR3147" s="37"/>
      <c r="OS3147" s="37"/>
      <c r="OT3147" s="37"/>
      <c r="OU3147" s="37"/>
      <c r="OV3147" s="37"/>
      <c r="OW3147" s="37"/>
      <c r="OX3147" s="37"/>
      <c r="OY3147" s="37"/>
      <c r="OZ3147" s="37"/>
      <c r="PA3147" s="37"/>
      <c r="PB3147" s="37"/>
      <c r="PC3147" s="37"/>
      <c r="PD3147" s="37"/>
      <c r="PE3147" s="37"/>
      <c r="PF3147" s="37"/>
      <c r="PG3147" s="37"/>
      <c r="PH3147" s="37"/>
      <c r="PI3147" s="37"/>
      <c r="PJ3147" s="37"/>
      <c r="PK3147" s="37"/>
      <c r="PL3147" s="37"/>
      <c r="PM3147" s="37"/>
      <c r="PN3147" s="37"/>
      <c r="PO3147" s="37"/>
      <c r="PP3147" s="37"/>
      <c r="PQ3147" s="37"/>
      <c r="PR3147" s="37"/>
      <c r="PS3147" s="37"/>
      <c r="PT3147" s="37"/>
      <c r="PU3147" s="37"/>
      <c r="PV3147" s="37"/>
      <c r="PW3147" s="37"/>
      <c r="PX3147" s="37"/>
      <c r="PY3147" s="37"/>
      <c r="PZ3147" s="37"/>
      <c r="QA3147" s="37"/>
      <c r="QB3147" s="37"/>
      <c r="QC3147" s="37"/>
      <c r="QD3147" s="37"/>
      <c r="QE3147" s="37"/>
      <c r="QF3147" s="37"/>
      <c r="QG3147" s="37"/>
      <c r="QH3147" s="37"/>
      <c r="QI3147" s="37"/>
      <c r="QJ3147" s="37"/>
      <c r="QK3147" s="37"/>
      <c r="QL3147" s="37"/>
      <c r="QM3147" s="37"/>
      <c r="QN3147" s="37"/>
      <c r="QO3147" s="37"/>
      <c r="QP3147" s="37"/>
      <c r="QQ3147" s="37"/>
      <c r="QR3147" s="37"/>
      <c r="QS3147" s="37"/>
      <c r="QT3147" s="37"/>
      <c r="QU3147" s="37"/>
      <c r="QV3147" s="37"/>
      <c r="QW3147" s="37"/>
      <c r="QX3147" s="37"/>
      <c r="QY3147" s="37"/>
      <c r="QZ3147" s="37"/>
      <c r="RA3147" s="37"/>
      <c r="RB3147" s="37"/>
      <c r="RC3147" s="37"/>
      <c r="RD3147" s="37"/>
      <c r="RE3147" s="37"/>
      <c r="RF3147" s="37"/>
      <c r="RG3147" s="37"/>
      <c r="RH3147" s="37"/>
      <c r="RI3147" s="37"/>
      <c r="RJ3147" s="37"/>
      <c r="RK3147" s="37"/>
      <c r="RL3147" s="37"/>
      <c r="RM3147" s="37"/>
      <c r="RN3147" s="37"/>
      <c r="RO3147" s="37"/>
      <c r="RP3147" s="37"/>
      <c r="RQ3147" s="37"/>
      <c r="RR3147" s="37"/>
      <c r="RS3147" s="37"/>
      <c r="RT3147" s="37"/>
      <c r="RU3147" s="37"/>
      <c r="RV3147" s="37"/>
      <c r="RW3147" s="37"/>
      <c r="RX3147" s="37"/>
      <c r="RY3147" s="37"/>
      <c r="RZ3147" s="37"/>
      <c r="SA3147" s="37"/>
      <c r="SB3147" s="37"/>
      <c r="SC3147" s="37"/>
      <c r="SD3147" s="37"/>
      <c r="SE3147" s="37"/>
      <c r="SF3147" s="37"/>
    </row>
    <row r="3148" spans="1:500">
      <c r="A3148" s="37"/>
      <c r="B3148" s="37"/>
      <c r="C3148" s="37"/>
      <c r="D3148" s="37"/>
      <c r="E3148" s="37"/>
      <c r="F3148" s="37"/>
      <c r="G3148" s="37"/>
      <c r="H3148" s="37"/>
      <c r="I3148" s="37"/>
      <c r="J3148" s="37"/>
      <c r="K3148" s="37"/>
      <c r="L3148" s="37"/>
      <c r="M3148" s="37"/>
      <c r="N3148" s="37"/>
      <c r="O3148" s="37"/>
      <c r="P3148" s="37"/>
      <c r="Q3148" s="37"/>
      <c r="R3148" s="37"/>
      <c r="S3148" s="37"/>
      <c r="T3148" s="37"/>
      <c r="U3148" s="37"/>
      <c r="V3148" s="37"/>
      <c r="W3148" s="37"/>
      <c r="X3148" s="37"/>
      <c r="Y3148" s="37"/>
      <c r="Z3148" s="37"/>
      <c r="AA3148" s="37"/>
      <c r="AB3148" s="37"/>
      <c r="AC3148" s="37"/>
      <c r="AD3148" s="37"/>
      <c r="AE3148" s="37"/>
      <c r="AF3148" s="37"/>
      <c r="AG3148" s="37"/>
      <c r="AH3148" s="37"/>
      <c r="AI3148" s="37"/>
      <c r="AJ3148" s="37"/>
      <c r="AK3148" s="37"/>
      <c r="AL3148" s="37"/>
      <c r="AM3148" s="37"/>
      <c r="AN3148" s="37"/>
      <c r="AO3148" s="37"/>
      <c r="AP3148" s="37"/>
      <c r="AQ3148" s="37"/>
      <c r="AR3148" s="37"/>
      <c r="AS3148" s="37"/>
      <c r="AT3148" s="37"/>
      <c r="AU3148" s="37"/>
      <c r="AV3148" s="37"/>
      <c r="AW3148" s="37"/>
      <c r="AX3148" s="37"/>
      <c r="AY3148" s="37"/>
      <c r="AZ3148" s="37"/>
      <c r="BA3148" s="37"/>
      <c r="BB3148" s="37"/>
      <c r="BC3148" s="37"/>
      <c r="BD3148" s="37"/>
      <c r="BE3148" s="37"/>
      <c r="BF3148" s="37"/>
      <c r="BG3148" s="37"/>
      <c r="BH3148" s="37"/>
      <c r="BI3148" s="37"/>
      <c r="BJ3148" s="37"/>
      <c r="BK3148" s="37"/>
      <c r="BL3148" s="37"/>
      <c r="BM3148" s="37"/>
      <c r="BN3148" s="37"/>
      <c r="BO3148" s="37"/>
      <c r="BP3148" s="37"/>
      <c r="BQ3148" s="37"/>
      <c r="BR3148" s="37"/>
      <c r="BS3148" s="37"/>
      <c r="BT3148" s="37"/>
      <c r="BU3148" s="37"/>
      <c r="BV3148" s="37"/>
      <c r="BW3148" s="37"/>
      <c r="BX3148" s="37"/>
      <c r="BY3148" s="37"/>
      <c r="BZ3148" s="37"/>
      <c r="CA3148" s="37"/>
      <c r="CB3148" s="37"/>
      <c r="CC3148" s="37"/>
      <c r="CD3148" s="37"/>
      <c r="CE3148" s="37"/>
      <c r="CF3148" s="37"/>
      <c r="CG3148" s="37"/>
      <c r="CH3148" s="37"/>
      <c r="CI3148" s="37"/>
      <c r="CJ3148" s="37"/>
      <c r="CK3148" s="37"/>
      <c r="CL3148" s="37"/>
      <c r="CM3148" s="37"/>
      <c r="CN3148" s="37"/>
      <c r="CO3148" s="37"/>
      <c r="CP3148" s="37"/>
      <c r="CQ3148" s="37"/>
      <c r="CR3148" s="37"/>
      <c r="CS3148" s="37"/>
      <c r="CT3148" s="37"/>
      <c r="CU3148" s="37"/>
      <c r="CV3148" s="37"/>
      <c r="CW3148" s="37"/>
      <c r="CX3148" s="37"/>
      <c r="CY3148" s="37"/>
      <c r="CZ3148" s="37"/>
      <c r="DA3148" s="37"/>
      <c r="DB3148" s="37"/>
      <c r="DC3148" s="37"/>
      <c r="DD3148" s="37"/>
      <c r="DE3148" s="37"/>
      <c r="DF3148" s="37"/>
      <c r="DG3148" s="37"/>
      <c r="DH3148" s="37"/>
      <c r="DI3148" s="37"/>
      <c r="DJ3148" s="37"/>
      <c r="DK3148" s="37"/>
      <c r="DL3148" s="37"/>
      <c r="DM3148" s="37"/>
      <c r="DN3148" s="37"/>
      <c r="DO3148" s="37"/>
      <c r="DP3148" s="37"/>
      <c r="DQ3148" s="37"/>
      <c r="DR3148" s="37"/>
      <c r="DS3148" s="37"/>
      <c r="DT3148" s="37"/>
      <c r="DU3148" s="37"/>
      <c r="DV3148" s="37"/>
      <c r="DW3148" s="37"/>
      <c r="DX3148" s="37"/>
      <c r="DY3148" s="37"/>
      <c r="DZ3148" s="37"/>
      <c r="EA3148" s="37"/>
      <c r="EB3148" s="37"/>
      <c r="EC3148" s="37"/>
      <c r="ED3148" s="37"/>
      <c r="EE3148" s="37"/>
      <c r="EF3148" s="37"/>
      <c r="EG3148" s="37"/>
      <c r="EH3148" s="37"/>
      <c r="EI3148" s="37"/>
      <c r="EJ3148" s="37"/>
      <c r="EK3148" s="37"/>
      <c r="EL3148" s="37"/>
      <c r="EM3148" s="37"/>
      <c r="EN3148" s="37"/>
      <c r="EO3148" s="37"/>
      <c r="EP3148" s="37"/>
      <c r="EQ3148" s="37"/>
      <c r="ER3148" s="37"/>
      <c r="ES3148" s="37"/>
      <c r="ET3148" s="37"/>
      <c r="EU3148" s="37"/>
      <c r="EV3148" s="37"/>
      <c r="EW3148" s="37"/>
      <c r="EX3148" s="37"/>
      <c r="EY3148" s="37"/>
      <c r="EZ3148" s="37"/>
      <c r="FA3148" s="37"/>
      <c r="FB3148" s="37"/>
      <c r="FC3148" s="37"/>
      <c r="FD3148" s="37"/>
      <c r="FE3148" s="37"/>
      <c r="FF3148" s="37"/>
      <c r="FG3148" s="37"/>
      <c r="FH3148" s="37"/>
      <c r="FI3148" s="37"/>
      <c r="FJ3148" s="37"/>
      <c r="FK3148" s="37"/>
      <c r="FL3148" s="37"/>
      <c r="FM3148" s="37"/>
      <c r="FN3148" s="37"/>
      <c r="FO3148" s="37"/>
      <c r="FP3148" s="37"/>
      <c r="FQ3148" s="37"/>
      <c r="FR3148" s="37"/>
      <c r="FS3148" s="37"/>
      <c r="FT3148" s="37"/>
      <c r="FU3148" s="37"/>
      <c r="FV3148" s="37"/>
      <c r="FW3148" s="37"/>
      <c r="FX3148" s="37"/>
      <c r="FY3148" s="37"/>
      <c r="FZ3148" s="37"/>
      <c r="GA3148" s="37"/>
      <c r="GB3148" s="37"/>
      <c r="GC3148" s="37"/>
      <c r="GD3148" s="37"/>
      <c r="GE3148" s="37"/>
      <c r="GF3148" s="37"/>
      <c r="GG3148" s="37"/>
      <c r="GH3148" s="37"/>
      <c r="GI3148" s="37"/>
      <c r="GJ3148" s="37"/>
      <c r="GK3148" s="37"/>
      <c r="GL3148" s="37"/>
      <c r="GM3148" s="37"/>
      <c r="GN3148" s="37"/>
      <c r="GO3148" s="37"/>
      <c r="GP3148" s="37"/>
      <c r="GQ3148" s="37"/>
      <c r="GR3148" s="37"/>
      <c r="GS3148" s="37"/>
      <c r="GT3148" s="37"/>
      <c r="GU3148" s="37"/>
      <c r="GV3148" s="37"/>
      <c r="GW3148" s="37"/>
      <c r="GX3148" s="37"/>
      <c r="GY3148" s="37"/>
      <c r="GZ3148" s="37"/>
      <c r="HA3148" s="37"/>
      <c r="HB3148" s="37"/>
      <c r="HC3148" s="37"/>
      <c r="HD3148" s="37"/>
      <c r="HE3148" s="37"/>
      <c r="HF3148" s="37"/>
      <c r="HG3148" s="37"/>
      <c r="HH3148" s="37"/>
      <c r="HI3148" s="37"/>
      <c r="HJ3148" s="37"/>
      <c r="HK3148" s="37"/>
      <c r="HL3148" s="37"/>
      <c r="HM3148" s="37"/>
      <c r="HN3148" s="37"/>
      <c r="HO3148" s="37"/>
      <c r="HP3148" s="37"/>
      <c r="HQ3148" s="37"/>
      <c r="HR3148" s="37"/>
      <c r="HS3148" s="37"/>
      <c r="HT3148" s="37"/>
      <c r="HU3148" s="37"/>
      <c r="HV3148" s="37"/>
      <c r="HW3148" s="37"/>
      <c r="HX3148" s="37"/>
      <c r="HY3148" s="37"/>
      <c r="HZ3148" s="37"/>
      <c r="IA3148" s="37"/>
      <c r="IB3148" s="37"/>
      <c r="IC3148" s="37"/>
      <c r="ID3148" s="37"/>
      <c r="IE3148" s="37"/>
      <c r="IF3148" s="37"/>
      <c r="IG3148" s="37"/>
      <c r="IH3148" s="37"/>
      <c r="II3148" s="37"/>
      <c r="IJ3148" s="37"/>
      <c r="IK3148" s="37"/>
      <c r="IL3148" s="37"/>
      <c r="IM3148" s="37"/>
      <c r="IN3148" s="37"/>
      <c r="IO3148" s="37"/>
      <c r="IP3148" s="37"/>
      <c r="IQ3148" s="37"/>
      <c r="IR3148" s="37"/>
      <c r="IS3148" s="37"/>
      <c r="IT3148" s="37"/>
      <c r="IU3148" s="37"/>
      <c r="IV3148" s="37"/>
      <c r="IW3148" s="37"/>
      <c r="IX3148" s="37"/>
      <c r="IY3148" s="37"/>
      <c r="IZ3148" s="37"/>
      <c r="JA3148" s="37"/>
      <c r="JB3148" s="37"/>
      <c r="JC3148" s="37"/>
      <c r="JD3148" s="37"/>
      <c r="JE3148" s="37"/>
      <c r="JF3148" s="37"/>
      <c r="JG3148" s="37"/>
      <c r="JH3148" s="37"/>
      <c r="JI3148" s="37"/>
      <c r="JJ3148" s="37"/>
      <c r="JK3148" s="37"/>
      <c r="JL3148" s="37"/>
      <c r="JM3148" s="37"/>
      <c r="JN3148" s="37"/>
      <c r="JO3148" s="37"/>
      <c r="JP3148" s="37"/>
      <c r="JQ3148" s="37"/>
      <c r="JR3148" s="37"/>
      <c r="JS3148" s="37"/>
      <c r="JT3148" s="37"/>
      <c r="JU3148" s="37"/>
      <c r="JV3148" s="37"/>
      <c r="JW3148" s="37"/>
      <c r="JX3148" s="37"/>
      <c r="JY3148" s="37"/>
      <c r="JZ3148" s="37"/>
      <c r="KA3148" s="37"/>
      <c r="KB3148" s="37"/>
      <c r="KC3148" s="37"/>
      <c r="KD3148" s="37"/>
      <c r="KE3148" s="37"/>
      <c r="KF3148" s="37"/>
      <c r="KG3148" s="37"/>
      <c r="KH3148" s="37"/>
      <c r="KI3148" s="37"/>
      <c r="KJ3148" s="37"/>
      <c r="KK3148" s="37"/>
      <c r="KL3148" s="37"/>
      <c r="KM3148" s="37"/>
      <c r="KN3148" s="37"/>
      <c r="KO3148" s="37"/>
      <c r="KP3148" s="37"/>
      <c r="KQ3148" s="37"/>
      <c r="KR3148" s="37"/>
      <c r="KS3148" s="37"/>
      <c r="KT3148" s="37"/>
      <c r="KU3148" s="37"/>
      <c r="KV3148" s="37"/>
      <c r="KW3148" s="37"/>
      <c r="KX3148" s="37"/>
      <c r="KY3148" s="37"/>
      <c r="KZ3148" s="37"/>
      <c r="LA3148" s="37"/>
      <c r="LB3148" s="37"/>
      <c r="LC3148" s="37"/>
      <c r="LD3148" s="37"/>
      <c r="LE3148" s="37"/>
      <c r="LF3148" s="37"/>
      <c r="LG3148" s="37"/>
      <c r="LH3148" s="37"/>
      <c r="LI3148" s="37"/>
      <c r="LJ3148" s="37"/>
      <c r="LK3148" s="37"/>
      <c r="LL3148" s="37"/>
      <c r="LM3148" s="37"/>
      <c r="LN3148" s="37"/>
      <c r="LO3148" s="37"/>
      <c r="LP3148" s="37"/>
      <c r="LQ3148" s="37"/>
      <c r="LR3148" s="37"/>
      <c r="LS3148" s="37"/>
      <c r="LT3148" s="37"/>
      <c r="LU3148" s="37"/>
      <c r="LV3148" s="37"/>
      <c r="LW3148" s="37"/>
      <c r="LX3148" s="37"/>
      <c r="LY3148" s="37"/>
      <c r="LZ3148" s="37"/>
      <c r="MA3148" s="37"/>
      <c r="MB3148" s="37"/>
      <c r="MC3148" s="37"/>
      <c r="MD3148" s="37"/>
      <c r="ME3148" s="37"/>
      <c r="MF3148" s="37"/>
      <c r="MG3148" s="37"/>
      <c r="MH3148" s="37"/>
      <c r="MI3148" s="37"/>
      <c r="MJ3148" s="37"/>
      <c r="MK3148" s="37"/>
      <c r="ML3148" s="37"/>
      <c r="MM3148" s="37"/>
      <c r="MN3148" s="37"/>
      <c r="MO3148" s="37"/>
      <c r="MP3148" s="37"/>
      <c r="MQ3148" s="37"/>
      <c r="MR3148" s="37"/>
      <c r="MS3148" s="37"/>
      <c r="MT3148" s="37"/>
      <c r="MU3148" s="37"/>
      <c r="MV3148" s="37"/>
      <c r="MW3148" s="37"/>
      <c r="MX3148" s="37"/>
      <c r="MY3148" s="37"/>
      <c r="MZ3148" s="37"/>
      <c r="NA3148" s="37"/>
      <c r="NB3148" s="37"/>
      <c r="NC3148" s="37"/>
      <c r="ND3148" s="37"/>
      <c r="NE3148" s="37"/>
      <c r="NF3148" s="37"/>
      <c r="NG3148" s="37"/>
      <c r="NH3148" s="37"/>
      <c r="NI3148" s="37"/>
      <c r="NJ3148" s="37"/>
      <c r="NK3148" s="37"/>
      <c r="NL3148" s="37"/>
      <c r="NM3148" s="37"/>
      <c r="NN3148" s="37"/>
      <c r="NO3148" s="37"/>
      <c r="NP3148" s="37"/>
      <c r="NQ3148" s="37"/>
      <c r="NR3148" s="37"/>
      <c r="NS3148" s="37"/>
      <c r="NT3148" s="37"/>
      <c r="NU3148" s="37"/>
      <c r="NV3148" s="37"/>
      <c r="NW3148" s="37"/>
      <c r="NX3148" s="37"/>
      <c r="NY3148" s="37"/>
      <c r="NZ3148" s="37"/>
      <c r="OA3148" s="37"/>
      <c r="OB3148" s="37"/>
      <c r="OC3148" s="37"/>
      <c r="OD3148" s="37"/>
      <c r="OE3148" s="37"/>
      <c r="OF3148" s="37"/>
      <c r="OG3148" s="37"/>
      <c r="OH3148" s="37"/>
      <c r="OI3148" s="37"/>
      <c r="OJ3148" s="37"/>
      <c r="OK3148" s="37"/>
      <c r="OL3148" s="37"/>
      <c r="OM3148" s="37"/>
      <c r="ON3148" s="37"/>
      <c r="OO3148" s="37"/>
      <c r="OP3148" s="37"/>
      <c r="OQ3148" s="37"/>
      <c r="OR3148" s="37"/>
      <c r="OS3148" s="37"/>
      <c r="OT3148" s="37"/>
      <c r="OU3148" s="37"/>
      <c r="OV3148" s="37"/>
      <c r="OW3148" s="37"/>
      <c r="OX3148" s="37"/>
      <c r="OY3148" s="37"/>
      <c r="OZ3148" s="37"/>
      <c r="PA3148" s="37"/>
      <c r="PB3148" s="37"/>
      <c r="PC3148" s="37"/>
      <c r="PD3148" s="37"/>
      <c r="PE3148" s="37"/>
      <c r="PF3148" s="37"/>
      <c r="PG3148" s="37"/>
      <c r="PH3148" s="37"/>
      <c r="PI3148" s="37"/>
      <c r="PJ3148" s="37"/>
      <c r="PK3148" s="37"/>
      <c r="PL3148" s="37"/>
      <c r="PM3148" s="37"/>
      <c r="PN3148" s="37"/>
      <c r="PO3148" s="37"/>
      <c r="PP3148" s="37"/>
      <c r="PQ3148" s="37"/>
      <c r="PR3148" s="37"/>
      <c r="PS3148" s="37"/>
      <c r="PT3148" s="37"/>
      <c r="PU3148" s="37"/>
      <c r="PV3148" s="37"/>
      <c r="PW3148" s="37"/>
      <c r="PX3148" s="37"/>
      <c r="PY3148" s="37"/>
      <c r="PZ3148" s="37"/>
      <c r="QA3148" s="37"/>
      <c r="QB3148" s="37"/>
      <c r="QC3148" s="37"/>
      <c r="QD3148" s="37"/>
      <c r="QE3148" s="37"/>
      <c r="QF3148" s="37"/>
      <c r="QG3148" s="37"/>
      <c r="QH3148" s="37"/>
      <c r="QI3148" s="37"/>
      <c r="QJ3148" s="37"/>
      <c r="QK3148" s="37"/>
      <c r="QL3148" s="37"/>
      <c r="QM3148" s="37"/>
      <c r="QN3148" s="37"/>
      <c r="QO3148" s="37"/>
      <c r="QP3148" s="37"/>
      <c r="QQ3148" s="37"/>
      <c r="QR3148" s="37"/>
      <c r="QS3148" s="37"/>
      <c r="QT3148" s="37"/>
      <c r="QU3148" s="37"/>
      <c r="QV3148" s="37"/>
      <c r="QW3148" s="37"/>
      <c r="QX3148" s="37"/>
      <c r="QY3148" s="37"/>
      <c r="QZ3148" s="37"/>
      <c r="RA3148" s="37"/>
      <c r="RB3148" s="37"/>
      <c r="RC3148" s="37"/>
      <c r="RD3148" s="37"/>
      <c r="RE3148" s="37"/>
      <c r="RF3148" s="37"/>
      <c r="RG3148" s="37"/>
      <c r="RH3148" s="37"/>
      <c r="RI3148" s="37"/>
      <c r="RJ3148" s="37"/>
      <c r="RK3148" s="37"/>
      <c r="RL3148" s="37"/>
      <c r="RM3148" s="37"/>
      <c r="RN3148" s="37"/>
      <c r="RO3148" s="37"/>
      <c r="RP3148" s="37"/>
      <c r="RQ3148" s="37"/>
      <c r="RR3148" s="37"/>
      <c r="RS3148" s="37"/>
      <c r="RT3148" s="37"/>
      <c r="RU3148" s="37"/>
      <c r="RV3148" s="37"/>
      <c r="RW3148" s="37"/>
      <c r="RX3148" s="37"/>
      <c r="RY3148" s="37"/>
      <c r="RZ3148" s="37"/>
      <c r="SA3148" s="37"/>
      <c r="SB3148" s="37"/>
      <c r="SC3148" s="37"/>
      <c r="SD3148" s="37"/>
      <c r="SE3148" s="37"/>
      <c r="SF3148" s="37"/>
    </row>
    <row r="3149" spans="1:500">
      <c r="A3149" s="37"/>
      <c r="B3149" s="37"/>
      <c r="C3149" s="37"/>
      <c r="D3149" s="37"/>
      <c r="E3149" s="37"/>
      <c r="F3149" s="37"/>
      <c r="G3149" s="37"/>
      <c r="H3149" s="37"/>
      <c r="I3149" s="37"/>
      <c r="J3149" s="37"/>
      <c r="K3149" s="37"/>
      <c r="L3149" s="37"/>
      <c r="M3149" s="37"/>
      <c r="N3149" s="37"/>
      <c r="O3149" s="37"/>
      <c r="P3149" s="37"/>
      <c r="Q3149" s="37"/>
      <c r="R3149" s="37"/>
      <c r="S3149" s="37"/>
      <c r="T3149" s="37"/>
      <c r="U3149" s="37"/>
      <c r="V3149" s="37"/>
      <c r="W3149" s="37"/>
      <c r="X3149" s="37"/>
      <c r="Y3149" s="37"/>
      <c r="Z3149" s="37"/>
      <c r="AA3149" s="37"/>
      <c r="AB3149" s="37"/>
      <c r="AC3149" s="37"/>
      <c r="AD3149" s="37"/>
      <c r="AE3149" s="37"/>
      <c r="AF3149" s="37"/>
      <c r="AG3149" s="37"/>
      <c r="AH3149" s="37"/>
      <c r="AI3149" s="37"/>
      <c r="AJ3149" s="37"/>
      <c r="AK3149" s="37"/>
      <c r="AL3149" s="37"/>
      <c r="AM3149" s="37"/>
      <c r="AN3149" s="37"/>
      <c r="AO3149" s="37"/>
      <c r="AP3149" s="37"/>
      <c r="AQ3149" s="37"/>
      <c r="AR3149" s="37"/>
      <c r="AS3149" s="37"/>
      <c r="AT3149" s="37"/>
      <c r="AU3149" s="37"/>
      <c r="AV3149" s="37"/>
      <c r="AW3149" s="37"/>
      <c r="AX3149" s="37"/>
      <c r="AY3149" s="37"/>
      <c r="AZ3149" s="37"/>
      <c r="BA3149" s="37"/>
      <c r="BB3149" s="37"/>
      <c r="BC3149" s="37"/>
      <c r="BD3149" s="37"/>
      <c r="BE3149" s="37"/>
      <c r="BF3149" s="37"/>
      <c r="BG3149" s="37"/>
      <c r="BH3149" s="37"/>
      <c r="BI3149" s="37"/>
      <c r="BJ3149" s="37"/>
      <c r="BK3149" s="37"/>
      <c r="BL3149" s="37"/>
      <c r="BM3149" s="37"/>
      <c r="BN3149" s="37"/>
      <c r="BO3149" s="37"/>
      <c r="BP3149" s="37"/>
      <c r="BQ3149" s="37"/>
      <c r="BR3149" s="37"/>
      <c r="BS3149" s="37"/>
      <c r="BT3149" s="37"/>
      <c r="BU3149" s="37"/>
      <c r="BV3149" s="37"/>
      <c r="BW3149" s="37"/>
      <c r="BX3149" s="37"/>
      <c r="BY3149" s="37"/>
      <c r="BZ3149" s="37"/>
      <c r="CA3149" s="37"/>
      <c r="CB3149" s="37"/>
      <c r="CC3149" s="37"/>
      <c r="CD3149" s="37"/>
      <c r="CE3149" s="37"/>
      <c r="CF3149" s="37"/>
      <c r="CG3149" s="37"/>
      <c r="CH3149" s="37"/>
      <c r="CI3149" s="37"/>
      <c r="CJ3149" s="37"/>
      <c r="CK3149" s="37"/>
      <c r="CL3149" s="37"/>
      <c r="CM3149" s="37"/>
      <c r="CN3149" s="37"/>
      <c r="CO3149" s="37"/>
      <c r="CP3149" s="37"/>
      <c r="CQ3149" s="37"/>
      <c r="CR3149" s="37"/>
      <c r="CS3149" s="37"/>
      <c r="CT3149" s="37"/>
      <c r="CU3149" s="37"/>
      <c r="CV3149" s="37"/>
      <c r="CW3149" s="37"/>
      <c r="CX3149" s="37"/>
      <c r="CY3149" s="37"/>
      <c r="CZ3149" s="37"/>
      <c r="DA3149" s="37"/>
      <c r="DB3149" s="37"/>
      <c r="DC3149" s="37"/>
      <c r="DD3149" s="37"/>
      <c r="DE3149" s="37"/>
      <c r="DF3149" s="37"/>
      <c r="DG3149" s="37"/>
      <c r="DH3149" s="37"/>
      <c r="DI3149" s="37"/>
      <c r="DJ3149" s="37"/>
      <c r="DK3149" s="37"/>
      <c r="DL3149" s="37"/>
      <c r="DM3149" s="37"/>
      <c r="DN3149" s="37"/>
      <c r="DO3149" s="37"/>
      <c r="DP3149" s="37"/>
      <c r="DQ3149" s="37"/>
      <c r="DR3149" s="37"/>
      <c r="DS3149" s="37"/>
      <c r="DT3149" s="37"/>
      <c r="DU3149" s="37"/>
      <c r="DV3149" s="37"/>
      <c r="DW3149" s="37"/>
      <c r="DX3149" s="37"/>
      <c r="DY3149" s="37"/>
      <c r="DZ3149" s="37"/>
      <c r="EA3149" s="37"/>
      <c r="EB3149" s="37"/>
      <c r="EC3149" s="37"/>
      <c r="ED3149" s="37"/>
      <c r="EE3149" s="37"/>
      <c r="EF3149" s="37"/>
      <c r="EG3149" s="37"/>
      <c r="EH3149" s="37"/>
      <c r="EI3149" s="37"/>
      <c r="EJ3149" s="37"/>
      <c r="EK3149" s="37"/>
      <c r="EL3149" s="37"/>
      <c r="EM3149" s="37"/>
      <c r="EN3149" s="37"/>
      <c r="EO3149" s="37"/>
      <c r="EP3149" s="37"/>
      <c r="EQ3149" s="37"/>
      <c r="ER3149" s="37"/>
      <c r="ES3149" s="37"/>
      <c r="ET3149" s="37"/>
      <c r="EU3149" s="37"/>
      <c r="EV3149" s="37"/>
      <c r="EW3149" s="37"/>
      <c r="EX3149" s="37"/>
      <c r="EY3149" s="37"/>
      <c r="EZ3149" s="37"/>
      <c r="FA3149" s="37"/>
      <c r="FB3149" s="37"/>
      <c r="FC3149" s="37"/>
      <c r="FD3149" s="37"/>
      <c r="FE3149" s="37"/>
      <c r="FF3149" s="37"/>
      <c r="FG3149" s="37"/>
      <c r="FH3149" s="37"/>
      <c r="FI3149" s="37"/>
      <c r="FJ3149" s="37"/>
      <c r="FK3149" s="37"/>
      <c r="FL3149" s="37"/>
      <c r="FM3149" s="37"/>
      <c r="FN3149" s="37"/>
      <c r="FO3149" s="37"/>
      <c r="FP3149" s="37"/>
      <c r="FQ3149" s="37"/>
      <c r="FR3149" s="37"/>
      <c r="FS3149" s="37"/>
      <c r="FT3149" s="37"/>
      <c r="FU3149" s="37"/>
      <c r="FV3149" s="37"/>
      <c r="FW3149" s="37"/>
      <c r="FX3149" s="37"/>
      <c r="FY3149" s="37"/>
      <c r="FZ3149" s="37"/>
      <c r="GA3149" s="37"/>
      <c r="GB3149" s="37"/>
      <c r="GC3149" s="37"/>
      <c r="GD3149" s="37"/>
      <c r="GE3149" s="37"/>
      <c r="GF3149" s="37"/>
      <c r="GG3149" s="37"/>
      <c r="GH3149" s="37"/>
      <c r="GI3149" s="37"/>
      <c r="GJ3149" s="37"/>
      <c r="GK3149" s="37"/>
      <c r="GL3149" s="37"/>
      <c r="GM3149" s="37"/>
      <c r="GN3149" s="37"/>
      <c r="GO3149" s="37"/>
      <c r="GP3149" s="37"/>
      <c r="GQ3149" s="37"/>
      <c r="GR3149" s="37"/>
      <c r="GS3149" s="37"/>
      <c r="GT3149" s="37"/>
      <c r="GU3149" s="37"/>
      <c r="GV3149" s="37"/>
      <c r="GW3149" s="37"/>
      <c r="GX3149" s="37"/>
      <c r="GY3149" s="37"/>
      <c r="GZ3149" s="37"/>
      <c r="HA3149" s="37"/>
      <c r="HB3149" s="37"/>
      <c r="HC3149" s="37"/>
      <c r="HD3149" s="37"/>
      <c r="HE3149" s="37"/>
      <c r="HF3149" s="37"/>
      <c r="HG3149" s="37"/>
      <c r="HH3149" s="37"/>
      <c r="HI3149" s="37"/>
      <c r="HJ3149" s="37"/>
      <c r="HK3149" s="37"/>
      <c r="HL3149" s="37"/>
      <c r="HM3149" s="37"/>
      <c r="HN3149" s="37"/>
      <c r="HO3149" s="37"/>
      <c r="HP3149" s="37"/>
      <c r="HQ3149" s="37"/>
      <c r="HR3149" s="37"/>
      <c r="HS3149" s="37"/>
      <c r="HT3149" s="37"/>
      <c r="HU3149" s="37"/>
      <c r="HV3149" s="37"/>
      <c r="HW3149" s="37"/>
      <c r="HX3149" s="37"/>
      <c r="HY3149" s="37"/>
      <c r="HZ3149" s="37"/>
      <c r="IA3149" s="37"/>
      <c r="IB3149" s="37"/>
      <c r="IC3149" s="37"/>
      <c r="ID3149" s="37"/>
      <c r="IE3149" s="37"/>
      <c r="IF3149" s="37"/>
      <c r="IG3149" s="37"/>
      <c r="IH3149" s="37"/>
      <c r="II3149" s="37"/>
      <c r="IJ3149" s="37"/>
      <c r="IK3149" s="37"/>
      <c r="IL3149" s="37"/>
      <c r="IM3149" s="37"/>
      <c r="IN3149" s="37"/>
      <c r="IO3149" s="37"/>
      <c r="IP3149" s="37"/>
      <c r="IQ3149" s="37"/>
      <c r="IR3149" s="37"/>
      <c r="IS3149" s="37"/>
      <c r="IT3149" s="37"/>
      <c r="IU3149" s="37"/>
      <c r="IV3149" s="37"/>
      <c r="IW3149" s="37"/>
      <c r="IX3149" s="37"/>
      <c r="IY3149" s="37"/>
      <c r="IZ3149" s="37"/>
      <c r="JA3149" s="37"/>
      <c r="JB3149" s="37"/>
      <c r="JC3149" s="37"/>
      <c r="JD3149" s="37"/>
      <c r="JE3149" s="37"/>
      <c r="JF3149" s="37"/>
      <c r="JG3149" s="37"/>
      <c r="JH3149" s="37"/>
      <c r="JI3149" s="37"/>
      <c r="JJ3149" s="37"/>
      <c r="JK3149" s="37"/>
      <c r="JL3149" s="37"/>
      <c r="JM3149" s="37"/>
      <c r="JN3149" s="37"/>
      <c r="JO3149" s="37"/>
      <c r="JP3149" s="37"/>
      <c r="JQ3149" s="37"/>
      <c r="JR3149" s="37"/>
      <c r="JS3149" s="37"/>
      <c r="JT3149" s="37"/>
      <c r="JU3149" s="37"/>
      <c r="JV3149" s="37"/>
      <c r="JW3149" s="37"/>
      <c r="JX3149" s="37"/>
      <c r="JY3149" s="37"/>
      <c r="JZ3149" s="37"/>
      <c r="KA3149" s="37"/>
      <c r="KB3149" s="37"/>
      <c r="KC3149" s="37"/>
      <c r="KD3149" s="37"/>
      <c r="KE3149" s="37"/>
      <c r="KF3149" s="37"/>
      <c r="KG3149" s="37"/>
      <c r="KH3149" s="37"/>
      <c r="KI3149" s="37"/>
      <c r="KJ3149" s="37"/>
      <c r="KK3149" s="37"/>
      <c r="KL3149" s="37"/>
      <c r="KM3149" s="37"/>
      <c r="KN3149" s="37"/>
      <c r="KO3149" s="37"/>
      <c r="KP3149" s="37"/>
      <c r="KQ3149" s="37"/>
      <c r="KR3149" s="37"/>
      <c r="KS3149" s="37"/>
      <c r="KT3149" s="37"/>
      <c r="KU3149" s="37"/>
      <c r="KV3149" s="37"/>
      <c r="KW3149" s="37"/>
      <c r="KX3149" s="37"/>
      <c r="KY3149" s="37"/>
      <c r="KZ3149" s="37"/>
      <c r="LA3149" s="37"/>
      <c r="LB3149" s="37"/>
      <c r="LC3149" s="37"/>
      <c r="LD3149" s="37"/>
      <c r="LE3149" s="37"/>
      <c r="LF3149" s="37"/>
      <c r="LG3149" s="37"/>
      <c r="LH3149" s="37"/>
      <c r="LI3149" s="37"/>
      <c r="LJ3149" s="37"/>
      <c r="LK3149" s="37"/>
      <c r="LL3149" s="37"/>
      <c r="LM3149" s="37"/>
      <c r="LN3149" s="37"/>
      <c r="LO3149" s="37"/>
      <c r="LP3149" s="37"/>
      <c r="LQ3149" s="37"/>
      <c r="LR3149" s="37"/>
      <c r="LS3149" s="37"/>
      <c r="LT3149" s="37"/>
      <c r="LU3149" s="37"/>
      <c r="LV3149" s="37"/>
      <c r="LW3149" s="37"/>
      <c r="LX3149" s="37"/>
      <c r="LY3149" s="37"/>
      <c r="LZ3149" s="37"/>
      <c r="MA3149" s="37"/>
      <c r="MB3149" s="37"/>
      <c r="MC3149" s="37"/>
      <c r="MD3149" s="37"/>
      <c r="ME3149" s="37"/>
      <c r="MF3149" s="37"/>
      <c r="MG3149" s="37"/>
      <c r="MH3149" s="37"/>
      <c r="MI3149" s="37"/>
      <c r="MJ3149" s="37"/>
      <c r="MK3149" s="37"/>
      <c r="ML3149" s="37"/>
      <c r="MM3149" s="37"/>
      <c r="MN3149" s="37"/>
      <c r="MO3149" s="37"/>
      <c r="MP3149" s="37"/>
      <c r="MQ3149" s="37"/>
      <c r="MR3149" s="37"/>
      <c r="MS3149" s="37"/>
      <c r="MT3149" s="37"/>
      <c r="MU3149" s="37"/>
      <c r="MV3149" s="37"/>
      <c r="MW3149" s="37"/>
      <c r="MX3149" s="37"/>
      <c r="MY3149" s="37"/>
      <c r="MZ3149" s="37"/>
      <c r="NA3149" s="37"/>
      <c r="NB3149" s="37"/>
      <c r="NC3149" s="37"/>
      <c r="ND3149" s="37"/>
      <c r="NE3149" s="37"/>
      <c r="NF3149" s="37"/>
      <c r="NG3149" s="37"/>
      <c r="NH3149" s="37"/>
      <c r="NI3149" s="37"/>
      <c r="NJ3149" s="37"/>
      <c r="NK3149" s="37"/>
      <c r="NL3149" s="37"/>
      <c r="NM3149" s="37"/>
      <c r="NN3149" s="37"/>
      <c r="NO3149" s="37"/>
      <c r="NP3149" s="37"/>
      <c r="NQ3149" s="37"/>
      <c r="NR3149" s="37"/>
      <c r="NS3149" s="37"/>
      <c r="NT3149" s="37"/>
      <c r="NU3149" s="37"/>
      <c r="NV3149" s="37"/>
      <c r="NW3149" s="37"/>
      <c r="NX3149" s="37"/>
      <c r="NY3149" s="37"/>
      <c r="NZ3149" s="37"/>
      <c r="OA3149" s="37"/>
      <c r="OB3149" s="37"/>
      <c r="OC3149" s="37"/>
      <c r="OD3149" s="37"/>
      <c r="OE3149" s="37"/>
      <c r="OF3149" s="37"/>
      <c r="OG3149" s="37"/>
      <c r="OH3149" s="37"/>
      <c r="OI3149" s="37"/>
      <c r="OJ3149" s="37"/>
      <c r="OK3149" s="37"/>
      <c r="OL3149" s="37"/>
      <c r="OM3149" s="37"/>
      <c r="ON3149" s="37"/>
      <c r="OO3149" s="37"/>
      <c r="OP3149" s="37"/>
      <c r="OQ3149" s="37"/>
      <c r="OR3149" s="37"/>
      <c r="OS3149" s="37"/>
      <c r="OT3149" s="37"/>
      <c r="OU3149" s="37"/>
      <c r="OV3149" s="37"/>
      <c r="OW3149" s="37"/>
      <c r="OX3149" s="37"/>
      <c r="OY3149" s="37"/>
      <c r="OZ3149" s="37"/>
      <c r="PA3149" s="37"/>
      <c r="PB3149" s="37"/>
      <c r="PC3149" s="37"/>
      <c r="PD3149" s="37"/>
      <c r="PE3149" s="37"/>
      <c r="PF3149" s="37"/>
      <c r="PG3149" s="37"/>
      <c r="PH3149" s="37"/>
      <c r="PI3149" s="37"/>
      <c r="PJ3149" s="37"/>
      <c r="PK3149" s="37"/>
      <c r="PL3149" s="37"/>
      <c r="PM3149" s="37"/>
      <c r="PN3149" s="37"/>
      <c r="PO3149" s="37"/>
      <c r="PP3149" s="37"/>
      <c r="PQ3149" s="37"/>
      <c r="PR3149" s="37"/>
      <c r="PS3149" s="37"/>
      <c r="PT3149" s="37"/>
      <c r="PU3149" s="37"/>
      <c r="PV3149" s="37"/>
      <c r="PW3149" s="37"/>
      <c r="PX3149" s="37"/>
      <c r="PY3149" s="37"/>
      <c r="PZ3149" s="37"/>
      <c r="QA3149" s="37"/>
      <c r="QB3149" s="37"/>
      <c r="QC3149" s="37"/>
      <c r="QD3149" s="37"/>
      <c r="QE3149" s="37"/>
      <c r="QF3149" s="37"/>
      <c r="QG3149" s="37"/>
      <c r="QH3149" s="37"/>
      <c r="QI3149" s="37"/>
      <c r="QJ3149" s="37"/>
      <c r="QK3149" s="37"/>
      <c r="QL3149" s="37"/>
      <c r="QM3149" s="37"/>
      <c r="QN3149" s="37"/>
      <c r="QO3149" s="37"/>
      <c r="QP3149" s="37"/>
      <c r="QQ3149" s="37"/>
      <c r="QR3149" s="37"/>
      <c r="QS3149" s="37"/>
      <c r="QT3149" s="37"/>
      <c r="QU3149" s="37"/>
      <c r="QV3149" s="37"/>
      <c r="QW3149" s="37"/>
      <c r="QX3149" s="37"/>
      <c r="QY3149" s="37"/>
      <c r="QZ3149" s="37"/>
      <c r="RA3149" s="37"/>
      <c r="RB3149" s="37"/>
      <c r="RC3149" s="37"/>
      <c r="RD3149" s="37"/>
      <c r="RE3149" s="37"/>
      <c r="RF3149" s="37"/>
      <c r="RG3149" s="37"/>
      <c r="RH3149" s="37"/>
      <c r="RI3149" s="37"/>
      <c r="RJ3149" s="37"/>
      <c r="RK3149" s="37"/>
      <c r="RL3149" s="37"/>
      <c r="RM3149" s="37"/>
      <c r="RN3149" s="37"/>
      <c r="RO3149" s="37"/>
      <c r="RP3149" s="37"/>
      <c r="RQ3149" s="37"/>
      <c r="RR3149" s="37"/>
      <c r="RS3149" s="37"/>
      <c r="RT3149" s="37"/>
      <c r="RU3149" s="37"/>
      <c r="RV3149" s="37"/>
      <c r="RW3149" s="37"/>
      <c r="RX3149" s="37"/>
      <c r="RY3149" s="37"/>
      <c r="RZ3149" s="37"/>
      <c r="SA3149" s="37"/>
      <c r="SB3149" s="37"/>
      <c r="SC3149" s="37"/>
      <c r="SD3149" s="37"/>
      <c r="SE3149" s="37"/>
      <c r="SF3149" s="37"/>
    </row>
    <row r="3150" spans="1:500">
      <c r="A3150" s="37"/>
      <c r="B3150" s="37"/>
      <c r="C3150" s="37"/>
      <c r="D3150" s="37"/>
      <c r="E3150" s="37"/>
      <c r="F3150" s="37"/>
      <c r="G3150" s="37"/>
      <c r="H3150" s="37"/>
      <c r="I3150" s="37"/>
      <c r="J3150" s="37"/>
      <c r="K3150" s="37"/>
      <c r="L3150" s="37"/>
      <c r="M3150" s="37"/>
      <c r="N3150" s="37"/>
      <c r="O3150" s="37"/>
      <c r="P3150" s="37"/>
      <c r="Q3150" s="37"/>
      <c r="R3150" s="37"/>
      <c r="S3150" s="37"/>
      <c r="T3150" s="37"/>
      <c r="U3150" s="37"/>
      <c r="V3150" s="37"/>
      <c r="W3150" s="37"/>
      <c r="X3150" s="37"/>
      <c r="Y3150" s="37"/>
      <c r="Z3150" s="37"/>
      <c r="AA3150" s="37"/>
      <c r="AB3150" s="37"/>
      <c r="AC3150" s="37"/>
      <c r="AD3150" s="37"/>
      <c r="AE3150" s="37"/>
      <c r="AF3150" s="37"/>
      <c r="AG3150" s="37"/>
      <c r="AH3150" s="37"/>
      <c r="AI3150" s="37"/>
      <c r="AJ3150" s="37"/>
      <c r="AK3150" s="37"/>
      <c r="AL3150" s="37"/>
      <c r="AM3150" s="37"/>
      <c r="AN3150" s="37"/>
      <c r="AO3150" s="37"/>
      <c r="AP3150" s="37"/>
      <c r="AQ3150" s="37"/>
      <c r="AR3150" s="37"/>
      <c r="AS3150" s="37"/>
      <c r="AT3150" s="37"/>
      <c r="AU3150" s="37"/>
      <c r="AV3150" s="37"/>
      <c r="AW3150" s="37"/>
      <c r="AX3150" s="37"/>
      <c r="AY3150" s="37"/>
      <c r="AZ3150" s="37"/>
      <c r="BA3150" s="37"/>
      <c r="BB3150" s="37"/>
      <c r="BC3150" s="37"/>
      <c r="BD3150" s="37"/>
      <c r="BE3150" s="37"/>
      <c r="BF3150" s="37"/>
      <c r="BG3150" s="37"/>
      <c r="BH3150" s="37"/>
      <c r="BI3150" s="37"/>
      <c r="BJ3150" s="37"/>
      <c r="BK3150" s="37"/>
      <c r="BL3150" s="37"/>
      <c r="BM3150" s="37"/>
      <c r="BN3150" s="37"/>
      <c r="BO3150" s="37"/>
      <c r="BP3150" s="37"/>
      <c r="BQ3150" s="37"/>
      <c r="BR3150" s="37"/>
      <c r="BS3150" s="37"/>
      <c r="BT3150" s="37"/>
      <c r="BU3150" s="37"/>
      <c r="BV3150" s="37"/>
      <c r="BW3150" s="37"/>
      <c r="BX3150" s="37"/>
      <c r="BY3150" s="37"/>
      <c r="BZ3150" s="37"/>
      <c r="CA3150" s="37"/>
      <c r="CB3150" s="37"/>
      <c r="CC3150" s="37"/>
      <c r="CD3150" s="37"/>
      <c r="CE3150" s="37"/>
      <c r="CF3150" s="37"/>
      <c r="CG3150" s="37"/>
      <c r="CH3150" s="37"/>
      <c r="CI3150" s="37"/>
      <c r="CJ3150" s="37"/>
      <c r="CK3150" s="37"/>
      <c r="CL3150" s="37"/>
      <c r="CM3150" s="37"/>
      <c r="CN3150" s="37"/>
      <c r="CO3150" s="37"/>
      <c r="CP3150" s="37"/>
      <c r="CQ3150" s="37"/>
      <c r="CR3150" s="37"/>
      <c r="CS3150" s="37"/>
      <c r="CT3150" s="37"/>
      <c r="CU3150" s="37"/>
      <c r="CV3150" s="37"/>
      <c r="CW3150" s="37"/>
      <c r="CX3150" s="37"/>
      <c r="CY3150" s="37"/>
      <c r="CZ3150" s="37"/>
      <c r="DA3150" s="37"/>
      <c r="DB3150" s="37"/>
      <c r="DC3150" s="37"/>
      <c r="DD3150" s="37"/>
      <c r="DE3150" s="37"/>
      <c r="DF3150" s="37"/>
      <c r="DG3150" s="37"/>
      <c r="DH3150" s="37"/>
      <c r="DI3150" s="37"/>
      <c r="DJ3150" s="37"/>
      <c r="DK3150" s="37"/>
      <c r="DL3150" s="37"/>
      <c r="DM3150" s="37"/>
      <c r="DN3150" s="37"/>
      <c r="DO3150" s="37"/>
      <c r="DP3150" s="37"/>
      <c r="DQ3150" s="37"/>
      <c r="DR3150" s="37"/>
      <c r="DS3150" s="37"/>
      <c r="DT3150" s="37"/>
      <c r="DU3150" s="37"/>
      <c r="DV3150" s="37"/>
      <c r="DW3150" s="37"/>
      <c r="DX3150" s="37"/>
      <c r="DY3150" s="37"/>
      <c r="DZ3150" s="37"/>
      <c r="EA3150" s="37"/>
      <c r="EB3150" s="37"/>
      <c r="EC3150" s="37"/>
      <c r="ED3150" s="37"/>
      <c r="EE3150" s="37"/>
      <c r="EF3150" s="37"/>
      <c r="EG3150" s="37"/>
      <c r="EH3150" s="37"/>
      <c r="EI3150" s="37"/>
      <c r="EJ3150" s="37"/>
      <c r="EK3150" s="37"/>
      <c r="EL3150" s="37"/>
      <c r="EM3150" s="37"/>
      <c r="EN3150" s="37"/>
      <c r="EO3150" s="37"/>
      <c r="EP3150" s="37"/>
      <c r="EQ3150" s="37"/>
      <c r="ER3150" s="37"/>
      <c r="ES3150" s="37"/>
      <c r="ET3150" s="37"/>
      <c r="EU3150" s="37"/>
      <c r="EV3150" s="37"/>
      <c r="EW3150" s="37"/>
      <c r="EX3150" s="37"/>
      <c r="EY3150" s="37"/>
      <c r="EZ3150" s="37"/>
      <c r="FA3150" s="37"/>
      <c r="FB3150" s="37"/>
      <c r="FC3150" s="37"/>
      <c r="FD3150" s="37"/>
      <c r="FE3150" s="37"/>
      <c r="FF3150" s="37"/>
      <c r="FG3150" s="37"/>
      <c r="FH3150" s="37"/>
      <c r="FI3150" s="37"/>
      <c r="FJ3150" s="37"/>
      <c r="FK3150" s="37"/>
      <c r="FL3150" s="37"/>
      <c r="FM3150" s="37"/>
      <c r="FN3150" s="37"/>
      <c r="FO3150" s="37"/>
      <c r="FP3150" s="37"/>
      <c r="FQ3150" s="37"/>
      <c r="FR3150" s="37"/>
      <c r="FS3150" s="37"/>
      <c r="FT3150" s="37"/>
      <c r="FU3150" s="37"/>
      <c r="FV3150" s="37"/>
      <c r="FW3150" s="37"/>
      <c r="FX3150" s="37"/>
      <c r="FY3150" s="37"/>
      <c r="FZ3150" s="37"/>
      <c r="GA3150" s="37"/>
      <c r="GB3150" s="37"/>
      <c r="GC3150" s="37"/>
      <c r="GD3150" s="37"/>
      <c r="GE3150" s="37"/>
      <c r="GF3150" s="37"/>
      <c r="GG3150" s="37"/>
      <c r="GH3150" s="37"/>
      <c r="GI3150" s="37"/>
      <c r="GJ3150" s="37"/>
      <c r="GK3150" s="37"/>
      <c r="GL3150" s="37"/>
      <c r="GM3150" s="37"/>
      <c r="GN3150" s="37"/>
      <c r="GO3150" s="37"/>
      <c r="GP3150" s="37"/>
      <c r="GQ3150" s="37"/>
      <c r="GR3150" s="37"/>
      <c r="GS3150" s="37"/>
      <c r="GT3150" s="37"/>
      <c r="GU3150" s="37"/>
      <c r="GV3150" s="37"/>
      <c r="GW3150" s="37"/>
      <c r="GX3150" s="37"/>
      <c r="GY3150" s="37"/>
      <c r="GZ3150" s="37"/>
      <c r="HA3150" s="37"/>
      <c r="HB3150" s="37"/>
      <c r="HC3150" s="37"/>
      <c r="HD3150" s="37"/>
      <c r="HE3150" s="37"/>
      <c r="HF3150" s="37"/>
      <c r="HG3150" s="37"/>
      <c r="HH3150" s="37"/>
      <c r="HI3150" s="37"/>
      <c r="HJ3150" s="37"/>
      <c r="HK3150" s="37"/>
      <c r="HL3150" s="37"/>
      <c r="HM3150" s="37"/>
      <c r="HN3150" s="37"/>
      <c r="HO3150" s="37"/>
      <c r="HP3150" s="37"/>
      <c r="HQ3150" s="37"/>
      <c r="HR3150" s="37"/>
      <c r="HS3150" s="37"/>
      <c r="HT3150" s="37"/>
      <c r="HU3150" s="37"/>
      <c r="HV3150" s="37"/>
      <c r="HW3150" s="37"/>
      <c r="HX3150" s="37"/>
      <c r="HY3150" s="37"/>
      <c r="HZ3150" s="37"/>
      <c r="IA3150" s="37"/>
      <c r="IB3150" s="37"/>
      <c r="IC3150" s="37"/>
      <c r="ID3150" s="37"/>
      <c r="IE3150" s="37"/>
      <c r="IF3150" s="37"/>
      <c r="IG3150" s="37"/>
      <c r="IH3150" s="37"/>
      <c r="II3150" s="37"/>
      <c r="IJ3150" s="37"/>
      <c r="IK3150" s="37"/>
      <c r="IL3150" s="37"/>
      <c r="IM3150" s="37"/>
      <c r="IN3150" s="37"/>
      <c r="IO3150" s="37"/>
      <c r="IP3150" s="37"/>
      <c r="IQ3150" s="37"/>
      <c r="IR3150" s="37"/>
      <c r="IS3150" s="37"/>
      <c r="IT3150" s="37"/>
      <c r="IU3150" s="37"/>
      <c r="IV3150" s="37"/>
      <c r="IW3150" s="37"/>
      <c r="IX3150" s="37"/>
      <c r="IY3150" s="37"/>
      <c r="IZ3150" s="37"/>
      <c r="JA3150" s="37"/>
      <c r="JB3150" s="37"/>
      <c r="JC3150" s="37"/>
      <c r="JD3150" s="37"/>
      <c r="JE3150" s="37"/>
      <c r="JF3150" s="37"/>
      <c r="JG3150" s="37"/>
      <c r="JH3150" s="37"/>
      <c r="JI3150" s="37"/>
      <c r="JJ3150" s="37"/>
      <c r="JK3150" s="37"/>
      <c r="JL3150" s="37"/>
      <c r="JM3150" s="37"/>
      <c r="JN3150" s="37"/>
      <c r="JO3150" s="37"/>
      <c r="JP3150" s="37"/>
      <c r="JQ3150" s="37"/>
      <c r="JR3150" s="37"/>
      <c r="JS3150" s="37"/>
      <c r="JT3150" s="37"/>
      <c r="JU3150" s="37"/>
      <c r="JV3150" s="37"/>
      <c r="JW3150" s="37"/>
      <c r="JX3150" s="37"/>
      <c r="JY3150" s="37"/>
      <c r="JZ3150" s="37"/>
      <c r="KA3150" s="37"/>
      <c r="KB3150" s="37"/>
      <c r="KC3150" s="37"/>
      <c r="KD3150" s="37"/>
      <c r="KE3150" s="37"/>
      <c r="KF3150" s="37"/>
      <c r="KG3150" s="37"/>
      <c r="KH3150" s="37"/>
      <c r="KI3150" s="37"/>
      <c r="KJ3150" s="37"/>
      <c r="KK3150" s="37"/>
      <c r="KL3150" s="37"/>
      <c r="KM3150" s="37"/>
      <c r="KN3150" s="37"/>
      <c r="KO3150" s="37"/>
      <c r="KP3150" s="37"/>
      <c r="KQ3150" s="37"/>
      <c r="KR3150" s="37"/>
      <c r="KS3150" s="37"/>
      <c r="KT3150" s="37"/>
      <c r="KU3150" s="37"/>
      <c r="KV3150" s="37"/>
      <c r="KW3150" s="37"/>
      <c r="KX3150" s="37"/>
      <c r="KY3150" s="37"/>
      <c r="KZ3150" s="37"/>
      <c r="LA3150" s="37"/>
      <c r="LB3150" s="37"/>
      <c r="LC3150" s="37"/>
      <c r="LD3150" s="37"/>
      <c r="LE3150" s="37"/>
      <c r="LF3150" s="37"/>
      <c r="LG3150" s="37"/>
      <c r="LH3150" s="37"/>
      <c r="LI3150" s="37"/>
      <c r="LJ3150" s="37"/>
      <c r="LK3150" s="37"/>
      <c r="LL3150" s="37"/>
      <c r="LM3150" s="37"/>
      <c r="LN3150" s="37"/>
      <c r="LO3150" s="37"/>
      <c r="LP3150" s="37"/>
      <c r="LQ3150" s="37"/>
      <c r="LR3150" s="37"/>
      <c r="LS3150" s="37"/>
      <c r="LT3150" s="37"/>
      <c r="LU3150" s="37"/>
      <c r="LV3150" s="37"/>
      <c r="LW3150" s="37"/>
      <c r="LX3150" s="37"/>
      <c r="LY3150" s="37"/>
      <c r="LZ3150" s="37"/>
      <c r="MA3150" s="37"/>
      <c r="MB3150" s="37"/>
      <c r="MC3150" s="37"/>
      <c r="MD3150" s="37"/>
      <c r="ME3150" s="37"/>
      <c r="MF3150" s="37"/>
      <c r="MG3150" s="37"/>
      <c r="MH3150" s="37"/>
      <c r="MI3150" s="37"/>
      <c r="MJ3150" s="37"/>
      <c r="MK3150" s="37"/>
      <c r="ML3150" s="37"/>
      <c r="MM3150" s="37"/>
      <c r="MN3150" s="37"/>
      <c r="MO3150" s="37"/>
      <c r="MP3150" s="37"/>
      <c r="MQ3150" s="37"/>
      <c r="MR3150" s="37"/>
      <c r="MS3150" s="37"/>
      <c r="MT3150" s="37"/>
      <c r="MU3150" s="37"/>
      <c r="MV3150" s="37"/>
      <c r="MW3150" s="37"/>
      <c r="MX3150" s="37"/>
      <c r="MY3150" s="37"/>
      <c r="MZ3150" s="37"/>
      <c r="NA3150" s="37"/>
      <c r="NB3150" s="37"/>
      <c r="NC3150" s="37"/>
      <c r="ND3150" s="37"/>
      <c r="NE3150" s="37"/>
      <c r="NF3150" s="37"/>
      <c r="NG3150" s="37"/>
      <c r="NH3150" s="37"/>
      <c r="NI3150" s="37"/>
      <c r="NJ3150" s="37"/>
      <c r="NK3150" s="37"/>
      <c r="NL3150" s="37"/>
      <c r="NM3150" s="37"/>
      <c r="NN3150" s="37"/>
      <c r="NO3150" s="37"/>
      <c r="NP3150" s="37"/>
      <c r="NQ3150" s="37"/>
      <c r="NR3150" s="37"/>
      <c r="NS3150" s="37"/>
      <c r="NT3150" s="37"/>
      <c r="NU3150" s="37"/>
      <c r="NV3150" s="37"/>
      <c r="NW3150" s="37"/>
      <c r="NX3150" s="37"/>
      <c r="NY3150" s="37"/>
      <c r="NZ3150" s="37"/>
      <c r="OA3150" s="37"/>
      <c r="OB3150" s="37"/>
      <c r="OC3150" s="37"/>
      <c r="OD3150" s="37"/>
      <c r="OE3150" s="37"/>
      <c r="OF3150" s="37"/>
      <c r="OG3150" s="37"/>
      <c r="OH3150" s="37"/>
      <c r="OI3150" s="37"/>
      <c r="OJ3150" s="37"/>
      <c r="OK3150" s="37"/>
      <c r="OL3150" s="37"/>
      <c r="OM3150" s="37"/>
      <c r="ON3150" s="37"/>
      <c r="OO3150" s="37"/>
      <c r="OP3150" s="37"/>
      <c r="OQ3150" s="37"/>
      <c r="OR3150" s="37"/>
      <c r="OS3150" s="37"/>
      <c r="OT3150" s="37"/>
      <c r="OU3150" s="37"/>
      <c r="OV3150" s="37"/>
      <c r="OW3150" s="37"/>
      <c r="OX3150" s="37"/>
      <c r="OY3150" s="37"/>
      <c r="OZ3150" s="37"/>
      <c r="PA3150" s="37"/>
      <c r="PB3150" s="37"/>
      <c r="PC3150" s="37"/>
      <c r="PD3150" s="37"/>
      <c r="PE3150" s="37"/>
      <c r="PF3150" s="37"/>
      <c r="PG3150" s="37"/>
      <c r="PH3150" s="37"/>
      <c r="PI3150" s="37"/>
      <c r="PJ3150" s="37"/>
      <c r="PK3150" s="37"/>
      <c r="PL3150" s="37"/>
      <c r="PM3150" s="37"/>
      <c r="PN3150" s="37"/>
      <c r="PO3150" s="37"/>
      <c r="PP3150" s="37"/>
      <c r="PQ3150" s="37"/>
      <c r="PR3150" s="37"/>
      <c r="PS3150" s="37"/>
      <c r="PT3150" s="37"/>
      <c r="PU3150" s="37"/>
      <c r="PV3150" s="37"/>
      <c r="PW3150" s="37"/>
      <c r="PX3150" s="37"/>
      <c r="PY3150" s="37"/>
      <c r="PZ3150" s="37"/>
      <c r="QA3150" s="37"/>
      <c r="QB3150" s="37"/>
      <c r="QC3150" s="37"/>
      <c r="QD3150" s="37"/>
      <c r="QE3150" s="37"/>
      <c r="QF3150" s="37"/>
      <c r="QG3150" s="37"/>
      <c r="QH3150" s="37"/>
      <c r="QI3150" s="37"/>
      <c r="QJ3150" s="37"/>
      <c r="QK3150" s="37"/>
      <c r="QL3150" s="37"/>
      <c r="QM3150" s="37"/>
      <c r="QN3150" s="37"/>
      <c r="QO3150" s="37"/>
      <c r="QP3150" s="37"/>
      <c r="QQ3150" s="37"/>
      <c r="QR3150" s="37"/>
      <c r="QS3150" s="37"/>
      <c r="QT3150" s="37"/>
      <c r="QU3150" s="37"/>
      <c r="QV3150" s="37"/>
      <c r="QW3150" s="37"/>
      <c r="QX3150" s="37"/>
      <c r="QY3150" s="37"/>
      <c r="QZ3150" s="37"/>
      <c r="RA3150" s="37"/>
      <c r="RB3150" s="37"/>
      <c r="RC3150" s="37"/>
      <c r="RD3150" s="37"/>
      <c r="RE3150" s="37"/>
      <c r="RF3150" s="37"/>
      <c r="RG3150" s="37"/>
      <c r="RH3150" s="37"/>
      <c r="RI3150" s="37"/>
      <c r="RJ3150" s="37"/>
      <c r="RK3150" s="37"/>
      <c r="RL3150" s="37"/>
      <c r="RM3150" s="37"/>
      <c r="RN3150" s="37"/>
      <c r="RO3150" s="37"/>
      <c r="RP3150" s="37"/>
      <c r="RQ3150" s="37"/>
      <c r="RR3150" s="37"/>
      <c r="RS3150" s="37"/>
      <c r="RT3150" s="37"/>
      <c r="RU3150" s="37"/>
      <c r="RV3150" s="37"/>
      <c r="RW3150" s="37"/>
      <c r="RX3150" s="37"/>
      <c r="RY3150" s="37"/>
      <c r="RZ3150" s="37"/>
      <c r="SA3150" s="37"/>
      <c r="SB3150" s="37"/>
      <c r="SC3150" s="37"/>
      <c r="SD3150" s="37"/>
      <c r="SE3150" s="37"/>
      <c r="SF3150" s="37"/>
    </row>
    <row r="3151" spans="1:500">
      <c r="A3151" s="37"/>
      <c r="B3151" s="37"/>
      <c r="C3151" s="37"/>
      <c r="D3151" s="37"/>
      <c r="E3151" s="37"/>
      <c r="F3151" s="37"/>
      <c r="G3151" s="37"/>
      <c r="H3151" s="37"/>
      <c r="I3151" s="37"/>
      <c r="J3151" s="37"/>
      <c r="K3151" s="37"/>
      <c r="L3151" s="37"/>
      <c r="M3151" s="37"/>
      <c r="N3151" s="37"/>
      <c r="O3151" s="37"/>
      <c r="P3151" s="37"/>
      <c r="Q3151" s="37"/>
      <c r="R3151" s="37"/>
      <c r="S3151" s="37"/>
      <c r="T3151" s="37"/>
      <c r="U3151" s="37"/>
      <c r="V3151" s="37"/>
      <c r="W3151" s="37"/>
      <c r="X3151" s="37"/>
      <c r="Y3151" s="37"/>
      <c r="Z3151" s="37"/>
      <c r="AA3151" s="37"/>
      <c r="AB3151" s="37"/>
      <c r="AC3151" s="37"/>
      <c r="AD3151" s="37"/>
      <c r="AE3151" s="37"/>
      <c r="AF3151" s="37"/>
      <c r="AG3151" s="37"/>
      <c r="AH3151" s="37"/>
      <c r="AI3151" s="37"/>
      <c r="AJ3151" s="37"/>
      <c r="AK3151" s="37"/>
      <c r="AL3151" s="37"/>
      <c r="AM3151" s="37"/>
      <c r="AN3151" s="37"/>
      <c r="AO3151" s="37"/>
      <c r="AP3151" s="37"/>
      <c r="AQ3151" s="37"/>
      <c r="AR3151" s="37"/>
      <c r="AS3151" s="37"/>
      <c r="AT3151" s="37"/>
      <c r="AU3151" s="37"/>
      <c r="AV3151" s="37"/>
      <c r="AW3151" s="37"/>
      <c r="AX3151" s="37"/>
      <c r="AY3151" s="37"/>
      <c r="AZ3151" s="37"/>
      <c r="BA3151" s="37"/>
      <c r="BB3151" s="37"/>
      <c r="BC3151" s="37"/>
      <c r="BD3151" s="37"/>
      <c r="BE3151" s="37"/>
      <c r="BF3151" s="37"/>
      <c r="BG3151" s="37"/>
      <c r="BH3151" s="37"/>
      <c r="BI3151" s="37"/>
      <c r="BJ3151" s="37"/>
      <c r="BK3151" s="37"/>
      <c r="BL3151" s="37"/>
      <c r="BM3151" s="37"/>
      <c r="BN3151" s="37"/>
      <c r="BO3151" s="37"/>
      <c r="BP3151" s="37"/>
      <c r="BQ3151" s="37"/>
      <c r="BR3151" s="37"/>
      <c r="BS3151" s="37"/>
      <c r="BT3151" s="37"/>
      <c r="BU3151" s="37"/>
      <c r="BV3151" s="37"/>
      <c r="BW3151" s="37"/>
      <c r="BX3151" s="37"/>
      <c r="BY3151" s="37"/>
      <c r="BZ3151" s="37"/>
      <c r="CA3151" s="37"/>
      <c r="CB3151" s="37"/>
      <c r="CC3151" s="37"/>
      <c r="CD3151" s="37"/>
      <c r="CE3151" s="37"/>
      <c r="CF3151" s="37"/>
      <c r="CG3151" s="37"/>
      <c r="CH3151" s="37"/>
      <c r="CI3151" s="37"/>
      <c r="CJ3151" s="37"/>
      <c r="CK3151" s="37"/>
      <c r="CL3151" s="37"/>
      <c r="CM3151" s="37"/>
      <c r="CN3151" s="37"/>
      <c r="CO3151" s="37"/>
      <c r="CP3151" s="37"/>
      <c r="CQ3151" s="37"/>
      <c r="CR3151" s="37"/>
      <c r="CS3151" s="37"/>
      <c r="CT3151" s="37"/>
      <c r="CU3151" s="37"/>
      <c r="CV3151" s="37"/>
      <c r="CW3151" s="37"/>
      <c r="CX3151" s="37"/>
      <c r="CY3151" s="37"/>
      <c r="CZ3151" s="37"/>
      <c r="DA3151" s="37"/>
      <c r="DB3151" s="37"/>
      <c r="DC3151" s="37"/>
      <c r="DD3151" s="37"/>
      <c r="DE3151" s="37"/>
      <c r="DF3151" s="37"/>
      <c r="DG3151" s="37"/>
      <c r="DH3151" s="37"/>
      <c r="DI3151" s="37"/>
      <c r="DJ3151" s="37"/>
      <c r="DK3151" s="37"/>
      <c r="DL3151" s="37"/>
      <c r="DM3151" s="37"/>
      <c r="DN3151" s="37"/>
      <c r="DO3151" s="37"/>
      <c r="DP3151" s="37"/>
      <c r="DQ3151" s="37"/>
      <c r="DR3151" s="37"/>
      <c r="DS3151" s="37"/>
      <c r="DT3151" s="37"/>
      <c r="DU3151" s="37"/>
      <c r="DV3151" s="37"/>
      <c r="DW3151" s="37"/>
      <c r="DX3151" s="37"/>
      <c r="DY3151" s="37"/>
      <c r="DZ3151" s="37"/>
      <c r="EA3151" s="37"/>
      <c r="EB3151" s="37"/>
      <c r="EC3151" s="37"/>
      <c r="ED3151" s="37"/>
      <c r="EE3151" s="37"/>
      <c r="EF3151" s="37"/>
      <c r="EG3151" s="37"/>
      <c r="EH3151" s="37"/>
      <c r="EI3151" s="37"/>
      <c r="EJ3151" s="37"/>
      <c r="EK3151" s="37"/>
      <c r="EL3151" s="37"/>
      <c r="EM3151" s="37"/>
      <c r="EN3151" s="37"/>
      <c r="EO3151" s="37"/>
      <c r="EP3151" s="37"/>
      <c r="EQ3151" s="37"/>
      <c r="ER3151" s="37"/>
      <c r="ES3151" s="37"/>
      <c r="ET3151" s="37"/>
      <c r="EU3151" s="37"/>
      <c r="EV3151" s="37"/>
      <c r="EW3151" s="37"/>
      <c r="EX3151" s="37"/>
      <c r="EY3151" s="37"/>
      <c r="EZ3151" s="37"/>
      <c r="FA3151" s="37"/>
      <c r="FB3151" s="37"/>
      <c r="FC3151" s="37"/>
      <c r="FD3151" s="37"/>
      <c r="FE3151" s="37"/>
      <c r="FF3151" s="37"/>
      <c r="FG3151" s="37"/>
      <c r="FH3151" s="37"/>
      <c r="FI3151" s="37"/>
      <c r="FJ3151" s="37"/>
      <c r="FK3151" s="37"/>
      <c r="FL3151" s="37"/>
      <c r="FM3151" s="37"/>
      <c r="FN3151" s="37"/>
      <c r="FO3151" s="37"/>
      <c r="FP3151" s="37"/>
      <c r="FQ3151" s="37"/>
      <c r="FR3151" s="37"/>
      <c r="FS3151" s="37"/>
      <c r="FT3151" s="37"/>
      <c r="FU3151" s="37"/>
      <c r="FV3151" s="37"/>
      <c r="FW3151" s="37"/>
      <c r="FX3151" s="37"/>
      <c r="FY3151" s="37"/>
      <c r="FZ3151" s="37"/>
      <c r="GA3151" s="37"/>
      <c r="GB3151" s="37"/>
      <c r="GC3151" s="37"/>
      <c r="GD3151" s="37"/>
      <c r="GE3151" s="37"/>
      <c r="GF3151" s="37"/>
      <c r="GG3151" s="37"/>
      <c r="GH3151" s="37"/>
      <c r="GI3151" s="37"/>
      <c r="GJ3151" s="37"/>
      <c r="GK3151" s="37"/>
      <c r="GL3151" s="37"/>
      <c r="GM3151" s="37"/>
      <c r="GN3151" s="37"/>
      <c r="GO3151" s="37"/>
      <c r="GP3151" s="37"/>
      <c r="GQ3151" s="37"/>
      <c r="GR3151" s="37"/>
      <c r="GS3151" s="37"/>
      <c r="GT3151" s="37"/>
      <c r="GU3151" s="37"/>
      <c r="GV3151" s="37"/>
      <c r="GW3151" s="37"/>
      <c r="GX3151" s="37"/>
      <c r="GY3151" s="37"/>
      <c r="GZ3151" s="37"/>
      <c r="HA3151" s="37"/>
      <c r="HB3151" s="37"/>
      <c r="HC3151" s="37"/>
      <c r="HD3151" s="37"/>
      <c r="HE3151" s="37"/>
      <c r="HF3151" s="37"/>
      <c r="HG3151" s="37"/>
      <c r="HH3151" s="37"/>
      <c r="HI3151" s="37"/>
      <c r="HJ3151" s="37"/>
      <c r="HK3151" s="37"/>
      <c r="HL3151" s="37"/>
      <c r="HM3151" s="37"/>
      <c r="HN3151" s="37"/>
      <c r="HO3151" s="37"/>
      <c r="HP3151" s="37"/>
      <c r="HQ3151" s="37"/>
      <c r="HR3151" s="37"/>
      <c r="HS3151" s="37"/>
      <c r="HT3151" s="37"/>
      <c r="HU3151" s="37"/>
      <c r="HV3151" s="37"/>
      <c r="HW3151" s="37"/>
      <c r="HX3151" s="37"/>
      <c r="HY3151" s="37"/>
      <c r="HZ3151" s="37"/>
      <c r="IA3151" s="37"/>
      <c r="IB3151" s="37"/>
      <c r="IC3151" s="37"/>
      <c r="ID3151" s="37"/>
      <c r="IE3151" s="37"/>
      <c r="IF3151" s="37"/>
      <c r="IG3151" s="37"/>
      <c r="IH3151" s="37"/>
      <c r="II3151" s="37"/>
      <c r="IJ3151" s="37"/>
      <c r="IK3151" s="37"/>
      <c r="IL3151" s="37"/>
      <c r="IM3151" s="37"/>
      <c r="IN3151" s="37"/>
      <c r="IO3151" s="37"/>
      <c r="IP3151" s="37"/>
      <c r="IQ3151" s="37"/>
      <c r="IR3151" s="37"/>
      <c r="IS3151" s="37"/>
      <c r="IT3151" s="37"/>
      <c r="IU3151" s="37"/>
      <c r="IV3151" s="37"/>
      <c r="IW3151" s="37"/>
      <c r="IX3151" s="37"/>
      <c r="IY3151" s="37"/>
      <c r="IZ3151" s="37"/>
      <c r="JA3151" s="37"/>
      <c r="JB3151" s="37"/>
      <c r="JC3151" s="37"/>
      <c r="JD3151" s="37"/>
      <c r="JE3151" s="37"/>
      <c r="JF3151" s="37"/>
      <c r="JG3151" s="37"/>
      <c r="JH3151" s="37"/>
      <c r="JI3151" s="37"/>
      <c r="JJ3151" s="37"/>
      <c r="JK3151" s="37"/>
      <c r="JL3151" s="37"/>
      <c r="JM3151" s="37"/>
      <c r="JN3151" s="37"/>
      <c r="JO3151" s="37"/>
      <c r="JP3151" s="37"/>
      <c r="JQ3151" s="37"/>
      <c r="JR3151" s="37"/>
      <c r="JS3151" s="37"/>
      <c r="JT3151" s="37"/>
      <c r="JU3151" s="37"/>
      <c r="JV3151" s="37"/>
      <c r="JW3151" s="37"/>
      <c r="JX3151" s="37"/>
      <c r="JY3151" s="37"/>
      <c r="JZ3151" s="37"/>
      <c r="KA3151" s="37"/>
      <c r="KB3151" s="37"/>
      <c r="KC3151" s="37"/>
      <c r="KD3151" s="37"/>
      <c r="KE3151" s="37"/>
      <c r="KF3151" s="37"/>
      <c r="KG3151" s="37"/>
      <c r="KH3151" s="37"/>
      <c r="KI3151" s="37"/>
      <c r="KJ3151" s="37"/>
      <c r="KK3151" s="37"/>
      <c r="KL3151" s="37"/>
      <c r="KM3151" s="37"/>
      <c r="KN3151" s="37"/>
      <c r="KO3151" s="37"/>
      <c r="KP3151" s="37"/>
      <c r="KQ3151" s="37"/>
      <c r="KR3151" s="37"/>
      <c r="KS3151" s="37"/>
      <c r="KT3151" s="37"/>
      <c r="KU3151" s="37"/>
      <c r="KV3151" s="37"/>
      <c r="KW3151" s="37"/>
      <c r="KX3151" s="37"/>
      <c r="KY3151" s="37"/>
      <c r="KZ3151" s="37"/>
      <c r="LA3151" s="37"/>
      <c r="LB3151" s="37"/>
      <c r="LC3151" s="37"/>
      <c r="LD3151" s="37"/>
      <c r="LE3151" s="37"/>
      <c r="LF3151" s="37"/>
      <c r="LG3151" s="37"/>
      <c r="LH3151" s="37"/>
      <c r="LI3151" s="37"/>
      <c r="LJ3151" s="37"/>
      <c r="LK3151" s="37"/>
      <c r="LL3151" s="37"/>
      <c r="LM3151" s="37"/>
      <c r="LN3151" s="37"/>
      <c r="LO3151" s="37"/>
      <c r="LP3151" s="37"/>
      <c r="LQ3151" s="37"/>
      <c r="LR3151" s="37"/>
      <c r="LS3151" s="37"/>
      <c r="LT3151" s="37"/>
      <c r="LU3151" s="37"/>
      <c r="LV3151" s="37"/>
      <c r="LW3151" s="37"/>
      <c r="LX3151" s="37"/>
      <c r="LY3151" s="37"/>
      <c r="LZ3151" s="37"/>
      <c r="MA3151" s="37"/>
      <c r="MB3151" s="37"/>
      <c r="MC3151" s="37"/>
      <c r="MD3151" s="37"/>
      <c r="ME3151" s="37"/>
      <c r="MF3151" s="37"/>
      <c r="MG3151" s="37"/>
      <c r="MH3151" s="37"/>
      <c r="MI3151" s="37"/>
      <c r="MJ3151" s="37"/>
      <c r="MK3151" s="37"/>
      <c r="ML3151" s="37"/>
      <c r="MM3151" s="37"/>
      <c r="MN3151" s="37"/>
      <c r="MO3151" s="37"/>
      <c r="MP3151" s="37"/>
      <c r="MQ3151" s="37"/>
      <c r="MR3151" s="37"/>
      <c r="MS3151" s="37"/>
      <c r="MT3151" s="37"/>
      <c r="MU3151" s="37"/>
      <c r="MV3151" s="37"/>
      <c r="MW3151" s="37"/>
      <c r="MX3151" s="37"/>
      <c r="MY3151" s="37"/>
      <c r="MZ3151" s="37"/>
      <c r="NA3151" s="37"/>
      <c r="NB3151" s="37"/>
      <c r="NC3151" s="37"/>
      <c r="ND3151" s="37"/>
      <c r="NE3151" s="37"/>
      <c r="NF3151" s="37"/>
      <c r="NG3151" s="37"/>
      <c r="NH3151" s="37"/>
      <c r="NI3151" s="37"/>
      <c r="NJ3151" s="37"/>
      <c r="NK3151" s="37"/>
      <c r="NL3151" s="37"/>
      <c r="NM3151" s="37"/>
      <c r="NN3151" s="37"/>
      <c r="NO3151" s="37"/>
      <c r="NP3151" s="37"/>
      <c r="NQ3151" s="37"/>
      <c r="NR3151" s="37"/>
      <c r="NS3151" s="37"/>
      <c r="NT3151" s="37"/>
      <c r="NU3151" s="37"/>
      <c r="NV3151" s="37"/>
      <c r="NW3151" s="37"/>
      <c r="NX3151" s="37"/>
      <c r="NY3151" s="37"/>
      <c r="NZ3151" s="37"/>
      <c r="OA3151" s="37"/>
      <c r="OB3151" s="37"/>
      <c r="OC3151" s="37"/>
      <c r="OD3151" s="37"/>
      <c r="OE3151" s="37"/>
      <c r="OF3151" s="37"/>
      <c r="OG3151" s="37"/>
      <c r="OH3151" s="37"/>
      <c r="OI3151" s="37"/>
      <c r="OJ3151" s="37"/>
      <c r="OK3151" s="37"/>
      <c r="OL3151" s="37"/>
      <c r="OM3151" s="37"/>
      <c r="ON3151" s="37"/>
      <c r="OO3151" s="37"/>
      <c r="OP3151" s="37"/>
      <c r="OQ3151" s="37"/>
      <c r="OR3151" s="37"/>
      <c r="OS3151" s="37"/>
      <c r="OT3151" s="37"/>
      <c r="OU3151" s="37"/>
      <c r="OV3151" s="37"/>
      <c r="OW3151" s="37"/>
      <c r="OX3151" s="37"/>
      <c r="OY3151" s="37"/>
      <c r="OZ3151" s="37"/>
      <c r="PA3151" s="37"/>
      <c r="PB3151" s="37"/>
      <c r="PC3151" s="37"/>
      <c r="PD3151" s="37"/>
      <c r="PE3151" s="37"/>
      <c r="PF3151" s="37"/>
      <c r="PG3151" s="37"/>
      <c r="PH3151" s="37"/>
      <c r="PI3151" s="37"/>
      <c r="PJ3151" s="37"/>
      <c r="PK3151" s="37"/>
      <c r="PL3151" s="37"/>
      <c r="PM3151" s="37"/>
      <c r="PN3151" s="37"/>
      <c r="PO3151" s="37"/>
      <c r="PP3151" s="37"/>
      <c r="PQ3151" s="37"/>
      <c r="PR3151" s="37"/>
      <c r="PS3151" s="37"/>
      <c r="PT3151" s="37"/>
      <c r="PU3151" s="37"/>
      <c r="PV3151" s="37"/>
      <c r="PW3151" s="37"/>
      <c r="PX3151" s="37"/>
      <c r="PY3151" s="37"/>
      <c r="PZ3151" s="37"/>
      <c r="QA3151" s="37"/>
      <c r="QB3151" s="37"/>
      <c r="QC3151" s="37"/>
      <c r="QD3151" s="37"/>
      <c r="QE3151" s="37"/>
      <c r="QF3151" s="37"/>
      <c r="QG3151" s="37"/>
      <c r="QH3151" s="37"/>
      <c r="QI3151" s="37"/>
      <c r="QJ3151" s="37"/>
      <c r="QK3151" s="37"/>
      <c r="QL3151" s="37"/>
      <c r="QM3151" s="37"/>
      <c r="QN3151" s="37"/>
      <c r="QO3151" s="37"/>
      <c r="QP3151" s="37"/>
      <c r="QQ3151" s="37"/>
      <c r="QR3151" s="37"/>
      <c r="QS3151" s="37"/>
      <c r="QT3151" s="37"/>
      <c r="QU3151" s="37"/>
      <c r="QV3151" s="37"/>
      <c r="QW3151" s="37"/>
      <c r="QX3151" s="37"/>
      <c r="QY3151" s="37"/>
      <c r="QZ3151" s="37"/>
      <c r="RA3151" s="37"/>
      <c r="RB3151" s="37"/>
      <c r="RC3151" s="37"/>
      <c r="RD3151" s="37"/>
      <c r="RE3151" s="37"/>
      <c r="RF3151" s="37"/>
      <c r="RG3151" s="37"/>
      <c r="RH3151" s="37"/>
      <c r="RI3151" s="37"/>
      <c r="RJ3151" s="37"/>
      <c r="RK3151" s="37"/>
      <c r="RL3151" s="37"/>
      <c r="RM3151" s="37"/>
      <c r="RN3151" s="37"/>
      <c r="RO3151" s="37"/>
      <c r="RP3151" s="37"/>
      <c r="RQ3151" s="37"/>
      <c r="RR3151" s="37"/>
      <c r="RS3151" s="37"/>
      <c r="RT3151" s="37"/>
      <c r="RU3151" s="37"/>
      <c r="RV3151" s="37"/>
      <c r="RW3151" s="37"/>
      <c r="RX3151" s="37"/>
      <c r="RY3151" s="37"/>
      <c r="RZ3151" s="37"/>
      <c r="SA3151" s="37"/>
      <c r="SB3151" s="37"/>
      <c r="SC3151" s="37"/>
      <c r="SD3151" s="37"/>
      <c r="SE3151" s="37"/>
      <c r="SF3151" s="37"/>
    </row>
    <row r="3152" spans="1:500">
      <c r="A3152" s="37"/>
      <c r="B3152" s="37"/>
      <c r="C3152" s="37"/>
      <c r="D3152" s="37"/>
      <c r="E3152" s="37"/>
      <c r="F3152" s="37"/>
      <c r="G3152" s="37"/>
      <c r="H3152" s="37"/>
      <c r="I3152" s="37"/>
      <c r="J3152" s="37"/>
      <c r="K3152" s="37"/>
      <c r="L3152" s="37"/>
      <c r="M3152" s="37"/>
      <c r="N3152" s="37"/>
      <c r="O3152" s="37"/>
      <c r="P3152" s="37"/>
      <c r="Q3152" s="37"/>
      <c r="R3152" s="37"/>
      <c r="S3152" s="37"/>
      <c r="T3152" s="37"/>
      <c r="U3152" s="37"/>
      <c r="V3152" s="37"/>
      <c r="W3152" s="37"/>
      <c r="X3152" s="37"/>
      <c r="Y3152" s="37"/>
      <c r="Z3152" s="37"/>
      <c r="AA3152" s="37"/>
      <c r="AB3152" s="37"/>
      <c r="AC3152" s="37"/>
      <c r="AD3152" s="37"/>
      <c r="AE3152" s="37"/>
      <c r="AF3152" s="37"/>
      <c r="AG3152" s="37"/>
      <c r="AH3152" s="37"/>
      <c r="AI3152" s="37"/>
      <c r="AJ3152" s="37"/>
      <c r="AK3152" s="37"/>
      <c r="AL3152" s="37"/>
      <c r="AM3152" s="37"/>
      <c r="AN3152" s="37"/>
      <c r="AO3152" s="37"/>
      <c r="AP3152" s="37"/>
      <c r="AQ3152" s="37"/>
      <c r="AR3152" s="37"/>
      <c r="AS3152" s="37"/>
      <c r="AT3152" s="37"/>
      <c r="AU3152" s="37"/>
      <c r="AV3152" s="37"/>
      <c r="AW3152" s="37"/>
      <c r="AX3152" s="37"/>
      <c r="AY3152" s="37"/>
      <c r="AZ3152" s="37"/>
      <c r="BA3152" s="37"/>
      <c r="BB3152" s="37"/>
      <c r="BC3152" s="37"/>
      <c r="BD3152" s="37"/>
      <c r="BE3152" s="37"/>
      <c r="BF3152" s="37"/>
      <c r="BG3152" s="37"/>
      <c r="BH3152" s="37"/>
      <c r="BI3152" s="37"/>
      <c r="BJ3152" s="37"/>
      <c r="BK3152" s="37"/>
      <c r="BL3152" s="37"/>
      <c r="BM3152" s="37"/>
      <c r="BN3152" s="37"/>
      <c r="BO3152" s="37"/>
      <c r="BP3152" s="37"/>
      <c r="BQ3152" s="37"/>
      <c r="BR3152" s="37"/>
      <c r="BS3152" s="37"/>
      <c r="BT3152" s="37"/>
      <c r="BU3152" s="37"/>
      <c r="BV3152" s="37"/>
      <c r="BW3152" s="37"/>
      <c r="BX3152" s="37"/>
      <c r="BY3152" s="37"/>
      <c r="BZ3152" s="37"/>
      <c r="CA3152" s="37"/>
      <c r="CB3152" s="37"/>
      <c r="CC3152" s="37"/>
      <c r="CD3152" s="37"/>
      <c r="CE3152" s="37"/>
      <c r="CF3152" s="37"/>
      <c r="CG3152" s="37"/>
      <c r="CH3152" s="37"/>
      <c r="CI3152" s="37"/>
      <c r="CJ3152" s="37"/>
      <c r="CK3152" s="37"/>
      <c r="CL3152" s="37"/>
      <c r="CM3152" s="37"/>
      <c r="CN3152" s="37"/>
      <c r="CO3152" s="37"/>
      <c r="CP3152" s="37"/>
      <c r="CQ3152" s="37"/>
      <c r="CR3152" s="37"/>
      <c r="CS3152" s="37"/>
      <c r="CT3152" s="37"/>
      <c r="CU3152" s="37"/>
      <c r="CV3152" s="37"/>
      <c r="CW3152" s="37"/>
      <c r="CX3152" s="37"/>
      <c r="CY3152" s="37"/>
      <c r="CZ3152" s="37"/>
      <c r="DA3152" s="37"/>
      <c r="DB3152" s="37"/>
      <c r="DC3152" s="37"/>
      <c r="DD3152" s="37"/>
      <c r="DE3152" s="37"/>
      <c r="DF3152" s="37"/>
      <c r="DG3152" s="37"/>
      <c r="DH3152" s="37"/>
      <c r="DI3152" s="37"/>
      <c r="DJ3152" s="37"/>
      <c r="DK3152" s="37"/>
      <c r="DL3152" s="37"/>
      <c r="DM3152" s="37"/>
      <c r="DN3152" s="37"/>
      <c r="DO3152" s="37"/>
      <c r="DP3152" s="37"/>
      <c r="DQ3152" s="37"/>
      <c r="DR3152" s="37"/>
      <c r="DS3152" s="37"/>
      <c r="DT3152" s="37"/>
      <c r="DU3152" s="37"/>
      <c r="DV3152" s="37"/>
      <c r="DW3152" s="37"/>
      <c r="DX3152" s="37"/>
      <c r="DY3152" s="37"/>
      <c r="DZ3152" s="37"/>
      <c r="EA3152" s="37"/>
      <c r="EB3152" s="37"/>
      <c r="EC3152" s="37"/>
      <c r="ED3152" s="37"/>
      <c r="EE3152" s="37"/>
      <c r="EF3152" s="37"/>
      <c r="EG3152" s="37"/>
      <c r="EH3152" s="37"/>
      <c r="EI3152" s="37"/>
      <c r="EJ3152" s="37"/>
      <c r="EK3152" s="37"/>
      <c r="EL3152" s="37"/>
      <c r="EM3152" s="37"/>
      <c r="EN3152" s="37"/>
      <c r="EO3152" s="37"/>
      <c r="EP3152" s="37"/>
      <c r="EQ3152" s="37"/>
      <c r="ER3152" s="37"/>
      <c r="ES3152" s="37"/>
      <c r="ET3152" s="37"/>
      <c r="EU3152" s="37"/>
      <c r="EV3152" s="37"/>
      <c r="EW3152" s="37"/>
      <c r="EX3152" s="37"/>
      <c r="EY3152" s="37"/>
      <c r="EZ3152" s="37"/>
      <c r="FA3152" s="37"/>
      <c r="FB3152" s="37"/>
      <c r="FC3152" s="37"/>
      <c r="FD3152" s="37"/>
      <c r="FE3152" s="37"/>
      <c r="FF3152" s="37"/>
      <c r="FG3152" s="37"/>
      <c r="FH3152" s="37"/>
      <c r="FI3152" s="37"/>
      <c r="FJ3152" s="37"/>
      <c r="FK3152" s="37"/>
      <c r="FL3152" s="37"/>
      <c r="FM3152" s="37"/>
      <c r="FN3152" s="37"/>
      <c r="FO3152" s="37"/>
      <c r="FP3152" s="37"/>
      <c r="FQ3152" s="37"/>
      <c r="FR3152" s="37"/>
      <c r="FS3152" s="37"/>
      <c r="FT3152" s="37"/>
      <c r="FU3152" s="37"/>
      <c r="FV3152" s="37"/>
      <c r="FW3152" s="37"/>
      <c r="FX3152" s="37"/>
      <c r="FY3152" s="37"/>
      <c r="FZ3152" s="37"/>
      <c r="GA3152" s="37"/>
      <c r="GB3152" s="37"/>
      <c r="GC3152" s="37"/>
      <c r="GD3152" s="37"/>
      <c r="GE3152" s="37"/>
      <c r="GF3152" s="37"/>
      <c r="GG3152" s="37"/>
      <c r="GH3152" s="37"/>
      <c r="GI3152" s="37"/>
      <c r="GJ3152" s="37"/>
      <c r="GK3152" s="37"/>
      <c r="GL3152" s="37"/>
      <c r="GM3152" s="37"/>
      <c r="GN3152" s="37"/>
      <c r="GO3152" s="37"/>
      <c r="GP3152" s="37"/>
      <c r="GQ3152" s="37"/>
      <c r="GR3152" s="37"/>
      <c r="GS3152" s="37"/>
      <c r="GT3152" s="37"/>
      <c r="GU3152" s="37"/>
      <c r="GV3152" s="37"/>
      <c r="GW3152" s="37"/>
      <c r="GX3152" s="37"/>
      <c r="GY3152" s="37"/>
      <c r="GZ3152" s="37"/>
      <c r="HA3152" s="37"/>
      <c r="HB3152" s="37"/>
      <c r="HC3152" s="37"/>
      <c r="HD3152" s="37"/>
      <c r="HE3152" s="37"/>
      <c r="HF3152" s="37"/>
      <c r="HG3152" s="37"/>
      <c r="HH3152" s="37"/>
      <c r="HI3152" s="37"/>
      <c r="HJ3152" s="37"/>
      <c r="HK3152" s="37"/>
      <c r="HL3152" s="37"/>
      <c r="HM3152" s="37"/>
      <c r="HN3152" s="37"/>
      <c r="HO3152" s="37"/>
      <c r="HP3152" s="37"/>
      <c r="HQ3152" s="37"/>
      <c r="HR3152" s="37"/>
      <c r="HS3152" s="37"/>
      <c r="HT3152" s="37"/>
      <c r="HU3152" s="37"/>
      <c r="HV3152" s="37"/>
      <c r="HW3152" s="37"/>
      <c r="HX3152" s="37"/>
      <c r="HY3152" s="37"/>
      <c r="HZ3152" s="37"/>
      <c r="IA3152" s="37"/>
      <c r="IB3152" s="37"/>
      <c r="IC3152" s="37"/>
      <c r="ID3152" s="37"/>
      <c r="IE3152" s="37"/>
      <c r="IF3152" s="37"/>
      <c r="IG3152" s="37"/>
      <c r="IH3152" s="37"/>
      <c r="II3152" s="37"/>
      <c r="IJ3152" s="37"/>
      <c r="IK3152" s="37"/>
      <c r="IL3152" s="37"/>
      <c r="IM3152" s="37"/>
      <c r="IN3152" s="37"/>
      <c r="IO3152" s="37"/>
      <c r="IP3152" s="37"/>
      <c r="IQ3152" s="37"/>
      <c r="IR3152" s="37"/>
      <c r="IS3152" s="37"/>
      <c r="IT3152" s="37"/>
      <c r="IU3152" s="37"/>
      <c r="IV3152" s="37"/>
      <c r="IW3152" s="37"/>
      <c r="IX3152" s="37"/>
      <c r="IY3152" s="37"/>
      <c r="IZ3152" s="37"/>
      <c r="JA3152" s="37"/>
      <c r="JB3152" s="37"/>
      <c r="JC3152" s="37"/>
      <c r="JD3152" s="37"/>
      <c r="JE3152" s="37"/>
      <c r="JF3152" s="37"/>
      <c r="JG3152" s="37"/>
      <c r="JH3152" s="37"/>
      <c r="JI3152" s="37"/>
      <c r="JJ3152" s="37"/>
      <c r="JK3152" s="37"/>
      <c r="JL3152" s="37"/>
      <c r="JM3152" s="37"/>
      <c r="JN3152" s="37"/>
      <c r="JO3152" s="37"/>
      <c r="JP3152" s="37"/>
      <c r="JQ3152" s="37"/>
      <c r="JR3152" s="37"/>
      <c r="JS3152" s="37"/>
      <c r="JT3152" s="37"/>
      <c r="JU3152" s="37"/>
      <c r="JV3152" s="37"/>
      <c r="JW3152" s="37"/>
      <c r="JX3152" s="37"/>
      <c r="JY3152" s="37"/>
      <c r="JZ3152" s="37"/>
      <c r="KA3152" s="37"/>
      <c r="KB3152" s="37"/>
      <c r="KC3152" s="37"/>
      <c r="KD3152" s="37"/>
      <c r="KE3152" s="37"/>
      <c r="KF3152" s="37"/>
      <c r="KG3152" s="37"/>
      <c r="KH3152" s="37"/>
      <c r="KI3152" s="37"/>
      <c r="KJ3152" s="37"/>
      <c r="KK3152" s="37"/>
      <c r="KL3152" s="37"/>
      <c r="KM3152" s="37"/>
      <c r="KN3152" s="37"/>
      <c r="KO3152" s="37"/>
      <c r="KP3152" s="37"/>
      <c r="KQ3152" s="37"/>
      <c r="KR3152" s="37"/>
      <c r="KS3152" s="37"/>
      <c r="KT3152" s="37"/>
      <c r="KU3152" s="37"/>
      <c r="KV3152" s="37"/>
      <c r="KW3152" s="37"/>
      <c r="KX3152" s="37"/>
      <c r="KY3152" s="37"/>
      <c r="KZ3152" s="37"/>
      <c r="LA3152" s="37"/>
      <c r="LB3152" s="37"/>
      <c r="LC3152" s="37"/>
      <c r="LD3152" s="37"/>
      <c r="LE3152" s="37"/>
      <c r="LF3152" s="37"/>
      <c r="LG3152" s="37"/>
      <c r="LH3152" s="37"/>
      <c r="LI3152" s="37"/>
      <c r="LJ3152" s="37"/>
      <c r="LK3152" s="37"/>
      <c r="LL3152" s="37"/>
      <c r="LM3152" s="37"/>
      <c r="LN3152" s="37"/>
      <c r="LO3152" s="37"/>
      <c r="LP3152" s="37"/>
      <c r="LQ3152" s="37"/>
      <c r="LR3152" s="37"/>
      <c r="LS3152" s="37"/>
      <c r="LT3152" s="37"/>
      <c r="LU3152" s="37"/>
      <c r="LV3152" s="37"/>
      <c r="LW3152" s="37"/>
      <c r="LX3152" s="37"/>
      <c r="LY3152" s="37"/>
      <c r="LZ3152" s="37"/>
      <c r="MA3152" s="37"/>
      <c r="MB3152" s="37"/>
      <c r="MC3152" s="37"/>
      <c r="MD3152" s="37"/>
      <c r="ME3152" s="37"/>
      <c r="MF3152" s="37"/>
      <c r="MG3152" s="37"/>
      <c r="MH3152" s="37"/>
      <c r="MI3152" s="37"/>
      <c r="MJ3152" s="37"/>
      <c r="MK3152" s="37"/>
      <c r="ML3152" s="37"/>
      <c r="MM3152" s="37"/>
      <c r="MN3152" s="37"/>
      <c r="MO3152" s="37"/>
      <c r="MP3152" s="37"/>
      <c r="MQ3152" s="37"/>
      <c r="MR3152" s="37"/>
      <c r="MS3152" s="37"/>
      <c r="MT3152" s="37"/>
      <c r="MU3152" s="37"/>
      <c r="MV3152" s="37"/>
      <c r="MW3152" s="37"/>
      <c r="MX3152" s="37"/>
      <c r="MY3152" s="37"/>
      <c r="MZ3152" s="37"/>
      <c r="NA3152" s="37"/>
      <c r="NB3152" s="37"/>
      <c r="NC3152" s="37"/>
      <c r="ND3152" s="37"/>
      <c r="NE3152" s="37"/>
      <c r="NF3152" s="37"/>
      <c r="NG3152" s="37"/>
      <c r="NH3152" s="37"/>
      <c r="NI3152" s="37"/>
      <c r="NJ3152" s="37"/>
      <c r="NK3152" s="37"/>
      <c r="NL3152" s="37"/>
      <c r="NM3152" s="37"/>
      <c r="NN3152" s="37"/>
      <c r="NO3152" s="37"/>
      <c r="NP3152" s="37"/>
      <c r="NQ3152" s="37"/>
      <c r="NR3152" s="37"/>
      <c r="NS3152" s="37"/>
      <c r="NT3152" s="37"/>
      <c r="NU3152" s="37"/>
      <c r="NV3152" s="37"/>
      <c r="NW3152" s="37"/>
      <c r="NX3152" s="37"/>
      <c r="NY3152" s="37"/>
      <c r="NZ3152" s="37"/>
      <c r="OA3152" s="37"/>
      <c r="OB3152" s="37"/>
      <c r="OC3152" s="37"/>
      <c r="OD3152" s="37"/>
      <c r="OE3152" s="37"/>
      <c r="OF3152" s="37"/>
      <c r="OG3152" s="37"/>
      <c r="OH3152" s="37"/>
      <c r="OI3152" s="37"/>
      <c r="OJ3152" s="37"/>
      <c r="OK3152" s="37"/>
      <c r="OL3152" s="37"/>
      <c r="OM3152" s="37"/>
      <c r="ON3152" s="37"/>
      <c r="OO3152" s="37"/>
      <c r="OP3152" s="37"/>
      <c r="OQ3152" s="37"/>
      <c r="OR3152" s="37"/>
      <c r="OS3152" s="37"/>
      <c r="OT3152" s="37"/>
      <c r="OU3152" s="37"/>
      <c r="OV3152" s="37"/>
      <c r="OW3152" s="37"/>
      <c r="OX3152" s="37"/>
      <c r="OY3152" s="37"/>
      <c r="OZ3152" s="37"/>
      <c r="PA3152" s="37"/>
      <c r="PB3152" s="37"/>
      <c r="PC3152" s="37"/>
      <c r="PD3152" s="37"/>
      <c r="PE3152" s="37"/>
      <c r="PF3152" s="37"/>
      <c r="PG3152" s="37"/>
      <c r="PH3152" s="37"/>
      <c r="PI3152" s="37"/>
      <c r="PJ3152" s="37"/>
      <c r="PK3152" s="37"/>
      <c r="PL3152" s="37"/>
      <c r="PM3152" s="37"/>
      <c r="PN3152" s="37"/>
      <c r="PO3152" s="37"/>
      <c r="PP3152" s="37"/>
      <c r="PQ3152" s="37"/>
      <c r="PR3152" s="37"/>
      <c r="PS3152" s="37"/>
      <c r="PT3152" s="37"/>
      <c r="PU3152" s="37"/>
      <c r="PV3152" s="37"/>
      <c r="PW3152" s="37"/>
      <c r="PX3152" s="37"/>
      <c r="PY3152" s="37"/>
      <c r="PZ3152" s="37"/>
      <c r="QA3152" s="37"/>
      <c r="QB3152" s="37"/>
      <c r="QC3152" s="37"/>
      <c r="QD3152" s="37"/>
      <c r="QE3152" s="37"/>
      <c r="QF3152" s="37"/>
      <c r="QG3152" s="37"/>
      <c r="QH3152" s="37"/>
      <c r="QI3152" s="37"/>
      <c r="QJ3152" s="37"/>
      <c r="QK3152" s="37"/>
      <c r="QL3152" s="37"/>
      <c r="QM3152" s="37"/>
      <c r="QN3152" s="37"/>
      <c r="QO3152" s="37"/>
      <c r="QP3152" s="37"/>
      <c r="QQ3152" s="37"/>
      <c r="QR3152" s="37"/>
      <c r="QS3152" s="37"/>
      <c r="QT3152" s="37"/>
      <c r="QU3152" s="37"/>
      <c r="QV3152" s="37"/>
      <c r="QW3152" s="37"/>
      <c r="QX3152" s="37"/>
      <c r="QY3152" s="37"/>
      <c r="QZ3152" s="37"/>
      <c r="RA3152" s="37"/>
      <c r="RB3152" s="37"/>
      <c r="RC3152" s="37"/>
      <c r="RD3152" s="37"/>
      <c r="RE3152" s="37"/>
      <c r="RF3152" s="37"/>
      <c r="RG3152" s="37"/>
      <c r="RH3152" s="37"/>
      <c r="RI3152" s="37"/>
      <c r="RJ3152" s="37"/>
      <c r="RK3152" s="37"/>
      <c r="RL3152" s="37"/>
      <c r="RM3152" s="37"/>
      <c r="RN3152" s="37"/>
      <c r="RO3152" s="37"/>
      <c r="RP3152" s="37"/>
      <c r="RQ3152" s="37"/>
      <c r="RR3152" s="37"/>
      <c r="RS3152" s="37"/>
      <c r="RT3152" s="37"/>
      <c r="RU3152" s="37"/>
      <c r="RV3152" s="37"/>
      <c r="RW3152" s="37"/>
      <c r="RX3152" s="37"/>
      <c r="RY3152" s="37"/>
      <c r="RZ3152" s="37"/>
      <c r="SA3152" s="37"/>
      <c r="SB3152" s="37"/>
      <c r="SC3152" s="37"/>
      <c r="SD3152" s="37"/>
      <c r="SE3152" s="37"/>
      <c r="SF3152" s="37"/>
    </row>
    <row r="3153" spans="1:500">
      <c r="A3153" s="37"/>
      <c r="B3153" s="37"/>
      <c r="C3153" s="37"/>
      <c r="D3153" s="37"/>
      <c r="E3153" s="37"/>
      <c r="F3153" s="37"/>
      <c r="G3153" s="37"/>
      <c r="H3153" s="37"/>
      <c r="I3153" s="37"/>
      <c r="J3153" s="37"/>
      <c r="K3153" s="37"/>
      <c r="L3153" s="37"/>
      <c r="M3153" s="37"/>
      <c r="N3153" s="37"/>
      <c r="O3153" s="37"/>
      <c r="P3153" s="37"/>
      <c r="Q3153" s="37"/>
      <c r="R3153" s="37"/>
      <c r="S3153" s="37"/>
      <c r="T3153" s="37"/>
      <c r="U3153" s="37"/>
      <c r="V3153" s="37"/>
      <c r="W3153" s="37"/>
      <c r="X3153" s="37"/>
      <c r="Y3153" s="37"/>
      <c r="Z3153" s="37"/>
      <c r="AA3153" s="37"/>
      <c r="AB3153" s="37"/>
      <c r="AC3153" s="37"/>
      <c r="AD3153" s="37"/>
      <c r="AE3153" s="37"/>
      <c r="AF3153" s="37"/>
      <c r="AG3153" s="37"/>
      <c r="AH3153" s="37"/>
      <c r="AI3153" s="37"/>
      <c r="AJ3153" s="37"/>
      <c r="AK3153" s="37"/>
      <c r="AL3153" s="37"/>
      <c r="AM3153" s="37"/>
      <c r="AN3153" s="37"/>
      <c r="AO3153" s="37"/>
      <c r="AP3153" s="37"/>
      <c r="AQ3153" s="37"/>
      <c r="AR3153" s="37"/>
      <c r="AS3153" s="37"/>
      <c r="AT3153" s="37"/>
      <c r="AU3153" s="37"/>
      <c r="AV3153" s="37"/>
      <c r="AW3153" s="37"/>
      <c r="AX3153" s="37"/>
      <c r="AY3153" s="37"/>
      <c r="AZ3153" s="37"/>
      <c r="BA3153" s="37"/>
      <c r="BB3153" s="37"/>
      <c r="BC3153" s="37"/>
      <c r="BD3153" s="37"/>
      <c r="BE3153" s="37"/>
      <c r="BF3153" s="37"/>
      <c r="BG3153" s="37"/>
      <c r="BH3153" s="37"/>
      <c r="BI3153" s="37"/>
      <c r="BJ3153" s="37"/>
      <c r="BK3153" s="37"/>
      <c r="BL3153" s="37"/>
      <c r="BM3153" s="37"/>
      <c r="BN3153" s="37"/>
      <c r="BO3153" s="37"/>
      <c r="BP3153" s="37"/>
      <c r="BQ3153" s="37"/>
      <c r="BR3153" s="37"/>
      <c r="BS3153" s="37"/>
      <c r="BT3153" s="37"/>
      <c r="BU3153" s="37"/>
      <c r="BV3153" s="37"/>
      <c r="BW3153" s="37"/>
      <c r="BX3153" s="37"/>
      <c r="BY3153" s="37"/>
      <c r="BZ3153" s="37"/>
      <c r="CA3153" s="37"/>
      <c r="CB3153" s="37"/>
      <c r="CC3153" s="37"/>
      <c r="CD3153" s="37"/>
      <c r="CE3153" s="37"/>
      <c r="CF3153" s="37"/>
      <c r="CG3153" s="37"/>
      <c r="CH3153" s="37"/>
      <c r="CI3153" s="37"/>
      <c r="CJ3153" s="37"/>
      <c r="CK3153" s="37"/>
      <c r="CL3153" s="37"/>
      <c r="CM3153" s="37"/>
      <c r="CN3153" s="37"/>
      <c r="CO3153" s="37"/>
      <c r="CP3153" s="37"/>
      <c r="CQ3153" s="37"/>
      <c r="CR3153" s="37"/>
      <c r="CS3153" s="37"/>
      <c r="CT3153" s="37"/>
      <c r="CU3153" s="37"/>
      <c r="CV3153" s="37"/>
      <c r="CW3153" s="37"/>
      <c r="CX3153" s="37"/>
      <c r="CY3153" s="37"/>
      <c r="CZ3153" s="37"/>
      <c r="DA3153" s="37"/>
      <c r="DB3153" s="37"/>
      <c r="DC3153" s="37"/>
      <c r="DD3153" s="37"/>
      <c r="DE3153" s="37"/>
      <c r="DF3153" s="37"/>
      <c r="DG3153" s="37"/>
      <c r="DH3153" s="37"/>
      <c r="DI3153" s="37"/>
      <c r="DJ3153" s="37"/>
      <c r="DK3153" s="37"/>
      <c r="DL3153" s="37"/>
      <c r="DM3153" s="37"/>
      <c r="DN3153" s="37"/>
      <c r="DO3153" s="37"/>
      <c r="DP3153" s="37"/>
      <c r="DQ3153" s="37"/>
      <c r="DR3153" s="37"/>
      <c r="DS3153" s="37"/>
      <c r="DT3153" s="37"/>
      <c r="DU3153" s="37"/>
      <c r="DV3153" s="37"/>
      <c r="DW3153" s="37"/>
      <c r="DX3153" s="37"/>
      <c r="DY3153" s="37"/>
      <c r="DZ3153" s="37"/>
      <c r="EA3153" s="37"/>
      <c r="EB3153" s="37"/>
      <c r="EC3153" s="37"/>
      <c r="ED3153" s="37"/>
      <c r="EE3153" s="37"/>
      <c r="EF3153" s="37"/>
      <c r="EG3153" s="37"/>
      <c r="EH3153" s="37"/>
      <c r="EI3153" s="37"/>
      <c r="EJ3153" s="37"/>
      <c r="EK3153" s="37"/>
      <c r="EL3153" s="37"/>
      <c r="EM3153" s="37"/>
      <c r="EN3153" s="37"/>
      <c r="EO3153" s="37"/>
      <c r="EP3153" s="37"/>
      <c r="EQ3153" s="37"/>
      <c r="ER3153" s="37"/>
      <c r="ES3153" s="37"/>
      <c r="ET3153" s="37"/>
      <c r="EU3153" s="37"/>
      <c r="EV3153" s="37"/>
      <c r="EW3153" s="37"/>
      <c r="EX3153" s="37"/>
      <c r="EY3153" s="37"/>
      <c r="EZ3153" s="37"/>
      <c r="FA3153" s="37"/>
      <c r="FB3153" s="37"/>
      <c r="FC3153" s="37"/>
      <c r="FD3153" s="37"/>
      <c r="FE3153" s="37"/>
      <c r="FF3153" s="37"/>
      <c r="FG3153" s="37"/>
      <c r="FH3153" s="37"/>
      <c r="FI3153" s="37"/>
      <c r="FJ3153" s="37"/>
      <c r="FK3153" s="37"/>
      <c r="FL3153" s="37"/>
      <c r="FM3153" s="37"/>
      <c r="FN3153" s="37"/>
      <c r="FO3153" s="37"/>
      <c r="FP3153" s="37"/>
      <c r="FQ3153" s="37"/>
      <c r="FR3153" s="37"/>
      <c r="FS3153" s="37"/>
      <c r="FT3153" s="37"/>
      <c r="FU3153" s="37"/>
      <c r="FV3153" s="37"/>
      <c r="FW3153" s="37"/>
      <c r="FX3153" s="37"/>
      <c r="FY3153" s="37"/>
      <c r="FZ3153" s="37"/>
      <c r="GA3153" s="37"/>
      <c r="GB3153" s="37"/>
      <c r="GC3153" s="37"/>
      <c r="GD3153" s="37"/>
      <c r="GE3153" s="37"/>
      <c r="GF3153" s="37"/>
      <c r="GG3153" s="37"/>
      <c r="GH3153" s="37"/>
      <c r="GI3153" s="37"/>
      <c r="GJ3153" s="37"/>
      <c r="GK3153" s="37"/>
      <c r="GL3153" s="37"/>
      <c r="GM3153" s="37"/>
      <c r="GN3153" s="37"/>
      <c r="GO3153" s="37"/>
      <c r="GP3153" s="37"/>
      <c r="GQ3153" s="37"/>
      <c r="GR3153" s="37"/>
      <c r="GS3153" s="37"/>
      <c r="GT3153" s="37"/>
      <c r="GU3153" s="37"/>
      <c r="GV3153" s="37"/>
      <c r="GW3153" s="37"/>
      <c r="GX3153" s="37"/>
      <c r="GY3153" s="37"/>
      <c r="GZ3153" s="37"/>
      <c r="HA3153" s="37"/>
      <c r="HB3153" s="37"/>
      <c r="HC3153" s="37"/>
      <c r="HD3153" s="37"/>
      <c r="HE3153" s="37"/>
      <c r="HF3153" s="37"/>
      <c r="HG3153" s="37"/>
      <c r="HH3153" s="37"/>
      <c r="HI3153" s="37"/>
      <c r="HJ3153" s="37"/>
      <c r="HK3153" s="37"/>
      <c r="HL3153" s="37"/>
      <c r="HM3153" s="37"/>
      <c r="HN3153" s="37"/>
      <c r="HO3153" s="37"/>
      <c r="HP3153" s="37"/>
      <c r="HQ3153" s="37"/>
      <c r="HR3153" s="37"/>
      <c r="HS3153" s="37"/>
      <c r="HT3153" s="37"/>
      <c r="HU3153" s="37"/>
      <c r="HV3153" s="37"/>
      <c r="HW3153" s="37"/>
      <c r="HX3153" s="37"/>
      <c r="HY3153" s="37"/>
      <c r="HZ3153" s="37"/>
      <c r="IA3153" s="37"/>
      <c r="IB3153" s="37"/>
      <c r="IC3153" s="37"/>
      <c r="ID3153" s="37"/>
      <c r="IE3153" s="37"/>
      <c r="IF3153" s="37"/>
      <c r="IG3153" s="37"/>
      <c r="IH3153" s="37"/>
      <c r="II3153" s="37"/>
      <c r="IJ3153" s="37"/>
      <c r="IK3153" s="37"/>
      <c r="IL3153" s="37"/>
      <c r="IM3153" s="37"/>
      <c r="IN3153" s="37"/>
      <c r="IO3153" s="37"/>
      <c r="IP3153" s="37"/>
      <c r="IQ3153" s="37"/>
      <c r="IR3153" s="37"/>
      <c r="IS3153" s="37"/>
      <c r="IT3153" s="37"/>
      <c r="IU3153" s="37"/>
      <c r="IV3153" s="37"/>
      <c r="IW3153" s="37"/>
      <c r="IX3153" s="37"/>
      <c r="IY3153" s="37"/>
      <c r="IZ3153" s="37"/>
      <c r="JA3153" s="37"/>
      <c r="JB3153" s="37"/>
      <c r="JC3153" s="37"/>
      <c r="JD3153" s="37"/>
      <c r="JE3153" s="37"/>
      <c r="JF3153" s="37"/>
      <c r="JG3153" s="37"/>
      <c r="JH3153" s="37"/>
      <c r="JI3153" s="37"/>
      <c r="JJ3153" s="37"/>
      <c r="JK3153" s="37"/>
      <c r="JL3153" s="37"/>
      <c r="JM3153" s="37"/>
      <c r="JN3153" s="37"/>
      <c r="JO3153" s="37"/>
      <c r="JP3153" s="37"/>
      <c r="JQ3153" s="37"/>
      <c r="JR3153" s="37"/>
      <c r="JS3153" s="37"/>
      <c r="JT3153" s="37"/>
      <c r="JU3153" s="37"/>
      <c r="JV3153" s="37"/>
      <c r="JW3153" s="37"/>
      <c r="JX3153" s="37"/>
      <c r="JY3153" s="37"/>
      <c r="JZ3153" s="37"/>
      <c r="KA3153" s="37"/>
      <c r="KB3153" s="37"/>
      <c r="KC3153" s="37"/>
      <c r="KD3153" s="37"/>
      <c r="KE3153" s="37"/>
      <c r="KF3153" s="37"/>
      <c r="KG3153" s="37"/>
      <c r="KH3153" s="37"/>
      <c r="KI3153" s="37"/>
      <c r="KJ3153" s="37"/>
      <c r="KK3153" s="37"/>
      <c r="KL3153" s="37"/>
      <c r="KM3153" s="37"/>
      <c r="KN3153" s="37"/>
      <c r="KO3153" s="37"/>
      <c r="KP3153" s="37"/>
      <c r="KQ3153" s="37"/>
      <c r="KR3153" s="37"/>
      <c r="KS3153" s="37"/>
      <c r="KT3153" s="37"/>
      <c r="KU3153" s="37"/>
      <c r="KV3153" s="37"/>
      <c r="KW3153" s="37"/>
      <c r="KX3153" s="37"/>
      <c r="KY3153" s="37"/>
      <c r="KZ3153" s="37"/>
      <c r="LA3153" s="37"/>
      <c r="LB3153" s="37"/>
      <c r="LC3153" s="37"/>
      <c r="LD3153" s="37"/>
      <c r="LE3153" s="37"/>
      <c r="LF3153" s="37"/>
      <c r="LG3153" s="37"/>
      <c r="LH3153" s="37"/>
      <c r="LI3153" s="37"/>
      <c r="LJ3153" s="37"/>
      <c r="LK3153" s="37"/>
      <c r="LL3153" s="37"/>
      <c r="LM3153" s="37"/>
      <c r="LN3153" s="37"/>
      <c r="LO3153" s="37"/>
      <c r="LP3153" s="37"/>
      <c r="LQ3153" s="37"/>
      <c r="LR3153" s="37"/>
      <c r="LS3153" s="37"/>
      <c r="LT3153" s="37"/>
      <c r="LU3153" s="37"/>
      <c r="LV3153" s="37"/>
      <c r="LW3153" s="37"/>
      <c r="LX3153" s="37"/>
      <c r="LY3153" s="37"/>
      <c r="LZ3153" s="37"/>
      <c r="MA3153" s="37"/>
      <c r="MB3153" s="37"/>
      <c r="MC3153" s="37"/>
      <c r="MD3153" s="37"/>
      <c r="ME3153" s="37"/>
      <c r="MF3153" s="37"/>
      <c r="MG3153" s="37"/>
      <c r="MH3153" s="37"/>
      <c r="MI3153" s="37"/>
      <c r="MJ3153" s="37"/>
      <c r="MK3153" s="37"/>
      <c r="ML3153" s="37"/>
      <c r="MM3153" s="37"/>
      <c r="MN3153" s="37"/>
      <c r="MO3153" s="37"/>
      <c r="MP3153" s="37"/>
      <c r="MQ3153" s="37"/>
      <c r="MR3153" s="37"/>
      <c r="MS3153" s="37"/>
      <c r="MT3153" s="37"/>
      <c r="MU3153" s="37"/>
      <c r="MV3153" s="37"/>
      <c r="MW3153" s="37"/>
      <c r="MX3153" s="37"/>
      <c r="MY3153" s="37"/>
      <c r="MZ3153" s="37"/>
      <c r="NA3153" s="37"/>
      <c r="NB3153" s="37"/>
      <c r="NC3153" s="37"/>
      <c r="ND3153" s="37"/>
      <c r="NE3153" s="37"/>
      <c r="NF3153" s="37"/>
      <c r="NG3153" s="37"/>
      <c r="NH3153" s="37"/>
      <c r="NI3153" s="37"/>
      <c r="NJ3153" s="37"/>
      <c r="NK3153" s="37"/>
      <c r="NL3153" s="37"/>
      <c r="NM3153" s="37"/>
      <c r="NN3153" s="37"/>
      <c r="NO3153" s="37"/>
      <c r="NP3153" s="37"/>
      <c r="NQ3153" s="37"/>
      <c r="NR3153" s="37"/>
      <c r="NS3153" s="37"/>
      <c r="NT3153" s="37"/>
      <c r="NU3153" s="37"/>
      <c r="NV3153" s="37"/>
      <c r="NW3153" s="37"/>
      <c r="NX3153" s="37"/>
      <c r="NY3153" s="37"/>
      <c r="NZ3153" s="37"/>
      <c r="OA3153" s="37"/>
      <c r="OB3153" s="37"/>
      <c r="OC3153" s="37"/>
      <c r="OD3153" s="37"/>
      <c r="OE3153" s="37"/>
      <c r="OF3153" s="37"/>
      <c r="OG3153" s="37"/>
      <c r="OH3153" s="37"/>
      <c r="OI3153" s="37"/>
      <c r="OJ3153" s="37"/>
      <c r="OK3153" s="37"/>
      <c r="OL3153" s="37"/>
      <c r="OM3153" s="37"/>
      <c r="ON3153" s="37"/>
      <c r="OO3153" s="37"/>
      <c r="OP3153" s="37"/>
      <c r="OQ3153" s="37"/>
      <c r="OR3153" s="37"/>
      <c r="OS3153" s="37"/>
      <c r="OT3153" s="37"/>
      <c r="OU3153" s="37"/>
      <c r="OV3153" s="37"/>
      <c r="OW3153" s="37"/>
      <c r="OX3153" s="37"/>
      <c r="OY3153" s="37"/>
      <c r="OZ3153" s="37"/>
      <c r="PA3153" s="37"/>
      <c r="PB3153" s="37"/>
      <c r="PC3153" s="37"/>
      <c r="PD3153" s="37"/>
      <c r="PE3153" s="37"/>
      <c r="PF3153" s="37"/>
      <c r="PG3153" s="37"/>
      <c r="PH3153" s="37"/>
      <c r="PI3153" s="37"/>
      <c r="PJ3153" s="37"/>
      <c r="PK3153" s="37"/>
      <c r="PL3153" s="37"/>
      <c r="PM3153" s="37"/>
      <c r="PN3153" s="37"/>
      <c r="PO3153" s="37"/>
      <c r="PP3153" s="37"/>
      <c r="PQ3153" s="37"/>
      <c r="PR3153" s="37"/>
      <c r="PS3153" s="37"/>
      <c r="PT3153" s="37"/>
      <c r="PU3153" s="37"/>
      <c r="PV3153" s="37"/>
      <c r="PW3153" s="37"/>
      <c r="PX3153" s="37"/>
      <c r="PY3153" s="37"/>
      <c r="PZ3153" s="37"/>
      <c r="QA3153" s="37"/>
      <c r="QB3153" s="37"/>
      <c r="QC3153" s="37"/>
      <c r="QD3153" s="37"/>
      <c r="QE3153" s="37"/>
      <c r="QF3153" s="37"/>
      <c r="QG3153" s="37"/>
      <c r="QH3153" s="37"/>
      <c r="QI3153" s="37"/>
      <c r="QJ3153" s="37"/>
      <c r="QK3153" s="37"/>
      <c r="QL3153" s="37"/>
      <c r="QM3153" s="37"/>
      <c r="QN3153" s="37"/>
      <c r="QO3153" s="37"/>
      <c r="QP3153" s="37"/>
      <c r="QQ3153" s="37"/>
      <c r="QR3153" s="37"/>
      <c r="QS3153" s="37"/>
      <c r="QT3153" s="37"/>
      <c r="QU3153" s="37"/>
      <c r="QV3153" s="37"/>
      <c r="QW3153" s="37"/>
      <c r="QX3153" s="37"/>
      <c r="QY3153" s="37"/>
      <c r="QZ3153" s="37"/>
      <c r="RA3153" s="37"/>
      <c r="RB3153" s="37"/>
      <c r="RC3153" s="37"/>
      <c r="RD3153" s="37"/>
      <c r="RE3153" s="37"/>
      <c r="RF3153" s="37"/>
      <c r="RG3153" s="37"/>
      <c r="RH3153" s="37"/>
      <c r="RI3153" s="37"/>
      <c r="RJ3153" s="37"/>
      <c r="RK3153" s="37"/>
      <c r="RL3153" s="37"/>
      <c r="RM3153" s="37"/>
      <c r="RN3153" s="37"/>
      <c r="RO3153" s="37"/>
      <c r="RP3153" s="37"/>
      <c r="RQ3153" s="37"/>
      <c r="RR3153" s="37"/>
      <c r="RS3153" s="37"/>
      <c r="RT3153" s="37"/>
      <c r="RU3153" s="37"/>
      <c r="RV3153" s="37"/>
      <c r="RW3153" s="37"/>
      <c r="RX3153" s="37"/>
      <c r="RY3153" s="37"/>
      <c r="RZ3153" s="37"/>
      <c r="SA3153" s="37"/>
      <c r="SB3153" s="37"/>
      <c r="SC3153" s="37"/>
      <c r="SD3153" s="37"/>
      <c r="SE3153" s="37"/>
      <c r="SF3153" s="37"/>
    </row>
    <row r="3154" spans="1:500">
      <c r="A3154" s="37"/>
      <c r="B3154" s="37"/>
      <c r="C3154" s="37"/>
      <c r="D3154" s="37"/>
      <c r="E3154" s="37"/>
      <c r="F3154" s="37"/>
      <c r="G3154" s="37"/>
      <c r="H3154" s="37"/>
      <c r="I3154" s="37"/>
      <c r="J3154" s="37"/>
      <c r="K3154" s="37"/>
      <c r="L3154" s="37"/>
      <c r="M3154" s="37"/>
      <c r="N3154" s="37"/>
      <c r="O3154" s="37"/>
      <c r="P3154" s="37"/>
      <c r="Q3154" s="37"/>
      <c r="R3154" s="37"/>
      <c r="S3154" s="37"/>
      <c r="T3154" s="37"/>
      <c r="U3154" s="37"/>
      <c r="V3154" s="37"/>
      <c r="W3154" s="37"/>
      <c r="X3154" s="37"/>
      <c r="Y3154" s="37"/>
      <c r="Z3154" s="37"/>
      <c r="AA3154" s="37"/>
      <c r="AB3154" s="37"/>
      <c r="AC3154" s="37"/>
      <c r="AD3154" s="37"/>
      <c r="AE3154" s="37"/>
      <c r="AF3154" s="37"/>
      <c r="AG3154" s="37"/>
      <c r="AH3154" s="37"/>
      <c r="AI3154" s="37"/>
      <c r="AJ3154" s="37"/>
      <c r="AK3154" s="37"/>
      <c r="AL3154" s="37"/>
      <c r="AM3154" s="37"/>
      <c r="AN3154" s="37"/>
      <c r="AO3154" s="37"/>
      <c r="AP3154" s="37"/>
      <c r="AQ3154" s="37"/>
      <c r="AR3154" s="37"/>
      <c r="AS3154" s="37"/>
      <c r="AT3154" s="37"/>
      <c r="AU3154" s="37"/>
      <c r="AV3154" s="37"/>
      <c r="AW3154" s="37"/>
      <c r="AX3154" s="37"/>
      <c r="AY3154" s="37"/>
      <c r="AZ3154" s="37"/>
      <c r="BA3154" s="37"/>
      <c r="BB3154" s="37"/>
      <c r="BC3154" s="37"/>
      <c r="BD3154" s="37"/>
      <c r="BE3154" s="37"/>
      <c r="BF3154" s="37"/>
      <c r="BG3154" s="37"/>
      <c r="BH3154" s="37"/>
      <c r="BI3154" s="37"/>
      <c r="BJ3154" s="37"/>
      <c r="BK3154" s="37"/>
      <c r="BL3154" s="37"/>
      <c r="BM3154" s="37"/>
      <c r="BN3154" s="37"/>
      <c r="BO3154" s="37"/>
      <c r="BP3154" s="37"/>
      <c r="BQ3154" s="37"/>
      <c r="BR3154" s="37"/>
      <c r="BS3154" s="37"/>
      <c r="BT3154" s="37"/>
      <c r="BU3154" s="37"/>
      <c r="BV3154" s="37"/>
      <c r="BW3154" s="37"/>
      <c r="BX3154" s="37"/>
      <c r="BY3154" s="37"/>
      <c r="BZ3154" s="37"/>
      <c r="CA3154" s="37"/>
      <c r="CB3154" s="37"/>
      <c r="CC3154" s="37"/>
      <c r="CD3154" s="37"/>
      <c r="CE3154" s="37"/>
      <c r="CF3154" s="37"/>
      <c r="CG3154" s="37"/>
      <c r="CH3154" s="37"/>
      <c r="CI3154" s="37"/>
      <c r="CJ3154" s="37"/>
      <c r="CK3154" s="37"/>
      <c r="CL3154" s="37"/>
      <c r="CM3154" s="37"/>
      <c r="CN3154" s="37"/>
      <c r="CO3154" s="37"/>
      <c r="CP3154" s="37"/>
      <c r="CQ3154" s="37"/>
      <c r="CR3154" s="37"/>
      <c r="CS3154" s="37"/>
      <c r="CT3154" s="37"/>
      <c r="CU3154" s="37"/>
      <c r="CV3154" s="37"/>
      <c r="CW3154" s="37"/>
      <c r="CX3154" s="37"/>
      <c r="CY3154" s="37"/>
      <c r="CZ3154" s="37"/>
      <c r="DA3154" s="37"/>
      <c r="DB3154" s="37"/>
      <c r="DC3154" s="37"/>
      <c r="DD3154" s="37"/>
      <c r="DE3154" s="37"/>
      <c r="DF3154" s="37"/>
      <c r="DG3154" s="37"/>
      <c r="DH3154" s="37"/>
      <c r="DI3154" s="37"/>
      <c r="DJ3154" s="37"/>
      <c r="DK3154" s="37"/>
      <c r="DL3154" s="37"/>
      <c r="DM3154" s="37"/>
      <c r="DN3154" s="37"/>
      <c r="DO3154" s="37"/>
      <c r="DP3154" s="37"/>
      <c r="DQ3154" s="37"/>
      <c r="DR3154" s="37"/>
      <c r="DS3154" s="37"/>
      <c r="DT3154" s="37"/>
      <c r="DU3154" s="37"/>
      <c r="DV3154" s="37"/>
      <c r="DW3154" s="37"/>
      <c r="DX3154" s="37"/>
      <c r="DY3154" s="37"/>
      <c r="DZ3154" s="37"/>
      <c r="EA3154" s="37"/>
      <c r="EB3154" s="37"/>
      <c r="EC3154" s="37"/>
      <c r="ED3154" s="37"/>
      <c r="EE3154" s="37"/>
      <c r="EF3154" s="37"/>
      <c r="EG3154" s="37"/>
      <c r="EH3154" s="37"/>
      <c r="EI3154" s="37"/>
      <c r="EJ3154" s="37"/>
      <c r="EK3154" s="37"/>
      <c r="EL3154" s="37"/>
      <c r="EM3154" s="37"/>
      <c r="EN3154" s="37"/>
      <c r="EO3154" s="37"/>
      <c r="EP3154" s="37"/>
      <c r="EQ3154" s="37"/>
      <c r="ER3154" s="37"/>
      <c r="ES3154" s="37"/>
      <c r="ET3154" s="37"/>
      <c r="EU3154" s="37"/>
      <c r="EV3154" s="37"/>
      <c r="EW3154" s="37"/>
      <c r="EX3154" s="37"/>
      <c r="EY3154" s="37"/>
      <c r="EZ3154" s="37"/>
      <c r="FA3154" s="37"/>
      <c r="FB3154" s="37"/>
      <c r="FC3154" s="37"/>
      <c r="FD3154" s="37"/>
      <c r="FE3154" s="37"/>
      <c r="FF3154" s="37"/>
      <c r="FG3154" s="37"/>
      <c r="FH3154" s="37"/>
      <c r="FI3154" s="37"/>
      <c r="FJ3154" s="37"/>
      <c r="FK3154" s="37"/>
      <c r="FL3154" s="37"/>
      <c r="FM3154" s="37"/>
      <c r="FN3154" s="37"/>
      <c r="FO3154" s="37"/>
      <c r="FP3154" s="37"/>
      <c r="FQ3154" s="37"/>
      <c r="FR3154" s="37"/>
      <c r="FS3154" s="37"/>
      <c r="FT3154" s="37"/>
      <c r="FU3154" s="37"/>
      <c r="FV3154" s="37"/>
      <c r="FW3154" s="37"/>
      <c r="FX3154" s="37"/>
      <c r="FY3154" s="37"/>
      <c r="FZ3154" s="37"/>
      <c r="GA3154" s="37"/>
      <c r="GB3154" s="37"/>
      <c r="GC3154" s="37"/>
      <c r="GD3154" s="37"/>
      <c r="GE3154" s="37"/>
      <c r="GF3154" s="37"/>
      <c r="GG3154" s="37"/>
      <c r="GH3154" s="37"/>
      <c r="GI3154" s="37"/>
      <c r="GJ3154" s="37"/>
      <c r="GK3154" s="37"/>
      <c r="GL3154" s="37"/>
      <c r="GM3154" s="37"/>
      <c r="GN3154" s="37"/>
      <c r="GO3154" s="37"/>
      <c r="GP3154" s="37"/>
      <c r="GQ3154" s="37"/>
      <c r="GR3154" s="37"/>
      <c r="GS3154" s="37"/>
      <c r="GT3154" s="37"/>
      <c r="GU3154" s="37"/>
      <c r="GV3154" s="37"/>
      <c r="GW3154" s="37"/>
      <c r="GX3154" s="37"/>
      <c r="GY3154" s="37"/>
      <c r="GZ3154" s="37"/>
      <c r="HA3154" s="37"/>
      <c r="HB3154" s="37"/>
      <c r="HC3154" s="37"/>
      <c r="HD3154" s="37"/>
      <c r="HE3154" s="37"/>
      <c r="HF3154" s="37"/>
      <c r="HG3154" s="37"/>
      <c r="HH3154" s="37"/>
      <c r="HI3154" s="37"/>
      <c r="HJ3154" s="37"/>
      <c r="HK3154" s="37"/>
      <c r="HL3154" s="37"/>
      <c r="HM3154" s="37"/>
      <c r="HN3154" s="37"/>
      <c r="HO3154" s="37"/>
      <c r="HP3154" s="37"/>
      <c r="HQ3154" s="37"/>
      <c r="HR3154" s="37"/>
      <c r="HS3154" s="37"/>
      <c r="HT3154" s="37"/>
      <c r="HU3154" s="37"/>
      <c r="HV3154" s="37"/>
      <c r="HW3154" s="37"/>
      <c r="HX3154" s="37"/>
      <c r="HY3154" s="37"/>
      <c r="HZ3154" s="37"/>
      <c r="IA3154" s="37"/>
      <c r="IB3154" s="37"/>
      <c r="IC3154" s="37"/>
      <c r="ID3154" s="37"/>
      <c r="IE3154" s="37"/>
      <c r="IF3154" s="37"/>
      <c r="IG3154" s="37"/>
      <c r="IH3154" s="37"/>
      <c r="II3154" s="37"/>
      <c r="IJ3154" s="37"/>
      <c r="IK3154" s="37"/>
      <c r="IL3154" s="37"/>
      <c r="IM3154" s="37"/>
      <c r="IN3154" s="37"/>
      <c r="IO3154" s="37"/>
      <c r="IP3154" s="37"/>
      <c r="IQ3154" s="37"/>
      <c r="IR3154" s="37"/>
      <c r="IS3154" s="37"/>
      <c r="IT3154" s="37"/>
      <c r="IU3154" s="37"/>
      <c r="IV3154" s="37"/>
      <c r="IW3154" s="37"/>
      <c r="IX3154" s="37"/>
      <c r="IY3154" s="37"/>
      <c r="IZ3154" s="37"/>
      <c r="JA3154" s="37"/>
      <c r="JB3154" s="37"/>
      <c r="JC3154" s="37"/>
      <c r="JD3154" s="37"/>
      <c r="JE3154" s="37"/>
      <c r="JF3154" s="37"/>
      <c r="JG3154" s="37"/>
      <c r="JH3154" s="37"/>
      <c r="JI3154" s="37"/>
      <c r="JJ3154" s="37"/>
      <c r="JK3154" s="37"/>
      <c r="JL3154" s="37"/>
      <c r="JM3154" s="37"/>
      <c r="JN3154" s="37"/>
      <c r="JO3154" s="37"/>
      <c r="JP3154" s="37"/>
      <c r="JQ3154" s="37"/>
      <c r="JR3154" s="37"/>
      <c r="JS3154" s="37"/>
      <c r="JT3154" s="37"/>
      <c r="JU3154" s="37"/>
      <c r="JV3154" s="37"/>
      <c r="JW3154" s="37"/>
      <c r="JX3154" s="37"/>
      <c r="JY3154" s="37"/>
      <c r="JZ3154" s="37"/>
      <c r="KA3154" s="37"/>
      <c r="KB3154" s="37"/>
      <c r="KC3154" s="37"/>
      <c r="KD3154" s="37"/>
      <c r="KE3154" s="37"/>
      <c r="KF3154" s="37"/>
      <c r="KG3154" s="37"/>
      <c r="KH3154" s="37"/>
      <c r="KI3154" s="37"/>
      <c r="KJ3154" s="37"/>
      <c r="KK3154" s="37"/>
      <c r="KL3154" s="37"/>
      <c r="KM3154" s="37"/>
      <c r="KN3154" s="37"/>
      <c r="KO3154" s="37"/>
      <c r="KP3154" s="37"/>
      <c r="KQ3154" s="37"/>
      <c r="KR3154" s="37"/>
      <c r="KS3154" s="37"/>
      <c r="KT3154" s="37"/>
      <c r="KU3154" s="37"/>
      <c r="KV3154" s="37"/>
      <c r="KW3154" s="37"/>
      <c r="KX3154" s="37"/>
      <c r="KY3154" s="37"/>
      <c r="KZ3154" s="37"/>
      <c r="LA3154" s="37"/>
      <c r="LB3154" s="37"/>
      <c r="LC3154" s="37"/>
      <c r="LD3154" s="37"/>
      <c r="LE3154" s="37"/>
      <c r="LF3154" s="37"/>
      <c r="LG3154" s="37"/>
      <c r="LH3154" s="37"/>
      <c r="LI3154" s="37"/>
      <c r="LJ3154" s="37"/>
      <c r="LK3154" s="37"/>
      <c r="LL3154" s="37"/>
      <c r="LM3154" s="37"/>
      <c r="LN3154" s="37"/>
      <c r="LO3154" s="37"/>
      <c r="LP3154" s="37"/>
      <c r="LQ3154" s="37"/>
      <c r="LR3154" s="37"/>
      <c r="LS3154" s="37"/>
      <c r="LT3154" s="37"/>
      <c r="LU3154" s="37"/>
      <c r="LV3154" s="37"/>
      <c r="LW3154" s="37"/>
      <c r="LX3154" s="37"/>
      <c r="LY3154" s="37"/>
      <c r="LZ3154" s="37"/>
      <c r="MA3154" s="37"/>
      <c r="MB3154" s="37"/>
      <c r="MC3154" s="37"/>
      <c r="MD3154" s="37"/>
      <c r="ME3154" s="37"/>
      <c r="MF3154" s="37"/>
      <c r="MG3154" s="37"/>
      <c r="MH3154" s="37"/>
      <c r="MI3154" s="37"/>
      <c r="MJ3154" s="37"/>
      <c r="MK3154" s="37"/>
      <c r="ML3154" s="37"/>
      <c r="MM3154" s="37"/>
      <c r="MN3154" s="37"/>
      <c r="MO3154" s="37"/>
      <c r="MP3154" s="37"/>
      <c r="MQ3154" s="37"/>
      <c r="MR3154" s="37"/>
      <c r="MS3154" s="37"/>
      <c r="MT3154" s="37"/>
      <c r="MU3154" s="37"/>
      <c r="MV3154" s="37"/>
      <c r="MW3154" s="37"/>
      <c r="MX3154" s="37"/>
      <c r="MY3154" s="37"/>
      <c r="MZ3154" s="37"/>
      <c r="NA3154" s="37"/>
      <c r="NB3154" s="37"/>
      <c r="NC3154" s="37"/>
      <c r="ND3154" s="37"/>
      <c r="NE3154" s="37"/>
      <c r="NF3154" s="37"/>
      <c r="NG3154" s="37"/>
      <c r="NH3154" s="37"/>
      <c r="NI3154" s="37"/>
      <c r="NJ3154" s="37"/>
      <c r="NK3154" s="37"/>
      <c r="NL3154" s="37"/>
      <c r="NM3154" s="37"/>
      <c r="NN3154" s="37"/>
      <c r="NO3154" s="37"/>
      <c r="NP3154" s="37"/>
      <c r="NQ3154" s="37"/>
      <c r="NR3154" s="37"/>
      <c r="NS3154" s="37"/>
      <c r="NT3154" s="37"/>
      <c r="NU3154" s="37"/>
      <c r="NV3154" s="37"/>
      <c r="NW3154" s="37"/>
      <c r="NX3154" s="37"/>
      <c r="NY3154" s="37"/>
      <c r="NZ3154" s="37"/>
      <c r="OA3154" s="37"/>
      <c r="OB3154" s="37"/>
      <c r="OC3154" s="37"/>
      <c r="OD3154" s="37"/>
      <c r="OE3154" s="37"/>
      <c r="OF3154" s="37"/>
      <c r="OG3154" s="37"/>
      <c r="OH3154" s="37"/>
      <c r="OI3154" s="37"/>
      <c r="OJ3154" s="37"/>
      <c r="OK3154" s="37"/>
      <c r="OL3154" s="37"/>
      <c r="OM3154" s="37"/>
      <c r="ON3154" s="37"/>
      <c r="OO3154" s="37"/>
      <c r="OP3154" s="37"/>
      <c r="OQ3154" s="37"/>
      <c r="OR3154" s="37"/>
      <c r="OS3154" s="37"/>
      <c r="OT3154" s="37"/>
      <c r="OU3154" s="37"/>
      <c r="OV3154" s="37"/>
      <c r="OW3154" s="37"/>
      <c r="OX3154" s="37"/>
      <c r="OY3154" s="37"/>
      <c r="OZ3154" s="37"/>
      <c r="PA3154" s="37"/>
      <c r="PB3154" s="37"/>
      <c r="PC3154" s="37"/>
      <c r="PD3154" s="37"/>
      <c r="PE3154" s="37"/>
      <c r="PF3154" s="37"/>
      <c r="PG3154" s="37"/>
      <c r="PH3154" s="37"/>
      <c r="PI3154" s="37"/>
      <c r="PJ3154" s="37"/>
      <c r="PK3154" s="37"/>
      <c r="PL3154" s="37"/>
      <c r="PM3154" s="37"/>
      <c r="PN3154" s="37"/>
      <c r="PO3154" s="37"/>
      <c r="PP3154" s="37"/>
      <c r="PQ3154" s="37"/>
      <c r="PR3154" s="37"/>
      <c r="PS3154" s="37"/>
      <c r="PT3154" s="37"/>
      <c r="PU3154" s="37"/>
      <c r="PV3154" s="37"/>
      <c r="PW3154" s="37"/>
      <c r="PX3154" s="37"/>
      <c r="PY3154" s="37"/>
      <c r="PZ3154" s="37"/>
      <c r="QA3154" s="37"/>
      <c r="QB3154" s="37"/>
      <c r="QC3154" s="37"/>
      <c r="QD3154" s="37"/>
      <c r="QE3154" s="37"/>
      <c r="QF3154" s="37"/>
      <c r="QG3154" s="37"/>
      <c r="QH3154" s="37"/>
      <c r="QI3154" s="37"/>
      <c r="QJ3154" s="37"/>
      <c r="QK3154" s="37"/>
      <c r="QL3154" s="37"/>
      <c r="QM3154" s="37"/>
      <c r="QN3154" s="37"/>
      <c r="QO3154" s="37"/>
      <c r="QP3154" s="37"/>
      <c r="QQ3154" s="37"/>
      <c r="QR3154" s="37"/>
      <c r="QS3154" s="37"/>
      <c r="QT3154" s="37"/>
      <c r="QU3154" s="37"/>
      <c r="QV3154" s="37"/>
      <c r="QW3154" s="37"/>
      <c r="QX3154" s="37"/>
      <c r="QY3154" s="37"/>
      <c r="QZ3154" s="37"/>
      <c r="RA3154" s="37"/>
      <c r="RB3154" s="37"/>
      <c r="RC3154" s="37"/>
      <c r="RD3154" s="37"/>
      <c r="RE3154" s="37"/>
      <c r="RF3154" s="37"/>
      <c r="RG3154" s="37"/>
      <c r="RH3154" s="37"/>
      <c r="RI3154" s="37"/>
      <c r="RJ3154" s="37"/>
      <c r="RK3154" s="37"/>
      <c r="RL3154" s="37"/>
      <c r="RM3154" s="37"/>
      <c r="RN3154" s="37"/>
      <c r="RO3154" s="37"/>
      <c r="RP3154" s="37"/>
      <c r="RQ3154" s="37"/>
      <c r="RR3154" s="37"/>
      <c r="RS3154" s="37"/>
      <c r="RT3154" s="37"/>
      <c r="RU3154" s="37"/>
      <c r="RV3154" s="37"/>
      <c r="RW3154" s="37"/>
      <c r="RX3154" s="37"/>
      <c r="RY3154" s="37"/>
      <c r="RZ3154" s="37"/>
      <c r="SA3154" s="37"/>
      <c r="SB3154" s="37"/>
      <c r="SC3154" s="37"/>
      <c r="SD3154" s="37"/>
      <c r="SE3154" s="37"/>
      <c r="SF3154" s="37"/>
    </row>
    <row r="3155" spans="1:500">
      <c r="A3155" s="37"/>
      <c r="B3155" s="37"/>
      <c r="C3155" s="37"/>
      <c r="D3155" s="37"/>
      <c r="E3155" s="37"/>
      <c r="F3155" s="37"/>
      <c r="G3155" s="37"/>
      <c r="H3155" s="37"/>
      <c r="I3155" s="37"/>
      <c r="J3155" s="37"/>
      <c r="K3155" s="37"/>
      <c r="L3155" s="37"/>
      <c r="M3155" s="37"/>
      <c r="N3155" s="37"/>
      <c r="O3155" s="37"/>
      <c r="P3155" s="37"/>
      <c r="Q3155" s="37"/>
      <c r="R3155" s="37"/>
      <c r="S3155" s="37"/>
      <c r="T3155" s="37"/>
      <c r="U3155" s="37"/>
      <c r="V3155" s="37"/>
      <c r="W3155" s="37"/>
      <c r="X3155" s="37"/>
      <c r="Y3155" s="37"/>
      <c r="Z3155" s="37"/>
      <c r="AA3155" s="37"/>
      <c r="AB3155" s="37"/>
      <c r="AC3155" s="37"/>
      <c r="AD3155" s="37"/>
      <c r="AE3155" s="37"/>
      <c r="AF3155" s="37"/>
      <c r="AG3155" s="37"/>
      <c r="AH3155" s="37"/>
      <c r="AI3155" s="37"/>
      <c r="AJ3155" s="37"/>
      <c r="AK3155" s="37"/>
      <c r="AL3155" s="37"/>
      <c r="AM3155" s="37"/>
      <c r="AN3155" s="37"/>
      <c r="AO3155" s="37"/>
      <c r="AP3155" s="37"/>
      <c r="AQ3155" s="37"/>
      <c r="AR3155" s="37"/>
      <c r="AS3155" s="37"/>
      <c r="AT3155" s="37"/>
      <c r="AU3155" s="37"/>
      <c r="AV3155" s="37"/>
      <c r="AW3155" s="37"/>
      <c r="AX3155" s="37"/>
      <c r="AY3155" s="37"/>
      <c r="AZ3155" s="37"/>
      <c r="BA3155" s="37"/>
      <c r="BB3155" s="37"/>
      <c r="BC3155" s="37"/>
      <c r="BD3155" s="37"/>
      <c r="BE3155" s="37"/>
      <c r="BF3155" s="37"/>
      <c r="BG3155" s="37"/>
      <c r="BH3155" s="37"/>
      <c r="BI3155" s="37"/>
      <c r="BJ3155" s="37"/>
      <c r="BK3155" s="37"/>
      <c r="BL3155" s="37"/>
      <c r="BM3155" s="37"/>
      <c r="BN3155" s="37"/>
      <c r="BO3155" s="37"/>
      <c r="BP3155" s="37"/>
      <c r="BQ3155" s="37"/>
      <c r="BR3155" s="37"/>
      <c r="BS3155" s="37"/>
      <c r="BT3155" s="37"/>
      <c r="BU3155" s="37"/>
      <c r="BV3155" s="37"/>
      <c r="BW3155" s="37"/>
      <c r="BX3155" s="37"/>
      <c r="BY3155" s="37"/>
      <c r="BZ3155" s="37"/>
      <c r="CA3155" s="37"/>
      <c r="CB3155" s="37"/>
      <c r="CC3155" s="37"/>
      <c r="CD3155" s="37"/>
      <c r="CE3155" s="37"/>
      <c r="CF3155" s="37"/>
      <c r="CG3155" s="37"/>
      <c r="CH3155" s="37"/>
      <c r="CI3155" s="37"/>
      <c r="CJ3155" s="37"/>
      <c r="CK3155" s="37"/>
      <c r="CL3155" s="37"/>
      <c r="CM3155" s="37"/>
      <c r="CN3155" s="37"/>
      <c r="CO3155" s="37"/>
      <c r="CP3155" s="37"/>
      <c r="CQ3155" s="37"/>
      <c r="CR3155" s="37"/>
      <c r="CS3155" s="37"/>
      <c r="CT3155" s="37"/>
      <c r="CU3155" s="37"/>
      <c r="CV3155" s="37"/>
      <c r="CW3155" s="37"/>
      <c r="CX3155" s="37"/>
      <c r="CY3155" s="37"/>
      <c r="CZ3155" s="37"/>
      <c r="DA3155" s="37"/>
      <c r="DB3155" s="37"/>
      <c r="DC3155" s="37"/>
      <c r="DD3155" s="37"/>
      <c r="DE3155" s="37"/>
      <c r="DF3155" s="37"/>
      <c r="DG3155" s="37"/>
      <c r="DH3155" s="37"/>
      <c r="DI3155" s="37"/>
      <c r="DJ3155" s="37"/>
      <c r="DK3155" s="37"/>
      <c r="DL3155" s="37"/>
      <c r="DM3155" s="37"/>
      <c r="DN3155" s="37"/>
      <c r="DO3155" s="37"/>
      <c r="DP3155" s="37"/>
      <c r="DQ3155" s="37"/>
      <c r="DR3155" s="37"/>
      <c r="DS3155" s="37"/>
      <c r="DT3155" s="37"/>
      <c r="DU3155" s="37"/>
      <c r="DV3155" s="37"/>
      <c r="DW3155" s="37"/>
      <c r="DX3155" s="37"/>
      <c r="DY3155" s="37"/>
      <c r="DZ3155" s="37"/>
      <c r="EA3155" s="37"/>
      <c r="EB3155" s="37"/>
      <c r="EC3155" s="37"/>
      <c r="ED3155" s="37"/>
      <c r="EE3155" s="37"/>
      <c r="EF3155" s="37"/>
      <c r="EG3155" s="37"/>
      <c r="EH3155" s="37"/>
      <c r="EI3155" s="37"/>
      <c r="EJ3155" s="37"/>
      <c r="EK3155" s="37"/>
      <c r="EL3155" s="37"/>
      <c r="EM3155" s="37"/>
      <c r="EN3155" s="37"/>
      <c r="EO3155" s="37"/>
      <c r="EP3155" s="37"/>
      <c r="EQ3155" s="37"/>
      <c r="ER3155" s="37"/>
      <c r="ES3155" s="37"/>
      <c r="ET3155" s="37"/>
      <c r="EU3155" s="37"/>
      <c r="EV3155" s="37"/>
      <c r="EW3155" s="37"/>
      <c r="EX3155" s="37"/>
      <c r="EY3155" s="37"/>
      <c r="EZ3155" s="37"/>
      <c r="FA3155" s="37"/>
      <c r="FB3155" s="37"/>
      <c r="FC3155" s="37"/>
      <c r="FD3155" s="37"/>
      <c r="FE3155" s="37"/>
      <c r="FF3155" s="37"/>
      <c r="FG3155" s="37"/>
      <c r="FH3155" s="37"/>
      <c r="FI3155" s="37"/>
      <c r="FJ3155" s="37"/>
      <c r="FK3155" s="37"/>
      <c r="FL3155" s="37"/>
      <c r="FM3155" s="37"/>
      <c r="FN3155" s="37"/>
      <c r="FO3155" s="37"/>
      <c r="FP3155" s="37"/>
      <c r="FQ3155" s="37"/>
      <c r="FR3155" s="37"/>
      <c r="FS3155" s="37"/>
      <c r="FT3155" s="37"/>
      <c r="FU3155" s="37"/>
      <c r="FV3155" s="37"/>
      <c r="FW3155" s="37"/>
      <c r="FX3155" s="37"/>
      <c r="FY3155" s="37"/>
      <c r="FZ3155" s="37"/>
      <c r="GA3155" s="37"/>
      <c r="GB3155" s="37"/>
      <c r="GC3155" s="37"/>
      <c r="GD3155" s="37"/>
      <c r="GE3155" s="37"/>
      <c r="GF3155" s="37"/>
      <c r="GG3155" s="37"/>
      <c r="GH3155" s="37"/>
      <c r="GI3155" s="37"/>
      <c r="GJ3155" s="37"/>
      <c r="GK3155" s="37"/>
      <c r="GL3155" s="37"/>
      <c r="GM3155" s="37"/>
      <c r="GN3155" s="37"/>
      <c r="GO3155" s="37"/>
      <c r="GP3155" s="37"/>
      <c r="GQ3155" s="37"/>
      <c r="GR3155" s="37"/>
      <c r="GS3155" s="37"/>
      <c r="GT3155" s="37"/>
      <c r="GU3155" s="37"/>
      <c r="GV3155" s="37"/>
      <c r="GW3155" s="37"/>
      <c r="GX3155" s="37"/>
      <c r="GY3155" s="37"/>
      <c r="GZ3155" s="37"/>
      <c r="HA3155" s="37"/>
      <c r="HB3155" s="37"/>
      <c r="HC3155" s="37"/>
      <c r="HD3155" s="37"/>
      <c r="HE3155" s="37"/>
      <c r="HF3155" s="37"/>
      <c r="HG3155" s="37"/>
      <c r="HH3155" s="37"/>
      <c r="HI3155" s="37"/>
      <c r="HJ3155" s="37"/>
      <c r="HK3155" s="37"/>
      <c r="HL3155" s="37"/>
      <c r="HM3155" s="37"/>
      <c r="HN3155" s="37"/>
      <c r="HO3155" s="37"/>
      <c r="HP3155" s="37"/>
      <c r="HQ3155" s="37"/>
      <c r="HR3155" s="37"/>
      <c r="HS3155" s="37"/>
      <c r="HT3155" s="37"/>
      <c r="HU3155" s="37"/>
      <c r="HV3155" s="37"/>
      <c r="HW3155" s="37"/>
      <c r="HX3155" s="37"/>
      <c r="HY3155" s="37"/>
      <c r="HZ3155" s="37"/>
      <c r="IA3155" s="37"/>
      <c r="IB3155" s="37"/>
      <c r="IC3155" s="37"/>
      <c r="ID3155" s="37"/>
      <c r="IE3155" s="37"/>
      <c r="IF3155" s="37"/>
      <c r="IG3155" s="37"/>
      <c r="IH3155" s="37"/>
      <c r="II3155" s="37"/>
      <c r="IJ3155" s="37"/>
      <c r="IK3155" s="37"/>
      <c r="IL3155" s="37"/>
      <c r="IM3155" s="37"/>
      <c r="IN3155" s="37"/>
      <c r="IO3155" s="37"/>
      <c r="IP3155" s="37"/>
      <c r="IQ3155" s="37"/>
      <c r="IR3155" s="37"/>
      <c r="IS3155" s="37"/>
      <c r="IT3155" s="37"/>
      <c r="IU3155" s="37"/>
      <c r="IV3155" s="37"/>
      <c r="IW3155" s="37"/>
      <c r="IX3155" s="37"/>
      <c r="IY3155" s="37"/>
      <c r="IZ3155" s="37"/>
      <c r="JA3155" s="37"/>
      <c r="JB3155" s="37"/>
      <c r="JC3155" s="37"/>
      <c r="JD3155" s="37"/>
      <c r="JE3155" s="37"/>
      <c r="JF3155" s="37"/>
      <c r="JG3155" s="37"/>
      <c r="JH3155" s="37"/>
      <c r="JI3155" s="37"/>
      <c r="JJ3155" s="37"/>
      <c r="JK3155" s="37"/>
      <c r="JL3155" s="37"/>
      <c r="JM3155" s="37"/>
      <c r="JN3155" s="37"/>
      <c r="JO3155" s="37"/>
      <c r="JP3155" s="37"/>
      <c r="JQ3155" s="37"/>
      <c r="JR3155" s="37"/>
      <c r="JS3155" s="37"/>
      <c r="JT3155" s="37"/>
      <c r="JU3155" s="37"/>
      <c r="JV3155" s="37"/>
      <c r="JW3155" s="37"/>
      <c r="JX3155" s="37"/>
      <c r="JY3155" s="37"/>
      <c r="JZ3155" s="37"/>
      <c r="KA3155" s="37"/>
      <c r="KB3155" s="37"/>
      <c r="KC3155" s="37"/>
      <c r="KD3155" s="37"/>
      <c r="KE3155" s="37"/>
      <c r="KF3155" s="37"/>
      <c r="KG3155" s="37"/>
      <c r="KH3155" s="37"/>
      <c r="KI3155" s="37"/>
      <c r="KJ3155" s="37"/>
      <c r="KK3155" s="37"/>
      <c r="KL3155" s="37"/>
      <c r="KM3155" s="37"/>
      <c r="KN3155" s="37"/>
      <c r="KO3155" s="37"/>
      <c r="KP3155" s="37"/>
      <c r="KQ3155" s="37"/>
      <c r="KR3155" s="37"/>
      <c r="KS3155" s="37"/>
      <c r="KT3155" s="37"/>
      <c r="KU3155" s="37"/>
      <c r="KV3155" s="37"/>
      <c r="KW3155" s="37"/>
      <c r="KX3155" s="37"/>
      <c r="KY3155" s="37"/>
      <c r="KZ3155" s="37"/>
      <c r="LA3155" s="37"/>
      <c r="LB3155" s="37"/>
      <c r="LC3155" s="37"/>
      <c r="LD3155" s="37"/>
      <c r="LE3155" s="37"/>
      <c r="LF3155" s="37"/>
      <c r="LG3155" s="37"/>
      <c r="LH3155" s="37"/>
      <c r="LI3155" s="37"/>
      <c r="LJ3155" s="37"/>
      <c r="LK3155" s="37"/>
      <c r="LL3155" s="37"/>
      <c r="LM3155" s="37"/>
      <c r="LN3155" s="37"/>
      <c r="LO3155" s="37"/>
      <c r="LP3155" s="37"/>
      <c r="LQ3155" s="37"/>
      <c r="LR3155" s="37"/>
      <c r="LS3155" s="37"/>
      <c r="LT3155" s="37"/>
      <c r="LU3155" s="37"/>
      <c r="LV3155" s="37"/>
      <c r="LW3155" s="37"/>
      <c r="LX3155" s="37"/>
      <c r="LY3155" s="37"/>
      <c r="LZ3155" s="37"/>
      <c r="MA3155" s="37"/>
      <c r="MB3155" s="37"/>
      <c r="MC3155" s="37"/>
      <c r="MD3155" s="37"/>
      <c r="ME3155" s="37"/>
      <c r="MF3155" s="37"/>
      <c r="MG3155" s="37"/>
      <c r="MH3155" s="37"/>
      <c r="MI3155" s="37"/>
      <c r="MJ3155" s="37"/>
      <c r="MK3155" s="37"/>
      <c r="ML3155" s="37"/>
      <c r="MM3155" s="37"/>
      <c r="MN3155" s="37"/>
      <c r="MO3155" s="37"/>
      <c r="MP3155" s="37"/>
      <c r="MQ3155" s="37"/>
      <c r="MR3155" s="37"/>
      <c r="MS3155" s="37"/>
      <c r="MT3155" s="37"/>
      <c r="MU3155" s="37"/>
      <c r="MV3155" s="37"/>
      <c r="MW3155" s="37"/>
      <c r="MX3155" s="37"/>
      <c r="MY3155" s="37"/>
      <c r="MZ3155" s="37"/>
      <c r="NA3155" s="37"/>
      <c r="NB3155" s="37"/>
      <c r="NC3155" s="37"/>
      <c r="ND3155" s="37"/>
      <c r="NE3155" s="37"/>
      <c r="NF3155" s="37"/>
      <c r="NG3155" s="37"/>
      <c r="NH3155" s="37"/>
      <c r="NI3155" s="37"/>
      <c r="NJ3155" s="37"/>
      <c r="NK3155" s="37"/>
      <c r="NL3155" s="37"/>
      <c r="NM3155" s="37"/>
      <c r="NN3155" s="37"/>
      <c r="NO3155" s="37"/>
      <c r="NP3155" s="37"/>
      <c r="NQ3155" s="37"/>
      <c r="NR3155" s="37"/>
      <c r="NS3155" s="37"/>
      <c r="NT3155" s="37"/>
      <c r="NU3155" s="37"/>
      <c r="NV3155" s="37"/>
      <c r="NW3155" s="37"/>
      <c r="NX3155" s="37"/>
      <c r="NY3155" s="37"/>
      <c r="NZ3155" s="37"/>
      <c r="OA3155" s="37"/>
      <c r="OB3155" s="37"/>
      <c r="OC3155" s="37"/>
      <c r="OD3155" s="37"/>
      <c r="OE3155" s="37"/>
      <c r="OF3155" s="37"/>
      <c r="OG3155" s="37"/>
      <c r="OH3155" s="37"/>
      <c r="OI3155" s="37"/>
      <c r="OJ3155" s="37"/>
      <c r="OK3155" s="37"/>
      <c r="OL3155" s="37"/>
      <c r="OM3155" s="37"/>
      <c r="ON3155" s="37"/>
      <c r="OO3155" s="37"/>
      <c r="OP3155" s="37"/>
      <c r="OQ3155" s="37"/>
      <c r="OR3155" s="37"/>
      <c r="OS3155" s="37"/>
      <c r="OT3155" s="37"/>
      <c r="OU3155" s="37"/>
      <c r="OV3155" s="37"/>
      <c r="OW3155" s="37"/>
      <c r="OX3155" s="37"/>
      <c r="OY3155" s="37"/>
      <c r="OZ3155" s="37"/>
      <c r="PA3155" s="37"/>
      <c r="PB3155" s="37"/>
      <c r="PC3155" s="37"/>
      <c r="PD3155" s="37"/>
      <c r="PE3155" s="37"/>
      <c r="PF3155" s="37"/>
      <c r="PG3155" s="37"/>
      <c r="PH3155" s="37"/>
      <c r="PI3155" s="37"/>
      <c r="PJ3155" s="37"/>
      <c r="PK3155" s="37"/>
      <c r="PL3155" s="37"/>
      <c r="PM3155" s="37"/>
      <c r="PN3155" s="37"/>
      <c r="PO3155" s="37"/>
      <c r="PP3155" s="37"/>
      <c r="PQ3155" s="37"/>
      <c r="PR3155" s="37"/>
      <c r="PS3155" s="37"/>
      <c r="PT3155" s="37"/>
      <c r="PU3155" s="37"/>
      <c r="PV3155" s="37"/>
      <c r="PW3155" s="37"/>
      <c r="PX3155" s="37"/>
      <c r="PY3155" s="37"/>
      <c r="PZ3155" s="37"/>
      <c r="QA3155" s="37"/>
      <c r="QB3155" s="37"/>
      <c r="QC3155" s="37"/>
      <c r="QD3155" s="37"/>
      <c r="QE3155" s="37"/>
      <c r="QF3155" s="37"/>
      <c r="QG3155" s="37"/>
      <c r="QH3155" s="37"/>
      <c r="QI3155" s="37"/>
      <c r="QJ3155" s="37"/>
      <c r="QK3155" s="37"/>
      <c r="QL3155" s="37"/>
      <c r="QM3155" s="37"/>
      <c r="QN3155" s="37"/>
      <c r="QO3155" s="37"/>
      <c r="QP3155" s="37"/>
      <c r="QQ3155" s="37"/>
      <c r="QR3155" s="37"/>
      <c r="QS3155" s="37"/>
      <c r="QT3155" s="37"/>
      <c r="QU3155" s="37"/>
      <c r="QV3155" s="37"/>
      <c r="QW3155" s="37"/>
      <c r="QX3155" s="37"/>
      <c r="QY3155" s="37"/>
      <c r="QZ3155" s="37"/>
      <c r="RA3155" s="37"/>
      <c r="RB3155" s="37"/>
      <c r="RC3155" s="37"/>
      <c r="RD3155" s="37"/>
      <c r="RE3155" s="37"/>
      <c r="RF3155" s="37"/>
      <c r="RG3155" s="37"/>
      <c r="RH3155" s="37"/>
      <c r="RI3155" s="37"/>
      <c r="RJ3155" s="37"/>
      <c r="RK3155" s="37"/>
      <c r="RL3155" s="37"/>
      <c r="RM3155" s="37"/>
      <c r="RN3155" s="37"/>
      <c r="RO3155" s="37"/>
      <c r="RP3155" s="37"/>
      <c r="RQ3155" s="37"/>
      <c r="RR3155" s="37"/>
      <c r="RS3155" s="37"/>
      <c r="RT3155" s="37"/>
      <c r="RU3155" s="37"/>
      <c r="RV3155" s="37"/>
      <c r="RW3155" s="37"/>
      <c r="RX3155" s="37"/>
      <c r="RY3155" s="37"/>
      <c r="RZ3155" s="37"/>
      <c r="SA3155" s="37"/>
      <c r="SB3155" s="37"/>
      <c r="SC3155" s="37"/>
      <c r="SD3155" s="37"/>
      <c r="SE3155" s="37"/>
      <c r="SF3155" s="37"/>
    </row>
    <row r="3156" spans="1:500">
      <c r="A3156" s="37"/>
      <c r="B3156" s="37"/>
      <c r="C3156" s="37"/>
      <c r="D3156" s="37"/>
      <c r="E3156" s="37"/>
      <c r="F3156" s="37"/>
      <c r="G3156" s="37"/>
      <c r="H3156" s="37"/>
      <c r="I3156" s="37"/>
      <c r="J3156" s="37"/>
      <c r="K3156" s="37"/>
      <c r="L3156" s="37"/>
      <c r="M3156" s="37"/>
      <c r="N3156" s="37"/>
      <c r="O3156" s="37"/>
      <c r="P3156" s="37"/>
      <c r="Q3156" s="37"/>
      <c r="R3156" s="37"/>
      <c r="S3156" s="37"/>
      <c r="T3156" s="37"/>
      <c r="U3156" s="37"/>
      <c r="V3156" s="37"/>
      <c r="W3156" s="37"/>
      <c r="X3156" s="37"/>
      <c r="Y3156" s="37"/>
      <c r="Z3156" s="37"/>
      <c r="AA3156" s="37"/>
      <c r="AB3156" s="37"/>
      <c r="AC3156" s="37"/>
      <c r="AD3156" s="37"/>
      <c r="AE3156" s="37"/>
      <c r="AF3156" s="37"/>
      <c r="AG3156" s="37"/>
      <c r="AH3156" s="37"/>
      <c r="AI3156" s="37"/>
      <c r="AJ3156" s="37"/>
      <c r="AK3156" s="37"/>
      <c r="AL3156" s="37"/>
      <c r="AM3156" s="37"/>
      <c r="AN3156" s="37"/>
      <c r="AO3156" s="37"/>
      <c r="AP3156" s="37"/>
      <c r="AQ3156" s="37"/>
      <c r="AR3156" s="37"/>
      <c r="AS3156" s="37"/>
      <c r="AT3156" s="37"/>
      <c r="AU3156" s="37"/>
      <c r="AV3156" s="37"/>
      <c r="AW3156" s="37"/>
      <c r="AX3156" s="37"/>
      <c r="AY3156" s="37"/>
      <c r="AZ3156" s="37"/>
      <c r="BA3156" s="37"/>
      <c r="BB3156" s="37"/>
      <c r="BC3156" s="37"/>
      <c r="BD3156" s="37"/>
      <c r="BE3156" s="37"/>
      <c r="BF3156" s="37"/>
      <c r="BG3156" s="37"/>
      <c r="BH3156" s="37"/>
      <c r="BI3156" s="37"/>
      <c r="BJ3156" s="37"/>
      <c r="BK3156" s="37"/>
      <c r="BL3156" s="37"/>
      <c r="BM3156" s="37"/>
      <c r="BN3156" s="37"/>
      <c r="BO3156" s="37"/>
      <c r="BP3156" s="37"/>
      <c r="BQ3156" s="37"/>
      <c r="BR3156" s="37"/>
      <c r="BS3156" s="37"/>
      <c r="BT3156" s="37"/>
      <c r="BU3156" s="37"/>
      <c r="BV3156" s="37"/>
      <c r="BW3156" s="37"/>
      <c r="BX3156" s="37"/>
      <c r="BY3156" s="37"/>
      <c r="BZ3156" s="37"/>
      <c r="CA3156" s="37"/>
      <c r="CB3156" s="37"/>
      <c r="CC3156" s="37"/>
      <c r="CD3156" s="37"/>
      <c r="CE3156" s="37"/>
      <c r="CF3156" s="37"/>
      <c r="CG3156" s="37"/>
      <c r="CH3156" s="37"/>
      <c r="CI3156" s="37"/>
      <c r="CJ3156" s="37"/>
      <c r="CK3156" s="37"/>
      <c r="CL3156" s="37"/>
      <c r="CM3156" s="37"/>
      <c r="CN3156" s="37"/>
      <c r="CO3156" s="37"/>
      <c r="CP3156" s="37"/>
      <c r="CQ3156" s="37"/>
      <c r="CR3156" s="37"/>
      <c r="CS3156" s="37"/>
      <c r="CT3156" s="37"/>
      <c r="CU3156" s="37"/>
      <c r="CV3156" s="37"/>
      <c r="CW3156" s="37"/>
      <c r="CX3156" s="37"/>
      <c r="CY3156" s="37"/>
      <c r="CZ3156" s="37"/>
      <c r="DA3156" s="37"/>
      <c r="DB3156" s="37"/>
      <c r="DC3156" s="37"/>
      <c r="DD3156" s="37"/>
      <c r="DE3156" s="37"/>
      <c r="DF3156" s="37"/>
      <c r="DG3156" s="37"/>
      <c r="DH3156" s="37"/>
      <c r="DI3156" s="37"/>
      <c r="DJ3156" s="37"/>
      <c r="DK3156" s="37"/>
      <c r="DL3156" s="37"/>
      <c r="DM3156" s="37"/>
      <c r="DN3156" s="37"/>
      <c r="DO3156" s="37"/>
      <c r="DP3156" s="37"/>
      <c r="DQ3156" s="37"/>
      <c r="DR3156" s="37"/>
      <c r="DS3156" s="37"/>
      <c r="DT3156" s="37"/>
      <c r="DU3156" s="37"/>
      <c r="DV3156" s="37"/>
      <c r="DW3156" s="37"/>
      <c r="DX3156" s="37"/>
      <c r="DY3156" s="37"/>
      <c r="DZ3156" s="37"/>
      <c r="EA3156" s="37"/>
      <c r="EB3156" s="37"/>
      <c r="EC3156" s="37"/>
      <c r="ED3156" s="37"/>
      <c r="EE3156" s="37"/>
      <c r="EF3156" s="37"/>
      <c r="EG3156" s="37"/>
      <c r="EH3156" s="37"/>
      <c r="EI3156" s="37"/>
      <c r="EJ3156" s="37"/>
      <c r="EK3156" s="37"/>
      <c r="EL3156" s="37"/>
      <c r="EM3156" s="37"/>
      <c r="EN3156" s="37"/>
      <c r="EO3156" s="37"/>
      <c r="EP3156" s="37"/>
      <c r="EQ3156" s="37"/>
      <c r="ER3156" s="37"/>
      <c r="ES3156" s="37"/>
      <c r="ET3156" s="37"/>
      <c r="EU3156" s="37"/>
      <c r="EV3156" s="37"/>
      <c r="EW3156" s="37"/>
      <c r="EX3156" s="37"/>
      <c r="EY3156" s="37"/>
      <c r="EZ3156" s="37"/>
      <c r="FA3156" s="37"/>
      <c r="FB3156" s="37"/>
      <c r="FC3156" s="37"/>
      <c r="FD3156" s="37"/>
      <c r="FE3156" s="37"/>
      <c r="FF3156" s="37"/>
      <c r="FG3156" s="37"/>
      <c r="FH3156" s="37"/>
      <c r="FI3156" s="37"/>
      <c r="FJ3156" s="37"/>
      <c r="FK3156" s="37"/>
      <c r="FL3156" s="37"/>
      <c r="FM3156" s="37"/>
      <c r="FN3156" s="37"/>
      <c r="FO3156" s="37"/>
      <c r="FP3156" s="37"/>
      <c r="FQ3156" s="37"/>
      <c r="FR3156" s="37"/>
      <c r="FS3156" s="37"/>
      <c r="FT3156" s="37"/>
      <c r="FU3156" s="37"/>
      <c r="FV3156" s="37"/>
      <c r="FW3156" s="37"/>
      <c r="FX3156" s="37"/>
      <c r="FY3156" s="37"/>
      <c r="FZ3156" s="37"/>
      <c r="GA3156" s="37"/>
      <c r="GB3156" s="37"/>
      <c r="GC3156" s="37"/>
      <c r="GD3156" s="37"/>
      <c r="GE3156" s="37"/>
      <c r="GF3156" s="37"/>
      <c r="GG3156" s="37"/>
      <c r="GH3156" s="37"/>
      <c r="GI3156" s="37"/>
      <c r="GJ3156" s="37"/>
      <c r="GK3156" s="37"/>
      <c r="GL3156" s="37"/>
      <c r="GM3156" s="37"/>
      <c r="GN3156" s="37"/>
      <c r="GO3156" s="37"/>
      <c r="GP3156" s="37"/>
      <c r="GQ3156" s="37"/>
      <c r="GR3156" s="37"/>
      <c r="GS3156" s="37"/>
      <c r="GT3156" s="37"/>
      <c r="GU3156" s="37"/>
      <c r="GV3156" s="37"/>
      <c r="GW3156" s="37"/>
      <c r="GX3156" s="37"/>
      <c r="GY3156" s="37"/>
      <c r="GZ3156" s="37"/>
      <c r="HA3156" s="37"/>
      <c r="HB3156" s="37"/>
      <c r="HC3156" s="37"/>
      <c r="HD3156" s="37"/>
      <c r="HE3156" s="37"/>
      <c r="HF3156" s="37"/>
      <c r="HG3156" s="37"/>
      <c r="HH3156" s="37"/>
      <c r="HI3156" s="37"/>
      <c r="HJ3156" s="37"/>
      <c r="HK3156" s="37"/>
      <c r="HL3156" s="37"/>
      <c r="HM3156" s="37"/>
      <c r="HN3156" s="37"/>
      <c r="HO3156" s="37"/>
      <c r="HP3156" s="37"/>
      <c r="HQ3156" s="37"/>
      <c r="HR3156" s="37"/>
      <c r="HS3156" s="37"/>
      <c r="HT3156" s="37"/>
      <c r="HU3156" s="37"/>
      <c r="HV3156" s="37"/>
      <c r="HW3156" s="37"/>
      <c r="HX3156" s="37"/>
      <c r="HY3156" s="37"/>
      <c r="HZ3156" s="37"/>
      <c r="IA3156" s="37"/>
      <c r="IB3156" s="37"/>
      <c r="IC3156" s="37"/>
      <c r="ID3156" s="37"/>
      <c r="IE3156" s="37"/>
      <c r="IF3156" s="37"/>
      <c r="IG3156" s="37"/>
      <c r="IH3156" s="37"/>
      <c r="II3156" s="37"/>
      <c r="IJ3156" s="37"/>
      <c r="IK3156" s="37"/>
      <c r="IL3156" s="37"/>
      <c r="IM3156" s="37"/>
      <c r="IN3156" s="37"/>
      <c r="IO3156" s="37"/>
      <c r="IP3156" s="37"/>
      <c r="IQ3156" s="37"/>
      <c r="IR3156" s="37"/>
      <c r="IS3156" s="37"/>
      <c r="IT3156" s="37"/>
      <c r="IU3156" s="37"/>
      <c r="IV3156" s="37"/>
      <c r="IW3156" s="37"/>
      <c r="IX3156" s="37"/>
      <c r="IY3156" s="37"/>
      <c r="IZ3156" s="37"/>
      <c r="JA3156" s="37"/>
      <c r="JB3156" s="37"/>
      <c r="JC3156" s="37"/>
      <c r="JD3156" s="37"/>
      <c r="JE3156" s="37"/>
      <c r="JF3156" s="37"/>
      <c r="JG3156" s="37"/>
      <c r="JH3156" s="37"/>
      <c r="JI3156" s="37"/>
      <c r="JJ3156" s="37"/>
      <c r="JK3156" s="37"/>
      <c r="JL3156" s="37"/>
      <c r="JM3156" s="37"/>
      <c r="JN3156" s="37"/>
      <c r="JO3156" s="37"/>
      <c r="JP3156" s="37"/>
      <c r="JQ3156" s="37"/>
      <c r="JR3156" s="37"/>
      <c r="JS3156" s="37"/>
      <c r="JT3156" s="37"/>
      <c r="JU3156" s="37"/>
      <c r="JV3156" s="37"/>
      <c r="JW3156" s="37"/>
      <c r="JX3156" s="37"/>
      <c r="JY3156" s="37"/>
      <c r="JZ3156" s="37"/>
      <c r="KA3156" s="37"/>
      <c r="KB3156" s="37"/>
      <c r="KC3156" s="37"/>
      <c r="KD3156" s="37"/>
      <c r="KE3156" s="37"/>
      <c r="KF3156" s="37"/>
      <c r="KG3156" s="37"/>
      <c r="KH3156" s="37"/>
      <c r="KI3156" s="37"/>
      <c r="KJ3156" s="37"/>
      <c r="KK3156" s="37"/>
      <c r="KL3156" s="37"/>
      <c r="KM3156" s="37"/>
      <c r="KN3156" s="37"/>
      <c r="KO3156" s="37"/>
      <c r="KP3156" s="37"/>
      <c r="KQ3156" s="37"/>
      <c r="KR3156" s="37"/>
      <c r="KS3156" s="37"/>
      <c r="KT3156" s="37"/>
      <c r="KU3156" s="37"/>
      <c r="KV3156" s="37"/>
      <c r="KW3156" s="37"/>
      <c r="KX3156" s="37"/>
      <c r="KY3156" s="37"/>
      <c r="KZ3156" s="37"/>
      <c r="LA3156" s="37"/>
      <c r="LB3156" s="37"/>
      <c r="LC3156" s="37"/>
      <c r="LD3156" s="37"/>
      <c r="LE3156" s="37"/>
      <c r="LF3156" s="37"/>
      <c r="LG3156" s="37"/>
      <c r="LH3156" s="37"/>
      <c r="LI3156" s="37"/>
      <c r="LJ3156" s="37"/>
      <c r="LK3156" s="37"/>
      <c r="LL3156" s="37"/>
      <c r="LM3156" s="37"/>
      <c r="LN3156" s="37"/>
      <c r="LO3156" s="37"/>
      <c r="LP3156" s="37"/>
      <c r="LQ3156" s="37"/>
      <c r="LR3156" s="37"/>
      <c r="LS3156" s="37"/>
      <c r="LT3156" s="37"/>
      <c r="LU3156" s="37"/>
      <c r="LV3156" s="37"/>
      <c r="LW3156" s="37"/>
      <c r="LX3156" s="37"/>
      <c r="LY3156" s="37"/>
      <c r="LZ3156" s="37"/>
      <c r="MA3156" s="37"/>
      <c r="MB3156" s="37"/>
      <c r="MC3156" s="37"/>
      <c r="MD3156" s="37"/>
      <c r="ME3156" s="37"/>
      <c r="MF3156" s="37"/>
      <c r="MG3156" s="37"/>
      <c r="MH3156" s="37"/>
      <c r="MI3156" s="37"/>
      <c r="MJ3156" s="37"/>
      <c r="MK3156" s="37"/>
      <c r="ML3156" s="37"/>
      <c r="MM3156" s="37"/>
      <c r="MN3156" s="37"/>
      <c r="MO3156" s="37"/>
      <c r="MP3156" s="37"/>
      <c r="MQ3156" s="37"/>
      <c r="MR3156" s="37"/>
      <c r="MS3156" s="37"/>
      <c r="MT3156" s="37"/>
      <c r="MU3156" s="37"/>
      <c r="MV3156" s="37"/>
      <c r="MW3156" s="37"/>
      <c r="MX3156" s="37"/>
      <c r="MY3156" s="37"/>
      <c r="MZ3156" s="37"/>
      <c r="NA3156" s="37"/>
      <c r="NB3156" s="37"/>
      <c r="NC3156" s="37"/>
      <c r="ND3156" s="37"/>
      <c r="NE3156" s="37"/>
      <c r="NF3156" s="37"/>
      <c r="NG3156" s="37"/>
      <c r="NH3156" s="37"/>
      <c r="NI3156" s="37"/>
      <c r="NJ3156" s="37"/>
      <c r="NK3156" s="37"/>
      <c r="NL3156" s="37"/>
      <c r="NM3156" s="37"/>
      <c r="NN3156" s="37"/>
      <c r="NO3156" s="37"/>
      <c r="NP3156" s="37"/>
      <c r="NQ3156" s="37"/>
      <c r="NR3156" s="37"/>
      <c r="NS3156" s="37"/>
      <c r="NT3156" s="37"/>
      <c r="NU3156" s="37"/>
      <c r="NV3156" s="37"/>
      <c r="NW3156" s="37"/>
      <c r="NX3156" s="37"/>
      <c r="NY3156" s="37"/>
      <c r="NZ3156" s="37"/>
      <c r="OA3156" s="37"/>
      <c r="OB3156" s="37"/>
      <c r="OC3156" s="37"/>
      <c r="OD3156" s="37"/>
      <c r="OE3156" s="37"/>
      <c r="OF3156" s="37"/>
      <c r="OG3156" s="37"/>
      <c r="OH3156" s="37"/>
      <c r="OI3156" s="37"/>
      <c r="OJ3156" s="37"/>
      <c r="OK3156" s="37"/>
      <c r="OL3156" s="37"/>
      <c r="OM3156" s="37"/>
      <c r="ON3156" s="37"/>
      <c r="OO3156" s="37"/>
      <c r="OP3156" s="37"/>
      <c r="OQ3156" s="37"/>
      <c r="OR3156" s="37"/>
      <c r="OS3156" s="37"/>
      <c r="OT3156" s="37"/>
      <c r="OU3156" s="37"/>
      <c r="OV3156" s="37"/>
      <c r="OW3156" s="37"/>
      <c r="OX3156" s="37"/>
      <c r="OY3156" s="37"/>
      <c r="OZ3156" s="37"/>
      <c r="PA3156" s="37"/>
      <c r="PB3156" s="37"/>
      <c r="PC3156" s="37"/>
      <c r="PD3156" s="37"/>
      <c r="PE3156" s="37"/>
      <c r="PF3156" s="37"/>
      <c r="PG3156" s="37"/>
      <c r="PH3156" s="37"/>
      <c r="PI3156" s="37"/>
      <c r="PJ3156" s="37"/>
      <c r="PK3156" s="37"/>
      <c r="PL3156" s="37"/>
      <c r="PM3156" s="37"/>
      <c r="PN3156" s="37"/>
      <c r="PO3156" s="37"/>
      <c r="PP3156" s="37"/>
      <c r="PQ3156" s="37"/>
      <c r="PR3156" s="37"/>
      <c r="PS3156" s="37"/>
      <c r="PT3156" s="37"/>
      <c r="PU3156" s="37"/>
      <c r="PV3156" s="37"/>
      <c r="PW3156" s="37"/>
      <c r="PX3156" s="37"/>
      <c r="PY3156" s="37"/>
      <c r="PZ3156" s="37"/>
      <c r="QA3156" s="37"/>
      <c r="QB3156" s="37"/>
      <c r="QC3156" s="37"/>
      <c r="QD3156" s="37"/>
      <c r="QE3156" s="37"/>
      <c r="QF3156" s="37"/>
      <c r="QG3156" s="37"/>
      <c r="QH3156" s="37"/>
      <c r="QI3156" s="37"/>
      <c r="QJ3156" s="37"/>
      <c r="QK3156" s="37"/>
      <c r="QL3156" s="37"/>
      <c r="QM3156" s="37"/>
      <c r="QN3156" s="37"/>
      <c r="QO3156" s="37"/>
      <c r="QP3156" s="37"/>
      <c r="QQ3156" s="37"/>
      <c r="QR3156" s="37"/>
      <c r="QS3156" s="37"/>
      <c r="QT3156" s="37"/>
      <c r="QU3156" s="37"/>
      <c r="QV3156" s="37"/>
      <c r="QW3156" s="37"/>
      <c r="QX3156" s="37"/>
      <c r="QY3156" s="37"/>
      <c r="QZ3156" s="37"/>
      <c r="RA3156" s="37"/>
      <c r="RB3156" s="37"/>
      <c r="RC3156" s="37"/>
      <c r="RD3156" s="37"/>
      <c r="RE3156" s="37"/>
      <c r="RF3156" s="37"/>
      <c r="RG3156" s="37"/>
      <c r="RH3156" s="37"/>
      <c r="RI3156" s="37"/>
      <c r="RJ3156" s="37"/>
      <c r="RK3156" s="37"/>
      <c r="RL3156" s="37"/>
      <c r="RM3156" s="37"/>
      <c r="RN3156" s="37"/>
      <c r="RO3156" s="37"/>
      <c r="RP3156" s="37"/>
      <c r="RQ3156" s="37"/>
      <c r="RR3156" s="37"/>
      <c r="RS3156" s="37"/>
      <c r="RT3156" s="37"/>
      <c r="RU3156" s="37"/>
      <c r="RV3156" s="37"/>
      <c r="RW3156" s="37"/>
      <c r="RX3156" s="37"/>
      <c r="RY3156" s="37"/>
      <c r="RZ3156" s="37"/>
      <c r="SA3156" s="37"/>
      <c r="SB3156" s="37"/>
      <c r="SC3156" s="37"/>
      <c r="SD3156" s="37"/>
      <c r="SE3156" s="37"/>
      <c r="SF3156" s="37"/>
    </row>
    <row r="3157" spans="1:500">
      <c r="A3157" s="37"/>
      <c r="B3157" s="37"/>
      <c r="C3157" s="37"/>
      <c r="D3157" s="37"/>
      <c r="E3157" s="37"/>
      <c r="F3157" s="37"/>
      <c r="G3157" s="37"/>
      <c r="H3157" s="37"/>
      <c r="I3157" s="37"/>
      <c r="J3157" s="37"/>
      <c r="K3157" s="37"/>
      <c r="L3157" s="37"/>
      <c r="M3157" s="37"/>
      <c r="N3157" s="37"/>
      <c r="O3157" s="37"/>
      <c r="P3157" s="37"/>
      <c r="Q3157" s="37"/>
      <c r="R3157" s="37"/>
      <c r="S3157" s="37"/>
      <c r="T3157" s="37"/>
      <c r="U3157" s="37"/>
      <c r="V3157" s="37"/>
      <c r="W3157" s="37"/>
      <c r="X3157" s="37"/>
      <c r="Y3157" s="37"/>
      <c r="Z3157" s="37"/>
      <c r="AA3157" s="37"/>
      <c r="AB3157" s="37"/>
      <c r="AC3157" s="37"/>
      <c r="AD3157" s="37"/>
      <c r="AE3157" s="37"/>
      <c r="AF3157" s="37"/>
      <c r="AG3157" s="37"/>
      <c r="AH3157" s="37"/>
      <c r="AI3157" s="37"/>
      <c r="AJ3157" s="37"/>
      <c r="AK3157" s="37"/>
      <c r="AL3157" s="37"/>
      <c r="AM3157" s="37"/>
      <c r="AN3157" s="37"/>
      <c r="AO3157" s="37"/>
      <c r="AP3157" s="37"/>
      <c r="AQ3157" s="37"/>
      <c r="AR3157" s="37"/>
      <c r="AS3157" s="37"/>
      <c r="AT3157" s="37"/>
      <c r="AU3157" s="37"/>
      <c r="AV3157" s="37"/>
      <c r="AW3157" s="37"/>
      <c r="AX3157" s="37"/>
      <c r="AY3157" s="37"/>
      <c r="AZ3157" s="37"/>
      <c r="BA3157" s="37"/>
      <c r="BB3157" s="37"/>
      <c r="BC3157" s="37"/>
      <c r="BD3157" s="37"/>
      <c r="BE3157" s="37"/>
      <c r="BF3157" s="37"/>
      <c r="BG3157" s="37"/>
      <c r="BH3157" s="37"/>
      <c r="BI3157" s="37"/>
      <c r="BJ3157" s="37"/>
      <c r="BK3157" s="37"/>
      <c r="BL3157" s="37"/>
      <c r="BM3157" s="37"/>
      <c r="BN3157" s="37"/>
      <c r="BO3157" s="37"/>
      <c r="BP3157" s="37"/>
      <c r="BQ3157" s="37"/>
      <c r="BR3157" s="37"/>
      <c r="BS3157" s="37"/>
      <c r="BT3157" s="37"/>
      <c r="BU3157" s="37"/>
      <c r="BV3157" s="37"/>
      <c r="BW3157" s="37"/>
      <c r="BX3157" s="37"/>
      <c r="BY3157" s="37"/>
      <c r="BZ3157" s="37"/>
      <c r="CA3157" s="37"/>
      <c r="CB3157" s="37"/>
      <c r="CC3157" s="37"/>
      <c r="CD3157" s="37"/>
      <c r="CE3157" s="37"/>
      <c r="CF3157" s="37"/>
      <c r="CG3157" s="37"/>
      <c r="CH3157" s="37"/>
      <c r="CI3157" s="37"/>
      <c r="CJ3157" s="37"/>
      <c r="CK3157" s="37"/>
      <c r="CL3157" s="37"/>
      <c r="CM3157" s="37"/>
      <c r="CN3157" s="37"/>
      <c r="CO3157" s="37"/>
      <c r="CP3157" s="37"/>
      <c r="CQ3157" s="37"/>
      <c r="CR3157" s="37"/>
      <c r="CS3157" s="37"/>
      <c r="CT3157" s="37"/>
      <c r="CU3157" s="37"/>
      <c r="CV3157" s="37"/>
      <c r="CW3157" s="37"/>
      <c r="CX3157" s="37"/>
      <c r="CY3157" s="37"/>
      <c r="CZ3157" s="37"/>
      <c r="DA3157" s="37"/>
      <c r="DB3157" s="37"/>
      <c r="DC3157" s="37"/>
      <c r="DD3157" s="37"/>
      <c r="DE3157" s="37"/>
      <c r="DF3157" s="37"/>
      <c r="DG3157" s="37"/>
      <c r="DH3157" s="37"/>
      <c r="DI3157" s="37"/>
      <c r="DJ3157" s="37"/>
      <c r="DK3157" s="37"/>
      <c r="DL3157" s="37"/>
      <c r="DM3157" s="37"/>
      <c r="DN3157" s="37"/>
      <c r="DO3157" s="37"/>
      <c r="DP3157" s="37"/>
      <c r="DQ3157" s="37"/>
      <c r="DR3157" s="37"/>
      <c r="DS3157" s="37"/>
      <c r="DT3157" s="37"/>
      <c r="DU3157" s="37"/>
      <c r="DV3157" s="37"/>
      <c r="DW3157" s="37"/>
      <c r="DX3157" s="37"/>
      <c r="DY3157" s="37"/>
      <c r="DZ3157" s="37"/>
      <c r="EA3157" s="37"/>
      <c r="EB3157" s="37"/>
      <c r="EC3157" s="37"/>
      <c r="ED3157" s="37"/>
      <c r="EE3157" s="37"/>
      <c r="EF3157" s="37"/>
      <c r="EG3157" s="37"/>
      <c r="EH3157" s="37"/>
      <c r="EI3157" s="37"/>
      <c r="EJ3157" s="37"/>
      <c r="EK3157" s="37"/>
      <c r="EL3157" s="37"/>
      <c r="EM3157" s="37"/>
      <c r="EN3157" s="37"/>
      <c r="EO3157" s="37"/>
      <c r="EP3157" s="37"/>
      <c r="EQ3157" s="37"/>
      <c r="ER3157" s="37"/>
      <c r="ES3157" s="37"/>
      <c r="ET3157" s="37"/>
      <c r="EU3157" s="37"/>
      <c r="EV3157" s="37"/>
      <c r="EW3157" s="37"/>
      <c r="EX3157" s="37"/>
      <c r="EY3157" s="37"/>
      <c r="EZ3157" s="37"/>
      <c r="FA3157" s="37"/>
      <c r="FB3157" s="37"/>
      <c r="FC3157" s="37"/>
      <c r="FD3157" s="37"/>
      <c r="FE3157" s="37"/>
      <c r="FF3157" s="37"/>
      <c r="FG3157" s="37"/>
      <c r="FH3157" s="37"/>
      <c r="FI3157" s="37"/>
      <c r="FJ3157" s="37"/>
      <c r="FK3157" s="37"/>
      <c r="FL3157" s="37"/>
      <c r="FM3157" s="37"/>
      <c r="FN3157" s="37"/>
      <c r="FO3157" s="37"/>
      <c r="FP3157" s="37"/>
      <c r="FQ3157" s="37"/>
      <c r="FR3157" s="37"/>
      <c r="FS3157" s="37"/>
      <c r="FT3157" s="37"/>
      <c r="FU3157" s="37"/>
      <c r="FV3157" s="37"/>
      <c r="FW3157" s="37"/>
      <c r="FX3157" s="37"/>
      <c r="FY3157" s="37"/>
      <c r="FZ3157" s="37"/>
      <c r="GA3157" s="37"/>
      <c r="GB3157" s="37"/>
      <c r="GC3157" s="37"/>
      <c r="GD3157" s="37"/>
      <c r="GE3157" s="37"/>
      <c r="GF3157" s="37"/>
      <c r="GG3157" s="37"/>
      <c r="GH3157" s="37"/>
      <c r="GI3157" s="37"/>
      <c r="GJ3157" s="37"/>
      <c r="GK3157" s="37"/>
      <c r="GL3157" s="37"/>
      <c r="GM3157" s="37"/>
      <c r="GN3157" s="37"/>
      <c r="GO3157" s="37"/>
      <c r="GP3157" s="37"/>
      <c r="GQ3157" s="37"/>
      <c r="GR3157" s="37"/>
      <c r="GS3157" s="37"/>
      <c r="GT3157" s="37"/>
      <c r="GU3157" s="37"/>
      <c r="GV3157" s="37"/>
      <c r="GW3157" s="37"/>
      <c r="GX3157" s="37"/>
      <c r="GY3157" s="37"/>
      <c r="GZ3157" s="37"/>
      <c r="HA3157" s="37"/>
      <c r="HB3157" s="37"/>
      <c r="HC3157" s="37"/>
      <c r="HD3157" s="37"/>
      <c r="HE3157" s="37"/>
      <c r="HF3157" s="37"/>
      <c r="HG3157" s="37"/>
      <c r="HH3157" s="37"/>
      <c r="HI3157" s="37"/>
      <c r="HJ3157" s="37"/>
      <c r="HK3157" s="37"/>
      <c r="HL3157" s="37"/>
      <c r="HM3157" s="37"/>
      <c r="HN3157" s="37"/>
      <c r="HO3157" s="37"/>
      <c r="HP3157" s="37"/>
      <c r="HQ3157" s="37"/>
      <c r="HR3157" s="37"/>
      <c r="HS3157" s="37"/>
      <c r="HT3157" s="37"/>
      <c r="HU3157" s="37"/>
      <c r="HV3157" s="37"/>
      <c r="HW3157" s="37"/>
      <c r="HX3157" s="37"/>
      <c r="HY3157" s="37"/>
      <c r="HZ3157" s="37"/>
      <c r="IA3157" s="37"/>
      <c r="IB3157" s="37"/>
      <c r="IC3157" s="37"/>
      <c r="ID3157" s="37"/>
      <c r="IE3157" s="37"/>
      <c r="IF3157" s="37"/>
      <c r="IG3157" s="37"/>
      <c r="IH3157" s="37"/>
      <c r="II3157" s="37"/>
      <c r="IJ3157" s="37"/>
      <c r="IK3157" s="37"/>
      <c r="IL3157" s="37"/>
      <c r="IM3157" s="37"/>
      <c r="IN3157" s="37"/>
      <c r="IO3157" s="37"/>
      <c r="IP3157" s="37"/>
      <c r="IQ3157" s="37"/>
      <c r="IR3157" s="37"/>
      <c r="IS3157" s="37"/>
      <c r="IT3157" s="37"/>
      <c r="IU3157" s="37"/>
      <c r="IV3157" s="37"/>
      <c r="IW3157" s="37"/>
      <c r="IX3157" s="37"/>
      <c r="IY3157" s="37"/>
      <c r="IZ3157" s="37"/>
      <c r="JA3157" s="37"/>
      <c r="JB3157" s="37"/>
      <c r="JC3157" s="37"/>
      <c r="JD3157" s="37"/>
      <c r="JE3157" s="37"/>
      <c r="JF3157" s="37"/>
      <c r="JG3157" s="37"/>
      <c r="JH3157" s="37"/>
      <c r="JI3157" s="37"/>
      <c r="JJ3157" s="37"/>
      <c r="JK3157" s="37"/>
      <c r="JL3157" s="37"/>
      <c r="JM3157" s="37"/>
      <c r="JN3157" s="37"/>
      <c r="JO3157" s="37"/>
      <c r="JP3157" s="37"/>
      <c r="JQ3157" s="37"/>
      <c r="JR3157" s="37"/>
      <c r="JS3157" s="37"/>
      <c r="JT3157" s="37"/>
      <c r="JU3157" s="37"/>
      <c r="JV3157" s="37"/>
      <c r="JW3157" s="37"/>
      <c r="JX3157" s="37"/>
      <c r="JY3157" s="37"/>
      <c r="JZ3157" s="37"/>
      <c r="KA3157" s="37"/>
      <c r="KB3157" s="37"/>
      <c r="KC3157" s="37"/>
      <c r="KD3157" s="37"/>
      <c r="KE3157" s="37"/>
      <c r="KF3157" s="37"/>
      <c r="KG3157" s="37"/>
      <c r="KH3157" s="37"/>
      <c r="KI3157" s="37"/>
      <c r="KJ3157" s="37"/>
      <c r="KK3157" s="37"/>
      <c r="KL3157" s="37"/>
      <c r="KM3157" s="37"/>
      <c r="KN3157" s="37"/>
      <c r="KO3157" s="37"/>
      <c r="KP3157" s="37"/>
      <c r="KQ3157" s="37"/>
      <c r="KR3157" s="37"/>
      <c r="KS3157" s="37"/>
      <c r="KT3157" s="37"/>
      <c r="KU3157" s="37"/>
      <c r="KV3157" s="37"/>
      <c r="KW3157" s="37"/>
      <c r="KX3157" s="37"/>
      <c r="KY3157" s="37"/>
      <c r="KZ3157" s="37"/>
      <c r="LA3157" s="37"/>
      <c r="LB3157" s="37"/>
      <c r="LC3157" s="37"/>
      <c r="LD3157" s="37"/>
      <c r="LE3157" s="37"/>
      <c r="LF3157" s="37"/>
      <c r="LG3157" s="37"/>
      <c r="LH3157" s="37"/>
      <c r="LI3157" s="37"/>
      <c r="LJ3157" s="37"/>
      <c r="LK3157" s="37"/>
      <c r="LL3157" s="37"/>
      <c r="LM3157" s="37"/>
      <c r="LN3157" s="37"/>
      <c r="LO3157" s="37"/>
      <c r="LP3157" s="37"/>
      <c r="LQ3157" s="37"/>
      <c r="LR3157" s="37"/>
      <c r="LS3157" s="37"/>
      <c r="LT3157" s="37"/>
      <c r="LU3157" s="37"/>
      <c r="LV3157" s="37"/>
      <c r="LW3157" s="37"/>
      <c r="LX3157" s="37"/>
      <c r="LY3157" s="37"/>
      <c r="LZ3157" s="37"/>
      <c r="MA3157" s="37"/>
      <c r="MB3157" s="37"/>
      <c r="MC3157" s="37"/>
      <c r="MD3157" s="37"/>
      <c r="ME3157" s="37"/>
      <c r="MF3157" s="37"/>
      <c r="MG3157" s="37"/>
      <c r="MH3157" s="37"/>
      <c r="MI3157" s="37"/>
      <c r="MJ3157" s="37"/>
      <c r="MK3157" s="37"/>
      <c r="ML3157" s="37"/>
      <c r="MM3157" s="37"/>
      <c r="MN3157" s="37"/>
      <c r="MO3157" s="37"/>
      <c r="MP3157" s="37"/>
      <c r="MQ3157" s="37"/>
      <c r="MR3157" s="37"/>
      <c r="MS3157" s="37"/>
      <c r="MT3157" s="37"/>
      <c r="MU3157" s="37"/>
      <c r="MV3157" s="37"/>
      <c r="MW3157" s="37"/>
      <c r="MX3157" s="37"/>
      <c r="MY3157" s="37"/>
      <c r="MZ3157" s="37"/>
      <c r="NA3157" s="37"/>
      <c r="NB3157" s="37"/>
      <c r="NC3157" s="37"/>
      <c r="ND3157" s="37"/>
      <c r="NE3157" s="37"/>
      <c r="NF3157" s="37"/>
      <c r="NG3157" s="37"/>
      <c r="NH3157" s="37"/>
      <c r="NI3157" s="37"/>
      <c r="NJ3157" s="37"/>
      <c r="NK3157" s="37"/>
      <c r="NL3157" s="37"/>
      <c r="NM3157" s="37"/>
      <c r="NN3157" s="37"/>
      <c r="NO3157" s="37"/>
      <c r="NP3157" s="37"/>
      <c r="NQ3157" s="37"/>
      <c r="NR3157" s="37"/>
      <c r="NS3157" s="37"/>
      <c r="NT3157" s="37"/>
      <c r="NU3157" s="37"/>
      <c r="NV3157" s="37"/>
      <c r="NW3157" s="37"/>
      <c r="NX3157" s="37"/>
      <c r="NY3157" s="37"/>
      <c r="NZ3157" s="37"/>
      <c r="OA3157" s="37"/>
      <c r="OB3157" s="37"/>
      <c r="OC3157" s="37"/>
      <c r="OD3157" s="37"/>
      <c r="OE3157" s="37"/>
      <c r="OF3157" s="37"/>
      <c r="OG3157" s="37"/>
      <c r="OH3157" s="37"/>
      <c r="OI3157" s="37"/>
      <c r="OJ3157" s="37"/>
      <c r="OK3157" s="37"/>
      <c r="OL3157" s="37"/>
      <c r="OM3157" s="37"/>
      <c r="ON3157" s="37"/>
      <c r="OO3157" s="37"/>
      <c r="OP3157" s="37"/>
      <c r="OQ3157" s="37"/>
      <c r="OR3157" s="37"/>
      <c r="OS3157" s="37"/>
      <c r="OT3157" s="37"/>
      <c r="OU3157" s="37"/>
      <c r="OV3157" s="37"/>
      <c r="OW3157" s="37"/>
      <c r="OX3157" s="37"/>
      <c r="OY3157" s="37"/>
      <c r="OZ3157" s="37"/>
      <c r="PA3157" s="37"/>
      <c r="PB3157" s="37"/>
      <c r="PC3157" s="37"/>
      <c r="PD3157" s="37"/>
      <c r="PE3157" s="37"/>
      <c r="PF3157" s="37"/>
      <c r="PG3157" s="37"/>
      <c r="PH3157" s="37"/>
      <c r="PI3157" s="37"/>
      <c r="PJ3157" s="37"/>
      <c r="PK3157" s="37"/>
      <c r="PL3157" s="37"/>
      <c r="PM3157" s="37"/>
      <c r="PN3157" s="37"/>
      <c r="PO3157" s="37"/>
      <c r="PP3157" s="37"/>
      <c r="PQ3157" s="37"/>
      <c r="PR3157" s="37"/>
      <c r="PS3157" s="37"/>
      <c r="PT3157" s="37"/>
      <c r="PU3157" s="37"/>
      <c r="PV3157" s="37"/>
      <c r="PW3157" s="37"/>
      <c r="PX3157" s="37"/>
      <c r="PY3157" s="37"/>
      <c r="PZ3157" s="37"/>
      <c r="QA3157" s="37"/>
      <c r="QB3157" s="37"/>
      <c r="QC3157" s="37"/>
      <c r="QD3157" s="37"/>
      <c r="QE3157" s="37"/>
      <c r="QF3157" s="37"/>
      <c r="QG3157" s="37"/>
      <c r="QH3157" s="37"/>
      <c r="QI3157" s="37"/>
      <c r="QJ3157" s="37"/>
      <c r="QK3157" s="37"/>
      <c r="QL3157" s="37"/>
      <c r="QM3157" s="37"/>
      <c r="QN3157" s="37"/>
      <c r="QO3157" s="37"/>
      <c r="QP3157" s="37"/>
      <c r="QQ3157" s="37"/>
      <c r="QR3157" s="37"/>
      <c r="QS3157" s="37"/>
      <c r="QT3157" s="37"/>
      <c r="QU3157" s="37"/>
      <c r="QV3157" s="37"/>
      <c r="QW3157" s="37"/>
      <c r="QX3157" s="37"/>
      <c r="QY3157" s="37"/>
      <c r="QZ3157" s="37"/>
      <c r="RA3157" s="37"/>
      <c r="RB3157" s="37"/>
      <c r="RC3157" s="37"/>
      <c r="RD3157" s="37"/>
      <c r="RE3157" s="37"/>
      <c r="RF3157" s="37"/>
      <c r="RG3157" s="37"/>
      <c r="RH3157" s="37"/>
      <c r="RI3157" s="37"/>
      <c r="RJ3157" s="37"/>
      <c r="RK3157" s="37"/>
      <c r="RL3157" s="37"/>
      <c r="RM3157" s="37"/>
      <c r="RN3157" s="37"/>
      <c r="RO3157" s="37"/>
      <c r="RP3157" s="37"/>
      <c r="RQ3157" s="37"/>
      <c r="RR3157" s="37"/>
      <c r="RS3157" s="37"/>
      <c r="RT3157" s="37"/>
      <c r="RU3157" s="37"/>
      <c r="RV3157" s="37"/>
      <c r="RW3157" s="37"/>
      <c r="RX3157" s="37"/>
      <c r="RY3157" s="37"/>
      <c r="RZ3157" s="37"/>
      <c r="SA3157" s="37"/>
      <c r="SB3157" s="37"/>
      <c r="SC3157" s="37"/>
      <c r="SD3157" s="37"/>
      <c r="SE3157" s="37"/>
      <c r="SF3157" s="37"/>
    </row>
    <row r="3158" spans="1:500">
      <c r="A3158" s="37"/>
      <c r="B3158" s="37"/>
      <c r="C3158" s="37"/>
      <c r="D3158" s="37"/>
      <c r="E3158" s="37"/>
      <c r="F3158" s="37"/>
      <c r="G3158" s="37"/>
      <c r="H3158" s="37"/>
      <c r="I3158" s="37"/>
      <c r="J3158" s="37"/>
      <c r="K3158" s="37"/>
      <c r="L3158" s="37"/>
      <c r="M3158" s="37"/>
      <c r="N3158" s="37"/>
      <c r="O3158" s="37"/>
      <c r="P3158" s="37"/>
      <c r="Q3158" s="37"/>
      <c r="R3158" s="37"/>
      <c r="S3158" s="37"/>
      <c r="T3158" s="37"/>
      <c r="U3158" s="37"/>
      <c r="V3158" s="37"/>
      <c r="W3158" s="37"/>
      <c r="X3158" s="37"/>
      <c r="Y3158" s="37"/>
      <c r="Z3158" s="37"/>
      <c r="AA3158" s="37"/>
      <c r="AB3158" s="37"/>
      <c r="AC3158" s="37"/>
      <c r="AD3158" s="37"/>
      <c r="AE3158" s="37"/>
      <c r="AF3158" s="37"/>
      <c r="AG3158" s="37"/>
      <c r="AH3158" s="37"/>
      <c r="AI3158" s="37"/>
      <c r="AJ3158" s="37"/>
      <c r="AK3158" s="37"/>
      <c r="AL3158" s="37"/>
      <c r="AM3158" s="37"/>
      <c r="AN3158" s="37"/>
      <c r="AO3158" s="37"/>
      <c r="AP3158" s="37"/>
      <c r="AQ3158" s="37"/>
      <c r="AR3158" s="37"/>
      <c r="AS3158" s="37"/>
      <c r="AT3158" s="37"/>
      <c r="AU3158" s="37"/>
      <c r="AV3158" s="37"/>
      <c r="AW3158" s="37"/>
      <c r="AX3158" s="37"/>
      <c r="AY3158" s="37"/>
      <c r="AZ3158" s="37"/>
      <c r="BA3158" s="37"/>
      <c r="BB3158" s="37"/>
      <c r="BC3158" s="37"/>
      <c r="BD3158" s="37"/>
      <c r="BE3158" s="37"/>
      <c r="BF3158" s="37"/>
      <c r="BG3158" s="37"/>
      <c r="BH3158" s="37"/>
      <c r="BI3158" s="37"/>
      <c r="BJ3158" s="37"/>
      <c r="BK3158" s="37"/>
      <c r="BL3158" s="37"/>
      <c r="BM3158" s="37"/>
      <c r="BN3158" s="37"/>
      <c r="BO3158" s="37"/>
      <c r="BP3158" s="37"/>
      <c r="BQ3158" s="37"/>
      <c r="BR3158" s="37"/>
      <c r="BS3158" s="37"/>
      <c r="BT3158" s="37"/>
      <c r="BU3158" s="37"/>
      <c r="BV3158" s="37"/>
      <c r="BW3158" s="37"/>
      <c r="BX3158" s="37"/>
      <c r="BY3158" s="37"/>
      <c r="BZ3158" s="37"/>
      <c r="CA3158" s="37"/>
      <c r="CB3158" s="37"/>
      <c r="CC3158" s="37"/>
      <c r="CD3158" s="37"/>
      <c r="CE3158" s="37"/>
      <c r="CF3158" s="37"/>
      <c r="CG3158" s="37"/>
      <c r="CH3158" s="37"/>
      <c r="CI3158" s="37"/>
      <c r="CJ3158" s="37"/>
      <c r="CK3158" s="37"/>
      <c r="CL3158" s="37"/>
      <c r="CM3158" s="37"/>
      <c r="CN3158" s="37"/>
      <c r="CO3158" s="37"/>
      <c r="CP3158" s="37"/>
      <c r="CQ3158" s="37"/>
      <c r="CR3158" s="37"/>
      <c r="CS3158" s="37"/>
      <c r="CT3158" s="37"/>
      <c r="CU3158" s="37"/>
      <c r="CV3158" s="37"/>
      <c r="CW3158" s="37"/>
      <c r="CX3158" s="37"/>
      <c r="CY3158" s="37"/>
      <c r="CZ3158" s="37"/>
      <c r="DA3158" s="37"/>
      <c r="DB3158" s="37"/>
      <c r="DC3158" s="37"/>
      <c r="DD3158" s="37"/>
      <c r="DE3158" s="37"/>
      <c r="DF3158" s="37"/>
      <c r="DG3158" s="37"/>
      <c r="DH3158" s="37"/>
      <c r="DI3158" s="37"/>
      <c r="DJ3158" s="37"/>
      <c r="DK3158" s="37"/>
      <c r="DL3158" s="37"/>
      <c r="DM3158" s="37"/>
      <c r="DN3158" s="37"/>
      <c r="DO3158" s="37"/>
      <c r="DP3158" s="37"/>
      <c r="DQ3158" s="37"/>
      <c r="DR3158" s="37"/>
      <c r="DS3158" s="37"/>
      <c r="DT3158" s="37"/>
      <c r="DU3158" s="37"/>
      <c r="DV3158" s="37"/>
      <c r="DW3158" s="37"/>
      <c r="DX3158" s="37"/>
      <c r="DY3158" s="37"/>
      <c r="DZ3158" s="37"/>
      <c r="EA3158" s="37"/>
      <c r="EB3158" s="37"/>
      <c r="EC3158" s="37"/>
      <c r="ED3158" s="37"/>
      <c r="EE3158" s="37"/>
      <c r="EF3158" s="37"/>
      <c r="EG3158" s="37"/>
      <c r="EH3158" s="37"/>
      <c r="EI3158" s="37"/>
      <c r="EJ3158" s="37"/>
      <c r="EK3158" s="37"/>
      <c r="EL3158" s="37"/>
      <c r="EM3158" s="37"/>
      <c r="EN3158" s="37"/>
      <c r="EO3158" s="37"/>
      <c r="EP3158" s="37"/>
      <c r="EQ3158" s="37"/>
      <c r="ER3158" s="37"/>
      <c r="ES3158" s="37"/>
      <c r="ET3158" s="37"/>
      <c r="EU3158" s="37"/>
      <c r="EV3158" s="37"/>
      <c r="EW3158" s="37"/>
      <c r="EX3158" s="37"/>
      <c r="EY3158" s="37"/>
      <c r="EZ3158" s="37"/>
      <c r="FA3158" s="37"/>
      <c r="FB3158" s="37"/>
      <c r="FC3158" s="37"/>
      <c r="FD3158" s="37"/>
      <c r="FE3158" s="37"/>
      <c r="FF3158" s="37"/>
      <c r="FG3158" s="37"/>
      <c r="FH3158" s="37"/>
      <c r="FI3158" s="37"/>
      <c r="FJ3158" s="37"/>
      <c r="FK3158" s="37"/>
      <c r="FL3158" s="37"/>
      <c r="FM3158" s="37"/>
      <c r="FN3158" s="37"/>
      <c r="FO3158" s="37"/>
      <c r="FP3158" s="37"/>
      <c r="FQ3158" s="37"/>
      <c r="FR3158" s="37"/>
      <c r="FS3158" s="37"/>
      <c r="FT3158" s="37"/>
      <c r="FU3158" s="37"/>
      <c r="FV3158" s="37"/>
      <c r="FW3158" s="37"/>
      <c r="FX3158" s="37"/>
      <c r="FY3158" s="37"/>
      <c r="FZ3158" s="37"/>
      <c r="GA3158" s="37"/>
      <c r="GB3158" s="37"/>
      <c r="GC3158" s="37"/>
      <c r="GD3158" s="37"/>
      <c r="GE3158" s="37"/>
      <c r="GF3158" s="37"/>
      <c r="GG3158" s="37"/>
      <c r="GH3158" s="37"/>
      <c r="GI3158" s="37"/>
      <c r="GJ3158" s="37"/>
      <c r="GK3158" s="37"/>
      <c r="GL3158" s="37"/>
      <c r="GM3158" s="37"/>
      <c r="GN3158" s="37"/>
      <c r="GO3158" s="37"/>
      <c r="GP3158" s="37"/>
      <c r="GQ3158" s="37"/>
      <c r="GR3158" s="37"/>
      <c r="GS3158" s="37"/>
      <c r="GT3158" s="37"/>
      <c r="GU3158" s="37"/>
      <c r="GV3158" s="37"/>
      <c r="GW3158" s="37"/>
      <c r="GX3158" s="37"/>
      <c r="GY3158" s="37"/>
      <c r="GZ3158" s="37"/>
      <c r="HA3158" s="37"/>
      <c r="HB3158" s="37"/>
      <c r="HC3158" s="37"/>
      <c r="HD3158" s="37"/>
      <c r="HE3158" s="37"/>
      <c r="HF3158" s="37"/>
      <c r="HG3158" s="37"/>
      <c r="HH3158" s="37"/>
      <c r="HI3158" s="37"/>
      <c r="HJ3158" s="37"/>
      <c r="HK3158" s="37"/>
      <c r="HL3158" s="37"/>
      <c r="HM3158" s="37"/>
      <c r="HN3158" s="37"/>
      <c r="HO3158" s="37"/>
      <c r="HP3158" s="37"/>
      <c r="HQ3158" s="37"/>
      <c r="HR3158" s="37"/>
      <c r="HS3158" s="37"/>
      <c r="HT3158" s="37"/>
      <c r="HU3158" s="37"/>
      <c r="HV3158" s="37"/>
      <c r="HW3158" s="37"/>
      <c r="HX3158" s="37"/>
      <c r="HY3158" s="37"/>
      <c r="HZ3158" s="37"/>
      <c r="IA3158" s="37"/>
      <c r="IB3158" s="37"/>
      <c r="IC3158" s="37"/>
      <c r="ID3158" s="37"/>
      <c r="IE3158" s="37"/>
      <c r="IF3158" s="37"/>
      <c r="IG3158" s="37"/>
      <c r="IH3158" s="37"/>
      <c r="II3158" s="37"/>
      <c r="IJ3158" s="37"/>
      <c r="IK3158" s="37"/>
      <c r="IL3158" s="37"/>
      <c r="IM3158" s="37"/>
      <c r="IN3158" s="37"/>
      <c r="IO3158" s="37"/>
      <c r="IP3158" s="37"/>
      <c r="IQ3158" s="37"/>
      <c r="IR3158" s="37"/>
      <c r="IS3158" s="37"/>
      <c r="IT3158" s="37"/>
      <c r="IU3158" s="37"/>
      <c r="IV3158" s="37"/>
      <c r="IW3158" s="37"/>
      <c r="IX3158" s="37"/>
      <c r="IY3158" s="37"/>
      <c r="IZ3158" s="37"/>
      <c r="JA3158" s="37"/>
      <c r="JB3158" s="37"/>
      <c r="JC3158" s="37"/>
      <c r="JD3158" s="37"/>
      <c r="JE3158" s="37"/>
      <c r="JF3158" s="37"/>
      <c r="JG3158" s="37"/>
      <c r="JH3158" s="37"/>
      <c r="JI3158" s="37"/>
      <c r="JJ3158" s="37"/>
      <c r="JK3158" s="37"/>
      <c r="JL3158" s="37"/>
      <c r="JM3158" s="37"/>
      <c r="JN3158" s="37"/>
      <c r="JO3158" s="37"/>
      <c r="JP3158" s="37"/>
      <c r="JQ3158" s="37"/>
      <c r="JR3158" s="37"/>
      <c r="JS3158" s="37"/>
      <c r="JT3158" s="37"/>
      <c r="JU3158" s="37"/>
      <c r="JV3158" s="37"/>
      <c r="JW3158" s="37"/>
      <c r="JX3158" s="37"/>
      <c r="JY3158" s="37"/>
      <c r="JZ3158" s="37"/>
      <c r="KA3158" s="37"/>
      <c r="KB3158" s="37"/>
      <c r="KC3158" s="37"/>
      <c r="KD3158" s="37"/>
      <c r="KE3158" s="37"/>
      <c r="KF3158" s="37"/>
      <c r="KG3158" s="37"/>
      <c r="KH3158" s="37"/>
      <c r="KI3158" s="37"/>
      <c r="KJ3158" s="37"/>
      <c r="KK3158" s="37"/>
      <c r="KL3158" s="37"/>
      <c r="KM3158" s="37"/>
      <c r="KN3158" s="37"/>
      <c r="KO3158" s="37"/>
      <c r="KP3158" s="37"/>
      <c r="KQ3158" s="37"/>
      <c r="KR3158" s="37"/>
      <c r="KS3158" s="37"/>
      <c r="KT3158" s="37"/>
      <c r="KU3158" s="37"/>
      <c r="KV3158" s="37"/>
      <c r="KW3158" s="37"/>
      <c r="KX3158" s="37"/>
      <c r="KY3158" s="37"/>
      <c r="KZ3158" s="37"/>
      <c r="LA3158" s="37"/>
      <c r="LB3158" s="37"/>
      <c r="LC3158" s="37"/>
      <c r="LD3158" s="37"/>
      <c r="LE3158" s="37"/>
      <c r="LF3158" s="37"/>
      <c r="LG3158" s="37"/>
      <c r="LH3158" s="37"/>
      <c r="LI3158" s="37"/>
      <c r="LJ3158" s="37"/>
      <c r="LK3158" s="37"/>
      <c r="LL3158" s="37"/>
      <c r="LM3158" s="37"/>
      <c r="LN3158" s="37"/>
      <c r="LO3158" s="37"/>
      <c r="LP3158" s="37"/>
      <c r="LQ3158" s="37"/>
      <c r="LR3158" s="37"/>
      <c r="LS3158" s="37"/>
      <c r="LT3158" s="37"/>
      <c r="LU3158" s="37"/>
      <c r="LV3158" s="37"/>
      <c r="LW3158" s="37"/>
      <c r="LX3158" s="37"/>
      <c r="LY3158" s="37"/>
      <c r="LZ3158" s="37"/>
      <c r="MA3158" s="37"/>
      <c r="MB3158" s="37"/>
      <c r="MC3158" s="37"/>
      <c r="MD3158" s="37"/>
      <c r="ME3158" s="37"/>
      <c r="MF3158" s="37"/>
      <c r="MG3158" s="37"/>
      <c r="MH3158" s="37"/>
      <c r="MI3158" s="37"/>
      <c r="MJ3158" s="37"/>
      <c r="MK3158" s="37"/>
      <c r="ML3158" s="37"/>
      <c r="MM3158" s="37"/>
      <c r="MN3158" s="37"/>
      <c r="MO3158" s="37"/>
      <c r="MP3158" s="37"/>
      <c r="MQ3158" s="37"/>
      <c r="MR3158" s="37"/>
      <c r="MS3158" s="37"/>
      <c r="MT3158" s="37"/>
      <c r="MU3158" s="37"/>
      <c r="MV3158" s="37"/>
      <c r="MW3158" s="37"/>
      <c r="MX3158" s="37"/>
      <c r="MY3158" s="37"/>
      <c r="MZ3158" s="37"/>
      <c r="NA3158" s="37"/>
      <c r="NB3158" s="37"/>
      <c r="NC3158" s="37"/>
      <c r="ND3158" s="37"/>
      <c r="NE3158" s="37"/>
      <c r="NF3158" s="37"/>
      <c r="NG3158" s="37"/>
      <c r="NH3158" s="37"/>
      <c r="NI3158" s="37"/>
      <c r="NJ3158" s="37"/>
      <c r="NK3158" s="37"/>
      <c r="NL3158" s="37"/>
      <c r="NM3158" s="37"/>
      <c r="NN3158" s="37"/>
      <c r="NO3158" s="37"/>
      <c r="NP3158" s="37"/>
      <c r="NQ3158" s="37"/>
      <c r="NR3158" s="37"/>
      <c r="NS3158" s="37"/>
      <c r="NT3158" s="37"/>
      <c r="NU3158" s="37"/>
      <c r="NV3158" s="37"/>
      <c r="NW3158" s="37"/>
      <c r="NX3158" s="37"/>
      <c r="NY3158" s="37"/>
      <c r="NZ3158" s="37"/>
      <c r="OA3158" s="37"/>
      <c r="OB3158" s="37"/>
      <c r="OC3158" s="37"/>
      <c r="OD3158" s="37"/>
      <c r="OE3158" s="37"/>
      <c r="OF3158" s="37"/>
      <c r="OG3158" s="37"/>
      <c r="OH3158" s="37"/>
      <c r="OI3158" s="37"/>
      <c r="OJ3158" s="37"/>
      <c r="OK3158" s="37"/>
      <c r="OL3158" s="37"/>
      <c r="OM3158" s="37"/>
      <c r="ON3158" s="37"/>
      <c r="OO3158" s="37"/>
      <c r="OP3158" s="37"/>
      <c r="OQ3158" s="37"/>
      <c r="OR3158" s="37"/>
      <c r="OS3158" s="37"/>
      <c r="OT3158" s="37"/>
      <c r="OU3158" s="37"/>
      <c r="OV3158" s="37"/>
      <c r="OW3158" s="37"/>
      <c r="OX3158" s="37"/>
      <c r="OY3158" s="37"/>
      <c r="OZ3158" s="37"/>
      <c r="PA3158" s="37"/>
      <c r="PB3158" s="37"/>
      <c r="PC3158" s="37"/>
      <c r="PD3158" s="37"/>
      <c r="PE3158" s="37"/>
      <c r="PF3158" s="37"/>
      <c r="PG3158" s="37"/>
      <c r="PH3158" s="37"/>
      <c r="PI3158" s="37"/>
      <c r="PJ3158" s="37"/>
      <c r="PK3158" s="37"/>
      <c r="PL3158" s="37"/>
      <c r="PM3158" s="37"/>
      <c r="PN3158" s="37"/>
      <c r="PO3158" s="37"/>
      <c r="PP3158" s="37"/>
      <c r="PQ3158" s="37"/>
      <c r="PR3158" s="37"/>
      <c r="PS3158" s="37"/>
      <c r="PT3158" s="37"/>
      <c r="PU3158" s="37"/>
      <c r="PV3158" s="37"/>
      <c r="PW3158" s="37"/>
      <c r="PX3158" s="37"/>
      <c r="PY3158" s="37"/>
      <c r="PZ3158" s="37"/>
      <c r="QA3158" s="37"/>
      <c r="QB3158" s="37"/>
      <c r="QC3158" s="37"/>
      <c r="QD3158" s="37"/>
      <c r="QE3158" s="37"/>
      <c r="QF3158" s="37"/>
      <c r="QG3158" s="37"/>
      <c r="QH3158" s="37"/>
      <c r="QI3158" s="37"/>
      <c r="QJ3158" s="37"/>
      <c r="QK3158" s="37"/>
      <c r="QL3158" s="37"/>
      <c r="QM3158" s="37"/>
      <c r="QN3158" s="37"/>
      <c r="QO3158" s="37"/>
      <c r="QP3158" s="37"/>
      <c r="QQ3158" s="37"/>
      <c r="QR3158" s="37"/>
      <c r="QS3158" s="37"/>
      <c r="QT3158" s="37"/>
      <c r="QU3158" s="37"/>
      <c r="QV3158" s="37"/>
      <c r="QW3158" s="37"/>
      <c r="QX3158" s="37"/>
      <c r="QY3158" s="37"/>
      <c r="QZ3158" s="37"/>
      <c r="RA3158" s="37"/>
      <c r="RB3158" s="37"/>
      <c r="RC3158" s="37"/>
      <c r="RD3158" s="37"/>
      <c r="RE3158" s="37"/>
      <c r="RF3158" s="37"/>
      <c r="RG3158" s="37"/>
      <c r="RH3158" s="37"/>
      <c r="RI3158" s="37"/>
      <c r="RJ3158" s="37"/>
      <c r="RK3158" s="37"/>
      <c r="RL3158" s="37"/>
      <c r="RM3158" s="37"/>
      <c r="RN3158" s="37"/>
      <c r="RO3158" s="37"/>
      <c r="RP3158" s="37"/>
      <c r="RQ3158" s="37"/>
      <c r="RR3158" s="37"/>
      <c r="RS3158" s="37"/>
      <c r="RT3158" s="37"/>
      <c r="RU3158" s="37"/>
      <c r="RV3158" s="37"/>
      <c r="RW3158" s="37"/>
      <c r="RX3158" s="37"/>
      <c r="RY3158" s="37"/>
      <c r="RZ3158" s="37"/>
      <c r="SA3158" s="37"/>
      <c r="SB3158" s="37"/>
      <c r="SC3158" s="37"/>
      <c r="SD3158" s="37"/>
      <c r="SE3158" s="37"/>
      <c r="SF3158" s="37"/>
    </row>
    <row r="3159" spans="1:500">
      <c r="A3159" s="37"/>
      <c r="B3159" s="37"/>
      <c r="C3159" s="37"/>
      <c r="D3159" s="37"/>
      <c r="E3159" s="37"/>
      <c r="F3159" s="37"/>
      <c r="G3159" s="37"/>
      <c r="H3159" s="37"/>
      <c r="I3159" s="37"/>
      <c r="J3159" s="37"/>
      <c r="K3159" s="37"/>
      <c r="L3159" s="37"/>
      <c r="M3159" s="37"/>
      <c r="N3159" s="37"/>
      <c r="O3159" s="37"/>
      <c r="P3159" s="37"/>
      <c r="Q3159" s="37"/>
      <c r="R3159" s="37"/>
      <c r="S3159" s="37"/>
      <c r="T3159" s="37"/>
      <c r="U3159" s="37"/>
      <c r="V3159" s="37"/>
      <c r="W3159" s="37"/>
      <c r="X3159" s="37"/>
      <c r="Y3159" s="37"/>
      <c r="Z3159" s="37"/>
      <c r="AA3159" s="37"/>
      <c r="AB3159" s="37"/>
      <c r="AC3159" s="37"/>
      <c r="AD3159" s="37"/>
      <c r="AE3159" s="37"/>
      <c r="AF3159" s="37"/>
      <c r="AG3159" s="37"/>
      <c r="AH3159" s="37"/>
      <c r="AI3159" s="37"/>
      <c r="AJ3159" s="37"/>
      <c r="AK3159" s="37"/>
      <c r="AL3159" s="37"/>
      <c r="AM3159" s="37"/>
      <c r="AN3159" s="37"/>
      <c r="AO3159" s="37"/>
      <c r="AP3159" s="37"/>
      <c r="AQ3159" s="37"/>
      <c r="AR3159" s="37"/>
      <c r="AS3159" s="37"/>
      <c r="AT3159" s="37"/>
      <c r="AU3159" s="37"/>
      <c r="AV3159" s="37"/>
      <c r="AW3159" s="37"/>
      <c r="AX3159" s="37"/>
      <c r="AY3159" s="37"/>
      <c r="AZ3159" s="37"/>
      <c r="BA3159" s="37"/>
      <c r="BB3159" s="37"/>
      <c r="BC3159" s="37"/>
      <c r="BD3159" s="37"/>
      <c r="BE3159" s="37"/>
      <c r="BF3159" s="37"/>
      <c r="BG3159" s="37"/>
      <c r="BH3159" s="37"/>
      <c r="BI3159" s="37"/>
      <c r="BJ3159" s="37"/>
      <c r="BK3159" s="37"/>
      <c r="BL3159" s="37"/>
      <c r="BM3159" s="37"/>
      <c r="BN3159" s="37"/>
      <c r="BO3159" s="37"/>
      <c r="BP3159" s="37"/>
      <c r="BQ3159" s="37"/>
      <c r="BR3159" s="37"/>
      <c r="BS3159" s="37"/>
      <c r="BT3159" s="37"/>
      <c r="BU3159" s="37"/>
      <c r="BV3159" s="37"/>
      <c r="BW3159" s="37"/>
      <c r="BX3159" s="37"/>
      <c r="BY3159" s="37"/>
      <c r="BZ3159" s="37"/>
      <c r="CA3159" s="37"/>
      <c r="CB3159" s="37"/>
      <c r="CC3159" s="37"/>
      <c r="CD3159" s="37"/>
      <c r="CE3159" s="37"/>
      <c r="CF3159" s="37"/>
      <c r="CG3159" s="37"/>
      <c r="CH3159" s="37"/>
      <c r="CI3159" s="37"/>
      <c r="CJ3159" s="37"/>
      <c r="CK3159" s="37"/>
      <c r="CL3159" s="37"/>
      <c r="CM3159" s="37"/>
      <c r="CN3159" s="37"/>
      <c r="CO3159" s="37"/>
      <c r="CP3159" s="37"/>
      <c r="CQ3159" s="37"/>
      <c r="CR3159" s="37"/>
      <c r="CS3159" s="37"/>
      <c r="CT3159" s="37"/>
      <c r="CU3159" s="37"/>
      <c r="CV3159" s="37"/>
      <c r="CW3159" s="37"/>
      <c r="CX3159" s="37"/>
      <c r="CY3159" s="37"/>
      <c r="CZ3159" s="37"/>
      <c r="DA3159" s="37"/>
      <c r="DB3159" s="37"/>
      <c r="DC3159" s="37"/>
      <c r="DD3159" s="37"/>
      <c r="DE3159" s="37"/>
      <c r="DF3159" s="37"/>
      <c r="DG3159" s="37"/>
      <c r="DH3159" s="37"/>
      <c r="DI3159" s="37"/>
      <c r="DJ3159" s="37"/>
      <c r="DK3159" s="37"/>
      <c r="DL3159" s="37"/>
      <c r="DM3159" s="37"/>
      <c r="DN3159" s="37"/>
      <c r="DO3159" s="37"/>
      <c r="DP3159" s="37"/>
      <c r="DQ3159" s="37"/>
      <c r="DR3159" s="37"/>
      <c r="DS3159" s="37"/>
      <c r="DT3159" s="37"/>
      <c r="DU3159" s="37"/>
      <c r="DV3159" s="37"/>
      <c r="DW3159" s="37"/>
      <c r="DX3159" s="37"/>
      <c r="DY3159" s="37"/>
      <c r="DZ3159" s="37"/>
      <c r="EA3159" s="37"/>
      <c r="EB3159" s="37"/>
      <c r="EC3159" s="37"/>
      <c r="ED3159" s="37"/>
      <c r="EE3159" s="37"/>
      <c r="EF3159" s="37"/>
      <c r="EG3159" s="37"/>
      <c r="EH3159" s="37"/>
      <c r="EI3159" s="37"/>
      <c r="EJ3159" s="37"/>
      <c r="EK3159" s="37"/>
      <c r="EL3159" s="37"/>
      <c r="EM3159" s="37"/>
      <c r="EN3159" s="37"/>
      <c r="EO3159" s="37"/>
      <c r="EP3159" s="37"/>
      <c r="EQ3159" s="37"/>
      <c r="ER3159" s="37"/>
      <c r="ES3159" s="37"/>
      <c r="ET3159" s="37"/>
      <c r="EU3159" s="37"/>
      <c r="EV3159" s="37"/>
      <c r="EW3159" s="37"/>
      <c r="EX3159" s="37"/>
      <c r="EY3159" s="37"/>
      <c r="EZ3159" s="37"/>
      <c r="FA3159" s="37"/>
      <c r="FB3159" s="37"/>
      <c r="FC3159" s="37"/>
      <c r="FD3159" s="37"/>
      <c r="FE3159" s="37"/>
      <c r="FF3159" s="37"/>
      <c r="FG3159" s="37"/>
      <c r="FH3159" s="37"/>
      <c r="FI3159" s="37"/>
      <c r="FJ3159" s="37"/>
      <c r="FK3159" s="37"/>
      <c r="FL3159" s="37"/>
      <c r="FM3159" s="37"/>
      <c r="FN3159" s="37"/>
      <c r="FO3159" s="37"/>
      <c r="FP3159" s="37"/>
      <c r="FQ3159" s="37"/>
      <c r="FR3159" s="37"/>
      <c r="FS3159" s="37"/>
      <c r="FT3159" s="37"/>
      <c r="FU3159" s="37"/>
      <c r="FV3159" s="37"/>
      <c r="FW3159" s="37"/>
      <c r="FX3159" s="37"/>
      <c r="FY3159" s="37"/>
      <c r="FZ3159" s="37"/>
      <c r="GA3159" s="37"/>
      <c r="GB3159" s="37"/>
      <c r="GC3159" s="37"/>
      <c r="GD3159" s="37"/>
      <c r="GE3159" s="37"/>
      <c r="GF3159" s="37"/>
      <c r="GG3159" s="37"/>
      <c r="GH3159" s="37"/>
      <c r="GI3159" s="37"/>
      <c r="GJ3159" s="37"/>
      <c r="GK3159" s="37"/>
      <c r="GL3159" s="37"/>
      <c r="GM3159" s="37"/>
      <c r="GN3159" s="37"/>
      <c r="GO3159" s="37"/>
      <c r="GP3159" s="37"/>
      <c r="GQ3159" s="37"/>
      <c r="GR3159" s="37"/>
      <c r="GS3159" s="37"/>
      <c r="GT3159" s="37"/>
      <c r="GU3159" s="37"/>
      <c r="GV3159" s="37"/>
      <c r="GW3159" s="37"/>
      <c r="GX3159" s="37"/>
      <c r="GY3159" s="37"/>
      <c r="GZ3159" s="37"/>
      <c r="HA3159" s="37"/>
      <c r="HB3159" s="37"/>
      <c r="HC3159" s="37"/>
      <c r="HD3159" s="37"/>
      <c r="HE3159" s="37"/>
      <c r="HF3159" s="37"/>
      <c r="HG3159" s="37"/>
      <c r="HH3159" s="37"/>
      <c r="HI3159" s="37"/>
      <c r="HJ3159" s="37"/>
      <c r="HK3159" s="37"/>
      <c r="HL3159" s="37"/>
      <c r="HM3159" s="37"/>
      <c r="HN3159" s="37"/>
      <c r="HO3159" s="37"/>
      <c r="HP3159" s="37"/>
      <c r="HQ3159" s="37"/>
      <c r="HR3159" s="37"/>
      <c r="HS3159" s="37"/>
      <c r="HT3159" s="37"/>
      <c r="HU3159" s="37"/>
      <c r="HV3159" s="37"/>
      <c r="HW3159" s="37"/>
      <c r="HX3159" s="37"/>
      <c r="HY3159" s="37"/>
      <c r="HZ3159" s="37"/>
      <c r="IA3159" s="37"/>
      <c r="IB3159" s="37"/>
      <c r="IC3159" s="37"/>
      <c r="ID3159" s="37"/>
      <c r="IE3159" s="37"/>
      <c r="IF3159" s="37"/>
      <c r="IG3159" s="37"/>
      <c r="IH3159" s="37"/>
      <c r="II3159" s="37"/>
      <c r="IJ3159" s="37"/>
      <c r="IK3159" s="37"/>
      <c r="IL3159" s="37"/>
      <c r="IM3159" s="37"/>
      <c r="IN3159" s="37"/>
      <c r="IO3159" s="37"/>
      <c r="IP3159" s="37"/>
      <c r="IQ3159" s="37"/>
      <c r="IR3159" s="37"/>
      <c r="IS3159" s="37"/>
      <c r="IT3159" s="37"/>
      <c r="IU3159" s="37"/>
      <c r="IV3159" s="37"/>
      <c r="IW3159" s="37"/>
      <c r="IX3159" s="37"/>
      <c r="IY3159" s="37"/>
      <c r="IZ3159" s="37"/>
      <c r="JA3159" s="37"/>
      <c r="JB3159" s="37"/>
      <c r="JC3159" s="37"/>
      <c r="JD3159" s="37"/>
      <c r="JE3159" s="37"/>
      <c r="JF3159" s="37"/>
      <c r="JG3159" s="37"/>
      <c r="JH3159" s="37"/>
      <c r="JI3159" s="37"/>
      <c r="JJ3159" s="37"/>
      <c r="JK3159" s="37"/>
      <c r="JL3159" s="37"/>
      <c r="JM3159" s="37"/>
      <c r="JN3159" s="37"/>
      <c r="JO3159" s="37"/>
      <c r="JP3159" s="37"/>
      <c r="JQ3159" s="37"/>
      <c r="JR3159" s="37"/>
      <c r="JS3159" s="37"/>
      <c r="JT3159" s="37"/>
      <c r="JU3159" s="37"/>
      <c r="JV3159" s="37"/>
      <c r="JW3159" s="37"/>
      <c r="JX3159" s="37"/>
      <c r="JY3159" s="37"/>
      <c r="JZ3159" s="37"/>
      <c r="KA3159" s="37"/>
      <c r="KB3159" s="37"/>
      <c r="KC3159" s="37"/>
      <c r="KD3159" s="37"/>
      <c r="KE3159" s="37"/>
      <c r="KF3159" s="37"/>
      <c r="KG3159" s="37"/>
      <c r="KH3159" s="37"/>
      <c r="KI3159" s="37"/>
      <c r="KJ3159" s="37"/>
      <c r="KK3159" s="37"/>
      <c r="KL3159" s="37"/>
      <c r="KM3159" s="37"/>
      <c r="KN3159" s="37"/>
      <c r="KO3159" s="37"/>
      <c r="KP3159" s="37"/>
      <c r="KQ3159" s="37"/>
      <c r="KR3159" s="37"/>
      <c r="KS3159" s="37"/>
      <c r="KT3159" s="37"/>
      <c r="KU3159" s="37"/>
      <c r="KV3159" s="37"/>
      <c r="KW3159" s="37"/>
      <c r="KX3159" s="37"/>
      <c r="KY3159" s="37"/>
      <c r="KZ3159" s="37"/>
      <c r="LA3159" s="37"/>
      <c r="LB3159" s="37"/>
      <c r="LC3159" s="37"/>
      <c r="LD3159" s="37"/>
      <c r="LE3159" s="37"/>
      <c r="LF3159" s="37"/>
      <c r="LG3159" s="37"/>
      <c r="LH3159" s="37"/>
      <c r="LI3159" s="37"/>
      <c r="LJ3159" s="37"/>
      <c r="LK3159" s="37"/>
      <c r="LL3159" s="37"/>
      <c r="LM3159" s="37"/>
      <c r="LN3159" s="37"/>
      <c r="LO3159" s="37"/>
      <c r="LP3159" s="37"/>
      <c r="LQ3159" s="37"/>
      <c r="LR3159" s="37"/>
      <c r="LS3159" s="37"/>
      <c r="LT3159" s="37"/>
      <c r="LU3159" s="37"/>
      <c r="LV3159" s="37"/>
      <c r="LW3159" s="37"/>
      <c r="LX3159" s="37"/>
      <c r="LY3159" s="37"/>
      <c r="LZ3159" s="37"/>
      <c r="MA3159" s="37"/>
      <c r="MB3159" s="37"/>
      <c r="MC3159" s="37"/>
      <c r="MD3159" s="37"/>
      <c r="ME3159" s="37"/>
      <c r="MF3159" s="37"/>
      <c r="MG3159" s="37"/>
      <c r="MH3159" s="37"/>
      <c r="MI3159" s="37"/>
      <c r="MJ3159" s="37"/>
      <c r="MK3159" s="37"/>
      <c r="ML3159" s="37"/>
      <c r="MM3159" s="37"/>
      <c r="MN3159" s="37"/>
      <c r="MO3159" s="37"/>
      <c r="MP3159" s="37"/>
      <c r="MQ3159" s="37"/>
      <c r="MR3159" s="37"/>
      <c r="MS3159" s="37"/>
      <c r="MT3159" s="37"/>
      <c r="MU3159" s="37"/>
      <c r="MV3159" s="37"/>
      <c r="MW3159" s="37"/>
      <c r="MX3159" s="37"/>
      <c r="MY3159" s="37"/>
      <c r="MZ3159" s="37"/>
      <c r="NA3159" s="37"/>
      <c r="NB3159" s="37"/>
      <c r="NC3159" s="37"/>
      <c r="ND3159" s="37"/>
      <c r="NE3159" s="37"/>
      <c r="NF3159" s="37"/>
      <c r="NG3159" s="37"/>
      <c r="NH3159" s="37"/>
      <c r="NI3159" s="37"/>
      <c r="NJ3159" s="37"/>
      <c r="NK3159" s="37"/>
      <c r="NL3159" s="37"/>
      <c r="NM3159" s="37"/>
      <c r="NN3159" s="37"/>
      <c r="NO3159" s="37"/>
      <c r="NP3159" s="37"/>
      <c r="NQ3159" s="37"/>
      <c r="NR3159" s="37"/>
      <c r="NS3159" s="37"/>
      <c r="NT3159" s="37"/>
      <c r="NU3159" s="37"/>
      <c r="NV3159" s="37"/>
      <c r="NW3159" s="37"/>
      <c r="NX3159" s="37"/>
      <c r="NY3159" s="37"/>
      <c r="NZ3159" s="37"/>
      <c r="OA3159" s="37"/>
      <c r="OB3159" s="37"/>
      <c r="OC3159" s="37"/>
      <c r="OD3159" s="37"/>
      <c r="OE3159" s="37"/>
      <c r="OF3159" s="37"/>
      <c r="OG3159" s="37"/>
      <c r="OH3159" s="37"/>
      <c r="OI3159" s="37"/>
      <c r="OJ3159" s="37"/>
      <c r="OK3159" s="37"/>
      <c r="OL3159" s="37"/>
      <c r="OM3159" s="37"/>
      <c r="ON3159" s="37"/>
      <c r="OO3159" s="37"/>
      <c r="OP3159" s="37"/>
      <c r="OQ3159" s="37"/>
      <c r="OR3159" s="37"/>
      <c r="OS3159" s="37"/>
      <c r="OT3159" s="37"/>
      <c r="OU3159" s="37"/>
      <c r="OV3159" s="37"/>
      <c r="OW3159" s="37"/>
      <c r="OX3159" s="37"/>
      <c r="OY3159" s="37"/>
      <c r="OZ3159" s="37"/>
      <c r="PA3159" s="37"/>
      <c r="PB3159" s="37"/>
      <c r="PC3159" s="37"/>
      <c r="PD3159" s="37"/>
      <c r="PE3159" s="37"/>
      <c r="PF3159" s="37"/>
      <c r="PG3159" s="37"/>
      <c r="PH3159" s="37"/>
      <c r="PI3159" s="37"/>
      <c r="PJ3159" s="37"/>
      <c r="PK3159" s="37"/>
      <c r="PL3159" s="37"/>
      <c r="PM3159" s="37"/>
      <c r="PN3159" s="37"/>
      <c r="PO3159" s="37"/>
      <c r="PP3159" s="37"/>
      <c r="PQ3159" s="37"/>
      <c r="PR3159" s="37"/>
      <c r="PS3159" s="37"/>
      <c r="PT3159" s="37"/>
      <c r="PU3159" s="37"/>
      <c r="PV3159" s="37"/>
      <c r="PW3159" s="37"/>
      <c r="PX3159" s="37"/>
      <c r="PY3159" s="37"/>
      <c r="PZ3159" s="37"/>
      <c r="QA3159" s="37"/>
      <c r="QB3159" s="37"/>
      <c r="QC3159" s="37"/>
      <c r="QD3159" s="37"/>
      <c r="QE3159" s="37"/>
      <c r="QF3159" s="37"/>
      <c r="QG3159" s="37"/>
      <c r="QH3159" s="37"/>
      <c r="QI3159" s="37"/>
      <c r="QJ3159" s="37"/>
      <c r="QK3159" s="37"/>
      <c r="QL3159" s="37"/>
      <c r="QM3159" s="37"/>
      <c r="QN3159" s="37"/>
      <c r="QO3159" s="37"/>
      <c r="QP3159" s="37"/>
      <c r="QQ3159" s="37"/>
      <c r="QR3159" s="37"/>
      <c r="QS3159" s="37"/>
      <c r="QT3159" s="37"/>
      <c r="QU3159" s="37"/>
      <c r="QV3159" s="37"/>
      <c r="QW3159" s="37"/>
      <c r="QX3159" s="37"/>
      <c r="QY3159" s="37"/>
      <c r="QZ3159" s="37"/>
      <c r="RA3159" s="37"/>
      <c r="RB3159" s="37"/>
      <c r="RC3159" s="37"/>
      <c r="RD3159" s="37"/>
      <c r="RE3159" s="37"/>
      <c r="RF3159" s="37"/>
      <c r="RG3159" s="37"/>
      <c r="RH3159" s="37"/>
      <c r="RI3159" s="37"/>
      <c r="RJ3159" s="37"/>
      <c r="RK3159" s="37"/>
      <c r="RL3159" s="37"/>
      <c r="RM3159" s="37"/>
      <c r="RN3159" s="37"/>
      <c r="RO3159" s="37"/>
      <c r="RP3159" s="37"/>
      <c r="RQ3159" s="37"/>
      <c r="RR3159" s="37"/>
      <c r="RS3159" s="37"/>
      <c r="RT3159" s="37"/>
      <c r="RU3159" s="37"/>
      <c r="RV3159" s="37"/>
      <c r="RW3159" s="37"/>
      <c r="RX3159" s="37"/>
      <c r="RY3159" s="37"/>
      <c r="RZ3159" s="37"/>
      <c r="SA3159" s="37"/>
      <c r="SB3159" s="37"/>
      <c r="SC3159" s="37"/>
      <c r="SD3159" s="37"/>
      <c r="SE3159" s="37"/>
      <c r="SF3159" s="37"/>
    </row>
    <row r="3160" spans="1:500">
      <c r="A3160" s="37"/>
      <c r="B3160" s="37"/>
      <c r="C3160" s="37"/>
      <c r="D3160" s="37"/>
      <c r="E3160" s="37"/>
      <c r="F3160" s="37"/>
      <c r="G3160" s="37"/>
      <c r="H3160" s="37"/>
      <c r="I3160" s="37"/>
      <c r="J3160" s="37"/>
      <c r="K3160" s="37"/>
      <c r="L3160" s="37"/>
      <c r="M3160" s="37"/>
      <c r="N3160" s="37"/>
      <c r="O3160" s="37"/>
      <c r="P3160" s="37"/>
      <c r="Q3160" s="37"/>
      <c r="R3160" s="37"/>
      <c r="S3160" s="37"/>
      <c r="T3160" s="37"/>
      <c r="U3160" s="37"/>
      <c r="V3160" s="37"/>
      <c r="W3160" s="37"/>
      <c r="X3160" s="37"/>
      <c r="Y3160" s="37"/>
      <c r="Z3160" s="37"/>
      <c r="AA3160" s="37"/>
      <c r="AB3160" s="37"/>
      <c r="AC3160" s="37"/>
      <c r="AD3160" s="37"/>
      <c r="AE3160" s="37"/>
      <c r="AF3160" s="37"/>
      <c r="AG3160" s="37"/>
      <c r="AH3160" s="37"/>
      <c r="AI3160" s="37"/>
      <c r="AJ3160" s="37"/>
      <c r="AK3160" s="37"/>
      <c r="AL3160" s="37"/>
      <c r="AM3160" s="37"/>
      <c r="AN3160" s="37"/>
      <c r="AO3160" s="37"/>
      <c r="AP3160" s="37"/>
      <c r="AQ3160" s="37"/>
      <c r="AR3160" s="37"/>
      <c r="AS3160" s="37"/>
      <c r="AT3160" s="37"/>
      <c r="AU3160" s="37"/>
      <c r="AV3160" s="37"/>
      <c r="AW3160" s="37"/>
      <c r="AX3160" s="37"/>
      <c r="AY3160" s="37"/>
      <c r="AZ3160" s="37"/>
      <c r="BA3160" s="37"/>
      <c r="BB3160" s="37"/>
      <c r="BC3160" s="37"/>
      <c r="BD3160" s="37"/>
      <c r="BE3160" s="37"/>
      <c r="BF3160" s="37"/>
      <c r="BG3160" s="37"/>
      <c r="BH3160" s="37"/>
      <c r="BI3160" s="37"/>
      <c r="BJ3160" s="37"/>
      <c r="BK3160" s="37"/>
      <c r="BL3160" s="37"/>
      <c r="BM3160" s="37"/>
      <c r="BN3160" s="37"/>
      <c r="BO3160" s="37"/>
      <c r="BP3160" s="37"/>
      <c r="BQ3160" s="37"/>
      <c r="BR3160" s="37"/>
      <c r="BS3160" s="37"/>
      <c r="BT3160" s="37"/>
      <c r="BU3160" s="37"/>
      <c r="BV3160" s="37"/>
      <c r="BW3160" s="37"/>
      <c r="BX3160" s="37"/>
      <c r="BY3160" s="37"/>
      <c r="BZ3160" s="37"/>
      <c r="CA3160" s="37"/>
      <c r="CB3160" s="37"/>
      <c r="CC3160" s="37"/>
      <c r="CD3160" s="37"/>
      <c r="CE3160" s="37"/>
      <c r="CF3160" s="37"/>
      <c r="CG3160" s="37"/>
      <c r="CH3160" s="37"/>
      <c r="CI3160" s="37"/>
      <c r="CJ3160" s="37"/>
      <c r="CK3160" s="37"/>
      <c r="CL3160" s="37"/>
      <c r="CM3160" s="37"/>
      <c r="CN3160" s="37"/>
      <c r="CO3160" s="37"/>
      <c r="CP3160" s="37"/>
      <c r="CQ3160" s="37"/>
      <c r="CR3160" s="37"/>
      <c r="CS3160" s="37"/>
      <c r="CT3160" s="37"/>
      <c r="CU3160" s="37"/>
      <c r="CV3160" s="37"/>
      <c r="CW3160" s="37"/>
      <c r="CX3160" s="37"/>
      <c r="CY3160" s="37"/>
      <c r="CZ3160" s="37"/>
      <c r="DA3160" s="37"/>
      <c r="DB3160" s="37"/>
      <c r="DC3160" s="37"/>
      <c r="DD3160" s="37"/>
      <c r="DE3160" s="37"/>
      <c r="DF3160" s="37"/>
      <c r="DG3160" s="37"/>
      <c r="DH3160" s="37"/>
      <c r="DI3160" s="37"/>
      <c r="DJ3160" s="37"/>
      <c r="DK3160" s="37"/>
      <c r="DL3160" s="37"/>
      <c r="DM3160" s="37"/>
      <c r="DN3160" s="37"/>
      <c r="DO3160" s="37"/>
      <c r="DP3160" s="37"/>
      <c r="DQ3160" s="37"/>
      <c r="DR3160" s="37"/>
      <c r="DS3160" s="37"/>
      <c r="DT3160" s="37"/>
      <c r="DU3160" s="37"/>
      <c r="DV3160" s="37"/>
      <c r="DW3160" s="37"/>
      <c r="DX3160" s="37"/>
      <c r="DY3160" s="37"/>
      <c r="DZ3160" s="37"/>
      <c r="EA3160" s="37"/>
      <c r="EB3160" s="37"/>
      <c r="EC3160" s="37"/>
      <c r="ED3160" s="37"/>
      <c r="EE3160" s="37"/>
      <c r="EF3160" s="37"/>
      <c r="EG3160" s="37"/>
      <c r="EH3160" s="37"/>
      <c r="EI3160" s="37"/>
      <c r="EJ3160" s="37"/>
      <c r="EK3160" s="37"/>
      <c r="EL3160" s="37"/>
      <c r="EM3160" s="37"/>
      <c r="EN3160" s="37"/>
      <c r="EO3160" s="37"/>
      <c r="EP3160" s="37"/>
      <c r="EQ3160" s="37"/>
      <c r="ER3160" s="37"/>
      <c r="ES3160" s="37"/>
      <c r="ET3160" s="37"/>
      <c r="EU3160" s="37"/>
      <c r="EV3160" s="37"/>
      <c r="EW3160" s="37"/>
      <c r="EX3160" s="37"/>
      <c r="EY3160" s="37"/>
      <c r="EZ3160" s="37"/>
      <c r="FA3160" s="37"/>
      <c r="FB3160" s="37"/>
      <c r="FC3160" s="37"/>
      <c r="FD3160" s="37"/>
      <c r="FE3160" s="37"/>
      <c r="FF3160" s="37"/>
      <c r="FG3160" s="37"/>
      <c r="FH3160" s="37"/>
      <c r="FI3160" s="37"/>
      <c r="FJ3160" s="37"/>
      <c r="FK3160" s="37"/>
      <c r="FL3160" s="37"/>
      <c r="FM3160" s="37"/>
      <c r="FN3160" s="37"/>
      <c r="FO3160" s="37"/>
      <c r="FP3160" s="37"/>
      <c r="FQ3160" s="37"/>
      <c r="FR3160" s="37"/>
      <c r="FS3160" s="37"/>
      <c r="FT3160" s="37"/>
      <c r="FU3160" s="37"/>
      <c r="FV3160" s="37"/>
      <c r="FW3160" s="37"/>
      <c r="FX3160" s="37"/>
      <c r="FY3160" s="37"/>
      <c r="FZ3160" s="37"/>
      <c r="GA3160" s="37"/>
      <c r="GB3160" s="37"/>
      <c r="GC3160" s="37"/>
      <c r="GD3160" s="37"/>
      <c r="GE3160" s="37"/>
      <c r="GF3160" s="37"/>
      <c r="GG3160" s="37"/>
      <c r="GH3160" s="37"/>
      <c r="GI3160" s="37"/>
      <c r="GJ3160" s="37"/>
      <c r="GK3160" s="37"/>
      <c r="GL3160" s="37"/>
      <c r="GM3160" s="37"/>
      <c r="GN3160" s="37"/>
      <c r="GO3160" s="37"/>
      <c r="GP3160" s="37"/>
      <c r="GQ3160" s="37"/>
      <c r="GR3160" s="37"/>
      <c r="GS3160" s="37"/>
      <c r="GT3160" s="37"/>
      <c r="GU3160" s="37"/>
      <c r="GV3160" s="37"/>
      <c r="GW3160" s="37"/>
      <c r="GX3160" s="37"/>
      <c r="GY3160" s="37"/>
      <c r="GZ3160" s="37"/>
      <c r="HA3160" s="37"/>
      <c r="HB3160" s="37"/>
      <c r="HC3160" s="37"/>
      <c r="HD3160" s="37"/>
      <c r="HE3160" s="37"/>
      <c r="HF3160" s="37"/>
      <c r="HG3160" s="37"/>
      <c r="HH3160" s="37"/>
      <c r="HI3160" s="37"/>
      <c r="HJ3160" s="37"/>
      <c r="HK3160" s="37"/>
      <c r="HL3160" s="37"/>
      <c r="HM3160" s="37"/>
      <c r="HN3160" s="37"/>
      <c r="HO3160" s="37"/>
      <c r="HP3160" s="37"/>
      <c r="HQ3160" s="37"/>
      <c r="HR3160" s="37"/>
      <c r="HS3160" s="37"/>
      <c r="HT3160" s="37"/>
      <c r="HU3160" s="37"/>
      <c r="HV3160" s="37"/>
      <c r="HW3160" s="37"/>
      <c r="HX3160" s="37"/>
      <c r="HY3160" s="37"/>
      <c r="HZ3160" s="37"/>
      <c r="IA3160" s="37"/>
      <c r="IB3160" s="37"/>
      <c r="IC3160" s="37"/>
      <c r="ID3160" s="37"/>
      <c r="IE3160" s="37"/>
      <c r="IF3160" s="37"/>
      <c r="IG3160" s="37"/>
      <c r="IH3160" s="37"/>
      <c r="II3160" s="37"/>
      <c r="IJ3160" s="37"/>
      <c r="IK3160" s="37"/>
      <c r="IL3160" s="37"/>
      <c r="IM3160" s="37"/>
      <c r="IN3160" s="37"/>
      <c r="IO3160" s="37"/>
      <c r="IP3160" s="37"/>
      <c r="IQ3160" s="37"/>
      <c r="IR3160" s="37"/>
      <c r="IS3160" s="37"/>
      <c r="IT3160" s="37"/>
      <c r="IU3160" s="37"/>
      <c r="IV3160" s="37"/>
      <c r="IW3160" s="37"/>
      <c r="IX3160" s="37"/>
      <c r="IY3160" s="37"/>
      <c r="IZ3160" s="37"/>
      <c r="JA3160" s="37"/>
      <c r="JB3160" s="37"/>
      <c r="JC3160" s="37"/>
      <c r="JD3160" s="37"/>
      <c r="JE3160" s="37"/>
      <c r="JF3160" s="37"/>
      <c r="JG3160" s="37"/>
      <c r="JH3160" s="37"/>
      <c r="JI3160" s="37"/>
      <c r="JJ3160" s="37"/>
      <c r="JK3160" s="37"/>
      <c r="JL3160" s="37"/>
      <c r="JM3160" s="37"/>
      <c r="JN3160" s="37"/>
      <c r="JO3160" s="37"/>
      <c r="JP3160" s="37"/>
      <c r="JQ3160" s="37"/>
      <c r="JR3160" s="37"/>
      <c r="JS3160" s="37"/>
      <c r="JT3160" s="37"/>
      <c r="JU3160" s="37"/>
      <c r="JV3160" s="37"/>
      <c r="JW3160" s="37"/>
      <c r="JX3160" s="37"/>
      <c r="JY3160" s="37"/>
      <c r="JZ3160" s="37"/>
      <c r="KA3160" s="37"/>
      <c r="KB3160" s="37"/>
      <c r="KC3160" s="37"/>
      <c r="KD3160" s="37"/>
      <c r="KE3160" s="37"/>
      <c r="KF3160" s="37"/>
      <c r="KG3160" s="37"/>
      <c r="KH3160" s="37"/>
      <c r="KI3160" s="37"/>
      <c r="KJ3160" s="37"/>
      <c r="KK3160" s="37"/>
      <c r="KL3160" s="37"/>
      <c r="KM3160" s="37"/>
      <c r="KN3160" s="37"/>
      <c r="KO3160" s="37"/>
      <c r="KP3160" s="37"/>
      <c r="KQ3160" s="37"/>
      <c r="KR3160" s="37"/>
      <c r="KS3160" s="37"/>
      <c r="KT3160" s="37"/>
      <c r="KU3160" s="37"/>
      <c r="KV3160" s="37"/>
      <c r="KW3160" s="37"/>
      <c r="KX3160" s="37"/>
      <c r="KY3160" s="37"/>
      <c r="KZ3160" s="37"/>
      <c r="LA3160" s="37"/>
      <c r="LB3160" s="37"/>
      <c r="LC3160" s="37"/>
      <c r="LD3160" s="37"/>
      <c r="LE3160" s="37"/>
      <c r="LF3160" s="37"/>
      <c r="LG3160" s="37"/>
      <c r="LH3160" s="37"/>
      <c r="LI3160" s="37"/>
      <c r="LJ3160" s="37"/>
      <c r="LK3160" s="37"/>
      <c r="LL3160" s="37"/>
      <c r="LM3160" s="37"/>
      <c r="LN3160" s="37"/>
      <c r="LO3160" s="37"/>
      <c r="LP3160" s="37"/>
      <c r="LQ3160" s="37"/>
      <c r="LR3160" s="37"/>
      <c r="LS3160" s="37"/>
      <c r="LT3160" s="37"/>
      <c r="LU3160" s="37"/>
      <c r="LV3160" s="37"/>
      <c r="LW3160" s="37"/>
      <c r="LX3160" s="37"/>
      <c r="LY3160" s="37"/>
      <c r="LZ3160" s="37"/>
      <c r="MA3160" s="37"/>
      <c r="MB3160" s="37"/>
      <c r="MC3160" s="37"/>
      <c r="MD3160" s="37"/>
      <c r="ME3160" s="37"/>
      <c r="MF3160" s="37"/>
      <c r="MG3160" s="37"/>
      <c r="MH3160" s="37"/>
      <c r="MI3160" s="37"/>
      <c r="MJ3160" s="37"/>
      <c r="MK3160" s="37"/>
      <c r="ML3160" s="37"/>
      <c r="MM3160" s="37"/>
      <c r="MN3160" s="37"/>
      <c r="MO3160" s="37"/>
      <c r="MP3160" s="37"/>
      <c r="MQ3160" s="37"/>
      <c r="MR3160" s="37"/>
      <c r="MS3160" s="37"/>
      <c r="MT3160" s="37"/>
      <c r="MU3160" s="37"/>
      <c r="MV3160" s="37"/>
      <c r="MW3160" s="37"/>
      <c r="MX3160" s="37"/>
      <c r="MY3160" s="37"/>
      <c r="MZ3160" s="37"/>
      <c r="NA3160" s="37"/>
      <c r="NB3160" s="37"/>
      <c r="NC3160" s="37"/>
      <c r="ND3160" s="37"/>
      <c r="NE3160" s="37"/>
      <c r="NF3160" s="37"/>
      <c r="NG3160" s="37"/>
      <c r="NH3160" s="37"/>
      <c r="NI3160" s="37"/>
      <c r="NJ3160" s="37"/>
      <c r="NK3160" s="37"/>
      <c r="NL3160" s="37"/>
      <c r="NM3160" s="37"/>
      <c r="NN3160" s="37"/>
      <c r="NO3160" s="37"/>
      <c r="NP3160" s="37"/>
      <c r="NQ3160" s="37"/>
      <c r="NR3160" s="37"/>
      <c r="NS3160" s="37"/>
      <c r="NT3160" s="37"/>
      <c r="NU3160" s="37"/>
      <c r="NV3160" s="37"/>
      <c r="NW3160" s="37"/>
      <c r="NX3160" s="37"/>
      <c r="NY3160" s="37"/>
      <c r="NZ3160" s="37"/>
      <c r="OA3160" s="37"/>
      <c r="OB3160" s="37"/>
      <c r="OC3160" s="37"/>
      <c r="OD3160" s="37"/>
      <c r="OE3160" s="37"/>
      <c r="OF3160" s="37"/>
      <c r="OG3160" s="37"/>
      <c r="OH3160" s="37"/>
      <c r="OI3160" s="37"/>
      <c r="OJ3160" s="37"/>
      <c r="OK3160" s="37"/>
      <c r="OL3160" s="37"/>
      <c r="OM3160" s="37"/>
      <c r="ON3160" s="37"/>
      <c r="OO3160" s="37"/>
      <c r="OP3160" s="37"/>
      <c r="OQ3160" s="37"/>
      <c r="OR3160" s="37"/>
      <c r="OS3160" s="37"/>
      <c r="OT3160" s="37"/>
      <c r="OU3160" s="37"/>
      <c r="OV3160" s="37"/>
      <c r="OW3160" s="37"/>
      <c r="OX3160" s="37"/>
      <c r="OY3160" s="37"/>
      <c r="OZ3160" s="37"/>
      <c r="PA3160" s="37"/>
      <c r="PB3160" s="37"/>
      <c r="PC3160" s="37"/>
      <c r="PD3160" s="37"/>
      <c r="PE3160" s="37"/>
      <c r="PF3160" s="37"/>
      <c r="PG3160" s="37"/>
      <c r="PH3160" s="37"/>
      <c r="PI3160" s="37"/>
      <c r="PJ3160" s="37"/>
      <c r="PK3160" s="37"/>
      <c r="PL3160" s="37"/>
      <c r="PM3160" s="37"/>
      <c r="PN3160" s="37"/>
      <c r="PO3160" s="37"/>
      <c r="PP3160" s="37"/>
      <c r="PQ3160" s="37"/>
      <c r="PR3160" s="37"/>
      <c r="PS3160" s="37"/>
      <c r="PT3160" s="37"/>
      <c r="PU3160" s="37"/>
      <c r="PV3160" s="37"/>
      <c r="PW3160" s="37"/>
      <c r="PX3160" s="37"/>
      <c r="PY3160" s="37"/>
      <c r="PZ3160" s="37"/>
      <c r="QA3160" s="37"/>
      <c r="QB3160" s="37"/>
      <c r="QC3160" s="37"/>
      <c r="QD3160" s="37"/>
      <c r="QE3160" s="37"/>
      <c r="QF3160" s="37"/>
      <c r="QG3160" s="37"/>
      <c r="QH3160" s="37"/>
      <c r="QI3160" s="37"/>
      <c r="QJ3160" s="37"/>
      <c r="QK3160" s="37"/>
      <c r="QL3160" s="37"/>
      <c r="QM3160" s="37"/>
      <c r="QN3160" s="37"/>
      <c r="QO3160" s="37"/>
      <c r="QP3160" s="37"/>
      <c r="QQ3160" s="37"/>
      <c r="QR3160" s="37"/>
      <c r="QS3160" s="37"/>
      <c r="QT3160" s="37"/>
      <c r="QU3160" s="37"/>
      <c r="QV3160" s="37"/>
      <c r="QW3160" s="37"/>
      <c r="QX3160" s="37"/>
      <c r="QY3160" s="37"/>
      <c r="QZ3160" s="37"/>
      <c r="RA3160" s="37"/>
      <c r="RB3160" s="37"/>
      <c r="RC3160" s="37"/>
      <c r="RD3160" s="37"/>
      <c r="RE3160" s="37"/>
      <c r="RF3160" s="37"/>
      <c r="RG3160" s="37"/>
      <c r="RH3160" s="37"/>
      <c r="RI3160" s="37"/>
      <c r="RJ3160" s="37"/>
      <c r="RK3160" s="37"/>
      <c r="RL3160" s="37"/>
      <c r="RM3160" s="37"/>
      <c r="RN3160" s="37"/>
      <c r="RO3160" s="37"/>
      <c r="RP3160" s="37"/>
      <c r="RQ3160" s="37"/>
      <c r="RR3160" s="37"/>
      <c r="RS3160" s="37"/>
      <c r="RT3160" s="37"/>
      <c r="RU3160" s="37"/>
      <c r="RV3160" s="37"/>
      <c r="RW3160" s="37"/>
      <c r="RX3160" s="37"/>
      <c r="RY3160" s="37"/>
      <c r="RZ3160" s="37"/>
      <c r="SA3160" s="37"/>
      <c r="SB3160" s="37"/>
      <c r="SC3160" s="37"/>
      <c r="SD3160" s="37"/>
      <c r="SE3160" s="37"/>
      <c r="SF3160" s="37"/>
    </row>
    <row r="3161" spans="1:500">
      <c r="A3161" s="37"/>
      <c r="B3161" s="37"/>
      <c r="C3161" s="37"/>
      <c r="D3161" s="37"/>
      <c r="E3161" s="37"/>
      <c r="F3161" s="37"/>
      <c r="G3161" s="37"/>
      <c r="H3161" s="37"/>
      <c r="I3161" s="37"/>
      <c r="J3161" s="37"/>
      <c r="K3161" s="37"/>
      <c r="L3161" s="37"/>
      <c r="M3161" s="37"/>
      <c r="N3161" s="37"/>
      <c r="O3161" s="37"/>
      <c r="P3161" s="37"/>
      <c r="Q3161" s="37"/>
      <c r="R3161" s="37"/>
      <c r="S3161" s="37"/>
      <c r="T3161" s="37"/>
      <c r="U3161" s="37"/>
      <c r="V3161" s="37"/>
      <c r="W3161" s="37"/>
      <c r="X3161" s="37"/>
      <c r="Y3161" s="37"/>
      <c r="Z3161" s="37"/>
      <c r="AA3161" s="37"/>
      <c r="AB3161" s="37"/>
      <c r="AC3161" s="37"/>
      <c r="AD3161" s="37"/>
      <c r="AE3161" s="37"/>
      <c r="AF3161" s="37"/>
      <c r="AG3161" s="37"/>
      <c r="AH3161" s="37"/>
      <c r="AI3161" s="37"/>
      <c r="AJ3161" s="37"/>
      <c r="AK3161" s="37"/>
      <c r="AL3161" s="37"/>
      <c r="AM3161" s="37"/>
      <c r="AN3161" s="37"/>
      <c r="AO3161" s="37"/>
      <c r="AP3161" s="37"/>
      <c r="AQ3161" s="37"/>
      <c r="AR3161" s="37"/>
      <c r="AS3161" s="37"/>
      <c r="AT3161" s="37"/>
      <c r="AU3161" s="37"/>
      <c r="AV3161" s="37"/>
      <c r="AW3161" s="37"/>
      <c r="AX3161" s="37"/>
      <c r="AY3161" s="37"/>
      <c r="AZ3161" s="37"/>
      <c r="BA3161" s="37"/>
      <c r="BB3161" s="37"/>
      <c r="BC3161" s="37"/>
      <c r="BD3161" s="37"/>
      <c r="BE3161" s="37"/>
      <c r="BF3161" s="37"/>
      <c r="BG3161" s="37"/>
      <c r="BH3161" s="37"/>
      <c r="BI3161" s="37"/>
      <c r="BJ3161" s="37"/>
      <c r="BK3161" s="37"/>
      <c r="BL3161" s="37"/>
      <c r="BM3161" s="37"/>
      <c r="BN3161" s="37"/>
      <c r="BO3161" s="37"/>
      <c r="BP3161" s="37"/>
      <c r="BQ3161" s="37"/>
      <c r="BR3161" s="37"/>
      <c r="BS3161" s="37"/>
      <c r="BT3161" s="37"/>
      <c r="BU3161" s="37"/>
      <c r="BV3161" s="37"/>
      <c r="BW3161" s="37"/>
      <c r="BX3161" s="37"/>
      <c r="BY3161" s="37"/>
      <c r="BZ3161" s="37"/>
      <c r="CA3161" s="37"/>
      <c r="CB3161" s="37"/>
      <c r="CC3161" s="37"/>
      <c r="CD3161" s="37"/>
      <c r="CE3161" s="37"/>
      <c r="CF3161" s="37"/>
      <c r="CG3161" s="37"/>
      <c r="CH3161" s="37"/>
      <c r="CI3161" s="37"/>
      <c r="CJ3161" s="37"/>
      <c r="CK3161" s="37"/>
      <c r="CL3161" s="37"/>
      <c r="CM3161" s="37"/>
      <c r="CN3161" s="37"/>
      <c r="CO3161" s="37"/>
      <c r="CP3161" s="37"/>
      <c r="CQ3161" s="37"/>
      <c r="CR3161" s="37"/>
      <c r="CS3161" s="37"/>
      <c r="CT3161" s="37"/>
      <c r="CU3161" s="37"/>
      <c r="CV3161" s="37"/>
      <c r="CW3161" s="37"/>
      <c r="CX3161" s="37"/>
      <c r="CY3161" s="37"/>
      <c r="CZ3161" s="37"/>
      <c r="DA3161" s="37"/>
      <c r="DB3161" s="37"/>
      <c r="DC3161" s="37"/>
      <c r="DD3161" s="37"/>
      <c r="DE3161" s="37"/>
      <c r="DF3161" s="37"/>
      <c r="DG3161" s="37"/>
      <c r="DH3161" s="37"/>
      <c r="DI3161" s="37"/>
      <c r="DJ3161" s="37"/>
      <c r="DK3161" s="37"/>
      <c r="DL3161" s="37"/>
      <c r="DM3161" s="37"/>
      <c r="DN3161" s="37"/>
      <c r="DO3161" s="37"/>
      <c r="DP3161" s="37"/>
      <c r="DQ3161" s="37"/>
      <c r="DR3161" s="37"/>
      <c r="DS3161" s="37"/>
      <c r="DT3161" s="37"/>
      <c r="DU3161" s="37"/>
      <c r="DV3161" s="37"/>
      <c r="DW3161" s="37"/>
      <c r="DX3161" s="37"/>
      <c r="DY3161" s="37"/>
      <c r="DZ3161" s="37"/>
      <c r="EA3161" s="37"/>
      <c r="EB3161" s="37"/>
      <c r="EC3161" s="37"/>
      <c r="ED3161" s="37"/>
      <c r="EE3161" s="37"/>
      <c r="EF3161" s="37"/>
      <c r="EG3161" s="37"/>
      <c r="EH3161" s="37"/>
      <c r="EI3161" s="37"/>
      <c r="EJ3161" s="37"/>
      <c r="EK3161" s="37"/>
      <c r="EL3161" s="37"/>
      <c r="EM3161" s="37"/>
      <c r="EN3161" s="37"/>
      <c r="EO3161" s="37"/>
      <c r="EP3161" s="37"/>
      <c r="EQ3161" s="37"/>
      <c r="ER3161" s="37"/>
      <c r="ES3161" s="37"/>
      <c r="ET3161" s="37"/>
      <c r="EU3161" s="37"/>
      <c r="EV3161" s="37"/>
      <c r="EW3161" s="37"/>
      <c r="EX3161" s="37"/>
      <c r="EY3161" s="37"/>
      <c r="EZ3161" s="37"/>
      <c r="FA3161" s="37"/>
      <c r="FB3161" s="37"/>
      <c r="FC3161" s="37"/>
      <c r="FD3161" s="37"/>
      <c r="FE3161" s="37"/>
      <c r="FF3161" s="37"/>
      <c r="FG3161" s="37"/>
      <c r="FH3161" s="37"/>
      <c r="FI3161" s="37"/>
      <c r="FJ3161" s="37"/>
      <c r="FK3161" s="37"/>
      <c r="FL3161" s="37"/>
      <c r="FM3161" s="37"/>
      <c r="FN3161" s="37"/>
      <c r="FO3161" s="37"/>
      <c r="FP3161" s="37"/>
      <c r="FQ3161" s="37"/>
      <c r="FR3161" s="37"/>
      <c r="FS3161" s="37"/>
      <c r="FT3161" s="37"/>
      <c r="FU3161" s="37"/>
      <c r="FV3161" s="37"/>
      <c r="FW3161" s="37"/>
      <c r="FX3161" s="37"/>
      <c r="FY3161" s="37"/>
      <c r="FZ3161" s="37"/>
      <c r="GA3161" s="37"/>
      <c r="GB3161" s="37"/>
      <c r="GC3161" s="37"/>
      <c r="GD3161" s="37"/>
      <c r="GE3161" s="37"/>
      <c r="GF3161" s="37"/>
      <c r="GG3161" s="37"/>
      <c r="GH3161" s="37"/>
      <c r="GI3161" s="37"/>
      <c r="GJ3161" s="37"/>
      <c r="GK3161" s="37"/>
      <c r="GL3161" s="37"/>
      <c r="GM3161" s="37"/>
      <c r="GN3161" s="37"/>
      <c r="GO3161" s="37"/>
      <c r="GP3161" s="37"/>
      <c r="GQ3161" s="37"/>
      <c r="GR3161" s="37"/>
      <c r="GS3161" s="37"/>
      <c r="GT3161" s="37"/>
      <c r="GU3161" s="37"/>
      <c r="GV3161" s="37"/>
      <c r="GW3161" s="37"/>
      <c r="GX3161" s="37"/>
      <c r="GY3161" s="37"/>
      <c r="GZ3161" s="37"/>
      <c r="HA3161" s="37"/>
      <c r="HB3161" s="37"/>
      <c r="HC3161" s="37"/>
      <c r="HD3161" s="37"/>
      <c r="HE3161" s="37"/>
      <c r="HF3161" s="37"/>
      <c r="HG3161" s="37"/>
      <c r="HH3161" s="37"/>
      <c r="HI3161" s="37"/>
      <c r="HJ3161" s="37"/>
      <c r="HK3161" s="37"/>
      <c r="HL3161" s="37"/>
      <c r="HM3161" s="37"/>
      <c r="HN3161" s="37"/>
      <c r="HO3161" s="37"/>
      <c r="HP3161" s="37"/>
      <c r="HQ3161" s="37"/>
      <c r="HR3161" s="37"/>
      <c r="HS3161" s="37"/>
      <c r="HT3161" s="37"/>
      <c r="HU3161" s="37"/>
      <c r="HV3161" s="37"/>
      <c r="HW3161" s="37"/>
      <c r="HX3161" s="37"/>
      <c r="HY3161" s="37"/>
      <c r="HZ3161" s="37"/>
      <c r="IA3161" s="37"/>
      <c r="IB3161" s="37"/>
      <c r="IC3161" s="37"/>
      <c r="ID3161" s="37"/>
      <c r="IE3161" s="37"/>
      <c r="IF3161" s="37"/>
      <c r="IG3161" s="37"/>
      <c r="IH3161" s="37"/>
      <c r="II3161" s="37"/>
      <c r="IJ3161" s="37"/>
      <c r="IK3161" s="37"/>
      <c r="IL3161" s="37"/>
      <c r="IM3161" s="37"/>
      <c r="IN3161" s="37"/>
      <c r="IO3161" s="37"/>
      <c r="IP3161" s="37"/>
      <c r="IQ3161" s="37"/>
      <c r="IR3161" s="37"/>
      <c r="IS3161" s="37"/>
      <c r="IT3161" s="37"/>
      <c r="IU3161" s="37"/>
      <c r="IV3161" s="37"/>
      <c r="IW3161" s="37"/>
      <c r="IX3161" s="37"/>
      <c r="IY3161" s="37"/>
      <c r="IZ3161" s="37"/>
      <c r="JA3161" s="37"/>
      <c r="JB3161" s="37"/>
      <c r="JC3161" s="37"/>
      <c r="JD3161" s="37"/>
      <c r="JE3161" s="37"/>
      <c r="JF3161" s="37"/>
      <c r="JG3161" s="37"/>
      <c r="JH3161" s="37"/>
      <c r="JI3161" s="37"/>
      <c r="JJ3161" s="37"/>
      <c r="JK3161" s="37"/>
      <c r="JL3161" s="37"/>
      <c r="JM3161" s="37"/>
      <c r="JN3161" s="37"/>
      <c r="JO3161" s="37"/>
      <c r="JP3161" s="37"/>
      <c r="JQ3161" s="37"/>
      <c r="JR3161" s="37"/>
      <c r="JS3161" s="37"/>
      <c r="JT3161" s="37"/>
      <c r="JU3161" s="37"/>
      <c r="JV3161" s="37"/>
      <c r="JW3161" s="37"/>
      <c r="JX3161" s="37"/>
      <c r="JY3161" s="37"/>
      <c r="JZ3161" s="37"/>
      <c r="KA3161" s="37"/>
      <c r="KB3161" s="37"/>
      <c r="KC3161" s="37"/>
      <c r="KD3161" s="37"/>
      <c r="KE3161" s="37"/>
      <c r="KF3161" s="37"/>
      <c r="KG3161" s="37"/>
      <c r="KH3161" s="37"/>
      <c r="KI3161" s="37"/>
      <c r="KJ3161" s="37"/>
      <c r="KK3161" s="37"/>
      <c r="KL3161" s="37"/>
      <c r="KM3161" s="37"/>
      <c r="KN3161" s="37"/>
      <c r="KO3161" s="37"/>
      <c r="KP3161" s="37"/>
      <c r="KQ3161" s="37"/>
      <c r="KR3161" s="37"/>
      <c r="KS3161" s="37"/>
      <c r="KT3161" s="37"/>
      <c r="KU3161" s="37"/>
      <c r="KV3161" s="37"/>
      <c r="KW3161" s="37"/>
      <c r="KX3161" s="37"/>
      <c r="KY3161" s="37"/>
      <c r="KZ3161" s="37"/>
      <c r="LA3161" s="37"/>
      <c r="LB3161" s="37"/>
      <c r="LC3161" s="37"/>
      <c r="LD3161" s="37"/>
      <c r="LE3161" s="37"/>
      <c r="LF3161" s="37"/>
      <c r="LG3161" s="37"/>
      <c r="LH3161" s="37"/>
      <c r="LI3161" s="37"/>
      <c r="LJ3161" s="37"/>
      <c r="LK3161" s="37"/>
      <c r="LL3161" s="37"/>
      <c r="LM3161" s="37"/>
      <c r="LN3161" s="37"/>
      <c r="LO3161" s="37"/>
      <c r="LP3161" s="37"/>
      <c r="LQ3161" s="37"/>
      <c r="LR3161" s="37"/>
      <c r="LS3161" s="37"/>
      <c r="LT3161" s="37"/>
      <c r="LU3161" s="37"/>
      <c r="LV3161" s="37"/>
      <c r="LW3161" s="37"/>
      <c r="LX3161" s="37"/>
      <c r="LY3161" s="37"/>
      <c r="LZ3161" s="37"/>
      <c r="MA3161" s="37"/>
      <c r="MB3161" s="37"/>
      <c r="MC3161" s="37"/>
      <c r="MD3161" s="37"/>
      <c r="ME3161" s="37"/>
      <c r="MF3161" s="37"/>
      <c r="MG3161" s="37"/>
      <c r="MH3161" s="37"/>
      <c r="MI3161" s="37"/>
      <c r="MJ3161" s="37"/>
      <c r="MK3161" s="37"/>
      <c r="ML3161" s="37"/>
      <c r="MM3161" s="37"/>
      <c r="MN3161" s="37"/>
      <c r="MO3161" s="37"/>
      <c r="MP3161" s="37"/>
      <c r="MQ3161" s="37"/>
      <c r="MR3161" s="37"/>
      <c r="MS3161" s="37"/>
      <c r="MT3161" s="37"/>
      <c r="MU3161" s="37"/>
      <c r="MV3161" s="37"/>
      <c r="MW3161" s="37"/>
      <c r="MX3161" s="37"/>
      <c r="MY3161" s="37"/>
      <c r="MZ3161" s="37"/>
      <c r="NA3161" s="37"/>
      <c r="NB3161" s="37"/>
      <c r="NC3161" s="37"/>
      <c r="ND3161" s="37"/>
      <c r="NE3161" s="37"/>
      <c r="NF3161" s="37"/>
      <c r="NG3161" s="37"/>
      <c r="NH3161" s="37"/>
      <c r="NI3161" s="37"/>
      <c r="NJ3161" s="37"/>
      <c r="NK3161" s="37"/>
      <c r="NL3161" s="37"/>
      <c r="NM3161" s="37"/>
      <c r="NN3161" s="37"/>
      <c r="NO3161" s="37"/>
      <c r="NP3161" s="37"/>
      <c r="NQ3161" s="37"/>
      <c r="NR3161" s="37"/>
      <c r="NS3161" s="37"/>
      <c r="NT3161" s="37"/>
      <c r="NU3161" s="37"/>
      <c r="NV3161" s="37"/>
      <c r="NW3161" s="37"/>
      <c r="NX3161" s="37"/>
      <c r="NY3161" s="37"/>
      <c r="NZ3161" s="37"/>
      <c r="OA3161" s="37"/>
      <c r="OB3161" s="37"/>
      <c r="OC3161" s="37"/>
      <c r="OD3161" s="37"/>
      <c r="OE3161" s="37"/>
      <c r="OF3161" s="37"/>
      <c r="OG3161" s="37"/>
      <c r="OH3161" s="37"/>
      <c r="OI3161" s="37"/>
      <c r="OJ3161" s="37"/>
      <c r="OK3161" s="37"/>
      <c r="OL3161" s="37"/>
      <c r="OM3161" s="37"/>
      <c r="ON3161" s="37"/>
      <c r="OO3161" s="37"/>
      <c r="OP3161" s="37"/>
      <c r="OQ3161" s="37"/>
      <c r="OR3161" s="37"/>
      <c r="OS3161" s="37"/>
      <c r="OT3161" s="37"/>
      <c r="OU3161" s="37"/>
      <c r="OV3161" s="37"/>
      <c r="OW3161" s="37"/>
      <c r="OX3161" s="37"/>
      <c r="OY3161" s="37"/>
      <c r="OZ3161" s="37"/>
      <c r="PA3161" s="37"/>
      <c r="PB3161" s="37"/>
      <c r="PC3161" s="37"/>
      <c r="PD3161" s="37"/>
      <c r="PE3161" s="37"/>
      <c r="PF3161" s="37"/>
      <c r="PG3161" s="37"/>
      <c r="PH3161" s="37"/>
      <c r="PI3161" s="37"/>
      <c r="PJ3161" s="37"/>
      <c r="PK3161" s="37"/>
      <c r="PL3161" s="37"/>
      <c r="PM3161" s="37"/>
      <c r="PN3161" s="37"/>
      <c r="PO3161" s="37"/>
      <c r="PP3161" s="37"/>
      <c r="PQ3161" s="37"/>
      <c r="PR3161" s="37"/>
      <c r="PS3161" s="37"/>
      <c r="PT3161" s="37"/>
      <c r="PU3161" s="37"/>
      <c r="PV3161" s="37"/>
      <c r="PW3161" s="37"/>
      <c r="PX3161" s="37"/>
      <c r="PY3161" s="37"/>
      <c r="PZ3161" s="37"/>
      <c r="QA3161" s="37"/>
      <c r="QB3161" s="37"/>
      <c r="QC3161" s="37"/>
      <c r="QD3161" s="37"/>
      <c r="QE3161" s="37"/>
      <c r="QF3161" s="37"/>
      <c r="QG3161" s="37"/>
      <c r="QH3161" s="37"/>
      <c r="QI3161" s="37"/>
      <c r="QJ3161" s="37"/>
      <c r="QK3161" s="37"/>
      <c r="QL3161" s="37"/>
      <c r="QM3161" s="37"/>
      <c r="QN3161" s="37"/>
      <c r="QO3161" s="37"/>
      <c r="QP3161" s="37"/>
      <c r="QQ3161" s="37"/>
      <c r="QR3161" s="37"/>
      <c r="QS3161" s="37"/>
      <c r="QT3161" s="37"/>
      <c r="QU3161" s="37"/>
      <c r="QV3161" s="37"/>
      <c r="QW3161" s="37"/>
      <c r="QX3161" s="37"/>
      <c r="QY3161" s="37"/>
      <c r="QZ3161" s="37"/>
      <c r="RA3161" s="37"/>
      <c r="RB3161" s="37"/>
      <c r="RC3161" s="37"/>
      <c r="RD3161" s="37"/>
      <c r="RE3161" s="37"/>
      <c r="RF3161" s="37"/>
      <c r="RG3161" s="37"/>
      <c r="RH3161" s="37"/>
      <c r="RI3161" s="37"/>
      <c r="RJ3161" s="37"/>
      <c r="RK3161" s="37"/>
      <c r="RL3161" s="37"/>
      <c r="RM3161" s="37"/>
      <c r="RN3161" s="37"/>
      <c r="RO3161" s="37"/>
      <c r="RP3161" s="37"/>
      <c r="RQ3161" s="37"/>
      <c r="RR3161" s="37"/>
      <c r="RS3161" s="37"/>
      <c r="RT3161" s="37"/>
      <c r="RU3161" s="37"/>
      <c r="RV3161" s="37"/>
      <c r="RW3161" s="37"/>
      <c r="RX3161" s="37"/>
      <c r="RY3161" s="37"/>
      <c r="RZ3161" s="37"/>
      <c r="SA3161" s="37"/>
      <c r="SB3161" s="37"/>
      <c r="SC3161" s="37"/>
      <c r="SD3161" s="37"/>
      <c r="SE3161" s="37"/>
      <c r="SF3161" s="37"/>
    </row>
    <row r="3162" spans="1:500">
      <c r="A3162" s="37"/>
      <c r="B3162" s="37"/>
      <c r="C3162" s="37"/>
      <c r="D3162" s="37"/>
      <c r="E3162" s="37"/>
      <c r="F3162" s="37"/>
      <c r="G3162" s="37"/>
      <c r="H3162" s="37"/>
      <c r="I3162" s="37"/>
      <c r="J3162" s="37"/>
      <c r="K3162" s="37"/>
      <c r="L3162" s="37"/>
      <c r="M3162" s="37"/>
      <c r="N3162" s="37"/>
      <c r="O3162" s="37"/>
      <c r="P3162" s="37"/>
      <c r="Q3162" s="37"/>
      <c r="R3162" s="37"/>
      <c r="S3162" s="37"/>
      <c r="T3162" s="37"/>
      <c r="U3162" s="37"/>
      <c r="V3162" s="37"/>
      <c r="W3162" s="37"/>
      <c r="X3162" s="37"/>
      <c r="Y3162" s="37"/>
      <c r="Z3162" s="37"/>
      <c r="AA3162" s="37"/>
      <c r="AB3162" s="37"/>
      <c r="AC3162" s="37"/>
      <c r="AD3162" s="37"/>
      <c r="AE3162" s="37"/>
      <c r="AF3162" s="37"/>
      <c r="AG3162" s="37"/>
      <c r="AH3162" s="37"/>
      <c r="AI3162" s="37"/>
      <c r="AJ3162" s="37"/>
      <c r="AK3162" s="37"/>
      <c r="AL3162" s="37"/>
      <c r="AM3162" s="37"/>
      <c r="AN3162" s="37"/>
      <c r="AO3162" s="37"/>
      <c r="AP3162" s="37"/>
      <c r="AQ3162" s="37"/>
      <c r="AR3162" s="37"/>
      <c r="AS3162" s="37"/>
      <c r="AT3162" s="37"/>
      <c r="AU3162" s="37"/>
      <c r="AV3162" s="37"/>
      <c r="AW3162" s="37"/>
      <c r="AX3162" s="37"/>
      <c r="AY3162" s="37"/>
      <c r="AZ3162" s="37"/>
      <c r="BA3162" s="37"/>
      <c r="BB3162" s="37"/>
      <c r="BC3162" s="37"/>
      <c r="BD3162" s="37"/>
      <c r="BE3162" s="37"/>
      <c r="BF3162" s="37"/>
      <c r="BG3162" s="37"/>
      <c r="BH3162" s="37"/>
      <c r="BI3162" s="37"/>
      <c r="BJ3162" s="37"/>
      <c r="BK3162" s="37"/>
      <c r="BL3162" s="37"/>
      <c r="BM3162" s="37"/>
      <c r="BN3162" s="37"/>
      <c r="BO3162" s="37"/>
      <c r="BP3162" s="37"/>
      <c r="BQ3162" s="37"/>
      <c r="BR3162" s="37"/>
      <c r="BS3162" s="37"/>
      <c r="BT3162" s="37"/>
      <c r="BU3162" s="37"/>
      <c r="BV3162" s="37"/>
      <c r="BW3162" s="37"/>
      <c r="BX3162" s="37"/>
      <c r="BY3162" s="37"/>
      <c r="BZ3162" s="37"/>
      <c r="CA3162" s="37"/>
      <c r="CB3162" s="37"/>
      <c r="CC3162" s="37"/>
      <c r="CD3162" s="37"/>
      <c r="CE3162" s="37"/>
      <c r="CF3162" s="37"/>
      <c r="CG3162" s="37"/>
      <c r="CH3162" s="37"/>
      <c r="CI3162" s="37"/>
      <c r="CJ3162" s="37"/>
      <c r="CK3162" s="37"/>
      <c r="CL3162" s="37"/>
      <c r="CM3162" s="37"/>
      <c r="CN3162" s="37"/>
      <c r="CO3162" s="37"/>
      <c r="CP3162" s="37"/>
      <c r="CQ3162" s="37"/>
      <c r="CR3162" s="37"/>
      <c r="CS3162" s="37"/>
      <c r="CT3162" s="37"/>
      <c r="CU3162" s="37"/>
      <c r="CV3162" s="37"/>
      <c r="CW3162" s="37"/>
      <c r="CX3162" s="37"/>
      <c r="CY3162" s="37"/>
      <c r="CZ3162" s="37"/>
      <c r="DA3162" s="37"/>
      <c r="DB3162" s="37"/>
      <c r="DC3162" s="37"/>
      <c r="DD3162" s="37"/>
      <c r="DE3162" s="37"/>
      <c r="DF3162" s="37"/>
      <c r="DG3162" s="37"/>
      <c r="DH3162" s="37"/>
      <c r="DI3162" s="37"/>
      <c r="DJ3162" s="37"/>
      <c r="DK3162" s="37"/>
      <c r="DL3162" s="37"/>
      <c r="DM3162" s="37"/>
      <c r="DN3162" s="37"/>
      <c r="DO3162" s="37"/>
      <c r="DP3162" s="37"/>
      <c r="DQ3162" s="37"/>
      <c r="DR3162" s="37"/>
      <c r="DS3162" s="37"/>
      <c r="DT3162" s="37"/>
      <c r="DU3162" s="37"/>
      <c r="DV3162" s="37"/>
      <c r="DW3162" s="37"/>
      <c r="DX3162" s="37"/>
      <c r="DY3162" s="37"/>
      <c r="DZ3162" s="37"/>
      <c r="EA3162" s="37"/>
      <c r="EB3162" s="37"/>
      <c r="EC3162" s="37"/>
      <c r="ED3162" s="37"/>
      <c r="EE3162" s="37"/>
      <c r="EF3162" s="37"/>
      <c r="EG3162" s="37"/>
      <c r="EH3162" s="37"/>
      <c r="EI3162" s="37"/>
      <c r="EJ3162" s="37"/>
      <c r="EK3162" s="37"/>
      <c r="EL3162" s="37"/>
      <c r="EM3162" s="37"/>
      <c r="EN3162" s="37"/>
      <c r="EO3162" s="37"/>
      <c r="EP3162" s="37"/>
      <c r="EQ3162" s="37"/>
      <c r="ER3162" s="37"/>
      <c r="ES3162" s="37"/>
      <c r="ET3162" s="37"/>
      <c r="EU3162" s="37"/>
      <c r="EV3162" s="37"/>
      <c r="EW3162" s="37"/>
      <c r="EX3162" s="37"/>
      <c r="EY3162" s="37"/>
      <c r="EZ3162" s="37"/>
      <c r="FA3162" s="37"/>
      <c r="FB3162" s="37"/>
      <c r="FC3162" s="37"/>
      <c r="FD3162" s="37"/>
      <c r="FE3162" s="37"/>
      <c r="FF3162" s="37"/>
      <c r="FG3162" s="37"/>
      <c r="FH3162" s="37"/>
      <c r="FI3162" s="37"/>
      <c r="FJ3162" s="37"/>
      <c r="FK3162" s="37"/>
      <c r="FL3162" s="37"/>
      <c r="FM3162" s="37"/>
      <c r="FN3162" s="37"/>
      <c r="FO3162" s="37"/>
      <c r="FP3162" s="37"/>
      <c r="FQ3162" s="37"/>
      <c r="FR3162" s="37"/>
      <c r="FS3162" s="37"/>
      <c r="FT3162" s="37"/>
      <c r="FU3162" s="37"/>
      <c r="FV3162" s="37"/>
      <c r="FW3162" s="37"/>
      <c r="FX3162" s="37"/>
      <c r="FY3162" s="37"/>
      <c r="FZ3162" s="37"/>
      <c r="GA3162" s="37"/>
      <c r="GB3162" s="37"/>
      <c r="GC3162" s="37"/>
      <c r="GD3162" s="37"/>
      <c r="GE3162" s="37"/>
      <c r="GF3162" s="37"/>
      <c r="GG3162" s="37"/>
      <c r="GH3162" s="37"/>
      <c r="GI3162" s="37"/>
      <c r="GJ3162" s="37"/>
      <c r="GK3162" s="37"/>
      <c r="GL3162" s="37"/>
      <c r="GM3162" s="37"/>
      <c r="GN3162" s="37"/>
      <c r="GO3162" s="37"/>
      <c r="GP3162" s="37"/>
      <c r="GQ3162" s="37"/>
      <c r="GR3162" s="37"/>
      <c r="GS3162" s="37"/>
      <c r="GT3162" s="37"/>
      <c r="GU3162" s="37"/>
      <c r="GV3162" s="37"/>
      <c r="GW3162" s="37"/>
      <c r="GX3162" s="37"/>
      <c r="GY3162" s="37"/>
      <c r="GZ3162" s="37"/>
      <c r="HA3162" s="37"/>
      <c r="HB3162" s="37"/>
      <c r="HC3162" s="37"/>
      <c r="HD3162" s="37"/>
      <c r="HE3162" s="37"/>
      <c r="HF3162" s="37"/>
      <c r="HG3162" s="37"/>
      <c r="HH3162" s="37"/>
      <c r="HI3162" s="37"/>
      <c r="HJ3162" s="37"/>
      <c r="HK3162" s="37"/>
      <c r="HL3162" s="37"/>
      <c r="HM3162" s="37"/>
      <c r="HN3162" s="37"/>
      <c r="HO3162" s="37"/>
      <c r="HP3162" s="37"/>
      <c r="HQ3162" s="37"/>
      <c r="HR3162" s="37"/>
      <c r="HS3162" s="37"/>
      <c r="HT3162" s="37"/>
      <c r="HU3162" s="37"/>
      <c r="HV3162" s="37"/>
      <c r="HW3162" s="37"/>
      <c r="HX3162" s="37"/>
      <c r="HY3162" s="37"/>
      <c r="HZ3162" s="37"/>
      <c r="IA3162" s="37"/>
      <c r="IB3162" s="37"/>
      <c r="IC3162" s="37"/>
      <c r="ID3162" s="37"/>
      <c r="IE3162" s="37"/>
      <c r="IF3162" s="37"/>
      <c r="IG3162" s="37"/>
      <c r="IH3162" s="37"/>
      <c r="II3162" s="37"/>
      <c r="IJ3162" s="37"/>
      <c r="IK3162" s="37"/>
      <c r="IL3162" s="37"/>
      <c r="IM3162" s="37"/>
      <c r="IN3162" s="37"/>
      <c r="IO3162" s="37"/>
      <c r="IP3162" s="37"/>
      <c r="IQ3162" s="37"/>
      <c r="IR3162" s="37"/>
      <c r="IS3162" s="37"/>
      <c r="IT3162" s="37"/>
      <c r="IU3162" s="37"/>
      <c r="IV3162" s="37"/>
      <c r="IW3162" s="37"/>
      <c r="IX3162" s="37"/>
      <c r="IY3162" s="37"/>
      <c r="IZ3162" s="37"/>
      <c r="JA3162" s="37"/>
      <c r="JB3162" s="37"/>
      <c r="JC3162" s="37"/>
      <c r="JD3162" s="37"/>
      <c r="JE3162" s="37"/>
      <c r="JF3162" s="37"/>
      <c r="JG3162" s="37"/>
      <c r="JH3162" s="37"/>
      <c r="JI3162" s="37"/>
      <c r="JJ3162" s="37"/>
      <c r="JK3162" s="37"/>
      <c r="JL3162" s="37"/>
      <c r="JM3162" s="37"/>
      <c r="JN3162" s="37"/>
      <c r="JO3162" s="37"/>
      <c r="JP3162" s="37"/>
      <c r="JQ3162" s="37"/>
      <c r="JR3162" s="37"/>
      <c r="JS3162" s="37"/>
      <c r="JT3162" s="37"/>
      <c r="JU3162" s="37"/>
      <c r="JV3162" s="37"/>
      <c r="JW3162" s="37"/>
      <c r="JX3162" s="37"/>
      <c r="JY3162" s="37"/>
      <c r="JZ3162" s="37"/>
      <c r="KA3162" s="37"/>
      <c r="KB3162" s="37"/>
      <c r="KC3162" s="37"/>
      <c r="KD3162" s="37"/>
      <c r="KE3162" s="37"/>
      <c r="KF3162" s="37"/>
      <c r="KG3162" s="37"/>
      <c r="KH3162" s="37"/>
      <c r="KI3162" s="37"/>
      <c r="KJ3162" s="37"/>
      <c r="KK3162" s="37"/>
      <c r="KL3162" s="37"/>
      <c r="KM3162" s="37"/>
      <c r="KN3162" s="37"/>
      <c r="KO3162" s="37"/>
      <c r="KP3162" s="37"/>
      <c r="KQ3162" s="37"/>
      <c r="KR3162" s="37"/>
      <c r="KS3162" s="37"/>
      <c r="KT3162" s="37"/>
      <c r="KU3162" s="37"/>
      <c r="KV3162" s="37"/>
      <c r="KW3162" s="37"/>
      <c r="KX3162" s="37"/>
      <c r="KY3162" s="37"/>
      <c r="KZ3162" s="37"/>
      <c r="LA3162" s="37"/>
      <c r="LB3162" s="37"/>
      <c r="LC3162" s="37"/>
      <c r="LD3162" s="37"/>
      <c r="LE3162" s="37"/>
      <c r="LF3162" s="37"/>
      <c r="LG3162" s="37"/>
      <c r="LH3162" s="37"/>
      <c r="LI3162" s="37"/>
      <c r="LJ3162" s="37"/>
      <c r="LK3162" s="37"/>
      <c r="LL3162" s="37"/>
      <c r="LM3162" s="37"/>
      <c r="LN3162" s="37"/>
      <c r="LO3162" s="37"/>
      <c r="LP3162" s="37"/>
      <c r="LQ3162" s="37"/>
      <c r="LR3162" s="37"/>
      <c r="LS3162" s="37"/>
      <c r="LT3162" s="37"/>
      <c r="LU3162" s="37"/>
      <c r="LV3162" s="37"/>
      <c r="LW3162" s="37"/>
      <c r="LX3162" s="37"/>
      <c r="LY3162" s="37"/>
      <c r="LZ3162" s="37"/>
      <c r="MA3162" s="37"/>
      <c r="MB3162" s="37"/>
      <c r="MC3162" s="37"/>
      <c r="MD3162" s="37"/>
      <c r="ME3162" s="37"/>
      <c r="MF3162" s="37"/>
      <c r="MG3162" s="37"/>
      <c r="MH3162" s="37"/>
      <c r="MI3162" s="37"/>
      <c r="MJ3162" s="37"/>
      <c r="MK3162" s="37"/>
      <c r="ML3162" s="37"/>
      <c r="MM3162" s="37"/>
      <c r="MN3162" s="37"/>
      <c r="MO3162" s="37"/>
      <c r="MP3162" s="37"/>
      <c r="MQ3162" s="37"/>
      <c r="MR3162" s="37"/>
      <c r="MS3162" s="37"/>
      <c r="MT3162" s="37"/>
      <c r="MU3162" s="37"/>
      <c r="MV3162" s="37"/>
      <c r="MW3162" s="37"/>
      <c r="MX3162" s="37"/>
      <c r="MY3162" s="37"/>
      <c r="MZ3162" s="37"/>
      <c r="NA3162" s="37"/>
      <c r="NB3162" s="37"/>
      <c r="NC3162" s="37"/>
      <c r="ND3162" s="37"/>
      <c r="NE3162" s="37"/>
      <c r="NF3162" s="37"/>
      <c r="NG3162" s="37"/>
      <c r="NH3162" s="37"/>
      <c r="NI3162" s="37"/>
      <c r="NJ3162" s="37"/>
      <c r="NK3162" s="37"/>
      <c r="NL3162" s="37"/>
      <c r="NM3162" s="37"/>
      <c r="NN3162" s="37"/>
      <c r="NO3162" s="37"/>
      <c r="NP3162" s="37"/>
      <c r="NQ3162" s="37"/>
      <c r="NR3162" s="37"/>
      <c r="NS3162" s="37"/>
      <c r="NT3162" s="37"/>
      <c r="NU3162" s="37"/>
      <c r="NV3162" s="37"/>
      <c r="NW3162" s="37"/>
      <c r="NX3162" s="37"/>
      <c r="NY3162" s="37"/>
      <c r="NZ3162" s="37"/>
      <c r="OA3162" s="37"/>
      <c r="OB3162" s="37"/>
      <c r="OC3162" s="37"/>
      <c r="OD3162" s="37"/>
      <c r="OE3162" s="37"/>
      <c r="OF3162" s="37"/>
      <c r="OG3162" s="37"/>
      <c r="OH3162" s="37"/>
      <c r="OI3162" s="37"/>
      <c r="OJ3162" s="37"/>
      <c r="OK3162" s="37"/>
      <c r="OL3162" s="37"/>
      <c r="OM3162" s="37"/>
      <c r="ON3162" s="37"/>
      <c r="OO3162" s="37"/>
      <c r="OP3162" s="37"/>
      <c r="OQ3162" s="37"/>
      <c r="OR3162" s="37"/>
      <c r="OS3162" s="37"/>
      <c r="OT3162" s="37"/>
      <c r="OU3162" s="37"/>
      <c r="OV3162" s="37"/>
      <c r="OW3162" s="37"/>
      <c r="OX3162" s="37"/>
      <c r="OY3162" s="37"/>
      <c r="OZ3162" s="37"/>
      <c r="PA3162" s="37"/>
      <c r="PB3162" s="37"/>
      <c r="PC3162" s="37"/>
      <c r="PD3162" s="37"/>
      <c r="PE3162" s="37"/>
      <c r="PF3162" s="37"/>
      <c r="PG3162" s="37"/>
      <c r="PH3162" s="37"/>
      <c r="PI3162" s="37"/>
      <c r="PJ3162" s="37"/>
      <c r="PK3162" s="37"/>
      <c r="PL3162" s="37"/>
      <c r="PM3162" s="37"/>
      <c r="PN3162" s="37"/>
      <c r="PO3162" s="37"/>
      <c r="PP3162" s="37"/>
      <c r="PQ3162" s="37"/>
      <c r="PR3162" s="37"/>
      <c r="PS3162" s="37"/>
      <c r="PT3162" s="37"/>
      <c r="PU3162" s="37"/>
      <c r="PV3162" s="37"/>
      <c r="PW3162" s="37"/>
      <c r="PX3162" s="37"/>
      <c r="PY3162" s="37"/>
      <c r="PZ3162" s="37"/>
      <c r="QA3162" s="37"/>
      <c r="QB3162" s="37"/>
      <c r="QC3162" s="37"/>
      <c r="QD3162" s="37"/>
      <c r="QE3162" s="37"/>
      <c r="QF3162" s="37"/>
      <c r="QG3162" s="37"/>
      <c r="QH3162" s="37"/>
      <c r="QI3162" s="37"/>
      <c r="QJ3162" s="37"/>
      <c r="QK3162" s="37"/>
      <c r="QL3162" s="37"/>
      <c r="QM3162" s="37"/>
      <c r="QN3162" s="37"/>
      <c r="QO3162" s="37"/>
      <c r="QP3162" s="37"/>
      <c r="QQ3162" s="37"/>
      <c r="QR3162" s="37"/>
      <c r="QS3162" s="37"/>
      <c r="QT3162" s="37"/>
      <c r="QU3162" s="37"/>
      <c r="QV3162" s="37"/>
      <c r="QW3162" s="37"/>
      <c r="QX3162" s="37"/>
      <c r="QY3162" s="37"/>
      <c r="QZ3162" s="37"/>
      <c r="RA3162" s="37"/>
      <c r="RB3162" s="37"/>
      <c r="RC3162" s="37"/>
      <c r="RD3162" s="37"/>
      <c r="RE3162" s="37"/>
      <c r="RF3162" s="37"/>
      <c r="RG3162" s="37"/>
      <c r="RH3162" s="37"/>
      <c r="RI3162" s="37"/>
      <c r="RJ3162" s="37"/>
      <c r="RK3162" s="37"/>
      <c r="RL3162" s="37"/>
      <c r="RM3162" s="37"/>
      <c r="RN3162" s="37"/>
      <c r="RO3162" s="37"/>
      <c r="RP3162" s="37"/>
      <c r="RQ3162" s="37"/>
      <c r="RR3162" s="37"/>
      <c r="RS3162" s="37"/>
      <c r="RT3162" s="37"/>
      <c r="RU3162" s="37"/>
      <c r="RV3162" s="37"/>
      <c r="RW3162" s="37"/>
      <c r="RX3162" s="37"/>
      <c r="RY3162" s="37"/>
      <c r="RZ3162" s="37"/>
      <c r="SA3162" s="37"/>
      <c r="SB3162" s="37"/>
      <c r="SC3162" s="37"/>
      <c r="SD3162" s="37"/>
      <c r="SE3162" s="37"/>
      <c r="SF3162" s="37"/>
    </row>
    <row r="3163" spans="1:500">
      <c r="A3163" s="37"/>
      <c r="B3163" s="37"/>
      <c r="C3163" s="37"/>
      <c r="D3163" s="37"/>
      <c r="E3163" s="37"/>
      <c r="F3163" s="37"/>
      <c r="G3163" s="37"/>
      <c r="H3163" s="37"/>
      <c r="I3163" s="37"/>
      <c r="J3163" s="37"/>
      <c r="K3163" s="37"/>
      <c r="L3163" s="37"/>
      <c r="M3163" s="37"/>
      <c r="N3163" s="37"/>
      <c r="O3163" s="37"/>
      <c r="P3163" s="37"/>
      <c r="Q3163" s="37"/>
      <c r="R3163" s="37"/>
      <c r="S3163" s="37"/>
      <c r="T3163" s="37"/>
      <c r="U3163" s="37"/>
      <c r="V3163" s="37"/>
      <c r="W3163" s="37"/>
      <c r="X3163" s="37"/>
      <c r="Y3163" s="37"/>
      <c r="Z3163" s="37"/>
      <c r="AA3163" s="37"/>
      <c r="AB3163" s="37"/>
      <c r="AC3163" s="37"/>
      <c r="AD3163" s="37"/>
      <c r="AE3163" s="37"/>
      <c r="AF3163" s="37"/>
      <c r="AG3163" s="37"/>
      <c r="AH3163" s="37"/>
      <c r="AI3163" s="37"/>
      <c r="AJ3163" s="37"/>
      <c r="AK3163" s="37"/>
      <c r="AL3163" s="37"/>
      <c r="AM3163" s="37"/>
      <c r="AN3163" s="37"/>
      <c r="AO3163" s="37"/>
      <c r="AP3163" s="37"/>
      <c r="AQ3163" s="37"/>
      <c r="AR3163" s="37"/>
      <c r="AS3163" s="37"/>
      <c r="AT3163" s="37"/>
      <c r="AU3163" s="37"/>
      <c r="AV3163" s="37"/>
      <c r="AW3163" s="37"/>
      <c r="AX3163" s="37"/>
      <c r="AY3163" s="37"/>
      <c r="AZ3163" s="37"/>
      <c r="BA3163" s="37"/>
      <c r="BB3163" s="37"/>
      <c r="BC3163" s="37"/>
      <c r="BD3163" s="37"/>
      <c r="BE3163" s="37"/>
      <c r="BF3163" s="37"/>
      <c r="BG3163" s="37"/>
      <c r="BH3163" s="37"/>
      <c r="BI3163" s="37"/>
      <c r="BJ3163" s="37"/>
      <c r="BK3163" s="37"/>
      <c r="BL3163" s="37"/>
      <c r="BM3163" s="37"/>
      <c r="BN3163" s="37"/>
      <c r="BO3163" s="37"/>
      <c r="BP3163" s="37"/>
      <c r="BQ3163" s="37"/>
      <c r="BR3163" s="37"/>
      <c r="BS3163" s="37"/>
      <c r="BT3163" s="37"/>
      <c r="BU3163" s="37"/>
      <c r="BV3163" s="37"/>
      <c r="BW3163" s="37"/>
      <c r="BX3163" s="37"/>
      <c r="BY3163" s="37"/>
      <c r="BZ3163" s="37"/>
      <c r="CA3163" s="37"/>
      <c r="CB3163" s="37"/>
      <c r="CC3163" s="37"/>
      <c r="CD3163" s="37"/>
      <c r="CE3163" s="37"/>
      <c r="CF3163" s="37"/>
      <c r="CG3163" s="37"/>
      <c r="CH3163" s="37"/>
      <c r="CI3163" s="37"/>
      <c r="CJ3163" s="37"/>
      <c r="CK3163" s="37"/>
      <c r="CL3163" s="37"/>
      <c r="CM3163" s="37"/>
      <c r="CN3163" s="37"/>
      <c r="CO3163" s="37"/>
      <c r="CP3163" s="37"/>
      <c r="CQ3163" s="37"/>
      <c r="CR3163" s="37"/>
      <c r="CS3163" s="37"/>
      <c r="CT3163" s="37"/>
      <c r="CU3163" s="37"/>
      <c r="CV3163" s="37"/>
      <c r="CW3163" s="37"/>
      <c r="CX3163" s="37"/>
      <c r="CY3163" s="37"/>
      <c r="CZ3163" s="37"/>
      <c r="DA3163" s="37"/>
      <c r="DB3163" s="37"/>
      <c r="DC3163" s="37"/>
      <c r="DD3163" s="37"/>
      <c r="DE3163" s="37"/>
      <c r="DF3163" s="37"/>
      <c r="DG3163" s="37"/>
      <c r="DH3163" s="37"/>
      <c r="DI3163" s="37"/>
      <c r="DJ3163" s="37"/>
      <c r="DK3163" s="37"/>
      <c r="DL3163" s="37"/>
      <c r="DM3163" s="37"/>
      <c r="DN3163" s="37"/>
      <c r="DO3163" s="37"/>
      <c r="DP3163" s="37"/>
      <c r="DQ3163" s="37"/>
      <c r="DR3163" s="37"/>
      <c r="DS3163" s="37"/>
      <c r="DT3163" s="37"/>
      <c r="DU3163" s="37"/>
      <c r="DV3163" s="37"/>
      <c r="DW3163" s="37"/>
      <c r="DX3163" s="37"/>
      <c r="DY3163" s="37"/>
      <c r="DZ3163" s="37"/>
      <c r="EA3163" s="37"/>
      <c r="EB3163" s="37"/>
      <c r="EC3163" s="37"/>
      <c r="ED3163" s="37"/>
      <c r="EE3163" s="37"/>
      <c r="EF3163" s="37"/>
      <c r="EG3163" s="37"/>
      <c r="EH3163" s="37"/>
      <c r="EI3163" s="37"/>
      <c r="EJ3163" s="37"/>
      <c r="EK3163" s="37"/>
      <c r="EL3163" s="37"/>
      <c r="EM3163" s="37"/>
      <c r="EN3163" s="37"/>
      <c r="EO3163" s="37"/>
      <c r="EP3163" s="37"/>
      <c r="EQ3163" s="37"/>
      <c r="ER3163" s="37"/>
      <c r="ES3163" s="37"/>
      <c r="ET3163" s="37"/>
      <c r="EU3163" s="37"/>
      <c r="EV3163" s="37"/>
      <c r="EW3163" s="37"/>
      <c r="EX3163" s="37"/>
      <c r="EY3163" s="37"/>
      <c r="EZ3163" s="37"/>
      <c r="FA3163" s="37"/>
      <c r="FB3163" s="37"/>
      <c r="FC3163" s="37"/>
      <c r="FD3163" s="37"/>
      <c r="FE3163" s="37"/>
      <c r="FF3163" s="37"/>
      <c r="FG3163" s="37"/>
      <c r="FH3163" s="37"/>
      <c r="FI3163" s="37"/>
      <c r="FJ3163" s="37"/>
      <c r="FK3163" s="37"/>
      <c r="FL3163" s="37"/>
      <c r="FM3163" s="37"/>
      <c r="FN3163" s="37"/>
      <c r="FO3163" s="37"/>
      <c r="FP3163" s="37"/>
      <c r="FQ3163" s="37"/>
      <c r="FR3163" s="37"/>
      <c r="FS3163" s="37"/>
      <c r="FT3163" s="37"/>
      <c r="FU3163" s="37"/>
      <c r="FV3163" s="37"/>
      <c r="FW3163" s="37"/>
      <c r="FX3163" s="37"/>
      <c r="FY3163" s="37"/>
      <c r="FZ3163" s="37"/>
      <c r="GA3163" s="37"/>
      <c r="GB3163" s="37"/>
      <c r="GC3163" s="37"/>
      <c r="GD3163" s="37"/>
      <c r="GE3163" s="37"/>
      <c r="GF3163" s="37"/>
      <c r="GG3163" s="37"/>
      <c r="GH3163" s="37"/>
      <c r="GI3163" s="37"/>
      <c r="GJ3163" s="37"/>
      <c r="GK3163" s="37"/>
      <c r="GL3163" s="37"/>
      <c r="GM3163" s="37"/>
      <c r="GN3163" s="37"/>
      <c r="GO3163" s="37"/>
      <c r="GP3163" s="37"/>
      <c r="GQ3163" s="37"/>
      <c r="GR3163" s="37"/>
      <c r="GS3163" s="37"/>
      <c r="GT3163" s="37"/>
      <c r="GU3163" s="37"/>
      <c r="GV3163" s="37"/>
      <c r="GW3163" s="37"/>
      <c r="GX3163" s="37"/>
      <c r="GY3163" s="37"/>
      <c r="GZ3163" s="37"/>
      <c r="HA3163" s="37"/>
      <c r="HB3163" s="37"/>
      <c r="HC3163" s="37"/>
      <c r="HD3163" s="37"/>
      <c r="HE3163" s="37"/>
      <c r="HF3163" s="37"/>
      <c r="HG3163" s="37"/>
      <c r="HH3163" s="37"/>
      <c r="HI3163" s="37"/>
      <c r="HJ3163" s="37"/>
      <c r="HK3163" s="37"/>
      <c r="HL3163" s="37"/>
      <c r="HM3163" s="37"/>
      <c r="HN3163" s="37"/>
      <c r="HO3163" s="37"/>
      <c r="HP3163" s="37"/>
      <c r="HQ3163" s="37"/>
      <c r="HR3163" s="37"/>
      <c r="HS3163" s="37"/>
      <c r="HT3163" s="37"/>
      <c r="HU3163" s="37"/>
      <c r="HV3163" s="37"/>
      <c r="HW3163" s="37"/>
      <c r="HX3163" s="37"/>
      <c r="HY3163" s="37"/>
      <c r="HZ3163" s="37"/>
      <c r="IA3163" s="37"/>
      <c r="IB3163" s="37"/>
      <c r="IC3163" s="37"/>
      <c r="ID3163" s="37"/>
      <c r="IE3163" s="37"/>
      <c r="IF3163" s="37"/>
      <c r="IG3163" s="37"/>
      <c r="IH3163" s="37"/>
      <c r="II3163" s="37"/>
      <c r="IJ3163" s="37"/>
      <c r="IK3163" s="37"/>
      <c r="IL3163" s="37"/>
      <c r="IM3163" s="37"/>
      <c r="IN3163" s="37"/>
      <c r="IO3163" s="37"/>
      <c r="IP3163" s="37"/>
      <c r="IQ3163" s="37"/>
      <c r="IR3163" s="37"/>
      <c r="IS3163" s="37"/>
      <c r="IT3163" s="37"/>
      <c r="IU3163" s="37"/>
      <c r="IV3163" s="37"/>
      <c r="IW3163" s="37"/>
      <c r="IX3163" s="37"/>
      <c r="IY3163" s="37"/>
      <c r="IZ3163" s="37"/>
      <c r="JA3163" s="37"/>
      <c r="JB3163" s="37"/>
      <c r="JC3163" s="37"/>
      <c r="JD3163" s="37"/>
      <c r="JE3163" s="37"/>
      <c r="JF3163" s="37"/>
      <c r="JG3163" s="37"/>
      <c r="JH3163" s="37"/>
      <c r="JI3163" s="37"/>
      <c r="JJ3163" s="37"/>
      <c r="JK3163" s="37"/>
      <c r="JL3163" s="37"/>
      <c r="JM3163" s="37"/>
      <c r="JN3163" s="37"/>
      <c r="JO3163" s="37"/>
      <c r="JP3163" s="37"/>
      <c r="JQ3163" s="37"/>
      <c r="JR3163" s="37"/>
      <c r="JS3163" s="37"/>
      <c r="JT3163" s="37"/>
      <c r="JU3163" s="37"/>
      <c r="JV3163" s="37"/>
      <c r="JW3163" s="37"/>
      <c r="JX3163" s="37"/>
      <c r="JY3163" s="37"/>
      <c r="JZ3163" s="37"/>
      <c r="KA3163" s="37"/>
      <c r="KB3163" s="37"/>
      <c r="KC3163" s="37"/>
      <c r="KD3163" s="37"/>
      <c r="KE3163" s="37"/>
      <c r="KF3163" s="37"/>
      <c r="KG3163" s="37"/>
      <c r="KH3163" s="37"/>
      <c r="KI3163" s="37"/>
      <c r="KJ3163" s="37"/>
      <c r="KK3163" s="37"/>
      <c r="KL3163" s="37"/>
      <c r="KM3163" s="37"/>
      <c r="KN3163" s="37"/>
      <c r="KO3163" s="37"/>
      <c r="KP3163" s="37"/>
      <c r="KQ3163" s="37"/>
      <c r="KR3163" s="37"/>
      <c r="KS3163" s="37"/>
      <c r="KT3163" s="37"/>
      <c r="KU3163" s="37"/>
      <c r="KV3163" s="37"/>
      <c r="KW3163" s="37"/>
      <c r="KX3163" s="37"/>
      <c r="KY3163" s="37"/>
      <c r="KZ3163" s="37"/>
      <c r="LA3163" s="37"/>
      <c r="LB3163" s="37"/>
      <c r="LC3163" s="37"/>
      <c r="LD3163" s="37"/>
      <c r="LE3163" s="37"/>
      <c r="LF3163" s="37"/>
      <c r="LG3163" s="37"/>
      <c r="LH3163" s="37"/>
      <c r="LI3163" s="37"/>
      <c r="LJ3163" s="37"/>
      <c r="LK3163" s="37"/>
      <c r="LL3163" s="37"/>
      <c r="LM3163" s="37"/>
      <c r="LN3163" s="37"/>
      <c r="LO3163" s="37"/>
      <c r="LP3163" s="37"/>
      <c r="LQ3163" s="37"/>
      <c r="LR3163" s="37"/>
      <c r="LS3163" s="37"/>
      <c r="LT3163" s="37"/>
      <c r="LU3163" s="37"/>
      <c r="LV3163" s="37"/>
      <c r="LW3163" s="37"/>
      <c r="LX3163" s="37"/>
      <c r="LY3163" s="37"/>
      <c r="LZ3163" s="37"/>
      <c r="MA3163" s="37"/>
      <c r="MB3163" s="37"/>
      <c r="MC3163" s="37"/>
      <c r="MD3163" s="37"/>
      <c r="ME3163" s="37"/>
      <c r="MF3163" s="37"/>
      <c r="MG3163" s="37"/>
      <c r="MH3163" s="37"/>
      <c r="MI3163" s="37"/>
      <c r="MJ3163" s="37"/>
      <c r="MK3163" s="37"/>
      <c r="ML3163" s="37"/>
      <c r="MM3163" s="37"/>
      <c r="MN3163" s="37"/>
      <c r="MO3163" s="37"/>
      <c r="MP3163" s="37"/>
      <c r="MQ3163" s="37"/>
      <c r="MR3163" s="37"/>
      <c r="MS3163" s="37"/>
      <c r="MT3163" s="37"/>
      <c r="MU3163" s="37"/>
      <c r="MV3163" s="37"/>
      <c r="MW3163" s="37"/>
      <c r="MX3163" s="37"/>
      <c r="MY3163" s="37"/>
      <c r="MZ3163" s="37"/>
      <c r="NA3163" s="37"/>
      <c r="NB3163" s="37"/>
      <c r="NC3163" s="37"/>
      <c r="ND3163" s="37"/>
      <c r="NE3163" s="37"/>
      <c r="NF3163" s="37"/>
      <c r="NG3163" s="37"/>
      <c r="NH3163" s="37"/>
      <c r="NI3163" s="37"/>
      <c r="NJ3163" s="37"/>
      <c r="NK3163" s="37"/>
      <c r="NL3163" s="37"/>
      <c r="NM3163" s="37"/>
      <c r="NN3163" s="37"/>
      <c r="NO3163" s="37"/>
      <c r="NP3163" s="37"/>
      <c r="NQ3163" s="37"/>
      <c r="NR3163" s="37"/>
      <c r="NS3163" s="37"/>
      <c r="NT3163" s="37"/>
      <c r="NU3163" s="37"/>
      <c r="NV3163" s="37"/>
      <c r="NW3163" s="37"/>
      <c r="NX3163" s="37"/>
      <c r="NY3163" s="37"/>
      <c r="NZ3163" s="37"/>
      <c r="OA3163" s="37"/>
      <c r="OB3163" s="37"/>
      <c r="OC3163" s="37"/>
      <c r="OD3163" s="37"/>
      <c r="OE3163" s="37"/>
      <c r="OF3163" s="37"/>
      <c r="OG3163" s="37"/>
      <c r="OH3163" s="37"/>
      <c r="OI3163" s="37"/>
      <c r="OJ3163" s="37"/>
      <c r="OK3163" s="37"/>
      <c r="OL3163" s="37"/>
      <c r="OM3163" s="37"/>
      <c r="ON3163" s="37"/>
      <c r="OO3163" s="37"/>
      <c r="OP3163" s="37"/>
      <c r="OQ3163" s="37"/>
      <c r="OR3163" s="37"/>
      <c r="OS3163" s="37"/>
      <c r="OT3163" s="37"/>
      <c r="OU3163" s="37"/>
      <c r="OV3163" s="37"/>
      <c r="OW3163" s="37"/>
      <c r="OX3163" s="37"/>
      <c r="OY3163" s="37"/>
      <c r="OZ3163" s="37"/>
      <c r="PA3163" s="37"/>
      <c r="PB3163" s="37"/>
      <c r="PC3163" s="37"/>
      <c r="PD3163" s="37"/>
      <c r="PE3163" s="37"/>
      <c r="PF3163" s="37"/>
      <c r="PG3163" s="37"/>
      <c r="PH3163" s="37"/>
      <c r="PI3163" s="37"/>
      <c r="PJ3163" s="37"/>
      <c r="PK3163" s="37"/>
      <c r="PL3163" s="37"/>
      <c r="PM3163" s="37"/>
      <c r="PN3163" s="37"/>
      <c r="PO3163" s="37"/>
      <c r="PP3163" s="37"/>
      <c r="PQ3163" s="37"/>
      <c r="PR3163" s="37"/>
      <c r="PS3163" s="37"/>
      <c r="PT3163" s="37"/>
      <c r="PU3163" s="37"/>
      <c r="PV3163" s="37"/>
      <c r="PW3163" s="37"/>
      <c r="PX3163" s="37"/>
      <c r="PY3163" s="37"/>
      <c r="PZ3163" s="37"/>
      <c r="QA3163" s="37"/>
      <c r="QB3163" s="37"/>
      <c r="QC3163" s="37"/>
      <c r="QD3163" s="37"/>
      <c r="QE3163" s="37"/>
      <c r="QF3163" s="37"/>
      <c r="QG3163" s="37"/>
      <c r="QH3163" s="37"/>
      <c r="QI3163" s="37"/>
      <c r="QJ3163" s="37"/>
      <c r="QK3163" s="37"/>
      <c r="QL3163" s="37"/>
      <c r="QM3163" s="37"/>
      <c r="QN3163" s="37"/>
      <c r="QO3163" s="37"/>
      <c r="QP3163" s="37"/>
      <c r="QQ3163" s="37"/>
      <c r="QR3163" s="37"/>
      <c r="QS3163" s="37"/>
      <c r="QT3163" s="37"/>
      <c r="QU3163" s="37"/>
      <c r="QV3163" s="37"/>
      <c r="QW3163" s="37"/>
      <c r="QX3163" s="37"/>
      <c r="QY3163" s="37"/>
      <c r="QZ3163" s="37"/>
      <c r="RA3163" s="37"/>
      <c r="RB3163" s="37"/>
      <c r="RC3163" s="37"/>
      <c r="RD3163" s="37"/>
      <c r="RE3163" s="37"/>
      <c r="RF3163" s="37"/>
      <c r="RG3163" s="37"/>
      <c r="RH3163" s="37"/>
      <c r="RI3163" s="37"/>
      <c r="RJ3163" s="37"/>
      <c r="RK3163" s="37"/>
      <c r="RL3163" s="37"/>
      <c r="RM3163" s="37"/>
      <c r="RN3163" s="37"/>
      <c r="RO3163" s="37"/>
      <c r="RP3163" s="37"/>
      <c r="RQ3163" s="37"/>
      <c r="RR3163" s="37"/>
      <c r="RS3163" s="37"/>
      <c r="RT3163" s="37"/>
      <c r="RU3163" s="37"/>
      <c r="RV3163" s="37"/>
      <c r="RW3163" s="37"/>
      <c r="RX3163" s="37"/>
      <c r="RY3163" s="37"/>
      <c r="RZ3163" s="37"/>
      <c r="SA3163" s="37"/>
      <c r="SB3163" s="37"/>
      <c r="SC3163" s="37"/>
      <c r="SD3163" s="37"/>
      <c r="SE3163" s="37"/>
      <c r="SF3163" s="37"/>
    </row>
    <row r="3164" spans="1:500">
      <c r="A3164" s="37"/>
      <c r="B3164" s="37"/>
      <c r="C3164" s="37"/>
      <c r="D3164" s="37"/>
      <c r="E3164" s="37"/>
      <c r="F3164" s="37"/>
      <c r="G3164" s="37"/>
      <c r="H3164" s="37"/>
      <c r="I3164" s="37"/>
      <c r="J3164" s="37"/>
      <c r="K3164" s="37"/>
      <c r="L3164" s="37"/>
      <c r="M3164" s="37"/>
      <c r="N3164" s="37"/>
      <c r="O3164" s="37"/>
      <c r="P3164" s="37"/>
      <c r="Q3164" s="37"/>
      <c r="R3164" s="37"/>
      <c r="S3164" s="37"/>
      <c r="T3164" s="37"/>
      <c r="U3164" s="37"/>
      <c r="V3164" s="37"/>
      <c r="W3164" s="37"/>
      <c r="X3164" s="37"/>
      <c r="Y3164" s="37"/>
      <c r="Z3164" s="37"/>
      <c r="AA3164" s="37"/>
      <c r="AB3164" s="37"/>
      <c r="AC3164" s="37"/>
      <c r="AD3164" s="37"/>
      <c r="AE3164" s="37"/>
      <c r="AF3164" s="37"/>
      <c r="AG3164" s="37"/>
      <c r="AH3164" s="37"/>
      <c r="AI3164" s="37"/>
      <c r="AJ3164" s="37"/>
      <c r="AK3164" s="37"/>
      <c r="AL3164" s="37"/>
      <c r="AM3164" s="37"/>
      <c r="AN3164" s="37"/>
      <c r="AO3164" s="37"/>
      <c r="AP3164" s="37"/>
      <c r="AQ3164" s="37"/>
      <c r="AR3164" s="37"/>
      <c r="AS3164" s="37"/>
      <c r="AT3164" s="37"/>
      <c r="AU3164" s="37"/>
      <c r="AV3164" s="37"/>
      <c r="AW3164" s="37"/>
      <c r="AX3164" s="37"/>
      <c r="AY3164" s="37"/>
      <c r="AZ3164" s="37"/>
      <c r="BA3164" s="37"/>
      <c r="BB3164" s="37"/>
      <c r="BC3164" s="37"/>
      <c r="BD3164" s="37"/>
      <c r="BE3164" s="37"/>
      <c r="BF3164" s="37"/>
      <c r="BG3164" s="37"/>
      <c r="BH3164" s="37"/>
      <c r="BI3164" s="37"/>
      <c r="BJ3164" s="37"/>
      <c r="BK3164" s="37"/>
      <c r="BL3164" s="37"/>
      <c r="BM3164" s="37"/>
      <c r="BN3164" s="37"/>
      <c r="BO3164" s="37"/>
      <c r="BP3164" s="37"/>
      <c r="BQ3164" s="37"/>
      <c r="BR3164" s="37"/>
      <c r="BS3164" s="37"/>
      <c r="BT3164" s="37"/>
      <c r="BU3164" s="37"/>
      <c r="BV3164" s="37"/>
      <c r="BW3164" s="37"/>
      <c r="BX3164" s="37"/>
      <c r="BY3164" s="37"/>
      <c r="BZ3164" s="37"/>
      <c r="CA3164" s="37"/>
      <c r="CB3164" s="37"/>
      <c r="CC3164" s="37"/>
      <c r="CD3164" s="37"/>
      <c r="CE3164" s="37"/>
      <c r="CF3164" s="37"/>
      <c r="CG3164" s="37"/>
      <c r="CH3164" s="37"/>
      <c r="CI3164" s="37"/>
      <c r="CJ3164" s="37"/>
      <c r="CK3164" s="37"/>
      <c r="CL3164" s="37"/>
      <c r="CM3164" s="37"/>
      <c r="CN3164" s="37"/>
      <c r="CO3164" s="37"/>
      <c r="CP3164" s="37"/>
      <c r="CQ3164" s="37"/>
      <c r="CR3164" s="37"/>
      <c r="CS3164" s="37"/>
      <c r="CT3164" s="37"/>
      <c r="CU3164" s="37"/>
      <c r="CV3164" s="37"/>
      <c r="CW3164" s="37"/>
      <c r="CX3164" s="37"/>
      <c r="CY3164" s="37"/>
      <c r="CZ3164" s="37"/>
      <c r="DA3164" s="37"/>
      <c r="DB3164" s="37"/>
      <c r="DC3164" s="37"/>
      <c r="DD3164" s="37"/>
      <c r="DE3164" s="37"/>
      <c r="DF3164" s="37"/>
      <c r="DG3164" s="37"/>
      <c r="DH3164" s="37"/>
      <c r="DI3164" s="37"/>
      <c r="DJ3164" s="37"/>
      <c r="DK3164" s="37"/>
      <c r="DL3164" s="37"/>
      <c r="DM3164" s="37"/>
      <c r="DN3164" s="37"/>
      <c r="DO3164" s="37"/>
      <c r="DP3164" s="37"/>
      <c r="DQ3164" s="37"/>
      <c r="DR3164" s="37"/>
      <c r="DS3164" s="37"/>
      <c r="DT3164" s="37"/>
      <c r="DU3164" s="37"/>
      <c r="DV3164" s="37"/>
      <c r="DW3164" s="37"/>
      <c r="DX3164" s="37"/>
      <c r="DY3164" s="37"/>
      <c r="DZ3164" s="37"/>
      <c r="EA3164" s="37"/>
      <c r="EB3164" s="37"/>
      <c r="EC3164" s="37"/>
      <c r="ED3164" s="37"/>
      <c r="EE3164" s="37"/>
      <c r="EF3164" s="37"/>
      <c r="EG3164" s="37"/>
      <c r="EH3164" s="37"/>
      <c r="EI3164" s="37"/>
      <c r="EJ3164" s="37"/>
      <c r="EK3164" s="37"/>
      <c r="EL3164" s="37"/>
      <c r="EM3164" s="37"/>
      <c r="EN3164" s="37"/>
      <c r="EO3164" s="37"/>
      <c r="EP3164" s="37"/>
      <c r="EQ3164" s="37"/>
      <c r="ER3164" s="37"/>
      <c r="ES3164" s="37"/>
      <c r="ET3164" s="37"/>
      <c r="EU3164" s="37"/>
      <c r="EV3164" s="37"/>
      <c r="EW3164" s="37"/>
      <c r="EX3164" s="37"/>
      <c r="EY3164" s="37"/>
      <c r="EZ3164" s="37"/>
      <c r="FA3164" s="37"/>
      <c r="FB3164" s="37"/>
      <c r="FC3164" s="37"/>
      <c r="FD3164" s="37"/>
      <c r="FE3164" s="37"/>
      <c r="FF3164" s="37"/>
      <c r="FG3164" s="37"/>
      <c r="FH3164" s="37"/>
      <c r="FI3164" s="37"/>
      <c r="FJ3164" s="37"/>
      <c r="FK3164" s="37"/>
      <c r="FL3164" s="37"/>
      <c r="FM3164" s="37"/>
      <c r="FN3164" s="37"/>
      <c r="FO3164" s="37"/>
      <c r="FP3164" s="37"/>
      <c r="FQ3164" s="37"/>
      <c r="FR3164" s="37"/>
      <c r="FS3164" s="37"/>
      <c r="FT3164" s="37"/>
      <c r="FU3164" s="37"/>
      <c r="FV3164" s="37"/>
      <c r="FW3164" s="37"/>
      <c r="FX3164" s="37"/>
      <c r="FY3164" s="37"/>
      <c r="FZ3164" s="37"/>
      <c r="GA3164" s="37"/>
      <c r="GB3164" s="37"/>
      <c r="GC3164" s="37"/>
      <c r="GD3164" s="37"/>
      <c r="GE3164" s="37"/>
      <c r="GF3164" s="37"/>
      <c r="GG3164" s="37"/>
      <c r="GH3164" s="37"/>
      <c r="GI3164" s="37"/>
      <c r="GJ3164" s="37"/>
      <c r="GK3164" s="37"/>
      <c r="GL3164" s="37"/>
      <c r="GM3164" s="37"/>
      <c r="GN3164" s="37"/>
      <c r="GO3164" s="37"/>
      <c r="GP3164" s="37"/>
      <c r="GQ3164" s="37"/>
      <c r="GR3164" s="37"/>
      <c r="GS3164" s="37"/>
      <c r="GT3164" s="37"/>
      <c r="GU3164" s="37"/>
      <c r="GV3164" s="37"/>
      <c r="GW3164" s="37"/>
      <c r="GX3164" s="37"/>
      <c r="GY3164" s="37"/>
      <c r="GZ3164" s="37"/>
      <c r="HA3164" s="37"/>
      <c r="HB3164" s="37"/>
      <c r="HC3164" s="37"/>
      <c r="HD3164" s="37"/>
      <c r="HE3164" s="37"/>
      <c r="HF3164" s="37"/>
      <c r="HG3164" s="37"/>
      <c r="HH3164" s="37"/>
      <c r="HI3164" s="37"/>
      <c r="HJ3164" s="37"/>
      <c r="HK3164" s="37"/>
      <c r="HL3164" s="37"/>
      <c r="HM3164" s="37"/>
      <c r="HN3164" s="37"/>
      <c r="HO3164" s="37"/>
      <c r="HP3164" s="37"/>
      <c r="HQ3164" s="37"/>
      <c r="HR3164" s="37"/>
      <c r="HS3164" s="37"/>
      <c r="HT3164" s="37"/>
      <c r="HU3164" s="37"/>
      <c r="HV3164" s="37"/>
      <c r="HW3164" s="37"/>
      <c r="HX3164" s="37"/>
      <c r="HY3164" s="37"/>
      <c r="HZ3164" s="37"/>
      <c r="IA3164" s="37"/>
      <c r="IB3164" s="37"/>
      <c r="IC3164" s="37"/>
      <c r="ID3164" s="37"/>
      <c r="IE3164" s="37"/>
      <c r="IF3164" s="37"/>
      <c r="IG3164" s="37"/>
      <c r="IH3164" s="37"/>
      <c r="II3164" s="37"/>
      <c r="IJ3164" s="37"/>
      <c r="IK3164" s="37"/>
      <c r="IL3164" s="37"/>
      <c r="IM3164" s="37"/>
      <c r="IN3164" s="37"/>
      <c r="IO3164" s="37"/>
      <c r="IP3164" s="37"/>
      <c r="IQ3164" s="37"/>
      <c r="IR3164" s="37"/>
      <c r="IS3164" s="37"/>
      <c r="IT3164" s="37"/>
      <c r="IU3164" s="37"/>
      <c r="IV3164" s="37"/>
      <c r="IW3164" s="37"/>
      <c r="IX3164" s="37"/>
      <c r="IY3164" s="37"/>
      <c r="IZ3164" s="37"/>
      <c r="JA3164" s="37"/>
      <c r="JB3164" s="37"/>
      <c r="JC3164" s="37"/>
      <c r="JD3164" s="37"/>
      <c r="JE3164" s="37"/>
      <c r="JF3164" s="37"/>
      <c r="JG3164" s="37"/>
      <c r="JH3164" s="37"/>
      <c r="JI3164" s="37"/>
      <c r="JJ3164" s="37"/>
      <c r="JK3164" s="37"/>
      <c r="JL3164" s="37"/>
      <c r="JM3164" s="37"/>
      <c r="JN3164" s="37"/>
      <c r="JO3164" s="37"/>
      <c r="JP3164" s="37"/>
      <c r="JQ3164" s="37"/>
      <c r="JR3164" s="37"/>
      <c r="JS3164" s="37"/>
      <c r="JT3164" s="37"/>
      <c r="JU3164" s="37"/>
      <c r="JV3164" s="37"/>
      <c r="JW3164" s="37"/>
      <c r="JX3164" s="37"/>
      <c r="JY3164" s="37"/>
      <c r="JZ3164" s="37"/>
      <c r="KA3164" s="37"/>
      <c r="KB3164" s="37"/>
      <c r="KC3164" s="37"/>
      <c r="KD3164" s="37"/>
      <c r="KE3164" s="37"/>
      <c r="KF3164" s="37"/>
      <c r="KG3164" s="37"/>
      <c r="KH3164" s="37"/>
      <c r="KI3164" s="37"/>
      <c r="KJ3164" s="37"/>
      <c r="KK3164" s="37"/>
      <c r="KL3164" s="37"/>
      <c r="KM3164" s="37"/>
      <c r="KN3164" s="37"/>
      <c r="KO3164" s="37"/>
      <c r="KP3164" s="37"/>
      <c r="KQ3164" s="37"/>
      <c r="KR3164" s="37"/>
      <c r="KS3164" s="37"/>
      <c r="KT3164" s="37"/>
      <c r="KU3164" s="37"/>
      <c r="KV3164" s="37"/>
      <c r="KW3164" s="37"/>
      <c r="KX3164" s="37"/>
      <c r="KY3164" s="37"/>
      <c r="KZ3164" s="37"/>
      <c r="LA3164" s="37"/>
      <c r="LB3164" s="37"/>
      <c r="LC3164" s="37"/>
      <c r="LD3164" s="37"/>
      <c r="LE3164" s="37"/>
      <c r="LF3164" s="37"/>
      <c r="LG3164" s="37"/>
      <c r="LH3164" s="37"/>
      <c r="LI3164" s="37"/>
      <c r="LJ3164" s="37"/>
      <c r="LK3164" s="37"/>
      <c r="LL3164" s="37"/>
      <c r="LM3164" s="37"/>
      <c r="LN3164" s="37"/>
      <c r="LO3164" s="37"/>
      <c r="LP3164" s="37"/>
      <c r="LQ3164" s="37"/>
      <c r="LR3164" s="37"/>
      <c r="LS3164" s="37"/>
      <c r="LT3164" s="37"/>
      <c r="LU3164" s="37"/>
      <c r="LV3164" s="37"/>
      <c r="LW3164" s="37"/>
      <c r="LX3164" s="37"/>
      <c r="LY3164" s="37"/>
      <c r="LZ3164" s="37"/>
      <c r="MA3164" s="37"/>
      <c r="MB3164" s="37"/>
      <c r="MC3164" s="37"/>
      <c r="MD3164" s="37"/>
      <c r="ME3164" s="37"/>
      <c r="MF3164" s="37"/>
      <c r="MG3164" s="37"/>
      <c r="MH3164" s="37"/>
      <c r="MI3164" s="37"/>
      <c r="MJ3164" s="37"/>
      <c r="MK3164" s="37"/>
      <c r="ML3164" s="37"/>
      <c r="MM3164" s="37"/>
      <c r="MN3164" s="37"/>
      <c r="MO3164" s="37"/>
      <c r="MP3164" s="37"/>
      <c r="MQ3164" s="37"/>
      <c r="MR3164" s="37"/>
      <c r="MS3164" s="37"/>
      <c r="MT3164" s="37"/>
      <c r="MU3164" s="37"/>
      <c r="MV3164" s="37"/>
      <c r="MW3164" s="37"/>
      <c r="MX3164" s="37"/>
      <c r="MY3164" s="37"/>
      <c r="MZ3164" s="37"/>
      <c r="NA3164" s="37"/>
      <c r="NB3164" s="37"/>
      <c r="NC3164" s="37"/>
      <c r="ND3164" s="37"/>
      <c r="NE3164" s="37"/>
      <c r="NF3164" s="37"/>
      <c r="NG3164" s="37"/>
      <c r="NH3164" s="37"/>
      <c r="NI3164" s="37"/>
      <c r="NJ3164" s="37"/>
      <c r="NK3164" s="37"/>
      <c r="NL3164" s="37"/>
      <c r="NM3164" s="37"/>
      <c r="NN3164" s="37"/>
      <c r="NO3164" s="37"/>
      <c r="NP3164" s="37"/>
      <c r="NQ3164" s="37"/>
      <c r="NR3164" s="37"/>
      <c r="NS3164" s="37"/>
      <c r="NT3164" s="37"/>
      <c r="NU3164" s="37"/>
      <c r="NV3164" s="37"/>
      <c r="NW3164" s="37"/>
      <c r="NX3164" s="37"/>
      <c r="NY3164" s="37"/>
      <c r="NZ3164" s="37"/>
      <c r="OA3164" s="37"/>
      <c r="OB3164" s="37"/>
      <c r="OC3164" s="37"/>
      <c r="OD3164" s="37"/>
      <c r="OE3164" s="37"/>
      <c r="OF3164" s="37"/>
      <c r="OG3164" s="37"/>
      <c r="OH3164" s="37"/>
      <c r="OI3164" s="37"/>
      <c r="OJ3164" s="37"/>
      <c r="OK3164" s="37"/>
      <c r="OL3164" s="37"/>
      <c r="OM3164" s="37"/>
      <c r="ON3164" s="37"/>
      <c r="OO3164" s="37"/>
      <c r="OP3164" s="37"/>
      <c r="OQ3164" s="37"/>
      <c r="OR3164" s="37"/>
      <c r="OS3164" s="37"/>
      <c r="OT3164" s="37"/>
      <c r="OU3164" s="37"/>
      <c r="OV3164" s="37"/>
      <c r="OW3164" s="37"/>
      <c r="OX3164" s="37"/>
      <c r="OY3164" s="37"/>
      <c r="OZ3164" s="37"/>
      <c r="PA3164" s="37"/>
      <c r="PB3164" s="37"/>
      <c r="PC3164" s="37"/>
      <c r="PD3164" s="37"/>
      <c r="PE3164" s="37"/>
      <c r="PF3164" s="37"/>
      <c r="PG3164" s="37"/>
      <c r="PH3164" s="37"/>
      <c r="PI3164" s="37"/>
      <c r="PJ3164" s="37"/>
      <c r="PK3164" s="37"/>
      <c r="PL3164" s="37"/>
      <c r="PM3164" s="37"/>
      <c r="PN3164" s="37"/>
      <c r="PO3164" s="37"/>
      <c r="PP3164" s="37"/>
      <c r="PQ3164" s="37"/>
      <c r="PR3164" s="37"/>
      <c r="PS3164" s="37"/>
      <c r="PT3164" s="37"/>
      <c r="PU3164" s="37"/>
      <c r="PV3164" s="37"/>
      <c r="PW3164" s="37"/>
      <c r="PX3164" s="37"/>
      <c r="PY3164" s="37"/>
      <c r="PZ3164" s="37"/>
      <c r="QA3164" s="37"/>
      <c r="QB3164" s="37"/>
      <c r="QC3164" s="37"/>
      <c r="QD3164" s="37"/>
      <c r="QE3164" s="37"/>
      <c r="QF3164" s="37"/>
      <c r="QG3164" s="37"/>
      <c r="QH3164" s="37"/>
      <c r="QI3164" s="37"/>
      <c r="QJ3164" s="37"/>
      <c r="QK3164" s="37"/>
      <c r="QL3164" s="37"/>
      <c r="QM3164" s="37"/>
      <c r="QN3164" s="37"/>
      <c r="QO3164" s="37"/>
      <c r="QP3164" s="37"/>
      <c r="QQ3164" s="37"/>
      <c r="QR3164" s="37"/>
      <c r="QS3164" s="37"/>
      <c r="QT3164" s="37"/>
      <c r="QU3164" s="37"/>
      <c r="QV3164" s="37"/>
      <c r="QW3164" s="37"/>
      <c r="QX3164" s="37"/>
      <c r="QY3164" s="37"/>
      <c r="QZ3164" s="37"/>
      <c r="RA3164" s="37"/>
      <c r="RB3164" s="37"/>
      <c r="RC3164" s="37"/>
      <c r="RD3164" s="37"/>
      <c r="RE3164" s="37"/>
      <c r="RF3164" s="37"/>
      <c r="RG3164" s="37"/>
      <c r="RH3164" s="37"/>
      <c r="RI3164" s="37"/>
      <c r="RJ3164" s="37"/>
      <c r="RK3164" s="37"/>
      <c r="RL3164" s="37"/>
      <c r="RM3164" s="37"/>
      <c r="RN3164" s="37"/>
      <c r="RO3164" s="37"/>
      <c r="RP3164" s="37"/>
      <c r="RQ3164" s="37"/>
      <c r="RR3164" s="37"/>
      <c r="RS3164" s="37"/>
      <c r="RT3164" s="37"/>
      <c r="RU3164" s="37"/>
      <c r="RV3164" s="37"/>
      <c r="RW3164" s="37"/>
      <c r="RX3164" s="37"/>
      <c r="RY3164" s="37"/>
      <c r="RZ3164" s="37"/>
      <c r="SA3164" s="37"/>
      <c r="SB3164" s="37"/>
      <c r="SC3164" s="37"/>
      <c r="SD3164" s="37"/>
      <c r="SE3164" s="37"/>
      <c r="SF3164" s="37"/>
    </row>
    <row r="3165" spans="1:500">
      <c r="A3165" s="37"/>
      <c r="B3165" s="37"/>
      <c r="C3165" s="37"/>
      <c r="D3165" s="37"/>
      <c r="E3165" s="37"/>
      <c r="F3165" s="37"/>
      <c r="G3165" s="37"/>
      <c r="H3165" s="37"/>
      <c r="I3165" s="37"/>
      <c r="J3165" s="37"/>
      <c r="K3165" s="37"/>
      <c r="L3165" s="37"/>
      <c r="M3165" s="37"/>
      <c r="N3165" s="37"/>
      <c r="O3165" s="37"/>
      <c r="P3165" s="37"/>
      <c r="Q3165" s="37"/>
      <c r="R3165" s="37"/>
      <c r="S3165" s="37"/>
      <c r="T3165" s="37"/>
      <c r="U3165" s="37"/>
      <c r="V3165" s="37"/>
      <c r="W3165" s="37"/>
      <c r="X3165" s="37"/>
      <c r="Y3165" s="37"/>
      <c r="Z3165" s="37"/>
      <c r="AA3165" s="37"/>
      <c r="AB3165" s="37"/>
      <c r="AC3165" s="37"/>
      <c r="AD3165" s="37"/>
      <c r="AE3165" s="37"/>
      <c r="AF3165" s="37"/>
      <c r="AG3165" s="37"/>
      <c r="AH3165" s="37"/>
      <c r="AI3165" s="37"/>
      <c r="AJ3165" s="37"/>
      <c r="AK3165" s="37"/>
      <c r="AL3165" s="37"/>
      <c r="AM3165" s="37"/>
      <c r="AN3165" s="37"/>
      <c r="AO3165" s="37"/>
      <c r="AP3165" s="37"/>
      <c r="AQ3165" s="37"/>
      <c r="AR3165" s="37"/>
      <c r="AS3165" s="37"/>
      <c r="AT3165" s="37"/>
      <c r="AU3165" s="37"/>
      <c r="AV3165" s="37"/>
      <c r="AW3165" s="37"/>
      <c r="AX3165" s="37"/>
      <c r="AY3165" s="37"/>
      <c r="AZ3165" s="37"/>
      <c r="BA3165" s="37"/>
      <c r="BB3165" s="37"/>
      <c r="BC3165" s="37"/>
      <c r="BD3165" s="37"/>
      <c r="BE3165" s="37"/>
      <c r="BF3165" s="37"/>
      <c r="BG3165" s="37"/>
      <c r="BH3165" s="37"/>
      <c r="BI3165" s="37"/>
      <c r="BJ3165" s="37"/>
      <c r="BK3165" s="37"/>
      <c r="BL3165" s="37"/>
      <c r="BM3165" s="37"/>
      <c r="BN3165" s="37"/>
      <c r="BO3165" s="37"/>
      <c r="BP3165" s="37"/>
      <c r="BQ3165" s="37"/>
      <c r="BR3165" s="37"/>
      <c r="BS3165" s="37"/>
      <c r="BT3165" s="37"/>
      <c r="BU3165" s="37"/>
      <c r="BV3165" s="37"/>
      <c r="BW3165" s="37"/>
      <c r="BX3165" s="37"/>
      <c r="BY3165" s="37"/>
      <c r="BZ3165" s="37"/>
      <c r="CA3165" s="37"/>
      <c r="CB3165" s="37"/>
      <c r="CC3165" s="37"/>
      <c r="CD3165" s="37"/>
      <c r="CE3165" s="37"/>
      <c r="CF3165" s="37"/>
      <c r="CG3165" s="37"/>
      <c r="CH3165" s="37"/>
      <c r="CI3165" s="37"/>
      <c r="CJ3165" s="37"/>
      <c r="CK3165" s="37"/>
      <c r="CL3165" s="37"/>
      <c r="CM3165" s="37"/>
      <c r="CN3165" s="37"/>
      <c r="CO3165" s="37"/>
      <c r="CP3165" s="37"/>
      <c r="CQ3165" s="37"/>
      <c r="CR3165" s="37"/>
      <c r="CS3165" s="37"/>
      <c r="CT3165" s="37"/>
      <c r="CU3165" s="37"/>
      <c r="CV3165" s="37"/>
      <c r="CW3165" s="37"/>
      <c r="CX3165" s="37"/>
      <c r="CY3165" s="37"/>
      <c r="CZ3165" s="37"/>
      <c r="DA3165" s="37"/>
      <c r="DB3165" s="37"/>
      <c r="DC3165" s="37"/>
      <c r="DD3165" s="37"/>
      <c r="DE3165" s="37"/>
      <c r="DF3165" s="37"/>
      <c r="DG3165" s="37"/>
      <c r="DH3165" s="37"/>
      <c r="DI3165" s="37"/>
      <c r="DJ3165" s="37"/>
      <c r="DK3165" s="37"/>
      <c r="DL3165" s="37"/>
      <c r="DM3165" s="37"/>
      <c r="DN3165" s="37"/>
      <c r="DO3165" s="37"/>
      <c r="DP3165" s="37"/>
      <c r="DQ3165" s="37"/>
      <c r="DR3165" s="37"/>
      <c r="DS3165" s="37"/>
      <c r="DT3165" s="37"/>
      <c r="DU3165" s="37"/>
      <c r="DV3165" s="37"/>
      <c r="DW3165" s="37"/>
      <c r="DX3165" s="37"/>
      <c r="DY3165" s="37"/>
      <c r="DZ3165" s="37"/>
      <c r="EA3165" s="37"/>
      <c r="EB3165" s="37"/>
      <c r="EC3165" s="37"/>
      <c r="ED3165" s="37"/>
      <c r="EE3165" s="37"/>
      <c r="EF3165" s="37"/>
      <c r="EG3165" s="37"/>
      <c r="EH3165" s="37"/>
      <c r="EI3165" s="37"/>
      <c r="EJ3165" s="37"/>
      <c r="EK3165" s="37"/>
      <c r="EL3165" s="37"/>
      <c r="EM3165" s="37"/>
      <c r="EN3165" s="37"/>
      <c r="EO3165" s="37"/>
      <c r="EP3165" s="37"/>
      <c r="EQ3165" s="37"/>
      <c r="ER3165" s="37"/>
      <c r="ES3165" s="37"/>
      <c r="ET3165" s="37"/>
      <c r="EU3165" s="37"/>
      <c r="EV3165" s="37"/>
      <c r="EW3165" s="37"/>
      <c r="EX3165" s="37"/>
      <c r="EY3165" s="37"/>
      <c r="EZ3165" s="37"/>
      <c r="FA3165" s="37"/>
      <c r="FB3165" s="37"/>
      <c r="FC3165" s="37"/>
      <c r="FD3165" s="37"/>
      <c r="FE3165" s="37"/>
      <c r="FF3165" s="37"/>
      <c r="FG3165" s="37"/>
      <c r="FH3165" s="37"/>
      <c r="FI3165" s="37"/>
      <c r="FJ3165" s="37"/>
      <c r="FK3165" s="37"/>
      <c r="FL3165" s="37"/>
      <c r="FM3165" s="37"/>
      <c r="FN3165" s="37"/>
      <c r="FO3165" s="37"/>
      <c r="FP3165" s="37"/>
      <c r="FQ3165" s="37"/>
      <c r="FR3165" s="37"/>
      <c r="FS3165" s="37"/>
      <c r="FT3165" s="37"/>
      <c r="FU3165" s="37"/>
      <c r="FV3165" s="37"/>
      <c r="FW3165" s="37"/>
      <c r="FX3165" s="37"/>
      <c r="FY3165" s="37"/>
      <c r="FZ3165" s="37"/>
      <c r="GA3165" s="37"/>
      <c r="GB3165" s="37"/>
      <c r="GC3165" s="37"/>
      <c r="GD3165" s="37"/>
      <c r="GE3165" s="37"/>
      <c r="GF3165" s="37"/>
      <c r="GG3165" s="37"/>
      <c r="GH3165" s="37"/>
      <c r="GI3165" s="37"/>
      <c r="GJ3165" s="37"/>
      <c r="GK3165" s="37"/>
      <c r="GL3165" s="37"/>
      <c r="GM3165" s="37"/>
      <c r="GN3165" s="37"/>
      <c r="GO3165" s="37"/>
      <c r="GP3165" s="37"/>
      <c r="GQ3165" s="37"/>
      <c r="GR3165" s="37"/>
      <c r="GS3165" s="37"/>
      <c r="GT3165" s="37"/>
      <c r="GU3165" s="37"/>
      <c r="GV3165" s="37"/>
      <c r="GW3165" s="37"/>
      <c r="GX3165" s="37"/>
      <c r="GY3165" s="37"/>
      <c r="GZ3165" s="37"/>
      <c r="HA3165" s="37"/>
      <c r="HB3165" s="37"/>
      <c r="HC3165" s="37"/>
      <c r="HD3165" s="37"/>
      <c r="HE3165" s="37"/>
      <c r="HF3165" s="37"/>
      <c r="HG3165" s="37"/>
      <c r="HH3165" s="37"/>
      <c r="HI3165" s="37"/>
      <c r="HJ3165" s="37"/>
      <c r="HK3165" s="37"/>
      <c r="HL3165" s="37"/>
      <c r="HM3165" s="37"/>
      <c r="HN3165" s="37"/>
      <c r="HO3165" s="37"/>
      <c r="HP3165" s="37"/>
      <c r="HQ3165" s="37"/>
      <c r="HR3165" s="37"/>
      <c r="HS3165" s="37"/>
      <c r="HT3165" s="37"/>
      <c r="HU3165" s="37"/>
      <c r="HV3165" s="37"/>
      <c r="HW3165" s="37"/>
      <c r="HX3165" s="37"/>
      <c r="HY3165" s="37"/>
      <c r="HZ3165" s="37"/>
      <c r="IA3165" s="37"/>
      <c r="IB3165" s="37"/>
      <c r="IC3165" s="37"/>
      <c r="ID3165" s="37"/>
      <c r="IE3165" s="37"/>
      <c r="IF3165" s="37"/>
      <c r="IG3165" s="37"/>
      <c r="IH3165" s="37"/>
      <c r="II3165" s="37"/>
      <c r="IJ3165" s="37"/>
      <c r="IK3165" s="37"/>
      <c r="IL3165" s="37"/>
      <c r="IM3165" s="37"/>
      <c r="IN3165" s="37"/>
      <c r="IO3165" s="37"/>
      <c r="IP3165" s="37"/>
      <c r="IQ3165" s="37"/>
      <c r="IR3165" s="37"/>
      <c r="IS3165" s="37"/>
      <c r="IT3165" s="37"/>
      <c r="IU3165" s="37"/>
      <c r="IV3165" s="37"/>
      <c r="IW3165" s="37"/>
      <c r="IX3165" s="37"/>
      <c r="IY3165" s="37"/>
      <c r="IZ3165" s="37"/>
      <c r="JA3165" s="37"/>
      <c r="JB3165" s="37"/>
      <c r="JC3165" s="37"/>
      <c r="JD3165" s="37"/>
      <c r="JE3165" s="37"/>
      <c r="JF3165" s="37"/>
      <c r="JG3165" s="37"/>
      <c r="JH3165" s="37"/>
      <c r="JI3165" s="37"/>
      <c r="JJ3165" s="37"/>
      <c r="JK3165" s="37"/>
      <c r="JL3165" s="37"/>
      <c r="JM3165" s="37"/>
      <c r="JN3165" s="37"/>
      <c r="JO3165" s="37"/>
      <c r="JP3165" s="37"/>
      <c r="JQ3165" s="37"/>
      <c r="JR3165" s="37"/>
      <c r="JS3165" s="37"/>
      <c r="JT3165" s="37"/>
      <c r="JU3165" s="37"/>
      <c r="JV3165" s="37"/>
      <c r="JW3165" s="37"/>
      <c r="JX3165" s="37"/>
      <c r="JY3165" s="37"/>
      <c r="JZ3165" s="37"/>
      <c r="KA3165" s="37"/>
      <c r="KB3165" s="37"/>
      <c r="KC3165" s="37"/>
      <c r="KD3165" s="37"/>
      <c r="KE3165" s="37"/>
      <c r="KF3165" s="37"/>
      <c r="KG3165" s="37"/>
      <c r="KH3165" s="37"/>
      <c r="KI3165" s="37"/>
      <c r="KJ3165" s="37"/>
      <c r="KK3165" s="37"/>
      <c r="KL3165" s="37"/>
      <c r="KM3165" s="37"/>
      <c r="KN3165" s="37"/>
      <c r="KO3165" s="37"/>
      <c r="KP3165" s="37"/>
      <c r="KQ3165" s="37"/>
      <c r="KR3165" s="37"/>
      <c r="KS3165" s="37"/>
      <c r="KT3165" s="37"/>
      <c r="KU3165" s="37"/>
      <c r="KV3165" s="37"/>
      <c r="KW3165" s="37"/>
      <c r="KX3165" s="37"/>
      <c r="KY3165" s="37"/>
      <c r="KZ3165" s="37"/>
      <c r="LA3165" s="37"/>
      <c r="LB3165" s="37"/>
      <c r="LC3165" s="37"/>
      <c r="LD3165" s="37"/>
      <c r="LE3165" s="37"/>
      <c r="LF3165" s="37"/>
      <c r="LG3165" s="37"/>
      <c r="LH3165" s="37"/>
      <c r="LI3165" s="37"/>
      <c r="LJ3165" s="37"/>
      <c r="LK3165" s="37"/>
      <c r="LL3165" s="37"/>
      <c r="LM3165" s="37"/>
      <c r="LN3165" s="37"/>
      <c r="LO3165" s="37"/>
      <c r="LP3165" s="37"/>
      <c r="LQ3165" s="37"/>
      <c r="LR3165" s="37"/>
      <c r="LS3165" s="37"/>
      <c r="LT3165" s="37"/>
      <c r="LU3165" s="37"/>
      <c r="LV3165" s="37"/>
      <c r="LW3165" s="37"/>
      <c r="LX3165" s="37"/>
      <c r="LY3165" s="37"/>
      <c r="LZ3165" s="37"/>
      <c r="MA3165" s="37"/>
      <c r="MB3165" s="37"/>
      <c r="MC3165" s="37"/>
      <c r="MD3165" s="37"/>
      <c r="ME3165" s="37"/>
      <c r="MF3165" s="37"/>
      <c r="MG3165" s="37"/>
      <c r="MH3165" s="37"/>
      <c r="MI3165" s="37"/>
      <c r="MJ3165" s="37"/>
      <c r="MK3165" s="37"/>
      <c r="ML3165" s="37"/>
      <c r="MM3165" s="37"/>
      <c r="MN3165" s="37"/>
      <c r="MO3165" s="37"/>
      <c r="MP3165" s="37"/>
      <c r="MQ3165" s="37"/>
      <c r="MR3165" s="37"/>
      <c r="MS3165" s="37"/>
      <c r="MT3165" s="37"/>
      <c r="MU3165" s="37"/>
      <c r="MV3165" s="37"/>
      <c r="MW3165" s="37"/>
      <c r="MX3165" s="37"/>
      <c r="MY3165" s="37"/>
      <c r="MZ3165" s="37"/>
      <c r="NA3165" s="37"/>
      <c r="NB3165" s="37"/>
      <c r="NC3165" s="37"/>
      <c r="ND3165" s="37"/>
      <c r="NE3165" s="37"/>
      <c r="NF3165" s="37"/>
      <c r="NG3165" s="37"/>
      <c r="NH3165" s="37"/>
      <c r="NI3165" s="37"/>
      <c r="NJ3165" s="37"/>
      <c r="NK3165" s="37"/>
      <c r="NL3165" s="37"/>
      <c r="NM3165" s="37"/>
      <c r="NN3165" s="37"/>
      <c r="NO3165" s="37"/>
      <c r="NP3165" s="37"/>
      <c r="NQ3165" s="37"/>
      <c r="NR3165" s="37"/>
      <c r="NS3165" s="37"/>
      <c r="NT3165" s="37"/>
      <c r="NU3165" s="37"/>
      <c r="NV3165" s="37"/>
      <c r="NW3165" s="37"/>
      <c r="NX3165" s="37"/>
      <c r="NY3165" s="37"/>
      <c r="NZ3165" s="37"/>
      <c r="OA3165" s="37"/>
      <c r="OB3165" s="37"/>
      <c r="OC3165" s="37"/>
      <c r="OD3165" s="37"/>
      <c r="OE3165" s="37"/>
      <c r="OF3165" s="37"/>
      <c r="OG3165" s="37"/>
      <c r="OH3165" s="37"/>
      <c r="OI3165" s="37"/>
      <c r="OJ3165" s="37"/>
      <c r="OK3165" s="37"/>
      <c r="OL3165" s="37"/>
      <c r="OM3165" s="37"/>
      <c r="ON3165" s="37"/>
      <c r="OO3165" s="37"/>
      <c r="OP3165" s="37"/>
      <c r="OQ3165" s="37"/>
      <c r="OR3165" s="37"/>
      <c r="OS3165" s="37"/>
      <c r="OT3165" s="37"/>
      <c r="OU3165" s="37"/>
      <c r="OV3165" s="37"/>
      <c r="OW3165" s="37"/>
      <c r="OX3165" s="37"/>
      <c r="OY3165" s="37"/>
      <c r="OZ3165" s="37"/>
      <c r="PA3165" s="37"/>
      <c r="PB3165" s="37"/>
      <c r="PC3165" s="37"/>
      <c r="PD3165" s="37"/>
      <c r="PE3165" s="37"/>
      <c r="PF3165" s="37"/>
      <c r="PG3165" s="37"/>
      <c r="PH3165" s="37"/>
      <c r="PI3165" s="37"/>
      <c r="PJ3165" s="37"/>
      <c r="PK3165" s="37"/>
      <c r="PL3165" s="37"/>
      <c r="PM3165" s="37"/>
      <c r="PN3165" s="37"/>
      <c r="PO3165" s="37"/>
      <c r="PP3165" s="37"/>
      <c r="PQ3165" s="37"/>
      <c r="PR3165" s="37"/>
      <c r="PS3165" s="37"/>
      <c r="PT3165" s="37"/>
      <c r="PU3165" s="37"/>
      <c r="PV3165" s="37"/>
      <c r="PW3165" s="37"/>
      <c r="PX3165" s="37"/>
      <c r="PY3165" s="37"/>
      <c r="PZ3165" s="37"/>
      <c r="QA3165" s="37"/>
      <c r="QB3165" s="37"/>
      <c r="QC3165" s="37"/>
      <c r="QD3165" s="37"/>
      <c r="QE3165" s="37"/>
      <c r="QF3165" s="37"/>
      <c r="QG3165" s="37"/>
      <c r="QH3165" s="37"/>
      <c r="QI3165" s="37"/>
      <c r="QJ3165" s="37"/>
      <c r="QK3165" s="37"/>
      <c r="QL3165" s="37"/>
      <c r="QM3165" s="37"/>
      <c r="QN3165" s="37"/>
      <c r="QO3165" s="37"/>
      <c r="QP3165" s="37"/>
      <c r="QQ3165" s="37"/>
      <c r="QR3165" s="37"/>
      <c r="QS3165" s="37"/>
      <c r="QT3165" s="37"/>
      <c r="QU3165" s="37"/>
      <c r="QV3165" s="37"/>
      <c r="QW3165" s="37"/>
      <c r="QX3165" s="37"/>
      <c r="QY3165" s="37"/>
      <c r="QZ3165" s="37"/>
      <c r="RA3165" s="37"/>
      <c r="RB3165" s="37"/>
      <c r="RC3165" s="37"/>
      <c r="RD3165" s="37"/>
      <c r="RE3165" s="37"/>
      <c r="RF3165" s="37"/>
      <c r="RG3165" s="37"/>
      <c r="RH3165" s="37"/>
      <c r="RI3165" s="37"/>
      <c r="RJ3165" s="37"/>
      <c r="RK3165" s="37"/>
      <c r="RL3165" s="37"/>
      <c r="RM3165" s="37"/>
      <c r="RN3165" s="37"/>
      <c r="RO3165" s="37"/>
      <c r="RP3165" s="37"/>
      <c r="RQ3165" s="37"/>
      <c r="RR3165" s="37"/>
      <c r="RS3165" s="37"/>
      <c r="RT3165" s="37"/>
      <c r="RU3165" s="37"/>
      <c r="RV3165" s="37"/>
      <c r="RW3165" s="37"/>
      <c r="RX3165" s="37"/>
      <c r="RY3165" s="37"/>
      <c r="RZ3165" s="37"/>
      <c r="SA3165" s="37"/>
      <c r="SB3165" s="37"/>
      <c r="SC3165" s="37"/>
      <c r="SD3165" s="37"/>
      <c r="SE3165" s="37"/>
      <c r="SF3165" s="37"/>
    </row>
    <row r="3166" spans="1:500">
      <c r="A3166" s="37"/>
      <c r="B3166" s="37"/>
      <c r="C3166" s="37"/>
      <c r="D3166" s="37"/>
      <c r="E3166" s="37"/>
      <c r="F3166" s="37"/>
      <c r="G3166" s="37"/>
      <c r="H3166" s="37"/>
      <c r="I3166" s="37"/>
      <c r="J3166" s="37"/>
      <c r="K3166" s="37"/>
      <c r="L3166" s="37"/>
      <c r="M3166" s="37"/>
      <c r="N3166" s="37"/>
      <c r="O3166" s="37"/>
      <c r="P3166" s="37"/>
      <c r="Q3166" s="37"/>
      <c r="R3166" s="37"/>
      <c r="S3166" s="37"/>
      <c r="T3166" s="37"/>
      <c r="U3166" s="37"/>
      <c r="V3166" s="37"/>
      <c r="W3166" s="37"/>
      <c r="X3166" s="37"/>
      <c r="Y3166" s="37"/>
      <c r="Z3166" s="37"/>
      <c r="AA3166" s="37"/>
      <c r="AB3166" s="37"/>
      <c r="AC3166" s="37"/>
      <c r="AD3166" s="37"/>
      <c r="AE3166" s="37"/>
      <c r="AF3166" s="37"/>
      <c r="AG3166" s="37"/>
      <c r="AH3166" s="37"/>
      <c r="AI3166" s="37"/>
      <c r="AJ3166" s="37"/>
      <c r="AK3166" s="37"/>
      <c r="AL3166" s="37"/>
      <c r="AM3166" s="37"/>
      <c r="AN3166" s="37"/>
      <c r="AO3166" s="37"/>
      <c r="AP3166" s="37"/>
      <c r="AQ3166" s="37"/>
      <c r="AR3166" s="37"/>
      <c r="AS3166" s="37"/>
      <c r="AT3166" s="37"/>
      <c r="AU3166" s="37"/>
      <c r="AV3166" s="37"/>
      <c r="AW3166" s="37"/>
      <c r="AX3166" s="37"/>
      <c r="AY3166" s="37"/>
      <c r="AZ3166" s="37"/>
      <c r="BA3166" s="37"/>
      <c r="BB3166" s="37"/>
      <c r="BC3166" s="37"/>
      <c r="BD3166" s="37"/>
      <c r="BE3166" s="37"/>
      <c r="BF3166" s="37"/>
      <c r="BG3166" s="37"/>
      <c r="BH3166" s="37"/>
      <c r="BI3166" s="37"/>
      <c r="BJ3166" s="37"/>
      <c r="BK3166" s="37"/>
      <c r="BL3166" s="37"/>
      <c r="BM3166" s="37"/>
      <c r="BN3166" s="37"/>
      <c r="BO3166" s="37"/>
      <c r="BP3166" s="37"/>
      <c r="BQ3166" s="37"/>
      <c r="BR3166" s="37"/>
      <c r="BS3166" s="37"/>
      <c r="BT3166" s="37"/>
      <c r="BU3166" s="37"/>
      <c r="BV3166" s="37"/>
      <c r="BW3166" s="37"/>
      <c r="BX3166" s="37"/>
      <c r="BY3166" s="37"/>
      <c r="BZ3166" s="37"/>
      <c r="CA3166" s="37"/>
      <c r="CB3166" s="37"/>
      <c r="CC3166" s="37"/>
      <c r="CD3166" s="37"/>
      <c r="CE3166" s="37"/>
      <c r="CF3166" s="37"/>
      <c r="CG3166" s="37"/>
      <c r="CH3166" s="37"/>
      <c r="CI3166" s="37"/>
      <c r="CJ3166" s="37"/>
      <c r="CK3166" s="37"/>
      <c r="CL3166" s="37"/>
      <c r="CM3166" s="37"/>
      <c r="CN3166" s="37"/>
      <c r="CO3166" s="37"/>
      <c r="CP3166" s="37"/>
      <c r="CQ3166" s="37"/>
      <c r="CR3166" s="37"/>
      <c r="CS3166" s="37"/>
      <c r="CT3166" s="37"/>
      <c r="CU3166" s="37"/>
      <c r="CV3166" s="37"/>
      <c r="CW3166" s="37"/>
      <c r="CX3166" s="37"/>
      <c r="CY3166" s="37"/>
      <c r="CZ3166" s="37"/>
      <c r="DA3166" s="37"/>
      <c r="DB3166" s="37"/>
      <c r="DC3166" s="37"/>
      <c r="DD3166" s="37"/>
      <c r="DE3166" s="37"/>
      <c r="DF3166" s="37"/>
      <c r="DG3166" s="37"/>
      <c r="DH3166" s="37"/>
      <c r="DI3166" s="37"/>
      <c r="DJ3166" s="37"/>
      <c r="DK3166" s="37"/>
      <c r="DL3166" s="37"/>
      <c r="DM3166" s="37"/>
      <c r="DN3166" s="37"/>
      <c r="DO3166" s="37"/>
      <c r="DP3166" s="37"/>
      <c r="DQ3166" s="37"/>
      <c r="DR3166" s="37"/>
      <c r="DS3166" s="37"/>
      <c r="DT3166" s="37"/>
      <c r="DU3166" s="37"/>
      <c r="DV3166" s="37"/>
      <c r="DW3166" s="37"/>
      <c r="DX3166" s="37"/>
      <c r="DY3166" s="37"/>
      <c r="DZ3166" s="37"/>
      <c r="EA3166" s="37"/>
      <c r="EB3166" s="37"/>
      <c r="EC3166" s="37"/>
      <c r="ED3166" s="37"/>
      <c r="EE3166" s="37"/>
      <c r="EF3166" s="37"/>
      <c r="EG3166" s="37"/>
      <c r="EH3166" s="37"/>
      <c r="EI3166" s="37"/>
      <c r="EJ3166" s="37"/>
      <c r="EK3166" s="37"/>
      <c r="EL3166" s="37"/>
      <c r="EM3166" s="37"/>
      <c r="EN3166" s="37"/>
      <c r="EO3166" s="37"/>
      <c r="EP3166" s="37"/>
      <c r="EQ3166" s="37"/>
      <c r="ER3166" s="37"/>
      <c r="ES3166" s="37"/>
      <c r="ET3166" s="37"/>
      <c r="EU3166" s="37"/>
      <c r="EV3166" s="37"/>
      <c r="EW3166" s="37"/>
      <c r="EX3166" s="37"/>
      <c r="EY3166" s="37"/>
      <c r="EZ3166" s="37"/>
      <c r="FA3166" s="37"/>
      <c r="FB3166" s="37"/>
      <c r="FC3166" s="37"/>
      <c r="FD3166" s="37"/>
      <c r="FE3166" s="37"/>
      <c r="FF3166" s="37"/>
      <c r="FG3166" s="37"/>
      <c r="FH3166" s="37"/>
      <c r="FI3166" s="37"/>
      <c r="FJ3166" s="37"/>
      <c r="FK3166" s="37"/>
      <c r="FL3166" s="37"/>
      <c r="FM3166" s="37"/>
      <c r="FN3166" s="37"/>
      <c r="FO3166" s="37"/>
      <c r="FP3166" s="37"/>
      <c r="FQ3166" s="37"/>
      <c r="FR3166" s="37"/>
      <c r="FS3166" s="37"/>
      <c r="FT3166" s="37"/>
      <c r="FU3166" s="37"/>
      <c r="FV3166" s="37"/>
      <c r="FW3166" s="37"/>
      <c r="FX3166" s="37"/>
      <c r="FY3166" s="37"/>
      <c r="FZ3166" s="37"/>
      <c r="GA3166" s="37"/>
      <c r="GB3166" s="37"/>
      <c r="GC3166" s="37"/>
      <c r="GD3166" s="37"/>
      <c r="GE3166" s="37"/>
      <c r="GF3166" s="37"/>
      <c r="GG3166" s="37"/>
      <c r="GH3166" s="37"/>
      <c r="GI3166" s="37"/>
      <c r="GJ3166" s="37"/>
      <c r="GK3166" s="37"/>
      <c r="GL3166" s="37"/>
      <c r="GM3166" s="37"/>
      <c r="GN3166" s="37"/>
      <c r="GO3166" s="37"/>
      <c r="GP3166" s="37"/>
      <c r="GQ3166" s="37"/>
      <c r="GR3166" s="37"/>
      <c r="GS3166" s="37"/>
      <c r="GT3166" s="37"/>
      <c r="GU3166" s="37"/>
      <c r="GV3166" s="37"/>
      <c r="GW3166" s="37"/>
      <c r="GX3166" s="37"/>
      <c r="GY3166" s="37"/>
      <c r="GZ3166" s="37"/>
      <c r="HA3166" s="37"/>
      <c r="HB3166" s="37"/>
      <c r="HC3166" s="37"/>
      <c r="HD3166" s="37"/>
      <c r="HE3166" s="37"/>
      <c r="HF3166" s="37"/>
      <c r="HG3166" s="37"/>
      <c r="HH3166" s="37"/>
      <c r="HI3166" s="37"/>
      <c r="HJ3166" s="37"/>
      <c r="HK3166" s="37"/>
      <c r="HL3166" s="37"/>
      <c r="HM3166" s="37"/>
      <c r="HN3166" s="37"/>
      <c r="HO3166" s="37"/>
      <c r="HP3166" s="37"/>
      <c r="HQ3166" s="37"/>
      <c r="HR3166" s="37"/>
      <c r="HS3166" s="37"/>
      <c r="HT3166" s="37"/>
      <c r="HU3166" s="37"/>
      <c r="HV3166" s="37"/>
      <c r="HW3166" s="37"/>
      <c r="HX3166" s="37"/>
      <c r="HY3166" s="37"/>
      <c r="HZ3166" s="37"/>
      <c r="IA3166" s="37"/>
      <c r="IB3166" s="37"/>
      <c r="IC3166" s="37"/>
      <c r="ID3166" s="37"/>
      <c r="IE3166" s="37"/>
      <c r="IF3166" s="37"/>
      <c r="IG3166" s="37"/>
      <c r="IH3166" s="37"/>
      <c r="II3166" s="37"/>
      <c r="IJ3166" s="37"/>
      <c r="IK3166" s="37"/>
      <c r="IL3166" s="37"/>
      <c r="IM3166" s="37"/>
      <c r="IN3166" s="37"/>
      <c r="IO3166" s="37"/>
      <c r="IP3166" s="37"/>
      <c r="IQ3166" s="37"/>
      <c r="IR3166" s="37"/>
      <c r="IS3166" s="37"/>
      <c r="IT3166" s="37"/>
      <c r="IU3166" s="37"/>
      <c r="IV3166" s="37"/>
      <c r="IW3166" s="37"/>
      <c r="IX3166" s="37"/>
      <c r="IY3166" s="37"/>
      <c r="IZ3166" s="37"/>
      <c r="JA3166" s="37"/>
      <c r="JB3166" s="37"/>
      <c r="JC3166" s="37"/>
      <c r="JD3166" s="37"/>
      <c r="JE3166" s="37"/>
      <c r="JF3166" s="37"/>
      <c r="JG3166" s="37"/>
      <c r="JH3166" s="37"/>
      <c r="JI3166" s="37"/>
      <c r="JJ3166" s="37"/>
      <c r="JK3166" s="37"/>
      <c r="JL3166" s="37"/>
      <c r="JM3166" s="37"/>
      <c r="JN3166" s="37"/>
      <c r="JO3166" s="37"/>
      <c r="JP3166" s="37"/>
      <c r="JQ3166" s="37"/>
      <c r="JR3166" s="37"/>
      <c r="JS3166" s="37"/>
      <c r="JT3166" s="37"/>
      <c r="JU3166" s="37"/>
      <c r="JV3166" s="37"/>
      <c r="JW3166" s="37"/>
      <c r="JX3166" s="37"/>
      <c r="JY3166" s="37"/>
      <c r="JZ3166" s="37"/>
      <c r="KA3166" s="37"/>
      <c r="KB3166" s="37"/>
      <c r="KC3166" s="37"/>
      <c r="KD3166" s="37"/>
      <c r="KE3166" s="37"/>
      <c r="KF3166" s="37"/>
      <c r="KG3166" s="37"/>
      <c r="KH3166" s="37"/>
      <c r="KI3166" s="37"/>
      <c r="KJ3166" s="37"/>
      <c r="KK3166" s="37"/>
      <c r="KL3166" s="37"/>
      <c r="KM3166" s="37"/>
      <c r="KN3166" s="37"/>
      <c r="KO3166" s="37"/>
      <c r="KP3166" s="37"/>
      <c r="KQ3166" s="37"/>
      <c r="KR3166" s="37"/>
      <c r="KS3166" s="37"/>
      <c r="KT3166" s="37"/>
      <c r="KU3166" s="37"/>
      <c r="KV3166" s="37"/>
      <c r="KW3166" s="37"/>
      <c r="KX3166" s="37"/>
      <c r="KY3166" s="37"/>
      <c r="KZ3166" s="37"/>
      <c r="LA3166" s="37"/>
      <c r="LB3166" s="37"/>
      <c r="LC3166" s="37"/>
      <c r="LD3166" s="37"/>
      <c r="LE3166" s="37"/>
      <c r="LF3166" s="37"/>
      <c r="LG3166" s="37"/>
      <c r="LH3166" s="37"/>
      <c r="LI3166" s="37"/>
      <c r="LJ3166" s="37"/>
      <c r="LK3166" s="37"/>
      <c r="LL3166" s="37"/>
      <c r="LM3166" s="37"/>
      <c r="LN3166" s="37"/>
      <c r="LO3166" s="37"/>
      <c r="LP3166" s="37"/>
      <c r="LQ3166" s="37"/>
      <c r="LR3166" s="37"/>
      <c r="LS3166" s="37"/>
      <c r="LT3166" s="37"/>
      <c r="LU3166" s="37"/>
      <c r="LV3166" s="37"/>
      <c r="LW3166" s="37"/>
      <c r="LX3166" s="37"/>
      <c r="LY3166" s="37"/>
      <c r="LZ3166" s="37"/>
      <c r="MA3166" s="37"/>
      <c r="MB3166" s="37"/>
      <c r="MC3166" s="37"/>
      <c r="MD3166" s="37"/>
      <c r="ME3166" s="37"/>
      <c r="MF3166" s="37"/>
      <c r="MG3166" s="37"/>
      <c r="MH3166" s="37"/>
      <c r="MI3166" s="37"/>
      <c r="MJ3166" s="37"/>
      <c r="MK3166" s="37"/>
      <c r="ML3166" s="37"/>
      <c r="MM3166" s="37"/>
      <c r="MN3166" s="37"/>
      <c r="MO3166" s="37"/>
      <c r="MP3166" s="37"/>
      <c r="MQ3166" s="37"/>
      <c r="MR3166" s="37"/>
      <c r="MS3166" s="37"/>
      <c r="MT3166" s="37"/>
      <c r="MU3166" s="37"/>
      <c r="MV3166" s="37"/>
      <c r="MW3166" s="37"/>
      <c r="MX3166" s="37"/>
      <c r="MY3166" s="37"/>
      <c r="MZ3166" s="37"/>
      <c r="NA3166" s="37"/>
      <c r="NB3166" s="37"/>
      <c r="NC3166" s="37"/>
      <c r="ND3166" s="37"/>
      <c r="NE3166" s="37"/>
      <c r="NF3166" s="37"/>
      <c r="NG3166" s="37"/>
      <c r="NH3166" s="37"/>
      <c r="NI3166" s="37"/>
      <c r="NJ3166" s="37"/>
      <c r="NK3166" s="37"/>
      <c r="NL3166" s="37"/>
      <c r="NM3166" s="37"/>
      <c r="NN3166" s="37"/>
      <c r="NO3166" s="37"/>
      <c r="NP3166" s="37"/>
      <c r="NQ3166" s="37"/>
      <c r="NR3166" s="37"/>
      <c r="NS3166" s="37"/>
      <c r="NT3166" s="37"/>
      <c r="NU3166" s="37"/>
      <c r="NV3166" s="37"/>
      <c r="NW3166" s="37"/>
      <c r="NX3166" s="37"/>
      <c r="NY3166" s="37"/>
      <c r="NZ3166" s="37"/>
      <c r="OA3166" s="37"/>
      <c r="OB3166" s="37"/>
      <c r="OC3166" s="37"/>
      <c r="OD3166" s="37"/>
      <c r="OE3166" s="37"/>
      <c r="OF3166" s="37"/>
      <c r="OG3166" s="37"/>
      <c r="OH3166" s="37"/>
      <c r="OI3166" s="37"/>
      <c r="OJ3166" s="37"/>
      <c r="OK3166" s="37"/>
      <c r="OL3166" s="37"/>
      <c r="OM3166" s="37"/>
      <c r="ON3166" s="37"/>
      <c r="OO3166" s="37"/>
      <c r="OP3166" s="37"/>
      <c r="OQ3166" s="37"/>
      <c r="OR3166" s="37"/>
      <c r="OS3166" s="37"/>
      <c r="OT3166" s="37"/>
      <c r="OU3166" s="37"/>
      <c r="OV3166" s="37"/>
      <c r="OW3166" s="37"/>
      <c r="OX3166" s="37"/>
      <c r="OY3166" s="37"/>
      <c r="OZ3166" s="37"/>
      <c r="PA3166" s="37"/>
      <c r="PB3166" s="37"/>
      <c r="PC3166" s="37"/>
      <c r="PD3166" s="37"/>
      <c r="PE3166" s="37"/>
      <c r="PF3166" s="37"/>
      <c r="PG3166" s="37"/>
      <c r="PH3166" s="37"/>
      <c r="PI3166" s="37"/>
      <c r="PJ3166" s="37"/>
      <c r="PK3166" s="37"/>
      <c r="PL3166" s="37"/>
      <c r="PM3166" s="37"/>
      <c r="PN3166" s="37"/>
      <c r="PO3166" s="37"/>
      <c r="PP3166" s="37"/>
      <c r="PQ3166" s="37"/>
      <c r="PR3166" s="37"/>
      <c r="PS3166" s="37"/>
      <c r="PT3166" s="37"/>
      <c r="PU3166" s="37"/>
      <c r="PV3166" s="37"/>
      <c r="PW3166" s="37"/>
      <c r="PX3166" s="37"/>
      <c r="PY3166" s="37"/>
      <c r="PZ3166" s="37"/>
      <c r="QA3166" s="37"/>
      <c r="QB3166" s="37"/>
      <c r="QC3166" s="37"/>
      <c r="QD3166" s="37"/>
      <c r="QE3166" s="37"/>
      <c r="QF3166" s="37"/>
      <c r="QG3166" s="37"/>
      <c r="QH3166" s="37"/>
      <c r="QI3166" s="37"/>
      <c r="QJ3166" s="37"/>
      <c r="QK3166" s="37"/>
      <c r="QL3166" s="37"/>
      <c r="QM3166" s="37"/>
      <c r="QN3166" s="37"/>
      <c r="QO3166" s="37"/>
      <c r="QP3166" s="37"/>
      <c r="QQ3166" s="37"/>
      <c r="QR3166" s="37"/>
      <c r="QS3166" s="37"/>
      <c r="QT3166" s="37"/>
      <c r="QU3166" s="37"/>
      <c r="QV3166" s="37"/>
      <c r="QW3166" s="37"/>
      <c r="QX3166" s="37"/>
      <c r="QY3166" s="37"/>
      <c r="QZ3166" s="37"/>
      <c r="RA3166" s="37"/>
      <c r="RB3166" s="37"/>
      <c r="RC3166" s="37"/>
      <c r="RD3166" s="37"/>
      <c r="RE3166" s="37"/>
      <c r="RF3166" s="37"/>
      <c r="RG3166" s="37"/>
      <c r="RH3166" s="37"/>
      <c r="RI3166" s="37"/>
      <c r="RJ3166" s="37"/>
      <c r="RK3166" s="37"/>
      <c r="RL3166" s="37"/>
      <c r="RM3166" s="37"/>
      <c r="RN3166" s="37"/>
      <c r="RO3166" s="37"/>
      <c r="RP3166" s="37"/>
      <c r="RQ3166" s="37"/>
      <c r="RR3166" s="37"/>
      <c r="RS3166" s="37"/>
      <c r="RT3166" s="37"/>
      <c r="RU3166" s="37"/>
      <c r="RV3166" s="37"/>
      <c r="RW3166" s="37"/>
      <c r="RX3166" s="37"/>
      <c r="RY3166" s="37"/>
      <c r="RZ3166" s="37"/>
      <c r="SA3166" s="37"/>
      <c r="SB3166" s="37"/>
      <c r="SC3166" s="37"/>
      <c r="SD3166" s="37"/>
      <c r="SE3166" s="37"/>
      <c r="SF3166" s="37"/>
    </row>
    <row r="3167" spans="1:500">
      <c r="A3167" s="37"/>
      <c r="B3167" s="37"/>
      <c r="C3167" s="37"/>
      <c r="D3167" s="37"/>
      <c r="E3167" s="37"/>
      <c r="F3167" s="37"/>
      <c r="G3167" s="37"/>
      <c r="H3167" s="37"/>
      <c r="I3167" s="37"/>
      <c r="J3167" s="37"/>
      <c r="K3167" s="37"/>
      <c r="L3167" s="37"/>
      <c r="M3167" s="37"/>
      <c r="N3167" s="37"/>
      <c r="O3167" s="37"/>
      <c r="P3167" s="37"/>
      <c r="Q3167" s="37"/>
      <c r="R3167" s="37"/>
      <c r="S3167" s="37"/>
      <c r="T3167" s="37"/>
      <c r="U3167" s="37"/>
      <c r="V3167" s="37"/>
      <c r="W3167" s="37"/>
      <c r="X3167" s="37"/>
      <c r="Y3167" s="37"/>
      <c r="Z3167" s="37"/>
      <c r="AA3167" s="37"/>
      <c r="AB3167" s="37"/>
      <c r="AC3167" s="37"/>
      <c r="AD3167" s="37"/>
      <c r="AE3167" s="37"/>
      <c r="AF3167" s="37"/>
      <c r="AG3167" s="37"/>
      <c r="AH3167" s="37"/>
      <c r="AI3167" s="37"/>
      <c r="AJ3167" s="37"/>
      <c r="AK3167" s="37"/>
      <c r="AL3167" s="37"/>
      <c r="AM3167" s="37"/>
      <c r="AN3167" s="37"/>
      <c r="AO3167" s="37"/>
      <c r="AP3167" s="37"/>
      <c r="AQ3167" s="37"/>
      <c r="AR3167" s="37"/>
      <c r="AS3167" s="37"/>
      <c r="AT3167" s="37"/>
      <c r="AU3167" s="37"/>
      <c r="AV3167" s="37"/>
      <c r="AW3167" s="37"/>
      <c r="AX3167" s="37"/>
      <c r="AY3167" s="37"/>
      <c r="AZ3167" s="37"/>
      <c r="BA3167" s="37"/>
      <c r="BB3167" s="37"/>
      <c r="BC3167" s="37"/>
      <c r="BD3167" s="37"/>
      <c r="BE3167" s="37"/>
      <c r="BF3167" s="37"/>
      <c r="BG3167" s="37"/>
      <c r="BH3167" s="37"/>
      <c r="BI3167" s="37"/>
      <c r="BJ3167" s="37"/>
      <c r="BK3167" s="37"/>
      <c r="BL3167" s="37"/>
      <c r="BM3167" s="37"/>
      <c r="BN3167" s="37"/>
      <c r="BO3167" s="37"/>
      <c r="BP3167" s="37"/>
      <c r="BQ3167" s="37"/>
      <c r="BR3167" s="37"/>
      <c r="BS3167" s="37"/>
      <c r="BT3167" s="37"/>
      <c r="BU3167" s="37"/>
      <c r="BV3167" s="37"/>
      <c r="BW3167" s="37"/>
      <c r="BX3167" s="37"/>
      <c r="BY3167" s="37"/>
      <c r="BZ3167" s="37"/>
      <c r="CA3167" s="37"/>
      <c r="CB3167" s="37"/>
      <c r="CC3167" s="37"/>
      <c r="CD3167" s="37"/>
      <c r="CE3167" s="37"/>
      <c r="CF3167" s="37"/>
      <c r="CG3167" s="37"/>
      <c r="CH3167" s="37"/>
      <c r="CI3167" s="37"/>
      <c r="CJ3167" s="37"/>
      <c r="CK3167" s="37"/>
      <c r="CL3167" s="37"/>
      <c r="CM3167" s="37"/>
      <c r="CN3167" s="37"/>
      <c r="CO3167" s="37"/>
      <c r="CP3167" s="37"/>
      <c r="CQ3167" s="37"/>
      <c r="CR3167" s="37"/>
      <c r="CS3167" s="37"/>
      <c r="CT3167" s="37"/>
      <c r="CU3167" s="37"/>
      <c r="CV3167" s="37"/>
      <c r="CW3167" s="37"/>
      <c r="CX3167" s="37"/>
      <c r="CY3167" s="37"/>
      <c r="CZ3167" s="37"/>
      <c r="DA3167" s="37"/>
      <c r="DB3167" s="37"/>
      <c r="DC3167" s="37"/>
      <c r="DD3167" s="37"/>
      <c r="DE3167" s="37"/>
      <c r="DF3167" s="37"/>
      <c r="DG3167" s="37"/>
      <c r="DH3167" s="37"/>
      <c r="DI3167" s="37"/>
      <c r="DJ3167" s="37"/>
      <c r="DK3167" s="37"/>
      <c r="DL3167" s="37"/>
      <c r="DM3167" s="37"/>
      <c r="DN3167" s="37"/>
      <c r="DO3167" s="37"/>
      <c r="DP3167" s="37"/>
      <c r="DQ3167" s="37"/>
      <c r="DR3167" s="37"/>
      <c r="DS3167" s="37"/>
      <c r="DT3167" s="37"/>
      <c r="DU3167" s="37"/>
      <c r="DV3167" s="37"/>
      <c r="DW3167" s="37"/>
      <c r="DX3167" s="37"/>
      <c r="DY3167" s="37"/>
      <c r="DZ3167" s="37"/>
      <c r="EA3167" s="37"/>
      <c r="EB3167" s="37"/>
      <c r="EC3167" s="37"/>
      <c r="ED3167" s="37"/>
      <c r="EE3167" s="37"/>
      <c r="EF3167" s="37"/>
      <c r="EG3167" s="37"/>
      <c r="EH3167" s="37"/>
      <c r="EI3167" s="37"/>
      <c r="EJ3167" s="37"/>
      <c r="EK3167" s="37"/>
      <c r="EL3167" s="37"/>
      <c r="EM3167" s="37"/>
      <c r="EN3167" s="37"/>
      <c r="EO3167" s="37"/>
      <c r="EP3167" s="37"/>
      <c r="EQ3167" s="37"/>
      <c r="ER3167" s="37"/>
      <c r="ES3167" s="37"/>
      <c r="ET3167" s="37"/>
      <c r="EU3167" s="37"/>
      <c r="EV3167" s="37"/>
      <c r="EW3167" s="37"/>
      <c r="EX3167" s="37"/>
      <c r="EY3167" s="37"/>
      <c r="EZ3167" s="37"/>
      <c r="FA3167" s="37"/>
      <c r="FB3167" s="37"/>
      <c r="FC3167" s="37"/>
      <c r="FD3167" s="37"/>
      <c r="FE3167" s="37"/>
      <c r="FF3167" s="37"/>
      <c r="FG3167" s="37"/>
      <c r="FH3167" s="37"/>
      <c r="FI3167" s="37"/>
      <c r="FJ3167" s="37"/>
      <c r="FK3167" s="37"/>
      <c r="FL3167" s="37"/>
      <c r="FM3167" s="37"/>
      <c r="FN3167" s="37"/>
      <c r="FO3167" s="37"/>
      <c r="FP3167" s="37"/>
      <c r="FQ3167" s="37"/>
      <c r="FR3167" s="37"/>
      <c r="FS3167" s="37"/>
      <c r="FT3167" s="37"/>
      <c r="FU3167" s="37"/>
      <c r="FV3167" s="37"/>
      <c r="FW3167" s="37"/>
      <c r="FX3167" s="37"/>
      <c r="FY3167" s="37"/>
      <c r="FZ3167" s="37"/>
      <c r="GA3167" s="37"/>
      <c r="GB3167" s="37"/>
      <c r="GC3167" s="37"/>
      <c r="GD3167" s="37"/>
      <c r="GE3167" s="37"/>
      <c r="GF3167" s="37"/>
      <c r="GG3167" s="37"/>
      <c r="GH3167" s="37"/>
      <c r="GI3167" s="37"/>
      <c r="GJ3167" s="37"/>
      <c r="GK3167" s="37"/>
      <c r="GL3167" s="37"/>
      <c r="GM3167" s="37"/>
      <c r="GN3167" s="37"/>
      <c r="GO3167" s="37"/>
      <c r="GP3167" s="37"/>
      <c r="GQ3167" s="37"/>
      <c r="GR3167" s="37"/>
      <c r="GS3167" s="37"/>
      <c r="GT3167" s="37"/>
      <c r="GU3167" s="37"/>
      <c r="GV3167" s="37"/>
      <c r="GW3167" s="37"/>
      <c r="GX3167" s="37"/>
      <c r="GY3167" s="37"/>
      <c r="GZ3167" s="37"/>
      <c r="HA3167" s="37"/>
      <c r="HB3167" s="37"/>
      <c r="HC3167" s="37"/>
      <c r="HD3167" s="37"/>
      <c r="HE3167" s="37"/>
      <c r="HF3167" s="37"/>
      <c r="HG3167" s="37"/>
      <c r="HH3167" s="37"/>
      <c r="HI3167" s="37"/>
      <c r="HJ3167" s="37"/>
      <c r="HK3167" s="37"/>
      <c r="HL3167" s="37"/>
      <c r="HM3167" s="37"/>
      <c r="HN3167" s="37"/>
      <c r="HO3167" s="37"/>
      <c r="HP3167" s="37"/>
      <c r="HQ3167" s="37"/>
      <c r="HR3167" s="37"/>
      <c r="HS3167" s="37"/>
      <c r="HT3167" s="37"/>
      <c r="HU3167" s="37"/>
      <c r="HV3167" s="37"/>
      <c r="HW3167" s="37"/>
      <c r="HX3167" s="37"/>
      <c r="HY3167" s="37"/>
      <c r="HZ3167" s="37"/>
      <c r="IA3167" s="37"/>
      <c r="IB3167" s="37"/>
      <c r="IC3167" s="37"/>
      <c r="ID3167" s="37"/>
      <c r="IE3167" s="37"/>
      <c r="IF3167" s="37"/>
      <c r="IG3167" s="37"/>
      <c r="IH3167" s="37"/>
      <c r="II3167" s="37"/>
      <c r="IJ3167" s="37"/>
      <c r="IK3167" s="37"/>
      <c r="IL3167" s="37"/>
      <c r="IM3167" s="37"/>
      <c r="IN3167" s="37"/>
      <c r="IO3167" s="37"/>
      <c r="IP3167" s="37"/>
      <c r="IQ3167" s="37"/>
      <c r="IR3167" s="37"/>
      <c r="IS3167" s="37"/>
      <c r="IT3167" s="37"/>
      <c r="IU3167" s="37"/>
      <c r="IV3167" s="37"/>
      <c r="IW3167" s="37"/>
      <c r="IX3167" s="37"/>
      <c r="IY3167" s="37"/>
      <c r="IZ3167" s="37"/>
      <c r="JA3167" s="37"/>
      <c r="JB3167" s="37"/>
      <c r="JC3167" s="37"/>
      <c r="JD3167" s="37"/>
      <c r="JE3167" s="37"/>
      <c r="JF3167" s="37"/>
      <c r="JG3167" s="37"/>
      <c r="JH3167" s="37"/>
      <c r="JI3167" s="37"/>
      <c r="JJ3167" s="37"/>
      <c r="JK3167" s="37"/>
      <c r="JL3167" s="37"/>
      <c r="JM3167" s="37"/>
      <c r="JN3167" s="37"/>
      <c r="JO3167" s="37"/>
      <c r="JP3167" s="37"/>
      <c r="JQ3167" s="37"/>
      <c r="JR3167" s="37"/>
      <c r="JS3167" s="37"/>
      <c r="JT3167" s="37"/>
      <c r="JU3167" s="37"/>
      <c r="JV3167" s="37"/>
      <c r="JW3167" s="37"/>
      <c r="JX3167" s="37"/>
      <c r="JY3167" s="37"/>
      <c r="JZ3167" s="37"/>
      <c r="KA3167" s="37"/>
      <c r="KB3167" s="37"/>
      <c r="KC3167" s="37"/>
      <c r="KD3167" s="37"/>
      <c r="KE3167" s="37"/>
      <c r="KF3167" s="37"/>
      <c r="KG3167" s="37"/>
      <c r="KH3167" s="37"/>
      <c r="KI3167" s="37"/>
      <c r="KJ3167" s="37"/>
      <c r="KK3167" s="37"/>
      <c r="KL3167" s="37"/>
      <c r="KM3167" s="37"/>
      <c r="KN3167" s="37"/>
      <c r="KO3167" s="37"/>
      <c r="KP3167" s="37"/>
      <c r="KQ3167" s="37"/>
      <c r="KR3167" s="37"/>
      <c r="KS3167" s="37"/>
      <c r="KT3167" s="37"/>
      <c r="KU3167" s="37"/>
      <c r="KV3167" s="37"/>
      <c r="KW3167" s="37"/>
      <c r="KX3167" s="37"/>
      <c r="KY3167" s="37"/>
      <c r="KZ3167" s="37"/>
      <c r="LA3167" s="37"/>
      <c r="LB3167" s="37"/>
      <c r="LC3167" s="37"/>
      <c r="LD3167" s="37"/>
      <c r="LE3167" s="37"/>
      <c r="LF3167" s="37"/>
      <c r="LG3167" s="37"/>
      <c r="LH3167" s="37"/>
      <c r="LI3167" s="37"/>
      <c r="LJ3167" s="37"/>
      <c r="LK3167" s="37"/>
      <c r="LL3167" s="37"/>
      <c r="LM3167" s="37"/>
      <c r="LN3167" s="37"/>
      <c r="LO3167" s="37"/>
      <c r="LP3167" s="37"/>
      <c r="LQ3167" s="37"/>
      <c r="LR3167" s="37"/>
      <c r="LS3167" s="37"/>
      <c r="LT3167" s="37"/>
      <c r="LU3167" s="37"/>
      <c r="LV3167" s="37"/>
      <c r="LW3167" s="37"/>
      <c r="LX3167" s="37"/>
      <c r="LY3167" s="37"/>
      <c r="LZ3167" s="37"/>
      <c r="MA3167" s="37"/>
      <c r="MB3167" s="37"/>
      <c r="MC3167" s="37"/>
      <c r="MD3167" s="37"/>
      <c r="ME3167" s="37"/>
      <c r="MF3167" s="37"/>
      <c r="MG3167" s="37"/>
      <c r="MH3167" s="37"/>
      <c r="MI3167" s="37"/>
      <c r="MJ3167" s="37"/>
      <c r="MK3167" s="37"/>
      <c r="ML3167" s="37"/>
      <c r="MM3167" s="37"/>
      <c r="MN3167" s="37"/>
      <c r="MO3167" s="37"/>
      <c r="MP3167" s="37"/>
      <c r="MQ3167" s="37"/>
      <c r="MR3167" s="37"/>
      <c r="MS3167" s="37"/>
      <c r="MT3167" s="37"/>
      <c r="MU3167" s="37"/>
      <c r="MV3167" s="37"/>
      <c r="MW3167" s="37"/>
      <c r="MX3167" s="37"/>
      <c r="MY3167" s="37"/>
      <c r="MZ3167" s="37"/>
      <c r="NA3167" s="37"/>
      <c r="NB3167" s="37"/>
      <c r="NC3167" s="37"/>
      <c r="ND3167" s="37"/>
      <c r="NE3167" s="37"/>
      <c r="NF3167" s="37"/>
      <c r="NG3167" s="37"/>
      <c r="NH3167" s="37"/>
      <c r="NI3167" s="37"/>
      <c r="NJ3167" s="37"/>
      <c r="NK3167" s="37"/>
      <c r="NL3167" s="37"/>
      <c r="NM3167" s="37"/>
      <c r="NN3167" s="37"/>
      <c r="NO3167" s="37"/>
      <c r="NP3167" s="37"/>
      <c r="NQ3167" s="37"/>
      <c r="NR3167" s="37"/>
      <c r="NS3167" s="37"/>
      <c r="NT3167" s="37"/>
      <c r="NU3167" s="37"/>
      <c r="NV3167" s="37"/>
      <c r="NW3167" s="37"/>
      <c r="NX3167" s="37"/>
      <c r="NY3167" s="37"/>
      <c r="NZ3167" s="37"/>
      <c r="OA3167" s="37"/>
      <c r="OB3167" s="37"/>
      <c r="OC3167" s="37"/>
      <c r="OD3167" s="37"/>
      <c r="OE3167" s="37"/>
      <c r="OF3167" s="37"/>
      <c r="OG3167" s="37"/>
      <c r="OH3167" s="37"/>
      <c r="OI3167" s="37"/>
      <c r="OJ3167" s="37"/>
      <c r="OK3167" s="37"/>
      <c r="OL3167" s="37"/>
      <c r="OM3167" s="37"/>
      <c r="ON3167" s="37"/>
      <c r="OO3167" s="37"/>
      <c r="OP3167" s="37"/>
      <c r="OQ3167" s="37"/>
      <c r="OR3167" s="37"/>
      <c r="OS3167" s="37"/>
      <c r="OT3167" s="37"/>
      <c r="OU3167" s="37"/>
      <c r="OV3167" s="37"/>
      <c r="OW3167" s="37"/>
      <c r="OX3167" s="37"/>
      <c r="OY3167" s="37"/>
      <c r="OZ3167" s="37"/>
      <c r="PA3167" s="37"/>
      <c r="PB3167" s="37"/>
      <c r="PC3167" s="37"/>
      <c r="PD3167" s="37"/>
      <c r="PE3167" s="37"/>
      <c r="PF3167" s="37"/>
      <c r="PG3167" s="37"/>
      <c r="PH3167" s="37"/>
      <c r="PI3167" s="37"/>
      <c r="PJ3167" s="37"/>
      <c r="PK3167" s="37"/>
      <c r="PL3167" s="37"/>
      <c r="PM3167" s="37"/>
      <c r="PN3167" s="37"/>
      <c r="PO3167" s="37"/>
      <c r="PP3167" s="37"/>
      <c r="PQ3167" s="37"/>
      <c r="PR3167" s="37"/>
      <c r="PS3167" s="37"/>
      <c r="PT3167" s="37"/>
      <c r="PU3167" s="37"/>
      <c r="PV3167" s="37"/>
      <c r="PW3167" s="37"/>
      <c r="PX3167" s="37"/>
      <c r="PY3167" s="37"/>
      <c r="PZ3167" s="37"/>
      <c r="QA3167" s="37"/>
      <c r="QB3167" s="37"/>
      <c r="QC3167" s="37"/>
      <c r="QD3167" s="37"/>
      <c r="QE3167" s="37"/>
      <c r="QF3167" s="37"/>
      <c r="QG3167" s="37"/>
      <c r="QH3167" s="37"/>
      <c r="QI3167" s="37"/>
      <c r="QJ3167" s="37"/>
      <c r="QK3167" s="37"/>
      <c r="QL3167" s="37"/>
      <c r="QM3167" s="37"/>
      <c r="QN3167" s="37"/>
      <c r="QO3167" s="37"/>
      <c r="QP3167" s="37"/>
      <c r="QQ3167" s="37"/>
      <c r="QR3167" s="37"/>
      <c r="QS3167" s="37"/>
      <c r="QT3167" s="37"/>
      <c r="QU3167" s="37"/>
      <c r="QV3167" s="37"/>
      <c r="QW3167" s="37"/>
      <c r="QX3167" s="37"/>
      <c r="QY3167" s="37"/>
      <c r="QZ3167" s="37"/>
      <c r="RA3167" s="37"/>
      <c r="RB3167" s="37"/>
      <c r="RC3167" s="37"/>
      <c r="RD3167" s="37"/>
      <c r="RE3167" s="37"/>
      <c r="RF3167" s="37"/>
      <c r="RG3167" s="37"/>
      <c r="RH3167" s="37"/>
      <c r="RI3167" s="37"/>
      <c r="RJ3167" s="37"/>
      <c r="RK3167" s="37"/>
      <c r="RL3167" s="37"/>
      <c r="RM3167" s="37"/>
      <c r="RN3167" s="37"/>
      <c r="RO3167" s="37"/>
      <c r="RP3167" s="37"/>
      <c r="RQ3167" s="37"/>
      <c r="RR3167" s="37"/>
      <c r="RS3167" s="37"/>
      <c r="RT3167" s="37"/>
      <c r="RU3167" s="37"/>
      <c r="RV3167" s="37"/>
      <c r="RW3167" s="37"/>
      <c r="RX3167" s="37"/>
      <c r="RY3167" s="37"/>
      <c r="RZ3167" s="37"/>
      <c r="SA3167" s="37"/>
      <c r="SB3167" s="37"/>
      <c r="SC3167" s="37"/>
      <c r="SD3167" s="37"/>
      <c r="SE3167" s="37"/>
      <c r="SF3167" s="37"/>
    </row>
    <row r="3168" spans="1:500">
      <c r="A3168" s="37"/>
      <c r="B3168" s="37"/>
      <c r="C3168" s="37"/>
      <c r="D3168" s="37"/>
      <c r="E3168" s="37"/>
      <c r="F3168" s="37"/>
      <c r="G3168" s="37"/>
      <c r="H3168" s="37"/>
      <c r="I3168" s="37"/>
      <c r="J3168" s="37"/>
      <c r="K3168" s="37"/>
      <c r="L3168" s="37"/>
      <c r="M3168" s="37"/>
      <c r="N3168" s="37"/>
      <c r="O3168" s="37"/>
      <c r="P3168" s="37"/>
      <c r="Q3168" s="37"/>
      <c r="R3168" s="37"/>
      <c r="S3168" s="37"/>
      <c r="T3168" s="37"/>
      <c r="U3168" s="37"/>
      <c r="V3168" s="37"/>
      <c r="W3168" s="37"/>
      <c r="X3168" s="37"/>
      <c r="Y3168" s="37"/>
      <c r="Z3168" s="37"/>
      <c r="AA3168" s="37"/>
      <c r="AB3168" s="37"/>
      <c r="AC3168" s="37"/>
      <c r="AD3168" s="37"/>
      <c r="AE3168" s="37"/>
      <c r="AF3168" s="37"/>
      <c r="AG3168" s="37"/>
      <c r="AH3168" s="37"/>
      <c r="AI3168" s="37"/>
      <c r="AJ3168" s="37"/>
      <c r="AK3168" s="37"/>
      <c r="AL3168" s="37"/>
      <c r="AM3168" s="37"/>
      <c r="AN3168" s="37"/>
      <c r="AO3168" s="37"/>
      <c r="AP3168" s="37"/>
      <c r="AQ3168" s="37"/>
      <c r="AR3168" s="37"/>
      <c r="AS3168" s="37"/>
      <c r="AT3168" s="37"/>
      <c r="AU3168" s="37"/>
      <c r="AV3168" s="37"/>
      <c r="AW3168" s="37"/>
      <c r="AX3168" s="37"/>
      <c r="AY3168" s="37"/>
      <c r="AZ3168" s="37"/>
      <c r="BA3168" s="37"/>
      <c r="BB3168" s="37"/>
      <c r="BC3168" s="37"/>
      <c r="BD3168" s="37"/>
      <c r="BE3168" s="37"/>
      <c r="BF3168" s="37"/>
      <c r="BG3168" s="37"/>
      <c r="BH3168" s="37"/>
      <c r="BI3168" s="37"/>
      <c r="BJ3168" s="37"/>
      <c r="BK3168" s="37"/>
      <c r="BL3168" s="37"/>
      <c r="BM3168" s="37"/>
      <c r="BN3168" s="37"/>
      <c r="BO3168" s="37"/>
      <c r="BP3168" s="37"/>
      <c r="BQ3168" s="37"/>
      <c r="BR3168" s="37"/>
      <c r="BS3168" s="37"/>
      <c r="BT3168" s="37"/>
      <c r="BU3168" s="37"/>
      <c r="BV3168" s="37"/>
      <c r="BW3168" s="37"/>
      <c r="BX3168" s="37"/>
      <c r="BY3168" s="37"/>
      <c r="BZ3168" s="37"/>
      <c r="CA3168" s="37"/>
      <c r="CB3168" s="37"/>
      <c r="CC3168" s="37"/>
      <c r="CD3168" s="37"/>
      <c r="CE3168" s="37"/>
      <c r="CF3168" s="37"/>
      <c r="CG3168" s="37"/>
      <c r="CH3168" s="37"/>
      <c r="CI3168" s="37"/>
      <c r="CJ3168" s="37"/>
      <c r="CK3168" s="37"/>
      <c r="CL3168" s="37"/>
      <c r="CM3168" s="37"/>
      <c r="CN3168" s="37"/>
      <c r="CO3168" s="37"/>
      <c r="CP3168" s="37"/>
      <c r="CQ3168" s="37"/>
      <c r="CR3168" s="37"/>
      <c r="CS3168" s="37"/>
      <c r="CT3168" s="37"/>
      <c r="CU3168" s="37"/>
      <c r="CV3168" s="37"/>
      <c r="CW3168" s="37"/>
      <c r="CX3168" s="37"/>
      <c r="CY3168" s="37"/>
      <c r="CZ3168" s="37"/>
      <c r="DA3168" s="37"/>
      <c r="DB3168" s="37"/>
      <c r="DC3168" s="37"/>
      <c r="DD3168" s="37"/>
      <c r="DE3168" s="37"/>
      <c r="DF3168" s="37"/>
      <c r="DG3168" s="37"/>
      <c r="DH3168" s="37"/>
      <c r="DI3168" s="37"/>
      <c r="DJ3168" s="37"/>
      <c r="DK3168" s="37"/>
      <c r="DL3168" s="37"/>
      <c r="DM3168" s="37"/>
      <c r="DN3168" s="37"/>
      <c r="DO3168" s="37"/>
      <c r="DP3168" s="37"/>
      <c r="DQ3168" s="37"/>
      <c r="DR3168" s="37"/>
      <c r="DS3168" s="37"/>
      <c r="DT3168" s="37"/>
      <c r="DU3168" s="37"/>
      <c r="DV3168" s="37"/>
      <c r="DW3168" s="37"/>
      <c r="DX3168" s="37"/>
      <c r="DY3168" s="37"/>
      <c r="DZ3168" s="37"/>
      <c r="EA3168" s="37"/>
      <c r="EB3168" s="37"/>
      <c r="EC3168" s="37"/>
      <c r="ED3168" s="37"/>
      <c r="EE3168" s="37"/>
      <c r="EF3168" s="37"/>
      <c r="EG3168" s="37"/>
      <c r="EH3168" s="37"/>
      <c r="EI3168" s="37"/>
      <c r="EJ3168" s="37"/>
      <c r="EK3168" s="37"/>
      <c r="EL3168" s="37"/>
      <c r="EM3168" s="37"/>
      <c r="EN3168" s="37"/>
      <c r="EO3168" s="37"/>
      <c r="EP3168" s="37"/>
      <c r="EQ3168" s="37"/>
      <c r="ER3168" s="37"/>
      <c r="ES3168" s="37"/>
      <c r="ET3168" s="37"/>
      <c r="EU3168" s="37"/>
      <c r="EV3168" s="37"/>
      <c r="EW3168" s="37"/>
      <c r="EX3168" s="37"/>
      <c r="EY3168" s="37"/>
      <c r="EZ3168" s="37"/>
      <c r="FA3168" s="37"/>
      <c r="FB3168" s="37"/>
      <c r="FC3168" s="37"/>
      <c r="FD3168" s="37"/>
      <c r="FE3168" s="37"/>
      <c r="FF3168" s="37"/>
      <c r="FG3168" s="37"/>
      <c r="FH3168" s="37"/>
      <c r="FI3168" s="37"/>
      <c r="FJ3168" s="37"/>
      <c r="FK3168" s="37"/>
      <c r="FL3168" s="37"/>
      <c r="FM3168" s="37"/>
      <c r="FN3168" s="37"/>
      <c r="FO3168" s="37"/>
      <c r="FP3168" s="37"/>
      <c r="FQ3168" s="37"/>
      <c r="FR3168" s="37"/>
      <c r="FS3168" s="37"/>
      <c r="FT3168" s="37"/>
      <c r="FU3168" s="37"/>
      <c r="FV3168" s="37"/>
      <c r="FW3168" s="37"/>
      <c r="FX3168" s="37"/>
      <c r="FY3168" s="37"/>
      <c r="FZ3168" s="37"/>
      <c r="GA3168" s="37"/>
      <c r="GB3168" s="37"/>
      <c r="GC3168" s="37"/>
      <c r="GD3168" s="37"/>
      <c r="GE3168" s="37"/>
      <c r="GF3168" s="37"/>
      <c r="GG3168" s="37"/>
      <c r="GH3168" s="37"/>
      <c r="GI3168" s="37"/>
      <c r="GJ3168" s="37"/>
      <c r="GK3168" s="37"/>
      <c r="GL3168" s="37"/>
      <c r="GM3168" s="37"/>
      <c r="GN3168" s="37"/>
      <c r="GO3168" s="37"/>
      <c r="GP3168" s="37"/>
      <c r="GQ3168" s="37"/>
      <c r="GR3168" s="37"/>
      <c r="GS3168" s="37"/>
      <c r="GT3168" s="37"/>
      <c r="GU3168" s="37"/>
      <c r="GV3168" s="37"/>
      <c r="GW3168" s="37"/>
      <c r="GX3168" s="37"/>
      <c r="GY3168" s="37"/>
      <c r="GZ3168" s="37"/>
      <c r="HA3168" s="37"/>
      <c r="HB3168" s="37"/>
      <c r="HC3168" s="37"/>
      <c r="HD3168" s="37"/>
      <c r="HE3168" s="37"/>
      <c r="HF3168" s="37"/>
      <c r="HG3168" s="37"/>
      <c r="HH3168" s="37"/>
      <c r="HI3168" s="37"/>
      <c r="HJ3168" s="37"/>
      <c r="HK3168" s="37"/>
      <c r="HL3168" s="37"/>
      <c r="HM3168" s="37"/>
      <c r="HN3168" s="37"/>
      <c r="HO3168" s="37"/>
      <c r="HP3168" s="37"/>
      <c r="HQ3168" s="37"/>
      <c r="HR3168" s="37"/>
      <c r="HS3168" s="37"/>
      <c r="HT3168" s="37"/>
      <c r="HU3168" s="37"/>
      <c r="HV3168" s="37"/>
      <c r="HW3168" s="37"/>
      <c r="HX3168" s="37"/>
      <c r="HY3168" s="37"/>
      <c r="HZ3168" s="37"/>
      <c r="IA3168" s="37"/>
      <c r="IB3168" s="37"/>
      <c r="IC3168" s="37"/>
      <c r="ID3168" s="37"/>
      <c r="IE3168" s="37"/>
      <c r="IF3168" s="37"/>
      <c r="IG3168" s="37"/>
      <c r="IH3168" s="37"/>
      <c r="II3168" s="37"/>
      <c r="IJ3168" s="37"/>
      <c r="IK3168" s="37"/>
      <c r="IL3168" s="37"/>
      <c r="IM3168" s="37"/>
      <c r="IN3168" s="37"/>
      <c r="IO3168" s="37"/>
      <c r="IP3168" s="37"/>
      <c r="IQ3168" s="37"/>
      <c r="IR3168" s="37"/>
      <c r="IS3168" s="37"/>
      <c r="IT3168" s="37"/>
      <c r="IU3168" s="37"/>
      <c r="IV3168" s="37"/>
      <c r="IW3168" s="37"/>
      <c r="IX3168" s="37"/>
      <c r="IY3168" s="37"/>
      <c r="IZ3168" s="37"/>
      <c r="JA3168" s="37"/>
      <c r="JB3168" s="37"/>
      <c r="JC3168" s="37"/>
      <c r="JD3168" s="37"/>
      <c r="JE3168" s="37"/>
      <c r="JF3168" s="37"/>
      <c r="JG3168" s="37"/>
      <c r="JH3168" s="37"/>
      <c r="JI3168" s="37"/>
      <c r="JJ3168" s="37"/>
      <c r="JK3168" s="37"/>
      <c r="JL3168" s="37"/>
      <c r="JM3168" s="37"/>
      <c r="JN3168" s="37"/>
      <c r="JO3168" s="37"/>
      <c r="JP3168" s="37"/>
      <c r="JQ3168" s="37"/>
      <c r="JR3168" s="37"/>
      <c r="JS3168" s="37"/>
      <c r="JT3168" s="37"/>
      <c r="JU3168" s="37"/>
      <c r="JV3168" s="37"/>
      <c r="JW3168" s="37"/>
      <c r="JX3168" s="37"/>
      <c r="JY3168" s="37"/>
      <c r="JZ3168" s="37"/>
      <c r="KA3168" s="37"/>
      <c r="KB3168" s="37"/>
      <c r="KC3168" s="37"/>
      <c r="KD3168" s="37"/>
      <c r="KE3168" s="37"/>
      <c r="KF3168" s="37"/>
      <c r="KG3168" s="37"/>
      <c r="KH3168" s="37"/>
      <c r="KI3168" s="37"/>
      <c r="KJ3168" s="37"/>
      <c r="KK3168" s="37"/>
      <c r="KL3168" s="37"/>
      <c r="KM3168" s="37"/>
      <c r="KN3168" s="37"/>
      <c r="KO3168" s="37"/>
      <c r="KP3168" s="37"/>
      <c r="KQ3168" s="37"/>
      <c r="KR3168" s="37"/>
      <c r="KS3168" s="37"/>
      <c r="KT3168" s="37"/>
      <c r="KU3168" s="37"/>
      <c r="KV3168" s="37"/>
      <c r="KW3168" s="37"/>
      <c r="KX3168" s="37"/>
      <c r="KY3168" s="37"/>
      <c r="KZ3168" s="37"/>
      <c r="LA3168" s="37"/>
      <c r="LB3168" s="37"/>
      <c r="LC3168" s="37"/>
      <c r="LD3168" s="37"/>
      <c r="LE3168" s="37"/>
      <c r="LF3168" s="37"/>
      <c r="LG3168" s="37"/>
      <c r="LH3168" s="37"/>
      <c r="LI3168" s="37"/>
      <c r="LJ3168" s="37"/>
      <c r="LK3168" s="37"/>
      <c r="LL3168" s="37"/>
      <c r="LM3168" s="37"/>
      <c r="LN3168" s="37"/>
      <c r="LO3168" s="37"/>
      <c r="LP3168" s="37"/>
      <c r="LQ3168" s="37"/>
      <c r="LR3168" s="37"/>
      <c r="LS3168" s="37"/>
      <c r="LT3168" s="37"/>
      <c r="LU3168" s="37"/>
      <c r="LV3168" s="37"/>
      <c r="LW3168" s="37"/>
      <c r="LX3168" s="37"/>
      <c r="LY3168" s="37"/>
      <c r="LZ3168" s="37"/>
      <c r="MA3168" s="37"/>
      <c r="MB3168" s="37"/>
      <c r="MC3168" s="37"/>
      <c r="MD3168" s="37"/>
      <c r="ME3168" s="37"/>
      <c r="MF3168" s="37"/>
      <c r="MG3168" s="37"/>
      <c r="MH3168" s="37"/>
      <c r="MI3168" s="37"/>
      <c r="MJ3168" s="37"/>
      <c r="MK3168" s="37"/>
      <c r="ML3168" s="37"/>
      <c r="MM3168" s="37"/>
      <c r="MN3168" s="37"/>
      <c r="MO3168" s="37"/>
      <c r="MP3168" s="37"/>
      <c r="MQ3168" s="37"/>
      <c r="MR3168" s="37"/>
      <c r="MS3168" s="37"/>
      <c r="MT3168" s="37"/>
      <c r="MU3168" s="37"/>
      <c r="MV3168" s="37"/>
      <c r="MW3168" s="37"/>
      <c r="MX3168" s="37"/>
      <c r="MY3168" s="37"/>
      <c r="MZ3168" s="37"/>
      <c r="NA3168" s="37"/>
      <c r="NB3168" s="37"/>
      <c r="NC3168" s="37"/>
      <c r="ND3168" s="37"/>
      <c r="NE3168" s="37"/>
      <c r="NF3168" s="37"/>
      <c r="NG3168" s="37"/>
      <c r="NH3168" s="37"/>
      <c r="NI3168" s="37"/>
      <c r="NJ3168" s="37"/>
      <c r="NK3168" s="37"/>
      <c r="NL3168" s="37"/>
      <c r="NM3168" s="37"/>
      <c r="NN3168" s="37"/>
      <c r="NO3168" s="37"/>
      <c r="NP3168" s="37"/>
      <c r="NQ3168" s="37"/>
      <c r="NR3168" s="37"/>
      <c r="NS3168" s="37"/>
      <c r="NT3168" s="37"/>
      <c r="NU3168" s="37"/>
      <c r="NV3168" s="37"/>
      <c r="NW3168" s="37"/>
      <c r="NX3168" s="37"/>
      <c r="NY3168" s="37"/>
      <c r="NZ3168" s="37"/>
      <c r="OA3168" s="37"/>
      <c r="OB3168" s="37"/>
      <c r="OC3168" s="37"/>
      <c r="OD3168" s="37"/>
      <c r="OE3168" s="37"/>
      <c r="OF3168" s="37"/>
      <c r="OG3168" s="37"/>
      <c r="OH3168" s="37"/>
      <c r="OI3168" s="37"/>
      <c r="OJ3168" s="37"/>
      <c r="OK3168" s="37"/>
      <c r="OL3168" s="37"/>
      <c r="OM3168" s="37"/>
      <c r="ON3168" s="37"/>
      <c r="OO3168" s="37"/>
      <c r="OP3168" s="37"/>
      <c r="OQ3168" s="37"/>
      <c r="OR3168" s="37"/>
      <c r="OS3168" s="37"/>
      <c r="OT3168" s="37"/>
      <c r="OU3168" s="37"/>
      <c r="OV3168" s="37"/>
      <c r="OW3168" s="37"/>
      <c r="OX3168" s="37"/>
      <c r="OY3168" s="37"/>
      <c r="OZ3168" s="37"/>
      <c r="PA3168" s="37"/>
      <c r="PB3168" s="37"/>
      <c r="PC3168" s="37"/>
      <c r="PD3168" s="37"/>
      <c r="PE3168" s="37"/>
      <c r="PF3168" s="37"/>
      <c r="PG3168" s="37"/>
      <c r="PH3168" s="37"/>
      <c r="PI3168" s="37"/>
      <c r="PJ3168" s="37"/>
      <c r="PK3168" s="37"/>
      <c r="PL3168" s="37"/>
      <c r="PM3168" s="37"/>
      <c r="PN3168" s="37"/>
      <c r="PO3168" s="37"/>
      <c r="PP3168" s="37"/>
      <c r="PQ3168" s="37"/>
      <c r="PR3168" s="37"/>
      <c r="PS3168" s="37"/>
      <c r="PT3168" s="37"/>
      <c r="PU3168" s="37"/>
      <c r="PV3168" s="37"/>
      <c r="PW3168" s="37"/>
      <c r="PX3168" s="37"/>
      <c r="PY3168" s="37"/>
      <c r="PZ3168" s="37"/>
      <c r="QA3168" s="37"/>
      <c r="QB3168" s="37"/>
      <c r="QC3168" s="37"/>
      <c r="QD3168" s="37"/>
      <c r="QE3168" s="37"/>
      <c r="QF3168" s="37"/>
      <c r="QG3168" s="37"/>
      <c r="QH3168" s="37"/>
      <c r="QI3168" s="37"/>
      <c r="QJ3168" s="37"/>
      <c r="QK3168" s="37"/>
      <c r="QL3168" s="37"/>
      <c r="QM3168" s="37"/>
      <c r="QN3168" s="37"/>
      <c r="QO3168" s="37"/>
      <c r="QP3168" s="37"/>
      <c r="QQ3168" s="37"/>
      <c r="QR3168" s="37"/>
      <c r="QS3168" s="37"/>
      <c r="QT3168" s="37"/>
      <c r="QU3168" s="37"/>
      <c r="QV3168" s="37"/>
      <c r="QW3168" s="37"/>
      <c r="QX3168" s="37"/>
      <c r="QY3168" s="37"/>
      <c r="QZ3168" s="37"/>
      <c r="RA3168" s="37"/>
      <c r="RB3168" s="37"/>
      <c r="RC3168" s="37"/>
      <c r="RD3168" s="37"/>
      <c r="RE3168" s="37"/>
      <c r="RF3168" s="37"/>
      <c r="RG3168" s="37"/>
      <c r="RH3168" s="37"/>
      <c r="RI3168" s="37"/>
      <c r="RJ3168" s="37"/>
      <c r="RK3168" s="37"/>
      <c r="RL3168" s="37"/>
      <c r="RM3168" s="37"/>
      <c r="RN3168" s="37"/>
      <c r="RO3168" s="37"/>
      <c r="RP3168" s="37"/>
      <c r="RQ3168" s="37"/>
      <c r="RR3168" s="37"/>
      <c r="RS3168" s="37"/>
      <c r="RT3168" s="37"/>
      <c r="RU3168" s="37"/>
      <c r="RV3168" s="37"/>
      <c r="RW3168" s="37"/>
      <c r="RX3168" s="37"/>
      <c r="RY3168" s="37"/>
      <c r="RZ3168" s="37"/>
      <c r="SA3168" s="37"/>
      <c r="SB3168" s="37"/>
      <c r="SC3168" s="37"/>
      <c r="SD3168" s="37"/>
      <c r="SE3168" s="37"/>
      <c r="SF3168" s="37"/>
    </row>
    <row r="3169" spans="1:500">
      <c r="A3169" s="37"/>
      <c r="B3169" s="37"/>
      <c r="C3169" s="37"/>
      <c r="D3169" s="37"/>
      <c r="E3169" s="37"/>
      <c r="F3169" s="37"/>
      <c r="G3169" s="37"/>
      <c r="H3169" s="37"/>
      <c r="I3169" s="37"/>
      <c r="J3169" s="37"/>
      <c r="K3169" s="37"/>
      <c r="L3169" s="37"/>
      <c r="M3169" s="37"/>
      <c r="N3169" s="37"/>
      <c r="O3169" s="37"/>
      <c r="P3169" s="37"/>
      <c r="Q3169" s="37"/>
      <c r="R3169" s="37"/>
      <c r="S3169" s="37"/>
      <c r="T3169" s="37"/>
      <c r="U3169" s="37"/>
      <c r="V3169" s="37"/>
      <c r="W3169" s="37"/>
      <c r="X3169" s="37"/>
      <c r="Y3169" s="37"/>
      <c r="Z3169" s="37"/>
      <c r="AA3169" s="37"/>
      <c r="AB3169" s="37"/>
      <c r="AC3169" s="37"/>
      <c r="AD3169" s="37"/>
      <c r="AE3169" s="37"/>
      <c r="AF3169" s="37"/>
      <c r="AG3169" s="37"/>
      <c r="AH3169" s="37"/>
      <c r="AI3169" s="37"/>
      <c r="AJ3169" s="37"/>
      <c r="AK3169" s="37"/>
      <c r="AL3169" s="37"/>
      <c r="AM3169" s="37"/>
      <c r="AN3169" s="37"/>
      <c r="AO3169" s="37"/>
      <c r="AP3169" s="37"/>
      <c r="AQ3169" s="37"/>
      <c r="AR3169" s="37"/>
      <c r="AS3169" s="37"/>
      <c r="AT3169" s="37"/>
      <c r="AU3169" s="37"/>
      <c r="AV3169" s="37"/>
      <c r="AW3169" s="37"/>
      <c r="AX3169" s="37"/>
      <c r="AY3169" s="37"/>
      <c r="AZ3169" s="37"/>
      <c r="BA3169" s="37"/>
      <c r="BB3169" s="37"/>
      <c r="BC3169" s="37"/>
      <c r="BD3169" s="37"/>
      <c r="BE3169" s="37"/>
      <c r="BF3169" s="37"/>
      <c r="BG3169" s="37"/>
      <c r="BH3169" s="37"/>
      <c r="BI3169" s="37"/>
      <c r="BJ3169" s="37"/>
      <c r="BK3169" s="37"/>
      <c r="BL3169" s="37"/>
      <c r="BM3169" s="37"/>
      <c r="BN3169" s="37"/>
      <c r="BO3169" s="37"/>
      <c r="BP3169" s="37"/>
      <c r="BQ3169" s="37"/>
      <c r="BR3169" s="37"/>
      <c r="BS3169" s="37"/>
      <c r="BT3169" s="37"/>
      <c r="BU3169" s="37"/>
      <c r="BV3169" s="37"/>
      <c r="BW3169" s="37"/>
      <c r="BX3169" s="37"/>
      <c r="BY3169" s="37"/>
      <c r="BZ3169" s="37"/>
      <c r="CA3169" s="37"/>
      <c r="CB3169" s="37"/>
      <c r="CC3169" s="37"/>
      <c r="CD3169" s="37"/>
      <c r="CE3169" s="37"/>
      <c r="CF3169" s="37"/>
      <c r="CG3169" s="37"/>
      <c r="CH3169" s="37"/>
      <c r="CI3169" s="37"/>
      <c r="CJ3169" s="37"/>
      <c r="CK3169" s="37"/>
      <c r="CL3169" s="37"/>
      <c r="CM3169" s="37"/>
      <c r="CN3169" s="37"/>
      <c r="CO3169" s="37"/>
      <c r="CP3169" s="37"/>
      <c r="CQ3169" s="37"/>
      <c r="CR3169" s="37"/>
      <c r="CS3169" s="37"/>
      <c r="CT3169" s="37"/>
      <c r="CU3169" s="37"/>
      <c r="CV3169" s="37"/>
      <c r="CW3169" s="37"/>
      <c r="CX3169" s="37"/>
      <c r="CY3169" s="37"/>
      <c r="CZ3169" s="37"/>
      <c r="DA3169" s="37"/>
      <c r="DB3169" s="37"/>
      <c r="DC3169" s="37"/>
      <c r="DD3169" s="37"/>
      <c r="DE3169" s="37"/>
      <c r="DF3169" s="37"/>
      <c r="DG3169" s="37"/>
      <c r="DH3169" s="37"/>
      <c r="DI3169" s="37"/>
      <c r="DJ3169" s="37"/>
      <c r="DK3169" s="37"/>
      <c r="DL3169" s="37"/>
      <c r="DM3169" s="37"/>
      <c r="DN3169" s="37"/>
      <c r="DO3169" s="37"/>
      <c r="DP3169" s="37"/>
      <c r="DQ3169" s="37"/>
      <c r="DR3169" s="37"/>
      <c r="DS3169" s="37"/>
      <c r="DT3169" s="37"/>
      <c r="DU3169" s="37"/>
      <c r="DV3169" s="37"/>
      <c r="DW3169" s="37"/>
      <c r="DX3169" s="37"/>
      <c r="DY3169" s="37"/>
      <c r="DZ3169" s="37"/>
      <c r="EA3169" s="37"/>
      <c r="EB3169" s="37"/>
      <c r="EC3169" s="37"/>
      <c r="ED3169" s="37"/>
      <c r="EE3169" s="37"/>
      <c r="EF3169" s="37"/>
      <c r="EG3169" s="37"/>
      <c r="EH3169" s="37"/>
      <c r="EI3169" s="37"/>
      <c r="EJ3169" s="37"/>
      <c r="EK3169" s="37"/>
      <c r="EL3169" s="37"/>
      <c r="EM3169" s="37"/>
      <c r="EN3169" s="37"/>
      <c r="EO3169" s="37"/>
      <c r="EP3169" s="37"/>
      <c r="EQ3169" s="37"/>
      <c r="ER3169" s="37"/>
      <c r="ES3169" s="37"/>
      <c r="ET3169" s="37"/>
      <c r="EU3169" s="37"/>
      <c r="EV3169" s="37"/>
      <c r="EW3169" s="37"/>
      <c r="EX3169" s="37"/>
      <c r="EY3169" s="37"/>
      <c r="EZ3169" s="37"/>
      <c r="FA3169" s="37"/>
      <c r="FB3169" s="37"/>
      <c r="FC3169" s="37"/>
      <c r="FD3169" s="37"/>
      <c r="FE3169" s="37"/>
      <c r="FF3169" s="37"/>
      <c r="FG3169" s="37"/>
      <c r="FH3169" s="37"/>
      <c r="FI3169" s="37"/>
      <c r="FJ3169" s="37"/>
      <c r="FK3169" s="37"/>
      <c r="FL3169" s="37"/>
      <c r="FM3169" s="37"/>
      <c r="FN3169" s="37"/>
      <c r="FO3169" s="37"/>
      <c r="FP3169" s="37"/>
      <c r="FQ3169" s="37"/>
      <c r="FR3169" s="37"/>
      <c r="FS3169" s="37"/>
      <c r="FT3169" s="37"/>
      <c r="FU3169" s="37"/>
      <c r="FV3169" s="37"/>
      <c r="FW3169" s="37"/>
      <c r="FX3169" s="37"/>
      <c r="FY3169" s="37"/>
      <c r="FZ3169" s="37"/>
      <c r="GA3169" s="37"/>
      <c r="GB3169" s="37"/>
      <c r="GC3169" s="37"/>
      <c r="GD3169" s="37"/>
      <c r="GE3169" s="37"/>
      <c r="GF3169" s="37"/>
      <c r="GG3169" s="37"/>
      <c r="GH3169" s="37"/>
      <c r="GI3169" s="37"/>
      <c r="GJ3169" s="37"/>
      <c r="GK3169" s="37"/>
      <c r="GL3169" s="37"/>
      <c r="GM3169" s="37"/>
      <c r="GN3169" s="37"/>
      <c r="GO3169" s="37"/>
      <c r="GP3169" s="37"/>
      <c r="GQ3169" s="37"/>
      <c r="GR3169" s="37"/>
      <c r="GS3169" s="37"/>
      <c r="GT3169" s="37"/>
      <c r="GU3169" s="37"/>
      <c r="GV3169" s="37"/>
      <c r="GW3169" s="37"/>
      <c r="GX3169" s="37"/>
      <c r="GY3169" s="37"/>
      <c r="GZ3169" s="37"/>
      <c r="HA3169" s="37"/>
      <c r="HB3169" s="37"/>
      <c r="HC3169" s="37"/>
      <c r="HD3169" s="37"/>
      <c r="HE3169" s="37"/>
      <c r="HF3169" s="37"/>
      <c r="HG3169" s="37"/>
      <c r="HH3169" s="37"/>
      <c r="HI3169" s="37"/>
      <c r="HJ3169" s="37"/>
      <c r="HK3169" s="37"/>
      <c r="HL3169" s="37"/>
      <c r="HM3169" s="37"/>
      <c r="HN3169" s="37"/>
      <c r="HO3169" s="37"/>
      <c r="HP3169" s="37"/>
      <c r="HQ3169" s="37"/>
      <c r="HR3169" s="37"/>
      <c r="HS3169" s="37"/>
      <c r="HT3169" s="37"/>
      <c r="HU3169" s="37"/>
      <c r="HV3169" s="37"/>
      <c r="HW3169" s="37"/>
      <c r="HX3169" s="37"/>
      <c r="HY3169" s="37"/>
      <c r="HZ3169" s="37"/>
      <c r="IA3169" s="37"/>
      <c r="IB3169" s="37"/>
      <c r="IC3169" s="37"/>
      <c r="ID3169" s="37"/>
      <c r="IE3169" s="37"/>
      <c r="IF3169" s="37"/>
      <c r="IG3169" s="37"/>
      <c r="IH3169" s="37"/>
      <c r="II3169" s="37"/>
      <c r="IJ3169" s="37"/>
      <c r="IK3169" s="37"/>
      <c r="IL3169" s="37"/>
      <c r="IM3169" s="37"/>
      <c r="IN3169" s="37"/>
      <c r="IO3169" s="37"/>
      <c r="IP3169" s="37"/>
      <c r="IQ3169" s="37"/>
      <c r="IR3169" s="37"/>
      <c r="IS3169" s="37"/>
      <c r="IT3169" s="37"/>
      <c r="IU3169" s="37"/>
      <c r="IV3169" s="37"/>
      <c r="IW3169" s="37"/>
      <c r="IX3169" s="37"/>
      <c r="IY3169" s="37"/>
      <c r="IZ3169" s="37"/>
      <c r="JA3169" s="37"/>
      <c r="JB3169" s="37"/>
      <c r="JC3169" s="37"/>
      <c r="JD3169" s="37"/>
      <c r="JE3169" s="37"/>
      <c r="JF3169" s="37"/>
      <c r="JG3169" s="37"/>
      <c r="JH3169" s="37"/>
      <c r="JI3169" s="37"/>
      <c r="JJ3169" s="37"/>
      <c r="JK3169" s="37"/>
      <c r="JL3169" s="37"/>
      <c r="JM3169" s="37"/>
      <c r="JN3169" s="37"/>
      <c r="JO3169" s="37"/>
      <c r="JP3169" s="37"/>
      <c r="JQ3169" s="37"/>
      <c r="JR3169" s="37"/>
      <c r="JS3169" s="37"/>
      <c r="JT3169" s="37"/>
      <c r="JU3169" s="37"/>
      <c r="JV3169" s="37"/>
      <c r="JW3169" s="37"/>
      <c r="JX3169" s="37"/>
      <c r="JY3169" s="37"/>
      <c r="JZ3169" s="37"/>
      <c r="KA3169" s="37"/>
      <c r="KB3169" s="37"/>
      <c r="KC3169" s="37"/>
      <c r="KD3169" s="37"/>
      <c r="KE3169" s="37"/>
      <c r="KF3169" s="37"/>
      <c r="KG3169" s="37"/>
      <c r="KH3169" s="37"/>
      <c r="KI3169" s="37"/>
      <c r="KJ3169" s="37"/>
      <c r="KK3169" s="37"/>
      <c r="KL3169" s="37"/>
      <c r="KM3169" s="37"/>
      <c r="KN3169" s="37"/>
      <c r="KO3169" s="37"/>
      <c r="KP3169" s="37"/>
      <c r="KQ3169" s="37"/>
      <c r="KR3169" s="37"/>
      <c r="KS3169" s="37"/>
      <c r="KT3169" s="37"/>
      <c r="KU3169" s="37"/>
      <c r="KV3169" s="37"/>
      <c r="KW3169" s="37"/>
      <c r="KX3169" s="37"/>
      <c r="KY3169" s="37"/>
      <c r="KZ3169" s="37"/>
      <c r="LA3169" s="37"/>
      <c r="LB3169" s="37"/>
      <c r="LC3169" s="37"/>
      <c r="LD3169" s="37"/>
      <c r="LE3169" s="37"/>
      <c r="LF3169" s="37"/>
      <c r="LG3169" s="37"/>
      <c r="LH3169" s="37"/>
      <c r="LI3169" s="37"/>
      <c r="LJ3169" s="37"/>
      <c r="LK3169" s="37"/>
      <c r="LL3169" s="37"/>
      <c r="LM3169" s="37"/>
      <c r="LN3169" s="37"/>
      <c r="LO3169" s="37"/>
      <c r="LP3169" s="37"/>
      <c r="LQ3169" s="37"/>
      <c r="LR3169" s="37"/>
      <c r="LS3169" s="37"/>
      <c r="LT3169" s="37"/>
      <c r="LU3169" s="37"/>
      <c r="LV3169" s="37"/>
      <c r="LW3169" s="37"/>
      <c r="LX3169" s="37"/>
      <c r="LY3169" s="37"/>
      <c r="LZ3169" s="37"/>
      <c r="MA3169" s="37"/>
      <c r="MB3169" s="37"/>
      <c r="MC3169" s="37"/>
      <c r="MD3169" s="37"/>
      <c r="ME3169" s="37"/>
      <c r="MF3169" s="37"/>
      <c r="MG3169" s="37"/>
      <c r="MH3169" s="37"/>
      <c r="MI3169" s="37"/>
      <c r="MJ3169" s="37"/>
      <c r="MK3169" s="37"/>
      <c r="ML3169" s="37"/>
      <c r="MM3169" s="37"/>
      <c r="MN3169" s="37"/>
      <c r="MO3169" s="37"/>
      <c r="MP3169" s="37"/>
      <c r="MQ3169" s="37"/>
      <c r="MR3169" s="37"/>
      <c r="MS3169" s="37"/>
      <c r="MT3169" s="37"/>
      <c r="MU3169" s="37"/>
      <c r="MV3169" s="37"/>
      <c r="MW3169" s="37"/>
      <c r="MX3169" s="37"/>
      <c r="MY3169" s="37"/>
      <c r="MZ3169" s="37"/>
      <c r="NA3169" s="37"/>
      <c r="NB3169" s="37"/>
      <c r="NC3169" s="37"/>
      <c r="ND3169" s="37"/>
      <c r="NE3169" s="37"/>
      <c r="NF3169" s="37"/>
      <c r="NG3169" s="37"/>
      <c r="NH3169" s="37"/>
      <c r="NI3169" s="37"/>
      <c r="NJ3169" s="37"/>
      <c r="NK3169" s="37"/>
      <c r="NL3169" s="37"/>
      <c r="NM3169" s="37"/>
      <c r="NN3169" s="37"/>
      <c r="NO3169" s="37"/>
      <c r="NP3169" s="37"/>
      <c r="NQ3169" s="37"/>
      <c r="NR3169" s="37"/>
      <c r="NS3169" s="37"/>
      <c r="NT3169" s="37"/>
      <c r="NU3169" s="37"/>
      <c r="NV3169" s="37"/>
      <c r="NW3169" s="37"/>
      <c r="NX3169" s="37"/>
      <c r="NY3169" s="37"/>
      <c r="NZ3169" s="37"/>
      <c r="OA3169" s="37"/>
      <c r="OB3169" s="37"/>
      <c r="OC3169" s="37"/>
      <c r="OD3169" s="37"/>
      <c r="OE3169" s="37"/>
      <c r="OF3169" s="37"/>
      <c r="OG3169" s="37"/>
      <c r="OH3169" s="37"/>
      <c r="OI3169" s="37"/>
      <c r="OJ3169" s="37"/>
      <c r="OK3169" s="37"/>
      <c r="OL3169" s="37"/>
      <c r="OM3169" s="37"/>
      <c r="ON3169" s="37"/>
      <c r="OO3169" s="37"/>
      <c r="OP3169" s="37"/>
      <c r="OQ3169" s="37"/>
      <c r="OR3169" s="37"/>
      <c r="OS3169" s="37"/>
      <c r="OT3169" s="37"/>
      <c r="OU3169" s="37"/>
      <c r="OV3169" s="37"/>
      <c r="OW3169" s="37"/>
      <c r="OX3169" s="37"/>
      <c r="OY3169" s="37"/>
      <c r="OZ3169" s="37"/>
      <c r="PA3169" s="37"/>
      <c r="PB3169" s="37"/>
      <c r="PC3169" s="37"/>
      <c r="PD3169" s="37"/>
      <c r="PE3169" s="37"/>
      <c r="PF3169" s="37"/>
      <c r="PG3169" s="37"/>
      <c r="PH3169" s="37"/>
      <c r="PI3169" s="37"/>
      <c r="PJ3169" s="37"/>
      <c r="PK3169" s="37"/>
      <c r="PL3169" s="37"/>
      <c r="PM3169" s="37"/>
      <c r="PN3169" s="37"/>
      <c r="PO3169" s="37"/>
      <c r="PP3169" s="37"/>
      <c r="PQ3169" s="37"/>
      <c r="PR3169" s="37"/>
      <c r="PS3169" s="37"/>
      <c r="PT3169" s="37"/>
      <c r="PU3169" s="37"/>
      <c r="PV3169" s="37"/>
      <c r="PW3169" s="37"/>
      <c r="PX3169" s="37"/>
      <c r="PY3169" s="37"/>
      <c r="PZ3169" s="37"/>
      <c r="QA3169" s="37"/>
      <c r="QB3169" s="37"/>
      <c r="QC3169" s="37"/>
      <c r="QD3169" s="37"/>
      <c r="QE3169" s="37"/>
      <c r="QF3169" s="37"/>
      <c r="QG3169" s="37"/>
      <c r="QH3169" s="37"/>
      <c r="QI3169" s="37"/>
      <c r="QJ3169" s="37"/>
      <c r="QK3169" s="37"/>
      <c r="QL3169" s="37"/>
      <c r="QM3169" s="37"/>
      <c r="QN3169" s="37"/>
      <c r="QO3169" s="37"/>
      <c r="QP3169" s="37"/>
      <c r="QQ3169" s="37"/>
      <c r="QR3169" s="37"/>
      <c r="QS3169" s="37"/>
      <c r="QT3169" s="37"/>
      <c r="QU3169" s="37"/>
      <c r="QV3169" s="37"/>
      <c r="QW3169" s="37"/>
      <c r="QX3169" s="37"/>
      <c r="QY3169" s="37"/>
      <c r="QZ3169" s="37"/>
      <c r="RA3169" s="37"/>
      <c r="RB3169" s="37"/>
      <c r="RC3169" s="37"/>
      <c r="RD3169" s="37"/>
      <c r="RE3169" s="37"/>
      <c r="RF3169" s="37"/>
      <c r="RG3169" s="37"/>
      <c r="RH3169" s="37"/>
      <c r="RI3169" s="37"/>
      <c r="RJ3169" s="37"/>
      <c r="RK3169" s="37"/>
      <c r="RL3169" s="37"/>
      <c r="RM3169" s="37"/>
      <c r="RN3169" s="37"/>
      <c r="RO3169" s="37"/>
      <c r="RP3169" s="37"/>
      <c r="RQ3169" s="37"/>
      <c r="RR3169" s="37"/>
      <c r="RS3169" s="37"/>
      <c r="RT3169" s="37"/>
      <c r="RU3169" s="37"/>
      <c r="RV3169" s="37"/>
      <c r="RW3169" s="37"/>
      <c r="RX3169" s="37"/>
      <c r="RY3169" s="37"/>
      <c r="RZ3169" s="37"/>
      <c r="SA3169" s="37"/>
      <c r="SB3169" s="37"/>
      <c r="SC3169" s="37"/>
      <c r="SD3169" s="37"/>
      <c r="SE3169" s="37"/>
      <c r="SF3169" s="37"/>
    </row>
    <row r="3170" spans="1:500">
      <c r="A3170" s="37"/>
      <c r="B3170" s="37"/>
      <c r="C3170" s="37"/>
      <c r="D3170" s="37"/>
      <c r="E3170" s="37"/>
      <c r="F3170" s="37"/>
      <c r="G3170" s="37"/>
      <c r="H3170" s="37"/>
      <c r="I3170" s="37"/>
      <c r="J3170" s="37"/>
      <c r="K3170" s="37"/>
      <c r="L3170" s="37"/>
      <c r="M3170" s="37"/>
      <c r="N3170" s="37"/>
      <c r="O3170" s="37"/>
      <c r="P3170" s="37"/>
      <c r="Q3170" s="37"/>
      <c r="R3170" s="37"/>
      <c r="S3170" s="37"/>
      <c r="T3170" s="37"/>
      <c r="U3170" s="37"/>
      <c r="V3170" s="37"/>
      <c r="W3170" s="37"/>
      <c r="X3170" s="37"/>
      <c r="Y3170" s="37"/>
      <c r="Z3170" s="37"/>
      <c r="AA3170" s="37"/>
      <c r="AB3170" s="37"/>
      <c r="AC3170" s="37"/>
      <c r="AD3170" s="37"/>
      <c r="AE3170" s="37"/>
      <c r="AF3170" s="37"/>
      <c r="AG3170" s="37"/>
      <c r="AH3170" s="37"/>
      <c r="AI3170" s="37"/>
      <c r="AJ3170" s="37"/>
      <c r="AK3170" s="37"/>
      <c r="AL3170" s="37"/>
      <c r="AM3170" s="37"/>
      <c r="AN3170" s="37"/>
      <c r="AO3170" s="37"/>
      <c r="AP3170" s="37"/>
      <c r="AQ3170" s="37"/>
      <c r="AR3170" s="37"/>
      <c r="AS3170" s="37"/>
      <c r="AT3170" s="37"/>
      <c r="AU3170" s="37"/>
      <c r="AV3170" s="37"/>
      <c r="AW3170" s="37"/>
      <c r="AX3170" s="37"/>
      <c r="AY3170" s="37"/>
      <c r="AZ3170" s="37"/>
      <c r="BA3170" s="37"/>
      <c r="BB3170" s="37"/>
      <c r="BC3170" s="37"/>
      <c r="BD3170" s="37"/>
      <c r="BE3170" s="37"/>
      <c r="BF3170" s="37"/>
      <c r="BG3170" s="37"/>
      <c r="BH3170" s="37"/>
      <c r="BI3170" s="37"/>
      <c r="BJ3170" s="37"/>
      <c r="BK3170" s="37"/>
      <c r="BL3170" s="37"/>
      <c r="BM3170" s="37"/>
      <c r="BN3170" s="37"/>
      <c r="BO3170" s="37"/>
      <c r="BP3170" s="37"/>
      <c r="BQ3170" s="37"/>
      <c r="BR3170" s="37"/>
      <c r="BS3170" s="37"/>
      <c r="BT3170" s="37"/>
      <c r="BU3170" s="37"/>
      <c r="BV3170" s="37"/>
      <c r="BW3170" s="37"/>
      <c r="BX3170" s="37"/>
      <c r="BY3170" s="37"/>
      <c r="BZ3170" s="37"/>
      <c r="CA3170" s="37"/>
      <c r="CB3170" s="37"/>
      <c r="CC3170" s="37"/>
      <c r="CD3170" s="37"/>
      <c r="CE3170" s="37"/>
      <c r="CF3170" s="37"/>
      <c r="CG3170" s="37"/>
      <c r="CH3170" s="37"/>
      <c r="CI3170" s="37"/>
      <c r="CJ3170" s="37"/>
      <c r="CK3170" s="37"/>
      <c r="CL3170" s="37"/>
      <c r="CM3170" s="37"/>
      <c r="CN3170" s="37"/>
      <c r="CO3170" s="37"/>
      <c r="CP3170" s="37"/>
      <c r="CQ3170" s="37"/>
      <c r="CR3170" s="37"/>
      <c r="CS3170" s="37"/>
      <c r="CT3170" s="37"/>
      <c r="CU3170" s="37"/>
      <c r="CV3170" s="37"/>
      <c r="CW3170" s="37"/>
      <c r="CX3170" s="37"/>
      <c r="CY3170" s="37"/>
      <c r="CZ3170" s="37"/>
      <c r="DA3170" s="37"/>
      <c r="DB3170" s="37"/>
      <c r="DC3170" s="37"/>
      <c r="DD3170" s="37"/>
      <c r="DE3170" s="37"/>
      <c r="DF3170" s="37"/>
      <c r="DG3170" s="37"/>
      <c r="DH3170" s="37"/>
      <c r="DI3170" s="37"/>
      <c r="DJ3170" s="37"/>
      <c r="DK3170" s="37"/>
      <c r="DL3170" s="37"/>
      <c r="DM3170" s="37"/>
      <c r="DN3170" s="37"/>
      <c r="DO3170" s="37"/>
      <c r="DP3170" s="37"/>
      <c r="DQ3170" s="37"/>
      <c r="DR3170" s="37"/>
      <c r="DS3170" s="37"/>
      <c r="DT3170" s="37"/>
      <c r="DU3170" s="37"/>
      <c r="DV3170" s="37"/>
      <c r="DW3170" s="37"/>
      <c r="DX3170" s="37"/>
      <c r="DY3170" s="37"/>
      <c r="DZ3170" s="37"/>
      <c r="EA3170" s="37"/>
      <c r="EB3170" s="37"/>
      <c r="EC3170" s="37"/>
      <c r="ED3170" s="37"/>
      <c r="EE3170" s="37"/>
      <c r="EF3170" s="37"/>
      <c r="EG3170" s="37"/>
      <c r="EH3170" s="37"/>
      <c r="EI3170" s="37"/>
      <c r="EJ3170" s="37"/>
      <c r="EK3170" s="37"/>
      <c r="EL3170" s="37"/>
      <c r="EM3170" s="37"/>
      <c r="EN3170" s="37"/>
      <c r="EO3170" s="37"/>
      <c r="EP3170" s="37"/>
      <c r="EQ3170" s="37"/>
      <c r="ER3170" s="37"/>
      <c r="ES3170" s="37"/>
      <c r="ET3170" s="37"/>
      <c r="EU3170" s="37"/>
      <c r="EV3170" s="37"/>
      <c r="EW3170" s="37"/>
      <c r="EX3170" s="37"/>
      <c r="EY3170" s="37"/>
      <c r="EZ3170" s="37"/>
      <c r="FA3170" s="37"/>
      <c r="FB3170" s="37"/>
      <c r="FC3170" s="37"/>
      <c r="FD3170" s="37"/>
      <c r="FE3170" s="37"/>
      <c r="FF3170" s="37"/>
      <c r="FG3170" s="37"/>
      <c r="FH3170" s="37"/>
      <c r="FI3170" s="37"/>
      <c r="FJ3170" s="37"/>
      <c r="FK3170" s="37"/>
      <c r="FL3170" s="37"/>
      <c r="FM3170" s="37"/>
      <c r="FN3170" s="37"/>
      <c r="FO3170" s="37"/>
      <c r="FP3170" s="37"/>
      <c r="FQ3170" s="37"/>
      <c r="FR3170" s="37"/>
      <c r="FS3170" s="37"/>
      <c r="FT3170" s="37"/>
      <c r="FU3170" s="37"/>
      <c r="FV3170" s="37"/>
      <c r="FW3170" s="37"/>
      <c r="FX3170" s="37"/>
      <c r="FY3170" s="37"/>
      <c r="FZ3170" s="37"/>
      <c r="GA3170" s="37"/>
      <c r="GB3170" s="37"/>
      <c r="GC3170" s="37"/>
      <c r="GD3170" s="37"/>
      <c r="GE3170" s="37"/>
      <c r="GF3170" s="37"/>
      <c r="GG3170" s="37"/>
      <c r="GH3170" s="37"/>
      <c r="GI3170" s="37"/>
      <c r="GJ3170" s="37"/>
      <c r="GK3170" s="37"/>
      <c r="GL3170" s="37"/>
      <c r="GM3170" s="37"/>
      <c r="GN3170" s="37"/>
      <c r="GO3170" s="37"/>
      <c r="GP3170" s="37"/>
      <c r="GQ3170" s="37"/>
      <c r="GR3170" s="37"/>
      <c r="GS3170" s="37"/>
      <c r="GT3170" s="37"/>
      <c r="GU3170" s="37"/>
      <c r="GV3170" s="37"/>
      <c r="GW3170" s="37"/>
      <c r="GX3170" s="37"/>
      <c r="GY3170" s="37"/>
      <c r="GZ3170" s="37"/>
      <c r="HA3170" s="37"/>
      <c r="HB3170" s="37"/>
      <c r="HC3170" s="37"/>
      <c r="HD3170" s="37"/>
      <c r="HE3170" s="37"/>
      <c r="HF3170" s="37"/>
      <c r="HG3170" s="37"/>
      <c r="HH3170" s="37"/>
      <c r="HI3170" s="37"/>
      <c r="HJ3170" s="37"/>
      <c r="HK3170" s="37"/>
      <c r="HL3170" s="37"/>
      <c r="HM3170" s="37"/>
      <c r="HN3170" s="37"/>
      <c r="HO3170" s="37"/>
      <c r="HP3170" s="37"/>
      <c r="HQ3170" s="37"/>
      <c r="HR3170" s="37"/>
      <c r="HS3170" s="37"/>
      <c r="HT3170" s="37"/>
      <c r="HU3170" s="37"/>
      <c r="HV3170" s="37"/>
      <c r="HW3170" s="37"/>
      <c r="HX3170" s="37"/>
      <c r="HY3170" s="37"/>
      <c r="HZ3170" s="37"/>
      <c r="IA3170" s="37"/>
      <c r="IB3170" s="37"/>
      <c r="IC3170" s="37"/>
      <c r="ID3170" s="37"/>
      <c r="IE3170" s="37"/>
      <c r="IF3170" s="37"/>
      <c r="IG3170" s="37"/>
      <c r="IH3170" s="37"/>
      <c r="II3170" s="37"/>
      <c r="IJ3170" s="37"/>
      <c r="IK3170" s="37"/>
      <c r="IL3170" s="37"/>
      <c r="IM3170" s="37"/>
      <c r="IN3170" s="37"/>
      <c r="IO3170" s="37"/>
      <c r="IP3170" s="37"/>
      <c r="IQ3170" s="37"/>
      <c r="IR3170" s="37"/>
      <c r="IS3170" s="37"/>
      <c r="IT3170" s="37"/>
      <c r="IU3170" s="37"/>
      <c r="IV3170" s="37"/>
      <c r="IW3170" s="37"/>
      <c r="IX3170" s="37"/>
      <c r="IY3170" s="37"/>
      <c r="IZ3170" s="37"/>
      <c r="JA3170" s="37"/>
      <c r="JB3170" s="37"/>
      <c r="JC3170" s="37"/>
      <c r="JD3170" s="37"/>
      <c r="JE3170" s="37"/>
      <c r="JF3170" s="37"/>
      <c r="JG3170" s="37"/>
      <c r="JH3170" s="37"/>
      <c r="JI3170" s="37"/>
      <c r="JJ3170" s="37"/>
      <c r="JK3170" s="37"/>
      <c r="JL3170" s="37"/>
      <c r="JM3170" s="37"/>
      <c r="JN3170" s="37"/>
      <c r="JO3170" s="37"/>
      <c r="JP3170" s="37"/>
      <c r="JQ3170" s="37"/>
      <c r="JR3170" s="37"/>
      <c r="JS3170" s="37"/>
      <c r="JT3170" s="37"/>
      <c r="JU3170" s="37"/>
      <c r="JV3170" s="37"/>
      <c r="JW3170" s="37"/>
      <c r="JX3170" s="37"/>
      <c r="JY3170" s="37"/>
      <c r="JZ3170" s="37"/>
      <c r="KA3170" s="37"/>
      <c r="KB3170" s="37"/>
      <c r="KC3170" s="37"/>
      <c r="KD3170" s="37"/>
      <c r="KE3170" s="37"/>
      <c r="KF3170" s="37"/>
      <c r="KG3170" s="37"/>
      <c r="KH3170" s="37"/>
      <c r="KI3170" s="37"/>
      <c r="KJ3170" s="37"/>
      <c r="KK3170" s="37"/>
      <c r="KL3170" s="37"/>
      <c r="KM3170" s="37"/>
      <c r="KN3170" s="37"/>
      <c r="KO3170" s="37"/>
      <c r="KP3170" s="37"/>
      <c r="KQ3170" s="37"/>
      <c r="KR3170" s="37"/>
      <c r="KS3170" s="37"/>
      <c r="KT3170" s="37"/>
      <c r="KU3170" s="37"/>
      <c r="KV3170" s="37"/>
      <c r="KW3170" s="37"/>
      <c r="KX3170" s="37"/>
      <c r="KY3170" s="37"/>
      <c r="KZ3170" s="37"/>
      <c r="LA3170" s="37"/>
      <c r="LB3170" s="37"/>
      <c r="LC3170" s="37"/>
      <c r="LD3170" s="37"/>
      <c r="LE3170" s="37"/>
      <c r="LF3170" s="37"/>
      <c r="LG3170" s="37"/>
      <c r="LH3170" s="37"/>
      <c r="LI3170" s="37"/>
      <c r="LJ3170" s="37"/>
      <c r="LK3170" s="37"/>
      <c r="LL3170" s="37"/>
      <c r="LM3170" s="37"/>
      <c r="LN3170" s="37"/>
      <c r="LO3170" s="37"/>
      <c r="LP3170" s="37"/>
      <c r="LQ3170" s="37"/>
      <c r="LR3170" s="37"/>
      <c r="LS3170" s="37"/>
      <c r="LT3170" s="37"/>
      <c r="LU3170" s="37"/>
      <c r="LV3170" s="37"/>
      <c r="LW3170" s="37"/>
      <c r="LX3170" s="37"/>
      <c r="LY3170" s="37"/>
      <c r="LZ3170" s="37"/>
      <c r="MA3170" s="37"/>
      <c r="MB3170" s="37"/>
      <c r="MC3170" s="37"/>
      <c r="MD3170" s="37"/>
      <c r="ME3170" s="37"/>
      <c r="MF3170" s="37"/>
      <c r="MG3170" s="37"/>
      <c r="MH3170" s="37"/>
      <c r="MI3170" s="37"/>
      <c r="MJ3170" s="37"/>
      <c r="MK3170" s="37"/>
      <c r="ML3170" s="37"/>
      <c r="MM3170" s="37"/>
      <c r="MN3170" s="37"/>
      <c r="MO3170" s="37"/>
      <c r="MP3170" s="37"/>
      <c r="MQ3170" s="37"/>
      <c r="MR3170" s="37"/>
      <c r="MS3170" s="37"/>
      <c r="MT3170" s="37"/>
      <c r="MU3170" s="37"/>
      <c r="MV3170" s="37"/>
      <c r="MW3170" s="37"/>
      <c r="MX3170" s="37"/>
      <c r="MY3170" s="37"/>
      <c r="MZ3170" s="37"/>
      <c r="NA3170" s="37"/>
      <c r="NB3170" s="37"/>
      <c r="NC3170" s="37"/>
      <c r="ND3170" s="37"/>
      <c r="NE3170" s="37"/>
      <c r="NF3170" s="37"/>
      <c r="NG3170" s="37"/>
      <c r="NH3170" s="37"/>
      <c r="NI3170" s="37"/>
      <c r="NJ3170" s="37"/>
      <c r="NK3170" s="37"/>
      <c r="NL3170" s="37"/>
      <c r="NM3170" s="37"/>
      <c r="NN3170" s="37"/>
      <c r="NO3170" s="37"/>
      <c r="NP3170" s="37"/>
      <c r="NQ3170" s="37"/>
      <c r="NR3170" s="37"/>
      <c r="NS3170" s="37"/>
      <c r="NT3170" s="37"/>
      <c r="NU3170" s="37"/>
      <c r="NV3170" s="37"/>
      <c r="NW3170" s="37"/>
      <c r="NX3170" s="37"/>
      <c r="NY3170" s="37"/>
      <c r="NZ3170" s="37"/>
      <c r="OA3170" s="37"/>
      <c r="OB3170" s="37"/>
      <c r="OC3170" s="37"/>
      <c r="OD3170" s="37"/>
      <c r="OE3170" s="37"/>
      <c r="OF3170" s="37"/>
      <c r="OG3170" s="37"/>
      <c r="OH3170" s="37"/>
      <c r="OI3170" s="37"/>
      <c r="OJ3170" s="37"/>
      <c r="OK3170" s="37"/>
      <c r="OL3170" s="37"/>
      <c r="OM3170" s="37"/>
      <c r="ON3170" s="37"/>
      <c r="OO3170" s="37"/>
      <c r="OP3170" s="37"/>
      <c r="OQ3170" s="37"/>
      <c r="OR3170" s="37"/>
      <c r="OS3170" s="37"/>
      <c r="OT3170" s="37"/>
      <c r="OU3170" s="37"/>
      <c r="OV3170" s="37"/>
      <c r="OW3170" s="37"/>
      <c r="OX3170" s="37"/>
      <c r="OY3170" s="37"/>
      <c r="OZ3170" s="37"/>
      <c r="PA3170" s="37"/>
      <c r="PB3170" s="37"/>
      <c r="PC3170" s="37"/>
      <c r="PD3170" s="37"/>
      <c r="PE3170" s="37"/>
      <c r="PF3170" s="37"/>
      <c r="PG3170" s="37"/>
      <c r="PH3170" s="37"/>
      <c r="PI3170" s="37"/>
      <c r="PJ3170" s="37"/>
      <c r="PK3170" s="37"/>
      <c r="PL3170" s="37"/>
      <c r="PM3170" s="37"/>
      <c r="PN3170" s="37"/>
      <c r="PO3170" s="37"/>
      <c r="PP3170" s="37"/>
      <c r="PQ3170" s="37"/>
      <c r="PR3170" s="37"/>
      <c r="PS3170" s="37"/>
      <c r="PT3170" s="37"/>
      <c r="PU3170" s="37"/>
      <c r="PV3170" s="37"/>
      <c r="PW3170" s="37"/>
      <c r="PX3170" s="37"/>
      <c r="PY3170" s="37"/>
      <c r="PZ3170" s="37"/>
      <c r="QA3170" s="37"/>
      <c r="QB3170" s="37"/>
      <c r="QC3170" s="37"/>
      <c r="QD3170" s="37"/>
      <c r="QE3170" s="37"/>
      <c r="QF3170" s="37"/>
      <c r="QG3170" s="37"/>
      <c r="QH3170" s="37"/>
      <c r="QI3170" s="37"/>
      <c r="QJ3170" s="37"/>
      <c r="QK3170" s="37"/>
      <c r="QL3170" s="37"/>
      <c r="QM3170" s="37"/>
      <c r="QN3170" s="37"/>
      <c r="QO3170" s="37"/>
      <c r="QP3170" s="37"/>
      <c r="QQ3170" s="37"/>
      <c r="QR3170" s="37"/>
      <c r="QS3170" s="37"/>
      <c r="QT3170" s="37"/>
      <c r="QU3170" s="37"/>
      <c r="QV3170" s="37"/>
      <c r="QW3170" s="37"/>
      <c r="QX3170" s="37"/>
      <c r="QY3170" s="37"/>
      <c r="QZ3170" s="37"/>
      <c r="RA3170" s="37"/>
      <c r="RB3170" s="37"/>
      <c r="RC3170" s="37"/>
      <c r="RD3170" s="37"/>
      <c r="RE3170" s="37"/>
      <c r="RF3170" s="37"/>
      <c r="RG3170" s="37"/>
      <c r="RH3170" s="37"/>
      <c r="RI3170" s="37"/>
      <c r="RJ3170" s="37"/>
      <c r="RK3170" s="37"/>
      <c r="RL3170" s="37"/>
      <c r="RM3170" s="37"/>
      <c r="RN3170" s="37"/>
      <c r="RO3170" s="37"/>
      <c r="RP3170" s="37"/>
      <c r="RQ3170" s="37"/>
      <c r="RR3170" s="37"/>
      <c r="RS3170" s="37"/>
      <c r="RT3170" s="37"/>
      <c r="RU3170" s="37"/>
      <c r="RV3170" s="37"/>
      <c r="RW3170" s="37"/>
      <c r="RX3170" s="37"/>
      <c r="RY3170" s="37"/>
      <c r="RZ3170" s="37"/>
      <c r="SA3170" s="37"/>
      <c r="SB3170" s="37"/>
      <c r="SC3170" s="37"/>
      <c r="SD3170" s="37"/>
      <c r="SE3170" s="37"/>
      <c r="SF3170" s="37"/>
    </row>
    <row r="3171" spans="1:500">
      <c r="A3171" s="37"/>
      <c r="B3171" s="37"/>
      <c r="C3171" s="37"/>
      <c r="D3171" s="37"/>
      <c r="E3171" s="37"/>
      <c r="F3171" s="37"/>
      <c r="G3171" s="37"/>
      <c r="H3171" s="37"/>
      <c r="I3171" s="37"/>
      <c r="J3171" s="37"/>
      <c r="K3171" s="37"/>
      <c r="L3171" s="37"/>
      <c r="M3171" s="37"/>
      <c r="N3171" s="37"/>
      <c r="O3171" s="37"/>
      <c r="P3171" s="37"/>
      <c r="Q3171" s="37"/>
      <c r="R3171" s="37"/>
      <c r="S3171" s="37"/>
      <c r="T3171" s="37"/>
      <c r="U3171" s="37"/>
      <c r="V3171" s="37"/>
      <c r="W3171" s="37"/>
      <c r="X3171" s="37"/>
      <c r="Y3171" s="37"/>
      <c r="Z3171" s="37"/>
      <c r="AA3171" s="37"/>
      <c r="AB3171" s="37"/>
      <c r="AC3171" s="37"/>
      <c r="AD3171" s="37"/>
      <c r="AE3171" s="37"/>
      <c r="AF3171" s="37"/>
      <c r="AG3171" s="37"/>
      <c r="AH3171" s="37"/>
      <c r="AI3171" s="37"/>
      <c r="AJ3171" s="37"/>
      <c r="AK3171" s="37"/>
      <c r="AL3171" s="37"/>
      <c r="AM3171" s="37"/>
      <c r="AN3171" s="37"/>
      <c r="AO3171" s="37"/>
      <c r="AP3171" s="37"/>
      <c r="AQ3171" s="37"/>
      <c r="AR3171" s="37"/>
      <c r="AS3171" s="37"/>
      <c r="AT3171" s="37"/>
      <c r="AU3171" s="37"/>
      <c r="AV3171" s="37"/>
      <c r="AW3171" s="37"/>
      <c r="AX3171" s="37"/>
      <c r="AY3171" s="37"/>
      <c r="AZ3171" s="37"/>
      <c r="BA3171" s="37"/>
      <c r="BB3171" s="37"/>
      <c r="BC3171" s="37"/>
      <c r="BD3171" s="37"/>
      <c r="BE3171" s="37"/>
      <c r="BF3171" s="37"/>
      <c r="BG3171" s="37"/>
      <c r="BH3171" s="37"/>
      <c r="BI3171" s="37"/>
      <c r="BJ3171" s="37"/>
      <c r="BK3171" s="37"/>
      <c r="BL3171" s="37"/>
      <c r="BM3171" s="37"/>
      <c r="BN3171" s="37"/>
      <c r="BO3171" s="37"/>
      <c r="BP3171" s="37"/>
      <c r="BQ3171" s="37"/>
      <c r="BR3171" s="37"/>
      <c r="BS3171" s="37"/>
      <c r="BT3171" s="37"/>
      <c r="BU3171" s="37"/>
      <c r="BV3171" s="37"/>
      <c r="BW3171" s="37"/>
      <c r="BX3171" s="37"/>
      <c r="BY3171" s="37"/>
      <c r="BZ3171" s="37"/>
      <c r="CA3171" s="37"/>
      <c r="CB3171" s="37"/>
      <c r="CC3171" s="37"/>
      <c r="CD3171" s="37"/>
      <c r="CE3171" s="37"/>
      <c r="CF3171" s="37"/>
      <c r="CG3171" s="37"/>
      <c r="CH3171" s="37"/>
      <c r="CI3171" s="37"/>
      <c r="CJ3171" s="37"/>
      <c r="CK3171" s="37"/>
      <c r="CL3171" s="37"/>
      <c r="CM3171" s="37"/>
      <c r="CN3171" s="37"/>
      <c r="CO3171" s="37"/>
      <c r="CP3171" s="37"/>
      <c r="CQ3171" s="37"/>
      <c r="CR3171" s="37"/>
      <c r="CS3171" s="37"/>
      <c r="CT3171" s="37"/>
      <c r="CU3171" s="37"/>
      <c r="CV3171" s="37"/>
      <c r="CW3171" s="37"/>
      <c r="CX3171" s="37"/>
      <c r="CY3171" s="37"/>
      <c r="CZ3171" s="37"/>
      <c r="DA3171" s="37"/>
      <c r="DB3171" s="37"/>
      <c r="DC3171" s="37"/>
      <c r="DD3171" s="37"/>
      <c r="DE3171" s="37"/>
      <c r="DF3171" s="37"/>
      <c r="DG3171" s="37"/>
      <c r="DH3171" s="37"/>
      <c r="DI3171" s="37"/>
      <c r="DJ3171" s="37"/>
      <c r="DK3171" s="37"/>
      <c r="DL3171" s="37"/>
      <c r="DM3171" s="37"/>
      <c r="DN3171" s="37"/>
      <c r="DO3171" s="37"/>
      <c r="DP3171" s="37"/>
      <c r="DQ3171" s="37"/>
      <c r="DR3171" s="37"/>
      <c r="DS3171" s="37"/>
      <c r="DT3171" s="37"/>
      <c r="DU3171" s="37"/>
      <c r="DV3171" s="37"/>
      <c r="DW3171" s="37"/>
      <c r="DX3171" s="37"/>
      <c r="DY3171" s="37"/>
      <c r="DZ3171" s="37"/>
      <c r="EA3171" s="37"/>
      <c r="EB3171" s="37"/>
      <c r="EC3171" s="37"/>
      <c r="ED3171" s="37"/>
      <c r="EE3171" s="37"/>
      <c r="EF3171" s="37"/>
      <c r="EG3171" s="37"/>
      <c r="EH3171" s="37"/>
      <c r="EI3171" s="37"/>
      <c r="EJ3171" s="37"/>
      <c r="EK3171" s="37"/>
      <c r="EL3171" s="37"/>
      <c r="EM3171" s="37"/>
      <c r="EN3171" s="37"/>
      <c r="EO3171" s="37"/>
      <c r="EP3171" s="37"/>
      <c r="EQ3171" s="37"/>
      <c r="ER3171" s="37"/>
      <c r="ES3171" s="37"/>
      <c r="ET3171" s="37"/>
      <c r="EU3171" s="37"/>
      <c r="EV3171" s="37"/>
      <c r="EW3171" s="37"/>
      <c r="EX3171" s="37"/>
      <c r="EY3171" s="37"/>
      <c r="EZ3171" s="37"/>
      <c r="FA3171" s="37"/>
      <c r="FB3171" s="37"/>
      <c r="FC3171" s="37"/>
      <c r="FD3171" s="37"/>
      <c r="FE3171" s="37"/>
      <c r="FF3171" s="37"/>
      <c r="FG3171" s="37"/>
      <c r="FH3171" s="37"/>
      <c r="FI3171" s="37"/>
      <c r="FJ3171" s="37"/>
      <c r="FK3171" s="37"/>
      <c r="FL3171" s="37"/>
      <c r="FM3171" s="37"/>
      <c r="FN3171" s="37"/>
      <c r="FO3171" s="37"/>
      <c r="FP3171" s="37"/>
      <c r="FQ3171" s="37"/>
      <c r="FR3171" s="37"/>
      <c r="FS3171" s="37"/>
      <c r="FT3171" s="37"/>
      <c r="FU3171" s="37"/>
      <c r="FV3171" s="37"/>
      <c r="FW3171" s="37"/>
      <c r="FX3171" s="37"/>
      <c r="FY3171" s="37"/>
      <c r="FZ3171" s="37"/>
      <c r="GA3171" s="37"/>
      <c r="GB3171" s="37"/>
      <c r="GC3171" s="37"/>
      <c r="GD3171" s="37"/>
      <c r="GE3171" s="37"/>
      <c r="GF3171" s="37"/>
      <c r="GG3171" s="37"/>
      <c r="GH3171" s="37"/>
      <c r="GI3171" s="37"/>
      <c r="GJ3171" s="37"/>
      <c r="GK3171" s="37"/>
      <c r="GL3171" s="37"/>
      <c r="GM3171" s="37"/>
      <c r="GN3171" s="37"/>
      <c r="GO3171" s="37"/>
      <c r="GP3171" s="37"/>
      <c r="GQ3171" s="37"/>
      <c r="GR3171" s="37"/>
      <c r="GS3171" s="37"/>
      <c r="GT3171" s="37"/>
      <c r="GU3171" s="37"/>
      <c r="GV3171" s="37"/>
      <c r="GW3171" s="37"/>
      <c r="GX3171" s="37"/>
      <c r="GY3171" s="37"/>
      <c r="GZ3171" s="37"/>
      <c r="HA3171" s="37"/>
      <c r="HB3171" s="37"/>
      <c r="HC3171" s="37"/>
      <c r="HD3171" s="37"/>
      <c r="HE3171" s="37"/>
      <c r="HF3171" s="37"/>
      <c r="HG3171" s="37"/>
      <c r="HH3171" s="37"/>
      <c r="HI3171" s="37"/>
      <c r="HJ3171" s="37"/>
      <c r="HK3171" s="37"/>
      <c r="HL3171" s="37"/>
      <c r="HM3171" s="37"/>
      <c r="HN3171" s="37"/>
      <c r="HO3171" s="37"/>
      <c r="HP3171" s="37"/>
      <c r="HQ3171" s="37"/>
      <c r="HR3171" s="37"/>
      <c r="HS3171" s="37"/>
      <c r="HT3171" s="37"/>
      <c r="HU3171" s="37"/>
      <c r="HV3171" s="37"/>
      <c r="HW3171" s="37"/>
      <c r="HX3171" s="37"/>
      <c r="HY3171" s="37"/>
      <c r="HZ3171" s="37"/>
      <c r="IA3171" s="37"/>
      <c r="IB3171" s="37"/>
      <c r="IC3171" s="37"/>
      <c r="ID3171" s="37"/>
      <c r="IE3171" s="37"/>
      <c r="IF3171" s="37"/>
      <c r="IG3171" s="37"/>
      <c r="IH3171" s="37"/>
      <c r="II3171" s="37"/>
      <c r="IJ3171" s="37"/>
      <c r="IK3171" s="37"/>
      <c r="IL3171" s="37"/>
      <c r="IM3171" s="37"/>
      <c r="IN3171" s="37"/>
      <c r="IO3171" s="37"/>
      <c r="IP3171" s="37"/>
      <c r="IQ3171" s="37"/>
      <c r="IR3171" s="37"/>
      <c r="IS3171" s="37"/>
      <c r="IT3171" s="37"/>
      <c r="IU3171" s="37"/>
      <c r="IV3171" s="37"/>
      <c r="IW3171" s="37"/>
      <c r="IX3171" s="37"/>
      <c r="IY3171" s="37"/>
      <c r="IZ3171" s="37"/>
      <c r="JA3171" s="37"/>
      <c r="JB3171" s="37"/>
      <c r="JC3171" s="37"/>
      <c r="JD3171" s="37"/>
      <c r="JE3171" s="37"/>
      <c r="JF3171" s="37"/>
      <c r="JG3171" s="37"/>
      <c r="JH3171" s="37"/>
      <c r="JI3171" s="37"/>
      <c r="JJ3171" s="37"/>
      <c r="JK3171" s="37"/>
      <c r="JL3171" s="37"/>
      <c r="JM3171" s="37"/>
      <c r="JN3171" s="37"/>
      <c r="JO3171" s="37"/>
      <c r="JP3171" s="37"/>
      <c r="JQ3171" s="37"/>
      <c r="JR3171" s="37"/>
      <c r="JS3171" s="37"/>
      <c r="JT3171" s="37"/>
      <c r="JU3171" s="37"/>
      <c r="JV3171" s="37"/>
      <c r="JW3171" s="37"/>
      <c r="JX3171" s="37"/>
      <c r="JY3171" s="37"/>
      <c r="JZ3171" s="37"/>
      <c r="KA3171" s="37"/>
      <c r="KB3171" s="37"/>
      <c r="KC3171" s="37"/>
      <c r="KD3171" s="37"/>
      <c r="KE3171" s="37"/>
      <c r="KF3171" s="37"/>
      <c r="KG3171" s="37"/>
      <c r="KH3171" s="37"/>
      <c r="KI3171" s="37"/>
      <c r="KJ3171" s="37"/>
      <c r="KK3171" s="37"/>
      <c r="KL3171" s="37"/>
      <c r="KM3171" s="37"/>
      <c r="KN3171" s="37"/>
      <c r="KO3171" s="37"/>
      <c r="KP3171" s="37"/>
      <c r="KQ3171" s="37"/>
      <c r="KR3171" s="37"/>
      <c r="KS3171" s="37"/>
      <c r="KT3171" s="37"/>
      <c r="KU3171" s="37"/>
      <c r="KV3171" s="37"/>
      <c r="KW3171" s="37"/>
      <c r="KX3171" s="37"/>
      <c r="KY3171" s="37"/>
      <c r="KZ3171" s="37"/>
      <c r="LA3171" s="37"/>
      <c r="LB3171" s="37"/>
      <c r="LC3171" s="37"/>
      <c r="LD3171" s="37"/>
      <c r="LE3171" s="37"/>
      <c r="LF3171" s="37"/>
      <c r="LG3171" s="37"/>
      <c r="LH3171" s="37"/>
      <c r="LI3171" s="37"/>
      <c r="LJ3171" s="37"/>
      <c r="LK3171" s="37"/>
      <c r="LL3171" s="37"/>
      <c r="LM3171" s="37"/>
      <c r="LN3171" s="37"/>
      <c r="LO3171" s="37"/>
      <c r="LP3171" s="37"/>
      <c r="LQ3171" s="37"/>
      <c r="LR3171" s="37"/>
      <c r="LS3171" s="37"/>
      <c r="LT3171" s="37"/>
      <c r="LU3171" s="37"/>
      <c r="LV3171" s="37"/>
      <c r="LW3171" s="37"/>
      <c r="LX3171" s="37"/>
      <c r="LY3171" s="37"/>
      <c r="LZ3171" s="37"/>
      <c r="MA3171" s="37"/>
      <c r="MB3171" s="37"/>
      <c r="MC3171" s="37"/>
      <c r="MD3171" s="37"/>
      <c r="ME3171" s="37"/>
      <c r="MF3171" s="37"/>
      <c r="MG3171" s="37"/>
      <c r="MH3171" s="37"/>
      <c r="MI3171" s="37"/>
      <c r="MJ3171" s="37"/>
      <c r="MK3171" s="37"/>
      <c r="ML3171" s="37"/>
      <c r="MM3171" s="37"/>
      <c r="MN3171" s="37"/>
      <c r="MO3171" s="37"/>
      <c r="MP3171" s="37"/>
      <c r="MQ3171" s="37"/>
      <c r="MR3171" s="37"/>
      <c r="MS3171" s="37"/>
      <c r="MT3171" s="37"/>
      <c r="MU3171" s="37"/>
      <c r="MV3171" s="37"/>
      <c r="MW3171" s="37"/>
      <c r="MX3171" s="37"/>
      <c r="MY3171" s="37"/>
      <c r="MZ3171" s="37"/>
      <c r="NA3171" s="37"/>
      <c r="NB3171" s="37"/>
      <c r="NC3171" s="37"/>
      <c r="ND3171" s="37"/>
      <c r="NE3171" s="37"/>
      <c r="NF3171" s="37"/>
      <c r="NG3171" s="37"/>
      <c r="NH3171" s="37"/>
      <c r="NI3171" s="37"/>
      <c r="NJ3171" s="37"/>
      <c r="NK3171" s="37"/>
      <c r="NL3171" s="37"/>
      <c r="NM3171" s="37"/>
      <c r="NN3171" s="37"/>
      <c r="NO3171" s="37"/>
      <c r="NP3171" s="37"/>
      <c r="NQ3171" s="37"/>
      <c r="NR3171" s="37"/>
      <c r="NS3171" s="37"/>
      <c r="NT3171" s="37"/>
      <c r="NU3171" s="37"/>
      <c r="NV3171" s="37"/>
      <c r="NW3171" s="37"/>
      <c r="NX3171" s="37"/>
      <c r="NY3171" s="37"/>
      <c r="NZ3171" s="37"/>
      <c r="OA3171" s="37"/>
      <c r="OB3171" s="37"/>
      <c r="OC3171" s="37"/>
      <c r="OD3171" s="37"/>
      <c r="OE3171" s="37"/>
      <c r="OF3171" s="37"/>
      <c r="OG3171" s="37"/>
      <c r="OH3171" s="37"/>
      <c r="OI3171" s="37"/>
      <c r="OJ3171" s="37"/>
      <c r="OK3171" s="37"/>
      <c r="OL3171" s="37"/>
      <c r="OM3171" s="37"/>
      <c r="ON3171" s="37"/>
      <c r="OO3171" s="37"/>
      <c r="OP3171" s="37"/>
      <c r="OQ3171" s="37"/>
      <c r="OR3171" s="37"/>
      <c r="OS3171" s="37"/>
      <c r="OT3171" s="37"/>
      <c r="OU3171" s="37"/>
      <c r="OV3171" s="37"/>
      <c r="OW3171" s="37"/>
      <c r="OX3171" s="37"/>
      <c r="OY3171" s="37"/>
      <c r="OZ3171" s="37"/>
      <c r="PA3171" s="37"/>
      <c r="PB3171" s="37"/>
      <c r="PC3171" s="37"/>
      <c r="PD3171" s="37"/>
      <c r="PE3171" s="37"/>
      <c r="PF3171" s="37"/>
      <c r="PG3171" s="37"/>
      <c r="PH3171" s="37"/>
      <c r="PI3171" s="37"/>
      <c r="PJ3171" s="37"/>
      <c r="PK3171" s="37"/>
      <c r="PL3171" s="37"/>
      <c r="PM3171" s="37"/>
      <c r="PN3171" s="37"/>
      <c r="PO3171" s="37"/>
      <c r="PP3171" s="37"/>
      <c r="PQ3171" s="37"/>
      <c r="PR3171" s="37"/>
      <c r="PS3171" s="37"/>
      <c r="PT3171" s="37"/>
      <c r="PU3171" s="37"/>
      <c r="PV3171" s="37"/>
      <c r="PW3171" s="37"/>
      <c r="PX3171" s="37"/>
      <c r="PY3171" s="37"/>
      <c r="PZ3171" s="37"/>
      <c r="QA3171" s="37"/>
      <c r="QB3171" s="37"/>
      <c r="QC3171" s="37"/>
      <c r="QD3171" s="37"/>
      <c r="QE3171" s="37"/>
      <c r="QF3171" s="37"/>
      <c r="QG3171" s="37"/>
      <c r="QH3171" s="37"/>
      <c r="QI3171" s="37"/>
      <c r="QJ3171" s="37"/>
      <c r="QK3171" s="37"/>
      <c r="QL3171" s="37"/>
      <c r="QM3171" s="37"/>
      <c r="QN3171" s="37"/>
      <c r="QO3171" s="37"/>
      <c r="QP3171" s="37"/>
      <c r="QQ3171" s="37"/>
      <c r="QR3171" s="37"/>
      <c r="QS3171" s="37"/>
      <c r="QT3171" s="37"/>
      <c r="QU3171" s="37"/>
      <c r="QV3171" s="37"/>
      <c r="QW3171" s="37"/>
      <c r="QX3171" s="37"/>
      <c r="QY3171" s="37"/>
      <c r="QZ3171" s="37"/>
      <c r="RA3171" s="37"/>
      <c r="RB3171" s="37"/>
      <c r="RC3171" s="37"/>
      <c r="RD3171" s="37"/>
      <c r="RE3171" s="37"/>
      <c r="RF3171" s="37"/>
      <c r="RG3171" s="37"/>
      <c r="RH3171" s="37"/>
      <c r="RI3171" s="37"/>
      <c r="RJ3171" s="37"/>
      <c r="RK3171" s="37"/>
      <c r="RL3171" s="37"/>
      <c r="RM3171" s="37"/>
      <c r="RN3171" s="37"/>
      <c r="RO3171" s="37"/>
      <c r="RP3171" s="37"/>
      <c r="RQ3171" s="37"/>
      <c r="RR3171" s="37"/>
      <c r="RS3171" s="37"/>
      <c r="RT3171" s="37"/>
      <c r="RU3171" s="37"/>
      <c r="RV3171" s="37"/>
      <c r="RW3171" s="37"/>
      <c r="RX3171" s="37"/>
      <c r="RY3171" s="37"/>
      <c r="RZ3171" s="37"/>
      <c r="SA3171" s="37"/>
      <c r="SB3171" s="37"/>
      <c r="SC3171" s="37"/>
      <c r="SD3171" s="37"/>
      <c r="SE3171" s="37"/>
      <c r="SF3171" s="37"/>
    </row>
    <row r="3172" spans="1:500">
      <c r="A3172" s="37"/>
      <c r="B3172" s="37"/>
      <c r="C3172" s="37"/>
      <c r="D3172" s="37"/>
      <c r="E3172" s="37"/>
      <c r="F3172" s="37"/>
      <c r="G3172" s="37"/>
      <c r="H3172" s="37"/>
      <c r="I3172" s="37"/>
      <c r="J3172" s="37"/>
      <c r="K3172" s="37"/>
      <c r="L3172" s="37"/>
      <c r="M3172" s="37"/>
      <c r="N3172" s="37"/>
      <c r="O3172" s="37"/>
      <c r="P3172" s="37"/>
      <c r="Q3172" s="37"/>
      <c r="R3172" s="37"/>
      <c r="S3172" s="37"/>
      <c r="T3172" s="37"/>
      <c r="U3172" s="37"/>
      <c r="V3172" s="37"/>
      <c r="W3172" s="37"/>
      <c r="X3172" s="37"/>
      <c r="Y3172" s="37"/>
      <c r="Z3172" s="37"/>
      <c r="AA3172" s="37"/>
      <c r="AB3172" s="37"/>
      <c r="AC3172" s="37"/>
      <c r="AD3172" s="37"/>
      <c r="AE3172" s="37"/>
      <c r="AF3172" s="37"/>
      <c r="AG3172" s="37"/>
      <c r="AH3172" s="37"/>
      <c r="AI3172" s="37"/>
      <c r="AJ3172" s="37"/>
      <c r="AK3172" s="37"/>
      <c r="AL3172" s="37"/>
      <c r="AM3172" s="37"/>
      <c r="AN3172" s="37"/>
      <c r="AO3172" s="37"/>
      <c r="AP3172" s="37"/>
      <c r="AQ3172" s="37"/>
      <c r="AR3172" s="37"/>
      <c r="AS3172" s="37"/>
      <c r="AT3172" s="37"/>
      <c r="AU3172" s="37"/>
      <c r="AV3172" s="37"/>
      <c r="AW3172" s="37"/>
      <c r="AX3172" s="37"/>
      <c r="AY3172" s="37"/>
      <c r="AZ3172" s="37"/>
      <c r="BA3172" s="37"/>
      <c r="BB3172" s="37"/>
      <c r="BC3172" s="37"/>
      <c r="BD3172" s="37"/>
      <c r="BE3172" s="37"/>
      <c r="BF3172" s="37"/>
      <c r="BG3172" s="37"/>
      <c r="BH3172" s="37"/>
      <c r="BI3172" s="37"/>
      <c r="BJ3172" s="37"/>
      <c r="BK3172" s="37"/>
      <c r="BL3172" s="37"/>
      <c r="BM3172" s="37"/>
      <c r="BN3172" s="37"/>
      <c r="BO3172" s="37"/>
      <c r="BP3172" s="37"/>
      <c r="BQ3172" s="37"/>
      <c r="BR3172" s="37"/>
      <c r="BS3172" s="37"/>
      <c r="BT3172" s="37"/>
      <c r="BU3172" s="37"/>
      <c r="BV3172" s="37"/>
      <c r="BW3172" s="37"/>
      <c r="BX3172" s="37"/>
      <c r="BY3172" s="37"/>
      <c r="BZ3172" s="37"/>
      <c r="CA3172" s="37"/>
      <c r="CB3172" s="37"/>
      <c r="CC3172" s="37"/>
      <c r="CD3172" s="37"/>
      <c r="CE3172" s="37"/>
      <c r="CF3172" s="37"/>
      <c r="CG3172" s="37"/>
      <c r="CH3172" s="37"/>
      <c r="CI3172" s="37"/>
      <c r="CJ3172" s="37"/>
      <c r="CK3172" s="37"/>
      <c r="CL3172" s="37"/>
      <c r="CM3172" s="37"/>
      <c r="CN3172" s="37"/>
      <c r="CO3172" s="37"/>
      <c r="CP3172" s="37"/>
      <c r="CQ3172" s="37"/>
      <c r="CR3172" s="37"/>
      <c r="CS3172" s="37"/>
      <c r="CT3172" s="37"/>
      <c r="CU3172" s="37"/>
      <c r="CV3172" s="37"/>
      <c r="CW3172" s="37"/>
      <c r="CX3172" s="37"/>
      <c r="CY3172" s="37"/>
      <c r="CZ3172" s="37"/>
      <c r="DA3172" s="37"/>
      <c r="DB3172" s="37"/>
      <c r="DC3172" s="37"/>
      <c r="DD3172" s="37"/>
      <c r="DE3172" s="37"/>
      <c r="DF3172" s="37"/>
      <c r="DG3172" s="37"/>
      <c r="DH3172" s="37"/>
      <c r="DI3172" s="37"/>
      <c r="DJ3172" s="37"/>
      <c r="DK3172" s="37"/>
      <c r="DL3172" s="37"/>
      <c r="DM3172" s="37"/>
      <c r="DN3172" s="37"/>
      <c r="DO3172" s="37"/>
      <c r="DP3172" s="37"/>
      <c r="DQ3172" s="37"/>
      <c r="DR3172" s="37"/>
      <c r="DS3172" s="37"/>
      <c r="DT3172" s="37"/>
      <c r="DU3172" s="37"/>
      <c r="DV3172" s="37"/>
      <c r="DW3172" s="37"/>
      <c r="DX3172" s="37"/>
      <c r="DY3172" s="37"/>
      <c r="DZ3172" s="37"/>
      <c r="EA3172" s="37"/>
      <c r="EB3172" s="37"/>
      <c r="EC3172" s="37"/>
      <c r="ED3172" s="37"/>
      <c r="EE3172" s="37"/>
      <c r="EF3172" s="37"/>
      <c r="EG3172" s="37"/>
      <c r="EH3172" s="37"/>
      <c r="EI3172" s="37"/>
      <c r="EJ3172" s="37"/>
      <c r="EK3172" s="37"/>
      <c r="EL3172" s="37"/>
      <c r="EM3172" s="37"/>
      <c r="EN3172" s="37"/>
      <c r="EO3172" s="37"/>
      <c r="EP3172" s="37"/>
      <c r="EQ3172" s="37"/>
      <c r="ER3172" s="37"/>
      <c r="ES3172" s="37"/>
      <c r="ET3172" s="37"/>
      <c r="EU3172" s="37"/>
      <c r="EV3172" s="37"/>
      <c r="EW3172" s="37"/>
      <c r="EX3172" s="37"/>
      <c r="EY3172" s="37"/>
      <c r="EZ3172" s="37"/>
      <c r="FA3172" s="37"/>
      <c r="FB3172" s="37"/>
      <c r="FC3172" s="37"/>
      <c r="FD3172" s="37"/>
      <c r="FE3172" s="37"/>
      <c r="FF3172" s="37"/>
      <c r="FG3172" s="37"/>
      <c r="FH3172" s="37"/>
      <c r="FI3172" s="37"/>
      <c r="FJ3172" s="37"/>
      <c r="FK3172" s="37"/>
      <c r="FL3172" s="37"/>
      <c r="FM3172" s="37"/>
      <c r="FN3172" s="37"/>
      <c r="FO3172" s="37"/>
      <c r="FP3172" s="37"/>
      <c r="FQ3172" s="37"/>
      <c r="FR3172" s="37"/>
      <c r="FS3172" s="37"/>
      <c r="FT3172" s="37"/>
      <c r="FU3172" s="37"/>
      <c r="FV3172" s="37"/>
      <c r="FW3172" s="37"/>
      <c r="FX3172" s="37"/>
      <c r="FY3172" s="37"/>
      <c r="FZ3172" s="37"/>
      <c r="GA3172" s="37"/>
      <c r="GB3172" s="37"/>
      <c r="GC3172" s="37"/>
      <c r="GD3172" s="37"/>
      <c r="GE3172" s="37"/>
      <c r="GF3172" s="37"/>
      <c r="GG3172" s="37"/>
      <c r="GH3172" s="37"/>
      <c r="GI3172" s="37"/>
      <c r="GJ3172" s="37"/>
      <c r="GK3172" s="37"/>
      <c r="GL3172" s="37"/>
      <c r="GM3172" s="37"/>
      <c r="GN3172" s="37"/>
      <c r="GO3172" s="37"/>
      <c r="GP3172" s="37"/>
      <c r="GQ3172" s="37"/>
      <c r="GR3172" s="37"/>
      <c r="GS3172" s="37"/>
      <c r="GT3172" s="37"/>
      <c r="GU3172" s="37"/>
      <c r="GV3172" s="37"/>
      <c r="GW3172" s="37"/>
      <c r="GX3172" s="37"/>
      <c r="GY3172" s="37"/>
      <c r="GZ3172" s="37"/>
      <c r="HA3172" s="37"/>
      <c r="HB3172" s="37"/>
      <c r="HC3172" s="37"/>
      <c r="HD3172" s="37"/>
      <c r="HE3172" s="37"/>
      <c r="HF3172" s="37"/>
      <c r="HG3172" s="37"/>
      <c r="HH3172" s="37"/>
      <c r="HI3172" s="37"/>
      <c r="HJ3172" s="37"/>
      <c r="HK3172" s="37"/>
      <c r="HL3172" s="37"/>
      <c r="HM3172" s="37"/>
      <c r="HN3172" s="37"/>
      <c r="HO3172" s="37"/>
      <c r="HP3172" s="37"/>
      <c r="HQ3172" s="37"/>
      <c r="HR3172" s="37"/>
      <c r="HS3172" s="37"/>
      <c r="HT3172" s="37"/>
      <c r="HU3172" s="37"/>
      <c r="HV3172" s="37"/>
      <c r="HW3172" s="37"/>
      <c r="HX3172" s="37"/>
      <c r="HY3172" s="37"/>
      <c r="HZ3172" s="37"/>
      <c r="IA3172" s="37"/>
      <c r="IB3172" s="37"/>
      <c r="IC3172" s="37"/>
      <c r="ID3172" s="37"/>
      <c r="IE3172" s="37"/>
      <c r="IF3172" s="37"/>
      <c r="IG3172" s="37"/>
      <c r="IH3172" s="37"/>
      <c r="II3172" s="37"/>
      <c r="IJ3172" s="37"/>
      <c r="IK3172" s="37"/>
      <c r="IL3172" s="37"/>
      <c r="IM3172" s="37"/>
      <c r="IN3172" s="37"/>
      <c r="IO3172" s="37"/>
      <c r="IP3172" s="37"/>
      <c r="IQ3172" s="37"/>
      <c r="IR3172" s="37"/>
      <c r="IS3172" s="37"/>
      <c r="IT3172" s="37"/>
      <c r="IU3172" s="37"/>
      <c r="IV3172" s="37"/>
      <c r="IW3172" s="37"/>
      <c r="IX3172" s="37"/>
      <c r="IY3172" s="37"/>
      <c r="IZ3172" s="37"/>
      <c r="JA3172" s="37"/>
      <c r="JB3172" s="37"/>
      <c r="JC3172" s="37"/>
      <c r="JD3172" s="37"/>
      <c r="JE3172" s="37"/>
      <c r="JF3172" s="37"/>
      <c r="JG3172" s="37"/>
      <c r="JH3172" s="37"/>
      <c r="JI3172" s="37"/>
      <c r="JJ3172" s="37"/>
      <c r="JK3172" s="37"/>
      <c r="JL3172" s="37"/>
      <c r="JM3172" s="37"/>
      <c r="JN3172" s="37"/>
      <c r="JO3172" s="37"/>
      <c r="JP3172" s="37"/>
      <c r="JQ3172" s="37"/>
      <c r="JR3172" s="37"/>
      <c r="JS3172" s="37"/>
      <c r="JT3172" s="37"/>
      <c r="JU3172" s="37"/>
      <c r="JV3172" s="37"/>
      <c r="JW3172" s="37"/>
      <c r="JX3172" s="37"/>
      <c r="JY3172" s="37"/>
      <c r="JZ3172" s="37"/>
      <c r="KA3172" s="37"/>
      <c r="KB3172" s="37"/>
      <c r="KC3172" s="37"/>
      <c r="KD3172" s="37"/>
      <c r="KE3172" s="37"/>
      <c r="KF3172" s="37"/>
      <c r="KG3172" s="37"/>
      <c r="KH3172" s="37"/>
      <c r="KI3172" s="37"/>
      <c r="KJ3172" s="37"/>
      <c r="KK3172" s="37"/>
      <c r="KL3172" s="37"/>
      <c r="KM3172" s="37"/>
      <c r="KN3172" s="37"/>
      <c r="KO3172" s="37"/>
      <c r="KP3172" s="37"/>
      <c r="KQ3172" s="37"/>
      <c r="KR3172" s="37"/>
      <c r="KS3172" s="37"/>
      <c r="KT3172" s="37"/>
      <c r="KU3172" s="37"/>
      <c r="KV3172" s="37"/>
      <c r="KW3172" s="37"/>
      <c r="KX3172" s="37"/>
      <c r="KY3172" s="37"/>
      <c r="KZ3172" s="37"/>
      <c r="LA3172" s="37"/>
      <c r="LB3172" s="37"/>
      <c r="LC3172" s="37"/>
      <c r="LD3172" s="37"/>
      <c r="LE3172" s="37"/>
      <c r="LF3172" s="37"/>
      <c r="LG3172" s="37"/>
      <c r="LH3172" s="37"/>
      <c r="LI3172" s="37"/>
      <c r="LJ3172" s="37"/>
      <c r="LK3172" s="37"/>
      <c r="LL3172" s="37"/>
      <c r="LM3172" s="37"/>
      <c r="LN3172" s="37"/>
      <c r="LO3172" s="37"/>
      <c r="LP3172" s="37"/>
      <c r="LQ3172" s="37"/>
      <c r="LR3172" s="37"/>
      <c r="LS3172" s="37"/>
      <c r="LT3172" s="37"/>
      <c r="LU3172" s="37"/>
      <c r="LV3172" s="37"/>
      <c r="LW3172" s="37"/>
      <c r="LX3172" s="37"/>
      <c r="LY3172" s="37"/>
      <c r="LZ3172" s="37"/>
      <c r="MA3172" s="37"/>
      <c r="MB3172" s="37"/>
      <c r="MC3172" s="37"/>
      <c r="MD3172" s="37"/>
      <c r="ME3172" s="37"/>
      <c r="MF3172" s="37"/>
      <c r="MG3172" s="37"/>
      <c r="MH3172" s="37"/>
      <c r="MI3172" s="37"/>
      <c r="MJ3172" s="37"/>
      <c r="MK3172" s="37"/>
      <c r="ML3172" s="37"/>
      <c r="MM3172" s="37"/>
      <c r="MN3172" s="37"/>
      <c r="MO3172" s="37"/>
      <c r="MP3172" s="37"/>
      <c r="MQ3172" s="37"/>
      <c r="MR3172" s="37"/>
      <c r="MS3172" s="37"/>
      <c r="MT3172" s="37"/>
      <c r="MU3172" s="37"/>
      <c r="MV3172" s="37"/>
      <c r="MW3172" s="37"/>
      <c r="MX3172" s="37"/>
      <c r="MY3172" s="37"/>
      <c r="MZ3172" s="37"/>
      <c r="NA3172" s="37"/>
      <c r="NB3172" s="37"/>
      <c r="NC3172" s="37"/>
      <c r="ND3172" s="37"/>
      <c r="NE3172" s="37"/>
      <c r="NF3172" s="37"/>
      <c r="NG3172" s="37"/>
      <c r="NH3172" s="37"/>
      <c r="NI3172" s="37"/>
      <c r="NJ3172" s="37"/>
      <c r="NK3172" s="37"/>
      <c r="NL3172" s="37"/>
      <c r="NM3172" s="37"/>
      <c r="NN3172" s="37"/>
      <c r="NO3172" s="37"/>
      <c r="NP3172" s="37"/>
      <c r="NQ3172" s="37"/>
      <c r="NR3172" s="37"/>
      <c r="NS3172" s="37"/>
      <c r="NT3172" s="37"/>
      <c r="NU3172" s="37"/>
      <c r="NV3172" s="37"/>
      <c r="NW3172" s="37"/>
      <c r="NX3172" s="37"/>
      <c r="NY3172" s="37"/>
      <c r="NZ3172" s="37"/>
      <c r="OA3172" s="37"/>
      <c r="OB3172" s="37"/>
      <c r="OC3172" s="37"/>
      <c r="OD3172" s="37"/>
      <c r="OE3172" s="37"/>
      <c r="OF3172" s="37"/>
      <c r="OG3172" s="37"/>
      <c r="OH3172" s="37"/>
      <c r="OI3172" s="37"/>
      <c r="OJ3172" s="37"/>
      <c r="OK3172" s="37"/>
      <c r="OL3172" s="37"/>
      <c r="OM3172" s="37"/>
      <c r="ON3172" s="37"/>
      <c r="OO3172" s="37"/>
      <c r="OP3172" s="37"/>
      <c r="OQ3172" s="37"/>
      <c r="OR3172" s="37"/>
      <c r="OS3172" s="37"/>
      <c r="OT3172" s="37"/>
      <c r="OU3172" s="37"/>
      <c r="OV3172" s="37"/>
      <c r="OW3172" s="37"/>
      <c r="OX3172" s="37"/>
      <c r="OY3172" s="37"/>
      <c r="OZ3172" s="37"/>
      <c r="PA3172" s="37"/>
      <c r="PB3172" s="37"/>
      <c r="PC3172" s="37"/>
      <c r="PD3172" s="37"/>
      <c r="PE3172" s="37"/>
      <c r="PF3172" s="37"/>
      <c r="PG3172" s="37"/>
      <c r="PH3172" s="37"/>
      <c r="PI3172" s="37"/>
      <c r="PJ3172" s="37"/>
      <c r="PK3172" s="37"/>
      <c r="PL3172" s="37"/>
      <c r="PM3172" s="37"/>
      <c r="PN3172" s="37"/>
      <c r="PO3172" s="37"/>
      <c r="PP3172" s="37"/>
      <c r="PQ3172" s="37"/>
      <c r="PR3172" s="37"/>
      <c r="PS3172" s="37"/>
      <c r="PT3172" s="37"/>
      <c r="PU3172" s="37"/>
      <c r="PV3172" s="37"/>
      <c r="PW3172" s="37"/>
      <c r="PX3172" s="37"/>
      <c r="PY3172" s="37"/>
      <c r="PZ3172" s="37"/>
      <c r="QA3172" s="37"/>
      <c r="QB3172" s="37"/>
      <c r="QC3172" s="37"/>
      <c r="QD3172" s="37"/>
      <c r="QE3172" s="37"/>
      <c r="QF3172" s="37"/>
      <c r="QG3172" s="37"/>
      <c r="QH3172" s="37"/>
      <c r="QI3172" s="37"/>
      <c r="QJ3172" s="37"/>
      <c r="QK3172" s="37"/>
      <c r="QL3172" s="37"/>
      <c r="QM3172" s="37"/>
      <c r="QN3172" s="37"/>
      <c r="QO3172" s="37"/>
      <c r="QP3172" s="37"/>
      <c r="QQ3172" s="37"/>
      <c r="QR3172" s="37"/>
      <c r="QS3172" s="37"/>
      <c r="QT3172" s="37"/>
      <c r="QU3172" s="37"/>
      <c r="QV3172" s="37"/>
      <c r="QW3172" s="37"/>
      <c r="QX3172" s="37"/>
      <c r="QY3172" s="37"/>
      <c r="QZ3172" s="37"/>
      <c r="RA3172" s="37"/>
      <c r="RB3172" s="37"/>
      <c r="RC3172" s="37"/>
      <c r="RD3172" s="37"/>
      <c r="RE3172" s="37"/>
      <c r="RF3172" s="37"/>
      <c r="RG3172" s="37"/>
      <c r="RH3172" s="37"/>
      <c r="RI3172" s="37"/>
      <c r="RJ3172" s="37"/>
      <c r="RK3172" s="37"/>
      <c r="RL3172" s="37"/>
      <c r="RM3172" s="37"/>
      <c r="RN3172" s="37"/>
      <c r="RO3172" s="37"/>
      <c r="RP3172" s="37"/>
      <c r="RQ3172" s="37"/>
      <c r="RR3172" s="37"/>
      <c r="RS3172" s="37"/>
      <c r="RT3172" s="37"/>
      <c r="RU3172" s="37"/>
      <c r="RV3172" s="37"/>
      <c r="RW3172" s="37"/>
      <c r="RX3172" s="37"/>
      <c r="RY3172" s="37"/>
      <c r="RZ3172" s="37"/>
      <c r="SA3172" s="37"/>
      <c r="SB3172" s="37"/>
      <c r="SC3172" s="37"/>
      <c r="SD3172" s="37"/>
      <c r="SE3172" s="37"/>
      <c r="SF3172" s="37"/>
    </row>
    <row r="3173" spans="1:500">
      <c r="A3173" s="37"/>
      <c r="B3173" s="37"/>
      <c r="C3173" s="37"/>
      <c r="D3173" s="37"/>
      <c r="E3173" s="37"/>
      <c r="F3173" s="37"/>
      <c r="G3173" s="37"/>
      <c r="H3173" s="37"/>
      <c r="I3173" s="37"/>
      <c r="J3173" s="37"/>
      <c r="K3173" s="37"/>
      <c r="L3173" s="37"/>
      <c r="M3173" s="37"/>
      <c r="N3173" s="37"/>
      <c r="O3173" s="37"/>
      <c r="P3173" s="37"/>
      <c r="Q3173" s="37"/>
      <c r="R3173" s="37"/>
      <c r="S3173" s="37"/>
      <c r="T3173" s="37"/>
      <c r="U3173" s="37"/>
      <c r="V3173" s="37"/>
      <c r="W3173" s="37"/>
      <c r="X3173" s="37"/>
      <c r="Y3173" s="37"/>
      <c r="Z3173" s="37"/>
      <c r="AA3173" s="37"/>
      <c r="AB3173" s="37"/>
      <c r="AC3173" s="37"/>
      <c r="AD3173" s="37"/>
      <c r="AE3173" s="37"/>
      <c r="AF3173" s="37"/>
      <c r="AG3173" s="37"/>
      <c r="AH3173" s="37"/>
      <c r="AI3173" s="37"/>
      <c r="AJ3173" s="37"/>
      <c r="AK3173" s="37"/>
      <c r="AL3173" s="37"/>
      <c r="AM3173" s="37"/>
      <c r="AN3173" s="37"/>
      <c r="AO3173" s="37"/>
      <c r="AP3173" s="37"/>
      <c r="AQ3173" s="37"/>
      <c r="AR3173" s="37"/>
      <c r="AS3173" s="37"/>
      <c r="AT3173" s="37"/>
      <c r="AU3173" s="37"/>
      <c r="AV3173" s="37"/>
      <c r="AW3173" s="37"/>
      <c r="AX3173" s="37"/>
      <c r="AY3173" s="37"/>
      <c r="AZ3173" s="37"/>
      <c r="BA3173" s="37"/>
      <c r="BB3173" s="37"/>
      <c r="BC3173" s="37"/>
      <c r="BD3173" s="37"/>
      <c r="BE3173" s="37"/>
      <c r="BF3173" s="37"/>
      <c r="BG3173" s="37"/>
      <c r="BH3173" s="37"/>
      <c r="BI3173" s="37"/>
      <c r="BJ3173" s="37"/>
      <c r="BK3173" s="37"/>
      <c r="BL3173" s="37"/>
      <c r="BM3173" s="37"/>
      <c r="BN3173" s="37"/>
      <c r="BO3173" s="37"/>
      <c r="BP3173" s="37"/>
      <c r="BQ3173" s="37"/>
      <c r="BR3173" s="37"/>
      <c r="BS3173" s="37"/>
      <c r="BT3173" s="37"/>
      <c r="BU3173" s="37"/>
      <c r="BV3173" s="37"/>
      <c r="BW3173" s="37"/>
      <c r="BX3173" s="37"/>
      <c r="BY3173" s="37"/>
      <c r="BZ3173" s="37"/>
      <c r="CA3173" s="37"/>
      <c r="CB3173" s="37"/>
      <c r="CC3173" s="37"/>
      <c r="CD3173" s="37"/>
      <c r="CE3173" s="37"/>
      <c r="CF3173" s="37"/>
      <c r="CG3173" s="37"/>
      <c r="CH3173" s="37"/>
      <c r="CI3173" s="37"/>
      <c r="CJ3173" s="37"/>
      <c r="CK3173" s="37"/>
      <c r="CL3173" s="37"/>
      <c r="CM3173" s="37"/>
      <c r="CN3173" s="37"/>
      <c r="CO3173" s="37"/>
      <c r="CP3173" s="37"/>
      <c r="CQ3173" s="37"/>
      <c r="CR3173" s="37"/>
      <c r="CS3173" s="37"/>
      <c r="CT3173" s="37"/>
      <c r="CU3173" s="37"/>
      <c r="CV3173" s="37"/>
      <c r="CW3173" s="37"/>
      <c r="CX3173" s="37"/>
      <c r="CY3173" s="37"/>
      <c r="CZ3173" s="37"/>
      <c r="DA3173" s="37"/>
      <c r="DB3173" s="37"/>
      <c r="DC3173" s="37"/>
      <c r="DD3173" s="37"/>
      <c r="DE3173" s="37"/>
      <c r="DF3173" s="37"/>
      <c r="DG3173" s="37"/>
      <c r="DH3173" s="37"/>
      <c r="DI3173" s="37"/>
      <c r="DJ3173" s="37"/>
      <c r="DK3173" s="37"/>
      <c r="DL3173" s="37"/>
      <c r="DM3173" s="37"/>
      <c r="DN3173" s="37"/>
      <c r="DO3173" s="37"/>
      <c r="DP3173" s="37"/>
      <c r="DQ3173" s="37"/>
      <c r="DR3173" s="37"/>
      <c r="DS3173" s="37"/>
      <c r="DT3173" s="37"/>
      <c r="DU3173" s="37"/>
      <c r="DV3173" s="37"/>
      <c r="DW3173" s="37"/>
      <c r="DX3173" s="37"/>
      <c r="DY3173" s="37"/>
      <c r="DZ3173" s="37"/>
      <c r="EA3173" s="37"/>
      <c r="EB3173" s="37"/>
      <c r="EC3173" s="37"/>
      <c r="ED3173" s="37"/>
      <c r="EE3173" s="37"/>
      <c r="EF3173" s="37"/>
      <c r="EG3173" s="37"/>
      <c r="EH3173" s="37"/>
      <c r="EI3173" s="37"/>
      <c r="EJ3173" s="37"/>
      <c r="EK3173" s="37"/>
      <c r="EL3173" s="37"/>
      <c r="EM3173" s="37"/>
      <c r="EN3173" s="37"/>
      <c r="EO3173" s="37"/>
      <c r="EP3173" s="37"/>
      <c r="EQ3173" s="37"/>
      <c r="ER3173" s="37"/>
      <c r="ES3173" s="37"/>
      <c r="ET3173" s="37"/>
      <c r="EU3173" s="37"/>
      <c r="EV3173" s="37"/>
      <c r="EW3173" s="37"/>
      <c r="EX3173" s="37"/>
      <c r="EY3173" s="37"/>
      <c r="EZ3173" s="37"/>
      <c r="FA3173" s="37"/>
      <c r="FB3173" s="37"/>
      <c r="FC3173" s="37"/>
      <c r="FD3173" s="37"/>
      <c r="FE3173" s="37"/>
      <c r="FF3173" s="37"/>
      <c r="FG3173" s="37"/>
      <c r="FH3173" s="37"/>
      <c r="FI3173" s="37"/>
      <c r="FJ3173" s="37"/>
      <c r="FK3173" s="37"/>
      <c r="FL3173" s="37"/>
      <c r="FM3173" s="37"/>
      <c r="FN3173" s="37"/>
      <c r="FO3173" s="37"/>
      <c r="FP3173" s="37"/>
      <c r="FQ3173" s="37"/>
      <c r="FR3173" s="37"/>
      <c r="FS3173" s="37"/>
      <c r="FT3173" s="37"/>
      <c r="FU3173" s="37"/>
      <c r="FV3173" s="37"/>
      <c r="FW3173" s="37"/>
      <c r="FX3173" s="37"/>
      <c r="FY3173" s="37"/>
      <c r="FZ3173" s="37"/>
      <c r="GA3173" s="37"/>
      <c r="GB3173" s="37"/>
      <c r="GC3173" s="37"/>
      <c r="GD3173" s="37"/>
      <c r="GE3173" s="37"/>
      <c r="GF3173" s="37"/>
      <c r="GG3173" s="37"/>
      <c r="GH3173" s="37"/>
      <c r="GI3173" s="37"/>
      <c r="GJ3173" s="37"/>
      <c r="GK3173" s="37"/>
      <c r="GL3173" s="37"/>
      <c r="GM3173" s="37"/>
      <c r="GN3173" s="37"/>
      <c r="GO3173" s="37"/>
      <c r="GP3173" s="37"/>
      <c r="GQ3173" s="37"/>
      <c r="GR3173" s="37"/>
      <c r="GS3173" s="37"/>
      <c r="GT3173" s="37"/>
      <c r="GU3173" s="37"/>
      <c r="GV3173" s="37"/>
      <c r="GW3173" s="37"/>
      <c r="GX3173" s="37"/>
      <c r="GY3173" s="37"/>
      <c r="GZ3173" s="37"/>
      <c r="HA3173" s="37"/>
      <c r="HB3173" s="37"/>
      <c r="HC3173" s="37"/>
      <c r="HD3173" s="37"/>
      <c r="HE3173" s="37"/>
      <c r="HF3173" s="37"/>
      <c r="HG3173" s="37"/>
      <c r="HH3173" s="37"/>
      <c r="HI3173" s="37"/>
      <c r="HJ3173" s="37"/>
      <c r="HK3173" s="37"/>
      <c r="HL3173" s="37"/>
      <c r="HM3173" s="37"/>
      <c r="HN3173" s="37"/>
      <c r="HO3173" s="37"/>
      <c r="HP3173" s="37"/>
      <c r="HQ3173" s="37"/>
      <c r="HR3173" s="37"/>
      <c r="HS3173" s="37"/>
      <c r="HT3173" s="37"/>
      <c r="HU3173" s="37"/>
      <c r="HV3173" s="37"/>
      <c r="HW3173" s="37"/>
      <c r="HX3173" s="37"/>
      <c r="HY3173" s="37"/>
      <c r="HZ3173" s="37"/>
      <c r="IA3173" s="37"/>
      <c r="IB3173" s="37"/>
      <c r="IC3173" s="37"/>
      <c r="ID3173" s="37"/>
      <c r="IE3173" s="37"/>
      <c r="IF3173" s="37"/>
      <c r="IG3173" s="37"/>
      <c r="IH3173" s="37"/>
      <c r="II3173" s="37"/>
      <c r="IJ3173" s="37"/>
      <c r="IK3173" s="37"/>
      <c r="IL3173" s="37"/>
      <c r="IM3173" s="37"/>
      <c r="IN3173" s="37"/>
      <c r="IO3173" s="37"/>
      <c r="IP3173" s="37"/>
      <c r="IQ3173" s="37"/>
      <c r="IR3173" s="37"/>
      <c r="IS3173" s="37"/>
      <c r="IT3173" s="37"/>
      <c r="IU3173" s="37"/>
      <c r="IV3173" s="37"/>
      <c r="IW3173" s="37"/>
      <c r="IX3173" s="37"/>
      <c r="IY3173" s="37"/>
      <c r="IZ3173" s="37"/>
      <c r="JA3173" s="37"/>
      <c r="JB3173" s="37"/>
      <c r="JC3173" s="37"/>
      <c r="JD3173" s="37"/>
      <c r="JE3173" s="37"/>
      <c r="JF3173" s="37"/>
      <c r="JG3173" s="37"/>
      <c r="JH3173" s="37"/>
      <c r="JI3173" s="37"/>
      <c r="JJ3173" s="37"/>
      <c r="JK3173" s="37"/>
      <c r="JL3173" s="37"/>
      <c r="JM3173" s="37"/>
      <c r="JN3173" s="37"/>
      <c r="JO3173" s="37"/>
      <c r="JP3173" s="37"/>
      <c r="JQ3173" s="37"/>
      <c r="JR3173" s="37"/>
      <c r="JS3173" s="37"/>
      <c r="JT3173" s="37"/>
      <c r="JU3173" s="37"/>
      <c r="JV3173" s="37"/>
      <c r="JW3173" s="37"/>
      <c r="JX3173" s="37"/>
      <c r="JY3173" s="37"/>
      <c r="JZ3173" s="37"/>
      <c r="KA3173" s="37"/>
      <c r="KB3173" s="37"/>
      <c r="KC3173" s="37"/>
      <c r="KD3173" s="37"/>
      <c r="KE3173" s="37"/>
      <c r="KF3173" s="37"/>
      <c r="KG3173" s="37"/>
      <c r="KH3173" s="37"/>
      <c r="KI3173" s="37"/>
      <c r="KJ3173" s="37"/>
      <c r="KK3173" s="37"/>
      <c r="KL3173" s="37"/>
      <c r="KM3173" s="37"/>
      <c r="KN3173" s="37"/>
      <c r="KO3173" s="37"/>
      <c r="KP3173" s="37"/>
      <c r="KQ3173" s="37"/>
      <c r="KR3173" s="37"/>
      <c r="KS3173" s="37"/>
      <c r="KT3173" s="37"/>
      <c r="KU3173" s="37"/>
      <c r="KV3173" s="37"/>
      <c r="KW3173" s="37"/>
      <c r="KX3173" s="37"/>
      <c r="KY3173" s="37"/>
      <c r="KZ3173" s="37"/>
      <c r="LA3173" s="37"/>
      <c r="LB3173" s="37"/>
      <c r="LC3173" s="37"/>
      <c r="LD3173" s="37"/>
      <c r="LE3173" s="37"/>
      <c r="LF3173" s="37"/>
      <c r="LG3173" s="37"/>
      <c r="LH3173" s="37"/>
      <c r="LI3173" s="37"/>
      <c r="LJ3173" s="37"/>
      <c r="LK3173" s="37"/>
      <c r="LL3173" s="37"/>
      <c r="LM3173" s="37"/>
      <c r="LN3173" s="37"/>
      <c r="LO3173" s="37"/>
      <c r="LP3173" s="37"/>
      <c r="LQ3173" s="37"/>
      <c r="LR3173" s="37"/>
      <c r="LS3173" s="37"/>
      <c r="LT3173" s="37"/>
      <c r="LU3173" s="37"/>
      <c r="LV3173" s="37"/>
      <c r="LW3173" s="37"/>
      <c r="LX3173" s="37"/>
      <c r="LY3173" s="37"/>
      <c r="LZ3173" s="37"/>
      <c r="MA3173" s="37"/>
      <c r="MB3173" s="37"/>
      <c r="MC3173" s="37"/>
      <c r="MD3173" s="37"/>
      <c r="ME3173" s="37"/>
      <c r="MF3173" s="37"/>
      <c r="MG3173" s="37"/>
      <c r="MH3173" s="37"/>
      <c r="MI3173" s="37"/>
      <c r="MJ3173" s="37"/>
      <c r="MK3173" s="37"/>
      <c r="ML3173" s="37"/>
      <c r="MM3173" s="37"/>
      <c r="MN3173" s="37"/>
      <c r="MO3173" s="37"/>
      <c r="MP3173" s="37"/>
      <c r="MQ3173" s="37"/>
      <c r="MR3173" s="37"/>
      <c r="MS3173" s="37"/>
      <c r="MT3173" s="37"/>
      <c r="MU3173" s="37"/>
      <c r="MV3173" s="37"/>
      <c r="MW3173" s="37"/>
      <c r="MX3173" s="37"/>
      <c r="MY3173" s="37"/>
      <c r="MZ3173" s="37"/>
      <c r="NA3173" s="37"/>
      <c r="NB3173" s="37"/>
      <c r="NC3173" s="37"/>
      <c r="ND3173" s="37"/>
      <c r="NE3173" s="37"/>
      <c r="NF3173" s="37"/>
      <c r="NG3173" s="37"/>
      <c r="NH3173" s="37"/>
      <c r="NI3173" s="37"/>
      <c r="NJ3173" s="37"/>
      <c r="NK3173" s="37"/>
      <c r="NL3173" s="37"/>
      <c r="NM3173" s="37"/>
      <c r="NN3173" s="37"/>
      <c r="NO3173" s="37"/>
      <c r="NP3173" s="37"/>
      <c r="NQ3173" s="37"/>
      <c r="NR3173" s="37"/>
      <c r="NS3173" s="37"/>
      <c r="NT3173" s="37"/>
      <c r="NU3173" s="37"/>
      <c r="NV3173" s="37"/>
      <c r="NW3173" s="37"/>
      <c r="NX3173" s="37"/>
      <c r="NY3173" s="37"/>
      <c r="NZ3173" s="37"/>
      <c r="OA3173" s="37"/>
      <c r="OB3173" s="37"/>
      <c r="OC3173" s="37"/>
      <c r="OD3173" s="37"/>
      <c r="OE3173" s="37"/>
      <c r="OF3173" s="37"/>
      <c r="OG3173" s="37"/>
      <c r="OH3173" s="37"/>
      <c r="OI3173" s="37"/>
      <c r="OJ3173" s="37"/>
      <c r="OK3173" s="37"/>
      <c r="OL3173" s="37"/>
      <c r="OM3173" s="37"/>
      <c r="ON3173" s="37"/>
      <c r="OO3173" s="37"/>
      <c r="OP3173" s="37"/>
      <c r="OQ3173" s="37"/>
      <c r="OR3173" s="37"/>
      <c r="OS3173" s="37"/>
      <c r="OT3173" s="37"/>
      <c r="OU3173" s="37"/>
      <c r="OV3173" s="37"/>
      <c r="OW3173" s="37"/>
      <c r="OX3173" s="37"/>
      <c r="OY3173" s="37"/>
      <c r="OZ3173" s="37"/>
      <c r="PA3173" s="37"/>
      <c r="PB3173" s="37"/>
      <c r="PC3173" s="37"/>
      <c r="PD3173" s="37"/>
      <c r="PE3173" s="37"/>
      <c r="PF3173" s="37"/>
      <c r="PG3173" s="37"/>
      <c r="PH3173" s="37"/>
      <c r="PI3173" s="37"/>
      <c r="PJ3173" s="37"/>
      <c r="PK3173" s="37"/>
      <c r="PL3173" s="37"/>
      <c r="PM3173" s="37"/>
      <c r="PN3173" s="37"/>
      <c r="PO3173" s="37"/>
      <c r="PP3173" s="37"/>
      <c r="PQ3173" s="37"/>
      <c r="PR3173" s="37"/>
      <c r="PS3173" s="37"/>
      <c r="PT3173" s="37"/>
      <c r="PU3173" s="37"/>
      <c r="PV3173" s="37"/>
      <c r="PW3173" s="37"/>
      <c r="PX3173" s="37"/>
      <c r="PY3173" s="37"/>
      <c r="PZ3173" s="37"/>
      <c r="QA3173" s="37"/>
      <c r="QB3173" s="37"/>
      <c r="QC3173" s="37"/>
      <c r="QD3173" s="37"/>
      <c r="QE3173" s="37"/>
      <c r="QF3173" s="37"/>
      <c r="QG3173" s="37"/>
      <c r="QH3173" s="37"/>
      <c r="QI3173" s="37"/>
      <c r="QJ3173" s="37"/>
      <c r="QK3173" s="37"/>
      <c r="QL3173" s="37"/>
      <c r="QM3173" s="37"/>
      <c r="QN3173" s="37"/>
      <c r="QO3173" s="37"/>
      <c r="QP3173" s="37"/>
      <c r="QQ3173" s="37"/>
      <c r="QR3173" s="37"/>
      <c r="QS3173" s="37"/>
      <c r="QT3173" s="37"/>
      <c r="QU3173" s="37"/>
      <c r="QV3173" s="37"/>
      <c r="QW3173" s="37"/>
      <c r="QX3173" s="37"/>
      <c r="QY3173" s="37"/>
      <c r="QZ3173" s="37"/>
      <c r="RA3173" s="37"/>
      <c r="RB3173" s="37"/>
      <c r="RC3173" s="37"/>
      <c r="RD3173" s="37"/>
      <c r="RE3173" s="37"/>
      <c r="RF3173" s="37"/>
      <c r="RG3173" s="37"/>
      <c r="RH3173" s="37"/>
      <c r="RI3173" s="37"/>
      <c r="RJ3173" s="37"/>
      <c r="RK3173" s="37"/>
      <c r="RL3173" s="37"/>
      <c r="RM3173" s="37"/>
      <c r="RN3173" s="37"/>
      <c r="RO3173" s="37"/>
      <c r="RP3173" s="37"/>
      <c r="RQ3173" s="37"/>
      <c r="RR3173" s="37"/>
      <c r="RS3173" s="37"/>
      <c r="RT3173" s="37"/>
      <c r="RU3173" s="37"/>
      <c r="RV3173" s="37"/>
      <c r="RW3173" s="37"/>
      <c r="RX3173" s="37"/>
      <c r="RY3173" s="37"/>
      <c r="RZ3173" s="37"/>
      <c r="SA3173" s="37"/>
      <c r="SB3173" s="37"/>
      <c r="SC3173" s="37"/>
      <c r="SD3173" s="37"/>
      <c r="SE3173" s="37"/>
      <c r="SF3173" s="37"/>
    </row>
    <row r="3174" spans="1:500">
      <c r="A3174" s="37"/>
      <c r="B3174" s="37"/>
      <c r="C3174" s="37"/>
      <c r="D3174" s="37"/>
      <c r="E3174" s="37"/>
      <c r="F3174" s="37"/>
      <c r="G3174" s="37"/>
      <c r="H3174" s="37"/>
      <c r="I3174" s="37"/>
      <c r="J3174" s="37"/>
      <c r="K3174" s="37"/>
      <c r="L3174" s="37"/>
      <c r="M3174" s="37"/>
      <c r="N3174" s="37"/>
      <c r="O3174" s="37"/>
      <c r="P3174" s="37"/>
      <c r="Q3174" s="37"/>
      <c r="R3174" s="37"/>
      <c r="S3174" s="37"/>
      <c r="T3174" s="37"/>
      <c r="U3174" s="37"/>
      <c r="V3174" s="37"/>
      <c r="W3174" s="37"/>
      <c r="X3174" s="37"/>
      <c r="Y3174" s="37"/>
      <c r="Z3174" s="37"/>
      <c r="AA3174" s="37"/>
      <c r="AB3174" s="37"/>
      <c r="AC3174" s="37"/>
      <c r="AD3174" s="37"/>
      <c r="AE3174" s="37"/>
      <c r="AF3174" s="37"/>
      <c r="AG3174" s="37"/>
      <c r="AH3174" s="37"/>
      <c r="AI3174" s="37"/>
      <c r="AJ3174" s="37"/>
      <c r="AK3174" s="37"/>
      <c r="AL3174" s="37"/>
      <c r="AM3174" s="37"/>
      <c r="AN3174" s="37"/>
      <c r="AO3174" s="37"/>
      <c r="AP3174" s="37"/>
      <c r="AQ3174" s="37"/>
      <c r="AR3174" s="37"/>
      <c r="AS3174" s="37"/>
      <c r="AT3174" s="37"/>
      <c r="AU3174" s="37"/>
      <c r="AV3174" s="37"/>
      <c r="AW3174" s="37"/>
      <c r="AX3174" s="37"/>
      <c r="AY3174" s="37"/>
      <c r="AZ3174" s="37"/>
      <c r="BA3174" s="37"/>
      <c r="BB3174" s="37"/>
      <c r="BC3174" s="37"/>
      <c r="BD3174" s="37"/>
      <c r="BE3174" s="37"/>
      <c r="BF3174" s="37"/>
      <c r="BG3174" s="37"/>
      <c r="BH3174" s="37"/>
      <c r="BI3174" s="37"/>
      <c r="BJ3174" s="37"/>
      <c r="BK3174" s="37"/>
      <c r="BL3174" s="37"/>
      <c r="BM3174" s="37"/>
      <c r="BN3174" s="37"/>
      <c r="BO3174" s="37"/>
      <c r="BP3174" s="37"/>
      <c r="BQ3174" s="37"/>
      <c r="BR3174" s="37"/>
      <c r="BS3174" s="37"/>
      <c r="BT3174" s="37"/>
      <c r="BU3174" s="37"/>
      <c r="BV3174" s="37"/>
      <c r="BW3174" s="37"/>
      <c r="BX3174" s="37"/>
      <c r="BY3174" s="37"/>
      <c r="BZ3174" s="37"/>
      <c r="CA3174" s="37"/>
      <c r="CB3174" s="37"/>
      <c r="CC3174" s="37"/>
      <c r="CD3174" s="37"/>
      <c r="CE3174" s="37"/>
      <c r="CF3174" s="37"/>
      <c r="CG3174" s="37"/>
      <c r="CH3174" s="37"/>
      <c r="CI3174" s="37"/>
      <c r="CJ3174" s="37"/>
      <c r="CK3174" s="37"/>
      <c r="CL3174" s="37"/>
      <c r="CM3174" s="37"/>
      <c r="CN3174" s="37"/>
      <c r="CO3174" s="37"/>
      <c r="CP3174" s="37"/>
      <c r="CQ3174" s="37"/>
      <c r="CR3174" s="37"/>
      <c r="CS3174" s="37"/>
      <c r="CT3174" s="37"/>
      <c r="CU3174" s="37"/>
      <c r="CV3174" s="37"/>
      <c r="CW3174" s="37"/>
      <c r="CX3174" s="37"/>
      <c r="CY3174" s="37"/>
      <c r="CZ3174" s="37"/>
      <c r="DA3174" s="37"/>
      <c r="DB3174" s="37"/>
      <c r="DC3174" s="37"/>
      <c r="DD3174" s="37"/>
      <c r="DE3174" s="37"/>
      <c r="DF3174" s="37"/>
      <c r="DG3174" s="37"/>
      <c r="DH3174" s="37"/>
      <c r="DI3174" s="37"/>
      <c r="DJ3174" s="37"/>
      <c r="DK3174" s="37"/>
      <c r="DL3174" s="37"/>
      <c r="DM3174" s="37"/>
      <c r="DN3174" s="37"/>
      <c r="DO3174" s="37"/>
      <c r="DP3174" s="37"/>
      <c r="DQ3174" s="37"/>
      <c r="DR3174" s="37"/>
      <c r="DS3174" s="37"/>
      <c r="DT3174" s="37"/>
      <c r="DU3174" s="37"/>
      <c r="DV3174" s="37"/>
      <c r="DW3174" s="37"/>
      <c r="DX3174" s="37"/>
      <c r="DY3174" s="37"/>
      <c r="DZ3174" s="37"/>
      <c r="EA3174" s="37"/>
      <c r="EB3174" s="37"/>
      <c r="EC3174" s="37"/>
      <c r="ED3174" s="37"/>
      <c r="EE3174" s="37"/>
      <c r="EF3174" s="37"/>
      <c r="EG3174" s="37"/>
      <c r="EH3174" s="37"/>
      <c r="EI3174" s="37"/>
      <c r="EJ3174" s="37"/>
      <c r="EK3174" s="37"/>
      <c r="EL3174" s="37"/>
      <c r="EM3174" s="37"/>
      <c r="EN3174" s="37"/>
      <c r="EO3174" s="37"/>
      <c r="EP3174" s="37"/>
      <c r="EQ3174" s="37"/>
      <c r="ER3174" s="37"/>
      <c r="ES3174" s="37"/>
      <c r="ET3174" s="37"/>
      <c r="EU3174" s="37"/>
      <c r="EV3174" s="37"/>
      <c r="EW3174" s="37"/>
      <c r="EX3174" s="37"/>
      <c r="EY3174" s="37"/>
      <c r="EZ3174" s="37"/>
      <c r="FA3174" s="37"/>
      <c r="FB3174" s="37"/>
      <c r="FC3174" s="37"/>
      <c r="FD3174" s="37"/>
      <c r="FE3174" s="37"/>
      <c r="FF3174" s="37"/>
      <c r="FG3174" s="37"/>
      <c r="FH3174" s="37"/>
      <c r="FI3174" s="37"/>
      <c r="FJ3174" s="37"/>
      <c r="FK3174" s="37"/>
      <c r="FL3174" s="37"/>
      <c r="FM3174" s="37"/>
      <c r="FN3174" s="37"/>
      <c r="FO3174" s="37"/>
      <c r="FP3174" s="37"/>
      <c r="FQ3174" s="37"/>
      <c r="FR3174" s="37"/>
      <c r="FS3174" s="37"/>
      <c r="FT3174" s="37"/>
      <c r="FU3174" s="37"/>
      <c r="FV3174" s="37"/>
      <c r="FW3174" s="37"/>
      <c r="FX3174" s="37"/>
      <c r="FY3174" s="37"/>
      <c r="FZ3174" s="37"/>
      <c r="GA3174" s="37"/>
      <c r="GB3174" s="37"/>
      <c r="GC3174" s="37"/>
      <c r="GD3174" s="37"/>
      <c r="GE3174" s="37"/>
      <c r="GF3174" s="37"/>
      <c r="GG3174" s="37"/>
      <c r="GH3174" s="37"/>
      <c r="GI3174" s="37"/>
      <c r="GJ3174" s="37"/>
      <c r="GK3174" s="37"/>
      <c r="GL3174" s="37"/>
      <c r="GM3174" s="37"/>
      <c r="GN3174" s="37"/>
      <c r="GO3174" s="37"/>
      <c r="GP3174" s="37"/>
      <c r="GQ3174" s="37"/>
      <c r="GR3174" s="37"/>
      <c r="GS3174" s="37"/>
      <c r="GT3174" s="37"/>
      <c r="GU3174" s="37"/>
      <c r="GV3174" s="37"/>
      <c r="GW3174" s="37"/>
      <c r="GX3174" s="37"/>
      <c r="GY3174" s="37"/>
      <c r="GZ3174" s="37"/>
      <c r="HA3174" s="37"/>
      <c r="HB3174" s="37"/>
      <c r="HC3174" s="37"/>
      <c r="HD3174" s="37"/>
      <c r="HE3174" s="37"/>
      <c r="HF3174" s="37"/>
      <c r="HG3174" s="37"/>
      <c r="HH3174" s="37"/>
      <c r="HI3174" s="37"/>
      <c r="HJ3174" s="37"/>
      <c r="HK3174" s="37"/>
      <c r="HL3174" s="37"/>
      <c r="HM3174" s="37"/>
      <c r="HN3174" s="37"/>
      <c r="HO3174" s="37"/>
      <c r="HP3174" s="37"/>
      <c r="HQ3174" s="37"/>
      <c r="HR3174" s="37"/>
      <c r="HS3174" s="37"/>
      <c r="HT3174" s="37"/>
      <c r="HU3174" s="37"/>
      <c r="HV3174" s="37"/>
      <c r="HW3174" s="37"/>
      <c r="HX3174" s="37"/>
      <c r="HY3174" s="37"/>
      <c r="HZ3174" s="37"/>
      <c r="IA3174" s="37"/>
      <c r="IB3174" s="37"/>
      <c r="IC3174" s="37"/>
      <c r="ID3174" s="37"/>
      <c r="IE3174" s="37"/>
      <c r="IF3174" s="37"/>
      <c r="IG3174" s="37"/>
      <c r="IH3174" s="37"/>
      <c r="II3174" s="37"/>
      <c r="IJ3174" s="37"/>
      <c r="IK3174" s="37"/>
      <c r="IL3174" s="37"/>
      <c r="IM3174" s="37"/>
      <c r="IN3174" s="37"/>
      <c r="IO3174" s="37"/>
      <c r="IP3174" s="37"/>
      <c r="IQ3174" s="37"/>
      <c r="IR3174" s="37"/>
      <c r="IS3174" s="37"/>
      <c r="IT3174" s="37"/>
      <c r="IU3174" s="37"/>
      <c r="IV3174" s="37"/>
      <c r="IW3174" s="37"/>
      <c r="IX3174" s="37"/>
      <c r="IY3174" s="37"/>
      <c r="IZ3174" s="37"/>
      <c r="JA3174" s="37"/>
      <c r="JB3174" s="37"/>
      <c r="JC3174" s="37"/>
      <c r="JD3174" s="37"/>
      <c r="JE3174" s="37"/>
      <c r="JF3174" s="37"/>
      <c r="JG3174" s="37"/>
      <c r="JH3174" s="37"/>
      <c r="JI3174" s="37"/>
      <c r="JJ3174" s="37"/>
      <c r="JK3174" s="37"/>
      <c r="JL3174" s="37"/>
      <c r="JM3174" s="37"/>
      <c r="JN3174" s="37"/>
      <c r="JO3174" s="37"/>
      <c r="JP3174" s="37"/>
      <c r="JQ3174" s="37"/>
      <c r="JR3174" s="37"/>
      <c r="JS3174" s="37"/>
      <c r="JT3174" s="37"/>
      <c r="JU3174" s="37"/>
      <c r="JV3174" s="37"/>
      <c r="JW3174" s="37"/>
      <c r="JX3174" s="37"/>
      <c r="JY3174" s="37"/>
      <c r="JZ3174" s="37"/>
      <c r="KA3174" s="37"/>
      <c r="KB3174" s="37"/>
      <c r="KC3174" s="37"/>
      <c r="KD3174" s="37"/>
      <c r="KE3174" s="37"/>
      <c r="KF3174" s="37"/>
      <c r="KG3174" s="37"/>
      <c r="KH3174" s="37"/>
      <c r="KI3174" s="37"/>
      <c r="KJ3174" s="37"/>
      <c r="KK3174" s="37"/>
      <c r="KL3174" s="37"/>
      <c r="KM3174" s="37"/>
      <c r="KN3174" s="37"/>
      <c r="KO3174" s="37"/>
      <c r="KP3174" s="37"/>
      <c r="KQ3174" s="37"/>
      <c r="KR3174" s="37"/>
      <c r="KS3174" s="37"/>
      <c r="KT3174" s="37"/>
      <c r="KU3174" s="37"/>
      <c r="KV3174" s="37"/>
      <c r="KW3174" s="37"/>
      <c r="KX3174" s="37"/>
      <c r="KY3174" s="37"/>
      <c r="KZ3174" s="37"/>
      <c r="LA3174" s="37"/>
      <c r="LB3174" s="37"/>
      <c r="LC3174" s="37"/>
      <c r="LD3174" s="37"/>
      <c r="LE3174" s="37"/>
      <c r="LF3174" s="37"/>
      <c r="LG3174" s="37"/>
      <c r="LH3174" s="37"/>
      <c r="LI3174" s="37"/>
      <c r="LJ3174" s="37"/>
      <c r="LK3174" s="37"/>
      <c r="LL3174" s="37"/>
      <c r="LM3174" s="37"/>
      <c r="LN3174" s="37"/>
      <c r="LO3174" s="37"/>
      <c r="LP3174" s="37"/>
      <c r="LQ3174" s="37"/>
      <c r="LR3174" s="37"/>
      <c r="LS3174" s="37"/>
      <c r="LT3174" s="37"/>
      <c r="LU3174" s="37"/>
      <c r="LV3174" s="37"/>
      <c r="LW3174" s="37"/>
      <c r="LX3174" s="37"/>
      <c r="LY3174" s="37"/>
      <c r="LZ3174" s="37"/>
      <c r="MA3174" s="37"/>
      <c r="MB3174" s="37"/>
      <c r="MC3174" s="37"/>
      <c r="MD3174" s="37"/>
      <c r="ME3174" s="37"/>
      <c r="MF3174" s="37"/>
      <c r="MG3174" s="37"/>
      <c r="MH3174" s="37"/>
      <c r="MI3174" s="37"/>
      <c r="MJ3174" s="37"/>
      <c r="MK3174" s="37"/>
      <c r="ML3174" s="37"/>
      <c r="MM3174" s="37"/>
      <c r="MN3174" s="37"/>
      <c r="MO3174" s="37"/>
      <c r="MP3174" s="37"/>
      <c r="MQ3174" s="37"/>
      <c r="MR3174" s="37"/>
      <c r="MS3174" s="37"/>
      <c r="MT3174" s="37"/>
      <c r="MU3174" s="37"/>
      <c r="MV3174" s="37"/>
      <c r="MW3174" s="37"/>
      <c r="MX3174" s="37"/>
      <c r="MY3174" s="37"/>
      <c r="MZ3174" s="37"/>
      <c r="NA3174" s="37"/>
      <c r="NB3174" s="37"/>
      <c r="NC3174" s="37"/>
      <c r="ND3174" s="37"/>
      <c r="NE3174" s="37"/>
      <c r="NF3174" s="37"/>
      <c r="NG3174" s="37"/>
      <c r="NH3174" s="37"/>
      <c r="NI3174" s="37"/>
      <c r="NJ3174" s="37"/>
      <c r="NK3174" s="37"/>
      <c r="NL3174" s="37"/>
      <c r="NM3174" s="37"/>
      <c r="NN3174" s="37"/>
      <c r="NO3174" s="37"/>
      <c r="NP3174" s="37"/>
      <c r="NQ3174" s="37"/>
      <c r="NR3174" s="37"/>
      <c r="NS3174" s="37"/>
      <c r="NT3174" s="37"/>
      <c r="NU3174" s="37"/>
      <c r="NV3174" s="37"/>
      <c r="NW3174" s="37"/>
      <c r="NX3174" s="37"/>
      <c r="NY3174" s="37"/>
      <c r="NZ3174" s="37"/>
      <c r="OA3174" s="37"/>
      <c r="OB3174" s="37"/>
      <c r="OC3174" s="37"/>
      <c r="OD3174" s="37"/>
      <c r="OE3174" s="37"/>
      <c r="OF3174" s="37"/>
      <c r="OG3174" s="37"/>
      <c r="OH3174" s="37"/>
      <c r="OI3174" s="37"/>
      <c r="OJ3174" s="37"/>
      <c r="OK3174" s="37"/>
      <c r="OL3174" s="37"/>
      <c r="OM3174" s="37"/>
      <c r="ON3174" s="37"/>
      <c r="OO3174" s="37"/>
      <c r="OP3174" s="37"/>
      <c r="OQ3174" s="37"/>
      <c r="OR3174" s="37"/>
      <c r="OS3174" s="37"/>
      <c r="OT3174" s="37"/>
      <c r="OU3174" s="37"/>
      <c r="OV3174" s="37"/>
      <c r="OW3174" s="37"/>
      <c r="OX3174" s="37"/>
      <c r="OY3174" s="37"/>
      <c r="OZ3174" s="37"/>
      <c r="PA3174" s="37"/>
      <c r="PB3174" s="37"/>
      <c r="PC3174" s="37"/>
      <c r="PD3174" s="37"/>
      <c r="PE3174" s="37"/>
      <c r="PF3174" s="37"/>
      <c r="PG3174" s="37"/>
      <c r="PH3174" s="37"/>
      <c r="PI3174" s="37"/>
      <c r="PJ3174" s="37"/>
      <c r="PK3174" s="37"/>
      <c r="PL3174" s="37"/>
      <c r="PM3174" s="37"/>
      <c r="PN3174" s="37"/>
      <c r="PO3174" s="37"/>
      <c r="PP3174" s="37"/>
      <c r="PQ3174" s="37"/>
      <c r="PR3174" s="37"/>
      <c r="PS3174" s="37"/>
      <c r="PT3174" s="37"/>
      <c r="PU3174" s="37"/>
      <c r="PV3174" s="37"/>
      <c r="PW3174" s="37"/>
      <c r="PX3174" s="37"/>
      <c r="PY3174" s="37"/>
      <c r="PZ3174" s="37"/>
      <c r="QA3174" s="37"/>
      <c r="QB3174" s="37"/>
      <c r="QC3174" s="37"/>
      <c r="QD3174" s="37"/>
      <c r="QE3174" s="37"/>
      <c r="QF3174" s="37"/>
      <c r="QG3174" s="37"/>
      <c r="QH3174" s="37"/>
      <c r="QI3174" s="37"/>
      <c r="QJ3174" s="37"/>
      <c r="QK3174" s="37"/>
      <c r="QL3174" s="37"/>
      <c r="QM3174" s="37"/>
      <c r="QN3174" s="37"/>
      <c r="QO3174" s="37"/>
      <c r="QP3174" s="37"/>
      <c r="QQ3174" s="37"/>
      <c r="QR3174" s="37"/>
      <c r="QS3174" s="37"/>
      <c r="QT3174" s="37"/>
      <c r="QU3174" s="37"/>
      <c r="QV3174" s="37"/>
      <c r="QW3174" s="37"/>
      <c r="QX3174" s="37"/>
      <c r="QY3174" s="37"/>
      <c r="QZ3174" s="37"/>
      <c r="RA3174" s="37"/>
      <c r="RB3174" s="37"/>
      <c r="RC3174" s="37"/>
      <c r="RD3174" s="37"/>
      <c r="RE3174" s="37"/>
      <c r="RF3174" s="37"/>
      <c r="RG3174" s="37"/>
      <c r="RH3174" s="37"/>
      <c r="RI3174" s="37"/>
      <c r="RJ3174" s="37"/>
      <c r="RK3174" s="37"/>
      <c r="RL3174" s="37"/>
      <c r="RM3174" s="37"/>
      <c r="RN3174" s="37"/>
      <c r="RO3174" s="37"/>
      <c r="RP3174" s="37"/>
      <c r="RQ3174" s="37"/>
      <c r="RR3174" s="37"/>
      <c r="RS3174" s="37"/>
      <c r="RT3174" s="37"/>
      <c r="RU3174" s="37"/>
      <c r="RV3174" s="37"/>
      <c r="RW3174" s="37"/>
      <c r="RX3174" s="37"/>
      <c r="RY3174" s="37"/>
      <c r="RZ3174" s="37"/>
      <c r="SA3174" s="37"/>
      <c r="SB3174" s="37"/>
      <c r="SC3174" s="37"/>
      <c r="SD3174" s="37"/>
      <c r="SE3174" s="37"/>
      <c r="SF3174" s="37"/>
    </row>
    <row r="3175" spans="1:500">
      <c r="A3175" s="37"/>
      <c r="B3175" s="37"/>
      <c r="C3175" s="37"/>
      <c r="D3175" s="37"/>
      <c r="E3175" s="37"/>
      <c r="F3175" s="37"/>
      <c r="G3175" s="37"/>
      <c r="H3175" s="37"/>
      <c r="I3175" s="37"/>
      <c r="J3175" s="37"/>
      <c r="K3175" s="37"/>
      <c r="L3175" s="37"/>
      <c r="M3175" s="37"/>
      <c r="N3175" s="37"/>
      <c r="O3175" s="37"/>
      <c r="P3175" s="37"/>
      <c r="Q3175" s="37"/>
      <c r="R3175" s="37"/>
      <c r="S3175" s="37"/>
      <c r="T3175" s="37"/>
      <c r="U3175" s="37"/>
      <c r="V3175" s="37"/>
      <c r="W3175" s="37"/>
      <c r="X3175" s="37"/>
      <c r="Y3175" s="37"/>
      <c r="Z3175" s="37"/>
      <c r="AA3175" s="37"/>
      <c r="AB3175" s="37"/>
      <c r="AC3175" s="37"/>
      <c r="AD3175" s="37"/>
      <c r="AE3175" s="37"/>
      <c r="AF3175" s="37"/>
      <c r="AG3175" s="37"/>
      <c r="AH3175" s="37"/>
      <c r="AI3175" s="37"/>
      <c r="AJ3175" s="37"/>
      <c r="AK3175" s="37"/>
      <c r="AL3175" s="37"/>
      <c r="AM3175" s="37"/>
      <c r="AN3175" s="37"/>
      <c r="AO3175" s="37"/>
      <c r="AP3175" s="37"/>
      <c r="AQ3175" s="37"/>
      <c r="AR3175" s="37"/>
      <c r="AS3175" s="37"/>
      <c r="AT3175" s="37"/>
      <c r="AU3175" s="37"/>
      <c r="AV3175" s="37"/>
      <c r="AW3175" s="37"/>
      <c r="AX3175" s="37"/>
      <c r="AY3175" s="37"/>
      <c r="AZ3175" s="37"/>
      <c r="BA3175" s="37"/>
      <c r="BB3175" s="37"/>
      <c r="BC3175" s="37"/>
      <c r="BD3175" s="37"/>
      <c r="BE3175" s="37"/>
      <c r="BF3175" s="37"/>
      <c r="BG3175" s="37"/>
      <c r="BH3175" s="37"/>
      <c r="BI3175" s="37"/>
      <c r="BJ3175" s="37"/>
      <c r="BK3175" s="37"/>
      <c r="BL3175" s="37"/>
      <c r="BM3175" s="37"/>
      <c r="BN3175" s="37"/>
      <c r="BO3175" s="37"/>
      <c r="BP3175" s="37"/>
      <c r="BQ3175" s="37"/>
      <c r="BR3175" s="37"/>
      <c r="BS3175" s="37"/>
      <c r="BT3175" s="37"/>
      <c r="BU3175" s="37"/>
      <c r="BV3175" s="37"/>
      <c r="BW3175" s="37"/>
      <c r="BX3175" s="37"/>
      <c r="BY3175" s="37"/>
      <c r="BZ3175" s="37"/>
      <c r="CA3175" s="37"/>
      <c r="CB3175" s="37"/>
      <c r="CC3175" s="37"/>
      <c r="CD3175" s="37"/>
      <c r="CE3175" s="37"/>
      <c r="CF3175" s="37"/>
      <c r="CG3175" s="37"/>
      <c r="CH3175" s="37"/>
      <c r="CI3175" s="37"/>
      <c r="CJ3175" s="37"/>
      <c r="CK3175" s="37"/>
      <c r="CL3175" s="37"/>
      <c r="CM3175" s="37"/>
      <c r="CN3175" s="37"/>
      <c r="CO3175" s="37"/>
      <c r="CP3175" s="37"/>
      <c r="CQ3175" s="37"/>
      <c r="CR3175" s="37"/>
      <c r="CS3175" s="37"/>
      <c r="CT3175" s="37"/>
      <c r="CU3175" s="37"/>
      <c r="CV3175" s="37"/>
      <c r="CW3175" s="37"/>
      <c r="CX3175" s="37"/>
      <c r="CY3175" s="37"/>
      <c r="CZ3175" s="37"/>
      <c r="DA3175" s="37"/>
      <c r="DB3175" s="37"/>
      <c r="DC3175" s="37"/>
      <c r="DD3175" s="37"/>
      <c r="DE3175" s="37"/>
      <c r="DF3175" s="37"/>
      <c r="DG3175" s="37"/>
      <c r="DH3175" s="37"/>
      <c r="DI3175" s="37"/>
      <c r="DJ3175" s="37"/>
      <c r="DK3175" s="37"/>
      <c r="DL3175" s="37"/>
      <c r="DM3175" s="37"/>
      <c r="DN3175" s="37"/>
      <c r="DO3175" s="37"/>
      <c r="DP3175" s="37"/>
      <c r="DQ3175" s="37"/>
      <c r="DR3175" s="37"/>
      <c r="DS3175" s="37"/>
      <c r="DT3175" s="37"/>
      <c r="DU3175" s="37"/>
      <c r="DV3175" s="37"/>
      <c r="DW3175" s="37"/>
      <c r="DX3175" s="37"/>
      <c r="DY3175" s="37"/>
      <c r="DZ3175" s="37"/>
      <c r="EA3175" s="37"/>
      <c r="EB3175" s="37"/>
      <c r="EC3175" s="37"/>
      <c r="ED3175" s="37"/>
      <c r="EE3175" s="37"/>
      <c r="EF3175" s="37"/>
      <c r="EG3175" s="37"/>
      <c r="EH3175" s="37"/>
      <c r="EI3175" s="37"/>
      <c r="EJ3175" s="37"/>
      <c r="EK3175" s="37"/>
      <c r="EL3175" s="37"/>
      <c r="EM3175" s="37"/>
      <c r="EN3175" s="37"/>
      <c r="EO3175" s="37"/>
      <c r="EP3175" s="37"/>
      <c r="EQ3175" s="37"/>
      <c r="ER3175" s="37"/>
      <c r="ES3175" s="37"/>
      <c r="ET3175" s="37"/>
      <c r="EU3175" s="37"/>
      <c r="EV3175" s="37"/>
      <c r="EW3175" s="37"/>
      <c r="EX3175" s="37"/>
      <c r="EY3175" s="37"/>
      <c r="EZ3175" s="37"/>
      <c r="FA3175" s="37"/>
      <c r="FB3175" s="37"/>
      <c r="FC3175" s="37"/>
      <c r="FD3175" s="37"/>
      <c r="FE3175" s="37"/>
      <c r="FF3175" s="37"/>
      <c r="FG3175" s="37"/>
      <c r="FH3175" s="37"/>
      <c r="FI3175" s="37"/>
      <c r="FJ3175" s="37"/>
      <c r="FK3175" s="37"/>
      <c r="FL3175" s="37"/>
      <c r="FM3175" s="37"/>
      <c r="FN3175" s="37"/>
      <c r="FO3175" s="37"/>
      <c r="FP3175" s="37"/>
      <c r="FQ3175" s="37"/>
      <c r="FR3175" s="37"/>
      <c r="FS3175" s="37"/>
      <c r="FT3175" s="37"/>
      <c r="FU3175" s="37"/>
      <c r="FV3175" s="37"/>
      <c r="FW3175" s="37"/>
      <c r="FX3175" s="37"/>
      <c r="FY3175" s="37"/>
      <c r="FZ3175" s="37"/>
      <c r="GA3175" s="37"/>
      <c r="GB3175" s="37"/>
      <c r="GC3175" s="37"/>
      <c r="GD3175" s="37"/>
      <c r="GE3175" s="37"/>
      <c r="GF3175" s="37"/>
      <c r="GG3175" s="37"/>
      <c r="GH3175" s="37"/>
      <c r="GI3175" s="37"/>
      <c r="GJ3175" s="37"/>
      <c r="GK3175" s="37"/>
      <c r="GL3175" s="37"/>
      <c r="GM3175" s="37"/>
      <c r="GN3175" s="37"/>
      <c r="GO3175" s="37"/>
      <c r="GP3175" s="37"/>
      <c r="GQ3175" s="37"/>
      <c r="GR3175" s="37"/>
      <c r="GS3175" s="37"/>
      <c r="GT3175" s="37"/>
      <c r="GU3175" s="37"/>
      <c r="GV3175" s="37"/>
      <c r="GW3175" s="37"/>
      <c r="GX3175" s="37"/>
      <c r="GY3175" s="37"/>
      <c r="GZ3175" s="37"/>
      <c r="HA3175" s="37"/>
      <c r="HB3175" s="37"/>
      <c r="HC3175" s="37"/>
      <c r="HD3175" s="37"/>
      <c r="HE3175" s="37"/>
      <c r="HF3175" s="37"/>
      <c r="HG3175" s="37"/>
      <c r="HH3175" s="37"/>
      <c r="HI3175" s="37"/>
      <c r="HJ3175" s="37"/>
      <c r="HK3175" s="37"/>
      <c r="HL3175" s="37"/>
      <c r="HM3175" s="37"/>
      <c r="HN3175" s="37"/>
      <c r="HO3175" s="37"/>
      <c r="HP3175" s="37"/>
      <c r="HQ3175" s="37"/>
      <c r="HR3175" s="37"/>
      <c r="HS3175" s="37"/>
      <c r="HT3175" s="37"/>
      <c r="HU3175" s="37"/>
      <c r="HV3175" s="37"/>
      <c r="HW3175" s="37"/>
      <c r="HX3175" s="37"/>
      <c r="HY3175" s="37"/>
      <c r="HZ3175" s="37"/>
      <c r="IA3175" s="37"/>
      <c r="IB3175" s="37"/>
      <c r="IC3175" s="37"/>
      <c r="ID3175" s="37"/>
      <c r="IE3175" s="37"/>
      <c r="IF3175" s="37"/>
      <c r="IG3175" s="37"/>
      <c r="IH3175" s="37"/>
      <c r="II3175" s="37"/>
      <c r="IJ3175" s="37"/>
      <c r="IK3175" s="37"/>
      <c r="IL3175" s="37"/>
      <c r="IM3175" s="37"/>
      <c r="IN3175" s="37"/>
      <c r="IO3175" s="37"/>
      <c r="IP3175" s="37"/>
      <c r="IQ3175" s="37"/>
      <c r="IR3175" s="37"/>
      <c r="IS3175" s="37"/>
      <c r="IT3175" s="37"/>
      <c r="IU3175" s="37"/>
      <c r="IV3175" s="37"/>
      <c r="IW3175" s="37"/>
      <c r="IX3175" s="37"/>
      <c r="IY3175" s="37"/>
      <c r="IZ3175" s="37"/>
      <c r="JA3175" s="37"/>
      <c r="JB3175" s="37"/>
      <c r="JC3175" s="37"/>
      <c r="JD3175" s="37"/>
      <c r="JE3175" s="37"/>
      <c r="JF3175" s="37"/>
      <c r="JG3175" s="37"/>
      <c r="JH3175" s="37"/>
      <c r="JI3175" s="37"/>
      <c r="JJ3175" s="37"/>
      <c r="JK3175" s="37"/>
      <c r="JL3175" s="37"/>
      <c r="JM3175" s="37"/>
      <c r="JN3175" s="37"/>
      <c r="JO3175" s="37"/>
      <c r="JP3175" s="37"/>
      <c r="JQ3175" s="37"/>
      <c r="JR3175" s="37"/>
      <c r="JS3175" s="37"/>
      <c r="JT3175" s="37"/>
      <c r="JU3175" s="37"/>
      <c r="JV3175" s="37"/>
      <c r="JW3175" s="37"/>
      <c r="JX3175" s="37"/>
      <c r="JY3175" s="37"/>
      <c r="JZ3175" s="37"/>
      <c r="KA3175" s="37"/>
      <c r="KB3175" s="37"/>
      <c r="KC3175" s="37"/>
      <c r="KD3175" s="37"/>
      <c r="KE3175" s="37"/>
      <c r="KF3175" s="37"/>
      <c r="KG3175" s="37"/>
      <c r="KH3175" s="37"/>
      <c r="KI3175" s="37"/>
      <c r="KJ3175" s="37"/>
      <c r="KK3175" s="37"/>
      <c r="KL3175" s="37"/>
      <c r="KM3175" s="37"/>
      <c r="KN3175" s="37"/>
      <c r="KO3175" s="37"/>
      <c r="KP3175" s="37"/>
      <c r="KQ3175" s="37"/>
      <c r="KR3175" s="37"/>
      <c r="KS3175" s="37"/>
      <c r="KT3175" s="37"/>
      <c r="KU3175" s="37"/>
      <c r="KV3175" s="37"/>
      <c r="KW3175" s="37"/>
      <c r="KX3175" s="37"/>
      <c r="KY3175" s="37"/>
      <c r="KZ3175" s="37"/>
      <c r="LA3175" s="37"/>
      <c r="LB3175" s="37"/>
      <c r="LC3175" s="37"/>
      <c r="LD3175" s="37"/>
      <c r="LE3175" s="37"/>
      <c r="LF3175" s="37"/>
      <c r="LG3175" s="37"/>
      <c r="LH3175" s="37"/>
      <c r="LI3175" s="37"/>
      <c r="LJ3175" s="37"/>
      <c r="LK3175" s="37"/>
      <c r="LL3175" s="37"/>
      <c r="LM3175" s="37"/>
      <c r="LN3175" s="37"/>
      <c r="LO3175" s="37"/>
      <c r="LP3175" s="37"/>
      <c r="LQ3175" s="37"/>
      <c r="LR3175" s="37"/>
      <c r="LS3175" s="37"/>
      <c r="LT3175" s="37"/>
      <c r="LU3175" s="37"/>
      <c r="LV3175" s="37"/>
      <c r="LW3175" s="37"/>
      <c r="LX3175" s="37"/>
      <c r="LY3175" s="37"/>
      <c r="LZ3175" s="37"/>
      <c r="MA3175" s="37"/>
      <c r="MB3175" s="37"/>
      <c r="MC3175" s="37"/>
      <c r="MD3175" s="37"/>
      <c r="ME3175" s="37"/>
      <c r="MF3175" s="37"/>
      <c r="MG3175" s="37"/>
      <c r="MH3175" s="37"/>
      <c r="MI3175" s="37"/>
      <c r="MJ3175" s="37"/>
      <c r="MK3175" s="37"/>
      <c r="ML3175" s="37"/>
      <c r="MM3175" s="37"/>
      <c r="MN3175" s="37"/>
      <c r="MO3175" s="37"/>
      <c r="MP3175" s="37"/>
      <c r="MQ3175" s="37"/>
      <c r="MR3175" s="37"/>
      <c r="MS3175" s="37"/>
      <c r="MT3175" s="37"/>
      <c r="MU3175" s="37"/>
      <c r="MV3175" s="37"/>
      <c r="MW3175" s="37"/>
      <c r="MX3175" s="37"/>
      <c r="MY3175" s="37"/>
      <c r="MZ3175" s="37"/>
      <c r="NA3175" s="37"/>
      <c r="NB3175" s="37"/>
      <c r="NC3175" s="37"/>
      <c r="ND3175" s="37"/>
      <c r="NE3175" s="37"/>
      <c r="NF3175" s="37"/>
      <c r="NG3175" s="37"/>
      <c r="NH3175" s="37"/>
      <c r="NI3175" s="37"/>
      <c r="NJ3175" s="37"/>
      <c r="NK3175" s="37"/>
      <c r="NL3175" s="37"/>
      <c r="NM3175" s="37"/>
      <c r="NN3175" s="37"/>
      <c r="NO3175" s="37"/>
      <c r="NP3175" s="37"/>
      <c r="NQ3175" s="37"/>
      <c r="NR3175" s="37"/>
      <c r="NS3175" s="37"/>
      <c r="NT3175" s="37"/>
      <c r="NU3175" s="37"/>
      <c r="NV3175" s="37"/>
      <c r="NW3175" s="37"/>
      <c r="NX3175" s="37"/>
      <c r="NY3175" s="37"/>
      <c r="NZ3175" s="37"/>
      <c r="OA3175" s="37"/>
      <c r="OB3175" s="37"/>
      <c r="OC3175" s="37"/>
      <c r="OD3175" s="37"/>
      <c r="OE3175" s="37"/>
      <c r="OF3175" s="37"/>
      <c r="OG3175" s="37"/>
      <c r="OH3175" s="37"/>
      <c r="OI3175" s="37"/>
      <c r="OJ3175" s="37"/>
      <c r="OK3175" s="37"/>
      <c r="OL3175" s="37"/>
      <c r="OM3175" s="37"/>
      <c r="ON3175" s="37"/>
      <c r="OO3175" s="37"/>
      <c r="OP3175" s="37"/>
      <c r="OQ3175" s="37"/>
      <c r="OR3175" s="37"/>
      <c r="OS3175" s="37"/>
      <c r="OT3175" s="37"/>
      <c r="OU3175" s="37"/>
      <c r="OV3175" s="37"/>
      <c r="OW3175" s="37"/>
      <c r="OX3175" s="37"/>
      <c r="OY3175" s="37"/>
      <c r="OZ3175" s="37"/>
      <c r="PA3175" s="37"/>
      <c r="PB3175" s="37"/>
      <c r="PC3175" s="37"/>
      <c r="PD3175" s="37"/>
      <c r="PE3175" s="37"/>
      <c r="PF3175" s="37"/>
      <c r="PG3175" s="37"/>
      <c r="PH3175" s="37"/>
      <c r="PI3175" s="37"/>
      <c r="PJ3175" s="37"/>
      <c r="PK3175" s="37"/>
      <c r="PL3175" s="37"/>
      <c r="PM3175" s="37"/>
      <c r="PN3175" s="37"/>
      <c r="PO3175" s="37"/>
      <c r="PP3175" s="37"/>
      <c r="PQ3175" s="37"/>
      <c r="PR3175" s="37"/>
      <c r="PS3175" s="37"/>
      <c r="PT3175" s="37"/>
      <c r="PU3175" s="37"/>
      <c r="PV3175" s="37"/>
      <c r="PW3175" s="37"/>
      <c r="PX3175" s="37"/>
      <c r="PY3175" s="37"/>
      <c r="PZ3175" s="37"/>
      <c r="QA3175" s="37"/>
      <c r="QB3175" s="37"/>
      <c r="QC3175" s="37"/>
      <c r="QD3175" s="37"/>
      <c r="QE3175" s="37"/>
      <c r="QF3175" s="37"/>
      <c r="QG3175" s="37"/>
      <c r="QH3175" s="37"/>
      <c r="QI3175" s="37"/>
      <c r="QJ3175" s="37"/>
      <c r="QK3175" s="37"/>
      <c r="QL3175" s="37"/>
      <c r="QM3175" s="37"/>
      <c r="QN3175" s="37"/>
      <c r="QO3175" s="37"/>
      <c r="QP3175" s="37"/>
      <c r="QQ3175" s="37"/>
      <c r="QR3175" s="37"/>
      <c r="QS3175" s="37"/>
      <c r="QT3175" s="37"/>
      <c r="QU3175" s="37"/>
      <c r="QV3175" s="37"/>
      <c r="QW3175" s="37"/>
      <c r="QX3175" s="37"/>
      <c r="QY3175" s="37"/>
      <c r="QZ3175" s="37"/>
      <c r="RA3175" s="37"/>
      <c r="RB3175" s="37"/>
      <c r="RC3175" s="37"/>
      <c r="RD3175" s="37"/>
      <c r="RE3175" s="37"/>
      <c r="RF3175" s="37"/>
      <c r="RG3175" s="37"/>
      <c r="RH3175" s="37"/>
      <c r="RI3175" s="37"/>
      <c r="RJ3175" s="37"/>
      <c r="RK3175" s="37"/>
      <c r="RL3175" s="37"/>
      <c r="RM3175" s="37"/>
      <c r="RN3175" s="37"/>
      <c r="RO3175" s="37"/>
      <c r="RP3175" s="37"/>
      <c r="RQ3175" s="37"/>
      <c r="RR3175" s="37"/>
      <c r="RS3175" s="37"/>
      <c r="RT3175" s="37"/>
      <c r="RU3175" s="37"/>
      <c r="RV3175" s="37"/>
      <c r="RW3175" s="37"/>
      <c r="RX3175" s="37"/>
      <c r="RY3175" s="37"/>
      <c r="RZ3175" s="37"/>
      <c r="SA3175" s="37"/>
      <c r="SB3175" s="37"/>
      <c r="SC3175" s="37"/>
      <c r="SD3175" s="37"/>
      <c r="SE3175" s="37"/>
      <c r="SF3175" s="37"/>
    </row>
    <row r="3176" spans="1:500">
      <c r="A3176" s="37"/>
      <c r="B3176" s="37"/>
      <c r="C3176" s="37"/>
      <c r="D3176" s="37"/>
      <c r="E3176" s="37"/>
      <c r="F3176" s="37"/>
      <c r="G3176" s="37"/>
      <c r="H3176" s="37"/>
      <c r="I3176" s="37"/>
      <c r="J3176" s="37"/>
      <c r="K3176" s="37"/>
      <c r="L3176" s="37"/>
      <c r="M3176" s="37"/>
      <c r="N3176" s="37"/>
      <c r="O3176" s="37"/>
      <c r="P3176" s="37"/>
      <c r="Q3176" s="37"/>
      <c r="R3176" s="37"/>
      <c r="S3176" s="37"/>
      <c r="T3176" s="37"/>
      <c r="U3176" s="37"/>
      <c r="V3176" s="37"/>
      <c r="W3176" s="37"/>
      <c r="X3176" s="37"/>
      <c r="Y3176" s="37"/>
      <c r="Z3176" s="37"/>
      <c r="AA3176" s="37"/>
      <c r="AB3176" s="37"/>
      <c r="AC3176" s="37"/>
      <c r="AD3176" s="37"/>
      <c r="AE3176" s="37"/>
      <c r="AF3176" s="37"/>
      <c r="AG3176" s="37"/>
      <c r="AH3176" s="37"/>
      <c r="AI3176" s="37"/>
      <c r="AJ3176" s="37"/>
      <c r="AK3176" s="37"/>
      <c r="AL3176" s="37"/>
      <c r="AM3176" s="37"/>
      <c r="AN3176" s="37"/>
      <c r="AO3176" s="37"/>
      <c r="AP3176" s="37"/>
      <c r="AQ3176" s="37"/>
      <c r="AR3176" s="37"/>
      <c r="AS3176" s="37"/>
      <c r="AT3176" s="37"/>
      <c r="AU3176" s="37"/>
      <c r="AV3176" s="37"/>
      <c r="AW3176" s="37"/>
      <c r="AX3176" s="37"/>
      <c r="AY3176" s="37"/>
      <c r="AZ3176" s="37"/>
      <c r="BA3176" s="37"/>
      <c r="BB3176" s="37"/>
      <c r="BC3176" s="37"/>
      <c r="BD3176" s="37"/>
      <c r="BE3176" s="37"/>
      <c r="BF3176" s="37"/>
      <c r="BG3176" s="37"/>
      <c r="BH3176" s="37"/>
      <c r="BI3176" s="37"/>
      <c r="BJ3176" s="37"/>
      <c r="BK3176" s="37"/>
      <c r="BL3176" s="37"/>
      <c r="BM3176" s="37"/>
      <c r="BN3176" s="37"/>
      <c r="BO3176" s="37"/>
      <c r="BP3176" s="37"/>
      <c r="BQ3176" s="37"/>
      <c r="BR3176" s="37"/>
      <c r="BS3176" s="37"/>
      <c r="BT3176" s="37"/>
      <c r="BU3176" s="37"/>
      <c r="BV3176" s="37"/>
      <c r="BW3176" s="37"/>
      <c r="BX3176" s="37"/>
      <c r="BY3176" s="37"/>
      <c r="BZ3176" s="37"/>
      <c r="CA3176" s="37"/>
      <c r="CB3176" s="37"/>
      <c r="CC3176" s="37"/>
      <c r="CD3176" s="37"/>
      <c r="CE3176" s="37"/>
      <c r="CF3176" s="37"/>
      <c r="CG3176" s="37"/>
      <c r="CH3176" s="37"/>
      <c r="CI3176" s="37"/>
      <c r="CJ3176" s="37"/>
      <c r="CK3176" s="37"/>
      <c r="CL3176" s="37"/>
      <c r="CM3176" s="37"/>
      <c r="CN3176" s="37"/>
      <c r="CO3176" s="37"/>
      <c r="CP3176" s="37"/>
      <c r="CQ3176" s="37"/>
      <c r="CR3176" s="37"/>
      <c r="CS3176" s="37"/>
      <c r="CT3176" s="37"/>
      <c r="CU3176" s="37"/>
      <c r="CV3176" s="37"/>
      <c r="CW3176" s="37"/>
      <c r="CX3176" s="37"/>
      <c r="CY3176" s="37"/>
      <c r="CZ3176" s="37"/>
      <c r="DA3176" s="37"/>
      <c r="DB3176" s="37"/>
      <c r="DC3176" s="37"/>
      <c r="DD3176" s="37"/>
      <c r="DE3176" s="37"/>
      <c r="DF3176" s="37"/>
      <c r="DG3176" s="37"/>
      <c r="DH3176" s="37"/>
      <c r="DI3176" s="37"/>
      <c r="DJ3176" s="37"/>
      <c r="DK3176" s="37"/>
      <c r="DL3176" s="37"/>
      <c r="DM3176" s="37"/>
      <c r="DN3176" s="37"/>
      <c r="DO3176" s="37"/>
      <c r="DP3176" s="37"/>
      <c r="DQ3176" s="37"/>
      <c r="DR3176" s="37"/>
      <c r="DS3176" s="37"/>
      <c r="DT3176" s="37"/>
      <c r="DU3176" s="37"/>
      <c r="DV3176" s="37"/>
      <c r="DW3176" s="37"/>
      <c r="DX3176" s="37"/>
      <c r="DY3176" s="37"/>
      <c r="DZ3176" s="37"/>
      <c r="EA3176" s="37"/>
      <c r="EB3176" s="37"/>
      <c r="EC3176" s="37"/>
      <c r="ED3176" s="37"/>
      <c r="EE3176" s="37"/>
      <c r="EF3176" s="37"/>
      <c r="EG3176" s="37"/>
      <c r="EH3176" s="37"/>
      <c r="EI3176" s="37"/>
      <c r="EJ3176" s="37"/>
      <c r="EK3176" s="37"/>
      <c r="EL3176" s="37"/>
      <c r="EM3176" s="37"/>
      <c r="EN3176" s="37"/>
      <c r="EO3176" s="37"/>
      <c r="EP3176" s="37"/>
      <c r="EQ3176" s="37"/>
      <c r="ER3176" s="37"/>
      <c r="ES3176" s="37"/>
      <c r="ET3176" s="37"/>
      <c r="EU3176" s="37"/>
      <c r="EV3176" s="37"/>
      <c r="EW3176" s="37"/>
      <c r="EX3176" s="37"/>
      <c r="EY3176" s="37"/>
      <c r="EZ3176" s="37"/>
      <c r="FA3176" s="37"/>
      <c r="FB3176" s="37"/>
      <c r="FC3176" s="37"/>
      <c r="FD3176" s="37"/>
      <c r="FE3176" s="37"/>
      <c r="FF3176" s="37"/>
      <c r="FG3176" s="37"/>
      <c r="FH3176" s="37"/>
      <c r="FI3176" s="37"/>
      <c r="FJ3176" s="37"/>
      <c r="FK3176" s="37"/>
      <c r="FL3176" s="37"/>
      <c r="FM3176" s="37"/>
      <c r="FN3176" s="37"/>
      <c r="FO3176" s="37"/>
      <c r="FP3176" s="37"/>
      <c r="FQ3176" s="37"/>
      <c r="FR3176" s="37"/>
      <c r="FS3176" s="37"/>
      <c r="FT3176" s="37"/>
      <c r="FU3176" s="37"/>
      <c r="FV3176" s="37"/>
      <c r="FW3176" s="37"/>
      <c r="FX3176" s="37"/>
      <c r="FY3176" s="37"/>
      <c r="FZ3176" s="37"/>
      <c r="GA3176" s="37"/>
      <c r="GB3176" s="37"/>
      <c r="GC3176" s="37"/>
      <c r="GD3176" s="37"/>
      <c r="GE3176" s="37"/>
      <c r="GF3176" s="37"/>
      <c r="GG3176" s="37"/>
      <c r="GH3176" s="37"/>
      <c r="GI3176" s="37"/>
      <c r="GJ3176" s="37"/>
      <c r="GK3176" s="37"/>
      <c r="GL3176" s="37"/>
      <c r="GM3176" s="37"/>
      <c r="GN3176" s="37"/>
      <c r="GO3176" s="37"/>
      <c r="GP3176" s="37"/>
      <c r="GQ3176" s="37"/>
      <c r="GR3176" s="37"/>
      <c r="GS3176" s="37"/>
      <c r="GT3176" s="37"/>
      <c r="GU3176" s="37"/>
      <c r="GV3176" s="37"/>
      <c r="GW3176" s="37"/>
      <c r="GX3176" s="37"/>
      <c r="GY3176" s="37"/>
      <c r="GZ3176" s="37"/>
      <c r="HA3176" s="37"/>
      <c r="HB3176" s="37"/>
      <c r="HC3176" s="37"/>
      <c r="HD3176" s="37"/>
      <c r="HE3176" s="37"/>
      <c r="HF3176" s="37"/>
      <c r="HG3176" s="37"/>
      <c r="HH3176" s="37"/>
      <c r="HI3176" s="37"/>
      <c r="HJ3176" s="37"/>
      <c r="HK3176" s="37"/>
      <c r="HL3176" s="37"/>
      <c r="HM3176" s="37"/>
      <c r="HN3176" s="37"/>
      <c r="HO3176" s="37"/>
      <c r="HP3176" s="37"/>
      <c r="HQ3176" s="37"/>
      <c r="HR3176" s="37"/>
      <c r="HS3176" s="37"/>
      <c r="HT3176" s="37"/>
      <c r="HU3176" s="37"/>
      <c r="HV3176" s="37"/>
      <c r="HW3176" s="37"/>
      <c r="HX3176" s="37"/>
      <c r="HY3176" s="37"/>
      <c r="HZ3176" s="37"/>
      <c r="IA3176" s="37"/>
      <c r="IB3176" s="37"/>
      <c r="IC3176" s="37"/>
      <c r="ID3176" s="37"/>
      <c r="IE3176" s="37"/>
      <c r="IF3176" s="37"/>
      <c r="IG3176" s="37"/>
      <c r="IH3176" s="37"/>
      <c r="II3176" s="37"/>
      <c r="IJ3176" s="37"/>
      <c r="IK3176" s="37"/>
      <c r="IL3176" s="37"/>
      <c r="IM3176" s="37"/>
      <c r="IN3176" s="37"/>
      <c r="IO3176" s="37"/>
      <c r="IP3176" s="37"/>
      <c r="IQ3176" s="37"/>
      <c r="IR3176" s="37"/>
      <c r="IS3176" s="37"/>
      <c r="IT3176" s="37"/>
      <c r="IU3176" s="37"/>
      <c r="IV3176" s="37"/>
      <c r="IW3176" s="37"/>
      <c r="IX3176" s="37"/>
      <c r="IY3176" s="37"/>
      <c r="IZ3176" s="37"/>
      <c r="JA3176" s="37"/>
      <c r="JB3176" s="37"/>
      <c r="JC3176" s="37"/>
      <c r="JD3176" s="37"/>
      <c r="JE3176" s="37"/>
      <c r="JF3176" s="37"/>
      <c r="JG3176" s="37"/>
      <c r="JH3176" s="37"/>
      <c r="JI3176" s="37"/>
      <c r="JJ3176" s="37"/>
      <c r="JK3176" s="37"/>
      <c r="JL3176" s="37"/>
      <c r="JM3176" s="37"/>
      <c r="JN3176" s="37"/>
      <c r="JO3176" s="37"/>
      <c r="JP3176" s="37"/>
      <c r="JQ3176" s="37"/>
      <c r="JR3176" s="37"/>
      <c r="JS3176" s="37"/>
      <c r="JT3176" s="37"/>
      <c r="JU3176" s="37"/>
      <c r="JV3176" s="37"/>
      <c r="JW3176" s="37"/>
      <c r="JX3176" s="37"/>
      <c r="JY3176" s="37"/>
      <c r="JZ3176" s="37"/>
      <c r="KA3176" s="37"/>
      <c r="KB3176" s="37"/>
      <c r="KC3176" s="37"/>
      <c r="KD3176" s="37"/>
      <c r="KE3176" s="37"/>
      <c r="KF3176" s="37"/>
      <c r="KG3176" s="37"/>
      <c r="KH3176" s="37"/>
      <c r="KI3176" s="37"/>
      <c r="KJ3176" s="37"/>
      <c r="KK3176" s="37"/>
      <c r="KL3176" s="37"/>
      <c r="KM3176" s="37"/>
      <c r="KN3176" s="37"/>
      <c r="KO3176" s="37"/>
      <c r="KP3176" s="37"/>
      <c r="KQ3176" s="37"/>
      <c r="KR3176" s="37"/>
      <c r="KS3176" s="37"/>
      <c r="KT3176" s="37"/>
      <c r="KU3176" s="37"/>
      <c r="KV3176" s="37"/>
      <c r="KW3176" s="37"/>
      <c r="KX3176" s="37"/>
      <c r="KY3176" s="37"/>
      <c r="KZ3176" s="37"/>
      <c r="LA3176" s="37"/>
      <c r="LB3176" s="37"/>
      <c r="LC3176" s="37"/>
      <c r="LD3176" s="37"/>
      <c r="LE3176" s="37"/>
      <c r="LF3176" s="37"/>
      <c r="LG3176" s="37"/>
      <c r="LH3176" s="37"/>
      <c r="LI3176" s="37"/>
      <c r="LJ3176" s="37"/>
      <c r="LK3176" s="37"/>
      <c r="LL3176" s="37"/>
      <c r="LM3176" s="37"/>
      <c r="LN3176" s="37"/>
      <c r="LO3176" s="37"/>
      <c r="LP3176" s="37"/>
      <c r="LQ3176" s="37"/>
      <c r="LR3176" s="37"/>
      <c r="LS3176" s="37"/>
      <c r="LT3176" s="37"/>
      <c r="LU3176" s="37"/>
      <c r="LV3176" s="37"/>
      <c r="LW3176" s="37"/>
      <c r="LX3176" s="37"/>
      <c r="LY3176" s="37"/>
      <c r="LZ3176" s="37"/>
      <c r="MA3176" s="37"/>
      <c r="MB3176" s="37"/>
      <c r="MC3176" s="37"/>
      <c r="MD3176" s="37"/>
      <c r="ME3176" s="37"/>
      <c r="MF3176" s="37"/>
      <c r="MG3176" s="37"/>
      <c r="MH3176" s="37"/>
      <c r="MI3176" s="37"/>
      <c r="MJ3176" s="37"/>
      <c r="MK3176" s="37"/>
      <c r="ML3176" s="37"/>
      <c r="MM3176" s="37"/>
      <c r="MN3176" s="37"/>
      <c r="MO3176" s="37"/>
      <c r="MP3176" s="37"/>
      <c r="MQ3176" s="37"/>
      <c r="MR3176" s="37"/>
      <c r="MS3176" s="37"/>
      <c r="MT3176" s="37"/>
      <c r="MU3176" s="37"/>
      <c r="MV3176" s="37"/>
      <c r="MW3176" s="37"/>
      <c r="MX3176" s="37"/>
      <c r="MY3176" s="37"/>
      <c r="MZ3176" s="37"/>
      <c r="NA3176" s="37"/>
      <c r="NB3176" s="37"/>
      <c r="NC3176" s="37"/>
      <c r="ND3176" s="37"/>
      <c r="NE3176" s="37"/>
      <c r="NF3176" s="37"/>
      <c r="NG3176" s="37"/>
      <c r="NH3176" s="37"/>
      <c r="NI3176" s="37"/>
      <c r="NJ3176" s="37"/>
      <c r="NK3176" s="37"/>
      <c r="NL3176" s="37"/>
      <c r="NM3176" s="37"/>
      <c r="NN3176" s="37"/>
      <c r="NO3176" s="37"/>
      <c r="NP3176" s="37"/>
      <c r="NQ3176" s="37"/>
      <c r="NR3176" s="37"/>
      <c r="NS3176" s="37"/>
      <c r="NT3176" s="37"/>
      <c r="NU3176" s="37"/>
      <c r="NV3176" s="37"/>
      <c r="NW3176" s="37"/>
      <c r="NX3176" s="37"/>
      <c r="NY3176" s="37"/>
      <c r="NZ3176" s="37"/>
      <c r="OA3176" s="37"/>
      <c r="OB3176" s="37"/>
      <c r="OC3176" s="37"/>
      <c r="OD3176" s="37"/>
      <c r="OE3176" s="37"/>
      <c r="OF3176" s="37"/>
      <c r="OG3176" s="37"/>
      <c r="OH3176" s="37"/>
      <c r="OI3176" s="37"/>
      <c r="OJ3176" s="37"/>
      <c r="OK3176" s="37"/>
      <c r="OL3176" s="37"/>
      <c r="OM3176" s="37"/>
      <c r="ON3176" s="37"/>
      <c r="OO3176" s="37"/>
      <c r="OP3176" s="37"/>
      <c r="OQ3176" s="37"/>
      <c r="OR3176" s="37"/>
      <c r="OS3176" s="37"/>
      <c r="OT3176" s="37"/>
      <c r="OU3176" s="37"/>
      <c r="OV3176" s="37"/>
      <c r="OW3176" s="37"/>
      <c r="OX3176" s="37"/>
      <c r="OY3176" s="37"/>
      <c r="OZ3176" s="37"/>
      <c r="PA3176" s="37"/>
      <c r="PB3176" s="37"/>
      <c r="PC3176" s="37"/>
      <c r="PD3176" s="37"/>
      <c r="PE3176" s="37"/>
      <c r="PF3176" s="37"/>
      <c r="PG3176" s="37"/>
      <c r="PH3176" s="37"/>
      <c r="PI3176" s="37"/>
      <c r="PJ3176" s="37"/>
      <c r="PK3176" s="37"/>
      <c r="PL3176" s="37"/>
      <c r="PM3176" s="37"/>
      <c r="PN3176" s="37"/>
      <c r="PO3176" s="37"/>
      <c r="PP3176" s="37"/>
      <c r="PQ3176" s="37"/>
      <c r="PR3176" s="37"/>
      <c r="PS3176" s="37"/>
      <c r="PT3176" s="37"/>
      <c r="PU3176" s="37"/>
      <c r="PV3176" s="37"/>
      <c r="PW3176" s="37"/>
      <c r="PX3176" s="37"/>
      <c r="PY3176" s="37"/>
      <c r="PZ3176" s="37"/>
      <c r="QA3176" s="37"/>
      <c r="QB3176" s="37"/>
      <c r="QC3176" s="37"/>
      <c r="QD3176" s="37"/>
      <c r="QE3176" s="37"/>
      <c r="QF3176" s="37"/>
      <c r="QG3176" s="37"/>
      <c r="QH3176" s="37"/>
      <c r="QI3176" s="37"/>
      <c r="QJ3176" s="37"/>
      <c r="QK3176" s="37"/>
      <c r="QL3176" s="37"/>
      <c r="QM3176" s="37"/>
      <c r="QN3176" s="37"/>
      <c r="QO3176" s="37"/>
      <c r="QP3176" s="37"/>
      <c r="QQ3176" s="37"/>
      <c r="QR3176" s="37"/>
      <c r="QS3176" s="37"/>
      <c r="QT3176" s="37"/>
      <c r="QU3176" s="37"/>
      <c r="QV3176" s="37"/>
      <c r="QW3176" s="37"/>
      <c r="QX3176" s="37"/>
      <c r="QY3176" s="37"/>
      <c r="QZ3176" s="37"/>
      <c r="RA3176" s="37"/>
      <c r="RB3176" s="37"/>
      <c r="RC3176" s="37"/>
      <c r="RD3176" s="37"/>
      <c r="RE3176" s="37"/>
      <c r="RF3176" s="37"/>
      <c r="RG3176" s="37"/>
      <c r="RH3176" s="37"/>
      <c r="RI3176" s="37"/>
      <c r="RJ3176" s="37"/>
      <c r="RK3176" s="37"/>
      <c r="RL3176" s="37"/>
      <c r="RM3176" s="37"/>
      <c r="RN3176" s="37"/>
      <c r="RO3176" s="37"/>
      <c r="RP3176" s="37"/>
      <c r="RQ3176" s="37"/>
      <c r="RR3176" s="37"/>
      <c r="RS3176" s="37"/>
      <c r="RT3176" s="37"/>
      <c r="RU3176" s="37"/>
      <c r="RV3176" s="37"/>
      <c r="RW3176" s="37"/>
      <c r="RX3176" s="37"/>
      <c r="RY3176" s="37"/>
      <c r="RZ3176" s="37"/>
      <c r="SA3176" s="37"/>
      <c r="SB3176" s="37"/>
      <c r="SC3176" s="37"/>
      <c r="SD3176" s="37"/>
      <c r="SE3176" s="37"/>
      <c r="SF3176" s="37"/>
    </row>
    <row r="3177" spans="1:500">
      <c r="A3177" s="37"/>
      <c r="B3177" s="37"/>
      <c r="C3177" s="37"/>
      <c r="D3177" s="37"/>
      <c r="E3177" s="37"/>
      <c r="F3177" s="37"/>
      <c r="G3177" s="37"/>
      <c r="H3177" s="37"/>
      <c r="I3177" s="37"/>
      <c r="J3177" s="37"/>
      <c r="K3177" s="37"/>
      <c r="L3177" s="37"/>
      <c r="M3177" s="37"/>
      <c r="N3177" s="37"/>
      <c r="O3177" s="37"/>
      <c r="P3177" s="37"/>
      <c r="Q3177" s="37"/>
      <c r="R3177" s="37"/>
      <c r="S3177" s="37"/>
      <c r="T3177" s="37"/>
      <c r="U3177" s="37"/>
      <c r="V3177" s="37"/>
      <c r="W3177" s="37"/>
      <c r="X3177" s="37"/>
      <c r="Y3177" s="37"/>
      <c r="Z3177" s="37"/>
      <c r="AA3177" s="37"/>
      <c r="AB3177" s="37"/>
      <c r="AC3177" s="37"/>
      <c r="AD3177" s="37"/>
      <c r="AE3177" s="37"/>
      <c r="AF3177" s="37"/>
      <c r="AG3177" s="37"/>
      <c r="AH3177" s="37"/>
      <c r="AI3177" s="37"/>
      <c r="AJ3177" s="37"/>
      <c r="AK3177" s="37"/>
      <c r="AL3177" s="37"/>
      <c r="AM3177" s="37"/>
      <c r="AN3177" s="37"/>
      <c r="AO3177" s="37"/>
      <c r="AP3177" s="37"/>
      <c r="AQ3177" s="37"/>
      <c r="AR3177" s="37"/>
      <c r="AS3177" s="37"/>
      <c r="AT3177" s="37"/>
      <c r="AU3177" s="37"/>
      <c r="AV3177" s="37"/>
      <c r="AW3177" s="37"/>
      <c r="AX3177" s="37"/>
      <c r="AY3177" s="37"/>
      <c r="AZ3177" s="37"/>
      <c r="BA3177" s="37"/>
      <c r="BB3177" s="37"/>
      <c r="BC3177" s="37"/>
      <c r="BD3177" s="37"/>
      <c r="BE3177" s="37"/>
      <c r="BF3177" s="37"/>
      <c r="BG3177" s="37"/>
      <c r="BH3177" s="37"/>
      <c r="BI3177" s="37"/>
      <c r="BJ3177" s="37"/>
      <c r="BK3177" s="37"/>
      <c r="BL3177" s="37"/>
      <c r="BM3177" s="37"/>
      <c r="BN3177" s="37"/>
      <c r="BO3177" s="37"/>
      <c r="BP3177" s="37"/>
      <c r="BQ3177" s="37"/>
      <c r="BR3177" s="37"/>
      <c r="BS3177" s="37"/>
      <c r="BT3177" s="37"/>
      <c r="BU3177" s="37"/>
      <c r="BV3177" s="37"/>
      <c r="BW3177" s="37"/>
      <c r="BX3177" s="37"/>
      <c r="BY3177" s="37"/>
      <c r="BZ3177" s="37"/>
      <c r="CA3177" s="37"/>
      <c r="CB3177" s="37"/>
      <c r="CC3177" s="37"/>
      <c r="CD3177" s="37"/>
      <c r="CE3177" s="37"/>
      <c r="CF3177" s="37"/>
      <c r="CG3177" s="37"/>
      <c r="CH3177" s="37"/>
      <c r="CI3177" s="37"/>
      <c r="CJ3177" s="37"/>
      <c r="CK3177" s="37"/>
      <c r="CL3177" s="37"/>
      <c r="CM3177" s="37"/>
      <c r="CN3177" s="37"/>
      <c r="CO3177" s="37"/>
      <c r="CP3177" s="37"/>
      <c r="CQ3177" s="37"/>
      <c r="CR3177" s="37"/>
      <c r="CS3177" s="37"/>
      <c r="CT3177" s="37"/>
      <c r="CU3177" s="37"/>
      <c r="CV3177" s="37"/>
      <c r="CW3177" s="37"/>
      <c r="CX3177" s="37"/>
      <c r="CY3177" s="37"/>
      <c r="CZ3177" s="37"/>
      <c r="DA3177" s="37"/>
      <c r="DB3177" s="37"/>
      <c r="DC3177" s="37"/>
      <c r="DD3177" s="37"/>
      <c r="DE3177" s="37"/>
      <c r="DF3177" s="37"/>
      <c r="DG3177" s="37"/>
      <c r="DH3177" s="37"/>
      <c r="DI3177" s="37"/>
      <c r="DJ3177" s="37"/>
      <c r="DK3177" s="37"/>
      <c r="DL3177" s="37"/>
      <c r="DM3177" s="37"/>
      <c r="DN3177" s="37"/>
      <c r="DO3177" s="37"/>
      <c r="DP3177" s="37"/>
      <c r="DQ3177" s="37"/>
      <c r="DR3177" s="37"/>
      <c r="DS3177" s="37"/>
      <c r="DT3177" s="37"/>
      <c r="DU3177" s="37"/>
      <c r="DV3177" s="37"/>
      <c r="DW3177" s="37"/>
      <c r="DX3177" s="37"/>
      <c r="DY3177" s="37"/>
      <c r="DZ3177" s="37"/>
      <c r="EA3177" s="37"/>
      <c r="EB3177" s="37"/>
      <c r="EC3177" s="37"/>
      <c r="ED3177" s="37"/>
      <c r="EE3177" s="37"/>
      <c r="EF3177" s="37"/>
      <c r="EG3177" s="37"/>
      <c r="EH3177" s="37"/>
      <c r="EI3177" s="37"/>
      <c r="EJ3177" s="37"/>
      <c r="EK3177" s="37"/>
      <c r="EL3177" s="37"/>
      <c r="EM3177" s="37"/>
      <c r="EN3177" s="37"/>
      <c r="EO3177" s="37"/>
      <c r="EP3177" s="37"/>
      <c r="EQ3177" s="37"/>
      <c r="ER3177" s="37"/>
      <c r="ES3177" s="37"/>
      <c r="ET3177" s="37"/>
      <c r="EU3177" s="37"/>
      <c r="EV3177" s="37"/>
      <c r="EW3177" s="37"/>
      <c r="EX3177" s="37"/>
      <c r="EY3177" s="37"/>
      <c r="EZ3177" s="37"/>
      <c r="FA3177" s="37"/>
      <c r="FB3177" s="37"/>
      <c r="FC3177" s="37"/>
      <c r="FD3177" s="37"/>
      <c r="FE3177" s="37"/>
      <c r="FF3177" s="37"/>
      <c r="FG3177" s="37"/>
      <c r="FH3177" s="37"/>
      <c r="FI3177" s="37"/>
      <c r="FJ3177" s="37"/>
      <c r="FK3177" s="37"/>
      <c r="FL3177" s="37"/>
      <c r="FM3177" s="37"/>
      <c r="FN3177" s="37"/>
      <c r="FO3177" s="37"/>
      <c r="FP3177" s="37"/>
      <c r="FQ3177" s="37"/>
      <c r="FR3177" s="37"/>
      <c r="FS3177" s="37"/>
      <c r="FT3177" s="37"/>
      <c r="FU3177" s="37"/>
      <c r="FV3177" s="37"/>
      <c r="FW3177" s="37"/>
      <c r="FX3177" s="37"/>
      <c r="FY3177" s="37"/>
      <c r="FZ3177" s="37"/>
      <c r="GA3177" s="37"/>
      <c r="GB3177" s="37"/>
      <c r="GC3177" s="37"/>
      <c r="GD3177" s="37"/>
      <c r="GE3177" s="37"/>
      <c r="GF3177" s="37"/>
      <c r="GG3177" s="37"/>
      <c r="GH3177" s="37"/>
      <c r="GI3177" s="37"/>
      <c r="GJ3177" s="37"/>
      <c r="GK3177" s="37"/>
      <c r="GL3177" s="37"/>
      <c r="GM3177" s="37"/>
      <c r="GN3177" s="37"/>
      <c r="GO3177" s="37"/>
      <c r="GP3177" s="37"/>
      <c r="GQ3177" s="37"/>
      <c r="GR3177" s="37"/>
      <c r="GS3177" s="37"/>
      <c r="GT3177" s="37"/>
      <c r="GU3177" s="37"/>
      <c r="GV3177" s="37"/>
      <c r="GW3177" s="37"/>
      <c r="GX3177" s="37"/>
      <c r="GY3177" s="37"/>
      <c r="GZ3177" s="37"/>
      <c r="HA3177" s="37"/>
      <c r="HB3177" s="37"/>
      <c r="HC3177" s="37"/>
      <c r="HD3177" s="37"/>
      <c r="HE3177" s="37"/>
      <c r="HF3177" s="37"/>
      <c r="HG3177" s="37"/>
      <c r="HH3177" s="37"/>
      <c r="HI3177" s="37"/>
      <c r="HJ3177" s="37"/>
      <c r="HK3177" s="37"/>
      <c r="HL3177" s="37"/>
      <c r="HM3177" s="37"/>
      <c r="HN3177" s="37"/>
      <c r="HO3177" s="37"/>
      <c r="HP3177" s="37"/>
      <c r="HQ3177" s="37"/>
      <c r="HR3177" s="37"/>
      <c r="HS3177" s="37"/>
      <c r="HT3177" s="37"/>
      <c r="HU3177" s="37"/>
      <c r="HV3177" s="37"/>
      <c r="HW3177" s="37"/>
      <c r="HX3177" s="37"/>
      <c r="HY3177" s="37"/>
      <c r="HZ3177" s="37"/>
      <c r="IA3177" s="37"/>
      <c r="IB3177" s="37"/>
      <c r="IC3177" s="37"/>
      <c r="ID3177" s="37"/>
      <c r="IE3177" s="37"/>
      <c r="IF3177" s="37"/>
      <c r="IG3177" s="37"/>
      <c r="IH3177" s="37"/>
      <c r="II3177" s="37"/>
      <c r="IJ3177" s="37"/>
      <c r="IK3177" s="37"/>
      <c r="IL3177" s="37"/>
      <c r="IM3177" s="37"/>
      <c r="IN3177" s="37"/>
      <c r="IO3177" s="37"/>
      <c r="IP3177" s="37"/>
      <c r="IQ3177" s="37"/>
      <c r="IR3177" s="37"/>
      <c r="IS3177" s="37"/>
      <c r="IT3177" s="37"/>
      <c r="IU3177" s="37"/>
      <c r="IV3177" s="37"/>
      <c r="IW3177" s="37"/>
      <c r="IX3177" s="37"/>
      <c r="IY3177" s="37"/>
      <c r="IZ3177" s="37"/>
      <c r="JA3177" s="37"/>
      <c r="JB3177" s="37"/>
      <c r="JC3177" s="37"/>
      <c r="JD3177" s="37"/>
      <c r="JE3177" s="37"/>
      <c r="JF3177" s="37"/>
      <c r="JG3177" s="37"/>
      <c r="JH3177" s="37"/>
      <c r="JI3177" s="37"/>
      <c r="JJ3177" s="37"/>
      <c r="JK3177" s="37"/>
      <c r="JL3177" s="37"/>
      <c r="JM3177" s="37"/>
      <c r="JN3177" s="37"/>
      <c r="JO3177" s="37"/>
      <c r="JP3177" s="37"/>
      <c r="JQ3177" s="37"/>
      <c r="JR3177" s="37"/>
      <c r="JS3177" s="37"/>
      <c r="JT3177" s="37"/>
      <c r="JU3177" s="37"/>
      <c r="JV3177" s="37"/>
      <c r="JW3177" s="37"/>
      <c r="JX3177" s="37"/>
      <c r="JY3177" s="37"/>
      <c r="JZ3177" s="37"/>
      <c r="KA3177" s="37"/>
      <c r="KB3177" s="37"/>
      <c r="KC3177" s="37"/>
      <c r="KD3177" s="37"/>
      <c r="KE3177" s="37"/>
      <c r="KF3177" s="37"/>
      <c r="KG3177" s="37"/>
      <c r="KH3177" s="37"/>
      <c r="KI3177" s="37"/>
      <c r="KJ3177" s="37"/>
      <c r="KK3177" s="37"/>
      <c r="KL3177" s="37"/>
      <c r="KM3177" s="37"/>
      <c r="KN3177" s="37"/>
      <c r="KO3177" s="37"/>
      <c r="KP3177" s="37"/>
      <c r="KQ3177" s="37"/>
      <c r="KR3177" s="37"/>
      <c r="KS3177" s="37"/>
      <c r="KT3177" s="37"/>
      <c r="KU3177" s="37"/>
      <c r="KV3177" s="37"/>
      <c r="KW3177" s="37"/>
      <c r="KX3177" s="37"/>
      <c r="KY3177" s="37"/>
      <c r="KZ3177" s="37"/>
      <c r="LA3177" s="37"/>
      <c r="LB3177" s="37"/>
      <c r="LC3177" s="37"/>
      <c r="LD3177" s="37"/>
      <c r="LE3177" s="37"/>
      <c r="LF3177" s="37"/>
      <c r="LG3177" s="37"/>
      <c r="LH3177" s="37"/>
      <c r="LI3177" s="37"/>
      <c r="LJ3177" s="37"/>
      <c r="LK3177" s="37"/>
      <c r="LL3177" s="37"/>
      <c r="LM3177" s="37"/>
      <c r="LN3177" s="37"/>
      <c r="LO3177" s="37"/>
      <c r="LP3177" s="37"/>
      <c r="LQ3177" s="37"/>
      <c r="LR3177" s="37"/>
      <c r="LS3177" s="37"/>
      <c r="LT3177" s="37"/>
      <c r="LU3177" s="37"/>
      <c r="LV3177" s="37"/>
      <c r="LW3177" s="37"/>
      <c r="LX3177" s="37"/>
      <c r="LY3177" s="37"/>
      <c r="LZ3177" s="37"/>
      <c r="MA3177" s="37"/>
      <c r="MB3177" s="37"/>
      <c r="MC3177" s="37"/>
      <c r="MD3177" s="37"/>
      <c r="ME3177" s="37"/>
      <c r="MF3177" s="37"/>
      <c r="MG3177" s="37"/>
      <c r="MH3177" s="37"/>
      <c r="MI3177" s="37"/>
      <c r="MJ3177" s="37"/>
      <c r="MK3177" s="37"/>
      <c r="ML3177" s="37"/>
      <c r="MM3177" s="37"/>
      <c r="MN3177" s="37"/>
      <c r="MO3177" s="37"/>
      <c r="MP3177" s="37"/>
      <c r="MQ3177" s="37"/>
      <c r="MR3177" s="37"/>
      <c r="MS3177" s="37"/>
      <c r="MT3177" s="37"/>
      <c r="MU3177" s="37"/>
      <c r="MV3177" s="37"/>
      <c r="MW3177" s="37"/>
      <c r="MX3177" s="37"/>
      <c r="MY3177" s="37"/>
      <c r="MZ3177" s="37"/>
      <c r="NA3177" s="37"/>
      <c r="NB3177" s="37"/>
      <c r="NC3177" s="37"/>
      <c r="ND3177" s="37"/>
      <c r="NE3177" s="37"/>
      <c r="NF3177" s="37"/>
      <c r="NG3177" s="37"/>
      <c r="NH3177" s="37"/>
      <c r="NI3177" s="37"/>
      <c r="NJ3177" s="37"/>
      <c r="NK3177" s="37"/>
      <c r="NL3177" s="37"/>
      <c r="NM3177" s="37"/>
      <c r="NN3177" s="37"/>
      <c r="NO3177" s="37"/>
      <c r="NP3177" s="37"/>
      <c r="NQ3177" s="37"/>
      <c r="NR3177" s="37"/>
      <c r="NS3177" s="37"/>
      <c r="NT3177" s="37"/>
      <c r="NU3177" s="37"/>
      <c r="NV3177" s="37"/>
      <c r="NW3177" s="37"/>
      <c r="NX3177" s="37"/>
      <c r="NY3177" s="37"/>
      <c r="NZ3177" s="37"/>
      <c r="OA3177" s="37"/>
      <c r="OB3177" s="37"/>
      <c r="OC3177" s="37"/>
      <c r="OD3177" s="37"/>
      <c r="OE3177" s="37"/>
      <c r="OF3177" s="37"/>
      <c r="OG3177" s="37"/>
      <c r="OH3177" s="37"/>
      <c r="OI3177" s="37"/>
      <c r="OJ3177" s="37"/>
      <c r="OK3177" s="37"/>
      <c r="OL3177" s="37"/>
      <c r="OM3177" s="37"/>
      <c r="ON3177" s="37"/>
      <c r="OO3177" s="37"/>
      <c r="OP3177" s="37"/>
      <c r="OQ3177" s="37"/>
      <c r="OR3177" s="37"/>
      <c r="OS3177" s="37"/>
      <c r="OT3177" s="37"/>
      <c r="OU3177" s="37"/>
      <c r="OV3177" s="37"/>
      <c r="OW3177" s="37"/>
      <c r="OX3177" s="37"/>
      <c r="OY3177" s="37"/>
      <c r="OZ3177" s="37"/>
      <c r="PA3177" s="37"/>
      <c r="PB3177" s="37"/>
      <c r="PC3177" s="37"/>
      <c r="PD3177" s="37"/>
      <c r="PE3177" s="37"/>
      <c r="PF3177" s="37"/>
      <c r="PG3177" s="37"/>
      <c r="PH3177" s="37"/>
      <c r="PI3177" s="37"/>
      <c r="PJ3177" s="37"/>
      <c r="PK3177" s="37"/>
      <c r="PL3177" s="37"/>
      <c r="PM3177" s="37"/>
      <c r="PN3177" s="37"/>
      <c r="PO3177" s="37"/>
      <c r="PP3177" s="37"/>
      <c r="PQ3177" s="37"/>
      <c r="PR3177" s="37"/>
      <c r="PS3177" s="37"/>
      <c r="PT3177" s="37"/>
      <c r="PU3177" s="37"/>
      <c r="PV3177" s="37"/>
      <c r="PW3177" s="37"/>
      <c r="PX3177" s="37"/>
      <c r="PY3177" s="37"/>
      <c r="PZ3177" s="37"/>
      <c r="QA3177" s="37"/>
      <c r="QB3177" s="37"/>
      <c r="QC3177" s="37"/>
      <c r="QD3177" s="37"/>
      <c r="QE3177" s="37"/>
      <c r="QF3177" s="37"/>
      <c r="QG3177" s="37"/>
      <c r="QH3177" s="37"/>
      <c r="QI3177" s="37"/>
      <c r="QJ3177" s="37"/>
      <c r="QK3177" s="37"/>
      <c r="QL3177" s="37"/>
      <c r="QM3177" s="37"/>
      <c r="QN3177" s="37"/>
      <c r="QO3177" s="37"/>
      <c r="QP3177" s="37"/>
      <c r="QQ3177" s="37"/>
      <c r="QR3177" s="37"/>
      <c r="QS3177" s="37"/>
      <c r="QT3177" s="37"/>
      <c r="QU3177" s="37"/>
      <c r="QV3177" s="37"/>
      <c r="QW3177" s="37"/>
      <c r="QX3177" s="37"/>
      <c r="QY3177" s="37"/>
      <c r="QZ3177" s="37"/>
      <c r="RA3177" s="37"/>
      <c r="RB3177" s="37"/>
      <c r="RC3177" s="37"/>
      <c r="RD3177" s="37"/>
      <c r="RE3177" s="37"/>
      <c r="RF3177" s="37"/>
      <c r="RG3177" s="37"/>
      <c r="RH3177" s="37"/>
      <c r="RI3177" s="37"/>
      <c r="RJ3177" s="37"/>
      <c r="RK3177" s="37"/>
      <c r="RL3177" s="37"/>
      <c r="RM3177" s="37"/>
      <c r="RN3177" s="37"/>
      <c r="RO3177" s="37"/>
      <c r="RP3177" s="37"/>
      <c r="RQ3177" s="37"/>
      <c r="RR3177" s="37"/>
      <c r="RS3177" s="37"/>
      <c r="RT3177" s="37"/>
      <c r="RU3177" s="37"/>
      <c r="RV3177" s="37"/>
      <c r="RW3177" s="37"/>
      <c r="RX3177" s="37"/>
      <c r="RY3177" s="37"/>
      <c r="RZ3177" s="37"/>
      <c r="SA3177" s="37"/>
      <c r="SB3177" s="37"/>
      <c r="SC3177" s="37"/>
      <c r="SD3177" s="37"/>
      <c r="SE3177" s="37"/>
      <c r="SF3177" s="37"/>
    </row>
    <row r="3178" spans="1:500">
      <c r="A3178" s="37"/>
      <c r="B3178" s="37"/>
      <c r="C3178" s="37"/>
      <c r="D3178" s="37"/>
      <c r="E3178" s="37"/>
      <c r="F3178" s="37"/>
      <c r="G3178" s="37"/>
      <c r="H3178" s="37"/>
      <c r="I3178" s="37"/>
      <c r="J3178" s="37"/>
      <c r="K3178" s="37"/>
      <c r="L3178" s="37"/>
      <c r="M3178" s="37"/>
      <c r="N3178" s="37"/>
      <c r="O3178" s="37"/>
      <c r="P3178" s="37"/>
      <c r="Q3178" s="37"/>
      <c r="R3178" s="37"/>
      <c r="S3178" s="37"/>
      <c r="T3178" s="37"/>
      <c r="U3178" s="37"/>
      <c r="V3178" s="37"/>
      <c r="W3178" s="37"/>
      <c r="X3178" s="37"/>
      <c r="Y3178" s="37"/>
      <c r="Z3178" s="37"/>
      <c r="AA3178" s="37"/>
      <c r="AB3178" s="37"/>
      <c r="AC3178" s="37"/>
      <c r="AD3178" s="37"/>
      <c r="AE3178" s="37"/>
      <c r="AF3178" s="37"/>
      <c r="AG3178" s="37"/>
      <c r="AH3178" s="37"/>
      <c r="AI3178" s="37"/>
      <c r="AJ3178" s="37"/>
      <c r="AK3178" s="37"/>
      <c r="AL3178" s="37"/>
      <c r="AM3178" s="37"/>
      <c r="AN3178" s="37"/>
      <c r="AO3178" s="37"/>
      <c r="AP3178" s="37"/>
      <c r="AQ3178" s="37"/>
      <c r="AR3178" s="37"/>
      <c r="AS3178" s="37"/>
      <c r="AT3178" s="37"/>
      <c r="AU3178" s="37"/>
      <c r="AV3178" s="37"/>
      <c r="AW3178" s="37"/>
      <c r="AX3178" s="37"/>
      <c r="AY3178" s="37"/>
      <c r="AZ3178" s="37"/>
      <c r="BA3178" s="37"/>
      <c r="BB3178" s="37"/>
      <c r="BC3178" s="37"/>
      <c r="BD3178" s="37"/>
      <c r="BE3178" s="37"/>
      <c r="BF3178" s="37"/>
      <c r="BG3178" s="37"/>
      <c r="BH3178" s="37"/>
      <c r="BI3178" s="37"/>
      <c r="BJ3178" s="37"/>
      <c r="BK3178" s="37"/>
      <c r="BL3178" s="37"/>
      <c r="BM3178" s="37"/>
      <c r="BN3178" s="37"/>
      <c r="BO3178" s="37"/>
      <c r="BP3178" s="37"/>
      <c r="BQ3178" s="37"/>
      <c r="BR3178" s="37"/>
      <c r="BS3178" s="37"/>
      <c r="BT3178" s="37"/>
      <c r="BU3178" s="37"/>
      <c r="BV3178" s="37"/>
      <c r="BW3178" s="37"/>
      <c r="BX3178" s="37"/>
      <c r="BY3178" s="37"/>
      <c r="BZ3178" s="37"/>
      <c r="CA3178" s="37"/>
      <c r="CB3178" s="37"/>
      <c r="CC3178" s="37"/>
      <c r="CD3178" s="37"/>
      <c r="CE3178" s="37"/>
      <c r="CF3178" s="37"/>
      <c r="CG3178" s="37"/>
      <c r="CH3178" s="37"/>
      <c r="CI3178" s="37"/>
      <c r="CJ3178" s="37"/>
      <c r="CK3178" s="37"/>
      <c r="CL3178" s="37"/>
      <c r="CM3178" s="37"/>
      <c r="CN3178" s="37"/>
      <c r="CO3178" s="37"/>
      <c r="CP3178" s="37"/>
      <c r="CQ3178" s="37"/>
      <c r="CR3178" s="37"/>
      <c r="CS3178" s="37"/>
      <c r="CT3178" s="37"/>
      <c r="CU3178" s="37"/>
      <c r="CV3178" s="37"/>
      <c r="CW3178" s="37"/>
      <c r="CX3178" s="37"/>
      <c r="CY3178" s="37"/>
      <c r="CZ3178" s="37"/>
      <c r="DA3178" s="37"/>
      <c r="DB3178" s="37"/>
      <c r="DC3178" s="37"/>
      <c r="DD3178" s="37"/>
      <c r="DE3178" s="37"/>
      <c r="DF3178" s="37"/>
      <c r="DG3178" s="37"/>
      <c r="DH3178" s="37"/>
      <c r="DI3178" s="37"/>
      <c r="DJ3178" s="37"/>
      <c r="DK3178" s="37"/>
      <c r="DL3178" s="37"/>
      <c r="DM3178" s="37"/>
      <c r="DN3178" s="37"/>
      <c r="DO3178" s="37"/>
      <c r="DP3178" s="37"/>
      <c r="DQ3178" s="37"/>
      <c r="DR3178" s="37"/>
      <c r="DS3178" s="37"/>
      <c r="DT3178" s="37"/>
      <c r="DU3178" s="37"/>
      <c r="DV3178" s="37"/>
      <c r="DW3178" s="37"/>
      <c r="DX3178" s="37"/>
      <c r="DY3178" s="37"/>
      <c r="DZ3178" s="37"/>
      <c r="EA3178" s="37"/>
      <c r="EB3178" s="37"/>
      <c r="EC3178" s="37"/>
      <c r="ED3178" s="37"/>
      <c r="EE3178" s="37"/>
      <c r="EF3178" s="37"/>
      <c r="EG3178" s="37"/>
      <c r="EH3178" s="37"/>
      <c r="EI3178" s="37"/>
      <c r="EJ3178" s="37"/>
      <c r="EK3178" s="37"/>
      <c r="EL3178" s="37"/>
      <c r="EM3178" s="37"/>
      <c r="EN3178" s="37"/>
      <c r="EO3178" s="37"/>
      <c r="EP3178" s="37"/>
      <c r="EQ3178" s="37"/>
      <c r="ER3178" s="37"/>
      <c r="ES3178" s="37"/>
      <c r="ET3178" s="37"/>
      <c r="EU3178" s="37"/>
      <c r="EV3178" s="37"/>
      <c r="EW3178" s="37"/>
      <c r="EX3178" s="37"/>
      <c r="EY3178" s="37"/>
      <c r="EZ3178" s="37"/>
      <c r="FA3178" s="37"/>
      <c r="FB3178" s="37"/>
      <c r="FC3178" s="37"/>
      <c r="FD3178" s="37"/>
      <c r="FE3178" s="37"/>
      <c r="FF3178" s="37"/>
      <c r="FG3178" s="37"/>
      <c r="FH3178" s="37"/>
      <c r="FI3178" s="37"/>
      <c r="FJ3178" s="37"/>
      <c r="FK3178" s="37"/>
      <c r="FL3178" s="37"/>
      <c r="FM3178" s="37"/>
      <c r="FN3178" s="37"/>
      <c r="FO3178" s="37"/>
      <c r="FP3178" s="37"/>
      <c r="FQ3178" s="37"/>
      <c r="FR3178" s="37"/>
      <c r="FS3178" s="37"/>
      <c r="FT3178" s="37"/>
      <c r="FU3178" s="37"/>
      <c r="FV3178" s="37"/>
      <c r="FW3178" s="37"/>
      <c r="FX3178" s="37"/>
      <c r="FY3178" s="37"/>
      <c r="FZ3178" s="37"/>
      <c r="GA3178" s="37"/>
      <c r="GB3178" s="37"/>
      <c r="GC3178" s="37"/>
      <c r="GD3178" s="37"/>
      <c r="GE3178" s="37"/>
      <c r="GF3178" s="37"/>
      <c r="GG3178" s="37"/>
      <c r="GH3178" s="37"/>
      <c r="GI3178" s="37"/>
      <c r="GJ3178" s="37"/>
      <c r="GK3178" s="37"/>
      <c r="GL3178" s="37"/>
      <c r="GM3178" s="37"/>
      <c r="GN3178" s="37"/>
      <c r="GO3178" s="37"/>
      <c r="GP3178" s="37"/>
      <c r="GQ3178" s="37"/>
      <c r="GR3178" s="37"/>
      <c r="GS3178" s="37"/>
      <c r="GT3178" s="37"/>
      <c r="GU3178" s="37"/>
      <c r="GV3178" s="37"/>
      <c r="GW3178" s="37"/>
      <c r="GX3178" s="37"/>
      <c r="GY3178" s="37"/>
      <c r="GZ3178" s="37"/>
      <c r="HA3178" s="37"/>
      <c r="HB3178" s="37"/>
      <c r="HC3178" s="37"/>
      <c r="HD3178" s="37"/>
      <c r="HE3178" s="37"/>
      <c r="HF3178" s="37"/>
      <c r="HG3178" s="37"/>
      <c r="HH3178" s="37"/>
      <c r="HI3178" s="37"/>
      <c r="HJ3178" s="37"/>
      <c r="HK3178" s="37"/>
      <c r="HL3178" s="37"/>
      <c r="HM3178" s="37"/>
      <c r="HN3178" s="37"/>
      <c r="HO3178" s="37"/>
      <c r="HP3178" s="37"/>
      <c r="HQ3178" s="37"/>
      <c r="HR3178" s="37"/>
      <c r="HS3178" s="37"/>
      <c r="HT3178" s="37"/>
      <c r="HU3178" s="37"/>
      <c r="HV3178" s="37"/>
      <c r="HW3178" s="37"/>
      <c r="HX3178" s="37"/>
      <c r="HY3178" s="37"/>
      <c r="HZ3178" s="37"/>
      <c r="IA3178" s="37"/>
      <c r="IB3178" s="37"/>
      <c r="IC3178" s="37"/>
      <c r="ID3178" s="37"/>
      <c r="IE3178" s="37"/>
      <c r="IF3178" s="37"/>
      <c r="IG3178" s="37"/>
      <c r="IH3178" s="37"/>
      <c r="II3178" s="37"/>
      <c r="IJ3178" s="37"/>
      <c r="IK3178" s="37"/>
      <c r="IL3178" s="37"/>
      <c r="IM3178" s="37"/>
      <c r="IN3178" s="37"/>
      <c r="IO3178" s="37"/>
      <c r="IP3178" s="37"/>
      <c r="IQ3178" s="37"/>
      <c r="IR3178" s="37"/>
      <c r="IS3178" s="37"/>
      <c r="IT3178" s="37"/>
      <c r="IU3178" s="37"/>
      <c r="IV3178" s="37"/>
      <c r="IW3178" s="37"/>
      <c r="IX3178" s="37"/>
      <c r="IY3178" s="37"/>
      <c r="IZ3178" s="37"/>
      <c r="JA3178" s="37"/>
      <c r="JB3178" s="37"/>
      <c r="JC3178" s="37"/>
      <c r="JD3178" s="37"/>
      <c r="JE3178" s="37"/>
      <c r="JF3178" s="37"/>
      <c r="JG3178" s="37"/>
      <c r="JH3178" s="37"/>
      <c r="JI3178" s="37"/>
      <c r="JJ3178" s="37"/>
      <c r="JK3178" s="37"/>
      <c r="JL3178" s="37"/>
      <c r="JM3178" s="37"/>
      <c r="JN3178" s="37"/>
      <c r="JO3178" s="37"/>
      <c r="JP3178" s="37"/>
      <c r="JQ3178" s="37"/>
      <c r="JR3178" s="37"/>
      <c r="JS3178" s="37"/>
      <c r="JT3178" s="37"/>
      <c r="JU3178" s="37"/>
      <c r="JV3178" s="37"/>
      <c r="JW3178" s="37"/>
      <c r="JX3178" s="37"/>
      <c r="JY3178" s="37"/>
      <c r="JZ3178" s="37"/>
      <c r="KA3178" s="37"/>
      <c r="KB3178" s="37"/>
      <c r="KC3178" s="37"/>
      <c r="KD3178" s="37"/>
      <c r="KE3178" s="37"/>
      <c r="KF3178" s="37"/>
      <c r="KG3178" s="37"/>
      <c r="KH3178" s="37"/>
      <c r="KI3178" s="37"/>
      <c r="KJ3178" s="37"/>
      <c r="KK3178" s="37"/>
      <c r="KL3178" s="37"/>
      <c r="KM3178" s="37"/>
      <c r="KN3178" s="37"/>
      <c r="KO3178" s="37"/>
      <c r="KP3178" s="37"/>
      <c r="KQ3178" s="37"/>
      <c r="KR3178" s="37"/>
      <c r="KS3178" s="37"/>
      <c r="KT3178" s="37"/>
      <c r="KU3178" s="37"/>
      <c r="KV3178" s="37"/>
      <c r="KW3178" s="37"/>
      <c r="KX3178" s="37"/>
      <c r="KY3178" s="37"/>
      <c r="KZ3178" s="37"/>
      <c r="LA3178" s="37"/>
      <c r="LB3178" s="37"/>
      <c r="LC3178" s="37"/>
      <c r="LD3178" s="37"/>
      <c r="LE3178" s="37"/>
      <c r="LF3178" s="37"/>
      <c r="LG3178" s="37"/>
      <c r="LH3178" s="37"/>
      <c r="LI3178" s="37"/>
      <c r="LJ3178" s="37"/>
      <c r="LK3178" s="37"/>
      <c r="LL3178" s="37"/>
      <c r="LM3178" s="37"/>
      <c r="LN3178" s="37"/>
      <c r="LO3178" s="37"/>
      <c r="LP3178" s="37"/>
      <c r="LQ3178" s="37"/>
      <c r="LR3178" s="37"/>
      <c r="LS3178" s="37"/>
      <c r="LT3178" s="37"/>
      <c r="LU3178" s="37"/>
      <c r="LV3178" s="37"/>
      <c r="LW3178" s="37"/>
      <c r="LX3178" s="37"/>
      <c r="LY3178" s="37"/>
      <c r="LZ3178" s="37"/>
      <c r="MA3178" s="37"/>
      <c r="MB3178" s="37"/>
      <c r="MC3178" s="37"/>
      <c r="MD3178" s="37"/>
      <c r="ME3178" s="37"/>
      <c r="MF3178" s="37"/>
      <c r="MG3178" s="37"/>
      <c r="MH3178" s="37"/>
      <c r="MI3178" s="37"/>
      <c r="MJ3178" s="37"/>
      <c r="MK3178" s="37"/>
      <c r="ML3178" s="37"/>
      <c r="MM3178" s="37"/>
      <c r="MN3178" s="37"/>
      <c r="MO3178" s="37"/>
      <c r="MP3178" s="37"/>
      <c r="MQ3178" s="37"/>
      <c r="MR3178" s="37"/>
      <c r="MS3178" s="37"/>
      <c r="MT3178" s="37"/>
      <c r="MU3178" s="37"/>
      <c r="MV3178" s="37"/>
      <c r="MW3178" s="37"/>
      <c r="MX3178" s="37"/>
      <c r="MY3178" s="37"/>
      <c r="MZ3178" s="37"/>
      <c r="NA3178" s="37"/>
      <c r="NB3178" s="37"/>
      <c r="NC3178" s="37"/>
      <c r="ND3178" s="37"/>
      <c r="NE3178" s="37"/>
      <c r="NF3178" s="37"/>
      <c r="NG3178" s="37"/>
      <c r="NH3178" s="37"/>
      <c r="NI3178" s="37"/>
      <c r="NJ3178" s="37"/>
      <c r="NK3178" s="37"/>
      <c r="NL3178" s="37"/>
      <c r="NM3178" s="37"/>
      <c r="NN3178" s="37"/>
      <c r="NO3178" s="37"/>
      <c r="NP3178" s="37"/>
      <c r="NQ3178" s="37"/>
      <c r="NR3178" s="37"/>
      <c r="NS3178" s="37"/>
      <c r="NT3178" s="37"/>
      <c r="NU3178" s="37"/>
      <c r="NV3178" s="37"/>
      <c r="NW3178" s="37"/>
      <c r="NX3178" s="37"/>
      <c r="NY3178" s="37"/>
      <c r="NZ3178" s="37"/>
      <c r="OA3178" s="37"/>
      <c r="OB3178" s="37"/>
      <c r="OC3178" s="37"/>
      <c r="OD3178" s="37"/>
      <c r="OE3178" s="37"/>
      <c r="OF3178" s="37"/>
      <c r="OG3178" s="37"/>
      <c r="OH3178" s="37"/>
      <c r="OI3178" s="37"/>
      <c r="OJ3178" s="37"/>
      <c r="OK3178" s="37"/>
      <c r="OL3178" s="37"/>
      <c r="OM3178" s="37"/>
      <c r="ON3178" s="37"/>
      <c r="OO3178" s="37"/>
      <c r="OP3178" s="37"/>
      <c r="OQ3178" s="37"/>
      <c r="OR3178" s="37"/>
      <c r="OS3178" s="37"/>
      <c r="OT3178" s="37"/>
      <c r="OU3178" s="37"/>
      <c r="OV3178" s="37"/>
      <c r="OW3178" s="37"/>
      <c r="OX3178" s="37"/>
      <c r="OY3178" s="37"/>
      <c r="OZ3178" s="37"/>
      <c r="PA3178" s="37"/>
      <c r="PB3178" s="37"/>
      <c r="PC3178" s="37"/>
      <c r="PD3178" s="37"/>
      <c r="PE3178" s="37"/>
      <c r="PF3178" s="37"/>
      <c r="PG3178" s="37"/>
      <c r="PH3178" s="37"/>
      <c r="PI3178" s="37"/>
      <c r="PJ3178" s="37"/>
      <c r="PK3178" s="37"/>
      <c r="PL3178" s="37"/>
      <c r="PM3178" s="37"/>
      <c r="PN3178" s="37"/>
      <c r="PO3178" s="37"/>
      <c r="PP3178" s="37"/>
      <c r="PQ3178" s="37"/>
      <c r="PR3178" s="37"/>
      <c r="PS3178" s="37"/>
      <c r="PT3178" s="37"/>
      <c r="PU3178" s="37"/>
      <c r="PV3178" s="37"/>
      <c r="PW3178" s="37"/>
      <c r="PX3178" s="37"/>
      <c r="PY3178" s="37"/>
      <c r="PZ3178" s="37"/>
      <c r="QA3178" s="37"/>
      <c r="QB3178" s="37"/>
      <c r="QC3178" s="37"/>
      <c r="QD3178" s="37"/>
      <c r="QE3178" s="37"/>
      <c r="QF3178" s="37"/>
      <c r="QG3178" s="37"/>
      <c r="QH3178" s="37"/>
      <c r="QI3178" s="37"/>
      <c r="QJ3178" s="37"/>
      <c r="QK3178" s="37"/>
      <c r="QL3178" s="37"/>
      <c r="QM3178" s="37"/>
      <c r="QN3178" s="37"/>
      <c r="QO3178" s="37"/>
      <c r="QP3178" s="37"/>
      <c r="QQ3178" s="37"/>
      <c r="QR3178" s="37"/>
      <c r="QS3178" s="37"/>
      <c r="QT3178" s="37"/>
      <c r="QU3178" s="37"/>
      <c r="QV3178" s="37"/>
      <c r="QW3178" s="37"/>
      <c r="QX3178" s="37"/>
      <c r="QY3178" s="37"/>
      <c r="QZ3178" s="37"/>
      <c r="RA3178" s="37"/>
      <c r="RB3178" s="37"/>
      <c r="RC3178" s="37"/>
      <c r="RD3178" s="37"/>
      <c r="RE3178" s="37"/>
      <c r="RF3178" s="37"/>
      <c r="RG3178" s="37"/>
      <c r="RH3178" s="37"/>
      <c r="RI3178" s="37"/>
      <c r="RJ3178" s="37"/>
      <c r="RK3178" s="37"/>
      <c r="RL3178" s="37"/>
      <c r="RM3178" s="37"/>
      <c r="RN3178" s="37"/>
      <c r="RO3178" s="37"/>
      <c r="RP3178" s="37"/>
      <c r="RQ3178" s="37"/>
      <c r="RR3178" s="37"/>
      <c r="RS3178" s="37"/>
      <c r="RT3178" s="37"/>
      <c r="RU3178" s="37"/>
      <c r="RV3178" s="37"/>
      <c r="RW3178" s="37"/>
      <c r="RX3178" s="37"/>
      <c r="RY3178" s="37"/>
      <c r="RZ3178" s="37"/>
      <c r="SA3178" s="37"/>
      <c r="SB3178" s="37"/>
      <c r="SC3178" s="37"/>
      <c r="SD3178" s="37"/>
      <c r="SE3178" s="37"/>
      <c r="SF3178" s="37"/>
    </row>
    <row r="3179" spans="1:500">
      <c r="A3179" s="37"/>
      <c r="B3179" s="37"/>
      <c r="C3179" s="37"/>
      <c r="D3179" s="37"/>
      <c r="E3179" s="37"/>
      <c r="F3179" s="37"/>
      <c r="G3179" s="37"/>
      <c r="H3179" s="37"/>
      <c r="I3179" s="37"/>
      <c r="J3179" s="37"/>
      <c r="K3179" s="37"/>
      <c r="L3179" s="37"/>
      <c r="M3179" s="37"/>
      <c r="N3179" s="37"/>
      <c r="O3179" s="37"/>
      <c r="P3179" s="37"/>
      <c r="Q3179" s="37"/>
      <c r="R3179" s="37"/>
      <c r="S3179" s="37"/>
      <c r="T3179" s="37"/>
      <c r="U3179" s="37"/>
      <c r="V3179" s="37"/>
      <c r="W3179" s="37"/>
      <c r="X3179" s="37"/>
      <c r="Y3179" s="37"/>
      <c r="Z3179" s="37"/>
      <c r="AA3179" s="37"/>
      <c r="AB3179" s="37"/>
      <c r="AC3179" s="37"/>
      <c r="AD3179" s="37"/>
      <c r="AE3179" s="37"/>
      <c r="AF3179" s="37"/>
      <c r="AG3179" s="37"/>
      <c r="AH3179" s="37"/>
      <c r="AI3179" s="37"/>
      <c r="AJ3179" s="37"/>
      <c r="AK3179" s="37"/>
      <c r="AL3179" s="37"/>
      <c r="AM3179" s="37"/>
      <c r="AN3179" s="37"/>
      <c r="AO3179" s="37"/>
      <c r="AP3179" s="37"/>
      <c r="AQ3179" s="37"/>
      <c r="AR3179" s="37"/>
      <c r="AS3179" s="37"/>
      <c r="AT3179" s="37"/>
      <c r="AU3179" s="37"/>
      <c r="AV3179" s="37"/>
      <c r="AW3179" s="37"/>
      <c r="AX3179" s="37"/>
      <c r="AY3179" s="37"/>
      <c r="AZ3179" s="37"/>
      <c r="BA3179" s="37"/>
      <c r="BB3179" s="37"/>
      <c r="BC3179" s="37"/>
      <c r="BD3179" s="37"/>
      <c r="BE3179" s="37"/>
      <c r="BF3179" s="37"/>
      <c r="BG3179" s="37"/>
      <c r="BH3179" s="37"/>
      <c r="BI3179" s="37"/>
      <c r="BJ3179" s="37"/>
      <c r="BK3179" s="37"/>
      <c r="BL3179" s="37"/>
      <c r="BM3179" s="37"/>
      <c r="BN3179" s="37"/>
      <c r="BO3179" s="37"/>
      <c r="BP3179" s="37"/>
      <c r="BQ3179" s="37"/>
      <c r="BR3179" s="37"/>
      <c r="BS3179" s="37"/>
      <c r="BT3179" s="37"/>
      <c r="BU3179" s="37"/>
      <c r="BV3179" s="37"/>
      <c r="BW3179" s="37"/>
      <c r="BX3179" s="37"/>
      <c r="BY3179" s="37"/>
      <c r="BZ3179" s="37"/>
      <c r="CA3179" s="37"/>
      <c r="CB3179" s="37"/>
      <c r="CC3179" s="37"/>
      <c r="CD3179" s="37"/>
      <c r="CE3179" s="37"/>
      <c r="CF3179" s="37"/>
      <c r="CG3179" s="37"/>
      <c r="CH3179" s="37"/>
      <c r="CI3179" s="37"/>
      <c r="CJ3179" s="37"/>
      <c r="CK3179" s="37"/>
      <c r="CL3179" s="37"/>
      <c r="CM3179" s="37"/>
      <c r="CN3179" s="37"/>
      <c r="CO3179" s="37"/>
      <c r="CP3179" s="37"/>
      <c r="CQ3179" s="37"/>
      <c r="CR3179" s="37"/>
      <c r="CS3179" s="37"/>
      <c r="CT3179" s="37"/>
      <c r="CU3179" s="37"/>
      <c r="CV3179" s="37"/>
      <c r="CW3179" s="37"/>
      <c r="CX3179" s="37"/>
      <c r="CY3179" s="37"/>
      <c r="CZ3179" s="37"/>
      <c r="DA3179" s="37"/>
      <c r="DB3179" s="37"/>
      <c r="DC3179" s="37"/>
      <c r="DD3179" s="37"/>
      <c r="DE3179" s="37"/>
      <c r="DF3179" s="37"/>
      <c r="DG3179" s="37"/>
      <c r="DH3179" s="37"/>
      <c r="DI3179" s="37"/>
      <c r="DJ3179" s="37"/>
      <c r="DK3179" s="37"/>
      <c r="DL3179" s="37"/>
      <c r="DM3179" s="37"/>
      <c r="DN3179" s="37"/>
      <c r="DO3179" s="37"/>
      <c r="DP3179" s="37"/>
      <c r="DQ3179" s="37"/>
      <c r="DR3179" s="37"/>
      <c r="DS3179" s="37"/>
      <c r="DT3179" s="37"/>
      <c r="DU3179" s="37"/>
      <c r="DV3179" s="37"/>
      <c r="DW3179" s="37"/>
      <c r="DX3179" s="37"/>
      <c r="DY3179" s="37"/>
      <c r="DZ3179" s="37"/>
      <c r="EA3179" s="37"/>
      <c r="EB3179" s="37"/>
      <c r="EC3179" s="37"/>
      <c r="ED3179" s="37"/>
      <c r="EE3179" s="37"/>
      <c r="EF3179" s="37"/>
      <c r="EG3179" s="37"/>
      <c r="EH3179" s="37"/>
      <c r="EI3179" s="37"/>
      <c r="EJ3179" s="37"/>
      <c r="EK3179" s="37"/>
      <c r="EL3179" s="37"/>
      <c r="EM3179" s="37"/>
      <c r="EN3179" s="37"/>
      <c r="EO3179" s="37"/>
      <c r="EP3179" s="37"/>
      <c r="EQ3179" s="37"/>
      <c r="ER3179" s="37"/>
      <c r="ES3179" s="37"/>
      <c r="ET3179" s="37"/>
      <c r="EU3179" s="37"/>
      <c r="EV3179" s="37"/>
      <c r="EW3179" s="37"/>
      <c r="EX3179" s="37"/>
      <c r="EY3179" s="37"/>
      <c r="EZ3179" s="37"/>
      <c r="FA3179" s="37"/>
      <c r="FB3179" s="37"/>
      <c r="FC3179" s="37"/>
      <c r="FD3179" s="37"/>
      <c r="FE3179" s="37"/>
      <c r="FF3179" s="37"/>
      <c r="FG3179" s="37"/>
      <c r="FH3179" s="37"/>
      <c r="FI3179" s="37"/>
      <c r="FJ3179" s="37"/>
      <c r="FK3179" s="37"/>
      <c r="FL3179" s="37"/>
      <c r="FM3179" s="37"/>
      <c r="FN3179" s="37"/>
      <c r="FO3179" s="37"/>
      <c r="FP3179" s="37"/>
      <c r="FQ3179" s="37"/>
      <c r="FR3179" s="37"/>
      <c r="FS3179" s="37"/>
      <c r="FT3179" s="37"/>
      <c r="FU3179" s="37"/>
      <c r="FV3179" s="37"/>
      <c r="FW3179" s="37"/>
      <c r="FX3179" s="37"/>
      <c r="FY3179" s="37"/>
      <c r="FZ3179" s="37"/>
      <c r="GA3179" s="37"/>
      <c r="GB3179" s="37"/>
      <c r="GC3179" s="37"/>
      <c r="GD3179" s="37"/>
      <c r="GE3179" s="37"/>
      <c r="GF3179" s="37"/>
      <c r="GG3179" s="37"/>
      <c r="GH3179" s="37"/>
      <c r="GI3179" s="37"/>
      <c r="GJ3179" s="37"/>
      <c r="GK3179" s="37"/>
      <c r="GL3179" s="37"/>
      <c r="GM3179" s="37"/>
      <c r="GN3179" s="37"/>
      <c r="GO3179" s="37"/>
      <c r="GP3179" s="37"/>
      <c r="GQ3179" s="37"/>
      <c r="GR3179" s="37"/>
      <c r="GS3179" s="37"/>
      <c r="GT3179" s="37"/>
      <c r="GU3179" s="37"/>
      <c r="GV3179" s="37"/>
      <c r="GW3179" s="37"/>
      <c r="GX3179" s="37"/>
      <c r="GY3179" s="37"/>
      <c r="GZ3179" s="37"/>
      <c r="HA3179" s="37"/>
      <c r="HB3179" s="37"/>
      <c r="HC3179" s="37"/>
      <c r="HD3179" s="37"/>
      <c r="HE3179" s="37"/>
      <c r="HF3179" s="37"/>
      <c r="HG3179" s="37"/>
      <c r="HH3179" s="37"/>
      <c r="HI3179" s="37"/>
      <c r="HJ3179" s="37"/>
      <c r="HK3179" s="37"/>
      <c r="HL3179" s="37"/>
      <c r="HM3179" s="37"/>
      <c r="HN3179" s="37"/>
      <c r="HO3179" s="37"/>
      <c r="HP3179" s="37"/>
      <c r="HQ3179" s="37"/>
      <c r="HR3179" s="37"/>
      <c r="HS3179" s="37"/>
      <c r="HT3179" s="37"/>
      <c r="HU3179" s="37"/>
      <c r="HV3179" s="37"/>
      <c r="HW3179" s="37"/>
      <c r="HX3179" s="37"/>
      <c r="HY3179" s="37"/>
      <c r="HZ3179" s="37"/>
      <c r="IA3179" s="37"/>
      <c r="IB3179" s="37"/>
      <c r="IC3179" s="37"/>
      <c r="ID3179" s="37"/>
      <c r="IE3179" s="37"/>
      <c r="IF3179" s="37"/>
      <c r="IG3179" s="37"/>
      <c r="IH3179" s="37"/>
      <c r="II3179" s="37"/>
      <c r="IJ3179" s="37"/>
      <c r="IK3179" s="37"/>
      <c r="IL3179" s="37"/>
      <c r="IM3179" s="37"/>
      <c r="IN3179" s="37"/>
      <c r="IO3179" s="37"/>
      <c r="IP3179" s="37"/>
      <c r="IQ3179" s="37"/>
      <c r="IR3179" s="37"/>
      <c r="IS3179" s="37"/>
      <c r="IT3179" s="37"/>
      <c r="IU3179" s="37"/>
      <c r="IV3179" s="37"/>
      <c r="IW3179" s="37"/>
      <c r="IX3179" s="37"/>
      <c r="IY3179" s="37"/>
      <c r="IZ3179" s="37"/>
      <c r="JA3179" s="37"/>
      <c r="JB3179" s="37"/>
      <c r="JC3179" s="37"/>
      <c r="JD3179" s="37"/>
      <c r="JE3179" s="37"/>
      <c r="JF3179" s="37"/>
      <c r="JG3179" s="37"/>
      <c r="JH3179" s="37"/>
      <c r="JI3179" s="37"/>
      <c r="JJ3179" s="37"/>
      <c r="JK3179" s="37"/>
      <c r="JL3179" s="37"/>
      <c r="JM3179" s="37"/>
      <c r="JN3179" s="37"/>
      <c r="JO3179" s="37"/>
      <c r="JP3179" s="37"/>
      <c r="JQ3179" s="37"/>
      <c r="JR3179" s="37"/>
      <c r="JS3179" s="37"/>
      <c r="JT3179" s="37"/>
      <c r="JU3179" s="37"/>
      <c r="JV3179" s="37"/>
      <c r="JW3179" s="37"/>
      <c r="JX3179" s="37"/>
      <c r="JY3179" s="37"/>
      <c r="JZ3179" s="37"/>
      <c r="KA3179" s="37"/>
      <c r="KB3179" s="37"/>
      <c r="KC3179" s="37"/>
      <c r="KD3179" s="37"/>
      <c r="KE3179" s="37"/>
      <c r="KF3179" s="37"/>
      <c r="KG3179" s="37"/>
      <c r="KH3179" s="37"/>
      <c r="KI3179" s="37"/>
      <c r="KJ3179" s="37"/>
      <c r="KK3179" s="37"/>
      <c r="KL3179" s="37"/>
      <c r="KM3179" s="37"/>
      <c r="KN3179" s="37"/>
      <c r="KO3179" s="37"/>
      <c r="KP3179" s="37"/>
      <c r="KQ3179" s="37"/>
      <c r="KR3179" s="37"/>
      <c r="KS3179" s="37"/>
      <c r="KT3179" s="37"/>
      <c r="KU3179" s="37"/>
      <c r="KV3179" s="37"/>
      <c r="KW3179" s="37"/>
      <c r="KX3179" s="37"/>
      <c r="KY3179" s="37"/>
      <c r="KZ3179" s="37"/>
      <c r="LA3179" s="37"/>
      <c r="LB3179" s="37"/>
      <c r="LC3179" s="37"/>
      <c r="LD3179" s="37"/>
      <c r="LE3179" s="37"/>
      <c r="LF3179" s="37"/>
      <c r="LG3179" s="37"/>
      <c r="LH3179" s="37"/>
      <c r="LI3179" s="37"/>
      <c r="LJ3179" s="37"/>
      <c r="LK3179" s="37"/>
      <c r="LL3179" s="37"/>
      <c r="LM3179" s="37"/>
      <c r="LN3179" s="37"/>
      <c r="LO3179" s="37"/>
      <c r="LP3179" s="37"/>
      <c r="LQ3179" s="37"/>
      <c r="LR3179" s="37"/>
      <c r="LS3179" s="37"/>
      <c r="LT3179" s="37"/>
      <c r="LU3179" s="37"/>
      <c r="LV3179" s="37"/>
      <c r="LW3179" s="37"/>
      <c r="LX3179" s="37"/>
      <c r="LY3179" s="37"/>
      <c r="LZ3179" s="37"/>
      <c r="MA3179" s="37"/>
      <c r="MB3179" s="37"/>
      <c r="MC3179" s="37"/>
      <c r="MD3179" s="37"/>
      <c r="ME3179" s="37"/>
      <c r="MF3179" s="37"/>
      <c r="MG3179" s="37"/>
      <c r="MH3179" s="37"/>
      <c r="MI3179" s="37"/>
      <c r="MJ3179" s="37"/>
      <c r="MK3179" s="37"/>
      <c r="ML3179" s="37"/>
      <c r="MM3179" s="37"/>
      <c r="MN3179" s="37"/>
      <c r="MO3179" s="37"/>
      <c r="MP3179" s="37"/>
      <c r="MQ3179" s="37"/>
      <c r="MR3179" s="37"/>
      <c r="MS3179" s="37"/>
      <c r="MT3179" s="37"/>
      <c r="MU3179" s="37"/>
      <c r="MV3179" s="37"/>
      <c r="MW3179" s="37"/>
      <c r="MX3179" s="37"/>
      <c r="MY3179" s="37"/>
      <c r="MZ3179" s="37"/>
      <c r="NA3179" s="37"/>
      <c r="NB3179" s="37"/>
      <c r="NC3179" s="37"/>
      <c r="ND3179" s="37"/>
      <c r="NE3179" s="37"/>
      <c r="NF3179" s="37"/>
      <c r="NG3179" s="37"/>
      <c r="NH3179" s="37"/>
      <c r="NI3179" s="37"/>
      <c r="NJ3179" s="37"/>
      <c r="NK3179" s="37"/>
      <c r="NL3179" s="37"/>
      <c r="NM3179" s="37"/>
      <c r="NN3179" s="37"/>
      <c r="NO3179" s="37"/>
      <c r="NP3179" s="37"/>
      <c r="NQ3179" s="37"/>
      <c r="NR3179" s="37"/>
      <c r="NS3179" s="37"/>
      <c r="NT3179" s="37"/>
      <c r="NU3179" s="37"/>
      <c r="NV3179" s="37"/>
      <c r="NW3179" s="37"/>
      <c r="NX3179" s="37"/>
      <c r="NY3179" s="37"/>
      <c r="NZ3179" s="37"/>
      <c r="OA3179" s="37"/>
      <c r="OB3179" s="37"/>
      <c r="OC3179" s="37"/>
      <c r="OD3179" s="37"/>
      <c r="OE3179" s="37"/>
      <c r="OF3179" s="37"/>
      <c r="OG3179" s="37"/>
      <c r="OH3179" s="37"/>
      <c r="OI3179" s="37"/>
      <c r="OJ3179" s="37"/>
      <c r="OK3179" s="37"/>
      <c r="OL3179" s="37"/>
      <c r="OM3179" s="37"/>
      <c r="ON3179" s="37"/>
      <c r="OO3179" s="37"/>
      <c r="OP3179" s="37"/>
      <c r="OQ3179" s="37"/>
      <c r="OR3179" s="37"/>
      <c r="OS3179" s="37"/>
      <c r="OT3179" s="37"/>
      <c r="OU3179" s="37"/>
      <c r="OV3179" s="37"/>
      <c r="OW3179" s="37"/>
      <c r="OX3179" s="37"/>
      <c r="OY3179" s="37"/>
      <c r="OZ3179" s="37"/>
      <c r="PA3179" s="37"/>
      <c r="PB3179" s="37"/>
      <c r="PC3179" s="37"/>
      <c r="PD3179" s="37"/>
      <c r="PE3179" s="37"/>
      <c r="PF3179" s="37"/>
      <c r="PG3179" s="37"/>
      <c r="PH3179" s="37"/>
      <c r="PI3179" s="37"/>
      <c r="PJ3179" s="37"/>
      <c r="PK3179" s="37"/>
      <c r="PL3179" s="37"/>
      <c r="PM3179" s="37"/>
      <c r="PN3179" s="37"/>
      <c r="PO3179" s="37"/>
      <c r="PP3179" s="37"/>
      <c r="PQ3179" s="37"/>
      <c r="PR3179" s="37"/>
      <c r="PS3179" s="37"/>
      <c r="PT3179" s="37"/>
      <c r="PU3179" s="37"/>
      <c r="PV3179" s="37"/>
      <c r="PW3179" s="37"/>
      <c r="PX3179" s="37"/>
      <c r="PY3179" s="37"/>
      <c r="PZ3179" s="37"/>
      <c r="QA3179" s="37"/>
      <c r="QB3179" s="37"/>
      <c r="QC3179" s="37"/>
      <c r="QD3179" s="37"/>
      <c r="QE3179" s="37"/>
      <c r="QF3179" s="37"/>
      <c r="QG3179" s="37"/>
      <c r="QH3179" s="37"/>
      <c r="QI3179" s="37"/>
      <c r="QJ3179" s="37"/>
      <c r="QK3179" s="37"/>
      <c r="QL3179" s="37"/>
      <c r="QM3179" s="37"/>
      <c r="QN3179" s="37"/>
      <c r="QO3179" s="37"/>
      <c r="QP3179" s="37"/>
      <c r="QQ3179" s="37"/>
      <c r="QR3179" s="37"/>
      <c r="QS3179" s="37"/>
      <c r="QT3179" s="37"/>
      <c r="QU3179" s="37"/>
      <c r="QV3179" s="37"/>
      <c r="QW3179" s="37"/>
      <c r="QX3179" s="37"/>
      <c r="QY3179" s="37"/>
      <c r="QZ3179" s="37"/>
      <c r="RA3179" s="37"/>
      <c r="RB3179" s="37"/>
      <c r="RC3179" s="37"/>
      <c r="RD3179" s="37"/>
      <c r="RE3179" s="37"/>
      <c r="RF3179" s="37"/>
      <c r="RG3179" s="37"/>
      <c r="RH3179" s="37"/>
      <c r="RI3179" s="37"/>
      <c r="RJ3179" s="37"/>
      <c r="RK3179" s="37"/>
      <c r="RL3179" s="37"/>
      <c r="RM3179" s="37"/>
      <c r="RN3179" s="37"/>
      <c r="RO3179" s="37"/>
      <c r="RP3179" s="37"/>
      <c r="RQ3179" s="37"/>
      <c r="RR3179" s="37"/>
      <c r="RS3179" s="37"/>
      <c r="RT3179" s="37"/>
      <c r="RU3179" s="37"/>
      <c r="RV3179" s="37"/>
      <c r="RW3179" s="37"/>
      <c r="RX3179" s="37"/>
      <c r="RY3179" s="37"/>
      <c r="RZ3179" s="37"/>
      <c r="SA3179" s="37"/>
      <c r="SB3179" s="37"/>
      <c r="SC3179" s="37"/>
      <c r="SD3179" s="37"/>
      <c r="SE3179" s="37"/>
      <c r="SF3179" s="37"/>
    </row>
    <row r="3180" spans="1:500">
      <c r="A3180" s="37"/>
      <c r="B3180" s="37"/>
      <c r="C3180" s="37"/>
      <c r="D3180" s="37"/>
      <c r="E3180" s="37"/>
      <c r="F3180" s="37"/>
      <c r="G3180" s="37"/>
      <c r="H3180" s="37"/>
      <c r="I3180" s="37"/>
      <c r="J3180" s="37"/>
      <c r="K3180" s="37"/>
      <c r="L3180" s="37"/>
      <c r="M3180" s="37"/>
      <c r="N3180" s="37"/>
      <c r="O3180" s="37"/>
      <c r="P3180" s="37"/>
      <c r="Q3180" s="37"/>
      <c r="R3180" s="37"/>
      <c r="S3180" s="37"/>
      <c r="T3180" s="37"/>
      <c r="U3180" s="37"/>
      <c r="V3180" s="37"/>
      <c r="W3180" s="37"/>
      <c r="X3180" s="37"/>
      <c r="Y3180" s="37"/>
      <c r="Z3180" s="37"/>
      <c r="AA3180" s="37"/>
      <c r="AB3180" s="37"/>
      <c r="AC3180" s="37"/>
      <c r="AD3180" s="37"/>
      <c r="AE3180" s="37"/>
      <c r="AF3180" s="37"/>
      <c r="AG3180" s="37"/>
      <c r="AH3180" s="37"/>
      <c r="AI3180" s="37"/>
      <c r="AJ3180" s="37"/>
      <c r="AK3180" s="37"/>
      <c r="AL3180" s="37"/>
      <c r="AM3180" s="37"/>
      <c r="AN3180" s="37"/>
      <c r="AO3180" s="37"/>
      <c r="AP3180" s="37"/>
      <c r="AQ3180" s="37"/>
      <c r="AR3180" s="37"/>
      <c r="AS3180" s="37"/>
      <c r="AT3180" s="37"/>
      <c r="AU3180" s="37"/>
      <c r="AV3180" s="37"/>
      <c r="AW3180" s="37"/>
      <c r="AX3180" s="37"/>
      <c r="AY3180" s="37"/>
      <c r="AZ3180" s="37"/>
      <c r="BA3180" s="37"/>
      <c r="BB3180" s="37"/>
      <c r="BC3180" s="37"/>
      <c r="BD3180" s="37"/>
      <c r="BE3180" s="37"/>
      <c r="BF3180" s="37"/>
      <c r="BG3180" s="37"/>
      <c r="BH3180" s="37"/>
      <c r="BI3180" s="37"/>
      <c r="BJ3180" s="37"/>
      <c r="BK3180" s="37"/>
      <c r="BL3180" s="37"/>
      <c r="BM3180" s="37"/>
      <c r="BN3180" s="37"/>
      <c r="BO3180" s="37"/>
      <c r="BP3180" s="37"/>
      <c r="BQ3180" s="37"/>
      <c r="BR3180" s="37"/>
      <c r="BS3180" s="37"/>
      <c r="BT3180" s="37"/>
      <c r="BU3180" s="37"/>
      <c r="BV3180" s="37"/>
      <c r="BW3180" s="37"/>
      <c r="BX3180" s="37"/>
      <c r="BY3180" s="37"/>
      <c r="BZ3180" s="37"/>
      <c r="CA3180" s="37"/>
      <c r="CB3180" s="37"/>
      <c r="CC3180" s="37"/>
      <c r="CD3180" s="37"/>
      <c r="CE3180" s="37"/>
      <c r="CF3180" s="37"/>
      <c r="CG3180" s="37"/>
      <c r="CH3180" s="37"/>
      <c r="CI3180" s="37"/>
      <c r="CJ3180" s="37"/>
      <c r="CK3180" s="37"/>
      <c r="CL3180" s="37"/>
      <c r="CM3180" s="37"/>
      <c r="CN3180" s="37"/>
      <c r="CO3180" s="37"/>
      <c r="CP3180" s="37"/>
      <c r="CQ3180" s="37"/>
      <c r="CR3180" s="37"/>
      <c r="CS3180" s="37"/>
      <c r="CT3180" s="37"/>
      <c r="CU3180" s="37"/>
      <c r="CV3180" s="37"/>
      <c r="CW3180" s="37"/>
      <c r="CX3180" s="37"/>
      <c r="CY3180" s="37"/>
      <c r="CZ3180" s="37"/>
      <c r="DA3180" s="37"/>
      <c r="DB3180" s="37"/>
      <c r="DC3180" s="37"/>
      <c r="DD3180" s="37"/>
      <c r="DE3180" s="37"/>
      <c r="DF3180" s="37"/>
      <c r="DG3180" s="37"/>
      <c r="DH3180" s="37"/>
      <c r="DI3180" s="37"/>
      <c r="DJ3180" s="37"/>
      <c r="DK3180" s="37"/>
      <c r="DL3180" s="37"/>
      <c r="DM3180" s="37"/>
      <c r="DN3180" s="37"/>
      <c r="DO3180" s="37"/>
      <c r="DP3180" s="37"/>
      <c r="DQ3180" s="37"/>
      <c r="DR3180" s="37"/>
      <c r="DS3180" s="37"/>
      <c r="DT3180" s="37"/>
      <c r="DU3180" s="37"/>
      <c r="DV3180" s="37"/>
      <c r="DW3180" s="37"/>
      <c r="DX3180" s="37"/>
      <c r="DY3180" s="37"/>
      <c r="DZ3180" s="37"/>
      <c r="EA3180" s="37"/>
      <c r="EB3180" s="37"/>
      <c r="EC3180" s="37"/>
      <c r="ED3180" s="37"/>
      <c r="EE3180" s="37"/>
      <c r="EF3180" s="37"/>
      <c r="EG3180" s="37"/>
      <c r="EH3180" s="37"/>
      <c r="EI3180" s="37"/>
      <c r="EJ3180" s="37"/>
      <c r="EK3180" s="37"/>
      <c r="EL3180" s="37"/>
      <c r="EM3180" s="37"/>
      <c r="EN3180" s="37"/>
      <c r="EO3180" s="37"/>
      <c r="EP3180" s="37"/>
      <c r="EQ3180" s="37"/>
      <c r="ER3180" s="37"/>
      <c r="ES3180" s="37"/>
      <c r="ET3180" s="37"/>
      <c r="EU3180" s="37"/>
      <c r="EV3180" s="37"/>
      <c r="EW3180" s="37"/>
      <c r="EX3180" s="37"/>
      <c r="EY3180" s="37"/>
      <c r="EZ3180" s="37"/>
      <c r="FA3180" s="37"/>
      <c r="FB3180" s="37"/>
      <c r="FC3180" s="37"/>
      <c r="FD3180" s="37"/>
      <c r="FE3180" s="37"/>
      <c r="FF3180" s="37"/>
      <c r="FG3180" s="37"/>
      <c r="FH3180" s="37"/>
      <c r="FI3180" s="37"/>
      <c r="FJ3180" s="37"/>
      <c r="FK3180" s="37"/>
      <c r="FL3180" s="37"/>
      <c r="FM3180" s="37"/>
      <c r="FN3180" s="37"/>
      <c r="FO3180" s="37"/>
      <c r="FP3180" s="37"/>
      <c r="FQ3180" s="37"/>
      <c r="FR3180" s="37"/>
      <c r="FS3180" s="37"/>
      <c r="FT3180" s="37"/>
      <c r="FU3180" s="37"/>
      <c r="FV3180" s="37"/>
      <c r="FW3180" s="37"/>
      <c r="FX3180" s="37"/>
      <c r="FY3180" s="37"/>
      <c r="FZ3180" s="37"/>
      <c r="GA3180" s="37"/>
      <c r="GB3180" s="37"/>
      <c r="GC3180" s="37"/>
      <c r="GD3180" s="37"/>
      <c r="GE3180" s="37"/>
      <c r="GF3180" s="37"/>
      <c r="GG3180" s="37"/>
      <c r="GH3180" s="37"/>
      <c r="GI3180" s="37"/>
      <c r="GJ3180" s="37"/>
      <c r="GK3180" s="37"/>
      <c r="GL3180" s="37"/>
      <c r="GM3180" s="37"/>
      <c r="GN3180" s="37"/>
      <c r="GO3180" s="37"/>
      <c r="GP3180" s="37"/>
      <c r="GQ3180" s="37"/>
      <c r="GR3180" s="37"/>
      <c r="GS3180" s="37"/>
      <c r="GT3180" s="37"/>
      <c r="GU3180" s="37"/>
      <c r="GV3180" s="37"/>
      <c r="GW3180" s="37"/>
      <c r="GX3180" s="37"/>
      <c r="GY3180" s="37"/>
      <c r="GZ3180" s="37"/>
      <c r="HA3180" s="37"/>
      <c r="HB3180" s="37"/>
      <c r="HC3180" s="37"/>
      <c r="HD3180" s="37"/>
      <c r="HE3180" s="37"/>
      <c r="HF3180" s="37"/>
      <c r="HG3180" s="37"/>
      <c r="HH3180" s="37"/>
      <c r="HI3180" s="37"/>
      <c r="HJ3180" s="37"/>
      <c r="HK3180" s="37"/>
      <c r="HL3180" s="37"/>
      <c r="HM3180" s="37"/>
      <c r="HN3180" s="37"/>
      <c r="HO3180" s="37"/>
      <c r="HP3180" s="37"/>
      <c r="HQ3180" s="37"/>
      <c r="HR3180" s="37"/>
      <c r="HS3180" s="37"/>
      <c r="HT3180" s="37"/>
      <c r="HU3180" s="37"/>
      <c r="HV3180" s="37"/>
      <c r="HW3180" s="37"/>
      <c r="HX3180" s="37"/>
      <c r="HY3180" s="37"/>
      <c r="HZ3180" s="37"/>
      <c r="IA3180" s="37"/>
      <c r="IB3180" s="37"/>
      <c r="IC3180" s="37"/>
      <c r="ID3180" s="37"/>
      <c r="IE3180" s="37"/>
      <c r="IF3180" s="37"/>
      <c r="IG3180" s="37"/>
      <c r="IH3180" s="37"/>
      <c r="II3180" s="37"/>
      <c r="IJ3180" s="37"/>
      <c r="IK3180" s="37"/>
      <c r="IL3180" s="37"/>
      <c r="IM3180" s="37"/>
      <c r="IN3180" s="37"/>
      <c r="IO3180" s="37"/>
      <c r="IP3180" s="37"/>
      <c r="IQ3180" s="37"/>
      <c r="IR3180" s="37"/>
      <c r="IS3180" s="37"/>
      <c r="IT3180" s="37"/>
      <c r="IU3180" s="37"/>
      <c r="IV3180" s="37"/>
      <c r="IW3180" s="37"/>
      <c r="IX3180" s="37"/>
      <c r="IY3180" s="37"/>
      <c r="IZ3180" s="37"/>
      <c r="JA3180" s="37"/>
      <c r="JB3180" s="37"/>
      <c r="JC3180" s="37"/>
      <c r="JD3180" s="37"/>
      <c r="JE3180" s="37"/>
      <c r="JF3180" s="37"/>
      <c r="JG3180" s="37"/>
      <c r="JH3180" s="37"/>
      <c r="JI3180" s="37"/>
      <c r="JJ3180" s="37"/>
      <c r="JK3180" s="37"/>
      <c r="JL3180" s="37"/>
      <c r="JM3180" s="37"/>
      <c r="JN3180" s="37"/>
      <c r="JO3180" s="37"/>
      <c r="JP3180" s="37"/>
      <c r="JQ3180" s="37"/>
      <c r="JR3180" s="37"/>
      <c r="JS3180" s="37"/>
      <c r="JT3180" s="37"/>
      <c r="JU3180" s="37"/>
      <c r="JV3180" s="37"/>
      <c r="JW3180" s="37"/>
      <c r="JX3180" s="37"/>
      <c r="JY3180" s="37"/>
      <c r="JZ3180" s="37"/>
      <c r="KA3180" s="37"/>
      <c r="KB3180" s="37"/>
      <c r="KC3180" s="37"/>
      <c r="KD3180" s="37"/>
      <c r="KE3180" s="37"/>
      <c r="KF3180" s="37"/>
      <c r="KG3180" s="37"/>
      <c r="KH3180" s="37"/>
      <c r="KI3180" s="37"/>
      <c r="KJ3180" s="37"/>
      <c r="KK3180" s="37"/>
      <c r="KL3180" s="37"/>
      <c r="KM3180" s="37"/>
      <c r="KN3180" s="37"/>
      <c r="KO3180" s="37"/>
      <c r="KP3180" s="37"/>
      <c r="KQ3180" s="37"/>
      <c r="KR3180" s="37"/>
      <c r="KS3180" s="37"/>
      <c r="KT3180" s="37"/>
      <c r="KU3180" s="37"/>
      <c r="KV3180" s="37"/>
      <c r="KW3180" s="37"/>
      <c r="KX3180" s="37"/>
      <c r="KY3180" s="37"/>
      <c r="KZ3180" s="37"/>
      <c r="LA3180" s="37"/>
      <c r="LB3180" s="37"/>
      <c r="LC3180" s="37"/>
      <c r="LD3180" s="37"/>
      <c r="LE3180" s="37"/>
      <c r="LF3180" s="37"/>
      <c r="LG3180" s="37"/>
      <c r="LH3180" s="37"/>
      <c r="LI3180" s="37"/>
      <c r="LJ3180" s="37"/>
      <c r="LK3180" s="37"/>
      <c r="LL3180" s="37"/>
      <c r="LM3180" s="37"/>
      <c r="LN3180" s="37"/>
      <c r="LO3180" s="37"/>
      <c r="LP3180" s="37"/>
      <c r="LQ3180" s="37"/>
      <c r="LR3180" s="37"/>
      <c r="LS3180" s="37"/>
      <c r="LT3180" s="37"/>
      <c r="LU3180" s="37"/>
      <c r="LV3180" s="37"/>
      <c r="LW3180" s="37"/>
      <c r="LX3180" s="37"/>
      <c r="LY3180" s="37"/>
      <c r="LZ3180" s="37"/>
      <c r="MA3180" s="37"/>
      <c r="MB3180" s="37"/>
      <c r="MC3180" s="37"/>
      <c r="MD3180" s="37"/>
      <c r="ME3180" s="37"/>
      <c r="MF3180" s="37"/>
      <c r="MG3180" s="37"/>
      <c r="MH3180" s="37"/>
      <c r="MI3180" s="37"/>
      <c r="MJ3180" s="37"/>
      <c r="MK3180" s="37"/>
      <c r="ML3180" s="37"/>
      <c r="MM3180" s="37"/>
      <c r="MN3180" s="37"/>
      <c r="MO3180" s="37"/>
      <c r="MP3180" s="37"/>
      <c r="MQ3180" s="37"/>
      <c r="MR3180" s="37"/>
      <c r="MS3180" s="37"/>
      <c r="MT3180" s="37"/>
      <c r="MU3180" s="37"/>
      <c r="MV3180" s="37"/>
      <c r="MW3180" s="37"/>
      <c r="MX3180" s="37"/>
      <c r="MY3180" s="37"/>
      <c r="MZ3180" s="37"/>
      <c r="NA3180" s="37"/>
      <c r="NB3180" s="37"/>
      <c r="NC3180" s="37"/>
      <c r="ND3180" s="37"/>
      <c r="NE3180" s="37"/>
      <c r="NF3180" s="37"/>
      <c r="NG3180" s="37"/>
      <c r="NH3180" s="37"/>
      <c r="NI3180" s="37"/>
      <c r="NJ3180" s="37"/>
      <c r="NK3180" s="37"/>
      <c r="NL3180" s="37"/>
      <c r="NM3180" s="37"/>
      <c r="NN3180" s="37"/>
      <c r="NO3180" s="37"/>
      <c r="NP3180" s="37"/>
      <c r="NQ3180" s="37"/>
      <c r="NR3180" s="37"/>
      <c r="NS3180" s="37"/>
      <c r="NT3180" s="37"/>
      <c r="NU3180" s="37"/>
      <c r="NV3180" s="37"/>
      <c r="NW3180" s="37"/>
      <c r="NX3180" s="37"/>
      <c r="NY3180" s="37"/>
      <c r="NZ3180" s="37"/>
      <c r="OA3180" s="37"/>
      <c r="OB3180" s="37"/>
      <c r="OC3180" s="37"/>
      <c r="OD3180" s="37"/>
      <c r="OE3180" s="37"/>
      <c r="OF3180" s="37"/>
      <c r="OG3180" s="37"/>
      <c r="OH3180" s="37"/>
      <c r="OI3180" s="37"/>
      <c r="OJ3180" s="37"/>
      <c r="OK3180" s="37"/>
      <c r="OL3180" s="37"/>
      <c r="OM3180" s="37"/>
      <c r="ON3180" s="37"/>
      <c r="OO3180" s="37"/>
      <c r="OP3180" s="37"/>
      <c r="OQ3180" s="37"/>
      <c r="OR3180" s="37"/>
      <c r="OS3180" s="37"/>
      <c r="OT3180" s="37"/>
      <c r="OU3180" s="37"/>
      <c r="OV3180" s="37"/>
      <c r="OW3180" s="37"/>
      <c r="OX3180" s="37"/>
      <c r="OY3180" s="37"/>
      <c r="OZ3180" s="37"/>
      <c r="PA3180" s="37"/>
      <c r="PB3180" s="37"/>
      <c r="PC3180" s="37"/>
      <c r="PD3180" s="37"/>
      <c r="PE3180" s="37"/>
      <c r="PF3180" s="37"/>
      <c r="PG3180" s="37"/>
      <c r="PH3180" s="37"/>
      <c r="PI3180" s="37"/>
      <c r="PJ3180" s="37"/>
      <c r="PK3180" s="37"/>
      <c r="PL3180" s="37"/>
      <c r="PM3180" s="37"/>
      <c r="PN3180" s="37"/>
      <c r="PO3180" s="37"/>
      <c r="PP3180" s="37"/>
      <c r="PQ3180" s="37"/>
      <c r="PR3180" s="37"/>
      <c r="PS3180" s="37"/>
      <c r="PT3180" s="37"/>
      <c r="PU3180" s="37"/>
      <c r="PV3180" s="37"/>
      <c r="PW3180" s="37"/>
      <c r="PX3180" s="37"/>
      <c r="PY3180" s="37"/>
      <c r="PZ3180" s="37"/>
      <c r="QA3180" s="37"/>
      <c r="QB3180" s="37"/>
      <c r="QC3180" s="37"/>
      <c r="QD3180" s="37"/>
      <c r="QE3180" s="37"/>
      <c r="QF3180" s="37"/>
      <c r="QG3180" s="37"/>
      <c r="QH3180" s="37"/>
      <c r="QI3180" s="37"/>
      <c r="QJ3180" s="37"/>
      <c r="QK3180" s="37"/>
      <c r="QL3180" s="37"/>
      <c r="QM3180" s="37"/>
      <c r="QN3180" s="37"/>
      <c r="QO3180" s="37"/>
      <c r="QP3180" s="37"/>
      <c r="QQ3180" s="37"/>
      <c r="QR3180" s="37"/>
      <c r="QS3180" s="37"/>
      <c r="QT3180" s="37"/>
      <c r="QU3180" s="37"/>
      <c r="QV3180" s="37"/>
      <c r="QW3180" s="37"/>
      <c r="QX3180" s="37"/>
      <c r="QY3180" s="37"/>
      <c r="QZ3180" s="37"/>
      <c r="RA3180" s="37"/>
      <c r="RB3180" s="37"/>
      <c r="RC3180" s="37"/>
      <c r="RD3180" s="37"/>
      <c r="RE3180" s="37"/>
      <c r="RF3180" s="37"/>
      <c r="RG3180" s="37"/>
      <c r="RH3180" s="37"/>
      <c r="RI3180" s="37"/>
      <c r="RJ3180" s="37"/>
      <c r="RK3180" s="37"/>
      <c r="RL3180" s="37"/>
      <c r="RM3180" s="37"/>
      <c r="RN3180" s="37"/>
      <c r="RO3180" s="37"/>
      <c r="RP3180" s="37"/>
      <c r="RQ3180" s="37"/>
      <c r="RR3180" s="37"/>
      <c r="RS3180" s="37"/>
      <c r="RT3180" s="37"/>
      <c r="RU3180" s="37"/>
      <c r="RV3180" s="37"/>
      <c r="RW3180" s="37"/>
      <c r="RX3180" s="37"/>
      <c r="RY3180" s="37"/>
      <c r="RZ3180" s="37"/>
      <c r="SA3180" s="37"/>
      <c r="SB3180" s="37"/>
      <c r="SC3180" s="37"/>
      <c r="SD3180" s="37"/>
      <c r="SE3180" s="37"/>
      <c r="SF3180" s="37"/>
    </row>
    <row r="3181" spans="1:500">
      <c r="A3181" s="37"/>
      <c r="B3181" s="37"/>
      <c r="C3181" s="37"/>
      <c r="D3181" s="37"/>
      <c r="E3181" s="37"/>
      <c r="F3181" s="37"/>
      <c r="G3181" s="37"/>
      <c r="H3181" s="37"/>
      <c r="I3181" s="37"/>
      <c r="J3181" s="37"/>
      <c r="K3181" s="37"/>
      <c r="L3181" s="37"/>
      <c r="M3181" s="37"/>
      <c r="N3181" s="37"/>
      <c r="O3181" s="37"/>
      <c r="P3181" s="37"/>
      <c r="Q3181" s="37"/>
      <c r="R3181" s="37"/>
      <c r="S3181" s="37"/>
      <c r="T3181" s="37"/>
      <c r="U3181" s="37"/>
      <c r="V3181" s="37"/>
      <c r="W3181" s="37"/>
      <c r="X3181" s="37"/>
      <c r="Y3181" s="37"/>
      <c r="Z3181" s="37"/>
      <c r="AA3181" s="37"/>
      <c r="AB3181" s="37"/>
      <c r="AC3181" s="37"/>
      <c r="AD3181" s="37"/>
      <c r="AE3181" s="37"/>
      <c r="AF3181" s="37"/>
      <c r="AG3181" s="37"/>
      <c r="AH3181" s="37"/>
      <c r="AI3181" s="37"/>
      <c r="AJ3181" s="37"/>
      <c r="AK3181" s="37"/>
      <c r="AL3181" s="37"/>
      <c r="AM3181" s="37"/>
      <c r="AN3181" s="37"/>
      <c r="AO3181" s="37"/>
      <c r="AP3181" s="37"/>
      <c r="AQ3181" s="37"/>
      <c r="AR3181" s="37"/>
      <c r="AS3181" s="37"/>
      <c r="AT3181" s="37"/>
      <c r="AU3181" s="37"/>
      <c r="AV3181" s="37"/>
      <c r="AW3181" s="37"/>
      <c r="AX3181" s="37"/>
      <c r="AY3181" s="37"/>
      <c r="AZ3181" s="37"/>
      <c r="BA3181" s="37"/>
      <c r="BB3181" s="37"/>
      <c r="BC3181" s="37"/>
      <c r="BD3181" s="37"/>
      <c r="BE3181" s="37"/>
      <c r="BF3181" s="37"/>
      <c r="BG3181" s="37"/>
      <c r="BH3181" s="37"/>
      <c r="BI3181" s="37"/>
      <c r="BJ3181" s="37"/>
      <c r="BK3181" s="37"/>
      <c r="BL3181" s="37"/>
      <c r="BM3181" s="37"/>
      <c r="BN3181" s="37"/>
      <c r="BO3181" s="37"/>
      <c r="BP3181" s="37"/>
      <c r="BQ3181" s="37"/>
      <c r="BR3181" s="37"/>
      <c r="BS3181" s="37"/>
      <c r="BT3181" s="37"/>
      <c r="BU3181" s="37"/>
      <c r="BV3181" s="37"/>
      <c r="BW3181" s="37"/>
      <c r="BX3181" s="37"/>
      <c r="BY3181" s="37"/>
      <c r="BZ3181" s="37"/>
      <c r="CA3181" s="37"/>
      <c r="CB3181" s="37"/>
      <c r="CC3181" s="37"/>
      <c r="CD3181" s="37"/>
      <c r="CE3181" s="37"/>
      <c r="CF3181" s="37"/>
      <c r="CG3181" s="37"/>
      <c r="CH3181" s="37"/>
      <c r="CI3181" s="37"/>
      <c r="CJ3181" s="37"/>
      <c r="CK3181" s="37"/>
      <c r="CL3181" s="37"/>
      <c r="CM3181" s="37"/>
      <c r="CN3181" s="37"/>
      <c r="CO3181" s="37"/>
      <c r="CP3181" s="37"/>
      <c r="CQ3181" s="37"/>
      <c r="CR3181" s="37"/>
      <c r="CS3181" s="37"/>
      <c r="CT3181" s="37"/>
      <c r="CU3181" s="37"/>
      <c r="CV3181" s="37"/>
      <c r="CW3181" s="37"/>
      <c r="CX3181" s="37"/>
      <c r="CY3181" s="37"/>
      <c r="CZ3181" s="37"/>
      <c r="DA3181" s="37"/>
      <c r="DB3181" s="37"/>
      <c r="DC3181" s="37"/>
      <c r="DD3181" s="37"/>
      <c r="DE3181" s="37"/>
      <c r="DF3181" s="37"/>
      <c r="DG3181" s="37"/>
      <c r="DH3181" s="37"/>
      <c r="DI3181" s="37"/>
      <c r="DJ3181" s="37"/>
      <c r="DK3181" s="37"/>
      <c r="DL3181" s="37"/>
      <c r="DM3181" s="37"/>
      <c r="DN3181" s="37"/>
      <c r="DO3181" s="37"/>
      <c r="DP3181" s="37"/>
      <c r="DQ3181" s="37"/>
      <c r="DR3181" s="37"/>
      <c r="DS3181" s="37"/>
      <c r="DT3181" s="37"/>
      <c r="DU3181" s="37"/>
      <c r="DV3181" s="37"/>
      <c r="DW3181" s="37"/>
      <c r="DX3181" s="37"/>
      <c r="DY3181" s="37"/>
      <c r="DZ3181" s="37"/>
      <c r="EA3181" s="37"/>
      <c r="EB3181" s="37"/>
      <c r="EC3181" s="37"/>
      <c r="ED3181" s="37"/>
      <c r="EE3181" s="37"/>
      <c r="EF3181" s="37"/>
      <c r="EG3181" s="37"/>
      <c r="EH3181" s="37"/>
      <c r="EI3181" s="37"/>
      <c r="EJ3181" s="37"/>
      <c r="EK3181" s="37"/>
      <c r="EL3181" s="37"/>
      <c r="EM3181" s="37"/>
      <c r="EN3181" s="37"/>
      <c r="EO3181" s="37"/>
      <c r="EP3181" s="37"/>
      <c r="EQ3181" s="37"/>
      <c r="ER3181" s="37"/>
      <c r="ES3181" s="37"/>
      <c r="ET3181" s="37"/>
      <c r="EU3181" s="37"/>
      <c r="EV3181" s="37"/>
      <c r="EW3181" s="37"/>
      <c r="EX3181" s="37"/>
      <c r="EY3181" s="37"/>
      <c r="EZ3181" s="37"/>
      <c r="FA3181" s="37"/>
      <c r="FB3181" s="37"/>
      <c r="FC3181" s="37"/>
      <c r="FD3181" s="37"/>
      <c r="FE3181" s="37"/>
      <c r="FF3181" s="37"/>
      <c r="FG3181" s="37"/>
      <c r="FH3181" s="37"/>
      <c r="FI3181" s="37"/>
      <c r="FJ3181" s="37"/>
      <c r="FK3181" s="37"/>
      <c r="FL3181" s="37"/>
      <c r="FM3181" s="37"/>
      <c r="FN3181" s="37"/>
      <c r="FO3181" s="37"/>
      <c r="FP3181" s="37"/>
      <c r="FQ3181" s="37"/>
      <c r="FR3181" s="37"/>
      <c r="FS3181" s="37"/>
      <c r="FT3181" s="37"/>
      <c r="FU3181" s="37"/>
      <c r="FV3181" s="37"/>
      <c r="FW3181" s="37"/>
      <c r="FX3181" s="37"/>
      <c r="FY3181" s="37"/>
      <c r="FZ3181" s="37"/>
      <c r="GA3181" s="37"/>
      <c r="GB3181" s="37"/>
      <c r="GC3181" s="37"/>
      <c r="GD3181" s="37"/>
      <c r="GE3181" s="37"/>
      <c r="GF3181" s="37"/>
      <c r="GG3181" s="37"/>
      <c r="GH3181" s="37"/>
      <c r="GI3181" s="37"/>
      <c r="GJ3181" s="37"/>
      <c r="GK3181" s="37"/>
      <c r="GL3181" s="37"/>
      <c r="GM3181" s="37"/>
      <c r="GN3181" s="37"/>
      <c r="GO3181" s="37"/>
      <c r="GP3181" s="37"/>
      <c r="GQ3181" s="37"/>
      <c r="GR3181" s="37"/>
      <c r="GS3181" s="37"/>
      <c r="GT3181" s="37"/>
      <c r="GU3181" s="37"/>
      <c r="GV3181" s="37"/>
      <c r="GW3181" s="37"/>
      <c r="GX3181" s="37"/>
      <c r="GY3181" s="37"/>
      <c r="GZ3181" s="37"/>
      <c r="HA3181" s="37"/>
      <c r="HB3181" s="37"/>
      <c r="HC3181" s="37"/>
      <c r="HD3181" s="37"/>
      <c r="HE3181" s="37"/>
      <c r="HF3181" s="37"/>
      <c r="HG3181" s="37"/>
      <c r="HH3181" s="37"/>
      <c r="HI3181" s="37"/>
      <c r="HJ3181" s="37"/>
      <c r="HK3181" s="37"/>
      <c r="HL3181" s="37"/>
      <c r="HM3181" s="37"/>
      <c r="HN3181" s="37"/>
      <c r="HO3181" s="37"/>
      <c r="HP3181" s="37"/>
      <c r="HQ3181" s="37"/>
      <c r="HR3181" s="37"/>
      <c r="HS3181" s="37"/>
      <c r="HT3181" s="37"/>
      <c r="HU3181" s="37"/>
      <c r="HV3181" s="37"/>
      <c r="HW3181" s="37"/>
      <c r="HX3181" s="37"/>
      <c r="HY3181" s="37"/>
      <c r="HZ3181" s="37"/>
      <c r="IA3181" s="37"/>
      <c r="IB3181" s="37"/>
      <c r="IC3181" s="37"/>
      <c r="ID3181" s="37"/>
      <c r="IE3181" s="37"/>
      <c r="IF3181" s="37"/>
      <c r="IG3181" s="37"/>
      <c r="IH3181" s="37"/>
      <c r="II3181" s="37"/>
      <c r="IJ3181" s="37"/>
      <c r="IK3181" s="37"/>
      <c r="IL3181" s="37"/>
      <c r="IM3181" s="37"/>
      <c r="IN3181" s="37"/>
      <c r="IO3181" s="37"/>
      <c r="IP3181" s="37"/>
      <c r="IQ3181" s="37"/>
      <c r="IR3181" s="37"/>
      <c r="IS3181" s="37"/>
      <c r="IT3181" s="37"/>
      <c r="IU3181" s="37"/>
      <c r="IV3181" s="37"/>
      <c r="IW3181" s="37"/>
      <c r="IX3181" s="37"/>
      <c r="IY3181" s="37"/>
      <c r="IZ3181" s="37"/>
      <c r="JA3181" s="37"/>
      <c r="JB3181" s="37"/>
      <c r="JC3181" s="37"/>
      <c r="JD3181" s="37"/>
      <c r="JE3181" s="37"/>
      <c r="JF3181" s="37"/>
      <c r="JG3181" s="37"/>
      <c r="JH3181" s="37"/>
      <c r="JI3181" s="37"/>
      <c r="JJ3181" s="37"/>
      <c r="JK3181" s="37"/>
      <c r="JL3181" s="37"/>
      <c r="JM3181" s="37"/>
      <c r="JN3181" s="37"/>
      <c r="JO3181" s="37"/>
      <c r="JP3181" s="37"/>
      <c r="JQ3181" s="37"/>
      <c r="JR3181" s="37"/>
      <c r="JS3181" s="37"/>
      <c r="JT3181" s="37"/>
      <c r="JU3181" s="37"/>
      <c r="JV3181" s="37"/>
      <c r="JW3181" s="37"/>
      <c r="JX3181" s="37"/>
      <c r="JY3181" s="37"/>
      <c r="JZ3181" s="37"/>
      <c r="KA3181" s="37"/>
      <c r="KB3181" s="37"/>
      <c r="KC3181" s="37"/>
      <c r="KD3181" s="37"/>
      <c r="KE3181" s="37"/>
      <c r="KF3181" s="37"/>
      <c r="KG3181" s="37"/>
      <c r="KH3181" s="37"/>
      <c r="KI3181" s="37"/>
      <c r="KJ3181" s="37"/>
      <c r="KK3181" s="37"/>
      <c r="KL3181" s="37"/>
      <c r="KM3181" s="37"/>
      <c r="KN3181" s="37"/>
      <c r="KO3181" s="37"/>
      <c r="KP3181" s="37"/>
      <c r="KQ3181" s="37"/>
      <c r="KR3181" s="37"/>
      <c r="KS3181" s="37"/>
      <c r="KT3181" s="37"/>
      <c r="KU3181" s="37"/>
      <c r="KV3181" s="37"/>
      <c r="KW3181" s="37"/>
      <c r="KX3181" s="37"/>
      <c r="KY3181" s="37"/>
      <c r="KZ3181" s="37"/>
      <c r="LA3181" s="37"/>
      <c r="LB3181" s="37"/>
      <c r="LC3181" s="37"/>
      <c r="LD3181" s="37"/>
      <c r="LE3181" s="37"/>
      <c r="LF3181" s="37"/>
      <c r="LG3181" s="37"/>
      <c r="LH3181" s="37"/>
      <c r="LI3181" s="37"/>
      <c r="LJ3181" s="37"/>
      <c r="LK3181" s="37"/>
      <c r="LL3181" s="37"/>
      <c r="LM3181" s="37"/>
      <c r="LN3181" s="37"/>
      <c r="LO3181" s="37"/>
      <c r="LP3181" s="37"/>
      <c r="LQ3181" s="37"/>
      <c r="LR3181" s="37"/>
      <c r="LS3181" s="37"/>
      <c r="LT3181" s="37"/>
      <c r="LU3181" s="37"/>
      <c r="LV3181" s="37"/>
      <c r="LW3181" s="37"/>
      <c r="LX3181" s="37"/>
      <c r="LY3181" s="37"/>
      <c r="LZ3181" s="37"/>
      <c r="MA3181" s="37"/>
      <c r="MB3181" s="37"/>
      <c r="MC3181" s="37"/>
      <c r="MD3181" s="37"/>
      <c r="ME3181" s="37"/>
      <c r="MF3181" s="37"/>
      <c r="MG3181" s="37"/>
      <c r="MH3181" s="37"/>
      <c r="MI3181" s="37"/>
      <c r="MJ3181" s="37"/>
      <c r="MK3181" s="37"/>
      <c r="ML3181" s="37"/>
      <c r="MM3181" s="37"/>
      <c r="MN3181" s="37"/>
      <c r="MO3181" s="37"/>
      <c r="MP3181" s="37"/>
      <c r="MQ3181" s="37"/>
      <c r="MR3181" s="37"/>
      <c r="MS3181" s="37"/>
      <c r="MT3181" s="37"/>
      <c r="MU3181" s="37"/>
      <c r="MV3181" s="37"/>
      <c r="MW3181" s="37"/>
      <c r="MX3181" s="37"/>
      <c r="MY3181" s="37"/>
      <c r="MZ3181" s="37"/>
      <c r="NA3181" s="37"/>
      <c r="NB3181" s="37"/>
      <c r="NC3181" s="37"/>
      <c r="ND3181" s="37"/>
      <c r="NE3181" s="37"/>
      <c r="NF3181" s="37"/>
      <c r="NG3181" s="37"/>
      <c r="NH3181" s="37"/>
      <c r="NI3181" s="37"/>
      <c r="NJ3181" s="37"/>
      <c r="NK3181" s="37"/>
      <c r="NL3181" s="37"/>
      <c r="NM3181" s="37"/>
      <c r="NN3181" s="37"/>
      <c r="NO3181" s="37"/>
      <c r="NP3181" s="37"/>
      <c r="NQ3181" s="37"/>
      <c r="NR3181" s="37"/>
      <c r="NS3181" s="37"/>
      <c r="NT3181" s="37"/>
      <c r="NU3181" s="37"/>
      <c r="NV3181" s="37"/>
      <c r="NW3181" s="37"/>
      <c r="NX3181" s="37"/>
      <c r="NY3181" s="37"/>
      <c r="NZ3181" s="37"/>
      <c r="OA3181" s="37"/>
      <c r="OB3181" s="37"/>
      <c r="OC3181" s="37"/>
      <c r="OD3181" s="37"/>
      <c r="OE3181" s="37"/>
      <c r="OF3181" s="37"/>
      <c r="OG3181" s="37"/>
      <c r="OH3181" s="37"/>
      <c r="OI3181" s="37"/>
      <c r="OJ3181" s="37"/>
      <c r="OK3181" s="37"/>
      <c r="OL3181" s="37"/>
      <c r="OM3181" s="37"/>
      <c r="ON3181" s="37"/>
      <c r="OO3181" s="37"/>
      <c r="OP3181" s="37"/>
      <c r="OQ3181" s="37"/>
      <c r="OR3181" s="37"/>
      <c r="OS3181" s="37"/>
      <c r="OT3181" s="37"/>
      <c r="OU3181" s="37"/>
      <c r="OV3181" s="37"/>
      <c r="OW3181" s="37"/>
      <c r="OX3181" s="37"/>
      <c r="OY3181" s="37"/>
      <c r="OZ3181" s="37"/>
      <c r="PA3181" s="37"/>
      <c r="PB3181" s="37"/>
      <c r="PC3181" s="37"/>
      <c r="PD3181" s="37"/>
      <c r="PE3181" s="37"/>
      <c r="PF3181" s="37"/>
      <c r="PG3181" s="37"/>
      <c r="PH3181" s="37"/>
      <c r="PI3181" s="37"/>
      <c r="PJ3181" s="37"/>
      <c r="PK3181" s="37"/>
      <c r="PL3181" s="37"/>
      <c r="PM3181" s="37"/>
      <c r="PN3181" s="37"/>
      <c r="PO3181" s="37"/>
      <c r="PP3181" s="37"/>
      <c r="PQ3181" s="37"/>
      <c r="PR3181" s="37"/>
      <c r="PS3181" s="37"/>
      <c r="PT3181" s="37"/>
      <c r="PU3181" s="37"/>
      <c r="PV3181" s="37"/>
      <c r="PW3181" s="37"/>
      <c r="PX3181" s="37"/>
      <c r="PY3181" s="37"/>
      <c r="PZ3181" s="37"/>
      <c r="QA3181" s="37"/>
      <c r="QB3181" s="37"/>
      <c r="QC3181" s="37"/>
      <c r="QD3181" s="37"/>
      <c r="QE3181" s="37"/>
      <c r="QF3181" s="37"/>
      <c r="QG3181" s="37"/>
      <c r="QH3181" s="37"/>
      <c r="QI3181" s="37"/>
      <c r="QJ3181" s="37"/>
      <c r="QK3181" s="37"/>
      <c r="QL3181" s="37"/>
      <c r="QM3181" s="37"/>
      <c r="QN3181" s="37"/>
      <c r="QO3181" s="37"/>
      <c r="QP3181" s="37"/>
      <c r="QQ3181" s="37"/>
      <c r="QR3181" s="37"/>
      <c r="QS3181" s="37"/>
      <c r="QT3181" s="37"/>
      <c r="QU3181" s="37"/>
      <c r="QV3181" s="37"/>
      <c r="QW3181" s="37"/>
      <c r="QX3181" s="37"/>
      <c r="QY3181" s="37"/>
      <c r="QZ3181" s="37"/>
      <c r="RA3181" s="37"/>
      <c r="RB3181" s="37"/>
      <c r="RC3181" s="37"/>
      <c r="RD3181" s="37"/>
      <c r="RE3181" s="37"/>
      <c r="RF3181" s="37"/>
      <c r="RG3181" s="37"/>
      <c r="RH3181" s="37"/>
      <c r="RI3181" s="37"/>
      <c r="RJ3181" s="37"/>
      <c r="RK3181" s="37"/>
      <c r="RL3181" s="37"/>
      <c r="RM3181" s="37"/>
      <c r="RN3181" s="37"/>
      <c r="RO3181" s="37"/>
      <c r="RP3181" s="37"/>
      <c r="RQ3181" s="37"/>
      <c r="RR3181" s="37"/>
      <c r="RS3181" s="37"/>
      <c r="RT3181" s="37"/>
      <c r="RU3181" s="37"/>
      <c r="RV3181" s="37"/>
      <c r="RW3181" s="37"/>
      <c r="RX3181" s="37"/>
      <c r="RY3181" s="37"/>
      <c r="RZ3181" s="37"/>
      <c r="SA3181" s="37"/>
      <c r="SB3181" s="37"/>
      <c r="SC3181" s="37"/>
      <c r="SD3181" s="37"/>
      <c r="SE3181" s="37"/>
      <c r="SF3181" s="37"/>
    </row>
  </sheetData>
  <autoFilter ref="A1:M2687" xr:uid="{00000000-0001-0000-0000-000000000000}"/>
  <phoneticPr fontId="4" type="noConversion"/>
  <conditionalFormatting sqref="A3182:A9723 A1634:A2668 A2:A1632">
    <cfRule type="expression" dxfId="119" priority="189">
      <formula>AND(MATCH(A2,A:A,0)&lt;&gt;ROW(A2),J2&lt;&gt;"data_append")</formula>
    </cfRule>
  </conditionalFormatting>
  <conditionalFormatting sqref="A3182:A9724 A1634:A2668 A2:A1632">
    <cfRule type="expression" dxfId="118" priority="143">
      <formula>AND($B2="",FIND("adr",$A2)&gt;0)</formula>
    </cfRule>
    <cfRule type="expression" dxfId="117" priority="145">
      <formula>AND(MATCH(A2,A:A,0)&lt;&gt;ROW(A2),J2="data_append")</formula>
    </cfRule>
    <cfRule type="expression" dxfId="116" priority="158">
      <formula>AND(MATCH(A2,A:A,0)=ROW(A2),COUNTIF(A:A,A2)=1)</formula>
    </cfRule>
    <cfRule type="expression" dxfId="115" priority="159">
      <formula>AND(MATCH(A2,A:A,0)=ROW(A2),COUNTIF(A:A,A2)&gt;1)</formula>
    </cfRule>
  </conditionalFormatting>
  <conditionalFormatting sqref="B3182:B9723 B2:B254 B256:B1632 B1634:B2668">
    <cfRule type="expression" dxfId="114" priority="99">
      <formula>AND(B2&lt;&gt;"",_xlfn.ISFORMULA(B2)=TRUE)</formula>
    </cfRule>
  </conditionalFormatting>
  <conditionalFormatting sqref="B2:V2 H231:H234 B2013:F2013 B1235:B1271 B1272:F1278 B1279:B1280 B2007:E2012 B2406:F2665 O160:V171 K230:V230 K235:V238 J288:K288 M288:V288 J642:K645 M642:V645 J659:K663 M659:V663 J888:K888 M888:V888 J891:K891 J906:K906 J1063:V1065 M1173:V1173 M1175:V1178 M1183:V1183 J1203:K1204 J1211:K1211 J1212:V1213 J1214:K1215 J1223:K1223 M1223:V1223 J1224:V1224 J1229:V1234 J1272:K1273 M1272:V1273 J1274:V1277 K1278:V1278 J1278:J1279 L1308:V1308 J1418:V1418 J1419:K1425 J1442:K1442 M1478:V1478 M1480:V1483 M1485:V1485 M1495:V1495 J1568:K1568 M1568:V1568 J1569:V1570 J1571:K1571 M1571:V1571 V1633 K1670:V1670 J1671:V1672 J1675:V1682 J1683:K1683 K1684:V1684 K1705:V1705 J1706:V1709 K1763:V1763 J1950:K1950 J1951:V1960 K1961:V1961 J1962:V1966 K1967:V1968 J1969:V1971 K1972:V1974 J1975:V1978 K1979:V1979 J1980:V1984 K1985:V1985 J1986:V1990 K1991:V1991 J1992:V1996 K1997:V1997 J1998:V1998 K1999:V1999 J2000:V2004 J2005:K2006 J2007:V2012 F2009:F2012 J2030:K2031 J2032:V2036 J2037:K2037 J2038:V2040 J2041:K2041 J2042:V2042 J2043:K2043 J2065:K2065 J2083:K2085 J2089:K2089 J2090:V2094 J2098:K2099 J2100:V2100 J2101:K2102 J2117:K2117 K2269:V2269 M2298:V2298 J2306:K2306 M2306:V2306 J2406:V2415 J2423:V2558 K2559:V2569 J2570:V2570 K2571:V2580 J2581:V2593 J2594:K2664 J2665:V2665 B2014:E2014 B3182:V8736 J889:V889 J904:V905 J1216:V1218 J1220:V1222 J1458:V1475 J1567:V1567 J1572:V1572 J1658:V1669 J2054:V2058 J2096:V2096 J2103:V2113 J2115:V2116 B2015:F2141 J2305:V2305 J2307:V2307 J2349:V2402 B1517:F1632 H1272:H1279 H2406:H2665 B1634:F2006 H1634:H2141 H1517:H1632 J795:K795 J796:V797 J798:K799 J800:V802 J803:K803 J804:V808 J809:K811 J812:V812 J813:K814 J1066:K1066 J1067:V1067 J1068:K1069 J1070:V1084 J1173:K1173 J1174:V1174 J1175:K1178 J1179:V1182 J1183:K1183 J1184:V1185 J1186:K1192 J1225:K1228 J1297:K1299 J1416:K1417 J1560:K1560 J1561:V1561 J1562:K1562 J1624:K1624 J1631:K1631 J1632:V1632 J1634:V1634 J1635:K1636 J1651:K1651 J1673:K1674 J1685:V1685 J1686:K1687 J1688:V1704 J1710:K1710 J1711:V1727 J1728:K1728 J1729:V1762 J2013:K2013 J2059:K2059 J2143:K2143 J2154:K2154 J2158:K2158 J2161:K2161 J2171:K2171 J2204:K2205 J2231:K2232 J2416:K2417 J2418:V2421 J2422:K2422 J491:V493 J620:V641 J1193:V1202 J1205:V1210 J1281:V1296 J1386:V1415 J1545:V1559 J1588:V1594 J2014:V2029 J2060:V2064 J2066:V2082 J2086:V2088 J2136:V2136 J2155:V2155 J2159:V2159 J664:V727 J2166:V2166 J2206:V2206 J1625:V1630 J302:M302 J305:M306 J307:V313 J314:M316 J317:V319 J320:M320 J321:V321 J322:M322 J323:V325 J326:M326 J329:M329 J336:M336 J337:V342 J344:V388 J343:M343 J390:V392 J395:V405 J393:M394 J495:V561 J562:M562 J601:M601 J604:M605 J606:V607 J610:V618 J608:M609 J655:M655 J781:V794 J729:V779 J780:M780 J815:V832 J834:V859 J833:M833 J861:V869 J870:M870 J871:V877 J880:V887 J878:M879 J890:M890 J892:V902 J903:M903 J1039:M1039 J1040:V1048 J1050:V1061 J1049:M1049 J1086:V1131 J1132:M1132 J1133:V1141 J1142:M1143 J1144:V1151 J1152:M1153 J1154:V1158 J1160:V1172 J1159:M1159 J1219:M1219 J1343:V1357 J1359:V1384 J1358:M1358 J1563:V1565 J1566:M1566 J1574:V1586 J1573:M1573 J1597:V1611 J1595:M1596 J1614:V1623 J1612:M1613 J1637:V1644 J1646:V1650 J1645:M1645 J1652:V1656 J1657:M1657 J1764:V1783 J1784:M1789 J224:V224 J1790:V1808 J1809:M1810 J1811:V1815 J225:M229 J1816:M1820 J1821:V1821 J1822:M1822 J217:M217 J218:V218 J1823:V1844 J219:M220 J1845:M1849 J221:V221 J222:M223 J1850:V1852 J1853:M1853 J1854:V1909 J1910:M1910 J1911:V1911 J1914:V1949 J1912:M1913 J2044:V2047 J2048:M2048 J2049:V2052 J2053:M2053 J2097:M2097 J2114:M2114 J2184:M2185 J2237:M2240 J2270:M2270 J2271:V2272 J2273:M2277 J2278:V2285 J2286:M2286 J2298:K2298 J2299:M2304 J2308:M2312 J2313:V2314 J2315:M2316 J2317:V2317 J2318:M2324 J2325:V2325 J2326:M2328 J2329:V2329 J2330:M2330 J2331:V2331 J2332:M2338 J2339:V2340 J2341:M2342 J2343:V2344 J2345:M2348 J1528:M1528 J1529:V1535 J1526:V1527 J1515:M1515 J1501:M1501 J1502:V1514 J1496:V1500 J1488:M1488 J1489:V1490 J1486:V1487 J1456:M1457 J1443:V1455 J1441:M1441 J1426:V1440 J1537:V1543 J1521:V1523 J1518:V1518 J1536:K1536 J1524:K1525 J1520:K1520 J1517:K1517 J1495:K1495 J1492:V1494 J1485:K1485 J1484:V1484 J1476:K1483 J1342:M1342 J1316:V1341 J1315:M1315 J1313:V1314 J1312:M1312 J1309:V1311 J1306:K1308 J1302:K1302 J1300:V1301 H3:H229 J160:M171 J172:V216 J231:V234 J3:V159 B2666:V2666 G2667 I2667 J407:V408 B409:K467 B2297:F2402 H2297:H2402 J2292:M2295 J2297:M2297 G2297:G2665 I2297:I2665 B2296:K2296 J239:V251 H240:H251 B3:G251 I3:I251 B252:K252 B253:V253 B254:K254 G255 I255 B256:K257 B258:V281 J285:V287 B282:K284 J289:V292 B285:I292 J296:V301 B293:K295 B296:I302 B303:K304 J327:V327 B305:I327 B328:K328 J330:V330 B329:I330 B331:K331 B332:V332 B333:K333 B334:V334 B336:I408 B335:K335 B468:V475 B476:K482 B483:M483 J486:V489 B484:K485 J563:V586 B486:I586 B587:K589 B590:M590 B591:K591 B592:V592 B593:K597 B598:V599 B600:K600 J602:V602 B601:I602 B603:K603 J646:V646 B604:I646 B647:K647 B648:V648 B649:K650 J654:V654 B651:V652 B653:K653 B654:I655 B656:K658 B1281:F1302 H1281:H1302 B1306:F1515 H1306:H1515 B1303:K1305 J2288:V2291 B2143:F2286 H2143:H2286 G1306:G2286 I1306:I2286 B2288:I2295 B2287:K2287 J907:V937 J939:V1038 B939:F1234 H939:H1234 G939:G1302 B659:I937 I939:I1302 B938:K938">
    <cfRule type="expression" dxfId="113" priority="151">
      <formula>LEFT(LOWER($B2),7)="_delete"</formula>
    </cfRule>
  </conditionalFormatting>
  <conditionalFormatting sqref="B2:V2 O160:V171 K230:V230 H231:H234 K235:V238 J288:K288 M288:V288 J642:K645 M642:V645 J659:K663 M659:V663 J888:K888 M888:V888 J891:K891 J906:K906 J1063:V1065 M1173:V1173 M1175:V1178 M1183:V1183 J1203:K1204 J1211:K1211 J1212:V1213 J1214:K1215 J1223:K1223 M1223:V1223 J1224:V1224 J1229:V1234 B1235:B1271 J1272:K1273 M1272:V1273 J1274:V1277 B1272:F1278 K1278:V1278 J1278:J1279 B1279:B1280 L1308:V1308 J1418:V1418 J1419:K1425 J1442:K1442 M1478:V1478 M1480:V1483 M1485:V1485 M1495:V1495 J1568:K1568 M1568:V1568 J1569:V1570 J1571:K1571 M1571:V1571 V1633 K1670:V1670 J1671:V1672 J1675:V1682 J1683:K1683 K1684:V1684 K1705:V1705 J1706:V1709 K1763:V1763 J1950:K1950 J1951:V1960 K1961:V1961 J1962:V1966 K1967:V1968 J1969:V1971 K1972:V1974 J1975:V1978 K1979:V1979 J1980:V1984 K1985:V1985 J1986:V1990 K1991:V1991 J1992:V1996 K1997:V1997 J1998:V1998 K1999:V1999 J2000:V2004 J2005:K2006 B2007:E2012 J2007:V2012 F2009:F2012 B2013:F2013 J2030:K2031 J2032:V2036 J2037:K2037 J2038:V2040 J2041:K2041 J2042:V2042 J2043:K2043 J2065:K2065 J2083:K2085 J2089:K2089 J2090:V2094 J2098:K2099 J2100:V2100 J2101:K2102 J2117:K2117 K2269:V2269 M2298:V2298 J2306:K2306 M2306:V2306 J2406:V2415 J2423:V2558 B2406:F2665 K2559:V2569 J2570:V2570 K2571:V2580 J2581:V2593 J2594:K2664 J2665:V2665 B2014:E2014 B3182:V8736 J889:V889 J904:V905 J1216:V1218 J1220:V1222 J1458:V1475 J1567:V1567 J1572:V1572 J1658:V1669 J2054:V2058 J2096:V2096 J2103:V2113 J2115:V2116 B2015:F2141 J2305:V2305 J2307:V2307 J2349:V2402 B1517:F1632 H1272:H1279 H2406:H2665 B1634:F2006 H1634:H2141 H1517:H1632 J795:K795 J796:V797 J798:K799 J800:V802 J803:K803 J804:V808 J809:K811 J812:V812 J813:K814 J1066:K1066 J1067:V1067 J1068:K1069 J1070:V1084 J1173:K1173 J1174:V1174 J1175:K1178 J1179:V1182 J1183:K1183 J1184:V1185 J1186:K1192 J1225:K1228 J1297:K1299 J1416:K1417 J1560:K1560 J1561:V1561 J1562:K1562 J1624:K1624 J1631:K1631 J1632:V1632 J1634:V1634 J1635:K1636 J1651:K1651 J1673:K1674 J1685:V1685 J1686:K1687 J1688:V1704 J1710:K1710 J1711:V1727 J1728:K1728 J1729:V1762 J2013:K2013 J2059:K2059 J2143:K2143 J2154:K2154 J2158:K2158 J2161:K2161 J2171:K2171 J2204:K2205 J2231:K2232 J2416:K2417 J2418:V2421 J2422:K2422 J491:V493 J620:V641 J1193:V1202 J1205:V1210 J1281:V1296 J1386:V1415 J1545:V1559 J1588:V1594 J2014:V2029 J2060:V2064 J2066:V2082 J2086:V2088 J2136:V2136 J2155:V2155 J2159:V2159 J664:V727 J2166:V2166 J2206:V2206 J1625:V1630 J302:M302 J305:M306 J307:V313 J314:M316 J317:V319 J320:M320 J321:V321 J322:M322 J323:V325 J326:M326 J329:M329 J336:M336 J337:V342 J344:V388 J343:M343 J390:V392 J395:V405 J393:M394 J495:V561 J562:M562 J601:M601 J604:M605 J606:V607 J610:V618 J608:M609 J655:M655 J781:V794 J729:V779 J780:M780 J815:V832 J834:V859 J833:M833 J861:V869 J870:M870 J871:V877 J880:V887 J878:M879 J890:M890 J892:V902 J903:M903 J1039:M1039 J1040:V1048 J1050:V1061 J1049:M1049 J1086:V1131 J1132:M1132 J1133:V1141 J1142:M1143 J1144:V1151 J1152:M1153 J1154:V1158 J1160:V1172 J1159:M1159 J1219:M1219 J1343:V1357 J1359:V1384 J1358:M1358 J1563:V1565 J1566:M1566 J1574:V1586 J1573:M1573 J1597:V1611 J1595:M1596 J1614:V1623 J1612:M1613 J1637:V1644 J1646:V1650 J1645:M1645 J1652:V1656 J1657:M1657 J1764:V1783 J1784:M1789 J224:V224 J1790:V1808 J1809:M1810 J1811:V1815 J225:M229 J1816:M1820 J1821:V1821 J1822:M1822 J217:M217 J218:V218 J1823:V1844 J219:M220 J1845:M1849 J221:V221 J222:M223 J1850:V1852 J1853:M1853 J1854:V1909 J1910:M1910 J1911:V1911 J1914:V1949 J1912:M1913 J2044:V2047 J2048:M2048 J2049:V2052 J2053:M2053 J2097:M2097 J2114:M2114 J2184:M2185 J2237:M2240 J2270:M2270 J2271:V2272 J2273:M2277 J2278:V2285 J2286:M2286 J2298:K2298 J2299:M2304 J2308:M2312 J2313:V2314 J2315:M2316 J2317:V2317 J2318:M2324 J2325:V2325 J2326:M2328 J2329:V2329 J2330:M2330 J2331:V2331 J2332:M2338 J2339:V2340 J2341:M2342 J2343:V2344 J2345:M2348 J1528:M1528 J1529:V1535 J1526:V1527 J1515:M1515 J1501:M1501 J1502:V1514 J1496:V1500 J1488:M1488 J1489:V1490 J1486:V1487 J1456:M1457 J1443:V1455 J1441:M1441 J1426:V1440 J1537:V1543 J1521:V1523 J1518:V1518 J1536:K1536 J1524:K1525 J1520:K1520 J1517:K1517 J1495:K1495 J1492:V1494 J1485:K1485 J1484:V1484 J1476:K1483 J1342:M1342 J1316:V1341 J1315:M1315 J1313:V1314 J1312:M1312 J1309:V1311 J1306:K1308 J1302:K1302 J1300:V1301 H3:H229 J160:M171 J172:V216 J231:V234 J3:V159 B2666:V2666 G2667 I2667 J407:V408 B409:K467 B2297:F2402 H2297:H2402 J2292:M2295 J2297:M2297 G2297:G2665 I2297:I2665 B2296:K2296 J239:V251 H240:H251 B3:G251 I3:I251 B252:K252 B253:V253 B254:K254 G255 I255 B256:K257 B258:V281 J285:V287 B282:K284 J289:V292 B285:I292 J296:V301 B293:K295 B296:I302 B303:K304 J327:V327 B305:I327 B328:K328 J330:V330 B329:I330 B331:K331 B332:V332 B333:K333 B334:V334 B336:I408 B335:K335 B468:V475 B476:K482 B483:M483 J486:V489 B484:K485 J563:V586 B486:I586 B587:K589 B590:M590 B591:K591 B592:V592 B593:K597 B598:V599 B600:K600 J602:V602 B601:I602 B603:K603 J646:V646 B604:I646 B647:K647 B648:V648 B649:K650 J654:V654 B651:V652 B653:K653 B654:I655 B656:K658 B1281:F1302 H1281:H1302 B1306:F1515 H1306:H1515 B1303:K1305 J2288:V2291 B2143:F2286 H2143:H2286 G1306:G2286 I1306:I2286 B2288:I2295 B2287:K2287 J907:V937 J939:V1038 B939:F1234 H939:H1234 G939:G1302 B659:I937 I939:I1302 B938:K938">
    <cfRule type="expression" dxfId="112" priority="157">
      <formula>LEFT(LOWER($B2),7)="_offset"</formula>
    </cfRule>
  </conditionalFormatting>
  <conditionalFormatting sqref="I3182:I1048576 G3182:G1048576 G1:G2667 I1:I2667">
    <cfRule type="expression" dxfId="111" priority="142">
      <formula>_xlfn.ISFORMULA(G1)=FALSE</formula>
    </cfRule>
  </conditionalFormatting>
  <conditionalFormatting sqref="B255">
    <cfRule type="expression" dxfId="110" priority="1">
      <formula>AND(B255&lt;&gt;"",_xlfn.ISFORMULA(B255)=TRUE)</formula>
    </cfRule>
  </conditionalFormatting>
  <conditionalFormatting sqref="B255:F255 H255 J255:V255">
    <cfRule type="expression" dxfId="109" priority="3">
      <formula>LEFT(LOWER($B255),7)="_delete"</formula>
    </cfRule>
  </conditionalFormatting>
  <conditionalFormatting sqref="B255:F255 H255 J255:V255">
    <cfRule type="expression" dxfId="108" priority="4">
      <formula>LEFT(LOWER($B255),7)="_offset"</formula>
    </cfRule>
  </conditionalFormatting>
  <conditionalFormatting sqref="N314:V316 N320:V320 N322:V322 N326:V326 N343:V343 N393:V394 N562:V562 N608:V609 N780:V780 N833:V833 N870:V870 N878:V879 N890:V890 N903:V903 N1039:V1039 N1049:V1049 N1132:V1132 N1142:V1143 N1152:V1153 N1159:V1159 N1219:V1219 N1312:V1312 N1315:V1315 N1342:V1342 N1441:V1441 N1456:V1457 N1488:V1488 N1501:V1501 N1515:V1515 N1528:V1528 N1566:V1566 N1573:V1573 N1595:V1596 N1612:V1613 N1645:V1645 N1657:V1657 N1784:V1789 N1809:V1810 N225:V229 N1816:V1820 N1822:V1822 N217:V217 N219:V220 N1845:V1849 N222:V223 N1853:V1853 N1910:V1910 N1912:V1913 N2048:V2048 N2053:V2053 N2097:V2097 N2114:V2114 N2270:V2270 N2273:V2277 N2292:V2297 N2299:V2304 N2308:V2312 N2315:V2316 N2318:V2324 N2326:V2328 N2330:V2330 N2332:V2338 N2341:V2342 N2345:V2348 N409:V438 N440:V467 N2803:V2803 N252:V252 N254:V254 N256:V257 N282:V284 N293:V295 N302:V306 N328:V329 N331:V331 N333:V333 N335:V336 N476:V485 N587:V591 N593:V597 N600:V601 N603:V605 N647:V647 N649:V650 N653:V653 N655:V658 N1303:V1305 N2286:V2287 N938:V938">
    <cfRule type="expression" dxfId="107" priority="218">
      <formula>LEFT(LOWER(#REF!),7)="_delete"</formula>
    </cfRule>
  </conditionalFormatting>
  <conditionalFormatting sqref="N314:V316 N320:V320 N322:V322 N326:V326 N343:V343 N393:V394 N562:V562 N608:V609 N780:V780 N833:V833 N870:V870 N878:V879 N890:V890 N903:V903 N1039:V1039 N1049:V1049 N1132:V1132 N1142:V1143 N1152:V1153 N1159:V1159 N1219:V1219 N1312:V1312 N1315:V1315 N1342:V1342 N1441:V1441 N1456:V1457 N1488:V1488 N1501:V1501 N1515:V1515 N1528:V1528 N1566:V1566 N1573:V1573 N1595:V1596 N1612:V1613 N1645:V1645 N1657:V1657 N1784:V1789 N1809:V1810 N225:V229 N1816:V1820 N1822:V1822 N217:V217 N219:V220 N1845:V1849 N222:V223 N1853:V1853 N1910:V1910 N1912:V1913 N2048:V2048 N2053:V2053 N2097:V2097 N2114:V2114 N2270:V2270 N2273:V2277 N2292:V2297 N2299:V2304 N2308:V2312 N2315:V2316 N2318:V2324 N2326:V2328 N2330:V2330 N2332:V2338 N2341:V2342 N2345:V2348 N409:V438 N440:V467 N2803:V2803 N252:V252 N254:V254 N256:V257 N282:V284 N293:V295 N302:V306 N328:V329 N331:V331 N333:V333 N335:V336 N476:V485 N587:V591 N593:V597 N600:V601 N603:V605 N647:V647 N649:V650 N653:V653 N655:V658 N1303:V1305 N2286:V2287 N938:V938">
    <cfRule type="expression" dxfId="106" priority="223">
      <formula>LEFT(LOWER(#REF!),7)="_offset"</formula>
    </cfRule>
  </conditionalFormatting>
  <conditionalFormatting sqref="N2729:V2729">
    <cfRule type="expression" dxfId="105" priority="1372">
      <formula>LEFT(LOWER($B1219),7)="_delete"</formula>
    </cfRule>
  </conditionalFormatting>
  <conditionalFormatting sqref="N2729:V2729">
    <cfRule type="expression" dxfId="104" priority="1379">
      <formula>LEFT(LOWER($B1219),7)="_offset"</formula>
    </cfRule>
  </conditionalFormatting>
  <conditionalFormatting sqref="N2730:V2730">
    <cfRule type="expression" dxfId="103" priority="1417">
      <formula>LEFT(LOWER($B1312),7)="_delete"</formula>
    </cfRule>
  </conditionalFormatting>
  <conditionalFormatting sqref="N2730:V2730">
    <cfRule type="expression" dxfId="102" priority="1423">
      <formula>LEFT(LOWER($B1312),7)="_offset"</formula>
    </cfRule>
  </conditionalFormatting>
  <conditionalFormatting sqref="N2731:V2731">
    <cfRule type="expression" dxfId="101" priority="1460">
      <formula>LEFT(LOWER($B1315),7)="_delete"</formula>
    </cfRule>
  </conditionalFormatting>
  <conditionalFormatting sqref="N2731:V2731">
    <cfRule type="expression" dxfId="100" priority="1465">
      <formula>LEFT(LOWER($B1315),7)="_offset"</formula>
    </cfRule>
  </conditionalFormatting>
  <conditionalFormatting sqref="N2732:V2732">
    <cfRule type="expression" dxfId="99" priority="1502">
      <formula>LEFT(LOWER($B1342),7)="_delete"</formula>
    </cfRule>
  </conditionalFormatting>
  <conditionalFormatting sqref="N2732:V2732">
    <cfRule type="expression" dxfId="98" priority="1507">
      <formula>LEFT(LOWER($B1342),7)="_offset"</formula>
    </cfRule>
  </conditionalFormatting>
  <conditionalFormatting sqref="N2733:V2733">
    <cfRule type="expression" dxfId="97" priority="1543">
      <formula>LEFT(LOWER($B1358),7)="_delete"</formula>
    </cfRule>
  </conditionalFormatting>
  <conditionalFormatting sqref="N2733:V2733">
    <cfRule type="expression" dxfId="96" priority="1547">
      <formula>LEFT(LOWER($B1358),7)="_offset"</formula>
    </cfRule>
  </conditionalFormatting>
  <conditionalFormatting sqref="N2734:V2734">
    <cfRule type="expression" dxfId="95" priority="1585">
      <formula>LEFT(LOWER($B1441),7)="_delete"</formula>
    </cfRule>
  </conditionalFormatting>
  <conditionalFormatting sqref="N2734:V2734">
    <cfRule type="expression" dxfId="94" priority="1591">
      <formula>LEFT(LOWER($B1441),7)="_offset"</formula>
    </cfRule>
  </conditionalFormatting>
  <conditionalFormatting sqref="N2735:V2736">
    <cfRule type="expression" dxfId="93" priority="1630">
      <formula>LEFT(LOWER($B1456),7)="_delete"</formula>
    </cfRule>
  </conditionalFormatting>
  <conditionalFormatting sqref="N2735:V2736">
    <cfRule type="expression" dxfId="92" priority="1637">
      <formula>LEFT(LOWER($B1456),7)="_offset"</formula>
    </cfRule>
  </conditionalFormatting>
  <conditionalFormatting sqref="N2737:V2737">
    <cfRule type="expression" dxfId="91" priority="1675">
      <formula>LEFT(LOWER($B1488),7)="_delete"</formula>
    </cfRule>
  </conditionalFormatting>
  <conditionalFormatting sqref="N2737:V2737">
    <cfRule type="expression" dxfId="90" priority="1681">
      <formula>LEFT(LOWER($B1488),7)="_offset"</formula>
    </cfRule>
  </conditionalFormatting>
  <conditionalFormatting sqref="N2738:V2738">
    <cfRule type="expression" dxfId="89" priority="1718">
      <formula>LEFT(LOWER($B1501),7)="_delete"</formula>
    </cfRule>
  </conditionalFormatting>
  <conditionalFormatting sqref="N2738:V2738">
    <cfRule type="expression" dxfId="88" priority="1723">
      <formula>LEFT(LOWER($B1501),7)="_offset"</formula>
    </cfRule>
  </conditionalFormatting>
  <conditionalFormatting sqref="N2739:V2739">
    <cfRule type="expression" dxfId="87" priority="1761">
      <formula>LEFT(LOWER($B1515),7)="_delete"</formula>
    </cfRule>
  </conditionalFormatting>
  <conditionalFormatting sqref="N2739:V2739">
    <cfRule type="expression" dxfId="86" priority="1767">
      <formula>LEFT(LOWER($B1515),7)="_offset"</formula>
    </cfRule>
  </conditionalFormatting>
  <conditionalFormatting sqref="N2740:V2740">
    <cfRule type="expression" dxfId="85" priority="1805">
      <formula>LEFT(LOWER($B1528),7)="_delete"</formula>
    </cfRule>
  </conditionalFormatting>
  <conditionalFormatting sqref="N2740:V2740">
    <cfRule type="expression" dxfId="84" priority="1811">
      <formula>LEFT(LOWER($B1528),7)="_offset"</formula>
    </cfRule>
  </conditionalFormatting>
  <conditionalFormatting sqref="N2741:V2741">
    <cfRule type="expression" dxfId="83" priority="1849">
      <formula>LEFT(LOWER($B1566),7)="_delete"</formula>
    </cfRule>
  </conditionalFormatting>
  <conditionalFormatting sqref="N2741:V2741">
    <cfRule type="expression" dxfId="82" priority="1855">
      <formula>LEFT(LOWER($B1566),7)="_offset"</formula>
    </cfRule>
  </conditionalFormatting>
  <conditionalFormatting sqref="N2742:V2742">
    <cfRule type="expression" dxfId="81" priority="1893">
      <formula>LEFT(LOWER($B1573),7)="_delete"</formula>
    </cfRule>
  </conditionalFormatting>
  <conditionalFormatting sqref="N2742:V2742">
    <cfRule type="expression" dxfId="80" priority="1899">
      <formula>LEFT(LOWER($B1573),7)="_offset"</formula>
    </cfRule>
  </conditionalFormatting>
  <conditionalFormatting sqref="N2743:V2744">
    <cfRule type="expression" dxfId="79" priority="1939">
      <formula>LEFT(LOWER($B1595),7)="_delete"</formula>
    </cfRule>
  </conditionalFormatting>
  <conditionalFormatting sqref="N2743:V2744">
    <cfRule type="expression" dxfId="78" priority="1947">
      <formula>LEFT(LOWER($B1595),7)="_offset"</formula>
    </cfRule>
  </conditionalFormatting>
  <conditionalFormatting sqref="N2745:V2746">
    <cfRule type="expression" dxfId="77" priority="1985">
      <formula>LEFT(LOWER($B1612),7)="_delete"</formula>
    </cfRule>
  </conditionalFormatting>
  <conditionalFormatting sqref="N2745:V2746">
    <cfRule type="expression" dxfId="76" priority="1991">
      <formula>LEFT(LOWER($B1612),7)="_offset"</formula>
    </cfRule>
  </conditionalFormatting>
  <conditionalFormatting sqref="N2747:V2747">
    <cfRule type="expression" dxfId="75" priority="2028">
      <formula>LEFT(LOWER($B1645),7)="_delete"</formula>
    </cfRule>
  </conditionalFormatting>
  <conditionalFormatting sqref="N2747:V2747">
    <cfRule type="expression" dxfId="74" priority="2033">
      <formula>LEFT(LOWER($B1645),7)="_offset"</formula>
    </cfRule>
  </conditionalFormatting>
  <conditionalFormatting sqref="N2748:V2748">
    <cfRule type="expression" dxfId="73" priority="2072">
      <formula>LEFT(LOWER($B1657),7)="_delete"</formula>
    </cfRule>
  </conditionalFormatting>
  <conditionalFormatting sqref="N2748:V2748">
    <cfRule type="expression" dxfId="72" priority="2079">
      <formula>LEFT(LOWER($B1657),7)="_offset"</formula>
    </cfRule>
  </conditionalFormatting>
  <conditionalFormatting sqref="N2749:V2749">
    <cfRule type="expression" dxfId="71" priority="2118">
      <formula>LEFT(LOWER($B223),7)="_delete"</formula>
    </cfRule>
  </conditionalFormatting>
  <conditionalFormatting sqref="N2749:V2749">
    <cfRule type="expression" dxfId="70" priority="2125">
      <formula>LEFT(LOWER($B223),7)="_offset"</formula>
    </cfRule>
  </conditionalFormatting>
  <conditionalFormatting sqref="N2750:V2755">
    <cfRule type="expression" dxfId="69" priority="2162">
      <formula>LEFT(LOWER($B1784),7)="_delete"</formula>
    </cfRule>
  </conditionalFormatting>
  <conditionalFormatting sqref="N2750:V2755">
    <cfRule type="expression" dxfId="68" priority="2167">
      <formula>LEFT(LOWER($B1784),7)="_offset"</formula>
    </cfRule>
  </conditionalFormatting>
  <conditionalFormatting sqref="N2756:V2758">
    <cfRule type="expression" dxfId="67" priority="2207">
      <formula>LEFT(LOWER($B225),7)="_delete"</formula>
    </cfRule>
  </conditionalFormatting>
  <conditionalFormatting sqref="N2756:V2758">
    <cfRule type="expression" dxfId="66" priority="2215">
      <formula>LEFT(LOWER($B225),7)="_offset"</formula>
    </cfRule>
  </conditionalFormatting>
  <conditionalFormatting sqref="N2759:V2760">
    <cfRule type="expression" dxfId="65" priority="2252">
      <formula>LEFT(LOWER($B1809),7)="_delete"</formula>
    </cfRule>
  </conditionalFormatting>
  <conditionalFormatting sqref="N2759:V2760">
    <cfRule type="expression" dxfId="64" priority="2257">
      <formula>LEFT(LOWER($B1809),7)="_offset"</formula>
    </cfRule>
  </conditionalFormatting>
  <conditionalFormatting sqref="N2761:V2761">
    <cfRule type="expression" dxfId="63" priority="2296">
      <formula>LEFT(LOWER($B228),7)="_delete"</formula>
    </cfRule>
  </conditionalFormatting>
  <conditionalFormatting sqref="N2761:V2761">
    <cfRule type="expression" dxfId="62" priority="2303">
      <formula>LEFT(LOWER($B228),7)="_offset"</formula>
    </cfRule>
  </conditionalFormatting>
  <conditionalFormatting sqref="N2762:V2763 N2768:V2768">
    <cfRule type="expression" dxfId="61" priority="2340">
      <formula>LEFT(LOWER($B1816),7)="_delete"</formula>
    </cfRule>
  </conditionalFormatting>
  <conditionalFormatting sqref="N2762:V2763 N2768:V2768">
    <cfRule type="expression" dxfId="60" priority="2345">
      <formula>LEFT(LOWER($B1816),7)="_offset"</formula>
    </cfRule>
  </conditionalFormatting>
  <conditionalFormatting sqref="N2764:V2764">
    <cfRule type="expression" dxfId="59" priority="2383">
      <formula>LEFT(LOWER($B229),7)="_delete"</formula>
    </cfRule>
  </conditionalFormatting>
  <conditionalFormatting sqref="N2764:V2764">
    <cfRule type="expression" dxfId="58" priority="2389">
      <formula>LEFT(LOWER($B229),7)="_offset"</formula>
    </cfRule>
  </conditionalFormatting>
  <conditionalFormatting sqref="N2765:V2767">
    <cfRule type="expression" dxfId="57" priority="2426">
      <formula>LEFT(LOWER($B1818),7)="_delete"</formula>
    </cfRule>
  </conditionalFormatting>
  <conditionalFormatting sqref="N2765:V2767">
    <cfRule type="expression" dxfId="56" priority="2431">
      <formula>LEFT(LOWER($B1818),7)="_offset"</formula>
    </cfRule>
  </conditionalFormatting>
  <conditionalFormatting sqref="N2769:V2769">
    <cfRule type="expression" dxfId="55" priority="2470">
      <formula>LEFT(LOWER($B217),7)="_delete"</formula>
    </cfRule>
  </conditionalFormatting>
  <conditionalFormatting sqref="N2769:V2769">
    <cfRule type="expression" dxfId="54" priority="2477">
      <formula>LEFT(LOWER($B217),7)="_offset"</formula>
    </cfRule>
  </conditionalFormatting>
  <conditionalFormatting sqref="N2770:V2770">
    <cfRule type="expression" dxfId="53" priority="2514">
      <formula>LEFT(LOWER($B219),7)="_delete"</formula>
    </cfRule>
  </conditionalFormatting>
  <conditionalFormatting sqref="N2770:V2770">
    <cfRule type="expression" dxfId="52" priority="2519">
      <formula>LEFT(LOWER($B219),7)="_offset"</formula>
    </cfRule>
  </conditionalFormatting>
  <conditionalFormatting sqref="N2771:V2773">
    <cfRule type="expression" dxfId="51" priority="2556">
      <formula>LEFT(LOWER($B1845),7)="_delete"</formula>
    </cfRule>
  </conditionalFormatting>
  <conditionalFormatting sqref="N2771:V2773">
    <cfRule type="expression" dxfId="50" priority="2561">
      <formula>LEFT(LOWER($B1845),7)="_offset"</formula>
    </cfRule>
  </conditionalFormatting>
  <conditionalFormatting sqref="N2774:V2774">
    <cfRule type="expression" dxfId="49" priority="2598">
      <formula>LEFT(LOWER($B220),7)="_delete"</formula>
    </cfRule>
  </conditionalFormatting>
  <conditionalFormatting sqref="N2774:V2774">
    <cfRule type="expression" dxfId="48" priority="2603">
      <formula>LEFT(LOWER($B220),7)="_offset"</formula>
    </cfRule>
  </conditionalFormatting>
  <conditionalFormatting sqref="N2775:V2776">
    <cfRule type="expression" dxfId="47" priority="2640">
      <formula>LEFT(LOWER($B1848),7)="_delete"</formula>
    </cfRule>
  </conditionalFormatting>
  <conditionalFormatting sqref="N2775:V2776">
    <cfRule type="expression" dxfId="46" priority="2645">
      <formula>LEFT(LOWER($B1848),7)="_offset"</formula>
    </cfRule>
  </conditionalFormatting>
  <conditionalFormatting sqref="N2777:V2777">
    <cfRule type="expression" dxfId="45" priority="2682">
      <formula>LEFT(LOWER($B222),7)="_delete"</formula>
    </cfRule>
  </conditionalFormatting>
  <conditionalFormatting sqref="N2777:V2777">
    <cfRule type="expression" dxfId="44" priority="2687">
      <formula>LEFT(LOWER($B222),7)="_offset"</formula>
    </cfRule>
  </conditionalFormatting>
  <conditionalFormatting sqref="N2778:V2778">
    <cfRule type="expression" dxfId="43" priority="2724">
      <formula>LEFT(LOWER($B1853),7)="_delete"</formula>
    </cfRule>
  </conditionalFormatting>
  <conditionalFormatting sqref="N2778:V2778">
    <cfRule type="expression" dxfId="42" priority="2729">
      <formula>LEFT(LOWER($B1853),7)="_offset"</formula>
    </cfRule>
  </conditionalFormatting>
  <conditionalFormatting sqref="N2779:V2779">
    <cfRule type="expression" dxfId="41" priority="2766">
      <formula>LEFT(LOWER($B1910),7)="_delete"</formula>
    </cfRule>
  </conditionalFormatting>
  <conditionalFormatting sqref="N2779:V2779">
    <cfRule type="expression" dxfId="40" priority="2771">
      <formula>LEFT(LOWER($B1910),7)="_offset"</formula>
    </cfRule>
  </conditionalFormatting>
  <conditionalFormatting sqref="N2780:V2781">
    <cfRule type="expression" dxfId="39" priority="2808">
      <formula>LEFT(LOWER($B1912),7)="_delete"</formula>
    </cfRule>
  </conditionalFormatting>
  <conditionalFormatting sqref="N2780:V2781">
    <cfRule type="expression" dxfId="38" priority="2813">
      <formula>LEFT(LOWER($B1912),7)="_offset"</formula>
    </cfRule>
  </conditionalFormatting>
  <conditionalFormatting sqref="N2782:V2782">
    <cfRule type="expression" dxfId="37" priority="2853">
      <formula>LEFT(LOWER($B2048),7)="_delete"</formula>
    </cfRule>
  </conditionalFormatting>
  <conditionalFormatting sqref="N2782:V2782">
    <cfRule type="expression" dxfId="36" priority="2861">
      <formula>LEFT(LOWER($B2048),7)="_offset"</formula>
    </cfRule>
  </conditionalFormatting>
  <conditionalFormatting sqref="N2783:V2783">
    <cfRule type="expression" dxfId="35" priority="2900">
      <formula>LEFT(LOWER($B2053),7)="_delete"</formula>
    </cfRule>
  </conditionalFormatting>
  <conditionalFormatting sqref="N2783:V2783">
    <cfRule type="expression" dxfId="34" priority="2907">
      <formula>LEFT(LOWER($B2053),7)="_offset"</formula>
    </cfRule>
  </conditionalFormatting>
  <conditionalFormatting sqref="N2784:V2784">
    <cfRule type="expression" dxfId="33" priority="2946">
      <formula>LEFT(LOWER($B2097),7)="_delete"</formula>
    </cfRule>
  </conditionalFormatting>
  <conditionalFormatting sqref="N2784:V2784">
    <cfRule type="expression" dxfId="32" priority="2953">
      <formula>LEFT(LOWER($B2097),7)="_offset"</formula>
    </cfRule>
  </conditionalFormatting>
  <conditionalFormatting sqref="N2785:V2785">
    <cfRule type="expression" dxfId="31" priority="2991">
      <formula>LEFT(LOWER($B2114),7)="_delete"</formula>
    </cfRule>
  </conditionalFormatting>
  <conditionalFormatting sqref="N2785:V2785">
    <cfRule type="expression" dxfId="30" priority="2997">
      <formula>LEFT(LOWER($B2114),7)="_offset"</formula>
    </cfRule>
  </conditionalFormatting>
  <conditionalFormatting sqref="N2786:V2787">
    <cfRule type="expression" dxfId="29" priority="3034">
      <formula>LEFT(LOWER($B2184),7)="_delete"</formula>
    </cfRule>
  </conditionalFormatting>
  <conditionalFormatting sqref="N2786:V2787">
    <cfRule type="expression" dxfId="28" priority="3039">
      <formula>LEFT(LOWER($B2184),7)="_offset"</formula>
    </cfRule>
  </conditionalFormatting>
  <conditionalFormatting sqref="N2788:V2791">
    <cfRule type="expression" dxfId="27" priority="3076">
      <formula>LEFT(LOWER($B2237),7)="_delete"</formula>
    </cfRule>
  </conditionalFormatting>
  <conditionalFormatting sqref="N2788:V2791">
    <cfRule type="expression" dxfId="26" priority="3081">
      <formula>LEFT(LOWER($B2237),7)="_offset"</formula>
    </cfRule>
  </conditionalFormatting>
  <conditionalFormatting sqref="N2792:V2792">
    <cfRule type="expression" dxfId="25" priority="3122">
      <formula>LEFT(LOWER($B2270),7)="_delete"</formula>
    </cfRule>
  </conditionalFormatting>
  <conditionalFormatting sqref="N2792:V2792">
    <cfRule type="expression" dxfId="24" priority="3131">
      <formula>LEFT(LOWER($B2270),7)="_offset"</formula>
    </cfRule>
  </conditionalFormatting>
  <conditionalFormatting sqref="N2793:V2797">
    <cfRule type="expression" dxfId="23" priority="3172">
      <formula>LEFT(LOWER($B2273),7)="_delete"</formula>
    </cfRule>
  </conditionalFormatting>
  <conditionalFormatting sqref="N2793:V2797">
    <cfRule type="expression" dxfId="22" priority="3181">
      <formula>LEFT(LOWER($B2273),7)="_offset"</formula>
    </cfRule>
  </conditionalFormatting>
  <conditionalFormatting sqref="N2798:V2798">
    <cfRule type="expression" dxfId="21" priority="3222">
      <formula>LEFT(LOWER($B2286),7)="_delete"</formula>
    </cfRule>
  </conditionalFormatting>
  <conditionalFormatting sqref="N2798:V2798">
    <cfRule type="expression" dxfId="20" priority="3231">
      <formula>LEFT(LOWER($B2286),7)="_offset"</formula>
    </cfRule>
  </conditionalFormatting>
  <conditionalFormatting sqref="N2799:V2802 N2804:V2804">
    <cfRule type="expression" dxfId="19" priority="3272">
      <formula>LEFT(LOWER($B2292),7)="_delete"</formula>
    </cfRule>
  </conditionalFormatting>
  <conditionalFormatting sqref="N2799:V2802 N2804:V2804">
    <cfRule type="expression" dxfId="18" priority="3281">
      <formula>LEFT(LOWER($B2292),7)="_offset"</formula>
    </cfRule>
  </conditionalFormatting>
  <conditionalFormatting sqref="N2805:V2810">
    <cfRule type="expression" dxfId="17" priority="3325">
      <formula>LEFT(LOWER($B2299),7)="_delete"</formula>
    </cfRule>
  </conditionalFormatting>
  <conditionalFormatting sqref="N2805:V2810">
    <cfRule type="expression" dxfId="16" priority="3337">
      <formula>LEFT(LOWER($B2299),7)="_offset"</formula>
    </cfRule>
  </conditionalFormatting>
  <conditionalFormatting sqref="N2811:V2815">
    <cfRule type="expression" dxfId="15" priority="3378">
      <formula>LEFT(LOWER($B2308),7)="_delete"</formula>
    </cfRule>
  </conditionalFormatting>
  <conditionalFormatting sqref="N2811:V2815">
    <cfRule type="expression" dxfId="14" priority="3387">
      <formula>LEFT(LOWER($B2308),7)="_offset"</formula>
    </cfRule>
  </conditionalFormatting>
  <conditionalFormatting sqref="N2816:V2817">
    <cfRule type="expression" dxfId="13" priority="3429">
      <formula>LEFT(LOWER($B2315),7)="_delete"</formula>
    </cfRule>
  </conditionalFormatting>
  <conditionalFormatting sqref="N2816:V2817">
    <cfRule type="expression" dxfId="12" priority="3439">
      <formula>LEFT(LOWER($B2315),7)="_offset"</formula>
    </cfRule>
  </conditionalFormatting>
  <conditionalFormatting sqref="N2818:V2824">
    <cfRule type="expression" dxfId="11" priority="3483">
      <formula>LEFT(LOWER($B2318),7)="_delete"</formula>
    </cfRule>
  </conditionalFormatting>
  <conditionalFormatting sqref="N2818:V2824">
    <cfRule type="expression" dxfId="10" priority="3495">
      <formula>LEFT(LOWER($B2318),7)="_offset"</formula>
    </cfRule>
  </conditionalFormatting>
  <conditionalFormatting sqref="N2825:V2827">
    <cfRule type="expression" dxfId="9" priority="3539">
      <formula>LEFT(LOWER($B2326),7)="_delete"</formula>
    </cfRule>
  </conditionalFormatting>
  <conditionalFormatting sqref="N2825:V2827">
    <cfRule type="expression" dxfId="8" priority="3551">
      <formula>LEFT(LOWER($B2326),7)="_offset"</formula>
    </cfRule>
  </conditionalFormatting>
  <conditionalFormatting sqref="N2828:V2828">
    <cfRule type="expression" dxfId="7" priority="3595">
      <formula>LEFT(LOWER($B2330),7)="_delete"</formula>
    </cfRule>
  </conditionalFormatting>
  <conditionalFormatting sqref="N2828:V2828">
    <cfRule type="expression" dxfId="6" priority="3607">
      <formula>LEFT(LOWER($B2330),7)="_offset"</formula>
    </cfRule>
  </conditionalFormatting>
  <conditionalFormatting sqref="N2829:V2835">
    <cfRule type="expression" dxfId="5" priority="3651">
      <formula>LEFT(LOWER($B2332),7)="_delete"</formula>
    </cfRule>
  </conditionalFormatting>
  <conditionalFormatting sqref="N2829:V2835">
    <cfRule type="expression" dxfId="4" priority="3663">
      <formula>LEFT(LOWER($B2332),7)="_offset"</formula>
    </cfRule>
  </conditionalFormatting>
  <conditionalFormatting sqref="N2836:V2837">
    <cfRule type="expression" dxfId="3" priority="3704">
      <formula>LEFT(LOWER($B2341),7)="_delete"</formula>
    </cfRule>
  </conditionalFormatting>
  <conditionalFormatting sqref="N2836:V2837">
    <cfRule type="expression" dxfId="2" priority="3713">
      <formula>LEFT(LOWER($B2341),7)="_offset"</formula>
    </cfRule>
  </conditionalFormatting>
  <conditionalFormatting sqref="N2838:V2841">
    <cfRule type="expression" dxfId="1" priority="3754">
      <formula>LEFT(LOWER($B2345),7)="_delete"</formula>
    </cfRule>
  </conditionalFormatting>
  <conditionalFormatting sqref="N2838:V2841">
    <cfRule type="expression" dxfId="0" priority="3763">
      <formula>LEFT(LOWER($B2345),7)="_offset"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94FBC-DC8F-934A-A222-53854F6D7A70}">
  <sheetPr codeName="Sheet2"/>
  <dimension ref="B7:E17"/>
  <sheetViews>
    <sheetView workbookViewId="0">
      <selection activeCell="D16" sqref="D16"/>
    </sheetView>
  </sheetViews>
  <sheetFormatPr baseColWidth="10" defaultRowHeight="16"/>
  <cols>
    <col min="2" max="2" width="20.1640625" customWidth="1"/>
    <col min="3" max="3" width="16.83203125" customWidth="1"/>
    <col min="4" max="4" width="11.5" bestFit="1" customWidth="1"/>
  </cols>
  <sheetData>
    <row r="7" spans="2:5" ht="27">
      <c r="B7" s="39"/>
      <c r="C7" s="39"/>
      <c r="D7" s="39"/>
      <c r="E7" s="39"/>
    </row>
    <row r="8" spans="2:5" ht="27">
      <c r="B8" s="39"/>
      <c r="C8" s="39"/>
      <c r="D8" s="39"/>
      <c r="E8" s="39"/>
    </row>
    <row r="9" spans="2:5" ht="27">
      <c r="B9" s="39" t="s">
        <v>5513</v>
      </c>
      <c r="C9" s="39">
        <f>COUNTA(BLOODWYCH439!A2:A2665)</f>
        <v>2664</v>
      </c>
      <c r="D9" s="39"/>
      <c r="E9" s="39"/>
    </row>
    <row r="10" spans="2:5" ht="27">
      <c r="B10" s="39" t="s">
        <v>5514</v>
      </c>
      <c r="C10" s="39">
        <f>COUNTBLANK(BLOODWYCH439!B2:B2665)</f>
        <v>923</v>
      </c>
      <c r="D10" s="40">
        <f>C10/C9</f>
        <v>0.34647147147147145</v>
      </c>
      <c r="E10" s="39"/>
    </row>
    <row r="11" spans="2:5" ht="27">
      <c r="B11" s="39" t="s">
        <v>5515</v>
      </c>
      <c r="C11" s="39">
        <f>C9-COUNTBLANK(BLOODWYCH439!B2:B2665)</f>
        <v>1741</v>
      </c>
      <c r="D11" s="40">
        <f>C11/C9</f>
        <v>0.6535285285285285</v>
      </c>
      <c r="E11" s="39"/>
    </row>
    <row r="12" spans="2:5" ht="27">
      <c r="B12" s="39"/>
      <c r="C12" s="39"/>
      <c r="D12" s="39"/>
      <c r="E12" s="39"/>
    </row>
    <row r="13" spans="2:5" ht="27">
      <c r="B13" s="39"/>
      <c r="C13" s="39"/>
      <c r="D13" s="39"/>
      <c r="E13" s="39"/>
    </row>
    <row r="14" spans="2:5" ht="27">
      <c r="B14" s="39"/>
      <c r="C14" s="39"/>
      <c r="D14" s="39"/>
      <c r="E14" s="39"/>
    </row>
    <row r="15" spans="2:5" ht="27">
      <c r="B15" s="39"/>
      <c r="C15" s="39"/>
      <c r="D15" s="39"/>
      <c r="E15" s="39"/>
    </row>
    <row r="16" spans="2:5" ht="27">
      <c r="B16" s="39"/>
      <c r="C16" s="39"/>
      <c r="D16" s="39"/>
      <c r="E16" s="39"/>
    </row>
    <row r="17" spans="2:5" ht="27">
      <c r="B17" s="39"/>
      <c r="C17" s="39"/>
      <c r="D17" s="39"/>
      <c r="E17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2026-09-02T19:58:41Z</dcterms:modified>
</cp:coreProperties>
</file>