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C869586E-4F63-8548-B854-39D62A160EAF}" xr6:coauthVersionLast="45" xr6:coauthVersionMax="45" xr10:uidLastSave="{00000000-0000-0000-0000-000000000000}"/>
  <bookViews>
    <workbookView xWindow="1780" yWindow="460" windowWidth="30340" windowHeight="19880" activeTab="2" xr2:uid="{00000000-000D-0000-FFFF-FFFF00000000}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  <sheet name="pocket-offsets" sheetId="7" r:id="rId6"/>
    <sheet name="Sheet2" sheetId="8" r:id="rId7"/>
    <sheet name="ObjectIcons" sheetId="9" r:id="rId8"/>
    <sheet name="Objects" sheetId="10" r:id="rId9"/>
    <sheet name="SpellTable" sheetId="11" r:id="rId10"/>
  </sheets>
  <functionGroups builtInGroupCount="19"/>
  <definedNames>
    <definedName name="_xlnm._FilterDatabase" localSheetId="2" hidden="1">BWOrganised!$A$1:$K$2617</definedName>
    <definedName name="EditSheet">MacroTools!$D$9</definedName>
    <definedName name="EditSheet2">MacroTools!$D$16</definedName>
    <definedName name="FileIN">MacroTools!$D$5</definedName>
    <definedName name="FileIN2">MacroTools!$D$12</definedName>
    <definedName name="JT_Name">MacroTools!$D$29</definedName>
    <definedName name="Path">Objects!$O$1</definedName>
    <definedName name="SubLabelCount">MacroTools!$C$24</definedName>
    <definedName name="Target">MacroTools!$D$7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" l="1"/>
  <c r="I43" i="11" l="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1" i="11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3" i="10"/>
  <c r="H4" i="10"/>
  <c r="H5" i="10"/>
  <c r="H6" i="10"/>
  <c r="H2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5" i="10"/>
  <c r="L5" i="10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2" i="9"/>
  <c r="H1" i="9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H1" i="10"/>
  <c r="J2639" i="3" l="1"/>
  <c r="K2665" i="3"/>
  <c r="K2664" i="3"/>
  <c r="K2663" i="3"/>
  <c r="K2662" i="3"/>
  <c r="K2661" i="3"/>
  <c r="K2660" i="3"/>
  <c r="K2659" i="3"/>
  <c r="K2658" i="3"/>
  <c r="K2657" i="3"/>
  <c r="K2656" i="3"/>
  <c r="K2655" i="3"/>
  <c r="K2654" i="3"/>
  <c r="K2653" i="3"/>
  <c r="J2553" i="4" l="1"/>
  <c r="J2552" i="4"/>
  <c r="J2551" i="4"/>
  <c r="J2550" i="4"/>
  <c r="J2549" i="4"/>
  <c r="J2548" i="4"/>
  <c r="J2558" i="4" l="1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76" i="3"/>
  <c r="G2675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7" i="3"/>
  <c r="B9" i="3" s="1"/>
  <c r="B9" i="4" l="1"/>
  <c r="B11" i="4" s="1"/>
  <c r="E9" i="1"/>
</calcChain>
</file>

<file path=xl/sharedStrings.xml><?xml version="1.0" encoding="utf-8"?>
<sst xmlns="http://schemas.openxmlformats.org/spreadsheetml/2006/main" count="23656" uniqueCount="9578">
  <si>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</si>
  <si>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</si>
  <si>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</si>
  <si>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</si>
  <si>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</si>
  <si>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</si>
  <si>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</si>
  <si>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</si>
  <si>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</si>
  <si>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</si>
  <si>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</si>
  <si>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</si>
  <si>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</si>
  <si>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</si>
  <si>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</si>
  <si>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</si>
  <si>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</si>
  <si>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</si>
  <si>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</si>
  <si>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</si>
  <si>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</si>
  <si>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</si>
  <si>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</si>
  <si>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</si>
  <si>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</si>
  <si>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</si>
  <si>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</si>
  <si>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</si>
  <si>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</si>
  <si>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</si>
  <si>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</si>
  <si>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</si>
  <si>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</si>
  <si>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</si>
  <si>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</si>
  <si>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</si>
  <si>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</si>
  <si>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</si>
  <si>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</si>
  <si>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</si>
  <si>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</si>
  <si>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</si>
  <si>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</si>
  <si>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</si>
  <si>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</si>
  <si>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</si>
  <si>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</si>
  <si>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</si>
  <si>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</si>
  <si>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</si>
  <si>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</si>
  <si>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</si>
  <si>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</si>
  <si>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</si>
  <si>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</si>
  <si>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</si>
  <si>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</si>
  <si>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</si>
  <si>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</si>
  <si>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</si>
  <si>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</si>
  <si>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</si>
  <si>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</si>
  <si>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</si>
  <si>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</si>
  <si>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</si>
  <si>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</si>
  <si>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</si>
  <si>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</si>
  <si>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</si>
  <si>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</si>
  <si>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</si>
  <si>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</si>
  <si>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</si>
  <si>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</si>
  <si>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</si>
  <si>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</si>
  <si>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</si>
  <si>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</si>
  <si>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</si>
  <si>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</si>
  <si>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</si>
  <si>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</si>
  <si>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</si>
  <si>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</si>
  <si>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</si>
  <si>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</si>
  <si>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</si>
  <si>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</si>
  <si>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</si>
  <si>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</si>
  <si>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</si>
  <si>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</si>
  <si>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</si>
  <si>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</si>
  <si>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</si>
  <si>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</si>
  <si>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</si>
  <si>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</si>
  <si>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</si>
  <si>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</si>
  <si>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</si>
  <si>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</si>
  <si>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</si>
  <si>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</si>
  <si>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</si>
  <si>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</si>
  <si>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</si>
  <si>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</si>
  <si>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</si>
  <si>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</si>
  <si>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</si>
  <si>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</si>
  <si>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</si>
  <si>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</si>
  <si>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</si>
  <si>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</si>
  <si>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</si>
  <si>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</si>
  <si>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</si>
  <si>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</si>
  <si>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</si>
  <si>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</si>
  <si>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</si>
  <si>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</si>
  <si>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</si>
  <si>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</si>
  <si>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</si>
  <si>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</si>
  <si>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</si>
  <si>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</si>
  <si>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</si>
  <si>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</si>
  <si>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</si>
  <si>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</si>
  <si>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</si>
  <si>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</si>
  <si>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</si>
  <si>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</si>
  <si>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</si>
  <si>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</si>
  <si>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</si>
  <si>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</si>
  <si>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</si>
  <si>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</si>
  <si>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</si>
  <si>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</si>
  <si>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</si>
  <si>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</si>
  <si>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</si>
  <si>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</si>
  <si>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</si>
  <si>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</si>
  <si>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</si>
  <si>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</si>
  <si>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</si>
  <si>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</si>
  <si>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</si>
  <si>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</si>
  <si>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</si>
  <si>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</si>
  <si>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</si>
  <si>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</si>
  <si>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</si>
  <si>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</si>
  <si>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</si>
  <si>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</si>
  <si>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</si>
  <si>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</si>
  <si>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</si>
  <si>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</si>
  <si>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</si>
  <si>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</si>
  <si>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</si>
  <si>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</si>
  <si>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</si>
  <si>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</si>
  <si>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</si>
  <si>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</si>
  <si>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</si>
  <si>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</si>
  <si>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</si>
  <si>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</si>
  <si>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</si>
  <si>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</si>
  <si>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</si>
  <si>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</si>
  <si>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</si>
  <si>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</si>
  <si>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</si>
  <si>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</si>
  <si>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</si>
  <si>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</si>
  <si>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</si>
  <si>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</si>
  <si>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</si>
  <si>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</si>
  <si>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</si>
  <si>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</si>
  <si>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</si>
  <si>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</si>
  <si>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</si>
  <si>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</si>
  <si>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</si>
  <si>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</si>
  <si>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</si>
  <si>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</si>
  <si>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</si>
  <si>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</si>
  <si>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</si>
  <si>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</si>
  <si>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</si>
  <si>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</si>
  <si>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</si>
  <si>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</si>
  <si>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</si>
  <si>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</si>
  <si>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</si>
  <si>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</si>
  <si>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</si>
  <si>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</si>
  <si>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</si>
  <si>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</si>
  <si>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</si>
  <si>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</si>
  <si>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</si>
  <si>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</si>
  <si>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</si>
  <si>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</si>
  <si>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</si>
  <si>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</si>
  <si>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</si>
  <si>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</si>
  <si>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</si>
  <si>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</si>
  <si>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</si>
  <si>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</si>
  <si>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</si>
  <si>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</si>
  <si>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</si>
  <si>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</si>
  <si>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</si>
  <si>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</si>
  <si>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</si>
  <si>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</si>
  <si>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</si>
  <si>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</si>
  <si>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</si>
  <si>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</si>
  <si>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</si>
  <si>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</si>
  <si>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</si>
  <si>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</si>
  <si>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</si>
  <si>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</si>
  <si>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</si>
  <si>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</si>
  <si>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</si>
  <si>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</si>
  <si>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</si>
  <si>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</si>
  <si>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</si>
  <si>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</si>
  <si>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</si>
  <si>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</si>
  <si>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</si>
  <si>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</si>
  <si>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</si>
  <si>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</si>
  <si>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</si>
  <si>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</si>
  <si>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</si>
  <si>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</si>
  <si>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</si>
  <si>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</si>
  <si>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</si>
  <si>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</si>
  <si>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</si>
  <si>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</si>
  <si>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</si>
  <si>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</si>
  <si>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</si>
  <si>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</si>
  <si>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</si>
  <si>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</si>
  <si>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</si>
  <si>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</si>
  <si>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</si>
  <si>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</si>
  <si>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</si>
  <si>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</si>
  <si>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</si>
  <si>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</si>
  <si>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</si>
  <si>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</si>
  <si>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</si>
  <si>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</si>
  <si>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</si>
  <si>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</si>
  <si>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</si>
  <si>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</si>
  <si>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</si>
  <si>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</si>
  <si>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</si>
  <si>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</si>
  <si>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</si>
  <si>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</si>
  <si>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</si>
  <si>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</si>
  <si>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</si>
  <si>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</si>
  <si>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</si>
  <si>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</si>
  <si>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</si>
  <si>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</si>
  <si>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</si>
  <si>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</si>
  <si>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</si>
  <si>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</si>
  <si>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</si>
  <si>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</si>
  <si>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</si>
  <si>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</si>
  <si>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</si>
  <si>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</si>
  <si>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</si>
  <si>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</si>
  <si>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</si>
  <si>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</si>
  <si>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</si>
  <si>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</si>
  <si>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</si>
  <si>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</si>
  <si>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</si>
  <si>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</si>
  <si>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</si>
  <si>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</si>
  <si>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</si>
  <si>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</si>
  <si>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</si>
  <si>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</si>
  <si>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</si>
  <si>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</si>
  <si>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</si>
  <si>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</si>
  <si>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</si>
  <si>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</si>
  <si>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</si>
  <si>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</si>
  <si>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</si>
  <si>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</si>
  <si>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</si>
  <si>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</si>
  <si>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</si>
  <si>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</si>
  <si>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</si>
  <si>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</si>
  <si>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</si>
  <si>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</si>
  <si>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</si>
  <si>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</si>
  <si>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</si>
  <si>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</si>
  <si>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</si>
  <si>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</si>
  <si>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</si>
  <si>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</si>
  <si>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</si>
  <si>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</si>
  <si>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</si>
  <si>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</si>
  <si>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</si>
  <si>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</si>
  <si>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</si>
  <si>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</si>
  <si>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</si>
  <si>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</si>
  <si>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</si>
  <si>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</si>
  <si>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</si>
  <si>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</si>
  <si>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</si>
  <si>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</si>
  <si>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</si>
  <si>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</si>
  <si>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</si>
  <si>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</si>
  <si>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</si>
  <si>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</si>
  <si>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</si>
  <si>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</si>
  <si>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</si>
  <si>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</si>
  <si>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</si>
  <si>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</si>
  <si>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</si>
  <si>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</si>
  <si>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</si>
  <si>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</si>
  <si>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</si>
  <si>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</si>
  <si>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</si>
  <si>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</si>
  <si>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</si>
  <si>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</si>
  <si>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</si>
  <si>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</si>
  <si>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</si>
  <si>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</si>
  <si>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</si>
  <si>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</si>
  <si>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</si>
  <si>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</si>
  <si>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</si>
  <si>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</si>
  <si>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</si>
  <si>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</si>
  <si>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</si>
  <si>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</si>
  <si>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</si>
  <si>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</si>
  <si>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</si>
  <si>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</si>
  <si>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</si>
  <si>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</si>
  <si>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</si>
  <si>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</si>
  <si>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</si>
  <si>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</si>
  <si>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</si>
  <si>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</si>
  <si>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</si>
  <si>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</si>
  <si>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</si>
  <si>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</si>
  <si>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</si>
  <si>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</si>
  <si>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</si>
  <si>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</si>
  <si>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</si>
  <si>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</si>
  <si>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</si>
  <si>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</si>
  <si>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</si>
  <si>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</si>
  <si>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</si>
  <si>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</si>
  <si>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</si>
  <si>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</si>
  <si>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</si>
  <si>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</si>
  <si>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</si>
  <si>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</si>
  <si>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</si>
  <si>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</si>
  <si>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</si>
  <si>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</si>
  <si>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</si>
  <si>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</si>
  <si>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</si>
  <si>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</si>
  <si>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</si>
  <si>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</si>
  <si>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</si>
  <si>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</si>
  <si>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</si>
  <si>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</si>
  <si>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</si>
  <si>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</si>
  <si>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</si>
  <si>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</si>
  <si>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</si>
  <si>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</si>
  <si>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</si>
  <si>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</si>
  <si>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</si>
  <si>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</si>
  <si>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</si>
  <si>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</si>
  <si>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</si>
  <si>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</si>
  <si>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</si>
  <si>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</si>
  <si>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</si>
  <si>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</si>
  <si>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</si>
  <si>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</si>
  <si>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</si>
  <si>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</si>
  <si>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</si>
  <si>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</si>
  <si>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</si>
  <si>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</si>
  <si>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</si>
  <si>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</si>
  <si>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</si>
  <si>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</si>
  <si>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</si>
  <si>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</si>
  <si>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</si>
  <si>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</si>
  <si>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</si>
  <si>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</si>
  <si>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</si>
  <si>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</si>
  <si>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</si>
  <si>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</si>
  <si>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</si>
  <si>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</si>
  <si>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</si>
  <si>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</si>
  <si>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</si>
  <si>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</si>
  <si>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</si>
  <si>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</si>
  <si>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</si>
  <si>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</si>
  <si>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</si>
  <si>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</si>
  <si>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</si>
  <si>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</si>
  <si>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</si>
  <si>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</si>
  <si>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</si>
  <si>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</si>
  <si>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</si>
  <si>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</si>
  <si>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</si>
  <si>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</si>
  <si>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</si>
  <si>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</si>
  <si>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</si>
  <si>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</si>
  <si>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</si>
  <si>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</si>
  <si>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</si>
  <si>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</si>
  <si>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</si>
  <si>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</si>
  <si>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</si>
  <si>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</si>
  <si>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</si>
  <si>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</si>
  <si>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</si>
  <si>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</si>
  <si>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</si>
  <si>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</si>
  <si>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</si>
  <si>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</si>
  <si>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</si>
  <si>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</si>
  <si>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</si>
  <si>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</si>
  <si>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</si>
  <si>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</si>
  <si>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</si>
  <si>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</si>
  <si>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</si>
  <si>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</si>
  <si>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</si>
  <si>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</si>
  <si>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</si>
  <si>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</si>
  <si>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</si>
  <si>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</si>
  <si>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</si>
  <si>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</si>
  <si>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</si>
  <si>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</si>
  <si>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</si>
  <si>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</si>
  <si>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</si>
  <si>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</si>
  <si>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</si>
  <si>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</si>
  <si>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</si>
  <si>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</si>
  <si>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</si>
  <si>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</si>
  <si>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</si>
  <si>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</si>
  <si>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</si>
  <si>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</si>
  <si>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</si>
  <si>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</si>
  <si>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</si>
  <si>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</si>
  <si>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</si>
  <si>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</si>
  <si>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</si>
  <si>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</si>
  <si>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</si>
  <si>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</si>
  <si>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</si>
  <si>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</si>
  <si>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</si>
  <si>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</si>
  <si>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</si>
  <si>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</si>
  <si>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</si>
  <si>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</si>
  <si>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</si>
  <si>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</si>
  <si>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</si>
  <si>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</si>
  <si>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</si>
  <si>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</si>
  <si>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</si>
  <si>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</si>
  <si>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</si>
  <si>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</si>
  <si>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</si>
  <si>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</si>
  <si>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</si>
  <si>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</si>
  <si>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</si>
  <si>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</si>
  <si>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</si>
  <si>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</si>
  <si>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</si>
  <si>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</si>
  <si>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</si>
  <si>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</si>
  <si>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</si>
  <si>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</si>
  <si>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</si>
  <si>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</si>
  <si>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</si>
  <si>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</si>
  <si>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</si>
  <si>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</si>
  <si>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</si>
  <si>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</si>
  <si>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</si>
  <si>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</si>
  <si>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</si>
  <si>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</si>
  <si>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</si>
  <si>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</si>
  <si>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</si>
  <si>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</si>
  <si>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</si>
  <si>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</si>
  <si>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</si>
  <si>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</si>
  <si>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</si>
  <si>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</si>
  <si>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</si>
  <si>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</si>
  <si>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</si>
  <si>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</si>
  <si>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</si>
  <si>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</si>
  <si>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</si>
  <si>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</si>
  <si>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</si>
  <si>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</si>
  <si>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</si>
  <si>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</si>
  <si>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</si>
  <si>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</si>
  <si>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</si>
  <si>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</si>
  <si>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</si>
  <si>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</si>
  <si>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</si>
  <si>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</si>
  <si>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</si>
  <si>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</si>
  <si>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</si>
  <si>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</si>
  <si>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</si>
  <si>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</si>
  <si>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</si>
  <si>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</si>
  <si>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</si>
  <si>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</si>
  <si>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</si>
  <si>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</si>
  <si>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</si>
  <si>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</si>
  <si>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</si>
  <si>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</si>
  <si>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</si>
  <si>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</si>
  <si>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</si>
  <si>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</si>
  <si>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</si>
  <si>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</si>
  <si>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</si>
  <si>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</si>
  <si>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</si>
  <si>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</si>
  <si>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</si>
  <si>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</si>
  <si>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</si>
  <si>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</si>
  <si>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</si>
  <si>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</si>
  <si>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</si>
  <si>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</si>
  <si>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</si>
  <si>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</si>
  <si>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</si>
  <si>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</si>
  <si>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</si>
  <si>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</si>
  <si>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</si>
  <si>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</si>
  <si>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</si>
  <si>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</si>
  <si>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</si>
  <si>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</si>
  <si>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</si>
  <si>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</si>
  <si>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</si>
  <si>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</si>
  <si>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</si>
  <si>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</si>
  <si>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</si>
  <si>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</si>
  <si>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</si>
  <si>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</si>
  <si>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</si>
  <si>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</si>
  <si>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</si>
  <si>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</si>
  <si>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</si>
  <si>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</si>
  <si>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</si>
  <si>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</si>
  <si>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</si>
  <si>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</si>
  <si>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</si>
  <si>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</si>
  <si>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</si>
  <si>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</si>
  <si>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</si>
  <si>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</si>
  <si>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</si>
  <si>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</si>
  <si>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</si>
  <si>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</si>
  <si>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</si>
  <si>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</si>
  <si>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</si>
  <si>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</si>
  <si>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</si>
  <si>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</si>
  <si>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</si>
  <si>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</si>
  <si>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</si>
  <si>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</si>
  <si>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</si>
  <si>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</si>
  <si>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</si>
  <si>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</si>
  <si>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</si>
  <si>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</si>
  <si>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</si>
  <si>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</si>
  <si>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</si>
  <si>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</si>
  <si>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</si>
  <si>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</si>
  <si>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</si>
  <si>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</si>
  <si>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</si>
  <si>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</si>
  <si>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</si>
  <si>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</si>
  <si>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</si>
  <si>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</si>
  <si>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</si>
  <si>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</si>
  <si>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</si>
  <si>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</si>
  <si>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</si>
  <si>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</si>
  <si>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</si>
  <si>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</si>
  <si>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</si>
  <si>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</si>
  <si>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</si>
  <si>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</si>
  <si>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</si>
  <si>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</si>
  <si>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</si>
  <si>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</si>
  <si>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</si>
  <si>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</si>
  <si>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</si>
  <si>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</si>
  <si>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</si>
  <si>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</si>
  <si>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</si>
  <si>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</si>
  <si>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</si>
  <si>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</si>
  <si>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</si>
  <si>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</si>
  <si>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</si>
  <si>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</si>
  <si>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</si>
  <si>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</si>
  <si>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</si>
  <si>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</si>
  <si>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</si>
  <si>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</si>
  <si>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</si>
  <si>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</si>
  <si>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</si>
  <si>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</si>
  <si>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</si>
  <si>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</si>
  <si>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</si>
  <si>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</si>
  <si>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</si>
  <si>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</si>
  <si>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</si>
  <si>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</si>
  <si>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</si>
  <si>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</si>
  <si>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</si>
  <si>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</si>
  <si>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</si>
  <si>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</si>
  <si>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</si>
  <si>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</si>
  <si>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</si>
  <si>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</si>
  <si>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</si>
  <si>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</si>
  <si>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</si>
  <si>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</si>
  <si>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</si>
  <si>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</si>
  <si>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</si>
  <si>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</si>
  <si>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</si>
  <si>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</si>
  <si>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</si>
  <si>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</si>
  <si>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</si>
  <si>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</si>
  <si>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</si>
  <si>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</si>
  <si>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</si>
  <si>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</si>
  <si>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</si>
  <si>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</si>
  <si>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</si>
  <si>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</si>
  <si>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</si>
  <si>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</si>
  <si>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</si>
  <si>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</si>
  <si>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</si>
  <si>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</si>
  <si>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</si>
  <si>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</si>
  <si>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</si>
  <si>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</si>
  <si>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</si>
  <si>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</si>
  <si>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</si>
  <si>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</si>
  <si>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</si>
  <si>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</si>
  <si>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</si>
  <si>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</si>
  <si>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</si>
  <si>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</si>
  <si>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</si>
  <si>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</si>
  <si>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</si>
  <si>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</si>
  <si>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</si>
  <si>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</si>
  <si>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</si>
  <si>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</si>
  <si>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</si>
  <si>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</si>
  <si>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</si>
  <si>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</si>
  <si>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</si>
  <si>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</si>
  <si>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</si>
  <si>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</si>
  <si>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</si>
  <si>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</si>
  <si>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</si>
  <si>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</si>
  <si>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</si>
  <si>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</si>
  <si>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</si>
  <si>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</si>
  <si>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</si>
  <si>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</si>
  <si>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</si>
  <si>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</si>
  <si>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</si>
  <si>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</si>
  <si>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</si>
  <si>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</si>
  <si>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</si>
  <si>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</si>
  <si>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</si>
  <si>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</si>
  <si>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</si>
  <si>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</si>
  <si>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</si>
  <si>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</si>
  <si>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</si>
  <si>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</si>
  <si>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</si>
  <si>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</si>
  <si>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</si>
  <si>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</si>
  <si>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</si>
  <si>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</si>
  <si>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</si>
  <si>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</si>
  <si>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</si>
  <si>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</si>
  <si>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</si>
  <si>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</si>
  <si>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</si>
  <si>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</si>
  <si>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</si>
  <si>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</si>
  <si>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</si>
  <si>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</si>
  <si>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</si>
  <si>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</si>
  <si>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</si>
  <si>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</si>
  <si>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</si>
  <si>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</si>
  <si>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</si>
  <si>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</si>
  <si>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</si>
  <si>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</si>
  <si>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</si>
  <si>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</si>
  <si>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</si>
  <si>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</si>
  <si>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</si>
  <si>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</si>
  <si>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</si>
  <si>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</si>
  <si>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</si>
  <si>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</si>
  <si>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</si>
  <si>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</si>
  <si>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</si>
  <si>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</si>
  <si>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</si>
  <si>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</si>
  <si>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</si>
  <si>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</si>
  <si>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</si>
  <si>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</si>
  <si>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</si>
  <si>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</si>
  <si>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</si>
  <si>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</si>
  <si>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</si>
  <si>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</si>
  <si>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</si>
  <si>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</si>
  <si>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</si>
  <si>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</si>
  <si>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</si>
  <si>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</si>
  <si>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</si>
  <si>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</si>
  <si>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</si>
  <si>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</si>
  <si>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</si>
  <si>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</si>
  <si>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</si>
  <si>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</si>
  <si>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</si>
  <si>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</si>
  <si>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</si>
  <si>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</si>
  <si>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</si>
  <si>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</si>
  <si>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</si>
  <si>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</si>
  <si>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</si>
  <si>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</si>
  <si>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</si>
  <si>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</si>
  <si>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</si>
  <si>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</si>
  <si>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</si>
  <si>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</si>
  <si>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</si>
  <si>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</si>
  <si>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</si>
  <si>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</si>
  <si>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</si>
  <si>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</si>
  <si>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</si>
  <si>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</si>
  <si>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</si>
  <si>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</si>
  <si>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</si>
  <si>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</si>
  <si>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</si>
  <si>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</si>
  <si>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</si>
  <si>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</si>
  <si>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</si>
  <si>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</si>
  <si>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</si>
  <si>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</si>
  <si>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</si>
  <si>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</si>
  <si>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</si>
  <si>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</si>
  <si>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</si>
  <si>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</si>
  <si>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</si>
  <si>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</si>
  <si>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</si>
  <si>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</si>
  <si>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</si>
  <si>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</si>
  <si>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</si>
  <si>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</si>
  <si>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</si>
  <si>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</si>
  <si>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</si>
  <si>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</si>
  <si>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</si>
  <si>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</si>
  <si>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</si>
  <si>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</si>
  <si>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</si>
  <si>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</si>
  <si>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</si>
  <si>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</si>
  <si>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</si>
  <si>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</si>
  <si>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</si>
  <si>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</si>
  <si>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</si>
  <si>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</si>
  <si>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</si>
  <si>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</si>
  <si>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</si>
  <si>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</si>
  <si>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</si>
  <si>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</si>
  <si>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</si>
  <si>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</si>
  <si>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</si>
  <si>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</si>
  <si>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</si>
  <si>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</si>
  <si>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</si>
  <si>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</si>
  <si>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</si>
  <si>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</si>
  <si>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</si>
  <si>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</si>
  <si>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</si>
  <si>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</si>
  <si>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</si>
  <si>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</si>
  <si>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</si>
  <si>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</si>
  <si>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</si>
  <si>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</si>
  <si>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</si>
  <si>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</si>
  <si>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</si>
  <si>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</si>
  <si>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</si>
  <si>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</si>
  <si>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</si>
  <si>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</si>
  <si>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</si>
  <si>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</si>
  <si>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</si>
  <si>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</si>
  <si>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</si>
  <si>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</si>
  <si>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</si>
  <si>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</si>
  <si>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</si>
  <si>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</si>
  <si>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</si>
  <si>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</si>
  <si>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</si>
  <si>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</si>
  <si>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</si>
  <si>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</si>
  <si>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</si>
  <si>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</si>
  <si>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</si>
  <si>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</si>
  <si>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</si>
  <si>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</si>
  <si>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</si>
  <si>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</si>
  <si>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</si>
  <si>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</si>
  <si>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</si>
  <si>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</si>
  <si>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</si>
  <si>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</si>
  <si>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</si>
  <si>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</si>
  <si>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</si>
  <si>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</si>
  <si>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</si>
  <si>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</si>
  <si>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</si>
  <si>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</si>
  <si>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</si>
  <si>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</si>
  <si>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</si>
  <si>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</si>
  <si>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</si>
  <si>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</si>
  <si>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</si>
  <si>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</si>
  <si>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</si>
  <si>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</si>
  <si>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</si>
  <si>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</si>
  <si>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</si>
  <si>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</si>
  <si>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</si>
  <si>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</si>
  <si>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</si>
  <si>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</si>
  <si>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</si>
  <si>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</si>
  <si>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</si>
  <si>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</si>
  <si>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</si>
  <si>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</si>
  <si>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</si>
  <si>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</si>
  <si>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</si>
  <si>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</si>
  <si>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</si>
  <si>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</si>
  <si>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</si>
  <si>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</si>
  <si>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</si>
  <si>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</si>
  <si>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</si>
  <si>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</si>
  <si>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</si>
  <si>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</si>
  <si>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</si>
  <si>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</si>
  <si>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</si>
  <si>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</si>
  <si>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</si>
  <si>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</si>
  <si>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</si>
  <si>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</si>
  <si>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</si>
  <si>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</si>
  <si>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</si>
  <si>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</si>
  <si>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</si>
  <si>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</si>
  <si>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</si>
  <si>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</si>
  <si>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</si>
  <si>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</si>
  <si>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</si>
  <si>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</si>
  <si>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</si>
  <si>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</si>
  <si>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</si>
  <si>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</si>
  <si>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</si>
  <si>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</si>
  <si>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</si>
  <si>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</si>
  <si>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</si>
  <si>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</si>
  <si>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</si>
  <si>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</si>
  <si>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</si>
  <si>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</si>
  <si>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</si>
  <si>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</si>
  <si>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</si>
  <si>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</si>
  <si>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</si>
  <si>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</si>
  <si>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</si>
  <si>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</si>
  <si>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</si>
  <si>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</si>
  <si>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</si>
  <si>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</si>
  <si>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</si>
  <si>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</si>
  <si>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</si>
  <si>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</si>
  <si>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</si>
  <si>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</si>
  <si>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</si>
  <si>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</si>
  <si>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</si>
  <si>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</si>
  <si>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</si>
  <si>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</si>
  <si>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</si>
  <si>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</si>
  <si>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</si>
  <si>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</si>
  <si>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</si>
  <si>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</si>
  <si>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</si>
  <si>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</si>
  <si>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</si>
  <si>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</si>
  <si>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</si>
  <si>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</si>
  <si>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</si>
  <si>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</si>
  <si>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</si>
  <si>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</si>
  <si>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</si>
  <si>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</si>
  <si>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</si>
  <si>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</si>
  <si>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</si>
  <si>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</si>
  <si>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</si>
  <si>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</si>
  <si>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</si>
  <si>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</si>
  <si>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</si>
  <si>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</si>
  <si>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</si>
  <si>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</si>
  <si>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</si>
  <si>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</si>
  <si>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</si>
  <si>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</si>
  <si>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</si>
  <si>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</si>
  <si>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</si>
  <si>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</si>
  <si>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</si>
  <si>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</si>
  <si>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</si>
  <si>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</si>
  <si>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</si>
  <si>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</si>
  <si>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</si>
  <si>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</si>
  <si>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</si>
  <si>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</si>
  <si>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</si>
  <si>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</si>
  <si>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</si>
  <si>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</si>
  <si>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</si>
  <si>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</si>
  <si>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</si>
  <si>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</si>
  <si>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</si>
  <si>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</si>
  <si>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</si>
  <si>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</si>
  <si>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</si>
  <si>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</si>
  <si>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</si>
  <si>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</si>
  <si>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</si>
  <si>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</si>
  <si>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</si>
  <si>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</si>
  <si>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</si>
  <si>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</si>
  <si>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</si>
  <si>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</si>
  <si>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</si>
  <si>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</si>
  <si>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</si>
  <si>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</si>
  <si>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</si>
  <si>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</si>
  <si>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</si>
  <si>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</si>
  <si>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</si>
  <si>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</si>
  <si>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</si>
  <si>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</si>
  <si>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</si>
  <si>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</si>
  <si>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</si>
  <si>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</si>
  <si>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</si>
  <si>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</si>
  <si>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</si>
  <si>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</si>
  <si>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</si>
  <si>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</si>
  <si>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</si>
  <si>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</si>
  <si>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</si>
  <si>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</si>
  <si>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</si>
  <si>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</si>
  <si>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</si>
  <si>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</si>
  <si>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</si>
  <si>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</si>
  <si>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</si>
  <si>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</si>
  <si>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</si>
  <si>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</si>
  <si>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</si>
  <si>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</si>
  <si>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</si>
  <si>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</si>
  <si>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</si>
  <si>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</si>
  <si>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</si>
  <si>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</si>
  <si>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</si>
  <si>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</si>
  <si>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</si>
  <si>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</si>
  <si>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</si>
  <si>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</si>
  <si>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</si>
  <si>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</si>
  <si>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</si>
  <si>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</si>
  <si>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</si>
  <si>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</si>
  <si>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</si>
  <si>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</si>
  <si>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</si>
  <si>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</si>
  <si>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</si>
  <si>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</si>
  <si>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</si>
  <si>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</si>
  <si>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</si>
  <si>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</si>
  <si>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</si>
  <si>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</si>
  <si>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</si>
  <si>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</si>
  <si>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</si>
  <si>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</si>
  <si>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</si>
  <si>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</si>
  <si>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</si>
  <si>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</si>
  <si>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</si>
  <si>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</si>
  <si>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</si>
  <si>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</si>
  <si>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</si>
  <si>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</si>
  <si>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</si>
  <si>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</si>
  <si>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</si>
  <si>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</si>
  <si>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</si>
  <si>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</si>
  <si>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</si>
  <si>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</si>
  <si>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</si>
  <si>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</si>
  <si>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</si>
  <si>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</si>
  <si>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</si>
  <si>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</si>
  <si>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</si>
  <si>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</si>
  <si>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</si>
  <si>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</si>
  <si>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</si>
  <si>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</si>
  <si>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</si>
  <si>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</si>
  <si>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</si>
  <si>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</si>
  <si>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</si>
  <si>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</si>
  <si>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</si>
  <si>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</si>
  <si>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</si>
  <si>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</si>
  <si>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</si>
  <si>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</si>
  <si>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</si>
  <si>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</si>
  <si>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</si>
  <si>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</si>
  <si>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</si>
  <si>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</si>
  <si>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</si>
  <si>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</si>
  <si>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</si>
  <si>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</si>
  <si>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</si>
  <si>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</si>
  <si>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</si>
  <si>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</si>
  <si>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</si>
  <si>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</si>
  <si>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</si>
  <si>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</si>
  <si>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</si>
  <si>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</si>
  <si>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</si>
  <si>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</si>
  <si>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</si>
  <si>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</si>
  <si>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</si>
  <si>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</si>
  <si>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</si>
  <si>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</si>
  <si>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</si>
  <si>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</si>
  <si>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</si>
  <si>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</si>
  <si>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</si>
  <si>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</si>
  <si>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</si>
  <si>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</si>
  <si>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</si>
  <si>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</si>
  <si>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</si>
  <si>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</si>
  <si>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</si>
  <si>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</si>
  <si>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</si>
  <si>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</si>
  <si>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</si>
  <si>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</si>
  <si>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</si>
  <si>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</si>
  <si>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</si>
  <si>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</si>
  <si>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</si>
  <si>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</si>
  <si>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</si>
  <si>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</si>
  <si>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</si>
  <si>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</si>
  <si>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</si>
  <si>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</si>
  <si>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</si>
  <si>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</si>
  <si>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</si>
  <si>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</si>
  <si>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</si>
  <si>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</si>
  <si>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</si>
  <si>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</si>
  <si>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</si>
  <si>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</si>
  <si>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</si>
  <si>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</si>
  <si>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</si>
  <si>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</si>
  <si>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</si>
  <si>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</si>
  <si>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</si>
  <si>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</si>
  <si>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</si>
  <si>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</si>
  <si>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</si>
  <si>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</si>
  <si>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</si>
  <si>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</si>
  <si>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</si>
  <si>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</si>
  <si>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</si>
  <si>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</si>
  <si>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</si>
  <si>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</si>
  <si>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</si>
  <si>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</si>
  <si>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</si>
  <si>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</si>
  <si>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</si>
  <si>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</si>
  <si>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</si>
  <si>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</si>
  <si>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</si>
  <si>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</si>
  <si>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</si>
  <si>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</si>
  <si>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</si>
  <si>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</si>
  <si>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</si>
  <si>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</si>
  <si>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</si>
  <si>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</si>
  <si>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</si>
  <si>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</si>
  <si>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</si>
  <si>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</si>
  <si>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</si>
  <si>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</si>
  <si>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</si>
  <si>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</si>
  <si>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</si>
  <si>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</si>
  <si>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</si>
  <si>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</si>
  <si>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</si>
  <si>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</si>
  <si>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</si>
  <si>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</si>
  <si>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</si>
  <si>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</si>
  <si>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</si>
  <si>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</si>
  <si>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</si>
  <si>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</si>
  <si>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</si>
  <si>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</si>
  <si>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</si>
  <si>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</si>
  <si>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</si>
  <si>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</si>
  <si>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</si>
  <si>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</si>
  <si>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</si>
  <si>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</si>
  <si>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</si>
  <si>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</si>
  <si>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</si>
  <si>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</si>
  <si>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</si>
  <si>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</si>
  <si>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</si>
  <si>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</si>
  <si>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</si>
  <si>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</si>
  <si>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</si>
  <si>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</si>
  <si>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</si>
  <si>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</si>
  <si>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</si>
  <si>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</si>
  <si>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</si>
  <si>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</si>
  <si>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</si>
  <si>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</si>
  <si>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</si>
  <si>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</si>
  <si>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</si>
  <si>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</si>
  <si>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</si>
  <si>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</si>
  <si>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</si>
  <si>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</si>
  <si>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</si>
  <si>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</si>
  <si>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</si>
  <si>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</si>
  <si>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</si>
  <si>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</si>
  <si>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</si>
  <si>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</si>
  <si>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</si>
  <si>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</si>
  <si>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</si>
  <si>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</si>
  <si>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</si>
  <si>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</si>
  <si>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</si>
  <si>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</si>
  <si>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</si>
  <si>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</si>
  <si>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</si>
  <si>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</si>
  <si>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</si>
  <si>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</si>
  <si>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</si>
  <si>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</si>
  <si>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</si>
  <si>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</si>
  <si>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</si>
  <si>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</si>
  <si>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</si>
  <si>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</si>
  <si>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</si>
  <si>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</si>
  <si>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</si>
  <si>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</si>
  <si>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</si>
  <si>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</si>
  <si>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</si>
  <si>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</si>
  <si>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</si>
  <si>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</si>
  <si>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</si>
  <si>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</si>
  <si>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</si>
  <si>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</si>
  <si>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</si>
  <si>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</si>
  <si>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</si>
  <si>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</si>
  <si>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</si>
  <si>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</si>
  <si>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</si>
  <si>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</si>
  <si>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</si>
  <si>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</si>
  <si>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</si>
  <si>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</si>
  <si>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</si>
  <si>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</si>
  <si>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</si>
  <si>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</si>
  <si>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</si>
  <si>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</si>
  <si>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</si>
  <si>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</si>
  <si>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</si>
  <si>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</si>
  <si>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</si>
  <si>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</si>
  <si>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</si>
  <si>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</si>
  <si>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</si>
  <si>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</si>
  <si>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</si>
  <si>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</si>
  <si>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</si>
  <si>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</si>
  <si>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</si>
  <si>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</si>
  <si>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</si>
  <si>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</si>
  <si>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</si>
  <si>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</si>
  <si>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</si>
  <si>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</si>
  <si>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</si>
  <si>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</si>
  <si>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</si>
  <si>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</si>
  <si>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</si>
  <si>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</si>
  <si>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</si>
  <si>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</si>
  <si>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</si>
  <si>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</si>
  <si>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</si>
  <si>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</si>
  <si>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</si>
  <si>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</si>
  <si>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</si>
  <si>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</si>
  <si>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</si>
  <si>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</si>
  <si>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</si>
  <si>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</si>
  <si>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</si>
  <si>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</si>
  <si>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</si>
  <si>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</si>
  <si>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</si>
  <si>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</si>
  <si>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</si>
  <si>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</si>
  <si>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</si>
  <si>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</si>
  <si>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</si>
  <si>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</si>
  <si>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</si>
  <si>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</si>
  <si>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</si>
  <si>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</si>
  <si>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</si>
  <si>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</si>
  <si>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</si>
  <si>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</si>
  <si>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</si>
  <si>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</si>
  <si>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</si>
  <si>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</si>
  <si>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</si>
  <si>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</si>
  <si>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</si>
  <si>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</si>
  <si>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</si>
  <si>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</si>
  <si>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</si>
  <si>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</si>
  <si>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</si>
  <si>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</si>
  <si>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</si>
  <si>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</si>
  <si>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</si>
  <si>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</si>
  <si>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</si>
  <si>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</si>
  <si>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</si>
  <si>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</si>
  <si>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</si>
  <si>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</si>
  <si>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</si>
  <si>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</si>
  <si>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</si>
  <si>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</si>
  <si>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</si>
  <si>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</si>
  <si>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</si>
  <si>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</si>
  <si>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</si>
  <si>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</si>
  <si>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</si>
  <si>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</si>
  <si>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</si>
  <si>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</si>
  <si>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</si>
  <si>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</si>
  <si>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</si>
  <si>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</si>
  <si>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</si>
  <si>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</si>
  <si>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</si>
  <si>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</si>
  <si>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</si>
  <si>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</si>
  <si>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</si>
  <si>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</si>
  <si>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</si>
  <si>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</si>
  <si>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</si>
  <si>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</si>
  <si>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</si>
  <si>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</si>
  <si>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</si>
  <si>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</si>
  <si>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</si>
  <si>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</si>
  <si>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</si>
  <si>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</si>
  <si>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</si>
  <si>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</si>
  <si>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</si>
  <si>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</si>
  <si>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</si>
  <si>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</si>
  <si>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</si>
  <si>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</si>
  <si>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</si>
  <si>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</si>
  <si>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</si>
  <si>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</si>
  <si>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</si>
  <si>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</si>
  <si>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</si>
  <si>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</si>
  <si>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</si>
  <si>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</si>
  <si>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</si>
  <si>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</si>
  <si>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</si>
  <si>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</si>
  <si>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</si>
  <si>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</si>
  <si>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</si>
  <si>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</si>
  <si>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</si>
  <si>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</si>
  <si>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</si>
  <si>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</si>
  <si>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</si>
  <si>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</si>
  <si>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</si>
  <si>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</si>
  <si>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</si>
  <si>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</si>
  <si>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</si>
  <si>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</si>
  <si>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</si>
  <si>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</si>
  <si>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</si>
  <si>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</si>
  <si>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</si>
  <si>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</si>
  <si>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</si>
  <si>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</si>
  <si>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</si>
  <si>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</si>
  <si>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</si>
  <si>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</si>
  <si>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</si>
  <si>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</si>
  <si>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</si>
  <si>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</si>
  <si>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</si>
  <si>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</si>
  <si>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</si>
  <si>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</si>
  <si>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</si>
  <si>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</si>
  <si>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</si>
  <si>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</si>
  <si>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</si>
  <si>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</si>
  <si>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</si>
  <si>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</si>
  <si>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</si>
  <si>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</si>
  <si>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</si>
  <si>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</si>
  <si>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</si>
  <si>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</si>
  <si>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</si>
  <si>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</si>
  <si>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</si>
  <si>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</si>
  <si>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</si>
  <si>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</si>
  <si>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</si>
  <si>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</si>
  <si>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</si>
  <si>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</si>
  <si>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</si>
  <si>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</si>
  <si>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</si>
  <si>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</si>
  <si>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</si>
  <si>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</si>
  <si>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</si>
  <si>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</si>
  <si>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</si>
  <si>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</si>
  <si>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</si>
  <si>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</si>
  <si>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</si>
  <si>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</si>
  <si>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</si>
  <si>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</si>
  <si>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</si>
  <si>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</si>
  <si>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</si>
  <si>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</si>
  <si>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</si>
  <si>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</si>
  <si>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</si>
  <si>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</si>
  <si>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</si>
  <si>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</si>
  <si>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</si>
  <si>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</si>
  <si>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</si>
  <si>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</si>
  <si>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</si>
  <si>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</si>
  <si>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</si>
  <si>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</si>
  <si>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</si>
  <si>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</si>
  <si>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</si>
  <si>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</si>
  <si>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</si>
  <si>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</si>
  <si>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</si>
  <si>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</si>
  <si>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</si>
  <si>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</si>
  <si>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</si>
  <si>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</si>
  <si>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</si>
  <si>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</si>
  <si>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</si>
  <si>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</si>
  <si>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</si>
  <si>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</si>
  <si>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</si>
  <si>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</si>
  <si>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</si>
  <si>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</si>
  <si>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</si>
  <si>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</si>
  <si>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</si>
  <si>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</si>
  <si>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</si>
  <si>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</si>
  <si>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</si>
  <si>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</si>
  <si>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</si>
  <si>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</si>
  <si>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</si>
  <si>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</si>
  <si>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</si>
  <si>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</si>
  <si>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</si>
  <si>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</si>
  <si>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</si>
  <si>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</si>
  <si>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</si>
  <si>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</si>
  <si>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</si>
  <si>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</si>
  <si>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</si>
  <si>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</si>
  <si>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</si>
  <si>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</si>
  <si>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</si>
  <si>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</si>
  <si>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</si>
  <si>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</si>
  <si>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</si>
  <si>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</si>
  <si>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</si>
  <si>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</si>
  <si>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</si>
  <si>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</si>
  <si>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</si>
  <si>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</si>
  <si>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</si>
  <si>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</si>
  <si>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</si>
  <si>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</si>
  <si>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</si>
  <si>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</si>
  <si>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</si>
  <si>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</si>
  <si>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</si>
  <si>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</si>
  <si>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</si>
  <si>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</si>
  <si>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</si>
  <si>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</si>
  <si>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</si>
  <si>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</si>
  <si>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</si>
  <si>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</si>
  <si>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</si>
  <si>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</si>
  <si>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</si>
  <si>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</si>
  <si>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</si>
  <si>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</si>
  <si>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</si>
  <si>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</si>
  <si>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</si>
  <si>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</si>
  <si>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</si>
  <si>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</si>
  <si>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</si>
  <si>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</si>
  <si>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</si>
  <si>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</si>
  <si>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</si>
  <si>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</si>
  <si>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</si>
  <si>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</si>
  <si>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</si>
  <si>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</si>
  <si>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</si>
  <si>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</si>
  <si>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</si>
  <si>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</si>
  <si>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</si>
  <si>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</si>
  <si>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</si>
  <si>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</si>
  <si>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</si>
  <si>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</si>
  <si>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</si>
  <si>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</si>
  <si>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</si>
  <si>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</si>
  <si>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</si>
  <si>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</si>
  <si>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</si>
  <si>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</si>
  <si>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</si>
  <si>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</si>
  <si>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</si>
  <si>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</si>
  <si>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</si>
  <si>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</si>
  <si>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</si>
  <si>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</si>
  <si>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</si>
  <si>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</si>
  <si>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</si>
  <si>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</si>
  <si>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</si>
  <si>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</si>
  <si>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</si>
  <si>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</si>
  <si>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</si>
  <si>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</si>
  <si>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</si>
  <si>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</si>
  <si>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</si>
  <si>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</si>
  <si>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</si>
  <si>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</si>
  <si>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</si>
  <si>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</si>
  <si>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</si>
  <si>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</si>
  <si>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</si>
  <si>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</si>
  <si>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</si>
  <si>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</si>
  <si>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</si>
  <si>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</si>
  <si>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</si>
  <si>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</si>
  <si>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</si>
  <si>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</si>
  <si>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</si>
  <si>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</si>
  <si>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</si>
  <si>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</si>
  <si>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</si>
  <si>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</si>
  <si>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</si>
  <si>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</si>
  <si>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</si>
  <si>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</si>
  <si>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</si>
  <si>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</si>
  <si>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</si>
  <si>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</si>
  <si>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</si>
  <si>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</si>
  <si>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</si>
  <si>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</si>
  <si>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</si>
  <si>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</si>
  <si>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</si>
  <si>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</si>
  <si>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</si>
  <si>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</si>
  <si>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</si>
  <si>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</si>
  <si>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</si>
  <si>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</si>
  <si>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</si>
  <si>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</si>
  <si>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</si>
  <si>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</si>
  <si>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</si>
  <si>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</si>
  <si>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</si>
  <si>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</si>
  <si>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</si>
  <si>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</si>
  <si>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</si>
  <si>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</si>
  <si>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</si>
  <si>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</si>
  <si>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</si>
  <si>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</si>
  <si>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</si>
  <si>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</si>
  <si>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</si>
  <si>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</si>
  <si>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</si>
  <si>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</si>
  <si>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</si>
  <si>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</si>
  <si>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</si>
  <si>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</si>
  <si>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</si>
  <si>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</si>
  <si>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</si>
  <si>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</si>
  <si>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</si>
  <si>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</si>
  <si>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</si>
  <si>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</si>
  <si>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</si>
  <si>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</si>
  <si>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</si>
  <si>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</si>
  <si>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</si>
  <si>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</si>
  <si>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</si>
  <si>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</si>
  <si>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</si>
  <si>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</si>
  <si>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</si>
  <si>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</si>
  <si>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</si>
  <si>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</si>
  <si>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</si>
  <si>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</si>
  <si>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</si>
  <si>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</si>
  <si>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</si>
  <si>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</si>
  <si>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</si>
  <si>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</si>
  <si>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</si>
  <si>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</si>
  <si>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</si>
  <si>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</si>
  <si>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</si>
  <si>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</si>
  <si>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</si>
  <si>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</si>
  <si>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</si>
  <si>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</si>
  <si>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</si>
  <si>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</si>
  <si>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</si>
  <si>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</si>
  <si>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</si>
  <si>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</si>
  <si>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</si>
  <si>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</si>
  <si>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</si>
  <si>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</si>
  <si>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</si>
  <si>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</si>
  <si>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</si>
  <si>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</si>
  <si>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</si>
  <si>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</si>
  <si>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</si>
  <si>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</si>
  <si>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</si>
  <si>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</si>
  <si>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</si>
  <si>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</si>
  <si>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</si>
  <si>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</si>
  <si>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</si>
  <si>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</si>
  <si>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</si>
  <si>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</si>
  <si>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</si>
  <si>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</si>
  <si>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</si>
  <si>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</si>
  <si>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</si>
  <si>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</si>
  <si>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</si>
  <si>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</si>
  <si>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</si>
  <si>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</si>
  <si>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</si>
  <si>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</si>
  <si>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</si>
  <si>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</si>
  <si>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</si>
  <si>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</si>
  <si>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</si>
  <si>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</si>
  <si>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</si>
  <si>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</si>
  <si>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</si>
  <si>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</si>
  <si>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</si>
  <si>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</si>
  <si>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</si>
  <si>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</si>
  <si>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</si>
  <si>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</si>
  <si>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</si>
  <si>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</si>
  <si>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</si>
  <si>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</si>
  <si>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</si>
  <si>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</si>
  <si>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</si>
  <si>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</si>
  <si>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</si>
  <si>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</si>
  <si>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</si>
  <si>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</si>
  <si>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</si>
  <si>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</si>
  <si>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</si>
  <si>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</si>
  <si>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</si>
  <si>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</si>
  <si>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</si>
  <si>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</si>
  <si>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</si>
  <si>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</si>
  <si>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</si>
  <si>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</si>
  <si>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</si>
  <si>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</si>
  <si>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</si>
  <si>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</si>
  <si>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</si>
  <si>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</si>
  <si>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</si>
  <si>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</si>
  <si>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</si>
  <si>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</si>
  <si>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</si>
  <si>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</si>
  <si>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</si>
  <si>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</si>
  <si>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</si>
  <si>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</si>
  <si>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</si>
  <si>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</si>
  <si>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</si>
  <si>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</si>
  <si>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</si>
  <si>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</si>
  <si>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</si>
  <si>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</si>
  <si>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</si>
  <si>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</si>
  <si>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</si>
  <si>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</si>
  <si>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</si>
  <si>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</si>
  <si>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</si>
  <si>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</si>
  <si>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</si>
  <si>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</si>
  <si>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</si>
  <si>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</si>
  <si>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</si>
  <si>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</si>
  <si>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</si>
  <si>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</si>
  <si>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</si>
  <si>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</si>
  <si>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</si>
  <si>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</si>
  <si>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</si>
  <si>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</si>
  <si>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</si>
  <si>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</si>
  <si>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</si>
  <si>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</si>
  <si>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</si>
  <si>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</si>
  <si>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</si>
  <si>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</si>
  <si>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</si>
  <si>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</si>
  <si>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</si>
  <si>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</si>
  <si>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</si>
  <si>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</si>
  <si>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</si>
  <si>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</si>
  <si>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</si>
  <si>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</si>
  <si>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</si>
  <si>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</si>
  <si>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</si>
  <si>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</si>
  <si>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</si>
  <si>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</si>
  <si>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</si>
  <si>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</si>
  <si>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</si>
  <si>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</si>
  <si>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</si>
  <si>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</si>
  <si>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</si>
  <si>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</si>
  <si>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</si>
  <si>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</si>
  <si>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</si>
  <si>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</si>
  <si>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</si>
  <si>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</si>
  <si>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</si>
  <si>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</si>
  <si>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</si>
  <si>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</si>
  <si>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</si>
  <si>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</si>
  <si>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</si>
  <si>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</si>
  <si>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</si>
  <si>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</si>
  <si>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</si>
  <si>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</si>
  <si>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</si>
  <si>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</si>
  <si>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</si>
  <si>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</si>
  <si>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</si>
  <si>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</si>
  <si>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</si>
  <si>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</si>
  <si>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</si>
  <si>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</si>
  <si>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</si>
  <si>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</si>
  <si>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</si>
  <si>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</si>
  <si>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</si>
  <si>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</si>
  <si>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</si>
  <si>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</si>
  <si>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</si>
  <si>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</si>
  <si>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</si>
  <si>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</si>
  <si>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</si>
  <si>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</si>
  <si>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</si>
  <si>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</si>
  <si>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</si>
  <si>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</si>
  <si>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</si>
  <si>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</si>
  <si>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</si>
  <si>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</si>
  <si>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</si>
  <si>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</si>
  <si>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</si>
  <si>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</si>
  <si>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</si>
  <si>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</si>
  <si>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</si>
  <si>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</si>
  <si>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</si>
  <si>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</si>
  <si>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</si>
  <si>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</si>
  <si>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</si>
  <si>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</si>
  <si>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</si>
  <si>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</si>
  <si>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</si>
  <si>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</si>
  <si>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</si>
  <si>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</si>
  <si>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</si>
  <si>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</si>
  <si>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</si>
  <si>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</si>
  <si>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</si>
  <si>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</si>
  <si>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</si>
  <si>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</si>
  <si>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</si>
  <si>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</si>
  <si>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</si>
  <si>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</si>
  <si>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</si>
  <si>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</si>
  <si>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</si>
  <si>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</si>
  <si>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</si>
  <si>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</si>
  <si>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</si>
  <si>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</si>
  <si>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</si>
  <si>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</si>
  <si>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</si>
  <si>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</si>
  <si>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</si>
  <si>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</si>
  <si>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</si>
  <si>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</si>
  <si>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</si>
  <si>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</si>
  <si>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</si>
  <si>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</si>
  <si>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</si>
  <si>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</si>
  <si>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</si>
  <si>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</si>
  <si>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</si>
  <si>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</si>
  <si>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</si>
  <si>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</si>
  <si>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</si>
  <si>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</si>
  <si>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</si>
  <si>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</si>
  <si>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</si>
  <si>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</si>
  <si>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</si>
  <si>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</si>
  <si>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</si>
  <si>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</si>
  <si>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</si>
  <si>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</si>
  <si>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</si>
  <si>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</si>
  <si>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</si>
  <si>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</si>
  <si>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</si>
  <si>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</si>
  <si>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</si>
  <si>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</si>
  <si>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</si>
  <si>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</si>
  <si>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</si>
  <si>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</si>
  <si>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</si>
  <si>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</si>
  <si>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</si>
  <si>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</si>
  <si>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</si>
  <si>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</si>
  <si>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</si>
  <si>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</si>
  <si>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</si>
  <si>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</si>
  <si>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</si>
  <si>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</si>
  <si>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</si>
  <si>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</si>
  <si>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</si>
  <si>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</si>
  <si>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</si>
  <si>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</si>
  <si>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</si>
  <si>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</si>
  <si>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</si>
  <si>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</si>
  <si>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</si>
  <si>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</si>
  <si>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</si>
  <si>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</si>
  <si>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</si>
  <si>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</si>
  <si>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</si>
  <si>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</si>
  <si>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</si>
  <si>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</si>
  <si>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</si>
  <si>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</si>
  <si>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</si>
  <si>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</si>
  <si>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</si>
  <si>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</si>
  <si>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</si>
  <si>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</si>
  <si>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</si>
  <si>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</si>
  <si>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</si>
  <si>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</si>
  <si>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</si>
  <si>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</si>
  <si>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</si>
  <si>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</si>
  <si>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</si>
  <si>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</si>
  <si>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</si>
  <si>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</si>
  <si>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</si>
  <si>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</si>
  <si>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</si>
  <si>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</si>
  <si>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</si>
  <si>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</si>
  <si>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</si>
  <si>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</si>
  <si>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</si>
  <si>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</si>
  <si>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</si>
  <si>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</si>
  <si>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</si>
  <si>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</si>
  <si>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</si>
  <si>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</si>
  <si>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</si>
  <si>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</si>
  <si>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</si>
  <si>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</si>
  <si>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</si>
  <si>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</si>
  <si>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</si>
  <si>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</si>
  <si>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</si>
  <si>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</si>
  <si>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</si>
  <si>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</si>
  <si>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</si>
  <si>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</si>
  <si>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</si>
  <si>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</si>
  <si>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</si>
  <si>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</si>
  <si>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</si>
  <si>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</si>
  <si>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</si>
  <si>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</si>
  <si>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</si>
  <si>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</si>
  <si>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</si>
  <si>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</si>
  <si>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</si>
  <si>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</si>
  <si>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</si>
  <si>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</si>
  <si>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</si>
  <si>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</si>
  <si>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</si>
  <si>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</si>
  <si>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</si>
  <si>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</si>
  <si>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</si>
  <si>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</si>
  <si>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</si>
  <si>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</si>
  <si>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</si>
  <si>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</si>
  <si>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</si>
  <si>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</si>
  <si>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</si>
  <si>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</si>
  <si>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</si>
  <si>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</si>
  <si>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</si>
  <si>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</si>
  <si>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</si>
  <si>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</si>
  <si>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</si>
  <si>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</si>
  <si>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</si>
  <si>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</si>
  <si>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</si>
  <si>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</si>
  <si>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</si>
  <si>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</si>
  <si>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</si>
  <si>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</si>
  <si>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</si>
  <si>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</si>
  <si>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</si>
  <si>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</si>
  <si>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</si>
  <si>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</si>
  <si>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</si>
  <si>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</si>
  <si>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</si>
  <si>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</si>
  <si>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</si>
  <si>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</si>
  <si>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</si>
  <si>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</si>
  <si>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</si>
  <si>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</si>
  <si>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</si>
  <si>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</si>
  <si>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</si>
  <si>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</si>
  <si>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</si>
  <si>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</si>
  <si>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</si>
  <si>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</si>
  <si>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</si>
  <si>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</si>
  <si>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</si>
  <si>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</si>
  <si>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</si>
  <si>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</si>
  <si>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</si>
  <si>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</si>
  <si>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</si>
  <si>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</si>
  <si>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</si>
  <si>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</si>
  <si>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</si>
  <si>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</si>
  <si>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</si>
  <si>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</si>
  <si>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</si>
  <si>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</si>
  <si>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</si>
  <si>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</si>
  <si>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</si>
  <si>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</si>
  <si>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</si>
  <si>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</si>
  <si>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</si>
  <si>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</si>
  <si>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</si>
  <si>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</si>
  <si>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</si>
  <si>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</si>
  <si>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</si>
  <si>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</si>
  <si>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</si>
  <si>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</si>
  <si>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</si>
  <si>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</si>
  <si>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</si>
  <si>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</si>
  <si>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</si>
  <si>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</si>
  <si>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</si>
  <si>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</si>
  <si>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</si>
  <si>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</si>
  <si>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</si>
  <si>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</si>
  <si>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</si>
  <si>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</si>
  <si>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</si>
  <si>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</si>
  <si>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</si>
  <si>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</si>
  <si>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</si>
  <si>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</si>
  <si>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</si>
  <si>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</si>
  <si>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</si>
  <si>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</si>
  <si>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</si>
  <si>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</si>
  <si>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</si>
  <si>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</si>
  <si>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</si>
  <si>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</si>
  <si>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</si>
  <si>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</si>
  <si>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</si>
  <si>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</si>
  <si>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</si>
  <si>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</si>
  <si>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</si>
  <si>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</si>
  <si>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</si>
  <si>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</si>
  <si>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</si>
  <si>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</si>
  <si>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</si>
  <si>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</si>
  <si>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</si>
  <si>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</si>
  <si>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</si>
  <si>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</si>
  <si>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</si>
  <si>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</si>
  <si>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</si>
  <si>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</si>
  <si>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</si>
  <si>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</si>
  <si>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</si>
  <si>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</si>
  <si>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</si>
  <si>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</si>
  <si>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</si>
  <si>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</si>
  <si>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</si>
  <si>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</si>
  <si>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</si>
  <si>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</si>
  <si>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</si>
  <si>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</si>
  <si>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</si>
  <si>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</si>
  <si>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</si>
  <si>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</si>
  <si>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</si>
  <si>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</si>
  <si>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</si>
  <si>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</si>
  <si>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</si>
  <si>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</si>
  <si>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</si>
  <si>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</si>
  <si>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</si>
  <si>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</si>
  <si>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</si>
  <si>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</si>
  <si>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</si>
  <si>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</si>
  <si>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</si>
  <si>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</si>
  <si>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</si>
  <si>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</si>
  <si>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</si>
  <si>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</si>
  <si>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</si>
  <si>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</si>
  <si>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</si>
  <si>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</si>
  <si>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</si>
  <si>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</si>
  <si>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</si>
  <si>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</si>
  <si>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</si>
  <si>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</si>
  <si>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</si>
  <si>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</si>
  <si>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</si>
  <si>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</si>
  <si>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</si>
  <si>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</si>
  <si>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</si>
  <si>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</si>
  <si>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</si>
  <si>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</si>
  <si>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</si>
  <si>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</si>
  <si>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</si>
  <si>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</si>
  <si>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</si>
  <si>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</si>
  <si>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</si>
  <si>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</si>
  <si>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</si>
  <si>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</si>
  <si>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</si>
  <si>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</si>
  <si>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</si>
  <si>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</si>
  <si>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</si>
  <si>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</si>
  <si>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</si>
  <si>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</si>
  <si>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</si>
  <si>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</si>
  <si>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</si>
  <si>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</si>
  <si>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</si>
  <si>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</si>
  <si>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</si>
  <si>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</si>
  <si>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</si>
  <si>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</si>
  <si>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</si>
  <si>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</si>
  <si>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</si>
  <si>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</si>
  <si>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</si>
  <si>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</si>
  <si>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</si>
  <si>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</si>
  <si>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</si>
  <si>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</si>
  <si>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</si>
  <si>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</si>
  <si>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</si>
  <si>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</si>
  <si>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</si>
  <si>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</si>
  <si>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</si>
  <si>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</si>
  <si>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</si>
  <si>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</si>
  <si>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</si>
  <si>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</si>
  <si>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</si>
  <si>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</si>
  <si>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</si>
  <si>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</si>
  <si>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</si>
  <si>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</si>
  <si>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</si>
  <si>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</si>
  <si>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</si>
  <si>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</si>
  <si>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</si>
  <si>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</si>
  <si>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</si>
  <si>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</si>
  <si>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</si>
  <si>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</si>
  <si>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</si>
  <si>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</si>
  <si>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</si>
  <si>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</si>
  <si>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</si>
  <si>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</si>
  <si>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</si>
  <si>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</si>
  <si>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</si>
  <si>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</si>
  <si>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</si>
  <si>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</si>
  <si>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</si>
  <si>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</si>
  <si>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</si>
  <si>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</si>
  <si>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</si>
  <si>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</si>
  <si>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</si>
  <si>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</si>
  <si>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</si>
  <si>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</si>
  <si>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</si>
  <si>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</si>
  <si>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</si>
  <si>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</si>
  <si>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</si>
  <si>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</si>
  <si>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</si>
  <si>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</si>
  <si>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</si>
  <si>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</si>
  <si>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</si>
  <si>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</si>
  <si>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</si>
  <si>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</si>
  <si>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</si>
  <si>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</si>
  <si>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</si>
  <si>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</si>
  <si>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</si>
  <si>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</si>
  <si>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</si>
  <si>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</si>
  <si>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</si>
  <si>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</si>
  <si>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</si>
  <si>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</si>
  <si>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</si>
  <si>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</si>
  <si>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</si>
  <si>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</si>
  <si>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</si>
  <si>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</si>
  <si>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</si>
  <si>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</si>
  <si>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</si>
  <si>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</si>
  <si>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</si>
  <si>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</si>
  <si>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</si>
  <si>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</si>
  <si>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</si>
  <si>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</si>
  <si>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</si>
  <si>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</si>
  <si>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</si>
  <si>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</si>
  <si>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</si>
  <si>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</si>
  <si>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</si>
  <si>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</si>
  <si>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</si>
  <si>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</si>
  <si>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</si>
  <si>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</si>
  <si>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</si>
  <si>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</si>
  <si>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</si>
  <si>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</si>
  <si>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</si>
  <si>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</si>
  <si>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</si>
  <si>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</si>
  <si>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</si>
  <si>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</si>
  <si>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</si>
  <si>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</si>
  <si>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</si>
  <si>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</si>
  <si>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</si>
  <si>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</si>
  <si>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</si>
  <si>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</si>
  <si>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</si>
  <si>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</si>
  <si>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</si>
  <si>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</si>
  <si>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</si>
  <si>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</si>
  <si>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</si>
  <si>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</si>
  <si>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</si>
  <si>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</si>
  <si>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</si>
  <si>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</si>
  <si>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</si>
  <si>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</si>
  <si>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</si>
  <si>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</si>
  <si>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</si>
  <si>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</si>
  <si>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</si>
  <si>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</si>
  <si>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</si>
  <si>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</si>
  <si>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</si>
  <si>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</si>
  <si>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</si>
  <si>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</si>
  <si>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</si>
  <si>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</si>
  <si>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</si>
  <si>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</si>
  <si>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</si>
  <si>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</si>
  <si>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</si>
  <si>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</si>
  <si>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</si>
  <si>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</si>
  <si>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</si>
  <si>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</si>
  <si>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</si>
  <si>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</si>
  <si>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</si>
  <si>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</si>
  <si>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</si>
  <si>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</si>
  <si>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</si>
  <si>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</si>
  <si>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</si>
  <si>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</si>
  <si>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</si>
  <si>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</si>
  <si>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</si>
  <si>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</si>
  <si>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</si>
  <si>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</si>
  <si>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</si>
  <si>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</si>
  <si>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</si>
  <si>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</si>
  <si>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</si>
  <si>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</si>
  <si>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</si>
  <si>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</si>
  <si>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</si>
  <si>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</si>
  <si>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</si>
  <si>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</si>
  <si>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</si>
  <si>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</si>
  <si>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</si>
  <si>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</si>
  <si>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</si>
  <si>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</si>
  <si>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</si>
  <si>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</si>
  <si>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</si>
  <si>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</si>
  <si>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</si>
  <si>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</si>
  <si>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</si>
  <si>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</si>
  <si>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</si>
  <si>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</si>
  <si>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</si>
  <si>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</si>
  <si>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</si>
  <si>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</si>
  <si>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</si>
  <si>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</si>
  <si>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</si>
  <si>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</si>
  <si>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</si>
  <si>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</si>
  <si>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</si>
  <si>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</si>
  <si>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</si>
  <si>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</si>
  <si>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</si>
  <si>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</si>
  <si>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</si>
  <si>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</si>
  <si>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</si>
  <si>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</si>
  <si>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</si>
  <si>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</si>
  <si>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</si>
  <si>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</si>
  <si>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</si>
  <si>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</si>
  <si>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</si>
  <si>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</si>
  <si>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</si>
  <si>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</si>
  <si>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</si>
  <si>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</si>
  <si>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</si>
  <si>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</si>
  <si>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</si>
  <si>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</si>
  <si>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</si>
  <si>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</si>
  <si>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</si>
  <si>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</si>
  <si>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</si>
  <si>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</si>
  <si>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</si>
  <si>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</si>
  <si>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</si>
  <si>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</si>
  <si>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</si>
  <si>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</si>
  <si>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</si>
  <si>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</si>
  <si>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</si>
  <si>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</si>
  <si>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</si>
  <si>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</si>
  <si>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</si>
  <si>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</si>
  <si>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</si>
  <si>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</si>
  <si>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</si>
  <si>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</si>
  <si>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</si>
  <si>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</si>
  <si>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</si>
  <si>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</si>
  <si>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</si>
  <si>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</si>
  <si>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</si>
  <si>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</si>
  <si>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</si>
  <si>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</si>
  <si>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</si>
  <si>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</si>
  <si>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</si>
  <si>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</si>
  <si>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</si>
  <si>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</si>
  <si>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</si>
  <si>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</si>
  <si>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</si>
  <si>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</si>
  <si>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</si>
  <si>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</si>
  <si>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</si>
  <si>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</si>
  <si>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</si>
  <si>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</si>
  <si>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</si>
  <si>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</si>
  <si>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</si>
  <si>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</si>
  <si>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</si>
  <si>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</si>
  <si>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</si>
  <si>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</si>
  <si>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</si>
  <si>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</si>
  <si>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</si>
  <si>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</si>
  <si>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</si>
  <si>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</si>
  <si>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</si>
  <si>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</si>
  <si>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</si>
  <si>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</si>
  <si>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</si>
  <si>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</si>
  <si>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</si>
  <si>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</si>
  <si>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</si>
  <si>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</si>
  <si>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</si>
  <si>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</si>
  <si>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</si>
  <si>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</si>
  <si>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</si>
  <si>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</si>
  <si>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</si>
  <si>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</si>
  <si>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</si>
  <si>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</si>
  <si>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</si>
  <si>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</si>
  <si>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</si>
  <si>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</si>
  <si>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</si>
  <si>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</si>
  <si>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</si>
  <si>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</si>
  <si>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</si>
  <si>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</si>
  <si>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</si>
  <si>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</si>
  <si>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</si>
  <si>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</si>
  <si>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</si>
  <si>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</si>
  <si>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</si>
  <si>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</si>
  <si>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</si>
  <si>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</si>
  <si>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</si>
  <si>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</si>
  <si>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</si>
  <si>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</si>
  <si>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</si>
  <si>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</si>
  <si>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</si>
  <si>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</si>
  <si>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</si>
  <si>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</si>
  <si>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</si>
  <si>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</si>
  <si>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</si>
  <si>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</si>
  <si>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</si>
  <si>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</si>
  <si>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</si>
  <si>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</si>
  <si>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</si>
  <si>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</si>
  <si>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</si>
  <si>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</si>
  <si>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</si>
  <si>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</si>
  <si>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</si>
  <si>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</si>
  <si>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</si>
  <si>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</si>
  <si>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</si>
  <si>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</si>
  <si>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</si>
  <si>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</si>
  <si>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</si>
  <si>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</si>
  <si>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</si>
  <si>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</si>
  <si>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</si>
  <si>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</si>
  <si>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</si>
  <si>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</si>
  <si>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</si>
  <si>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</si>
  <si>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</si>
  <si>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</si>
  <si>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</si>
  <si>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</si>
  <si>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</si>
  <si>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</si>
  <si>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</si>
  <si>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</si>
  <si>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</si>
  <si>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</si>
  <si>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</si>
  <si>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</si>
  <si>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</si>
  <si>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</si>
  <si>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</si>
  <si>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</si>
  <si>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</si>
  <si>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</si>
  <si>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</si>
  <si>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</si>
  <si>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</si>
  <si>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</si>
  <si>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</si>
  <si>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</si>
  <si>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</si>
  <si>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</si>
  <si>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</si>
  <si>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</si>
  <si>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</si>
  <si>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</si>
  <si>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</si>
  <si>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</si>
  <si>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</si>
  <si>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</si>
  <si>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</si>
  <si>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</si>
  <si>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</si>
  <si>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</si>
  <si>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</si>
  <si>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</si>
  <si>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</si>
  <si>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</si>
  <si>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</si>
  <si>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</si>
  <si>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</si>
  <si>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</si>
  <si>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</si>
  <si>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</si>
  <si>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</si>
  <si>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</si>
  <si>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</si>
  <si>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</si>
  <si>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</si>
  <si>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</si>
  <si>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</si>
  <si>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</si>
  <si>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</si>
  <si>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</si>
  <si>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</si>
  <si>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</si>
  <si>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</si>
  <si>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</si>
  <si>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</si>
  <si>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</si>
  <si>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</si>
  <si>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</si>
  <si>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</si>
  <si>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</si>
  <si>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</si>
  <si>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</si>
  <si>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</si>
  <si>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</si>
  <si>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</si>
  <si>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</si>
  <si>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</si>
  <si>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</si>
  <si>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</si>
  <si>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</si>
  <si>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</si>
  <si>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</si>
  <si>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</si>
  <si>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</si>
  <si>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</si>
  <si>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</si>
  <si>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</si>
  <si>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</si>
  <si>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</si>
  <si>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</si>
  <si>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</si>
  <si>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</si>
  <si>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</si>
  <si>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</si>
  <si>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</si>
  <si>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</si>
  <si>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</si>
  <si>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</si>
  <si>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</si>
  <si>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</si>
  <si>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</si>
  <si>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</si>
  <si>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</si>
  <si>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</si>
  <si>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</si>
  <si>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</si>
  <si>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</si>
  <si>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</si>
  <si>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</si>
  <si>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</si>
  <si>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</si>
  <si>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</si>
  <si>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</si>
  <si>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</si>
  <si>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</si>
  <si>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</si>
  <si>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</si>
  <si>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</si>
  <si>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</si>
  <si>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</si>
  <si>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</si>
  <si>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</si>
  <si>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</si>
  <si>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</si>
  <si>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</si>
  <si>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</si>
  <si>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</si>
  <si>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</si>
  <si>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</si>
  <si>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</si>
  <si>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</si>
  <si>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</si>
  <si>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</si>
  <si>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</si>
  <si>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</si>
  <si>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</si>
  <si>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</si>
  <si>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</si>
  <si>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</si>
  <si>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</si>
  <si>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</si>
  <si>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</si>
  <si>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</si>
  <si>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</si>
  <si>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</si>
  <si>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</si>
  <si>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</si>
  <si>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</si>
  <si>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</si>
  <si>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</si>
  <si>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</si>
  <si>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</si>
  <si>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</si>
  <si>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</si>
  <si>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</si>
  <si>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</si>
  <si>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</si>
  <si>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</si>
  <si>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</si>
  <si>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</si>
  <si>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</si>
  <si>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</si>
  <si>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</si>
  <si>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</si>
  <si>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</si>
  <si>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</si>
  <si>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</si>
  <si>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</si>
  <si>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</si>
  <si>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</si>
  <si>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</si>
  <si>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</si>
  <si>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</si>
  <si>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</si>
  <si>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</si>
  <si>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</si>
  <si>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</si>
  <si>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</si>
  <si>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</si>
  <si>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</si>
  <si>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</si>
  <si>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</si>
  <si>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</si>
  <si>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</si>
  <si>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</si>
  <si>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</si>
  <si>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</si>
  <si>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</si>
  <si>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</si>
  <si>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</si>
  <si>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</si>
  <si>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</si>
  <si>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</si>
  <si>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</si>
  <si>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</si>
  <si>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</si>
  <si>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</si>
  <si>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</si>
  <si>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</si>
  <si>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</si>
  <si>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</si>
  <si>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</si>
  <si>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</si>
  <si>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</si>
  <si>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</si>
  <si>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</si>
  <si>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</si>
  <si>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</si>
  <si>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</si>
  <si>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</si>
  <si>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</si>
  <si>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</si>
  <si>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</si>
  <si>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</si>
  <si>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</si>
  <si>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</si>
  <si>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</si>
  <si>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</si>
  <si>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</si>
  <si>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</si>
  <si>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</si>
  <si>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</si>
  <si>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</si>
  <si>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</si>
  <si>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</si>
  <si>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</si>
  <si>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</si>
  <si>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</si>
  <si>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</si>
  <si>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</si>
  <si>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</si>
  <si>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</si>
  <si>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</si>
  <si>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</si>
  <si>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</si>
  <si>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</si>
  <si>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</si>
  <si>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</si>
  <si>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</si>
  <si>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</si>
  <si>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</si>
  <si>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</si>
  <si>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</si>
  <si>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</si>
  <si>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</si>
  <si>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</si>
  <si>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</si>
  <si>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</si>
  <si>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</si>
  <si>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</si>
  <si>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</si>
  <si>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</si>
  <si>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</si>
  <si>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</si>
  <si>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</si>
  <si>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</si>
  <si>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</si>
  <si>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</si>
  <si>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</si>
  <si>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</si>
  <si>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</si>
  <si>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</si>
  <si>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</si>
  <si>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</si>
  <si>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</si>
  <si>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</si>
  <si>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</si>
  <si>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</si>
  <si>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</si>
  <si>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</si>
  <si>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</si>
  <si>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</si>
  <si>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</si>
  <si>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</si>
  <si>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</si>
  <si>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</si>
  <si>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</si>
  <si>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</si>
  <si>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</si>
  <si>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</si>
  <si>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</si>
  <si>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</si>
  <si>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</si>
  <si>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</si>
  <si>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</si>
  <si>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</si>
  <si>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</si>
  <si>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</si>
  <si>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</si>
  <si>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</si>
  <si>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</si>
  <si>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</si>
  <si>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</si>
  <si>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</si>
  <si>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</si>
  <si>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</si>
  <si>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</si>
  <si>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</si>
  <si>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</si>
  <si>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</si>
  <si>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</si>
  <si>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</si>
  <si>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</si>
  <si>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</si>
  <si>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</si>
  <si>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</si>
  <si>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</si>
  <si>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</si>
  <si>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</si>
  <si>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</si>
  <si>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</si>
  <si>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</si>
  <si>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</si>
  <si>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</si>
  <si>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</si>
  <si>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</si>
  <si>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</si>
  <si>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</si>
  <si>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</si>
  <si>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</si>
  <si>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</si>
  <si>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</si>
  <si>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</si>
  <si>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</si>
  <si>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</si>
  <si>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</si>
  <si>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</si>
  <si>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</si>
  <si>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</si>
  <si>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</si>
  <si>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</si>
  <si>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</si>
  <si>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</si>
  <si>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</si>
  <si>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</si>
  <si>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</si>
  <si>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</si>
  <si>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</si>
  <si>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</si>
  <si>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</si>
  <si>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</si>
  <si>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</si>
  <si>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</si>
  <si>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</si>
  <si>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</si>
  <si>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</si>
  <si>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</si>
  <si>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</si>
  <si>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</si>
  <si>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</si>
  <si>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</si>
  <si>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</si>
  <si>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</si>
  <si>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</si>
  <si>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</si>
  <si>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</si>
  <si>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</si>
  <si>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</si>
  <si>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</si>
  <si>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</si>
  <si>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</si>
  <si>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</si>
  <si>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</si>
  <si>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</si>
  <si>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</si>
  <si>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</si>
  <si>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</si>
  <si>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</si>
  <si>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</si>
  <si>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</si>
  <si>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</si>
  <si>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</si>
  <si>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</si>
  <si>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</si>
  <si>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</si>
  <si>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</si>
  <si>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</si>
  <si>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</si>
  <si>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</si>
  <si>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</si>
  <si>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</si>
  <si>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</si>
  <si>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</si>
  <si>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</si>
  <si>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</si>
  <si>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</si>
  <si>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</si>
  <si>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</si>
  <si>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</si>
  <si>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</si>
  <si>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</si>
  <si>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</si>
  <si>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</si>
  <si>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</si>
  <si>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</si>
  <si>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</si>
  <si>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</si>
  <si>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</si>
  <si>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</si>
  <si>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</si>
  <si>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</si>
  <si>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</si>
  <si>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</si>
  <si>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</si>
  <si>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</si>
  <si>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</si>
  <si>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</si>
  <si>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</si>
  <si>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</si>
  <si>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</si>
  <si>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</si>
  <si>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</si>
  <si>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</si>
  <si>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</si>
  <si>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</si>
  <si>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</si>
  <si>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</si>
  <si>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</si>
  <si>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</si>
  <si>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</si>
  <si>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</si>
  <si>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</si>
  <si>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</si>
  <si>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</si>
  <si>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</si>
  <si>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</si>
  <si>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</si>
  <si>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</si>
  <si>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</si>
  <si>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</si>
  <si>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</si>
  <si>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</si>
  <si>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</si>
  <si>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</si>
  <si>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</si>
  <si>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</si>
  <si>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</si>
  <si>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</si>
  <si>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</si>
  <si>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</si>
  <si>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</si>
  <si>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</si>
  <si>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</si>
  <si>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</si>
  <si>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</si>
  <si>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</si>
  <si>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</si>
  <si>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</si>
  <si>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</si>
  <si>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</si>
  <si>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</si>
  <si>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</si>
  <si>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</si>
  <si>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</si>
  <si>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</si>
  <si>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</si>
  <si>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</si>
  <si>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</si>
  <si>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</si>
  <si>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</si>
  <si>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</si>
  <si>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</si>
  <si>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</si>
  <si>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</si>
  <si>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</si>
  <si>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</si>
  <si>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</si>
  <si>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</si>
  <si>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</si>
  <si>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</si>
  <si>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</si>
  <si>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</si>
  <si>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</si>
  <si>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</si>
  <si>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</si>
  <si>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</si>
  <si>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</si>
  <si>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</si>
  <si>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</si>
  <si>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</si>
  <si>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</si>
  <si>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</si>
  <si>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</si>
  <si>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</si>
  <si>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</si>
  <si>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</si>
  <si>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</si>
  <si>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</si>
  <si>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</si>
  <si>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</si>
  <si>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</si>
  <si>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</si>
  <si>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</si>
  <si>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</si>
  <si>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</si>
  <si>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</si>
  <si>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</si>
  <si>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</si>
  <si>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</si>
  <si>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</si>
  <si>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</si>
  <si>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</si>
  <si>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</si>
  <si>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</si>
  <si>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</si>
  <si>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</si>
  <si>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</si>
  <si>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</si>
  <si>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</si>
  <si>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</si>
  <si>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</si>
  <si>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</si>
  <si>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</si>
  <si>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</si>
  <si>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</si>
  <si>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</si>
  <si>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</si>
  <si>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</si>
  <si>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</si>
  <si>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</si>
  <si>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</si>
  <si>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</si>
  <si>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</si>
  <si>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</si>
  <si>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</si>
  <si>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</si>
  <si>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</si>
  <si>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</si>
  <si>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</si>
  <si>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</si>
  <si>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</si>
  <si>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</si>
  <si>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</si>
  <si>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</si>
  <si>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</si>
  <si>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</si>
  <si>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</si>
  <si>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</si>
  <si>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</si>
  <si>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</si>
  <si>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</si>
  <si>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</si>
  <si>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</si>
  <si>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</si>
  <si>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</si>
  <si>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</si>
  <si>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</si>
  <si>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</si>
  <si>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</si>
  <si>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</si>
  <si>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</si>
  <si>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</si>
  <si>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</si>
  <si>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</si>
  <si>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</si>
  <si>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</si>
  <si>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</si>
  <si>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</si>
  <si>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</si>
  <si>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</si>
  <si>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</si>
  <si>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</si>
  <si>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</si>
  <si>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</si>
  <si>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</si>
  <si>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</si>
  <si>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</si>
  <si>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</si>
  <si>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</si>
  <si>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</si>
  <si>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</si>
  <si>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</si>
  <si>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</si>
  <si>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</si>
  <si>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</si>
  <si>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</si>
  <si>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</si>
  <si>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</si>
  <si>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</si>
  <si>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</si>
  <si>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</si>
  <si>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</si>
  <si>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</si>
  <si>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</si>
  <si>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</si>
  <si>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</si>
  <si>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</si>
  <si>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</si>
  <si>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</si>
  <si>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</si>
  <si>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</si>
  <si>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</si>
  <si>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</si>
  <si>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</si>
  <si>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</si>
  <si>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</si>
  <si>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</si>
  <si>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</si>
  <si>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</si>
  <si>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</si>
  <si>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</si>
  <si>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</si>
  <si>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</si>
  <si>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</si>
  <si>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</si>
  <si>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</si>
  <si>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</si>
  <si>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</si>
  <si>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</si>
  <si>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</si>
  <si>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</si>
  <si>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</si>
  <si>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</si>
  <si>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</si>
  <si>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</si>
  <si>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</si>
  <si>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</si>
  <si>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</si>
  <si>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</si>
  <si>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</si>
  <si>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</si>
  <si>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</si>
  <si>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</si>
  <si>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</si>
  <si>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</si>
  <si>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</si>
  <si>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</si>
  <si>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</si>
  <si>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</si>
  <si>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</si>
  <si>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</si>
  <si>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</si>
  <si>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</si>
  <si>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</si>
  <si>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</si>
  <si>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</si>
  <si>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</si>
  <si>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</si>
  <si>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</si>
  <si>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</si>
  <si>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</si>
  <si>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</si>
  <si>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</si>
  <si>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</si>
  <si>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</si>
  <si>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</si>
  <si>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</si>
  <si>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</si>
  <si>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</si>
  <si>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</si>
  <si>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</si>
  <si>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</si>
  <si>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</si>
  <si>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</si>
  <si>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</si>
  <si>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</si>
  <si>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</si>
  <si>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</si>
  <si>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</si>
  <si>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</si>
  <si>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</si>
  <si>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</si>
  <si>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</si>
  <si>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</si>
  <si>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</si>
  <si>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</si>
  <si>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</si>
  <si>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</si>
  <si>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</si>
  <si>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</si>
  <si>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</si>
  <si>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</si>
  <si>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</si>
  <si>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</si>
  <si>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</si>
  <si>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</si>
  <si>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</si>
  <si>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</si>
  <si>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</si>
  <si>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</si>
  <si>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</si>
  <si>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</si>
  <si>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</si>
  <si>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</si>
  <si>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</si>
  <si>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</si>
  <si>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</si>
  <si>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</si>
  <si>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</si>
  <si>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</si>
  <si>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</si>
  <si>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</si>
  <si>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</si>
  <si>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</si>
  <si>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</si>
  <si>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</si>
  <si>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</si>
  <si>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</si>
  <si>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</si>
  <si>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</si>
  <si>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</si>
  <si>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</si>
  <si>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</si>
  <si>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</si>
  <si>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</si>
  <si>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</si>
  <si>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</si>
  <si>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</si>
  <si>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</si>
  <si>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</si>
  <si>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</si>
  <si>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</si>
  <si>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</si>
  <si>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</si>
  <si>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</si>
  <si>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</si>
  <si>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</si>
  <si>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</si>
  <si>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</si>
  <si>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</si>
  <si>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</si>
  <si>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</si>
  <si>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</si>
  <si>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</si>
  <si>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</si>
  <si>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</si>
  <si>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</si>
  <si>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</si>
  <si>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</si>
  <si>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</si>
  <si>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</si>
  <si>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</si>
  <si>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</si>
  <si>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</si>
  <si>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</si>
  <si>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</si>
  <si>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</si>
  <si>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</si>
  <si>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</si>
  <si>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</si>
  <si>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</si>
  <si>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</si>
  <si>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</si>
  <si>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</si>
  <si>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</si>
  <si>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</si>
  <si>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</si>
  <si>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</si>
  <si>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</si>
  <si>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</si>
  <si>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</si>
  <si>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</si>
  <si>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</si>
  <si>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</si>
  <si>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</si>
  <si>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</si>
  <si>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</si>
  <si>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</si>
  <si>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</si>
  <si>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</si>
  <si>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</si>
  <si>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</si>
  <si>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</si>
  <si>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</si>
  <si>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</si>
  <si>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</si>
  <si>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</si>
  <si>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</si>
  <si>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</si>
  <si>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</si>
  <si>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</si>
  <si>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</si>
  <si>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</si>
  <si>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</si>
  <si>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</si>
  <si>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</si>
  <si>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</si>
  <si>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</si>
  <si>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</si>
  <si>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</si>
  <si>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</si>
  <si>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</si>
  <si>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</si>
  <si>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</si>
  <si>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</si>
  <si>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</si>
  <si>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</si>
  <si>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</si>
  <si>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</si>
  <si>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</si>
  <si>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</si>
  <si>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</si>
  <si>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</si>
  <si>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</si>
  <si>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</si>
  <si>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</si>
  <si>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</si>
  <si>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</si>
  <si>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</si>
  <si>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</si>
  <si>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</si>
  <si>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</si>
  <si>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</si>
  <si>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</si>
  <si>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</si>
  <si>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</si>
  <si>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</si>
  <si>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</si>
  <si>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</si>
  <si>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</si>
  <si>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</si>
  <si>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</si>
  <si>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</si>
  <si>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</si>
  <si>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</si>
  <si>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</si>
  <si>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</si>
  <si>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</si>
  <si>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</si>
  <si>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</si>
  <si>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</si>
  <si>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</si>
  <si>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</si>
  <si>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</si>
  <si>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</si>
  <si>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</si>
  <si>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</si>
  <si>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</si>
  <si>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</si>
  <si>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</si>
  <si>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</si>
  <si>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</si>
  <si>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</si>
  <si>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</si>
  <si>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</si>
  <si>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</si>
  <si>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</si>
  <si>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</si>
  <si>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</si>
  <si>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</si>
  <si>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</si>
  <si>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</si>
  <si>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</si>
  <si>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</si>
  <si>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</si>
  <si>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</si>
  <si>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</si>
  <si>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</si>
  <si>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</si>
  <si>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</si>
  <si>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</si>
  <si>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</si>
  <si>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</si>
  <si>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</si>
  <si>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</si>
  <si>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</si>
  <si>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</si>
  <si>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</si>
  <si>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</si>
  <si>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</si>
  <si>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</si>
  <si>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</si>
  <si>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</si>
  <si>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</si>
  <si>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</si>
  <si>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</si>
  <si>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</si>
  <si>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</si>
  <si>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</si>
  <si>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</si>
  <si>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</si>
  <si>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</si>
  <si>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</si>
  <si>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</si>
  <si>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</si>
  <si>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</si>
  <si>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</si>
  <si>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</si>
  <si>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</si>
  <si>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</si>
  <si>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</si>
  <si>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</si>
  <si>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</si>
  <si>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</si>
  <si>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</si>
  <si>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</si>
  <si>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</si>
  <si>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</si>
  <si>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</si>
  <si>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</si>
  <si>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</si>
  <si>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</si>
  <si>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</si>
  <si>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</si>
  <si>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</si>
  <si>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</si>
  <si>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</si>
  <si>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</si>
  <si>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</si>
  <si>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</si>
  <si>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</si>
  <si>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</si>
  <si>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</si>
  <si>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</si>
  <si>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</si>
  <si>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</si>
  <si>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</si>
  <si>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</si>
  <si>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</si>
  <si>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</si>
  <si>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</si>
  <si>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</si>
  <si>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</si>
  <si>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</si>
  <si>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</si>
  <si>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</si>
  <si>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</si>
  <si>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</si>
  <si>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</si>
  <si>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</si>
  <si>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</si>
  <si>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</si>
  <si>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</si>
  <si>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</si>
  <si>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</si>
  <si>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</si>
  <si>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</si>
  <si>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</si>
  <si>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</si>
  <si>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</si>
  <si>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</si>
  <si>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</si>
  <si>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</si>
  <si>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</si>
  <si>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</si>
  <si>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</si>
  <si>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</si>
  <si>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</si>
  <si>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</si>
  <si>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</si>
  <si>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</si>
  <si>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</si>
  <si>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</si>
  <si>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</si>
  <si>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</si>
  <si>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</si>
  <si>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</si>
  <si>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</si>
  <si>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</si>
  <si>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</si>
  <si>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</si>
  <si>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</si>
  <si>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</si>
  <si>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</si>
  <si>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</si>
  <si>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</si>
  <si>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</si>
  <si>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</si>
  <si>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</si>
  <si>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</si>
  <si>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</si>
  <si>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</si>
  <si>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</si>
  <si>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</si>
  <si>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</si>
  <si>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</si>
  <si>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</si>
  <si>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</si>
  <si>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</si>
  <si>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</si>
  <si>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</si>
  <si>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</si>
  <si>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</si>
  <si>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</si>
  <si>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</si>
  <si>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</si>
  <si>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</si>
  <si>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</si>
  <si>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</si>
  <si>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</si>
  <si>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</si>
  <si>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</si>
  <si>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</si>
  <si>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</si>
  <si>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</si>
  <si>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</si>
  <si>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</si>
  <si>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</si>
  <si>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</si>
  <si>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</si>
  <si>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</si>
  <si>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</si>
  <si>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</si>
  <si>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</si>
  <si>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</si>
  <si>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</si>
  <si>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</si>
  <si>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</si>
  <si>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</si>
  <si>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</si>
  <si>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</si>
  <si>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</si>
  <si>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</si>
  <si>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</si>
  <si>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</si>
  <si>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</si>
  <si>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</si>
  <si>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</si>
  <si>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</si>
  <si>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</si>
  <si>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</si>
  <si>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</si>
  <si>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</si>
  <si>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</si>
  <si>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</si>
  <si>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</si>
  <si>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</si>
  <si>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</si>
  <si>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</si>
  <si>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</si>
  <si>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</si>
  <si>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</si>
  <si>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</si>
  <si>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</si>
  <si>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</si>
  <si>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</si>
  <si>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</si>
  <si>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</si>
  <si>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</si>
  <si>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</si>
  <si>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</si>
  <si>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</si>
  <si>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</si>
  <si>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</si>
  <si>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</si>
  <si>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</si>
  <si>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</si>
  <si>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</si>
  <si>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</si>
  <si>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</si>
  <si>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</si>
  <si>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</si>
  <si>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</si>
  <si>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</si>
  <si>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</si>
  <si>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</si>
  <si>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</si>
  <si>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</si>
  <si>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</si>
  <si>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</si>
  <si>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</si>
  <si>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</si>
  <si>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</si>
  <si>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</si>
  <si>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</si>
  <si>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</si>
  <si>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</si>
  <si>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</si>
  <si>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</si>
  <si>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</si>
  <si>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</si>
  <si>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</si>
  <si>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</si>
  <si>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</si>
  <si>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</si>
  <si>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</si>
  <si>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</si>
  <si>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</si>
  <si>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</si>
  <si>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</si>
  <si>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</si>
  <si>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</si>
  <si>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</si>
  <si>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</si>
  <si>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</si>
  <si>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</si>
  <si>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</si>
  <si>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</si>
  <si>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</si>
  <si>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</si>
  <si>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</si>
  <si>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</si>
  <si>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</si>
  <si>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</si>
  <si>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</si>
  <si>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</si>
  <si>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</si>
  <si>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</si>
  <si>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</si>
  <si>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</si>
  <si>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</si>
  <si>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</si>
  <si>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</si>
  <si>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</si>
  <si>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</si>
  <si>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</si>
  <si>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</si>
  <si>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</si>
  <si>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</si>
  <si>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</si>
  <si>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</si>
  <si>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</si>
  <si>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</si>
  <si>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</si>
  <si>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</si>
  <si>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</si>
  <si>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</si>
  <si>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</si>
  <si>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</si>
  <si>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</si>
  <si>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</si>
  <si>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</si>
  <si>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</si>
  <si>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</si>
  <si>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</si>
  <si>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</si>
  <si>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</si>
  <si>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</si>
  <si>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</si>
  <si>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</si>
  <si>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</si>
  <si>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</si>
  <si>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</si>
  <si>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</si>
  <si>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</si>
  <si>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</si>
  <si>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</si>
  <si>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</si>
  <si>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</si>
  <si>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</si>
  <si>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</si>
  <si>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</si>
  <si>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</si>
  <si>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</si>
  <si>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</si>
  <si>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</si>
  <si>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</si>
  <si>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</si>
  <si>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</si>
  <si>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</si>
  <si>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</si>
  <si>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</si>
  <si>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</si>
  <si>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</si>
  <si>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</si>
  <si>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</si>
  <si>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</si>
  <si>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</si>
  <si>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</si>
  <si>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</si>
  <si>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</si>
  <si>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</si>
  <si>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</si>
  <si>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</si>
  <si>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</si>
  <si>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</si>
  <si>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</si>
  <si>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</si>
  <si>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</si>
  <si>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</si>
  <si>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</si>
  <si>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</si>
  <si>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</si>
  <si>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</si>
  <si>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</si>
  <si>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</si>
  <si>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</si>
  <si>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</si>
  <si>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</si>
  <si>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</si>
  <si>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</si>
  <si>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</si>
  <si>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</si>
  <si>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</si>
  <si>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</si>
  <si>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</si>
  <si>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</si>
  <si>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</si>
  <si>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</si>
  <si>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</si>
  <si>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</si>
  <si>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</si>
  <si>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</si>
  <si>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</si>
  <si>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</si>
  <si>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</si>
  <si>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</si>
  <si>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</si>
  <si>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</si>
  <si>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</si>
  <si>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</si>
  <si>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</si>
  <si>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</si>
  <si>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</si>
  <si>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</si>
  <si>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</si>
  <si>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</si>
  <si>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</si>
  <si>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</si>
  <si>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</si>
  <si>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</si>
  <si>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</si>
  <si>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</si>
  <si>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</si>
  <si>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</si>
  <si>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</si>
  <si>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</si>
  <si>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</si>
  <si>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</si>
  <si>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</si>
  <si>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</si>
  <si>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</si>
  <si>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</si>
  <si>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</si>
  <si>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</si>
  <si>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</si>
  <si>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</si>
  <si>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</si>
  <si>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</si>
  <si>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</si>
  <si>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</si>
  <si>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</si>
  <si>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</si>
  <si>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</si>
  <si>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</si>
  <si>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</si>
  <si>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</si>
  <si>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</si>
  <si>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</si>
  <si>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</si>
  <si>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</si>
  <si>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</si>
  <si>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</si>
  <si>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</si>
  <si>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</si>
  <si>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</si>
  <si>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</si>
  <si>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</si>
  <si>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</si>
  <si>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</si>
  <si>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</si>
  <si>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</si>
  <si>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</si>
  <si>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</si>
  <si>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</si>
  <si>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</si>
  <si>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</si>
  <si>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</si>
  <si>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</si>
  <si>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</si>
  <si>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</si>
  <si>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</si>
  <si>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</si>
  <si>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</si>
  <si>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</si>
  <si>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</si>
  <si>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</si>
  <si>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</si>
  <si>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</si>
  <si>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</si>
  <si>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</si>
  <si>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</si>
  <si>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</si>
  <si>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</si>
  <si>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</si>
  <si>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</si>
  <si>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</si>
  <si>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</si>
  <si>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</si>
  <si>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</si>
  <si>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</si>
  <si>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</si>
  <si>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</si>
  <si>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</si>
  <si>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</si>
  <si>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</si>
  <si>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</si>
  <si>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</si>
  <si>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</si>
  <si>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</si>
  <si>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</si>
  <si>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</si>
  <si>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</si>
  <si>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</si>
  <si>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</si>
  <si>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</si>
  <si>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</si>
  <si>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</si>
  <si>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</si>
  <si>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</si>
  <si>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</si>
  <si>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</si>
  <si>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</si>
  <si>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</si>
  <si>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</si>
  <si>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</si>
  <si>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</si>
  <si>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</si>
  <si>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</si>
  <si>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</si>
  <si>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</si>
  <si>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</si>
  <si>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</si>
  <si>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</si>
  <si>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</si>
  <si>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</si>
  <si>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</si>
  <si>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</si>
  <si>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</si>
  <si>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</si>
  <si>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</si>
  <si>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</si>
  <si>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</si>
  <si>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</si>
  <si>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</si>
  <si>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</si>
  <si>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</si>
  <si>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</si>
  <si>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</si>
  <si>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</si>
  <si>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</si>
  <si>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</si>
  <si>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</si>
  <si>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</si>
  <si>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</si>
  <si>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</si>
  <si>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</si>
  <si>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</si>
  <si>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</si>
  <si>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</si>
  <si>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</si>
  <si>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</si>
  <si>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</si>
  <si>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</si>
  <si>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</si>
  <si>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</si>
  <si>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</si>
  <si>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</si>
  <si>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</si>
  <si>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</si>
  <si>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</si>
  <si>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</si>
  <si>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</si>
  <si>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</si>
  <si>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</si>
  <si>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</si>
  <si>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</si>
  <si>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</si>
  <si>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</si>
  <si>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</si>
  <si>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</si>
  <si>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</si>
  <si>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</si>
  <si>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</si>
  <si>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</si>
  <si>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</si>
  <si>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</si>
  <si>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</si>
  <si>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</si>
  <si>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</si>
  <si>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</si>
  <si>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</si>
  <si>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</si>
  <si>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</si>
  <si>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</si>
  <si>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</si>
  <si>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</si>
  <si>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</si>
  <si>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</si>
  <si>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</si>
  <si>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</si>
  <si>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</si>
  <si>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</si>
  <si>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</si>
  <si>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</si>
  <si>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</si>
  <si>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</si>
  <si>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</si>
  <si>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</si>
  <si>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</si>
  <si>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</si>
  <si>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</si>
  <si>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</si>
  <si>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</si>
  <si>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</si>
  <si>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</si>
  <si>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</si>
  <si>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</si>
  <si>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</si>
  <si>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</si>
  <si>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</si>
  <si>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</si>
  <si>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</si>
  <si>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</si>
  <si>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</si>
  <si>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</si>
  <si>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</si>
  <si>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</si>
  <si>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</si>
  <si>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</si>
  <si>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</si>
  <si>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</si>
  <si>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</si>
  <si>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</si>
  <si>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</si>
  <si>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</si>
  <si>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</si>
  <si>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</si>
  <si>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</si>
  <si>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</si>
  <si>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</si>
  <si>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</si>
  <si>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</si>
  <si>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</si>
  <si>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</si>
  <si>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</si>
  <si>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</si>
  <si>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</si>
  <si>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</si>
  <si>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</si>
  <si>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</si>
  <si>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</si>
  <si>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</si>
  <si>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</si>
  <si>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</si>
  <si>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</si>
  <si>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</si>
  <si>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</si>
  <si>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</si>
  <si>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</si>
  <si>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</si>
  <si>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</si>
  <si>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</si>
  <si>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</si>
  <si>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</si>
  <si>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</si>
  <si>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</si>
  <si>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</si>
  <si>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</si>
  <si>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</si>
  <si>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</si>
  <si>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</si>
  <si>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</si>
  <si>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</si>
  <si>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</si>
  <si>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</si>
  <si>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</si>
  <si>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</si>
  <si>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</si>
  <si>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</si>
  <si>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</si>
  <si>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</si>
  <si>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</si>
  <si>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</si>
  <si>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</si>
  <si>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</si>
  <si>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</si>
  <si>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</si>
  <si>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</si>
  <si>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</si>
  <si>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</si>
  <si>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</si>
  <si>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</si>
  <si>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</si>
  <si>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</si>
  <si>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</si>
  <si>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</si>
  <si>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</si>
  <si>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</si>
  <si>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</si>
  <si>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</si>
  <si>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</si>
  <si>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</si>
  <si>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</si>
  <si>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</si>
  <si>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</si>
  <si>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</si>
  <si>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</si>
  <si>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</si>
  <si>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</si>
  <si>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</si>
  <si>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</si>
  <si>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</si>
  <si>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</si>
  <si>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</si>
  <si>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</si>
  <si>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</si>
  <si>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</si>
  <si>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</si>
  <si>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</si>
  <si>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</si>
  <si>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</si>
  <si>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</si>
  <si>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</si>
  <si>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</si>
  <si>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</si>
  <si>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</si>
  <si>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</si>
  <si>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</si>
  <si>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</si>
  <si>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</si>
  <si>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</si>
  <si>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</si>
  <si>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</si>
  <si>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</si>
  <si>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</si>
  <si>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</si>
  <si>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</si>
  <si>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</si>
  <si>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</si>
  <si>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</si>
  <si>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</si>
  <si>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</si>
  <si>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</si>
  <si>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</si>
  <si>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</si>
  <si>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</si>
  <si>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</si>
  <si>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</si>
  <si>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</si>
  <si>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</si>
  <si>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</si>
  <si>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</si>
  <si>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</si>
  <si>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</si>
  <si>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</si>
  <si>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</si>
  <si>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</si>
  <si>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</si>
  <si>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</si>
  <si>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</si>
  <si>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</si>
  <si>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</si>
  <si>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</si>
  <si>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</si>
  <si>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</si>
  <si>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</si>
  <si>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</si>
  <si>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</si>
  <si>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</si>
  <si>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</si>
  <si>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</si>
  <si>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</si>
  <si>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</si>
  <si>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</si>
  <si>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</si>
  <si>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</si>
  <si>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</si>
  <si>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</si>
  <si>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</si>
  <si>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</si>
  <si>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</si>
  <si>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</si>
  <si>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</si>
  <si>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</si>
  <si>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</si>
  <si>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</si>
  <si>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</si>
  <si>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</si>
  <si>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</si>
  <si>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</si>
  <si>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</si>
  <si>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</si>
  <si>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</si>
  <si>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</si>
  <si>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</si>
  <si>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</si>
  <si>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</si>
  <si>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</si>
  <si>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</si>
  <si>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</si>
  <si>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</si>
  <si>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</si>
  <si>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</si>
  <si>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</si>
  <si>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</si>
  <si>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</si>
  <si>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</si>
  <si>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</si>
  <si>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</si>
  <si>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</si>
  <si>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</si>
  <si>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</si>
  <si>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</si>
  <si>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</si>
  <si>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</si>
  <si>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</si>
  <si>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</si>
  <si>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</si>
  <si>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</si>
  <si>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</si>
  <si>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</si>
  <si>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</si>
  <si>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</si>
  <si>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</si>
  <si>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</si>
  <si>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</si>
  <si>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</si>
  <si>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</si>
  <si>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</si>
  <si>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</si>
  <si>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</si>
  <si>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</si>
  <si>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</si>
  <si>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</si>
  <si>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</si>
  <si>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</si>
  <si>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</si>
  <si>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</si>
  <si>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</si>
  <si>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</si>
  <si>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</si>
  <si>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</si>
  <si>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</si>
  <si>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</si>
  <si>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</si>
  <si>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</si>
  <si>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</si>
  <si>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</si>
  <si>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</si>
  <si>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</si>
  <si>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</si>
  <si>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</si>
  <si>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</si>
  <si>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</si>
  <si>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</si>
  <si>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</si>
  <si>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</si>
  <si>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</si>
  <si>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</si>
  <si>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</si>
  <si>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</si>
  <si>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</si>
  <si>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</si>
  <si>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</si>
  <si>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</si>
  <si>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</si>
  <si>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</si>
  <si>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</si>
  <si>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</si>
  <si>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</si>
  <si>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</si>
  <si>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</si>
  <si>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</si>
  <si>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</si>
  <si>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</si>
  <si>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</si>
  <si>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</si>
  <si>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</si>
  <si>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</si>
  <si>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</si>
  <si>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</si>
  <si>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</si>
  <si>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</si>
  <si>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</si>
  <si>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</si>
  <si>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</si>
  <si>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</si>
  <si>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</si>
  <si>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</si>
  <si>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</si>
  <si>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</si>
  <si>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</si>
  <si>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</si>
  <si>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</si>
  <si>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</si>
  <si>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</si>
  <si>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</si>
  <si>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</si>
  <si>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</si>
  <si>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</si>
  <si>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</si>
  <si>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</si>
  <si>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</si>
  <si>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</si>
  <si>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</si>
  <si>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</si>
  <si>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</si>
  <si>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</si>
  <si>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</si>
  <si>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</si>
  <si>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</si>
  <si>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</si>
  <si>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</si>
  <si>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</si>
  <si>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</si>
  <si>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</si>
  <si>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</si>
  <si>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</si>
  <si>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</si>
  <si>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</si>
  <si>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</si>
  <si>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</si>
  <si>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</si>
  <si>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</si>
  <si>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</si>
  <si>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</si>
  <si>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</si>
  <si>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</si>
  <si>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</si>
  <si>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</si>
  <si>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</si>
  <si>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</si>
  <si>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</si>
  <si>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</si>
  <si>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</si>
  <si>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</si>
  <si>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</si>
  <si>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</si>
  <si>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</si>
  <si>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</si>
  <si>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</si>
  <si>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</si>
  <si>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</si>
  <si>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</si>
  <si>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</si>
  <si>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</si>
  <si>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</si>
  <si>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</si>
  <si>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</si>
  <si>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</si>
  <si>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</si>
  <si>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</si>
  <si>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</si>
  <si>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</si>
  <si>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</si>
  <si>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</si>
  <si>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</si>
  <si>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</si>
  <si>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</si>
  <si>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</si>
  <si>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</si>
  <si>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</si>
  <si>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</si>
  <si>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</si>
  <si>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</si>
  <si>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</si>
  <si>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</si>
  <si>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</si>
  <si>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</si>
  <si>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</si>
  <si>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</si>
  <si>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</si>
  <si>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</si>
  <si>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</si>
  <si>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</si>
  <si>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</si>
  <si>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</si>
  <si>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</si>
  <si>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</si>
  <si>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</si>
  <si>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</si>
  <si>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</si>
  <si>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</si>
  <si>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</si>
  <si>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</si>
  <si>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</si>
  <si>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</si>
  <si>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</si>
  <si>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</si>
  <si>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</si>
  <si>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</si>
  <si>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</si>
  <si>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</si>
  <si>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</si>
  <si>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</si>
  <si>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</si>
  <si>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</si>
  <si>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</si>
  <si>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</si>
  <si>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</si>
  <si>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</si>
  <si>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</si>
  <si>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</si>
  <si>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</si>
  <si>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</si>
  <si>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</si>
  <si>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</si>
  <si>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</si>
  <si>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</si>
  <si>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</si>
  <si>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</si>
  <si>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</si>
  <si>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</si>
  <si>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</si>
  <si>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</si>
  <si>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</si>
  <si>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</si>
  <si>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</si>
  <si>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</si>
  <si>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</si>
  <si>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</si>
  <si>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</si>
  <si>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</si>
  <si>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</si>
  <si>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</si>
  <si>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</si>
  <si>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</si>
  <si>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</si>
  <si>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</si>
  <si>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</si>
  <si>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</si>
  <si>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</si>
  <si>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</si>
  <si>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</si>
  <si>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</si>
  <si>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</si>
  <si>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</si>
  <si>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</si>
  <si>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</si>
  <si>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</si>
  <si>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</si>
  <si>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</si>
  <si>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</si>
  <si>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</si>
  <si>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</si>
  <si>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</si>
  <si>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</si>
  <si>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</si>
  <si>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</si>
  <si>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</si>
  <si>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</si>
  <si>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</si>
  <si>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</si>
  <si>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</si>
  <si>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</si>
  <si>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</si>
  <si>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</si>
  <si>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</si>
  <si>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</si>
  <si>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</si>
  <si>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</si>
  <si>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</si>
  <si>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</si>
  <si>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</si>
  <si>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</si>
  <si>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</si>
  <si>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</si>
  <si>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</si>
  <si>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</si>
  <si>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</si>
  <si>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</si>
  <si>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</si>
  <si>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</si>
  <si>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</si>
  <si>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</si>
  <si>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</si>
  <si>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</si>
  <si>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</si>
  <si>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</si>
  <si>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</si>
  <si>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</si>
  <si>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</si>
  <si>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</si>
  <si>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</si>
  <si>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</si>
  <si>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</si>
  <si>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</si>
  <si>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</si>
  <si>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</si>
  <si>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</si>
  <si>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</si>
  <si>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</si>
  <si>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</si>
  <si>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</si>
  <si>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</si>
  <si>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</si>
  <si>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</si>
  <si>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</si>
  <si>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</si>
  <si>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</si>
  <si>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</si>
  <si>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</si>
  <si>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</si>
  <si>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</si>
  <si>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</si>
  <si>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</si>
  <si>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</si>
  <si>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</si>
  <si>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</si>
  <si>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</si>
  <si>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</si>
  <si>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</si>
  <si>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</si>
  <si>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</si>
  <si>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</si>
  <si>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</si>
  <si>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</si>
  <si>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</si>
  <si>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</si>
  <si>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</si>
  <si>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</si>
  <si>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</si>
  <si>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</si>
  <si>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</si>
  <si>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</si>
  <si>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</si>
  <si>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</si>
  <si>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</si>
  <si>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</si>
  <si>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</si>
  <si>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</si>
  <si>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</si>
  <si>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</si>
  <si>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</si>
  <si>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</si>
  <si>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</si>
  <si>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</si>
  <si>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</si>
  <si>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</si>
  <si>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</si>
  <si>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</si>
  <si>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</si>
  <si>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</si>
  <si>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</si>
  <si>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</si>
  <si>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</si>
  <si>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</si>
  <si>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</si>
  <si>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</si>
  <si>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</si>
  <si>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</si>
  <si>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</si>
  <si>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</si>
  <si>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</si>
  <si>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</si>
  <si>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</si>
  <si>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</si>
  <si>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</si>
  <si>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</si>
  <si>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</si>
  <si>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</si>
  <si>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</si>
  <si>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</si>
  <si>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</si>
  <si>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</si>
  <si>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</si>
  <si>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</si>
  <si>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</si>
  <si>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</si>
  <si>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</si>
  <si>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</si>
  <si>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</si>
  <si>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</si>
  <si>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</si>
  <si>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</si>
  <si>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</si>
  <si>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</si>
  <si>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</si>
  <si>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</si>
  <si>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</si>
  <si>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</si>
  <si>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</si>
  <si>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</si>
  <si>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</si>
  <si>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</si>
  <si>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</si>
  <si>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</si>
  <si>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</si>
  <si>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</si>
  <si>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</si>
  <si>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</si>
  <si>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</si>
  <si>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</si>
  <si>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</si>
  <si>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</si>
  <si>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</si>
  <si>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</si>
  <si>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</si>
  <si>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</si>
  <si>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</si>
  <si>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</si>
  <si>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</si>
  <si>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</si>
  <si>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</si>
  <si>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</si>
  <si>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</si>
  <si>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</si>
  <si>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</si>
  <si>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</si>
  <si>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</si>
  <si>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</si>
  <si>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</si>
  <si>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</si>
  <si>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</si>
  <si>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</si>
  <si>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</si>
  <si>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</si>
  <si>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</si>
  <si>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</si>
  <si>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</si>
  <si>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</si>
  <si>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</si>
  <si>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</si>
  <si>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</si>
  <si>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</si>
  <si>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</si>
  <si>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</si>
  <si>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</si>
  <si>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</si>
  <si>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</si>
  <si>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</si>
  <si>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</si>
  <si>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</si>
  <si>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</si>
  <si>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</si>
  <si>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</si>
  <si>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</si>
  <si>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</si>
  <si>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</si>
  <si>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</si>
  <si>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</si>
  <si>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</si>
  <si>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</si>
  <si>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</si>
  <si>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</si>
  <si>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</si>
  <si>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</si>
  <si>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</si>
  <si>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</si>
  <si>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</si>
  <si>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</si>
  <si>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</si>
  <si>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</si>
  <si>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</si>
  <si>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</si>
  <si>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</si>
  <si>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</si>
  <si>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</si>
  <si>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</si>
  <si>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</si>
  <si>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</si>
  <si>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</si>
  <si>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</si>
  <si>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</si>
  <si>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</si>
  <si>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</si>
  <si>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</si>
  <si>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</si>
  <si>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</si>
  <si>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</si>
  <si>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</si>
  <si>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</si>
  <si>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</si>
  <si>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</si>
  <si>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</si>
  <si>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</si>
  <si>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</si>
  <si>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</si>
  <si>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</si>
  <si>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</si>
  <si>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</si>
  <si>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</si>
  <si>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</si>
  <si>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</si>
  <si>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</si>
  <si>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</si>
  <si>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</si>
  <si>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</si>
  <si>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</si>
  <si>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</si>
  <si>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</si>
  <si>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</si>
  <si>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</si>
  <si>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</si>
  <si>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</si>
  <si>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</si>
  <si>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</si>
  <si>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</si>
  <si>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</si>
  <si>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</si>
  <si>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</si>
  <si>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</si>
  <si>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</si>
  <si>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</si>
  <si>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</si>
  <si>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</si>
  <si>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</si>
  <si>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</si>
  <si>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</si>
  <si>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</si>
  <si>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</si>
  <si>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</si>
  <si>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</si>
  <si>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</si>
  <si>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</si>
  <si>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</si>
  <si>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</si>
  <si>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</si>
  <si>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</si>
  <si>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</si>
  <si>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</si>
  <si>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</si>
  <si>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</si>
  <si>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</si>
  <si>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</si>
  <si>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</si>
  <si>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</si>
  <si>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</si>
  <si>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</si>
  <si>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</si>
  <si>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</si>
  <si>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</si>
  <si>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</si>
  <si>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</si>
  <si>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</si>
  <si>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</si>
  <si>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</si>
  <si>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</si>
  <si>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</si>
  <si>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</si>
  <si>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</si>
  <si>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</si>
  <si>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</si>
  <si>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</si>
  <si>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</si>
  <si>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</si>
  <si>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</si>
  <si>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</si>
  <si>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</si>
  <si>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</si>
  <si>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</si>
  <si>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</si>
  <si>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</si>
  <si>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</si>
  <si>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</si>
  <si>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</si>
  <si>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</si>
  <si>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</si>
  <si>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</si>
  <si>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</si>
  <si>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</si>
  <si>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</si>
  <si>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</si>
  <si>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</si>
  <si>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</si>
  <si>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</si>
  <si>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</si>
  <si>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</si>
  <si>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</si>
  <si>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</si>
  <si>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</si>
  <si>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</si>
  <si>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</si>
  <si>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</si>
  <si>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</si>
  <si>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</si>
  <si>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</si>
  <si>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</si>
  <si>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</si>
  <si>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</si>
  <si>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</si>
  <si>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</si>
  <si>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</si>
  <si>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</si>
  <si>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</si>
  <si>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</si>
  <si>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</si>
  <si>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</si>
  <si>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</si>
  <si>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</si>
  <si>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</si>
  <si>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</si>
  <si>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</si>
  <si>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</si>
  <si>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</si>
  <si>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</si>
  <si>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</si>
  <si>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</si>
  <si>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</si>
  <si>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</si>
  <si>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</si>
  <si>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</si>
  <si>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</si>
  <si>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</si>
  <si>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</si>
  <si>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</si>
  <si>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</si>
  <si>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</si>
  <si>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</si>
  <si>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</si>
  <si>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</si>
  <si>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</si>
  <si>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</si>
  <si>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</si>
  <si>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</si>
  <si>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</si>
  <si>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</si>
  <si>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</si>
  <si>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</si>
  <si>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</si>
  <si>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</si>
  <si>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</si>
  <si>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</si>
  <si>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</si>
  <si>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</si>
  <si>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</si>
  <si>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</si>
  <si>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</si>
  <si>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</si>
  <si>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</si>
  <si>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</si>
  <si>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</si>
  <si>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</si>
  <si>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</si>
  <si>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</si>
  <si>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</si>
  <si>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</si>
  <si>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</si>
  <si>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</si>
  <si>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</si>
  <si>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</si>
  <si>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</si>
  <si>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</si>
  <si>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</si>
  <si>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</si>
  <si>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</si>
  <si>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</si>
  <si>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</si>
  <si>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</si>
  <si>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</si>
  <si>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</si>
  <si>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</si>
  <si>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</si>
  <si>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</si>
  <si>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</si>
  <si>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</si>
  <si>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</si>
  <si>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</si>
  <si>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</si>
  <si>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</si>
  <si>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</si>
  <si>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</si>
  <si>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</si>
  <si>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</si>
  <si>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</si>
  <si>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</si>
  <si>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</si>
  <si>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</si>
  <si>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</si>
  <si>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</si>
  <si>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</si>
  <si>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</si>
  <si>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</si>
  <si>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</si>
  <si>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</si>
  <si>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</si>
  <si>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</si>
  <si>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</si>
  <si>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</si>
  <si>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</si>
  <si>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</si>
  <si>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</si>
  <si>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</si>
  <si>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</si>
  <si>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</si>
  <si>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</si>
  <si>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</si>
  <si>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</si>
  <si>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</si>
  <si>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</si>
  <si>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</si>
  <si>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</si>
  <si>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</si>
  <si>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</si>
  <si>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</si>
  <si>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</si>
  <si>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</si>
  <si>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</si>
  <si>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</si>
  <si>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</si>
  <si>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</si>
  <si>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</si>
  <si>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</si>
  <si>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</si>
  <si>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</si>
  <si>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</si>
  <si>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</si>
  <si>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</si>
  <si>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</si>
  <si>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</si>
  <si>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</si>
  <si>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</si>
  <si>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</si>
  <si>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</si>
  <si>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</si>
  <si>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</si>
  <si>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</si>
  <si>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</si>
  <si>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</si>
  <si>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</si>
  <si>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</si>
  <si>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</si>
  <si>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</si>
  <si>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</si>
  <si>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</si>
  <si>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</si>
  <si>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</si>
  <si>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</si>
  <si>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</si>
  <si>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</si>
  <si>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</si>
  <si>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</si>
  <si>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</si>
  <si>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</si>
  <si>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</si>
  <si>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</si>
  <si>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</si>
  <si>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</si>
  <si>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</si>
  <si>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</si>
  <si>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</si>
  <si>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</si>
  <si>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</si>
  <si>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</si>
  <si>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</si>
  <si>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</si>
  <si>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</si>
  <si>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</si>
  <si>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</si>
  <si>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</si>
  <si>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</si>
  <si>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</si>
  <si>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</si>
  <si>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</si>
  <si>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</si>
  <si>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</si>
  <si>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</si>
  <si>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</si>
  <si>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</si>
  <si>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</si>
  <si>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</si>
  <si>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</si>
  <si>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</si>
  <si>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</si>
  <si>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</si>
  <si>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</si>
  <si>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</si>
  <si>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</si>
  <si>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</si>
  <si>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</si>
  <si>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</si>
  <si>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</si>
  <si>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</si>
  <si>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</si>
  <si>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</si>
  <si>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</si>
  <si>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</si>
  <si>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</si>
  <si>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</si>
  <si>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</si>
  <si>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</si>
  <si>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</si>
  <si>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</si>
  <si>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</si>
  <si>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</si>
  <si>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</si>
  <si>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</si>
  <si>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</si>
  <si>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</si>
  <si>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</si>
  <si>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</si>
  <si>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</si>
  <si>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</si>
  <si>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</si>
  <si>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</si>
  <si>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</si>
  <si>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</si>
  <si>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</si>
  <si>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</si>
  <si>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</si>
  <si>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</si>
  <si>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</si>
  <si>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</si>
  <si>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</si>
  <si>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</si>
  <si>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</si>
  <si>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</si>
  <si>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</si>
  <si>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</si>
  <si>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</si>
  <si>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</si>
  <si>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</si>
  <si>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</si>
  <si>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</si>
  <si>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</si>
  <si>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</si>
  <si>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</si>
  <si>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</si>
  <si>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</si>
  <si>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</si>
  <si>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</si>
  <si>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</si>
  <si>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</si>
  <si>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</si>
  <si>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</si>
  <si>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</si>
  <si>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</si>
  <si>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</si>
  <si>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</si>
  <si>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</si>
  <si>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</si>
  <si>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</si>
  <si>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</si>
  <si>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</si>
  <si>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</si>
  <si>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</si>
  <si>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</si>
  <si>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</si>
  <si>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</si>
  <si>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</si>
  <si>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</si>
  <si>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</si>
  <si>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</si>
  <si>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</si>
  <si>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</si>
  <si>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</si>
  <si>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</si>
  <si>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</si>
  <si>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</si>
  <si>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</si>
  <si>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</si>
  <si>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</si>
  <si>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</si>
  <si>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</si>
  <si>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</si>
  <si>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</si>
  <si>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</si>
  <si>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</si>
  <si>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</si>
  <si>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</si>
  <si>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</si>
  <si>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</si>
  <si>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</si>
  <si>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</si>
  <si>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</si>
  <si>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</si>
  <si>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</si>
  <si>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</si>
  <si>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</si>
  <si>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</si>
  <si>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</si>
  <si>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</si>
  <si>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</si>
  <si>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</si>
  <si>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</si>
  <si>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</si>
  <si>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</si>
  <si>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</si>
  <si>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</si>
  <si>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</si>
  <si>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</si>
  <si>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</si>
  <si>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</si>
  <si>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</si>
  <si>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</si>
  <si>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</si>
  <si>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</si>
  <si>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</si>
  <si>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</si>
  <si>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</si>
  <si>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</si>
  <si>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</si>
  <si>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</si>
  <si>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</si>
  <si>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</si>
  <si>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</si>
  <si>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</si>
  <si>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</si>
  <si>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</si>
  <si>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</si>
  <si>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</si>
  <si>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</si>
  <si>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</si>
  <si>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</si>
  <si>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</si>
  <si>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</si>
  <si>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</si>
  <si>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</si>
  <si>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</si>
  <si>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</si>
  <si>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</si>
  <si>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</si>
  <si>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</si>
  <si>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</si>
  <si>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</si>
  <si>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</si>
  <si>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</si>
  <si>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</si>
  <si>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</si>
  <si>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</si>
  <si>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</si>
  <si>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</si>
  <si>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</si>
  <si>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</si>
  <si>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</si>
  <si>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</si>
  <si>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</si>
  <si>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</si>
  <si>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</si>
  <si>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</si>
  <si>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</si>
  <si>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</si>
  <si>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</si>
  <si>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</si>
  <si>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</si>
  <si>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</si>
  <si>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</si>
  <si>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</si>
  <si>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</si>
  <si>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</si>
  <si>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</si>
  <si>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</si>
  <si>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</si>
  <si>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</si>
  <si>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</si>
  <si>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</si>
  <si>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</si>
  <si>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</si>
  <si>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</si>
  <si>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</si>
  <si>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</si>
  <si>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</si>
  <si>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</si>
  <si>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</si>
  <si>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</si>
  <si>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</si>
  <si>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</si>
  <si>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</si>
  <si>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</si>
  <si>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</si>
  <si>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</si>
  <si>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</si>
  <si>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</si>
  <si>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</si>
  <si>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</si>
  <si>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</si>
  <si>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</si>
  <si>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</si>
  <si>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</si>
  <si>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</si>
  <si>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</si>
  <si>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</si>
  <si>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</si>
  <si>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</si>
  <si>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</si>
  <si>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</si>
  <si>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</si>
  <si>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</si>
  <si>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</si>
  <si>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</si>
  <si>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</si>
  <si>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</si>
  <si>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</si>
  <si>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</si>
  <si>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</si>
  <si>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</si>
  <si>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</si>
  <si>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</si>
  <si>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</si>
  <si>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</si>
  <si>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</si>
  <si>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</si>
  <si>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</si>
  <si>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</si>
  <si>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</si>
  <si>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</si>
  <si>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</si>
  <si>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</si>
  <si>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</si>
  <si>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</si>
  <si>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</si>
  <si>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</si>
  <si>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</si>
  <si>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</si>
  <si>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</si>
  <si>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</si>
  <si>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</si>
  <si>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</si>
  <si>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</si>
  <si>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</si>
  <si>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</si>
  <si>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</si>
  <si>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</si>
  <si>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</si>
  <si>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</si>
  <si>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</si>
  <si>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</si>
  <si>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</si>
  <si>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</si>
  <si>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</si>
  <si>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</si>
  <si>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</si>
  <si>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</si>
  <si>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</si>
  <si>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</si>
  <si>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</si>
  <si>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</si>
  <si>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</si>
  <si>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</si>
  <si>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</si>
  <si>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</si>
  <si>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</si>
  <si>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</si>
  <si>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</si>
  <si>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</si>
  <si>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</si>
  <si>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</si>
  <si>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</si>
  <si>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</si>
  <si>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</si>
  <si>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</si>
  <si>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</si>
  <si>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</si>
  <si>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</si>
  <si>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</si>
  <si>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</si>
  <si>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</si>
  <si>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</si>
  <si>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</si>
  <si>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</si>
  <si>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</si>
  <si>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</si>
  <si>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</si>
  <si>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</si>
  <si>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</si>
  <si>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</si>
  <si>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</si>
  <si>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</si>
  <si>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</si>
  <si>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</si>
  <si>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</si>
  <si>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</si>
  <si>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</si>
  <si>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</si>
  <si>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</si>
  <si>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</si>
  <si>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</si>
  <si>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</si>
  <si>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</si>
  <si>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</si>
  <si>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</si>
  <si>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</si>
  <si>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</si>
  <si>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</si>
  <si>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</si>
  <si>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</si>
  <si>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</si>
  <si>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</si>
  <si>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</si>
  <si>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</si>
  <si>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</si>
  <si>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</si>
  <si>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</si>
  <si>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</si>
  <si>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</si>
  <si>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</si>
  <si>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</si>
  <si>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</si>
  <si>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</si>
  <si>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</si>
  <si>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</si>
  <si>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</si>
  <si>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</si>
  <si>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</si>
  <si>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</si>
  <si>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</si>
  <si>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</si>
  <si>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</si>
  <si>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</si>
  <si>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</si>
  <si>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</si>
  <si>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</si>
  <si>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</si>
  <si>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</si>
  <si>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</si>
  <si>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</si>
  <si>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</si>
  <si>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</si>
  <si>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</si>
  <si>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</si>
  <si>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</si>
  <si>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</si>
  <si>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</si>
  <si>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</si>
  <si>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</si>
  <si>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</si>
  <si>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</si>
  <si>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</si>
  <si>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</si>
  <si>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</si>
  <si>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</si>
  <si>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</si>
  <si>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</si>
  <si>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</si>
  <si>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</si>
  <si>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</si>
  <si>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</si>
  <si>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</si>
  <si>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</si>
  <si>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</si>
  <si>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</si>
  <si>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</si>
  <si>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</si>
  <si>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</si>
  <si>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</si>
  <si>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</si>
  <si>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</si>
  <si>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</si>
  <si>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</si>
  <si>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</si>
  <si>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</si>
  <si>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</si>
  <si>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</si>
  <si>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</si>
  <si>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</si>
  <si>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</si>
  <si>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</si>
  <si>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</si>
  <si>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</si>
  <si>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</si>
  <si>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</si>
  <si>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</si>
  <si>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</si>
  <si>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</si>
  <si>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</si>
  <si>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</si>
  <si>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</si>
  <si>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</si>
  <si>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</si>
  <si>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</si>
  <si>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</si>
  <si>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</si>
  <si>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</si>
  <si>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</si>
  <si>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</si>
  <si>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</si>
  <si>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</si>
  <si>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</si>
  <si>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</si>
  <si>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</si>
  <si>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</si>
  <si>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</si>
  <si>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</si>
  <si>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</si>
  <si>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</si>
  <si>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</si>
  <si>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</si>
  <si>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</si>
  <si>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</si>
  <si>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</si>
  <si>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</si>
  <si>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</si>
  <si>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</si>
  <si>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</si>
  <si>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</si>
  <si>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</si>
  <si>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</si>
  <si>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</si>
  <si>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</si>
  <si>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</si>
  <si>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</si>
  <si>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</si>
  <si>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</si>
  <si>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</si>
  <si>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</si>
  <si>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</si>
  <si>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</si>
  <si>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</si>
  <si>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</si>
  <si>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</si>
  <si>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</si>
  <si>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</si>
  <si>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</si>
  <si>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</si>
  <si>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</si>
  <si>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</si>
  <si>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</si>
  <si>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</si>
  <si>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</si>
  <si>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</si>
  <si>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</si>
  <si>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</si>
  <si>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</si>
  <si>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</si>
  <si>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</si>
  <si>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</si>
  <si>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</si>
  <si>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</si>
  <si>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</si>
  <si>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</si>
  <si>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</si>
  <si>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</si>
  <si>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</si>
  <si>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</si>
  <si>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</si>
  <si>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</si>
  <si>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</si>
  <si>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</si>
  <si>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</si>
  <si>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</si>
  <si>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</si>
  <si>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</si>
  <si>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</si>
  <si>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</si>
  <si>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</si>
  <si>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</si>
  <si>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</si>
  <si>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</si>
  <si>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</si>
  <si>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</si>
  <si>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</si>
  <si>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</si>
  <si>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</si>
  <si>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</si>
  <si>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</si>
  <si>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</si>
  <si>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</si>
  <si>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</si>
  <si>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</si>
  <si>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</si>
  <si>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</si>
  <si>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</si>
  <si>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</si>
  <si>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</si>
  <si>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</si>
  <si>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</si>
  <si>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</si>
  <si>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</si>
  <si>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</si>
  <si>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</si>
  <si>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</si>
  <si>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</si>
  <si>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</si>
  <si>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</si>
  <si>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</si>
  <si>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</si>
  <si>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</si>
  <si>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</si>
  <si>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</si>
  <si>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</si>
  <si>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</si>
  <si>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</si>
  <si>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</si>
  <si>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</si>
  <si>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</si>
  <si>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</si>
  <si>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</si>
  <si>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</si>
  <si>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</si>
  <si>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</si>
  <si>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</si>
  <si>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</si>
  <si>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</si>
  <si>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</si>
  <si>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</si>
  <si>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</si>
  <si>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</si>
  <si>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</si>
  <si>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</si>
  <si>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</si>
  <si>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</si>
  <si>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</si>
  <si>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</si>
  <si>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</si>
  <si>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</si>
  <si>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</si>
  <si>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</si>
  <si>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</si>
  <si>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</si>
  <si>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</si>
  <si>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</si>
  <si>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</si>
  <si>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</si>
  <si>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</si>
  <si>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</si>
  <si>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</si>
  <si>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</si>
  <si>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</si>
  <si>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</si>
  <si>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</si>
  <si>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</si>
  <si>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</si>
  <si>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</si>
  <si>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</si>
  <si>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</si>
  <si>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</si>
  <si>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</si>
  <si>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</si>
  <si>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</si>
  <si>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</si>
  <si>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</si>
  <si>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</si>
  <si>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</si>
  <si>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</si>
  <si>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</si>
  <si>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</si>
  <si>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</si>
  <si>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</si>
  <si>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</si>
  <si>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</si>
  <si>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</si>
  <si>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</si>
  <si>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</si>
  <si>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</si>
  <si>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</si>
  <si>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</si>
  <si>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</si>
  <si>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</si>
  <si>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</si>
  <si>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</si>
  <si>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</si>
  <si>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</si>
  <si>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</si>
  <si>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</si>
  <si>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</si>
  <si>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</si>
  <si>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</si>
  <si>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</si>
  <si>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</si>
  <si>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</si>
  <si>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</si>
  <si>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</si>
  <si>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</si>
  <si>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</si>
  <si>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</si>
  <si>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</si>
  <si>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</si>
  <si>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</si>
  <si>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</si>
  <si>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</si>
  <si>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</si>
  <si>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</si>
  <si>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</si>
  <si>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</si>
  <si>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</si>
  <si>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</si>
  <si>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</si>
  <si>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</si>
  <si>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</si>
  <si>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</si>
  <si>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</si>
  <si>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</si>
  <si>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</si>
  <si>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</si>
  <si>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</si>
  <si>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</si>
  <si>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</si>
  <si>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</si>
  <si>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</si>
  <si>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</si>
  <si>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</si>
  <si>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</si>
  <si>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</si>
  <si>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</si>
  <si>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</si>
  <si>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</si>
  <si>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</si>
  <si>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</si>
  <si>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</si>
  <si>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</si>
  <si>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</si>
  <si>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</si>
  <si>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</si>
  <si>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</si>
  <si>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</si>
  <si>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</si>
  <si>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</si>
  <si>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</si>
  <si>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</si>
  <si>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</si>
  <si>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</si>
  <si>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</si>
  <si>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</si>
  <si>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</si>
  <si>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</si>
  <si>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</si>
  <si>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</si>
  <si>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</si>
  <si>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</si>
  <si>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</si>
  <si>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</si>
  <si>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</si>
  <si>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</si>
  <si>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</si>
  <si>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</si>
  <si>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</si>
  <si>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</si>
  <si>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</si>
  <si>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</si>
  <si>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</si>
  <si>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</si>
  <si>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</si>
  <si>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</si>
  <si>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</si>
  <si>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</si>
  <si>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</si>
  <si>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</si>
  <si>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</si>
  <si>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</si>
  <si>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</si>
  <si>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</si>
  <si>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</si>
  <si>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</si>
  <si>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</si>
  <si>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</si>
  <si>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</si>
  <si>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</si>
  <si>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</si>
  <si>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</si>
  <si>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</si>
  <si>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</si>
  <si>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</si>
  <si>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</si>
  <si>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</si>
  <si>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</si>
  <si>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</si>
  <si>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</si>
  <si>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</si>
  <si>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</si>
  <si>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</si>
  <si>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</si>
  <si>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</si>
  <si>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</si>
  <si>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</si>
  <si>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</si>
  <si>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</si>
  <si>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</si>
  <si>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</si>
  <si>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</si>
  <si>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</si>
  <si>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</si>
  <si>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</si>
  <si>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</si>
  <si>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</si>
  <si>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</si>
  <si>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</si>
  <si>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</si>
  <si>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</si>
  <si>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</si>
  <si>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</si>
  <si>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</si>
  <si>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</si>
  <si>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</si>
  <si>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</si>
  <si>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</si>
  <si>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</si>
  <si>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</si>
  <si>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</si>
  <si>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</si>
  <si>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</si>
  <si>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</si>
  <si>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</si>
  <si>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</si>
  <si>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</si>
  <si>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</si>
  <si>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</si>
  <si>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</si>
  <si>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</si>
  <si>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</si>
  <si>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</si>
  <si>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</si>
  <si>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</si>
  <si>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</si>
  <si>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</si>
  <si>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</si>
  <si>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</si>
  <si>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</si>
  <si>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</si>
  <si>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</si>
  <si>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</si>
  <si>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</si>
  <si>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</si>
  <si>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</si>
  <si>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</si>
  <si>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</si>
  <si>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</si>
  <si>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</si>
  <si>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</si>
  <si>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</si>
  <si>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</si>
  <si>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</si>
  <si>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</si>
  <si>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</si>
  <si>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</si>
  <si>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</si>
  <si>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</si>
  <si>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</si>
  <si>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</si>
  <si>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</si>
  <si>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</si>
  <si>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</si>
  <si>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</si>
  <si>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</si>
  <si>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</si>
  <si>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</si>
  <si>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</si>
  <si>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</si>
  <si>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</si>
  <si>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</si>
  <si>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</si>
  <si>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</si>
  <si>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</si>
  <si>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</si>
  <si>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</si>
  <si>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</si>
  <si>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</si>
  <si>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</si>
  <si>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</si>
  <si>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</si>
  <si>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</si>
  <si>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</si>
  <si>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</si>
  <si>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</si>
  <si>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</si>
  <si>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</si>
  <si>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</si>
  <si>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</si>
  <si>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</si>
  <si>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</si>
  <si>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</si>
  <si>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</si>
  <si>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</si>
  <si>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</si>
  <si>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</si>
  <si>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</si>
  <si>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</si>
  <si>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</si>
  <si>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</si>
  <si>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</si>
  <si>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</si>
  <si>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</si>
  <si>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</si>
  <si>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</si>
  <si>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</si>
  <si>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</si>
  <si>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</si>
  <si>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</si>
  <si>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</si>
  <si>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</si>
  <si>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</si>
  <si>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</si>
  <si>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</si>
  <si>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</si>
  <si>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</si>
  <si>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</si>
  <si>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</si>
  <si>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</si>
  <si>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</si>
  <si>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</si>
  <si>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</si>
  <si>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</si>
  <si>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</si>
  <si>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</si>
  <si>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</si>
  <si>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</si>
  <si>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</si>
  <si>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</si>
  <si>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</si>
  <si>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</si>
  <si>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</si>
  <si>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</si>
  <si>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</si>
  <si>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</si>
  <si>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</si>
  <si>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</si>
  <si>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</si>
  <si>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</si>
  <si>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</si>
  <si>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</si>
  <si>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</si>
  <si>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</si>
  <si>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</si>
  <si>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</si>
  <si>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</si>
  <si>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</si>
  <si>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</si>
  <si>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</si>
  <si>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</si>
  <si>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</si>
  <si>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</si>
  <si>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</si>
  <si>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</si>
  <si>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</si>
  <si>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</si>
  <si>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</si>
  <si>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</si>
  <si>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</si>
  <si>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</si>
  <si>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</si>
  <si>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</si>
  <si>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</si>
  <si>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</si>
  <si>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</si>
  <si>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</si>
  <si>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</si>
  <si>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</si>
  <si>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</si>
  <si>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</si>
  <si>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</si>
  <si>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</si>
  <si>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</si>
  <si>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</si>
  <si>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</si>
  <si>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</si>
  <si>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</si>
  <si>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</si>
  <si>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</si>
  <si>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</si>
  <si>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</si>
  <si>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</si>
  <si>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</si>
  <si>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</si>
  <si>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</si>
  <si>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</si>
  <si>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</si>
  <si>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</si>
  <si>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</si>
  <si>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</si>
  <si>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</si>
  <si>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</si>
  <si>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</si>
  <si>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</si>
  <si>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</si>
  <si>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</si>
  <si>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</si>
  <si>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</si>
  <si>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</si>
  <si>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</si>
  <si>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</si>
  <si>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</si>
  <si>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</si>
  <si>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</si>
  <si>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</si>
  <si>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</si>
  <si>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</si>
  <si>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</si>
  <si>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</si>
  <si>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</si>
  <si>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</si>
  <si>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</si>
  <si>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</si>
  <si>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</si>
  <si>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</si>
  <si>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</si>
  <si>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</si>
  <si>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</si>
  <si>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</si>
  <si>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</si>
  <si>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</si>
  <si>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</si>
  <si>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</si>
  <si>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</si>
  <si>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</si>
  <si>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</si>
  <si>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</si>
  <si>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</si>
  <si>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</si>
  <si>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</si>
  <si>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</si>
  <si>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</si>
  <si>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</si>
  <si>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</si>
  <si>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</si>
  <si>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</si>
  <si>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</si>
  <si>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</si>
  <si>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</si>
  <si>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</si>
  <si>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</si>
  <si>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</si>
  <si>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</si>
  <si>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</si>
  <si>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</si>
  <si>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</si>
  <si>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</si>
  <si>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</si>
  <si>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</si>
  <si>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</si>
  <si>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</si>
  <si>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</si>
  <si>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</si>
  <si>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</si>
  <si>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</si>
  <si>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</si>
  <si>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</si>
  <si>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</si>
  <si>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</si>
  <si>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</si>
  <si>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</si>
  <si>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</si>
  <si>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</si>
  <si>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</si>
  <si>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</si>
  <si>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</si>
  <si>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</si>
  <si>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</si>
  <si>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</si>
  <si>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</si>
  <si>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</si>
  <si>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</si>
  <si>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</si>
  <si>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</si>
  <si>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</si>
  <si>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</si>
  <si>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</si>
  <si>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</si>
  <si>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</si>
  <si>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</si>
  <si>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</si>
  <si>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</si>
  <si>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</si>
  <si>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</si>
  <si>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</si>
  <si>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</si>
  <si>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</si>
  <si>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</si>
  <si>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</si>
  <si>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</si>
  <si>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</si>
  <si>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</si>
  <si>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</si>
  <si>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</si>
  <si>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</si>
  <si>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</si>
  <si>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</si>
  <si>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</si>
  <si>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</si>
  <si>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</si>
  <si>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</si>
  <si>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</si>
  <si>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</si>
  <si>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</si>
  <si>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</si>
  <si>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</si>
  <si>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</si>
  <si>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</si>
  <si>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</si>
  <si>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</si>
  <si>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</si>
  <si>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</si>
  <si>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</si>
  <si>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</si>
  <si>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</si>
  <si>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</si>
  <si>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</si>
  <si>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</si>
  <si>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</si>
  <si>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</si>
  <si>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</si>
  <si>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</si>
  <si>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</si>
  <si>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</si>
  <si>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</si>
  <si>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</si>
  <si>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</si>
  <si>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</si>
  <si>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</si>
  <si>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</si>
  <si>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</si>
  <si>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</si>
  <si>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</si>
  <si>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</si>
  <si>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</si>
  <si>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</si>
  <si>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</si>
  <si>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</si>
  <si>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</si>
  <si>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</si>
  <si>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</si>
  <si>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</si>
  <si>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</si>
  <si>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</si>
  <si>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</si>
  <si>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</si>
  <si>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</si>
  <si>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</si>
  <si>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</si>
  <si>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</si>
  <si>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</si>
  <si>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</si>
  <si>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</si>
  <si>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</si>
  <si>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</si>
  <si>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</si>
  <si>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</si>
  <si>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</si>
  <si>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</si>
  <si>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</si>
  <si>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</si>
  <si>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</si>
  <si>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</si>
  <si>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</si>
  <si>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</si>
  <si>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</si>
  <si>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</si>
  <si>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</si>
  <si>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</si>
  <si>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</si>
  <si>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</si>
  <si>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</si>
  <si>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</si>
  <si>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</si>
  <si>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</si>
  <si>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</si>
  <si>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</si>
  <si>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</si>
  <si>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</si>
  <si>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</si>
  <si>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</si>
  <si>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</si>
  <si>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</si>
  <si>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</si>
  <si>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</si>
  <si>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</si>
  <si>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</si>
  <si>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</si>
  <si>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</si>
  <si>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</si>
  <si>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</si>
  <si>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</si>
  <si>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</si>
  <si>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</si>
  <si>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</si>
  <si>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</si>
  <si>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</si>
  <si>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</si>
  <si>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</si>
  <si>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</si>
  <si>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</si>
  <si>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</si>
  <si>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</si>
  <si>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</si>
  <si>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</si>
  <si>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</si>
  <si>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</si>
  <si>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</si>
  <si>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</si>
  <si>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</si>
  <si>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</si>
  <si>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</si>
  <si>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</si>
  <si>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</si>
  <si>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</si>
  <si>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</si>
  <si>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</si>
  <si>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</si>
  <si>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</si>
  <si>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</si>
  <si>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</si>
  <si>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</si>
  <si>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</si>
  <si>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</si>
  <si>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</si>
  <si>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</si>
  <si>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</si>
  <si>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</si>
  <si>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</si>
  <si>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</si>
  <si>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</si>
  <si>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</si>
  <si>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</si>
  <si>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</si>
  <si>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</si>
  <si>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</si>
  <si>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</si>
  <si>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</si>
  <si>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</si>
  <si>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</si>
  <si>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</si>
  <si>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</si>
  <si>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</si>
  <si>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</si>
  <si>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</si>
  <si>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</si>
  <si>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</si>
  <si>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</si>
  <si>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</si>
  <si>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</si>
  <si>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</si>
  <si>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</si>
  <si>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</si>
  <si>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</si>
  <si>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</si>
  <si>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</si>
  <si>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</si>
  <si>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</si>
  <si>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</si>
  <si>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</si>
  <si>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</si>
  <si>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</si>
  <si>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</si>
  <si>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</si>
  <si>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</si>
  <si>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</si>
  <si>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</si>
  <si>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</si>
  <si>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</si>
  <si>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</si>
  <si>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</si>
  <si>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</si>
  <si>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</si>
  <si>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</si>
  <si>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</si>
  <si>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</si>
  <si>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</si>
  <si>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</si>
  <si>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</si>
  <si>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</si>
  <si>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</si>
  <si>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</si>
  <si>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</si>
  <si>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</si>
  <si>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</si>
  <si>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</si>
  <si>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</si>
  <si>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</si>
  <si>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</si>
  <si>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</si>
  <si>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</si>
  <si>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</si>
  <si>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</si>
  <si>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</si>
  <si>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</si>
  <si>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</si>
  <si>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</si>
  <si>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</si>
  <si>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</si>
  <si>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</si>
  <si>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</si>
  <si>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</si>
  <si>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</si>
  <si>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</si>
  <si>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</si>
  <si>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</si>
  <si>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</si>
  <si>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</si>
  <si>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</si>
  <si>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</si>
  <si>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</si>
  <si>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</si>
  <si>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</si>
  <si>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</si>
  <si>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</si>
  <si>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</si>
  <si>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</si>
  <si>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</si>
  <si>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</si>
  <si>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</si>
  <si>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</si>
  <si>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</si>
  <si>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</si>
  <si>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</si>
  <si>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</si>
  <si>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</si>
  <si>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</si>
  <si>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</si>
  <si>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</si>
  <si>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</si>
  <si>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</si>
  <si>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</si>
  <si>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</si>
  <si>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</si>
  <si>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</si>
  <si>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</si>
  <si>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</si>
  <si>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</si>
  <si>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</si>
  <si>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</si>
  <si>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</si>
  <si>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</si>
  <si>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</si>
  <si>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</si>
  <si>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</si>
  <si>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</si>
  <si>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</si>
  <si>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</si>
  <si>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</si>
  <si>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</si>
  <si>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</si>
  <si>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</si>
  <si>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</si>
  <si>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</si>
  <si>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</si>
  <si>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</si>
  <si>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</si>
  <si>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</si>
  <si>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</si>
  <si>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</si>
  <si>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</si>
  <si>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</si>
  <si>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</si>
  <si>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</si>
  <si>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</si>
  <si>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</si>
  <si>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</si>
  <si>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</si>
  <si>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</si>
  <si>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</si>
  <si>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</si>
  <si>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</si>
  <si>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</si>
  <si>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</si>
  <si>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</si>
  <si>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</si>
  <si>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</si>
  <si>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</si>
  <si>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</si>
  <si>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</si>
  <si>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</si>
  <si>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</si>
  <si>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</si>
  <si>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</si>
  <si>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</si>
  <si>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</si>
  <si>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</si>
  <si>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</si>
  <si>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</si>
  <si>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</si>
  <si>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</si>
  <si>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</si>
  <si>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</si>
  <si>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</si>
  <si>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</si>
  <si>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</si>
  <si>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</si>
  <si>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</si>
  <si>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</si>
  <si>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</si>
  <si>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</si>
  <si>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</si>
  <si>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</si>
  <si>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</si>
  <si>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</si>
  <si>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</si>
  <si>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</si>
  <si>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</si>
  <si>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</si>
  <si>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</si>
  <si>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</si>
  <si>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</si>
  <si>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</si>
  <si>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</si>
  <si>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</si>
  <si>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</si>
  <si>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</si>
  <si>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</si>
  <si>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</si>
  <si>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</si>
  <si>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</si>
  <si>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</si>
  <si>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</si>
  <si>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</si>
  <si>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</si>
  <si>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</si>
  <si>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</si>
  <si>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</si>
  <si>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</si>
  <si>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</si>
  <si>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</si>
  <si>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</si>
  <si>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</si>
  <si>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</si>
  <si>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</si>
  <si>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</si>
  <si>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</si>
  <si>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</si>
  <si>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</si>
  <si>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</si>
  <si>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</si>
  <si>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</si>
  <si>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</si>
  <si>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</si>
  <si>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</si>
  <si>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</si>
  <si>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</si>
  <si>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</si>
  <si>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</si>
  <si>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</si>
  <si>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</si>
  <si>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</si>
  <si>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</si>
  <si>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</si>
  <si>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</si>
  <si>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</si>
  <si>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</si>
  <si>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</si>
  <si>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</si>
  <si>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</si>
  <si>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</si>
  <si>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</si>
  <si>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</si>
  <si>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</si>
  <si>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</si>
  <si>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</si>
  <si>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</si>
  <si>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</si>
  <si>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</si>
  <si>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</si>
  <si>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</si>
  <si>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</si>
  <si>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</si>
  <si>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</si>
  <si>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</si>
  <si>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</si>
  <si>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</si>
  <si>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</si>
  <si>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</si>
  <si>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</si>
  <si>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</si>
  <si>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</si>
  <si>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</si>
  <si>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</si>
  <si>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</si>
  <si>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</si>
  <si>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</si>
  <si>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</si>
  <si>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</si>
  <si>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</si>
  <si>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</si>
  <si>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</si>
  <si>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</si>
  <si>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</si>
  <si>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</si>
  <si>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</si>
  <si>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</si>
  <si>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</si>
  <si>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</si>
  <si>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</si>
  <si>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</si>
  <si>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</si>
  <si>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</si>
  <si>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</si>
  <si>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</si>
  <si>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</si>
  <si>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</si>
  <si>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</si>
  <si>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</si>
  <si>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</si>
  <si>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</si>
  <si>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</si>
  <si>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</si>
  <si>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</si>
  <si>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</si>
  <si>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</si>
  <si>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</si>
  <si>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</si>
  <si>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</si>
  <si>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</si>
  <si>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</si>
  <si>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</si>
  <si>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</si>
  <si>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</si>
  <si>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</si>
  <si>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</si>
  <si>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</si>
  <si>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</si>
  <si>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</si>
  <si>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</si>
  <si>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</si>
  <si>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</si>
  <si>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</si>
  <si>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</si>
  <si>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</si>
  <si>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</si>
  <si>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</si>
  <si>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</si>
  <si>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</si>
  <si>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</si>
  <si>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</si>
  <si>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</si>
  <si>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</si>
  <si>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</si>
  <si>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</si>
  <si>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</si>
  <si>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</si>
  <si>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</si>
  <si>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</si>
  <si>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</si>
  <si>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</si>
  <si>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</si>
  <si>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</si>
  <si>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</si>
  <si>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</si>
  <si>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</si>
  <si>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</si>
  <si>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</si>
  <si>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</si>
  <si>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</si>
  <si>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</si>
  <si>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</si>
  <si>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</si>
  <si>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</si>
  <si>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</si>
  <si>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</si>
  <si>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</si>
  <si>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</si>
  <si>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</si>
  <si>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</si>
  <si>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</si>
  <si>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</si>
  <si>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</si>
  <si>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</si>
  <si>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</si>
  <si>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</si>
  <si>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</si>
  <si>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</si>
  <si>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</si>
  <si>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</si>
  <si>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</si>
  <si>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</si>
  <si>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</si>
  <si>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</si>
  <si>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</si>
  <si>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</si>
  <si>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</si>
  <si>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</si>
  <si>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</si>
  <si>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</si>
  <si>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</si>
  <si>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</si>
  <si>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</si>
  <si>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</si>
  <si>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</si>
  <si>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</si>
  <si>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</si>
  <si>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</si>
  <si>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</si>
  <si>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</si>
  <si>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</si>
  <si>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</si>
  <si>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</si>
  <si>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</si>
  <si>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</si>
  <si>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</si>
  <si>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</si>
  <si>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</si>
  <si>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</si>
  <si>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</si>
  <si>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</si>
  <si>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</si>
  <si>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</si>
  <si>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</si>
  <si>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</si>
  <si>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</si>
  <si>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</si>
  <si>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</si>
  <si>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</si>
  <si>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</si>
  <si>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</si>
  <si>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</si>
  <si>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</si>
  <si>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</si>
  <si>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</si>
  <si>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</si>
  <si>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</si>
  <si>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</si>
  <si>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</si>
  <si>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</si>
  <si>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</si>
  <si>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</si>
  <si>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</si>
  <si>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</si>
  <si>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</si>
  <si>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</si>
  <si>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</si>
  <si>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</si>
  <si>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</si>
  <si>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</si>
  <si>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</si>
  <si>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</si>
  <si>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</si>
  <si>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</si>
  <si>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</si>
  <si>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</si>
  <si>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</si>
  <si>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</si>
  <si>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</si>
  <si>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</si>
  <si>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</si>
  <si>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</si>
  <si>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</si>
  <si>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</si>
  <si>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</si>
  <si>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</si>
  <si>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</si>
  <si>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</si>
  <si>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</si>
  <si>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</si>
  <si>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</si>
  <si>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</si>
  <si>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</si>
  <si>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</si>
  <si>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</si>
  <si>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</si>
  <si>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</si>
  <si>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</si>
  <si>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</si>
  <si>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</si>
  <si>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</si>
  <si>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</si>
  <si>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</si>
  <si>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</si>
  <si>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</si>
  <si>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</si>
  <si>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</si>
  <si>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</si>
  <si>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</si>
  <si>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</si>
  <si>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</si>
  <si>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</si>
  <si>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</si>
  <si>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</si>
  <si>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</si>
  <si>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</si>
  <si>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</si>
  <si>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</si>
  <si>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</si>
  <si>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</si>
  <si>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</si>
  <si>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</si>
  <si>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</si>
  <si>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</si>
  <si>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</si>
  <si>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</si>
  <si>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</si>
  <si>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</si>
  <si>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</si>
  <si>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</si>
  <si>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</si>
  <si>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</si>
  <si>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</si>
  <si>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</si>
  <si>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</si>
  <si>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</si>
  <si>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</si>
  <si>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</si>
  <si>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</si>
  <si>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</si>
  <si>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</si>
  <si>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</si>
  <si>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</si>
  <si>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</si>
  <si>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</si>
  <si>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</si>
  <si>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</si>
  <si>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</si>
  <si>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</si>
  <si>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</si>
  <si>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</si>
  <si>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</si>
  <si>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</si>
  <si>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</si>
  <si>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</si>
  <si>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</si>
  <si>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</si>
  <si>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</si>
  <si>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</si>
  <si>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</si>
  <si>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</si>
  <si>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</si>
  <si>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</si>
  <si>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</si>
  <si>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</si>
  <si>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</si>
  <si>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</si>
  <si>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</si>
  <si>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</si>
  <si>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</si>
  <si>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</si>
  <si>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</si>
  <si>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</si>
  <si>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</si>
  <si>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</si>
  <si>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</si>
  <si>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</si>
  <si>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</si>
  <si>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</si>
  <si>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</si>
  <si>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</si>
  <si>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</si>
  <si>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</si>
  <si>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</si>
  <si>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</si>
  <si>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</si>
  <si>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</si>
  <si>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</si>
  <si>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</si>
  <si>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</si>
  <si>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</si>
  <si>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</si>
  <si>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</si>
  <si>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</si>
  <si>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</si>
  <si>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</si>
  <si>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</si>
  <si>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</si>
  <si>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</si>
  <si>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</si>
  <si>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</si>
  <si>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</si>
  <si>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</si>
  <si>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</si>
  <si>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</si>
  <si>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</si>
  <si>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</si>
  <si>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</si>
  <si>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</si>
  <si>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</si>
  <si>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</si>
  <si>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</si>
  <si>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</si>
  <si>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</si>
  <si>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</si>
  <si>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</si>
  <si>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</si>
  <si>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</si>
  <si>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</si>
  <si>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</si>
  <si>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</si>
  <si>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</si>
  <si>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</si>
  <si>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</si>
  <si>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</si>
  <si>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</si>
  <si>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</si>
  <si>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</si>
  <si>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</si>
  <si>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</si>
  <si>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</si>
  <si>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</si>
  <si>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</si>
  <si>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</si>
  <si>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</si>
  <si>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</si>
  <si>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</si>
  <si>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</si>
  <si>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</si>
  <si>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</si>
  <si>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</si>
  <si>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</si>
  <si>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</si>
  <si>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</si>
  <si>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</si>
  <si>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</si>
  <si>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</si>
  <si>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</si>
  <si>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</si>
  <si>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</si>
  <si>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</si>
  <si>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</si>
  <si>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</si>
  <si>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</si>
  <si>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</si>
  <si>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</si>
  <si>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</si>
  <si>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</si>
  <si>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</si>
  <si>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</si>
  <si>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</si>
  <si>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</si>
  <si>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</si>
  <si>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</si>
  <si>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</si>
  <si>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</si>
  <si>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</si>
  <si>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</si>
  <si>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</si>
  <si>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</si>
  <si>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</si>
  <si>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</si>
  <si>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</si>
  <si>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</si>
  <si>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</si>
  <si>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</si>
  <si>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</si>
  <si>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</si>
  <si>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</si>
  <si>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</si>
  <si>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</si>
  <si>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</si>
  <si>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</si>
  <si>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</si>
  <si>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</si>
  <si>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</si>
  <si>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</si>
  <si>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</si>
  <si>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</si>
  <si>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</si>
  <si>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</si>
  <si>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</si>
  <si>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</si>
  <si>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</si>
  <si>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</si>
  <si>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</si>
  <si>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</si>
  <si>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</si>
  <si>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</si>
  <si>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</si>
  <si>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</si>
  <si>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</si>
  <si>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</si>
  <si>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</si>
  <si>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</si>
  <si>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</si>
  <si>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</si>
  <si>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</si>
  <si>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</si>
  <si>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</si>
  <si>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</si>
  <si>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</si>
  <si>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</si>
  <si>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</si>
  <si>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</si>
  <si>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</si>
  <si>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</si>
  <si>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</si>
  <si>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</si>
  <si>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</si>
  <si>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</si>
  <si>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</si>
  <si>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</si>
  <si>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</si>
  <si>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</si>
  <si>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</si>
  <si>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</si>
  <si>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</si>
  <si>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</si>
  <si>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</si>
  <si>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</si>
  <si>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</si>
  <si>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</si>
  <si>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</si>
  <si>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</si>
  <si>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</si>
  <si>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</si>
  <si>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</si>
  <si>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</si>
  <si>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</si>
  <si>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</si>
  <si>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</si>
  <si>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</si>
  <si>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</si>
  <si>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</si>
  <si>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</si>
  <si>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</si>
  <si>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</si>
  <si>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</si>
  <si>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</si>
  <si>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</si>
  <si>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</si>
  <si>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</si>
  <si>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</si>
  <si>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</si>
  <si>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</si>
  <si>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</si>
  <si>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</si>
  <si>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</si>
  <si>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</si>
  <si>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</si>
  <si>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</si>
  <si>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</si>
  <si>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</si>
  <si>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</si>
  <si>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</si>
  <si>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</si>
  <si>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</si>
  <si>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</si>
  <si>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</si>
  <si>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</si>
  <si>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</si>
  <si>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</si>
  <si>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</si>
  <si>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</si>
  <si>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</si>
  <si>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</si>
  <si>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</si>
  <si>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</si>
  <si>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</si>
  <si>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</si>
  <si>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</si>
  <si>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</si>
  <si>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</si>
  <si>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</si>
  <si>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</si>
  <si>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</si>
  <si>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</si>
  <si>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</si>
  <si>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</si>
  <si>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</si>
  <si>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</si>
  <si>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</si>
  <si>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</si>
  <si>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</si>
  <si>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</si>
  <si>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</si>
  <si>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</si>
  <si>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</si>
  <si>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</si>
  <si>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</si>
  <si>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</si>
  <si>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</si>
  <si>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</si>
  <si>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</si>
  <si>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</si>
  <si>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</si>
  <si>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</si>
  <si>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</si>
  <si>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</si>
  <si>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</si>
  <si>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</si>
  <si>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</si>
  <si>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</si>
  <si>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</si>
  <si>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</si>
  <si>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</si>
  <si>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</si>
  <si>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</si>
  <si>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</si>
  <si>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</si>
  <si>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</si>
  <si>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</si>
  <si>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</si>
  <si>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</si>
  <si>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</si>
  <si>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</si>
  <si>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</si>
  <si>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</si>
  <si>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</si>
  <si>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</si>
  <si>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</si>
  <si>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</si>
  <si>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</si>
  <si>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</si>
  <si>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</si>
  <si>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</si>
  <si>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</si>
  <si>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</si>
  <si>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</si>
  <si>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</si>
  <si>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</si>
  <si>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</si>
  <si>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</si>
  <si>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</si>
  <si>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</si>
  <si>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</si>
  <si>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</si>
  <si>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</si>
  <si>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</si>
  <si>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</si>
  <si>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</si>
  <si>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</si>
  <si>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</si>
  <si>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</si>
  <si>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</si>
  <si>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</si>
  <si>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</si>
  <si>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</si>
  <si>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</si>
  <si>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</si>
  <si>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</si>
  <si>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</si>
  <si>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</si>
  <si>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</si>
  <si>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</si>
  <si>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</si>
  <si>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</si>
  <si>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</si>
  <si>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</si>
  <si>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</si>
  <si>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</si>
  <si>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</si>
  <si>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</si>
  <si>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</si>
  <si>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</si>
  <si>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</si>
  <si>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</si>
  <si>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</si>
  <si>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</si>
  <si>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</si>
  <si>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</si>
  <si>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</si>
  <si>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</si>
  <si>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</si>
  <si>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</si>
  <si>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</si>
  <si>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</si>
  <si>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</si>
  <si>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</si>
  <si>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</si>
  <si>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</si>
  <si>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</si>
  <si>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</si>
  <si>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</si>
  <si>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</si>
  <si>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</si>
  <si>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</si>
  <si>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</si>
  <si>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</si>
  <si>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</si>
  <si>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</si>
  <si>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</si>
  <si>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</si>
  <si>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</si>
  <si>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</si>
  <si>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</si>
  <si>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</si>
  <si>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</si>
  <si>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</si>
  <si>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</si>
  <si>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</si>
  <si>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</si>
  <si>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</si>
  <si>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</si>
  <si>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</si>
  <si>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</si>
  <si>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</si>
  <si>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</si>
  <si>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</si>
  <si>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</si>
  <si>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</si>
  <si>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</si>
  <si>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</si>
  <si>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</si>
  <si>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</si>
  <si>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</si>
  <si>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</si>
  <si>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</si>
  <si>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</si>
  <si>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</si>
  <si>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</si>
  <si>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</si>
  <si>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</si>
  <si>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</si>
  <si>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</si>
  <si>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</si>
  <si>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</si>
  <si>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</si>
  <si>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</si>
  <si>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</si>
  <si>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</si>
  <si>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</si>
  <si>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</si>
  <si>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</si>
  <si>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</si>
  <si>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</si>
  <si>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</si>
  <si>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</si>
  <si>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</si>
  <si>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</si>
  <si>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</si>
  <si>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</si>
  <si>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</si>
  <si>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</si>
  <si>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</si>
  <si>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</si>
  <si>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</si>
  <si>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</si>
  <si>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</si>
  <si>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</si>
  <si>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</si>
  <si>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</si>
  <si>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</si>
  <si>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</si>
  <si>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</si>
  <si>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</si>
  <si>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</si>
  <si>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</si>
  <si>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</si>
  <si>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</si>
  <si>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</si>
  <si>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</si>
  <si>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</si>
  <si>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</si>
  <si>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</si>
  <si>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</si>
  <si>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</si>
  <si>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</si>
  <si>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</si>
  <si>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</si>
  <si>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</si>
  <si>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</si>
  <si>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</si>
  <si>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</si>
  <si>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</si>
  <si>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</si>
  <si>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</si>
  <si>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</si>
  <si>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</si>
  <si>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</si>
  <si>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</si>
  <si>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</si>
  <si>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</si>
  <si>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</si>
  <si>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</si>
  <si>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</si>
  <si>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</si>
  <si>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</si>
  <si>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</si>
  <si>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</si>
  <si>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</si>
  <si>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</si>
  <si>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</si>
  <si>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</si>
  <si>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</si>
  <si>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</si>
  <si>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</si>
  <si>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</si>
  <si>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</si>
  <si>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</si>
  <si>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</si>
  <si>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</si>
  <si>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</si>
  <si>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</si>
  <si>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</si>
  <si>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</si>
  <si>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</si>
  <si>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</si>
  <si>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</si>
  <si>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</si>
  <si>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</si>
  <si>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</si>
  <si>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</si>
  <si>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</si>
  <si>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</si>
  <si>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</si>
  <si>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</si>
  <si>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</si>
  <si>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</si>
  <si>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</si>
  <si>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</si>
  <si>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</si>
  <si>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</si>
  <si>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</si>
  <si>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</si>
  <si>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</si>
  <si>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</si>
  <si>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</si>
  <si>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</si>
  <si>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</si>
  <si>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</si>
  <si>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</si>
  <si>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</si>
  <si>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</si>
  <si>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</si>
  <si>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</si>
  <si>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</si>
  <si>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</si>
  <si>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</si>
  <si>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</si>
  <si>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</si>
  <si>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</si>
  <si>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</si>
  <si>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</si>
  <si>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</si>
  <si>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</si>
  <si>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</si>
  <si>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</si>
  <si>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</si>
  <si>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</si>
  <si>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</si>
  <si>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</si>
  <si>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</si>
  <si>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</si>
  <si>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</si>
  <si>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</si>
  <si>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</si>
  <si>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</si>
  <si>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</si>
  <si>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</si>
  <si>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</si>
  <si>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</si>
  <si>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</si>
  <si>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</si>
  <si>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</si>
  <si>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</si>
  <si>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</si>
  <si>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</si>
  <si>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</si>
  <si>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</si>
  <si>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</si>
  <si>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</si>
  <si>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</si>
  <si>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</si>
  <si>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</si>
  <si>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</si>
  <si>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</si>
  <si>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</si>
  <si>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</si>
  <si>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</si>
  <si>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</si>
  <si>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</si>
  <si>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</si>
  <si>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</si>
  <si>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</si>
  <si>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</si>
  <si>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</si>
  <si>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</si>
  <si>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</si>
  <si>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</si>
  <si>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</si>
  <si>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</si>
  <si>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</si>
  <si>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</si>
  <si>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</si>
  <si>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</si>
  <si>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</si>
  <si>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</si>
  <si>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</si>
  <si>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</si>
  <si>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</si>
  <si>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</si>
  <si>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</si>
  <si>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</si>
  <si>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</si>
  <si>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</si>
  <si>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</si>
  <si>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</si>
  <si>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</si>
  <si>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</si>
  <si>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</si>
  <si>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</si>
  <si>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</si>
  <si>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</si>
  <si>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</si>
  <si>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</si>
  <si>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</si>
  <si>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</si>
  <si>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</si>
  <si>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</si>
  <si>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</si>
  <si>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</si>
  <si>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</si>
  <si>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</si>
  <si>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</si>
  <si>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</si>
  <si>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</si>
  <si>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</si>
  <si>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</si>
  <si>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</si>
  <si>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</si>
  <si>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</si>
  <si>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</si>
  <si>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</si>
  <si>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</si>
  <si>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</si>
  <si>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</si>
  <si>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</si>
  <si>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</si>
  <si>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</si>
  <si>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</si>
  <si>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</si>
  <si>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</si>
  <si>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</si>
  <si>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</si>
  <si>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</si>
  <si>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</si>
  <si>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</si>
  <si>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</si>
  <si>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</si>
  <si>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</si>
  <si>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</si>
  <si>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</si>
  <si>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</si>
  <si>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</si>
  <si>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</si>
  <si>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</si>
  <si>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</si>
  <si>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</si>
  <si>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</si>
  <si>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</si>
  <si>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</si>
  <si>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</si>
  <si>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</si>
  <si>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</si>
  <si>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</si>
  <si>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</si>
  <si>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</si>
  <si>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</si>
  <si>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</si>
  <si>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</si>
  <si>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</si>
  <si>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</si>
  <si>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</si>
  <si>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</si>
  <si>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</si>
  <si>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</si>
  <si>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</si>
  <si>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</si>
  <si>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</si>
  <si>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</si>
  <si>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</si>
  <si>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</si>
  <si>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</si>
  <si>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</si>
  <si>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</si>
  <si>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</si>
  <si>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</si>
  <si>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</si>
  <si>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</si>
  <si>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</si>
  <si>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</si>
  <si>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</si>
  <si>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</si>
  <si>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</si>
  <si>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</si>
  <si>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</si>
  <si>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</si>
  <si>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</si>
  <si>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</si>
  <si>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</si>
  <si>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</si>
  <si>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</si>
  <si>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</si>
  <si>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</si>
  <si>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</si>
  <si>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</si>
  <si>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</si>
  <si>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</si>
  <si>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</si>
  <si>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</si>
  <si>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</si>
  <si>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</si>
  <si>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</si>
  <si>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</si>
  <si>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</si>
  <si>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</si>
  <si>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</si>
  <si>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</si>
  <si>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</si>
  <si>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</si>
  <si>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</si>
  <si>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</si>
  <si>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</si>
  <si>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</si>
  <si>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</si>
  <si>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</si>
  <si>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</si>
  <si>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</si>
  <si>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</si>
  <si>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</si>
  <si>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</si>
  <si>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</si>
  <si>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</si>
  <si>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</si>
  <si>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</si>
  <si>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</si>
  <si>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</si>
  <si>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</si>
  <si>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</si>
  <si>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</si>
  <si>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</si>
  <si>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</si>
  <si>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</si>
  <si>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</si>
  <si>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</si>
  <si>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</si>
  <si>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</si>
  <si>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</si>
  <si>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</si>
  <si>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</si>
  <si>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</si>
  <si>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</si>
  <si>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</si>
  <si>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</si>
  <si>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</si>
  <si>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</si>
  <si>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</si>
  <si>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</si>
  <si>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</si>
  <si>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</si>
  <si>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</si>
  <si>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</si>
  <si>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</si>
  <si>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</si>
  <si>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</si>
  <si>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</si>
  <si>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</si>
  <si>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</si>
  <si>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</si>
  <si>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</si>
  <si>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</si>
  <si>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</si>
  <si>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</si>
  <si>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</si>
  <si>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</si>
  <si>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</si>
  <si>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</si>
  <si>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</si>
  <si>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</si>
  <si>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</si>
  <si>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</si>
  <si>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</si>
  <si>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</si>
  <si>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</si>
  <si>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</si>
  <si>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</si>
  <si>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</si>
  <si>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</si>
  <si>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</si>
  <si>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</si>
  <si>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</si>
  <si>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</si>
  <si>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</si>
  <si>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</si>
  <si>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</si>
  <si>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</si>
  <si>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</si>
  <si>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</si>
  <si>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</si>
  <si>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</si>
  <si>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</si>
  <si>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</si>
  <si>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</si>
  <si>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</si>
  <si>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</si>
  <si>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</si>
  <si>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</si>
  <si>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</si>
  <si>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</si>
  <si>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</si>
  <si>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</si>
  <si>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</si>
  <si>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</si>
  <si>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</si>
  <si>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</si>
  <si>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</si>
  <si>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</si>
  <si>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</si>
  <si>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</si>
  <si>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</si>
  <si>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</si>
  <si>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</si>
  <si>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</si>
  <si>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</si>
  <si>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</si>
  <si>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</si>
  <si>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</si>
  <si>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</si>
  <si>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</si>
  <si>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</si>
  <si>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</si>
  <si>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</si>
  <si>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</si>
  <si>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</si>
  <si>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</si>
  <si>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</si>
  <si>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</si>
  <si>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</si>
  <si>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</si>
  <si>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</si>
  <si>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</si>
  <si>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</si>
  <si>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</si>
  <si>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</si>
  <si>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</si>
  <si>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</si>
  <si>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</si>
  <si>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</si>
  <si>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</si>
  <si>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</si>
  <si>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</si>
  <si>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</si>
  <si>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</si>
  <si>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</si>
  <si>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</si>
  <si>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</si>
  <si>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</si>
  <si>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</si>
  <si>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</si>
  <si>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</si>
  <si>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</si>
  <si>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</si>
  <si>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</si>
  <si>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</si>
  <si>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</si>
  <si>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</si>
  <si>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</si>
  <si>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</si>
  <si>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</si>
  <si>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</si>
  <si>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</si>
  <si>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</si>
  <si>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</si>
  <si>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</si>
  <si>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</si>
  <si>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</si>
  <si>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</si>
  <si>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</si>
  <si>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</si>
  <si>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</si>
  <si>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</si>
  <si>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</si>
  <si>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</si>
  <si>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</si>
  <si>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</si>
  <si>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</si>
  <si>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</si>
  <si>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</si>
  <si>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</si>
  <si>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</si>
  <si>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</si>
  <si>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</si>
  <si>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</si>
  <si>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</si>
  <si>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</si>
  <si>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</si>
  <si>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</si>
  <si>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</si>
  <si>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</si>
  <si>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</si>
  <si>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</si>
  <si>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</si>
  <si>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</si>
  <si>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</si>
  <si>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</si>
  <si>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</si>
  <si>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</si>
  <si>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</si>
  <si>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</si>
  <si>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</si>
  <si>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</si>
  <si>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</si>
  <si>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</si>
  <si>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</si>
  <si>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</si>
  <si>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</si>
  <si>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</si>
  <si>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</si>
  <si>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</si>
  <si>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</si>
  <si>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</si>
  <si>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</si>
  <si>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</si>
  <si>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</si>
  <si>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</si>
  <si>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</si>
  <si>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</si>
  <si>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</si>
  <si>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</si>
  <si>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</si>
  <si>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</si>
  <si>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</si>
  <si>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</si>
  <si>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</si>
  <si>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</si>
  <si>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</si>
  <si>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</si>
  <si>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</si>
  <si>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</si>
  <si>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</si>
  <si>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</si>
  <si>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</si>
  <si>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</si>
  <si>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</si>
  <si>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</si>
  <si>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</si>
  <si>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</si>
  <si>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</si>
  <si>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</si>
  <si>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</si>
  <si>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</si>
  <si>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</si>
  <si>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</si>
  <si>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</si>
  <si>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</si>
  <si>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</si>
  <si>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</si>
  <si>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</si>
  <si>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</si>
  <si>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</si>
  <si>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</si>
  <si>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</si>
  <si>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</si>
  <si>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</si>
  <si>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</si>
  <si>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</si>
  <si>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</si>
  <si>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</si>
  <si>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</si>
  <si>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</si>
  <si>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</si>
  <si>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</si>
  <si>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</si>
  <si>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</si>
  <si>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</si>
  <si>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</si>
  <si>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</si>
  <si>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</si>
  <si>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</si>
  <si>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</si>
  <si>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</si>
  <si>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</si>
  <si>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</si>
  <si>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</si>
  <si>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</si>
  <si>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</si>
  <si>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</si>
  <si>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</si>
  <si>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</si>
  <si>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</si>
  <si>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</si>
  <si>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</si>
  <si>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</si>
  <si>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</si>
  <si>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</si>
  <si>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</si>
  <si>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</si>
  <si>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</si>
  <si>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</si>
  <si>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</si>
  <si>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</si>
  <si>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</si>
  <si>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</si>
  <si>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</si>
  <si>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</si>
  <si>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</si>
  <si>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</si>
  <si>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</si>
  <si>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</si>
  <si>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</si>
  <si>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</si>
  <si>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</si>
  <si>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TriggerAction_02_Spinner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</si>
  <si>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</si>
  <si>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</si>
  <si>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</si>
  <si>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</si>
  <si>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</si>
  <si>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</si>
  <si>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</si>
  <si>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</si>
  <si>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</si>
  <si>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</si>
  <si>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</si>
  <si>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</si>
  <si>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</si>
  <si>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</si>
  <si>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</si>
  <si>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</si>
  <si>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</si>
  <si>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</si>
  <si>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</si>
  <si>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</si>
  <si>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</si>
  <si>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</si>
  <si>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</si>
  <si>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</si>
  <si>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</si>
  <si>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</si>
  <si>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</si>
  <si>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</si>
  <si>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</si>
  <si>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</si>
  <si>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</si>
  <si>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</si>
  <si>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</si>
  <si>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</si>
  <si>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</si>
  <si>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</si>
  <si>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</si>
  <si>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</si>
  <si>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</si>
  <si>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</si>
  <si>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</si>
  <si>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</si>
  <si>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</si>
  <si>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</si>
  <si>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</si>
  <si>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</si>
  <si>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</si>
  <si>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</si>
  <si>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</si>
  <si>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</si>
  <si>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</si>
  <si>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</si>
  <si>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</si>
  <si>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</si>
  <si>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</si>
  <si>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</si>
  <si>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</si>
  <si>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</si>
  <si>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</si>
  <si>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</si>
  <si>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</si>
  <si>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</si>
  <si>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</si>
  <si>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</si>
  <si>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</si>
  <si>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</si>
  <si>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</si>
  <si>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</si>
  <si>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</si>
  <si>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</si>
  <si>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</si>
  <si>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</si>
  <si>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</si>
  <si>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</si>
  <si>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</si>
  <si>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</si>
  <si>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</si>
  <si>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</si>
  <si>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</si>
  <si>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</si>
  <si>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</si>
  <si>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</si>
  <si>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</si>
  <si>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</si>
  <si>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</si>
  <si>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</si>
  <si>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</si>
  <si>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</si>
  <si>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</si>
  <si>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</si>
  <si>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</si>
  <si>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</si>
  <si>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</si>
  <si>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</si>
  <si>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</si>
  <si>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</si>
  <si>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</si>
  <si>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</si>
  <si>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</si>
  <si>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</si>
  <si>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</si>
  <si>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</si>
  <si>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</si>
  <si>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</si>
  <si>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</si>
  <si>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</si>
  <si>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</si>
  <si>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</si>
  <si>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</si>
  <si>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</si>
  <si>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</si>
  <si>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</si>
  <si>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</si>
  <si>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</si>
  <si>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</si>
  <si>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</si>
  <si>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</si>
  <si>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</si>
  <si>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</si>
  <si>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</si>
  <si>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</si>
  <si>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</si>
  <si>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</si>
  <si>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</si>
  <si>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</si>
  <si>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</si>
  <si>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</si>
  <si>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</si>
  <si>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</si>
  <si>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</si>
  <si>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</si>
  <si>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</si>
  <si>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</si>
  <si>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</si>
  <si>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</si>
  <si>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</si>
  <si>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</si>
  <si>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</si>
  <si>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</si>
  <si>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</si>
  <si>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</si>
  <si>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</si>
  <si>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</si>
  <si>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</si>
  <si>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</si>
  <si>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</si>
  <si>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</si>
  <si>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</si>
  <si>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</si>
  <si>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</si>
  <si>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</si>
  <si>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</si>
  <si>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</si>
  <si>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</si>
  <si>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</si>
  <si>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</si>
  <si>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</si>
  <si>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</si>
  <si>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</si>
  <si>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</si>
  <si>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</si>
  <si>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</si>
  <si>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</si>
  <si>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</si>
  <si>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</si>
  <si>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</si>
  <si>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</si>
  <si>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</si>
  <si>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</si>
  <si>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</si>
  <si>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</si>
  <si>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</si>
  <si>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</si>
  <si>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</si>
  <si>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</si>
  <si>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</si>
  <si>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</si>
  <si>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</si>
  <si>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</si>
  <si>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</si>
  <si>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</si>
  <si>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</si>
  <si>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</si>
  <si>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</si>
  <si>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</si>
  <si>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</si>
  <si>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</si>
  <si>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</si>
  <si>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</si>
  <si>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</si>
  <si>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</si>
  <si>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</si>
  <si>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</si>
  <si>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</si>
  <si>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</si>
  <si>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</si>
  <si>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</si>
  <si>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</si>
  <si>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</si>
  <si>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</si>
  <si>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</si>
  <si>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</si>
  <si>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</si>
  <si>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</si>
  <si>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</si>
  <si>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</si>
  <si>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</si>
  <si>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</si>
  <si>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</si>
  <si>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</si>
  <si>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</si>
  <si>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</si>
  <si>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</si>
  <si>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</si>
  <si>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</si>
  <si>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</si>
  <si>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</si>
  <si>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</si>
  <si>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</si>
  <si>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</si>
  <si>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</si>
  <si>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</si>
  <si>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</si>
  <si>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</si>
  <si>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</si>
  <si>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</si>
  <si>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</si>
  <si>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</si>
  <si>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</si>
  <si>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</si>
  <si>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</si>
  <si>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</si>
  <si>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</si>
  <si>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</si>
  <si>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</si>
  <si>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</si>
  <si>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</si>
  <si>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</si>
  <si>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</si>
  <si>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</si>
  <si>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</si>
  <si>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</si>
  <si>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</si>
  <si>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</si>
  <si>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</si>
  <si>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</si>
  <si>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</si>
  <si>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</si>
  <si>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</si>
  <si>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</si>
  <si>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</si>
  <si>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</si>
  <si>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</si>
  <si>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</si>
  <si>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</si>
  <si>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</si>
  <si>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</si>
  <si>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</si>
  <si>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</si>
  <si>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</si>
  <si>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</si>
  <si>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</si>
  <si>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</si>
  <si>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</si>
  <si>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</si>
  <si>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</si>
  <si>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</si>
  <si>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</si>
  <si>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</si>
  <si>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</si>
  <si>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</si>
  <si>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</si>
  <si>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</si>
  <si>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</si>
  <si>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</si>
  <si>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</si>
  <si>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</si>
  <si>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</si>
  <si>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</si>
  <si>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</si>
  <si>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</si>
  <si>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</si>
  <si>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</si>
  <si>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</si>
  <si>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</si>
  <si>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</si>
  <si>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</si>
  <si>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</si>
  <si>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</si>
  <si>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</si>
  <si>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</si>
  <si>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</si>
  <si>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</si>
  <si>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</si>
  <si>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</si>
  <si>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</si>
  <si>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</si>
  <si>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</si>
  <si>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</si>
  <si>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</si>
  <si>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</si>
  <si>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</si>
  <si>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</si>
  <si>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</si>
  <si>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</si>
  <si>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</si>
  <si>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</si>
  <si>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</si>
  <si>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</si>
  <si>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</si>
  <si>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</si>
  <si>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</si>
  <si>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</si>
  <si>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</si>
  <si>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</si>
  <si>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</si>
  <si>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</si>
  <si>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</si>
  <si>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</si>
  <si>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</si>
  <si>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</si>
  <si>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</si>
  <si>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</si>
  <si>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</si>
  <si>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</si>
  <si>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</si>
  <si>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</si>
  <si>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</si>
  <si>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</si>
  <si>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</si>
  <si>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</si>
  <si>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</si>
  <si>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</si>
  <si>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</si>
  <si>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</si>
  <si>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</si>
  <si>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</si>
  <si>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</si>
  <si>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</si>
  <si>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</si>
  <si>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</si>
  <si>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</si>
  <si>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</si>
  <si>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</si>
  <si>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</si>
  <si>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</si>
  <si>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</si>
  <si>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</si>
  <si>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</si>
  <si>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</si>
  <si>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</si>
  <si>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</si>
  <si>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</si>
  <si>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</si>
  <si>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</si>
  <si>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</si>
  <si>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</si>
  <si>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</si>
  <si>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</si>
  <si>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</si>
  <si>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</si>
  <si>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</si>
  <si>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</si>
  <si>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</si>
  <si>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</si>
  <si>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</si>
  <si>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</si>
  <si>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</si>
  <si>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</si>
  <si>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</si>
  <si>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</si>
  <si>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</si>
  <si>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</si>
  <si>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</si>
  <si>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</si>
  <si>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</si>
  <si>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</si>
  <si>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</si>
  <si>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</si>
  <si>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</si>
  <si>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</si>
  <si>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</si>
  <si>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</si>
  <si>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</si>
  <si>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</si>
  <si>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</si>
  <si>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</si>
  <si>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</si>
  <si>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</si>
  <si>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</si>
  <si>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</si>
  <si>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</si>
  <si>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</si>
  <si>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</si>
  <si>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</si>
  <si>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</si>
  <si>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</si>
  <si>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</si>
  <si>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</si>
  <si>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</si>
  <si>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</si>
  <si>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</si>
  <si>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</si>
  <si>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</si>
  <si>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</si>
  <si>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</si>
  <si>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</si>
  <si>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</si>
  <si>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</si>
  <si>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</si>
  <si>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</si>
  <si>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</si>
  <si>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</si>
  <si>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</si>
  <si>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</si>
  <si>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</si>
  <si>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</si>
  <si>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</si>
  <si>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</si>
  <si>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</si>
  <si>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</si>
  <si>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</si>
  <si>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</si>
  <si>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</si>
  <si>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</si>
  <si>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</si>
  <si>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</si>
  <si>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</si>
  <si>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</si>
  <si>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</si>
  <si>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</si>
  <si>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</si>
  <si>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</si>
  <si>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</si>
  <si>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</si>
  <si>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</si>
  <si>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</si>
  <si>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</si>
  <si>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</si>
  <si>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</si>
  <si>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</si>
  <si>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</si>
  <si>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</si>
  <si>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</si>
  <si>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</si>
  <si>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</si>
  <si>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</si>
  <si>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</si>
  <si>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</si>
  <si>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</si>
  <si>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</si>
  <si>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</si>
  <si>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</si>
  <si>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</si>
  <si>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</si>
  <si>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</si>
  <si>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</si>
  <si>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</si>
  <si>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</si>
  <si>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</si>
  <si>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</si>
  <si>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</si>
  <si>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</si>
  <si>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</si>
  <si>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</si>
  <si>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</si>
  <si>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</si>
  <si>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</si>
  <si>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</si>
  <si>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</si>
  <si>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</si>
  <si>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</si>
  <si>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</si>
  <si>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</si>
  <si>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</si>
  <si>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</si>
  <si>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</si>
  <si>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</si>
  <si>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</si>
  <si>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</si>
  <si>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</si>
  <si>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</si>
  <si>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</si>
  <si>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</si>
  <si>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</si>
  <si>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</si>
  <si>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</si>
  <si>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</si>
  <si>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</si>
  <si>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</si>
  <si>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</si>
  <si>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</si>
  <si>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</si>
  <si>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</si>
  <si>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</si>
  <si>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</si>
  <si>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</si>
  <si>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</si>
  <si>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</si>
  <si>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</si>
  <si>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</si>
  <si>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</si>
  <si>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</si>
  <si>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</si>
  <si>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</si>
  <si>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</si>
  <si>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</si>
  <si>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</si>
  <si>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</si>
  <si>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</si>
  <si>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</si>
  <si>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</si>
  <si>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</si>
  <si>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</si>
  <si>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</si>
  <si>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</si>
  <si>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</si>
  <si>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</si>
  <si>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</si>
  <si>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</si>
  <si>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</si>
  <si>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</si>
  <si>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</si>
  <si>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</si>
  <si>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</si>
  <si>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</si>
  <si>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</si>
  <si>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</si>
  <si>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</si>
  <si>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</si>
  <si>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</si>
  <si>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</si>
  <si>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</si>
  <si>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</si>
  <si>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</si>
  <si>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</si>
  <si>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</si>
  <si>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</si>
  <si>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</si>
  <si>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</si>
  <si>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</si>
  <si>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</si>
  <si>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</si>
  <si>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</si>
  <si>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</si>
  <si>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</si>
  <si>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</si>
  <si>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</si>
  <si>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</si>
  <si>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</si>
  <si>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</si>
  <si>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</si>
  <si>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</si>
  <si>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</si>
  <si>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</si>
  <si>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</si>
  <si>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</si>
  <si>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</si>
  <si>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</si>
  <si>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</si>
  <si>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</si>
  <si>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</si>
  <si>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</si>
  <si>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</si>
  <si>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</si>
  <si>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</si>
  <si>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</si>
  <si>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</si>
  <si>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</si>
  <si>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</si>
  <si>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</si>
  <si>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</si>
  <si>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</si>
  <si>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</si>
  <si>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</si>
  <si>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</si>
  <si>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</si>
  <si>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</si>
  <si>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</si>
  <si>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</si>
  <si>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</si>
  <si>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</si>
  <si>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</si>
  <si>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</si>
  <si>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</si>
  <si>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</si>
  <si>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</si>
  <si>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</si>
  <si>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</si>
  <si>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</si>
  <si>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</si>
  <si>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</si>
  <si>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</si>
  <si>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</si>
  <si>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</si>
  <si>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</si>
  <si>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</si>
  <si>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</si>
  <si>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</si>
  <si>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</si>
  <si>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</si>
  <si>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</si>
  <si>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</si>
  <si>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</si>
  <si>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</si>
  <si>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</si>
  <si>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</si>
  <si>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</si>
  <si>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</si>
  <si>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</si>
  <si>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</si>
  <si>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</si>
  <si>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</si>
  <si>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</si>
  <si>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</si>
  <si>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</si>
  <si>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</si>
  <si>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</si>
  <si>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</si>
  <si>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</si>
  <si>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</si>
  <si>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</si>
  <si>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</si>
  <si>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</si>
  <si>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</si>
  <si>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</si>
  <si>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</si>
  <si>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</si>
  <si>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</si>
  <si>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</si>
  <si>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</si>
  <si>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</si>
  <si>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</si>
  <si>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</si>
  <si>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</si>
  <si>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</si>
  <si>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</si>
  <si>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</si>
  <si>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</si>
  <si>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</si>
  <si>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</si>
  <si>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</si>
  <si>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</si>
  <si>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</si>
  <si>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</si>
  <si>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</si>
  <si>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</si>
  <si>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</si>
  <si>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</si>
  <si>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</si>
  <si>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</si>
  <si>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</si>
  <si>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</si>
  <si>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</si>
  <si>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</si>
  <si>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</si>
  <si>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</si>
  <si>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</si>
  <si>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</si>
  <si>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</si>
  <si>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</si>
  <si>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</si>
  <si>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</si>
  <si>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</si>
  <si>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</si>
  <si>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</si>
  <si>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</si>
  <si>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</si>
  <si>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</si>
  <si>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</si>
  <si>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</si>
  <si>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</si>
  <si>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</si>
  <si>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</si>
  <si>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</si>
  <si>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</si>
  <si>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</si>
  <si>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</si>
  <si>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</si>
  <si>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</si>
  <si>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</si>
  <si>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</si>
  <si>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</si>
  <si>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</si>
  <si>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</si>
  <si>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</si>
  <si>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</si>
  <si>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</si>
  <si>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</si>
  <si>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</si>
  <si>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</si>
  <si>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</si>
  <si>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</si>
  <si>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</si>
  <si>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</si>
  <si>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</si>
  <si>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</si>
  <si>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</si>
  <si>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</si>
  <si>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</si>
  <si>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</si>
  <si>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</si>
  <si>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</si>
  <si>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</si>
  <si>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</si>
  <si>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</si>
  <si>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</si>
  <si>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</si>
  <si>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</si>
  <si>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</si>
  <si>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</si>
  <si>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</si>
  <si>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</si>
  <si>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</si>
  <si>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</si>
  <si>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</si>
  <si>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</si>
  <si>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</si>
  <si>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</si>
  <si>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</si>
  <si>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</si>
  <si>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</si>
  <si>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</si>
  <si>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</si>
  <si>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</si>
  <si>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</si>
  <si>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</si>
  <si>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</si>
  <si>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</si>
  <si>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</si>
  <si>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</si>
  <si>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</si>
  <si>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</si>
  <si>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</si>
  <si>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</si>
  <si>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</si>
  <si>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</si>
  <si>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</si>
  <si>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</si>
  <si>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</si>
  <si>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</si>
  <si>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</si>
  <si>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</si>
  <si>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</si>
  <si>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</si>
  <si>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</si>
  <si>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</si>
  <si>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</si>
  <si>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</si>
  <si>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</si>
  <si>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</si>
  <si>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</si>
  <si>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</si>
  <si>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</si>
  <si>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</si>
  <si>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</si>
  <si>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</si>
  <si>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</si>
  <si>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</si>
  <si>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</si>
  <si>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</si>
  <si>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</si>
  <si>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</si>
  <si>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</si>
  <si>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</si>
  <si>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</si>
  <si>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</si>
  <si>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</si>
  <si>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</si>
  <si>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</si>
  <si>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</si>
  <si>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</si>
  <si>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</si>
  <si>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</si>
  <si>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</si>
  <si>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</si>
  <si>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</si>
  <si>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</si>
  <si>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</si>
  <si>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</si>
  <si>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</si>
  <si>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</si>
  <si>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</si>
  <si>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</si>
  <si>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</si>
  <si>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</si>
  <si>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</si>
  <si>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</si>
  <si>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</si>
  <si>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</si>
  <si>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</si>
  <si>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</si>
  <si>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</si>
  <si>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</si>
  <si>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</si>
  <si>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</si>
  <si>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</si>
  <si>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</si>
  <si>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</si>
  <si>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</si>
  <si>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</si>
  <si>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</si>
  <si>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</si>
  <si>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</si>
  <si>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</si>
  <si>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</si>
  <si>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</si>
  <si>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</si>
  <si>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</si>
  <si>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</si>
  <si>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</si>
  <si>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</si>
  <si>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</si>
  <si>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</si>
  <si>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</si>
  <si>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</si>
  <si>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</si>
  <si>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</si>
  <si>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</si>
  <si>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</si>
  <si>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</si>
  <si>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</si>
  <si>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</si>
  <si>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</si>
  <si>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</si>
  <si>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</si>
  <si>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</si>
  <si>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</si>
  <si>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</si>
  <si>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</si>
  <si>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</si>
  <si>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</si>
  <si>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</si>
  <si>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</si>
  <si>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</si>
  <si>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</si>
  <si>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</si>
  <si>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</si>
  <si>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</si>
  <si>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</si>
  <si>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</si>
  <si>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</si>
  <si>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</si>
  <si>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</si>
  <si>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</si>
  <si>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</si>
  <si>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</si>
  <si>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</si>
  <si>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</si>
  <si>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</si>
  <si>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</si>
  <si>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</si>
  <si>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</si>
  <si>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</si>
  <si>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</si>
  <si>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</si>
  <si>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</si>
  <si>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</si>
  <si>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</si>
  <si>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</si>
  <si>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</si>
  <si>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</si>
  <si>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</si>
  <si>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</si>
  <si>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</si>
  <si>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</si>
  <si>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</si>
  <si>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</si>
  <si>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</si>
  <si>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</si>
  <si>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</si>
  <si>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</si>
  <si>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</si>
  <si>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</si>
  <si>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</si>
  <si>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</si>
  <si>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</si>
  <si>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</si>
  <si>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</si>
  <si>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</si>
  <si>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</si>
  <si>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</si>
  <si>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</si>
  <si>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</si>
  <si>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</si>
  <si>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</si>
  <si>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</si>
  <si>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</si>
  <si>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</si>
  <si>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</si>
  <si>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</si>
  <si>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</si>
  <si>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</si>
  <si>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</si>
  <si>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</si>
  <si>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</si>
  <si>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</si>
  <si>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</si>
  <si>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</si>
  <si>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</si>
  <si>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</si>
  <si>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</si>
  <si>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</si>
  <si>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</si>
  <si>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</si>
  <si>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</si>
  <si>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</si>
  <si>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</si>
  <si>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</si>
  <si>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</si>
  <si>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</si>
  <si>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</si>
  <si>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</si>
  <si>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</si>
  <si>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</si>
  <si>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</si>
  <si>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</si>
  <si>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</si>
  <si>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</si>
  <si>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</si>
  <si>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</si>
  <si>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</si>
  <si>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</si>
  <si>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</si>
  <si>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</si>
  <si>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</si>
  <si>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</si>
  <si>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</si>
  <si>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</si>
  <si>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</si>
  <si>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</si>
  <si>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</si>
  <si>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</si>
  <si>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</si>
  <si>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</si>
  <si>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</si>
  <si>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</si>
  <si>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</si>
  <si>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</si>
  <si>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</si>
  <si>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</si>
  <si>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</si>
  <si>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</si>
  <si>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</si>
  <si>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</si>
  <si>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</si>
  <si>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</si>
  <si>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</si>
  <si>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</si>
  <si>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</si>
  <si>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</si>
  <si>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</si>
  <si>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</si>
  <si>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</si>
  <si>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</si>
  <si>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</si>
  <si>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</si>
  <si>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</si>
  <si>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</si>
  <si>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</si>
  <si>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</si>
  <si>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</si>
  <si>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</si>
  <si>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</si>
  <si>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</si>
  <si>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</si>
  <si>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</si>
  <si>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</si>
  <si>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</si>
  <si>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</si>
  <si>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</si>
  <si>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</si>
  <si>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</si>
  <si>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</si>
  <si>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</si>
  <si>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</si>
  <si>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</si>
  <si>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</si>
  <si>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</si>
  <si>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</si>
  <si>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</si>
  <si>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</si>
  <si>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</si>
  <si>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</si>
  <si>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</si>
  <si>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</si>
  <si>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</si>
  <si>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</si>
  <si>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</si>
  <si>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</si>
  <si>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</si>
  <si>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</si>
  <si>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</si>
  <si>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</si>
  <si>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</si>
  <si>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</si>
  <si>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</si>
  <si>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</si>
  <si>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</si>
  <si>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</si>
  <si>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</si>
  <si>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</si>
  <si>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</si>
  <si>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</si>
  <si>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</si>
  <si>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</si>
  <si>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</si>
  <si>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</si>
  <si>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</si>
  <si>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</si>
  <si>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</si>
  <si>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</si>
  <si>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</si>
  <si>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</si>
  <si>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</si>
  <si>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</si>
  <si>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</si>
  <si>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</si>
  <si>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</si>
  <si>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</si>
  <si>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</si>
  <si>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</si>
  <si>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</si>
  <si>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</si>
  <si>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</si>
  <si>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</si>
  <si>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</si>
  <si>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</si>
  <si>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</si>
  <si>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</si>
  <si>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</si>
  <si>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</si>
  <si>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</si>
  <si>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</si>
  <si>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</si>
  <si>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</si>
  <si>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</si>
  <si>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</si>
  <si>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</si>
  <si>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</si>
  <si>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</si>
  <si>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</si>
  <si>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</si>
  <si>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</si>
  <si>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</si>
  <si>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</si>
  <si>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</si>
  <si>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</si>
  <si>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</si>
  <si>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</si>
  <si>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</si>
  <si>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</si>
  <si>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</si>
  <si>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</si>
  <si>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</si>
  <si>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</si>
  <si>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</si>
  <si>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</si>
  <si>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</si>
  <si>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</si>
  <si>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</si>
  <si>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</si>
  <si>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</si>
  <si>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</si>
  <si>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</si>
  <si>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</si>
  <si>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</si>
  <si>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</si>
  <si>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</si>
  <si>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</si>
  <si>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</si>
  <si>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</si>
  <si>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</si>
  <si>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</si>
  <si>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</si>
  <si>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</si>
  <si>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</si>
  <si>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</si>
  <si>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</si>
  <si>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</si>
  <si>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</si>
  <si>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</si>
  <si>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</si>
  <si>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</si>
  <si>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</si>
  <si>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</si>
  <si>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</si>
  <si>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</si>
  <si>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</si>
  <si>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</si>
  <si>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</si>
  <si>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</si>
  <si>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</si>
  <si>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</si>
  <si>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</si>
  <si>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</si>
  <si>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</si>
  <si>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</si>
  <si>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</si>
  <si>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</si>
  <si>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</si>
  <si>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</si>
  <si>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</si>
  <si>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</si>
  <si>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</si>
  <si>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Not a real address - resource error</t>
  </si>
  <si>
    <t>_GFX_AirbourneBall</t>
  </si>
  <si>
    <t>bw-gfx/WoodWall</t>
  </si>
  <si>
    <t>bw-gfx/WoodDoors</t>
  </si>
  <si>
    <t>bw-gfx/Shelf</t>
  </si>
  <si>
    <t>bw-gfx/Sign</t>
  </si>
  <si>
    <t>bw-gfx/SignOverlay</t>
  </si>
  <si>
    <t>bw-gfx/Switches</t>
  </si>
  <si>
    <t>bw-gfx/Slots</t>
  </si>
  <si>
    <t>bw-gfx/StairsUp</t>
  </si>
  <si>
    <t>bw-gfx/StairsDown</t>
  </si>
  <si>
    <t>bw-gfx/LargeOpenDoor</t>
  </si>
  <si>
    <t>bw-gfx/LargeMetalDoor</t>
  </si>
  <si>
    <t>bw-gfx/PortCullis</t>
  </si>
  <si>
    <t>bw-gfx/PitLow</t>
  </si>
  <si>
    <t>bw-gfx/PitHigh</t>
  </si>
  <si>
    <t>bw-gfx/Pad</t>
  </si>
  <si>
    <t>bext-gfx/WoodWall</t>
  </si>
  <si>
    <t>bext-gfx/WoodDoors</t>
  </si>
  <si>
    <t>bext-gfx/Shelf</t>
  </si>
  <si>
    <t>bext-gfx/Sign</t>
  </si>
  <si>
    <t>bext-gfx/SignOverlay</t>
  </si>
  <si>
    <t>bext-gfx/Switches</t>
  </si>
  <si>
    <t>bext-gfx/Slots</t>
  </si>
  <si>
    <t>bext-gfx/Bed</t>
  </si>
  <si>
    <t>bext-gfx/Pillar</t>
  </si>
  <si>
    <t>bext-gfx/StairsUp</t>
  </si>
  <si>
    <t>bext-gfx/StairsDown</t>
  </si>
  <si>
    <t>bext-gfx/LargeOpenDoor</t>
  </si>
  <si>
    <t>bext-gfx/LargeMetalDoor</t>
  </si>
  <si>
    <t>bext-gfx/PortCullis</t>
  </si>
  <si>
    <t>bext-gfx/FloorCeiling</t>
  </si>
  <si>
    <t>bext-gfx/ObjectsOnFloor</t>
  </si>
  <si>
    <t>bext-gfx/FireBall</t>
  </si>
  <si>
    <t>bext-gfx/AirbourneSpells</t>
  </si>
  <si>
    <t>bext-gfx/AirbourneBall</t>
  </si>
  <si>
    <t>BextOrganised</t>
  </si>
  <si>
    <t>BW_EXT_002.asm</t>
  </si>
  <si>
    <t>MainMenuText:</t>
  </si>
  <si>
    <t>SpellBook_Runes+$3</t>
  </si>
  <si>
    <t>bext-data/monstersex.totals</t>
  </si>
  <si>
    <t>bext-gfx/PitLow2</t>
  </si>
  <si>
    <t>bext-gfx/PitHigh2</t>
  </si>
  <si>
    <t>bext-gfx/Pad2</t>
  </si>
  <si>
    <t>bext-gfx/ShieldAvatars</t>
  </si>
  <si>
    <t>bext-gfx/ShieldTop</t>
  </si>
  <si>
    <t>bext-gfx/ShieldBottom</t>
  </si>
  <si>
    <t>bext-gfx/ShieldClasses</t>
  </si>
  <si>
    <t>bext-gfx/Fairy</t>
  </si>
  <si>
    <t>bext-gfx/Summon</t>
  </si>
  <si>
    <t>bext-gfx/Behemoth</t>
  </si>
  <si>
    <t>bext-gfx/Crab</t>
  </si>
  <si>
    <t>bext-gfx/CrabClaw</t>
  </si>
  <si>
    <t>bext-gfx/Scroll_Edge_Top</t>
  </si>
  <si>
    <t>bext-gfx/Scroll_Edge_Bottom</t>
  </si>
  <si>
    <t>bext-gfx/Scroll_Edge_Left</t>
  </si>
  <si>
    <t>bext-gfx/Scroll_Edge_Right</t>
  </si>
  <si>
    <t>bext-gfx/MainWalls</t>
  </si>
  <si>
    <t>bw-gfx/Dragon2</t>
  </si>
  <si>
    <t>LoadGameFromMenu:</t>
  </si>
  <si>
    <t>ObjectsDictionary</t>
  </si>
  <si>
    <t>ObjectDefinitionsTable+$1</t>
  </si>
  <si>
    <t>ObjectDefinitionsTable+$2</t>
  </si>
  <si>
    <t>1 byte per object - r</t>
  </si>
  <si>
    <t>ICONS</t>
  </si>
  <si>
    <t>Bag</t>
  </si>
  <si>
    <t>Coin</t>
  </si>
  <si>
    <t>Common Key</t>
  </si>
  <si>
    <t>Arrow</t>
  </si>
  <si>
    <t>Elf Arrow</t>
  </si>
  <si>
    <t>Grey Gem [Unused]</t>
  </si>
  <si>
    <t>Serp Crystal</t>
  </si>
  <si>
    <t>Chaos Crystal</t>
  </si>
  <si>
    <t>Dragon Crystal</t>
  </si>
  <si>
    <t>Moon Crystal</t>
  </si>
  <si>
    <t>0A</t>
  </si>
  <si>
    <t>Ring (Dull)</t>
  </si>
  <si>
    <t>0B</t>
  </si>
  <si>
    <t>Potion</t>
  </si>
  <si>
    <t>0C</t>
  </si>
  <si>
    <t>Key</t>
  </si>
  <si>
    <t>0D</t>
  </si>
  <si>
    <t>Staff</t>
  </si>
  <si>
    <t>0E</t>
  </si>
  <si>
    <t>Wand</t>
  </si>
  <si>
    <t>0F</t>
  </si>
  <si>
    <t>Leather Buckler</t>
  </si>
  <si>
    <t>Shield</t>
  </si>
  <si>
    <t>War Shield</t>
  </si>
  <si>
    <t>Demon Scale</t>
  </si>
  <si>
    <t>Chromatic Plate</t>
  </si>
  <si>
    <t>Leather Armour</t>
  </si>
  <si>
    <t xml:space="preserve">Chain Armour </t>
  </si>
  <si>
    <t>Plate Armour</t>
  </si>
  <si>
    <t>Permit</t>
  </si>
  <si>
    <t>1A</t>
  </si>
  <si>
    <t>Glove Left</t>
  </si>
  <si>
    <t>1B</t>
  </si>
  <si>
    <t>Glove Right</t>
  </si>
  <si>
    <t>Dagger</t>
  </si>
  <si>
    <t>1D</t>
  </si>
  <si>
    <t>Ring (Bright)</t>
  </si>
  <si>
    <t>1E</t>
  </si>
  <si>
    <t>Stealth Blade</t>
  </si>
  <si>
    <t>1F</t>
  </si>
  <si>
    <t>Bluish Gem</t>
  </si>
  <si>
    <t>Brown Gem [Unused]</t>
  </si>
  <si>
    <t>Tan Gem</t>
  </si>
  <si>
    <t>Sword</t>
  </si>
  <si>
    <t>Fleshbane</t>
  </si>
  <si>
    <t>Rune Sword</t>
  </si>
  <si>
    <t>Soul Sucker</t>
  </si>
  <si>
    <t>Ace of Swords</t>
  </si>
  <si>
    <t>Axe</t>
  </si>
  <si>
    <t>Ogre's Axe</t>
  </si>
  <si>
    <t>Grey Axe</t>
  </si>
  <si>
    <t>2A</t>
  </si>
  <si>
    <t>Dragon Axe</t>
  </si>
  <si>
    <t>2B</t>
  </si>
  <si>
    <t>Bow</t>
  </si>
  <si>
    <t>2C</t>
  </si>
  <si>
    <t>Crossbow</t>
  </si>
  <si>
    <t>2D</t>
  </si>
  <si>
    <t>1/3 Apple</t>
  </si>
  <si>
    <t>2E</t>
  </si>
  <si>
    <t>2/3 Apple</t>
  </si>
  <si>
    <t>2F</t>
  </si>
  <si>
    <t>Full Apple</t>
  </si>
  <si>
    <t>1/3 Biscuit</t>
  </si>
  <si>
    <t>2/3 Biscuit</t>
  </si>
  <si>
    <t>Full Biscuit</t>
  </si>
  <si>
    <t>1/3 Chicken</t>
  </si>
  <si>
    <t>2/3 Chicken</t>
  </si>
  <si>
    <t>Full Chicken</t>
  </si>
  <si>
    <t>N'egg</t>
  </si>
  <si>
    <t>1/3 Liquid</t>
  </si>
  <si>
    <t>2/3 Liquid</t>
  </si>
  <si>
    <t>Full Liquid</t>
  </si>
  <si>
    <t>3A</t>
  </si>
  <si>
    <t>Corpse</t>
  </si>
  <si>
    <t>3B</t>
  </si>
  <si>
    <t>Blank</t>
  </si>
  <si>
    <t>3C</t>
  </si>
  <si>
    <t>Magic Armour</t>
  </si>
  <si>
    <t>3D</t>
  </si>
  <si>
    <t>Magic Deflect</t>
  </si>
  <si>
    <t>3E</t>
  </si>
  <si>
    <t>Magic Strength</t>
  </si>
  <si>
    <t>3F</t>
  </si>
  <si>
    <t>Magic Vanish</t>
  </si>
  <si>
    <t>Compass North</t>
  </si>
  <si>
    <t>Compass East</t>
  </si>
  <si>
    <t>Compass South</t>
  </si>
  <si>
    <t>Compass West</t>
  </si>
  <si>
    <t>Magic Levitate</t>
  </si>
  <si>
    <t>Magic Antimage</t>
  </si>
  <si>
    <t>Magic Trueview</t>
  </si>
  <si>
    <t>Backwards Gloves</t>
  </si>
  <si>
    <t>4A</t>
  </si>
  <si>
    <t>Surround Square</t>
  </si>
  <si>
    <t>4B</t>
  </si>
  <si>
    <t>Warrior Icon (Spade)</t>
  </si>
  <si>
    <t xml:space="preserve">4C </t>
  </si>
  <si>
    <t>Wizard Icon (Club)</t>
  </si>
  <si>
    <t>4D</t>
  </si>
  <si>
    <t>Adventurer Icon (Heart)</t>
  </si>
  <si>
    <t>4E</t>
  </si>
  <si>
    <t>Cutpurse Icon (Diamond)</t>
  </si>
  <si>
    <t>4F</t>
  </si>
  <si>
    <t>Spell Star (Blank)</t>
  </si>
  <si>
    <t>Spell Star (Serpent)</t>
  </si>
  <si>
    <t>Spell Star (Chaos)</t>
  </si>
  <si>
    <t>Spell Star (Dragon)</t>
  </si>
  <si>
    <t>Spell Star (Moon)</t>
  </si>
  <si>
    <t>Spell Star (Ancient)</t>
  </si>
  <si>
    <t>Short Sword</t>
  </si>
  <si>
    <t>Cutlass [Unused]</t>
  </si>
  <si>
    <t>Demon Blade</t>
  </si>
  <si>
    <t>Ace of Swords II</t>
  </si>
  <si>
    <t>Axe II</t>
  </si>
  <si>
    <t>5A</t>
  </si>
  <si>
    <t>Troll's Axe</t>
  </si>
  <si>
    <t>5B</t>
  </si>
  <si>
    <t>Deathbringer</t>
  </si>
  <si>
    <t>Brainbiter</t>
  </si>
  <si>
    <t>5D</t>
  </si>
  <si>
    <t>Rune Shield (Original)</t>
  </si>
  <si>
    <t>5E</t>
  </si>
  <si>
    <t>5F</t>
  </si>
  <si>
    <t>Blue Arrows [Unused]</t>
  </si>
  <si>
    <t>Book of Skulls</t>
  </si>
  <si>
    <t>Scroll</t>
  </si>
  <si>
    <t>Door</t>
  </si>
  <si>
    <t>Large Shield</t>
  </si>
  <si>
    <t>Moon Shield</t>
  </si>
  <si>
    <t>Dragon Scale</t>
  </si>
  <si>
    <t>Spellbook Embellishment (1)</t>
  </si>
  <si>
    <t>Spellbook Embellishment (2)</t>
  </si>
  <si>
    <t>6A</t>
  </si>
  <si>
    <t>Spellbook Embellishment (3)</t>
  </si>
  <si>
    <t>6B</t>
  </si>
  <si>
    <t>Spellbook Embellishment (4)</t>
  </si>
  <si>
    <t>6C</t>
  </si>
  <si>
    <t>Inventory (Left Hand)</t>
  </si>
  <si>
    <t>6D</t>
  </si>
  <si>
    <t>Inventory (Right Hand)</t>
  </si>
  <si>
    <t>6E</t>
  </si>
  <si>
    <t>Inventory (Armour)</t>
  </si>
  <si>
    <t>6F</t>
  </si>
  <si>
    <t>Inventory (Large Shield)</t>
  </si>
  <si>
    <t>Inventory (Small Shield)</t>
  </si>
  <si>
    <t>Icon (Pause)</t>
  </si>
  <si>
    <t>Icon (Save)</t>
  </si>
  <si>
    <t>Icon (Sleep)</t>
  </si>
  <si>
    <t>Icon (Next Page)</t>
  </si>
  <si>
    <t>Icon (Communications 1)</t>
  </si>
  <si>
    <t>Icon (Communications 2)</t>
  </si>
  <si>
    <t>BEXT ICON</t>
  </si>
  <si>
    <t>BLOODWYCH ICON</t>
  </si>
  <si>
    <t>Soul Plate</t>
  </si>
  <si>
    <t>Rune Shield (New)</t>
  </si>
  <si>
    <t>Moon Scale</t>
  </si>
  <si>
    <t>Flame [Unused]</t>
  </si>
  <si>
    <t>Coinage</t>
  </si>
  <si>
    <t>Common Keys</t>
  </si>
  <si>
    <t>Arrows</t>
  </si>
  <si>
    <t>Apple</t>
  </si>
  <si>
    <t>Biscuit</t>
  </si>
  <si>
    <t>Chicken</t>
  </si>
  <si>
    <t>1/3 Mead</t>
  </si>
  <si>
    <t>2/3 Mead</t>
  </si>
  <si>
    <t>Mead</t>
  </si>
  <si>
    <t>1/3 Water</t>
  </si>
  <si>
    <t>2/3 Water</t>
  </si>
  <si>
    <t>Water</t>
  </si>
  <si>
    <t>N’egg (Green)</t>
  </si>
  <si>
    <t>N’egg (Blue)</t>
  </si>
  <si>
    <t>N’egg (Red/Green)</t>
  </si>
  <si>
    <t>Serpent Slime</t>
  </si>
  <si>
    <t>Brimstone Broth</t>
  </si>
  <si>
    <t>Dragon Ale</t>
  </si>
  <si>
    <t>Moon Elixir</t>
  </si>
  <si>
    <t>Chain Mail</t>
  </si>
  <si>
    <t>Plate Mail</t>
  </si>
  <si>
    <t>Mithril Chain</t>
  </si>
  <si>
    <t>Mithril Plate</t>
  </si>
  <si>
    <t>Adamant Chain</t>
  </si>
  <si>
    <t>Adamant Plate</t>
  </si>
  <si>
    <t>Crystal Chain</t>
  </si>
  <si>
    <t>Crystal Plate</t>
  </si>
  <si>
    <t>Leather Shield</t>
  </si>
  <si>
    <t>Rune Shield (Classic)</t>
  </si>
  <si>
    <t>Chaos Gloves</t>
  </si>
  <si>
    <t>Battle Gloves</t>
  </si>
  <si>
    <t>Mithril Gloves</t>
  </si>
  <si>
    <t>Adamant Gloves</t>
  </si>
  <si>
    <t>Crystal Gloves</t>
  </si>
  <si>
    <t>Long Sword</t>
  </si>
  <si>
    <t>Mithril Sword</t>
  </si>
  <si>
    <t>OBJECT</t>
  </si>
  <si>
    <t>BLOODWYCH OBJECT</t>
  </si>
  <si>
    <t>Battle Axe</t>
  </si>
  <si>
    <t>Mitril Axe</t>
  </si>
  <si>
    <t>Troll’s Axe</t>
  </si>
  <si>
    <t>Battle Staff</t>
  </si>
  <si>
    <t>Power Staff</t>
  </si>
  <si>
    <t>Blodwyn (RIP)</t>
  </si>
  <si>
    <t>Murlock (RIP)</t>
  </si>
  <si>
    <t>Elenor (RIP)</t>
  </si>
  <si>
    <t>Roseanne (RIP)</t>
  </si>
  <si>
    <t>Astroth (RIP)</t>
  </si>
  <si>
    <t>Zothen (RIP)</t>
  </si>
  <si>
    <t>Baldrick (RIP)</t>
  </si>
  <si>
    <t>Elfric (RIP)</t>
  </si>
  <si>
    <t>Sir Edward (RIP)</t>
  </si>
  <si>
    <t>Megrim (RIP)</t>
  </si>
  <si>
    <t>Sethra (RIP)</t>
  </si>
  <si>
    <t>Mr. Flay (RIP)</t>
  </si>
  <si>
    <t>4C</t>
  </si>
  <si>
    <t>Ulrich (RIP)</t>
  </si>
  <si>
    <t>Hengist (RIP)</t>
  </si>
  <si>
    <t>Zastaph (RIP)</t>
  </si>
  <si>
    <t>Thai Chang (RIP)</t>
  </si>
  <si>
    <t>Bronze Key</t>
  </si>
  <si>
    <t>Iron Key</t>
  </si>
  <si>
    <t>Serpent Key</t>
  </si>
  <si>
    <t>Chaos Key</t>
  </si>
  <si>
    <t>Dragon Key</t>
  </si>
  <si>
    <t>Moon Key</t>
  </si>
  <si>
    <t>Chromatic Key</t>
  </si>
  <si>
    <t>Serpent Wand</t>
  </si>
  <si>
    <t>Chaos Wand</t>
  </si>
  <si>
    <t>Dragon Wand</t>
  </si>
  <si>
    <t>Moon Wand</t>
  </si>
  <si>
    <t>Heal Wand</t>
  </si>
  <si>
    <t>Long Bow</t>
  </si>
  <si>
    <t>Frost Bow</t>
  </si>
  <si>
    <t>Cross Bow</t>
  </si>
  <si>
    <t>Serpent Crystal</t>
  </si>
  <si>
    <t>Grey Gem</t>
  </si>
  <si>
    <t>Brown Gem</t>
  </si>
  <si>
    <t>Grey Ring</t>
  </si>
  <si>
    <t>Serpent Ring</t>
  </si>
  <si>
    <t>Chaos Ring</t>
  </si>
  <si>
    <t>Dragon Ring</t>
  </si>
  <si>
    <t>Moon Ring</t>
  </si>
  <si>
    <t>BEXT OBJECT</t>
  </si>
  <si>
    <t>Rune Shield (Red)</t>
  </si>
  <si>
    <t>Rune Shield (Green)</t>
  </si>
  <si>
    <t>Rune Shield (Black)</t>
  </si>
  <si>
    <t>Battle Soul</t>
  </si>
  <si>
    <t>Adamant Sword</t>
  </si>
  <si>
    <t>Adamant Axe</t>
  </si>
  <si>
    <t>Ogre’s Axe</t>
  </si>
  <si>
    <t>WIKI FORMAT</t>
  </si>
  <si>
    <t>PICTURE</t>
  </si>
  <si>
    <t>Buckler</t>
  </si>
  <si>
    <t>magick 001.gif -crop 18x18+0+0 -scale 200% 001.png</t>
  </si>
  <si>
    <t>/Users/horaceandthespider/Dropbox/Geek/Bloodwych\ Mods/Bloodwych\ Editor\ Drive/icons/</t>
  </si>
  <si>
    <t>Spell Number</t>
  </si>
  <si>
    <t>Name</t>
  </si>
  <si>
    <t>Amour</t>
  </si>
  <si>
    <t>Beguile</t>
  </si>
  <si>
    <t>Spellcost</t>
  </si>
  <si>
    <t>Difficulty</t>
  </si>
  <si>
    <t>Class</t>
  </si>
  <si>
    <t>Serpent (Green)</t>
  </si>
  <si>
    <t>Missile</t>
  </si>
  <si>
    <t>TrueView</t>
  </si>
  <si>
    <t>ArcBolt</t>
  </si>
  <si>
    <t>MindRock</t>
  </si>
  <si>
    <t>Protect</t>
  </si>
  <si>
    <t>Phaze</t>
  </si>
  <si>
    <t>Enhance</t>
  </si>
  <si>
    <t>Inferno</t>
  </si>
  <si>
    <t>Nullify</t>
  </si>
  <si>
    <t>Restore</t>
  </si>
  <si>
    <t>Spray</t>
  </si>
  <si>
    <t>Vortex</t>
  </si>
  <si>
    <t>Ancient (Pink)</t>
  </si>
  <si>
    <t>Chaos (Yellow)</t>
  </si>
  <si>
    <t>Dragon (Red)</t>
  </si>
  <si>
    <t>Moon (Blue)</t>
  </si>
  <si>
    <t xml:space="preserve">1  </t>
  </si>
  <si>
    <t xml:space="preserve"> 2 </t>
  </si>
  <si>
    <t xml:space="preserve"> 3 </t>
  </si>
  <si>
    <t xml:space="preserve"> 4 </t>
  </si>
  <si>
    <t xml:space="preserve"> 5 </t>
  </si>
  <si>
    <t xml:space="preserve"> 6 </t>
  </si>
  <si>
    <t xml:space="preserve"> 7 </t>
  </si>
  <si>
    <t xml:space="preserve"> 8 </t>
  </si>
  <si>
    <t xml:space="preserve"> 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</si>
  <si>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</si>
  <si>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</si>
  <si>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</si>
  <si>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</si>
  <si>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</si>
  <si>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</si>
  <si>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</si>
  <si>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t xml:space="preserve">17 </t>
  </si>
  <si>
    <t xml:space="preserve">18 </t>
  </si>
  <si>
    <t xml:space="preserve">19 </t>
  </si>
  <si>
    <t xml:space="preserve">20 </t>
  </si>
  <si>
    <t xml:space="preserve">21 </t>
  </si>
  <si>
    <t xml:space="preserve">22 </t>
  </si>
  <si>
    <t xml:space="preserve">23 </t>
  </si>
  <si>
    <t xml:space="preserve">24 </t>
  </si>
  <si>
    <t xml:space="preserve">25 </t>
  </si>
  <si>
    <t xml:space="preserve">26 </t>
  </si>
  <si>
    <t xml:space="preserve">27 </t>
  </si>
  <si>
    <t xml:space="preserve">28 </t>
  </si>
  <si>
    <t xml:space="preserve">29 </t>
  </si>
  <si>
    <t xml:space="preserve">30 </t>
  </si>
  <si>
    <t xml:space="preserve">31 </t>
  </si>
  <si>
    <t xml:space="preserve">32 </t>
  </si>
  <si>
    <t>1</t>
  </si>
  <si>
    <t>2</t>
  </si>
  <si>
    <t>3</t>
  </si>
  <si>
    <t>5</t>
  </si>
  <si>
    <t>4</t>
  </si>
  <si>
    <t>7</t>
  </si>
  <si>
    <t>8</t>
  </si>
  <si>
    <t>6</t>
  </si>
  <si>
    <t>---</t>
  </si>
  <si>
    <t>Actions_0:</t>
  </si>
  <si>
    <t>Actions_1:</t>
  </si>
  <si>
    <t>Actions_X:</t>
  </si>
  <si>
    <t>Actions_2:</t>
  </si>
  <si>
    <t>Actions_3:</t>
  </si>
  <si>
    <t>gem_bluex.locations:</t>
  </si>
  <si>
    <t>gem_tanex.locations:</t>
  </si>
  <si>
    <t>VictoriousText</t>
  </si>
  <si>
    <t>CharacterName</t>
  </si>
  <si>
    <t>bext-data/serpex.monsters</t>
  </si>
  <si>
    <t>bext-data/chaosex.monsters</t>
  </si>
  <si>
    <t>bext-data/moonex.monsters</t>
  </si>
  <si>
    <t>bext-data/dragex.monsters</t>
  </si>
  <si>
    <t>_GFX_Entropy:</t>
  </si>
  <si>
    <t>bext-gfx/Entopy</t>
  </si>
  <si>
    <t>MapData1+$38</t>
  </si>
  <si>
    <t>bext-data/serpex.map</t>
  </si>
  <si>
    <t>bext-data/chaosex.map</t>
  </si>
  <si>
    <t>bext-data/serpex.obj</t>
  </si>
  <si>
    <t>bext-data/chaosex.obj</t>
  </si>
  <si>
    <t>bext-data/moonex.map</t>
  </si>
  <si>
    <t>bext-data/moonex.obj</t>
  </si>
  <si>
    <t>bext-data/dragex.map</t>
  </si>
  <si>
    <t>bext-data/dragex.obj</t>
  </si>
  <si>
    <t>bext-data/gem-bluex.locations</t>
  </si>
  <si>
    <t>bext-data/gem-tanx.locations</t>
  </si>
  <si>
    <t>dungeonex.entrances:</t>
  </si>
  <si>
    <t>bext-data/dungeonex.entrances</t>
  </si>
  <si>
    <t>Labels</t>
  </si>
  <si>
    <t>SpellBookRunes+$3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</si>
</sst>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7]General"/>
    <numFmt numFmtId="165" formatCode="00"/>
    <numFmt numFmtId="166" formatCode="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rgb="FFDEEBF7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0" fontId="0" fillId="4" borderId="0" xfId="0" applyFont="1" applyFill="1"/>
    <xf numFmtId="164" fontId="4" fillId="10" borderId="0" xfId="1" applyFill="1" applyAlignment="1">
      <alignment wrapText="1"/>
    </xf>
    <xf numFmtId="0" fontId="13" fillId="0" borderId="0" xfId="0" applyFont="1"/>
    <xf numFmtId="0" fontId="0" fillId="9" borderId="0" xfId="0" applyFont="1" applyFill="1"/>
    <xf numFmtId="0" fontId="0" fillId="11" borderId="0" xfId="0" applyFill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0" fontId="14" fillId="0" borderId="0" xfId="0" applyFont="1" applyAlignment="1">
      <alignment horizontal="left" vertical="center" wrapText="1"/>
    </xf>
    <xf numFmtId="166" fontId="1" fillId="0" borderId="0" xfId="0" applyNumberFormat="1" applyFont="1" applyAlignment="1">
      <alignment horizontal="center" vertical="center"/>
    </xf>
    <xf numFmtId="0" fontId="1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13" fillId="0" borderId="7" xfId="0" applyFont="1" applyBorder="1"/>
    <xf numFmtId="0" fontId="0" fillId="0" borderId="8" xfId="0" applyBorder="1"/>
    <xf numFmtId="0" fontId="13" fillId="0" borderId="0" xfId="0" applyFont="1" applyBorder="1"/>
    <xf numFmtId="0" fontId="1" fillId="0" borderId="5" xfId="0" applyFont="1" applyBorder="1" applyAlignment="1">
      <alignment horizontal="right"/>
    </xf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177800</xdr:rowOff>
        </xdr:from>
        <xdr:to>
          <xdr:col>1</xdr:col>
          <xdr:colOff>787400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15</xdr:row>
          <xdr:rowOff>0</xdr:rowOff>
        </xdr:from>
        <xdr:to>
          <xdr:col>1</xdr:col>
          <xdr:colOff>901700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24</xdr:row>
          <xdr:rowOff>63500</xdr:rowOff>
        </xdr:from>
        <xdr:to>
          <xdr:col>2</xdr:col>
          <xdr:colOff>762000</xdr:colOff>
          <xdr:row>26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12700</xdr:rowOff>
        </xdr:from>
        <xdr:to>
          <xdr:col>1</xdr:col>
          <xdr:colOff>774700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7</xdr:row>
          <xdr:rowOff>177800</xdr:rowOff>
        </xdr:from>
        <xdr:to>
          <xdr:col>1</xdr:col>
          <xdr:colOff>914400</xdr:colOff>
          <xdr:row>9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61"/>
  <sheetViews>
    <sheetView workbookViewId="0">
      <selection activeCell="H24" sqref="H24"/>
    </sheetView>
  </sheetViews>
  <sheetFormatPr baseColWidth="10" defaultColWidth="9.1640625" defaultRowHeight="15" x14ac:dyDescent="0.2"/>
  <cols>
    <col min="2" max="3" width="12.6640625" customWidth="1"/>
    <col min="4" max="4" width="29" customWidth="1"/>
    <col min="5" max="5" width="18.83203125" customWidth="1"/>
  </cols>
  <sheetData>
    <row r="2" spans="1:9" ht="16" thickBot="1" x14ac:dyDescent="0.25"/>
    <row r="3" spans="1:9" x14ac:dyDescent="0.2">
      <c r="A3" s="58"/>
      <c r="B3" s="59"/>
      <c r="C3" s="59"/>
      <c r="D3" s="59"/>
      <c r="E3" s="60"/>
    </row>
    <row r="4" spans="1:9" x14ac:dyDescent="0.2">
      <c r="A4" s="61"/>
      <c r="B4" s="62"/>
      <c r="C4" s="62"/>
      <c r="D4" s="62"/>
    </row>
    <row r="5" spans="1:9" x14ac:dyDescent="0.2">
      <c r="A5" s="61"/>
      <c r="B5" s="62"/>
      <c r="C5" s="62" t="s">
        <v>0</v>
      </c>
      <c r="D5" s="62" t="s">
        <v>9102</v>
      </c>
      <c r="E5" s="63"/>
      <c r="I5" t="s">
        <v>9052</v>
      </c>
    </row>
    <row r="6" spans="1:9" x14ac:dyDescent="0.2">
      <c r="A6" s="61"/>
      <c r="B6" s="62"/>
      <c r="C6" s="62"/>
      <c r="D6" s="62"/>
      <c r="E6" s="63"/>
    </row>
    <row r="7" spans="1:9" x14ac:dyDescent="0.2">
      <c r="A7" s="61"/>
      <c r="B7" s="62"/>
      <c r="C7" s="62" t="s">
        <v>1</v>
      </c>
      <c r="D7" s="64">
        <v>2</v>
      </c>
      <c r="E7" s="63"/>
    </row>
    <row r="8" spans="1:9" x14ac:dyDescent="0.2">
      <c r="A8" s="61"/>
      <c r="B8" s="62"/>
      <c r="C8" s="62"/>
      <c r="D8" s="62"/>
      <c r="E8" s="70" t="s">
        <v>9576</v>
      </c>
      <c r="I8" t="s">
        <v>9053</v>
      </c>
    </row>
    <row r="9" spans="1:9" x14ac:dyDescent="0.2">
      <c r="A9" s="61"/>
      <c r="B9" s="62"/>
      <c r="C9" s="62" t="s">
        <v>8142</v>
      </c>
      <c r="D9" s="62" t="s">
        <v>8141</v>
      </c>
      <c r="E9" s="63">
        <f>BWOrganised!B7</f>
        <v>451</v>
      </c>
      <c r="I9" t="s">
        <v>9054</v>
      </c>
    </row>
    <row r="10" spans="1:9" ht="16" thickBot="1" x14ac:dyDescent="0.25">
      <c r="A10" s="65"/>
      <c r="B10" s="66"/>
      <c r="C10" s="66"/>
      <c r="D10" s="67" t="s">
        <v>8140</v>
      </c>
      <c r="E10" s="68"/>
    </row>
    <row r="11" spans="1:9" x14ac:dyDescent="0.2">
      <c r="A11" s="58"/>
      <c r="B11" s="59"/>
      <c r="C11" s="59"/>
      <c r="D11" s="59"/>
      <c r="E11" s="60"/>
      <c r="I11" t="s">
        <v>9059</v>
      </c>
    </row>
    <row r="12" spans="1:9" x14ac:dyDescent="0.2">
      <c r="A12" s="61"/>
      <c r="B12" s="62"/>
      <c r="C12" s="62" t="s">
        <v>0</v>
      </c>
      <c r="D12" s="62" t="s">
        <v>9201</v>
      </c>
      <c r="E12" s="63"/>
    </row>
    <row r="13" spans="1:9" x14ac:dyDescent="0.2">
      <c r="A13" s="61"/>
      <c r="B13" s="62"/>
      <c r="C13" s="62"/>
      <c r="D13" s="62"/>
      <c r="E13" s="63"/>
    </row>
    <row r="14" spans="1:9" x14ac:dyDescent="0.2">
      <c r="A14" s="61"/>
      <c r="B14" s="62"/>
      <c r="C14" s="62" t="s">
        <v>1</v>
      </c>
      <c r="D14" s="62"/>
      <c r="E14" s="63"/>
    </row>
    <row r="15" spans="1:9" x14ac:dyDescent="0.2">
      <c r="A15" s="61"/>
      <c r="B15" s="62"/>
      <c r="C15" s="62"/>
      <c r="D15" s="62"/>
      <c r="E15" s="70" t="s">
        <v>9576</v>
      </c>
    </row>
    <row r="16" spans="1:9" x14ac:dyDescent="0.2">
      <c r="A16" s="61"/>
      <c r="B16" s="62"/>
      <c r="C16" s="62" t="s">
        <v>8142</v>
      </c>
      <c r="D16" s="62" t="s">
        <v>9200</v>
      </c>
      <c r="E16" s="63">
        <f>BextOrganised!B7</f>
        <v>263</v>
      </c>
    </row>
    <row r="17" spans="1:5" x14ac:dyDescent="0.2">
      <c r="A17" s="61"/>
      <c r="B17" s="62"/>
      <c r="C17" s="62"/>
      <c r="D17" s="69" t="s">
        <v>8140</v>
      </c>
      <c r="E17" s="63"/>
    </row>
    <row r="18" spans="1:5" x14ac:dyDescent="0.2">
      <c r="A18" s="61"/>
      <c r="B18" s="62"/>
      <c r="C18" s="62"/>
      <c r="D18" s="62"/>
      <c r="E18" s="63"/>
    </row>
    <row r="19" spans="1:5" ht="16" thickBot="1" x14ac:dyDescent="0.25">
      <c r="A19" s="65"/>
      <c r="B19" s="66"/>
      <c r="C19" s="66"/>
      <c r="D19" s="66"/>
      <c r="E19" s="68"/>
    </row>
    <row r="20" spans="1:5" x14ac:dyDescent="0.2">
      <c r="A20" s="62"/>
      <c r="B20" s="62"/>
      <c r="C20" s="62"/>
      <c r="D20" s="62"/>
      <c r="E20" s="62"/>
    </row>
    <row r="21" spans="1:5" x14ac:dyDescent="0.2">
      <c r="A21" s="62"/>
      <c r="B21" s="62"/>
      <c r="C21" s="62"/>
      <c r="D21" s="62"/>
      <c r="E21" s="62"/>
    </row>
    <row r="22" spans="1:5" x14ac:dyDescent="0.2">
      <c r="A22" s="62"/>
      <c r="B22" s="62"/>
      <c r="C22" s="62"/>
      <c r="D22" s="62"/>
      <c r="E22" s="62"/>
    </row>
    <row r="23" spans="1:5" x14ac:dyDescent="0.2">
      <c r="A23" s="62"/>
      <c r="B23" s="62"/>
      <c r="C23" s="62"/>
      <c r="D23" s="62"/>
      <c r="E23" s="62"/>
    </row>
    <row r="24" spans="1:5" x14ac:dyDescent="0.2">
      <c r="B24" s="33" t="s">
        <v>8392</v>
      </c>
      <c r="C24" s="3">
        <v>14</v>
      </c>
    </row>
    <row r="28" spans="1:5" x14ac:dyDescent="0.2">
      <c r="D28" s="4" t="s">
        <v>8137</v>
      </c>
    </row>
    <row r="29" spans="1:5" x14ac:dyDescent="0.2">
      <c r="C29" t="s">
        <v>8139</v>
      </c>
      <c r="D29" s="4" t="s">
        <v>8138</v>
      </c>
    </row>
    <row r="30" spans="1:5" x14ac:dyDescent="0.2">
      <c r="E30" t="s">
        <v>8143</v>
      </c>
    </row>
    <row r="31" spans="1:5" x14ac:dyDescent="0.2">
      <c r="E31" t="s">
        <v>8145</v>
      </c>
    </row>
    <row r="32" spans="1:5" x14ac:dyDescent="0.2">
      <c r="E32" t="s">
        <v>8146</v>
      </c>
    </row>
    <row r="33" spans="5:5" x14ac:dyDescent="0.2">
      <c r="E33" t="s">
        <v>8147</v>
      </c>
    </row>
    <row r="34" spans="5:5" x14ac:dyDescent="0.2">
      <c r="E34" t="s">
        <v>8144</v>
      </c>
    </row>
    <row r="35" spans="5:5" x14ac:dyDescent="0.2">
      <c r="E35" t="s">
        <v>8148</v>
      </c>
    </row>
    <row r="36" spans="5:5" x14ac:dyDescent="0.2">
      <c r="E36" t="s">
        <v>8151</v>
      </c>
    </row>
    <row r="37" spans="5:5" x14ac:dyDescent="0.2">
      <c r="E37" t="s">
        <v>8150</v>
      </c>
    </row>
    <row r="38" spans="5:5" x14ac:dyDescent="0.2">
      <c r="E38" t="s">
        <v>8152</v>
      </c>
    </row>
    <row r="39" spans="5:5" x14ac:dyDescent="0.2">
      <c r="E39" t="s">
        <v>8153</v>
      </c>
    </row>
    <row r="40" spans="5:5" x14ac:dyDescent="0.2">
      <c r="E40" t="s">
        <v>8154</v>
      </c>
    </row>
    <row r="41" spans="5:5" x14ac:dyDescent="0.2">
      <c r="E41" t="s">
        <v>8155</v>
      </c>
    </row>
    <row r="42" spans="5:5" x14ac:dyDescent="0.2">
      <c r="E42" t="s">
        <v>8149</v>
      </c>
    </row>
    <row r="43" spans="5:5" x14ac:dyDescent="0.2">
      <c r="E43" t="s">
        <v>8156</v>
      </c>
    </row>
    <row r="44" spans="5:5" x14ac:dyDescent="0.2">
      <c r="E44" t="s">
        <v>8157</v>
      </c>
    </row>
    <row r="45" spans="5:5" x14ac:dyDescent="0.2">
      <c r="E45" t="s">
        <v>8158</v>
      </c>
    </row>
    <row r="46" spans="5:5" x14ac:dyDescent="0.2">
      <c r="E46" t="s">
        <v>8159</v>
      </c>
    </row>
    <row r="47" spans="5:5" x14ac:dyDescent="0.2">
      <c r="E47" t="s">
        <v>8160</v>
      </c>
    </row>
    <row r="48" spans="5:5" x14ac:dyDescent="0.2">
      <c r="E48" t="s">
        <v>8161</v>
      </c>
    </row>
    <row r="49" spans="5:5" x14ac:dyDescent="0.2">
      <c r="E49" t="s">
        <v>8162</v>
      </c>
    </row>
    <row r="50" spans="5:5" x14ac:dyDescent="0.2">
      <c r="E50" t="s">
        <v>8163</v>
      </c>
    </row>
    <row r="51" spans="5:5" x14ac:dyDescent="0.2">
      <c r="E51" t="s">
        <v>8164</v>
      </c>
    </row>
    <row r="52" spans="5:5" x14ac:dyDescent="0.2">
      <c r="E52" t="s">
        <v>8165</v>
      </c>
    </row>
    <row r="53" spans="5:5" x14ac:dyDescent="0.2">
      <c r="E53" t="s">
        <v>8166</v>
      </c>
    </row>
    <row r="54" spans="5:5" x14ac:dyDescent="0.2">
      <c r="E54" t="s">
        <v>8167</v>
      </c>
    </row>
    <row r="55" spans="5:5" x14ac:dyDescent="0.2">
      <c r="E55" t="s">
        <v>8168</v>
      </c>
    </row>
    <row r="56" spans="5:5" x14ac:dyDescent="0.2">
      <c r="E56" t="s">
        <v>8169</v>
      </c>
    </row>
    <row r="57" spans="5:5" x14ac:dyDescent="0.2">
      <c r="E57" t="s">
        <v>8170</v>
      </c>
    </row>
    <row r="58" spans="5:5" x14ac:dyDescent="0.2">
      <c r="E58" t="s">
        <v>8171</v>
      </c>
    </row>
    <row r="59" spans="5:5" x14ac:dyDescent="0.2">
      <c r="E59" t="s">
        <v>8172</v>
      </c>
    </row>
    <row r="60" spans="5:5" x14ac:dyDescent="0.2">
      <c r="E60" t="s">
        <v>8173</v>
      </c>
    </row>
    <row r="61" spans="5:5" x14ac:dyDescent="0.2">
      <c r="E61" t="s">
        <v>8174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5</xdr:row>
                    <xdr:rowOff>177800</xdr:rowOff>
                  </from>
                  <to>
                    <xdr:col>1</xdr:col>
                    <xdr:colOff>787400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_2">
                <anchor moveWithCells="1" sizeWithCells="1">
                  <from>
                    <xdr:col>0</xdr:col>
                    <xdr:colOff>495300</xdr:colOff>
                    <xdr:row>15</xdr:row>
                    <xdr:rowOff>0</xdr:rowOff>
                  </from>
                  <to>
                    <xdr:col>1</xdr:col>
                    <xdr:colOff>901700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24</xdr:row>
                    <xdr:rowOff>63500</xdr:rowOff>
                  </from>
                  <to>
                    <xdr:col>2</xdr:col>
                    <xdr:colOff>762000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ickFile">
                <anchor moveWithCells="1" sizeWithCells="1">
                  <from>
                    <xdr:col>1</xdr:col>
                    <xdr:colOff>114300</xdr:colOff>
                    <xdr:row>11</xdr:row>
                    <xdr:rowOff>12700</xdr:rowOff>
                  </from>
                  <to>
                    <xdr:col>1</xdr:col>
                    <xdr:colOff>774700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pdateLabels_1">
                <anchor moveWithCells="1" sizeWithCells="1">
                  <from>
                    <xdr:col>0</xdr:col>
                    <xdr:colOff>508000</xdr:colOff>
                    <xdr:row>7</xdr:row>
                    <xdr:rowOff>177800</xdr:rowOff>
                  </from>
                  <to>
                    <xdr:col>1</xdr:col>
                    <xdr:colOff>914400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tabSelected="1" topLeftCell="B2500" zoomScaleNormal="100" zoomScalePageLayoutView="80" workbookViewId="0">
      <selection activeCell="B2525" sqref="B2525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8349</v>
      </c>
      <c r="D1" s="4" t="s">
        <v>8021</v>
      </c>
      <c r="E1" s="30" t="s">
        <v>8411</v>
      </c>
      <c r="F1" s="19" t="s">
        <v>5379</v>
      </c>
      <c r="G1" s="18" t="s">
        <v>8230</v>
      </c>
      <c r="H1" s="7" t="s">
        <v>8231</v>
      </c>
      <c r="I1" s="24" t="s">
        <v>8220</v>
      </c>
      <c r="J1" s="7" t="s">
        <v>8221</v>
      </c>
      <c r="K1" s="22" t="s">
        <v>8232</v>
      </c>
      <c r="L1" s="7" t="s">
        <v>8221</v>
      </c>
    </row>
    <row r="2" spans="1:12" ht="32" x14ac:dyDescent="0.2">
      <c r="A2" s="2" t="s">
        <v>5391</v>
      </c>
      <c r="B2" s="6" t="s">
        <v>2753</v>
      </c>
      <c r="C2" t="s">
        <v>8349</v>
      </c>
      <c r="D2" s="2" t="s">
        <v>8063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8063</v>
      </c>
    </row>
    <row r="3" spans="1:12" ht="16" x14ac:dyDescent="0.2">
      <c r="A3" s="5" t="s">
        <v>5390</v>
      </c>
      <c r="B3" s="6" t="s">
        <v>5389</v>
      </c>
      <c r="C3" t="s">
        <v>8349</v>
      </c>
      <c r="D3" t="s">
        <v>5414</v>
      </c>
      <c r="F3" s="21"/>
      <c r="H3" t="str">
        <f t="shared" si="0"/>
        <v/>
      </c>
      <c r="I3" s="25" t="s">
        <v>5414</v>
      </c>
    </row>
    <row r="4" spans="1:12" x14ac:dyDescent="0.2">
      <c r="C4" t="s">
        <v>8349</v>
      </c>
      <c r="D4" t="s">
        <v>5415</v>
      </c>
      <c r="F4" s="21"/>
      <c r="H4" t="str">
        <f t="shared" si="0"/>
        <v/>
      </c>
      <c r="I4" s="25" t="s">
        <v>5415</v>
      </c>
    </row>
    <row r="5" spans="1:12" x14ac:dyDescent="0.2">
      <c r="C5" t="s">
        <v>8349</v>
      </c>
      <c r="D5" t="s">
        <v>5414</v>
      </c>
      <c r="F5" s="21"/>
      <c r="H5" t="str">
        <f t="shared" si="0"/>
        <v/>
      </c>
      <c r="I5" s="25" t="s">
        <v>5414</v>
      </c>
    </row>
    <row r="6" spans="1:12" ht="16" x14ac:dyDescent="0.2">
      <c r="A6" t="s">
        <v>5386</v>
      </c>
      <c r="B6" s="1">
        <f>COUNTA(D:D)-1</f>
        <v>2617</v>
      </c>
      <c r="C6" t="s">
        <v>8349</v>
      </c>
      <c r="D6" t="s">
        <v>5416</v>
      </c>
      <c r="E6" s="32" t="s">
        <v>8350</v>
      </c>
      <c r="F6" s="34">
        <v>14002</v>
      </c>
      <c r="H6" s="16">
        <v>400</v>
      </c>
      <c r="I6" s="25" t="s">
        <v>5416</v>
      </c>
      <c r="K6" s="20" t="s">
        <v>8390</v>
      </c>
    </row>
    <row r="7" spans="1:12" x14ac:dyDescent="0.2">
      <c r="A7" t="s">
        <v>5387</v>
      </c>
      <c r="B7" s="1">
        <f>B6-COUNTIF(I2:I2675,"")</f>
        <v>451</v>
      </c>
      <c r="C7" t="s">
        <v>8349</v>
      </c>
      <c r="D7" t="s">
        <v>5417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8349</v>
      </c>
      <c r="D8" t="s">
        <v>5418</v>
      </c>
      <c r="F8" s="21"/>
      <c r="H8" t="str">
        <f t="shared" si="0"/>
        <v>486</v>
      </c>
      <c r="I8" s="25" t="s">
        <v>8213</v>
      </c>
    </row>
    <row r="9" spans="1:12" x14ac:dyDescent="0.2">
      <c r="A9" t="s">
        <v>8116</v>
      </c>
      <c r="B9" s="15">
        <f>B6-B7</f>
        <v>2166</v>
      </c>
      <c r="C9" t="s">
        <v>8349</v>
      </c>
      <c r="D9" t="s">
        <v>5419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8349</v>
      </c>
      <c r="D10" t="s">
        <v>5420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8099</v>
      </c>
      <c r="B11" s="11">
        <f>1-(B9/B6)</f>
        <v>0.17233473442873515</v>
      </c>
      <c r="C11" t="s">
        <v>8349</v>
      </c>
      <c r="D11" t="s">
        <v>5421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8349</v>
      </c>
      <c r="D12" t="s">
        <v>5422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8349</v>
      </c>
      <c r="D13" t="s">
        <v>5423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8349</v>
      </c>
      <c r="D14" t="s">
        <v>5424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8349</v>
      </c>
      <c r="D15" t="s">
        <v>5425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8349</v>
      </c>
      <c r="D16" t="s">
        <v>5426</v>
      </c>
      <c r="F16" s="21"/>
      <c r="H16" t="str">
        <f t="shared" si="0"/>
        <v>5C9</v>
      </c>
      <c r="I16" s="25" t="s">
        <v>8216</v>
      </c>
    </row>
    <row r="17" spans="3:9" x14ac:dyDescent="0.2">
      <c r="C17" t="s">
        <v>8349</v>
      </c>
      <c r="D17" t="s">
        <v>5427</v>
      </c>
      <c r="F17" s="21"/>
      <c r="H17" t="str">
        <f t="shared" si="0"/>
        <v>5CE</v>
      </c>
      <c r="I17" s="25" t="s">
        <v>8026</v>
      </c>
    </row>
    <row r="18" spans="3:9" x14ac:dyDescent="0.2">
      <c r="C18" t="s">
        <v>8349</v>
      </c>
      <c r="D18" t="s">
        <v>5428</v>
      </c>
      <c r="F18" s="21"/>
      <c r="H18" t="str">
        <f t="shared" si="0"/>
        <v>5F6</v>
      </c>
      <c r="I18" s="25" t="s">
        <v>8208</v>
      </c>
    </row>
    <row r="19" spans="3:9" x14ac:dyDescent="0.2">
      <c r="C19" t="s">
        <v>8349</v>
      </c>
      <c r="D19" t="s">
        <v>5429</v>
      </c>
      <c r="F19" s="21"/>
      <c r="H19" t="str">
        <f t="shared" si="0"/>
        <v>61C</v>
      </c>
      <c r="I19" s="25" t="s">
        <v>8022</v>
      </c>
    </row>
    <row r="20" spans="3:9" x14ac:dyDescent="0.2">
      <c r="C20" t="s">
        <v>8349</v>
      </c>
      <c r="D20" t="s">
        <v>5430</v>
      </c>
      <c r="F20" s="21"/>
      <c r="H20" t="str">
        <f t="shared" si="0"/>
        <v>624</v>
      </c>
      <c r="I20" s="25" t="s">
        <v>8023</v>
      </c>
    </row>
    <row r="21" spans="3:9" x14ac:dyDescent="0.2">
      <c r="C21" t="s">
        <v>8349</v>
      </c>
      <c r="D21" t="s">
        <v>5431</v>
      </c>
      <c r="F21" s="21"/>
      <c r="H21" t="str">
        <f t="shared" si="0"/>
        <v>62E</v>
      </c>
      <c r="I21" s="25" t="s">
        <v>8024</v>
      </c>
    </row>
    <row r="22" spans="3:9" x14ac:dyDescent="0.2">
      <c r="C22" t="s">
        <v>8349</v>
      </c>
      <c r="D22" t="s">
        <v>5432</v>
      </c>
      <c r="F22" s="21"/>
      <c r="H22" t="str">
        <f t="shared" si="0"/>
        <v>640</v>
      </c>
      <c r="I22" s="25" t="s">
        <v>8025</v>
      </c>
    </row>
    <row r="23" spans="3:9" x14ac:dyDescent="0.2">
      <c r="C23" t="s">
        <v>8349</v>
      </c>
      <c r="D23" t="s">
        <v>5433</v>
      </c>
      <c r="F23" s="21"/>
      <c r="G23" t="s">
        <v>8296</v>
      </c>
      <c r="H23" s="28" t="str">
        <f>DEC2HEX(HEX2DEC(G23)+932)</f>
        <v>66A</v>
      </c>
      <c r="I23" s="25" t="s">
        <v>5433</v>
      </c>
    </row>
    <row r="24" spans="3:9" x14ac:dyDescent="0.2">
      <c r="C24" t="s">
        <v>8349</v>
      </c>
      <c r="D24" t="s">
        <v>5434</v>
      </c>
      <c r="F24" s="21"/>
      <c r="H24" t="str">
        <f t="shared" si="0"/>
        <v/>
      </c>
      <c r="I24" s="25" t="s">
        <v>8031</v>
      </c>
    </row>
    <row r="25" spans="3:9" x14ac:dyDescent="0.2">
      <c r="C25" t="s">
        <v>8349</v>
      </c>
      <c r="D25" t="s">
        <v>5435</v>
      </c>
      <c r="F25" s="21"/>
      <c r="H25" t="str">
        <f t="shared" si="0"/>
        <v>658</v>
      </c>
      <c r="I25" s="25" t="s">
        <v>8032</v>
      </c>
    </row>
    <row r="26" spans="3:9" x14ac:dyDescent="0.2">
      <c r="C26" t="s">
        <v>8349</v>
      </c>
      <c r="D26" t="s">
        <v>5436</v>
      </c>
      <c r="F26" s="21"/>
      <c r="H26" t="str">
        <f t="shared" si="0"/>
        <v>65D</v>
      </c>
      <c r="I26" s="25" t="s">
        <v>5434</v>
      </c>
    </row>
    <row r="27" spans="3:9" x14ac:dyDescent="0.2">
      <c r="C27" t="s">
        <v>8349</v>
      </c>
      <c r="D27" t="s">
        <v>5437</v>
      </c>
      <c r="F27" s="21"/>
      <c r="H27" t="str">
        <f t="shared" si="0"/>
        <v>746</v>
      </c>
      <c r="I27" s="25" t="s">
        <v>8033</v>
      </c>
    </row>
    <row r="28" spans="3:9" x14ac:dyDescent="0.2">
      <c r="C28" t="s">
        <v>8349</v>
      </c>
      <c r="D28" t="s">
        <v>5438</v>
      </c>
      <c r="F28" s="21"/>
      <c r="H28" t="str">
        <f t="shared" si="0"/>
        <v>768</v>
      </c>
      <c r="I28" s="25" t="s">
        <v>8039</v>
      </c>
    </row>
    <row r="29" spans="3:9" x14ac:dyDescent="0.2">
      <c r="C29" t="s">
        <v>8349</v>
      </c>
      <c r="D29" t="s">
        <v>5439</v>
      </c>
      <c r="F29" s="21"/>
      <c r="H29" t="str">
        <f t="shared" si="0"/>
        <v/>
      </c>
      <c r="I29" s="25" t="s">
        <v>5439</v>
      </c>
    </row>
    <row r="30" spans="3:9" x14ac:dyDescent="0.2">
      <c r="C30" t="s">
        <v>8349</v>
      </c>
      <c r="D30" t="s">
        <v>5440</v>
      </c>
      <c r="F30" s="21"/>
      <c r="H30" t="str">
        <f t="shared" si="0"/>
        <v/>
      </c>
      <c r="I30" s="25" t="s">
        <v>8034</v>
      </c>
    </row>
    <row r="31" spans="3:9" x14ac:dyDescent="0.2">
      <c r="C31" t="s">
        <v>8349</v>
      </c>
      <c r="D31" t="s">
        <v>5441</v>
      </c>
      <c r="F31" s="21"/>
      <c r="H31" t="str">
        <f t="shared" si="0"/>
        <v/>
      </c>
      <c r="I31" s="25" t="s">
        <v>5441</v>
      </c>
    </row>
    <row r="32" spans="3:9" x14ac:dyDescent="0.2">
      <c r="C32" t="s">
        <v>8349</v>
      </c>
      <c r="D32" t="s">
        <v>5442</v>
      </c>
      <c r="F32" s="21"/>
      <c r="H32" t="str">
        <f t="shared" si="0"/>
        <v/>
      </c>
      <c r="I32" s="25" t="s">
        <v>5442</v>
      </c>
    </row>
    <row r="33" spans="3:9" x14ac:dyDescent="0.2">
      <c r="C33" t="s">
        <v>8349</v>
      </c>
      <c r="D33" t="s">
        <v>5443</v>
      </c>
      <c r="F33" s="21"/>
      <c r="H33" t="str">
        <f t="shared" si="0"/>
        <v/>
      </c>
      <c r="I33" s="25" t="s">
        <v>5443</v>
      </c>
    </row>
    <row r="34" spans="3:9" x14ac:dyDescent="0.2">
      <c r="C34" t="s">
        <v>8349</v>
      </c>
      <c r="D34" t="s">
        <v>5444</v>
      </c>
      <c r="F34" s="21"/>
      <c r="H34" t="str">
        <f t="shared" si="0"/>
        <v/>
      </c>
      <c r="I34" s="25" t="s">
        <v>5444</v>
      </c>
    </row>
    <row r="35" spans="3:9" x14ac:dyDescent="0.2">
      <c r="C35" t="s">
        <v>8349</v>
      </c>
      <c r="D35" t="s">
        <v>5445</v>
      </c>
      <c r="F35" s="21"/>
      <c r="H35" t="str">
        <f t="shared" si="0"/>
        <v/>
      </c>
      <c r="I35" s="25" t="s">
        <v>5445</v>
      </c>
    </row>
    <row r="36" spans="3:9" x14ac:dyDescent="0.2">
      <c r="C36" t="s">
        <v>8349</v>
      </c>
      <c r="D36" t="s">
        <v>5446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8349</v>
      </c>
      <c r="D37" t="s">
        <v>5447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8349</v>
      </c>
      <c r="D38" t="s">
        <v>5448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8349</v>
      </c>
      <c r="D39" t="s">
        <v>5449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8349</v>
      </c>
      <c r="D40" t="s">
        <v>5450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8349</v>
      </c>
      <c r="D41" t="s">
        <v>5451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8349</v>
      </c>
      <c r="D42" t="s">
        <v>5452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8349</v>
      </c>
      <c r="D43" t="s">
        <v>5453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8349</v>
      </c>
      <c r="D44" t="s">
        <v>5454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8349</v>
      </c>
      <c r="D45" t="s">
        <v>5455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8349</v>
      </c>
      <c r="D46" t="s">
        <v>5456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8349</v>
      </c>
      <c r="D47" t="s">
        <v>5457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8349</v>
      </c>
      <c r="D48" t="s">
        <v>5458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8349</v>
      </c>
      <c r="D49" t="s">
        <v>5459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8349</v>
      </c>
      <c r="D50" t="s">
        <v>5460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8349</v>
      </c>
      <c r="D51" t="s">
        <v>5461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8349</v>
      </c>
      <c r="D52" t="s">
        <v>5462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8349</v>
      </c>
      <c r="D53" t="s">
        <v>5463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8349</v>
      </c>
      <c r="D54" t="s">
        <v>5464</v>
      </c>
      <c r="F54" s="21"/>
      <c r="H54" t="str">
        <f t="shared" si="0"/>
        <v/>
      </c>
      <c r="I54" s="25" t="s">
        <v>5464</v>
      </c>
    </row>
    <row r="55" spans="3:9" x14ac:dyDescent="0.2">
      <c r="C55" t="s">
        <v>8349</v>
      </c>
      <c r="D55" t="s">
        <v>5465</v>
      </c>
      <c r="F55" s="21"/>
      <c r="H55" t="str">
        <f t="shared" si="0"/>
        <v/>
      </c>
      <c r="I55" s="25" t="s">
        <v>5465</v>
      </c>
    </row>
    <row r="56" spans="3:9" x14ac:dyDescent="0.2">
      <c r="C56" t="s">
        <v>8349</v>
      </c>
      <c r="D56" t="s">
        <v>5466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8349</v>
      </c>
      <c r="D57" t="s">
        <v>5467</v>
      </c>
      <c r="F57" s="21"/>
      <c r="H57" t="str">
        <f t="shared" si="0"/>
        <v>9F6</v>
      </c>
      <c r="I57" s="25" t="s">
        <v>8209</v>
      </c>
    </row>
    <row r="58" spans="3:9" x14ac:dyDescent="0.2">
      <c r="C58" t="s">
        <v>8349</v>
      </c>
      <c r="D58" t="s">
        <v>5468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8349</v>
      </c>
      <c r="D59" t="s">
        <v>5469</v>
      </c>
      <c r="F59" s="21"/>
      <c r="H59" t="str">
        <f t="shared" si="0"/>
        <v/>
      </c>
      <c r="I59" s="25" t="s">
        <v>8210</v>
      </c>
    </row>
    <row r="60" spans="3:9" x14ac:dyDescent="0.2">
      <c r="C60" t="s">
        <v>8349</v>
      </c>
      <c r="D60" t="s">
        <v>5470</v>
      </c>
      <c r="F60" s="21"/>
      <c r="H60" t="str">
        <f t="shared" si="0"/>
        <v/>
      </c>
      <c r="I60" s="25" t="s">
        <v>8211</v>
      </c>
    </row>
    <row r="61" spans="3:9" x14ac:dyDescent="0.2">
      <c r="C61" t="s">
        <v>8349</v>
      </c>
      <c r="D61" t="s">
        <v>5471</v>
      </c>
      <c r="F61" s="21"/>
      <c r="H61" t="str">
        <f t="shared" si="0"/>
        <v>A8E</v>
      </c>
      <c r="I61" s="25" t="s">
        <v>8207</v>
      </c>
    </row>
    <row r="62" spans="3:9" x14ac:dyDescent="0.2">
      <c r="C62" t="s">
        <v>8349</v>
      </c>
      <c r="D62" t="s">
        <v>5472</v>
      </c>
      <c r="F62" s="21"/>
      <c r="H62" t="str">
        <f t="shared" si="0"/>
        <v>AA6</v>
      </c>
      <c r="I62" s="25" t="s">
        <v>8504</v>
      </c>
    </row>
    <row r="63" spans="3:9" x14ac:dyDescent="0.2">
      <c r="C63" t="s">
        <v>8349</v>
      </c>
      <c r="D63" t="s">
        <v>5473</v>
      </c>
      <c r="F63" s="21"/>
      <c r="H63" t="str">
        <f t="shared" si="0"/>
        <v>AA8</v>
      </c>
      <c r="I63" s="25" t="s">
        <v>8502</v>
      </c>
    </row>
    <row r="64" spans="3:9" x14ac:dyDescent="0.2">
      <c r="C64" t="s">
        <v>8349</v>
      </c>
      <c r="D64" t="s">
        <v>5474</v>
      </c>
      <c r="F64" s="21"/>
      <c r="H64" t="str">
        <f t="shared" si="0"/>
        <v>AC6</v>
      </c>
      <c r="I64" s="25" t="s">
        <v>8505</v>
      </c>
    </row>
    <row r="65" spans="3:9" x14ac:dyDescent="0.2">
      <c r="C65" t="s">
        <v>8349</v>
      </c>
      <c r="D65" t="s">
        <v>5475</v>
      </c>
      <c r="F65" s="21"/>
      <c r="H65" t="str">
        <f t="shared" si="0"/>
        <v/>
      </c>
      <c r="I65" s="25" t="s">
        <v>8503</v>
      </c>
    </row>
    <row r="66" spans="3:9" x14ac:dyDescent="0.2">
      <c r="C66" t="s">
        <v>8349</v>
      </c>
      <c r="D66" t="s">
        <v>5476</v>
      </c>
      <c r="F66" s="21"/>
      <c r="H66" t="str">
        <f t="shared" ref="H66:H129" si="1">IFERROR(DEC2HEX(IF(LEFT(D66,3)="adr",HEX2DEC(LEFT(RIGHT(D66,6),6)),"")),"")</f>
        <v>AEC</v>
      </c>
      <c r="I66" s="25" t="s">
        <v>8506</v>
      </c>
    </row>
    <row r="67" spans="3:9" x14ac:dyDescent="0.2">
      <c r="C67" t="s">
        <v>8349</v>
      </c>
      <c r="D67" t="s">
        <v>5477</v>
      </c>
      <c r="F67" s="21"/>
      <c r="H67" t="str">
        <f t="shared" si="1"/>
        <v>B16</v>
      </c>
      <c r="I67" s="25" t="s">
        <v>8507</v>
      </c>
    </row>
    <row r="68" spans="3:9" x14ac:dyDescent="0.2">
      <c r="C68" t="s">
        <v>8349</v>
      </c>
      <c r="D68" t="s">
        <v>5478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8349</v>
      </c>
      <c r="D69" t="s">
        <v>5479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8349</v>
      </c>
      <c r="D70" t="s">
        <v>5480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8349</v>
      </c>
      <c r="D71" t="s">
        <v>5481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8349</v>
      </c>
      <c r="D72" t="s">
        <v>5482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8349</v>
      </c>
      <c r="D73" t="s">
        <v>5483</v>
      </c>
      <c r="F73" s="21"/>
      <c r="H73" t="str">
        <f t="shared" si="1"/>
        <v/>
      </c>
      <c r="I73" s="25" t="s">
        <v>8297</v>
      </c>
    </row>
    <row r="74" spans="3:9" x14ac:dyDescent="0.2">
      <c r="C74" t="s">
        <v>8349</v>
      </c>
      <c r="D74" t="s">
        <v>5484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8349</v>
      </c>
      <c r="D75" t="s">
        <v>5485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8349</v>
      </c>
      <c r="D76" t="s">
        <v>5486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8349</v>
      </c>
      <c r="D77" t="s">
        <v>5487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8349</v>
      </c>
      <c r="D78" t="s">
        <v>5488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8349</v>
      </c>
      <c r="D79" t="s">
        <v>5489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8349</v>
      </c>
      <c r="D80" t="s">
        <v>5490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8349</v>
      </c>
      <c r="D81" t="s">
        <v>5491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8349</v>
      </c>
      <c r="D82" t="s">
        <v>5492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8349</v>
      </c>
      <c r="D83" t="s">
        <v>5493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8349</v>
      </c>
      <c r="D84" t="s">
        <v>5494</v>
      </c>
      <c r="F84" s="21"/>
      <c r="H84" t="str">
        <f t="shared" si="1"/>
        <v>CCA</v>
      </c>
      <c r="I84" s="25" t="s">
        <v>8212</v>
      </c>
    </row>
    <row r="85" spans="3:9" x14ac:dyDescent="0.2">
      <c r="C85" t="s">
        <v>8349</v>
      </c>
      <c r="D85" t="s">
        <v>5495</v>
      </c>
      <c r="F85" s="21"/>
      <c r="H85" t="str">
        <f t="shared" si="1"/>
        <v>CF8</v>
      </c>
      <c r="I85" s="25" t="s">
        <v>8214</v>
      </c>
    </row>
    <row r="86" spans="3:9" x14ac:dyDescent="0.2">
      <c r="C86" t="s">
        <v>8349</v>
      </c>
      <c r="D86" t="s">
        <v>5496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8349</v>
      </c>
      <c r="D87" t="s">
        <v>5497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8349</v>
      </c>
      <c r="D88" t="s">
        <v>5498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8349</v>
      </c>
      <c r="D89" t="s">
        <v>5499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8349</v>
      </c>
      <c r="D90" t="s">
        <v>5500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8349</v>
      </c>
      <c r="D91" t="s">
        <v>5501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8349</v>
      </c>
      <c r="D92" t="s">
        <v>5502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8349</v>
      </c>
      <c r="D93" t="s">
        <v>5503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8349</v>
      </c>
      <c r="D94" t="s">
        <v>5504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8349</v>
      </c>
      <c r="D95" t="s">
        <v>5505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8349</v>
      </c>
      <c r="D96" t="s">
        <v>5506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8349</v>
      </c>
      <c r="D97" t="s">
        <v>5507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8349</v>
      </c>
      <c r="D98" t="s">
        <v>5508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8349</v>
      </c>
      <c r="D99" t="s">
        <v>5509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8349</v>
      </c>
      <c r="D100" t="s">
        <v>5510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8349</v>
      </c>
      <c r="D101" t="s">
        <v>5511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8349</v>
      </c>
      <c r="D102" t="s">
        <v>5512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8349</v>
      </c>
      <c r="D103" t="s">
        <v>5513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8349</v>
      </c>
      <c r="D104" t="s">
        <v>5514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8349</v>
      </c>
      <c r="D105" t="s">
        <v>5515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8349</v>
      </c>
      <c r="D106" t="s">
        <v>5516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8349</v>
      </c>
      <c r="D107" t="s">
        <v>5517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8349</v>
      </c>
      <c r="D108" t="s">
        <v>5518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8349</v>
      </c>
      <c r="D109" t="s">
        <v>5519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8349</v>
      </c>
      <c r="D110" t="s">
        <v>5520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8349</v>
      </c>
      <c r="D111" t="s">
        <v>5521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8349</v>
      </c>
      <c r="D112" t="s">
        <v>5522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8349</v>
      </c>
      <c r="D113" t="s">
        <v>5523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8349</v>
      </c>
      <c r="D114" t="s">
        <v>5524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8349</v>
      </c>
      <c r="D115" t="s">
        <v>5525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8349</v>
      </c>
      <c r="D116" t="s">
        <v>5526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8349</v>
      </c>
      <c r="D117" t="s">
        <v>5527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8349</v>
      </c>
      <c r="D118" t="s">
        <v>5528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8349</v>
      </c>
      <c r="D119" t="s">
        <v>5529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8349</v>
      </c>
      <c r="D120" t="s">
        <v>5530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8349</v>
      </c>
      <c r="D121" t="s">
        <v>5531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8349</v>
      </c>
      <c r="D122" t="s">
        <v>5532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8349</v>
      </c>
      <c r="D123" t="s">
        <v>5533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8349</v>
      </c>
      <c r="D124" t="s">
        <v>5534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8349</v>
      </c>
      <c r="D125" t="s">
        <v>5535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8349</v>
      </c>
      <c r="D126" t="s">
        <v>5536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8349</v>
      </c>
      <c r="D127" t="s">
        <v>5537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8349</v>
      </c>
      <c r="D128" t="s">
        <v>5538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8349</v>
      </c>
      <c r="D129" t="s">
        <v>5539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8349</v>
      </c>
      <c r="D130" t="s">
        <v>5540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8349</v>
      </c>
      <c r="D131" t="s">
        <v>5541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8349</v>
      </c>
      <c r="D132" t="s">
        <v>5542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8349</v>
      </c>
      <c r="D133" t="s">
        <v>5543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8349</v>
      </c>
      <c r="D134" t="s">
        <v>5544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8349</v>
      </c>
      <c r="D135" t="s">
        <v>5545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8349</v>
      </c>
      <c r="D136" t="s">
        <v>5546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8349</v>
      </c>
      <c r="D137" t="s">
        <v>5547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8349</v>
      </c>
      <c r="D138" t="s">
        <v>5548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8349</v>
      </c>
      <c r="D139" t="s">
        <v>5549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8349</v>
      </c>
      <c r="D140" t="s">
        <v>5550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8349</v>
      </c>
      <c r="D141" t="s">
        <v>5551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8349</v>
      </c>
      <c r="D142" t="s">
        <v>5552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8349</v>
      </c>
      <c r="D143" t="s">
        <v>5553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8349</v>
      </c>
      <c r="D144" t="s">
        <v>5554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8349</v>
      </c>
      <c r="D145" t="s">
        <v>5555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8349</v>
      </c>
      <c r="D146" t="s">
        <v>5556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8349</v>
      </c>
      <c r="D147" t="s">
        <v>5557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8349</v>
      </c>
      <c r="D148" t="s">
        <v>5558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8349</v>
      </c>
      <c r="D149" t="s">
        <v>5559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8349</v>
      </c>
      <c r="D150" t="s">
        <v>5560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8349</v>
      </c>
      <c r="D151" t="s">
        <v>5561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8349</v>
      </c>
      <c r="D152" t="s">
        <v>5562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8349</v>
      </c>
      <c r="D153" t="s">
        <v>5563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8349</v>
      </c>
      <c r="D154" t="s">
        <v>5564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8349</v>
      </c>
      <c r="D155" t="s">
        <v>5565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8349</v>
      </c>
      <c r="D156" t="s">
        <v>5566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8349</v>
      </c>
      <c r="D157" t="s">
        <v>5567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8349</v>
      </c>
      <c r="D158" t="s">
        <v>5568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8349</v>
      </c>
      <c r="D159" t="s">
        <v>5569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8349</v>
      </c>
      <c r="D160" t="s">
        <v>5570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8349</v>
      </c>
      <c r="D161" t="s">
        <v>5571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8349</v>
      </c>
      <c r="D162" t="s">
        <v>5572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8349</v>
      </c>
      <c r="D163" t="s">
        <v>5573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8349</v>
      </c>
      <c r="D164" t="s">
        <v>5574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8349</v>
      </c>
      <c r="D165" t="s">
        <v>5575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8349</v>
      </c>
      <c r="D166" t="s">
        <v>5576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8349</v>
      </c>
      <c r="D167" t="s">
        <v>5577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8349</v>
      </c>
      <c r="D168" t="s">
        <v>5578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8349</v>
      </c>
      <c r="D169" t="s">
        <v>5579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8349</v>
      </c>
      <c r="D170" t="s">
        <v>5580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8349</v>
      </c>
      <c r="D171" t="s">
        <v>5581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8349</v>
      </c>
      <c r="D172" t="s">
        <v>5582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8349</v>
      </c>
      <c r="D173" t="s">
        <v>5583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8349</v>
      </c>
      <c r="D174" t="s">
        <v>5584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8349</v>
      </c>
      <c r="D175" t="s">
        <v>5585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8349</v>
      </c>
      <c r="D176" t="s">
        <v>5586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8349</v>
      </c>
      <c r="D177" t="s">
        <v>5587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8349</v>
      </c>
      <c r="D178" t="s">
        <v>5588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8349</v>
      </c>
      <c r="D179" t="s">
        <v>5589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8349</v>
      </c>
      <c r="D180" t="s">
        <v>5590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8349</v>
      </c>
      <c r="D181" t="s">
        <v>5591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8349</v>
      </c>
      <c r="D182" t="s">
        <v>5592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8349</v>
      </c>
      <c r="D183" t="s">
        <v>5593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8349</v>
      </c>
      <c r="D184" t="s">
        <v>5594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8349</v>
      </c>
      <c r="D185" t="s">
        <v>5595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8349</v>
      </c>
      <c r="D186" t="s">
        <v>5596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8349</v>
      </c>
      <c r="D187" t="s">
        <v>5597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8349</v>
      </c>
      <c r="D188" t="s">
        <v>5598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8349</v>
      </c>
      <c r="D189" t="s">
        <v>5599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8349</v>
      </c>
      <c r="D190" t="s">
        <v>5600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8349</v>
      </c>
      <c r="D191" t="s">
        <v>5601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8349</v>
      </c>
      <c r="D192" t="s">
        <v>5602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8349</v>
      </c>
      <c r="D193" t="s">
        <v>5603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8349</v>
      </c>
      <c r="D194" t="s">
        <v>5604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8349</v>
      </c>
      <c r="D195" t="s">
        <v>5605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8349</v>
      </c>
      <c r="D196" t="s">
        <v>5606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8349</v>
      </c>
      <c r="D197" t="s">
        <v>5607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8349</v>
      </c>
      <c r="D198" t="s">
        <v>5608</v>
      </c>
      <c r="F198" s="21"/>
      <c r="H198" t="str">
        <f t="shared" si="3"/>
        <v>15AE</v>
      </c>
      <c r="I198" s="25" t="s">
        <v>9149</v>
      </c>
    </row>
    <row r="199" spans="3:9" x14ac:dyDescent="0.2">
      <c r="C199" t="s">
        <v>8349</v>
      </c>
      <c r="D199" t="s">
        <v>5609</v>
      </c>
      <c r="F199" s="21"/>
      <c r="H199" t="str">
        <f t="shared" si="3"/>
        <v>15B8</v>
      </c>
      <c r="I199" s="25" t="s">
        <v>9150</v>
      </c>
    </row>
    <row r="200" spans="3:9" x14ac:dyDescent="0.2">
      <c r="C200" t="s">
        <v>8349</v>
      </c>
      <c r="D200" t="s">
        <v>5610</v>
      </c>
      <c r="F200" s="21"/>
      <c r="H200" t="str">
        <f t="shared" si="3"/>
        <v>15C6</v>
      </c>
      <c r="I200" s="25" t="s">
        <v>9155</v>
      </c>
    </row>
    <row r="201" spans="3:9" x14ac:dyDescent="0.2">
      <c r="C201" t="s">
        <v>8349</v>
      </c>
      <c r="D201" t="s">
        <v>5611</v>
      </c>
      <c r="F201" s="21"/>
      <c r="H201" t="str">
        <f t="shared" si="3"/>
        <v>15D6</v>
      </c>
      <c r="I201" s="25" t="s">
        <v>9151</v>
      </c>
    </row>
    <row r="202" spans="3:9" x14ac:dyDescent="0.2">
      <c r="C202" t="s">
        <v>8349</v>
      </c>
      <c r="D202" t="s">
        <v>5612</v>
      </c>
      <c r="F202" s="21"/>
      <c r="H202" t="str">
        <f t="shared" si="3"/>
        <v>15E0</v>
      </c>
    </row>
    <row r="203" spans="3:9" x14ac:dyDescent="0.2">
      <c r="C203" t="s">
        <v>8349</v>
      </c>
      <c r="D203" t="s">
        <v>5613</v>
      </c>
      <c r="F203" s="21"/>
      <c r="H203" t="str">
        <f t="shared" si="3"/>
        <v>1608</v>
      </c>
    </row>
    <row r="204" spans="3:9" x14ac:dyDescent="0.2">
      <c r="C204" t="s">
        <v>8349</v>
      </c>
      <c r="D204" t="s">
        <v>5614</v>
      </c>
      <c r="F204" s="21"/>
      <c r="H204" t="str">
        <f t="shared" si="3"/>
        <v>162C</v>
      </c>
    </row>
    <row r="205" spans="3:9" x14ac:dyDescent="0.2">
      <c r="C205" t="s">
        <v>8349</v>
      </c>
      <c r="D205" t="s">
        <v>5615</v>
      </c>
      <c r="F205" s="21"/>
      <c r="H205" t="str">
        <f t="shared" si="3"/>
        <v>1664</v>
      </c>
      <c r="I205" s="25" t="s">
        <v>9152</v>
      </c>
    </row>
    <row r="206" spans="3:9" x14ac:dyDescent="0.2">
      <c r="C206" t="s">
        <v>8349</v>
      </c>
      <c r="D206" t="s">
        <v>5616</v>
      </c>
      <c r="F206" s="21"/>
      <c r="H206" t="str">
        <f t="shared" si="3"/>
        <v>166A</v>
      </c>
      <c r="I206" s="25" t="s">
        <v>9153</v>
      </c>
    </row>
    <row r="207" spans="3:9" x14ac:dyDescent="0.2">
      <c r="C207" t="s">
        <v>8349</v>
      </c>
      <c r="D207" t="s">
        <v>5617</v>
      </c>
      <c r="F207" s="21"/>
      <c r="H207" t="str">
        <f t="shared" si="3"/>
        <v>1684</v>
      </c>
    </row>
    <row r="208" spans="3:9" x14ac:dyDescent="0.2">
      <c r="C208" t="s">
        <v>8349</v>
      </c>
      <c r="D208" t="s">
        <v>5618</v>
      </c>
      <c r="F208" s="21"/>
      <c r="H208" t="str">
        <f t="shared" si="3"/>
        <v>16A0</v>
      </c>
    </row>
    <row r="209" spans="3:9" x14ac:dyDescent="0.2">
      <c r="C209" t="s">
        <v>8349</v>
      </c>
      <c r="D209" t="s">
        <v>5619</v>
      </c>
      <c r="F209" s="21"/>
      <c r="H209" t="str">
        <f t="shared" si="3"/>
        <v>16BE</v>
      </c>
    </row>
    <row r="210" spans="3:9" x14ac:dyDescent="0.2">
      <c r="C210" t="s">
        <v>8349</v>
      </c>
      <c r="D210" t="s">
        <v>5620</v>
      </c>
      <c r="F210" s="21"/>
      <c r="H210" t="str">
        <f t="shared" si="3"/>
        <v>16CE</v>
      </c>
    </row>
    <row r="211" spans="3:9" x14ac:dyDescent="0.2">
      <c r="C211" t="s">
        <v>8349</v>
      </c>
      <c r="D211" t="s">
        <v>5621</v>
      </c>
      <c r="F211" s="21"/>
      <c r="H211" t="str">
        <f t="shared" si="3"/>
        <v>1708</v>
      </c>
    </row>
    <row r="212" spans="3:9" x14ac:dyDescent="0.2">
      <c r="C212" t="s">
        <v>8349</v>
      </c>
      <c r="D212" t="s">
        <v>5622</v>
      </c>
      <c r="F212" s="21"/>
      <c r="H212" t="str">
        <f t="shared" si="3"/>
        <v>1714</v>
      </c>
    </row>
    <row r="213" spans="3:9" x14ac:dyDescent="0.2">
      <c r="C213" t="s">
        <v>8349</v>
      </c>
      <c r="D213" t="s">
        <v>5623</v>
      </c>
      <c r="F213" s="21"/>
      <c r="H213" t="str">
        <f t="shared" si="3"/>
        <v>1728</v>
      </c>
    </row>
    <row r="214" spans="3:9" x14ac:dyDescent="0.2">
      <c r="C214" t="s">
        <v>8349</v>
      </c>
      <c r="D214" t="s">
        <v>5624</v>
      </c>
      <c r="F214" s="21"/>
      <c r="H214" t="str">
        <f t="shared" si="3"/>
        <v>1746</v>
      </c>
    </row>
    <row r="215" spans="3:9" x14ac:dyDescent="0.2">
      <c r="C215" t="s">
        <v>8349</v>
      </c>
      <c r="D215" t="s">
        <v>5625</v>
      </c>
      <c r="F215" s="21"/>
      <c r="H215" t="str">
        <f t="shared" si="3"/>
        <v>175A</v>
      </c>
      <c r="I215" s="25" t="s">
        <v>9154</v>
      </c>
    </row>
    <row r="216" spans="3:9" x14ac:dyDescent="0.2">
      <c r="C216" t="s">
        <v>8349</v>
      </c>
      <c r="D216" t="s">
        <v>5626</v>
      </c>
      <c r="F216" s="21"/>
      <c r="H216" t="str">
        <f t="shared" si="3"/>
        <v>1778</v>
      </c>
    </row>
    <row r="217" spans="3:9" x14ac:dyDescent="0.2">
      <c r="C217" t="s">
        <v>8349</v>
      </c>
      <c r="D217" t="s">
        <v>5627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8349</v>
      </c>
      <c r="D218" t="s">
        <v>5628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8349</v>
      </c>
      <c r="D219" t="s">
        <v>5629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8349</v>
      </c>
      <c r="D220" t="s">
        <v>5630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8349</v>
      </c>
      <c r="D221" t="s">
        <v>5631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8349</v>
      </c>
      <c r="D222" t="s">
        <v>5632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8349</v>
      </c>
      <c r="D223" t="s">
        <v>5633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8349</v>
      </c>
      <c r="D224" t="s">
        <v>5634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8349</v>
      </c>
      <c r="D225" t="s">
        <v>5635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8349</v>
      </c>
      <c r="D226" t="s">
        <v>5636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8349</v>
      </c>
      <c r="D227" t="s">
        <v>5637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8349</v>
      </c>
      <c r="D228" t="s">
        <v>5638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8349</v>
      </c>
      <c r="D229" t="s">
        <v>5639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8349</v>
      </c>
      <c r="D230" t="s">
        <v>5640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8349</v>
      </c>
      <c r="D231" t="s">
        <v>5641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8349</v>
      </c>
      <c r="D232" t="s">
        <v>5642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8349</v>
      </c>
      <c r="D233" t="s">
        <v>5643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8349</v>
      </c>
      <c r="D234" t="s">
        <v>5644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8349</v>
      </c>
      <c r="D235" t="s">
        <v>5645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8349</v>
      </c>
      <c r="D236" t="s">
        <v>5646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8349</v>
      </c>
      <c r="D237" t="s">
        <v>5647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8349</v>
      </c>
      <c r="D238" t="s">
        <v>5648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8349</v>
      </c>
      <c r="D239" t="s">
        <v>5649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8349</v>
      </c>
      <c r="D240" t="s">
        <v>5650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8349</v>
      </c>
      <c r="D241" t="s">
        <v>5651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8349</v>
      </c>
      <c r="D242" t="s">
        <v>5652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8349</v>
      </c>
      <c r="D243" t="s">
        <v>5653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8349</v>
      </c>
      <c r="D244" t="s">
        <v>5654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8349</v>
      </c>
      <c r="D245" t="s">
        <v>5655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8349</v>
      </c>
      <c r="D246" t="s">
        <v>5656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8349</v>
      </c>
      <c r="D247" t="s">
        <v>5657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8349</v>
      </c>
      <c r="D248" t="s">
        <v>5658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8349</v>
      </c>
      <c r="D249" t="s">
        <v>5659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8349</v>
      </c>
      <c r="D250" t="s">
        <v>5660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8349</v>
      </c>
      <c r="D251" t="s">
        <v>5661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8349</v>
      </c>
      <c r="D252" t="s">
        <v>5662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8349</v>
      </c>
      <c r="D253" t="s">
        <v>5663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8349</v>
      </c>
      <c r="D254" t="s">
        <v>5664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8349</v>
      </c>
      <c r="D255" t="s">
        <v>5665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8349</v>
      </c>
      <c r="D256" t="s">
        <v>5666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8349</v>
      </c>
      <c r="D257" t="s">
        <v>5667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8349</v>
      </c>
      <c r="D258" t="s">
        <v>5668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8349</v>
      </c>
      <c r="D259" t="s">
        <v>5669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8349</v>
      </c>
      <c r="D260" t="s">
        <v>5670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8349</v>
      </c>
      <c r="D261" t="s">
        <v>5671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8349</v>
      </c>
      <c r="D262" t="s">
        <v>5672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8349</v>
      </c>
      <c r="D263" t="s">
        <v>5673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8349</v>
      </c>
      <c r="D264" t="s">
        <v>5674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8349</v>
      </c>
      <c r="D265" t="s">
        <v>5675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8349</v>
      </c>
      <c r="D266" t="s">
        <v>5676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8349</v>
      </c>
      <c r="D267" t="s">
        <v>5677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8349</v>
      </c>
      <c r="D268" t="s">
        <v>5678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8349</v>
      </c>
      <c r="D269" t="s">
        <v>5679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8349</v>
      </c>
      <c r="D270" t="s">
        <v>5680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8349</v>
      </c>
      <c r="D271" t="s">
        <v>5681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8349</v>
      </c>
      <c r="D272" t="s">
        <v>5682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8349</v>
      </c>
      <c r="D273" t="s">
        <v>5683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8349</v>
      </c>
      <c r="D274" t="s">
        <v>5684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8349</v>
      </c>
      <c r="D275" t="s">
        <v>9098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8349</v>
      </c>
      <c r="D276" t="s">
        <v>5686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8349</v>
      </c>
      <c r="D277" t="s">
        <v>5687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8349</v>
      </c>
      <c r="D278" t="s">
        <v>5688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8349</v>
      </c>
      <c r="D279" t="s">
        <v>5689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8349</v>
      </c>
      <c r="D280" t="s">
        <v>5690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8349</v>
      </c>
      <c r="D281" t="s">
        <v>5691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8349</v>
      </c>
      <c r="D282" t="s">
        <v>5692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8349</v>
      </c>
      <c r="D283" t="s">
        <v>5693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8349</v>
      </c>
      <c r="D284" t="s">
        <v>5694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8349</v>
      </c>
      <c r="D285" t="s">
        <v>5695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8349</v>
      </c>
      <c r="D286" t="s">
        <v>5696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8349</v>
      </c>
      <c r="D287" t="s">
        <v>5697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8349</v>
      </c>
      <c r="D288" t="s">
        <v>5698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8349</v>
      </c>
      <c r="D289" t="s">
        <v>5699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8349</v>
      </c>
      <c r="D290" t="s">
        <v>5700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8349</v>
      </c>
      <c r="D291" t="s">
        <v>5701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8349</v>
      </c>
      <c r="D292" t="s">
        <v>5702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8349</v>
      </c>
      <c r="D293" t="s">
        <v>5703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8349</v>
      </c>
      <c r="D294" t="s">
        <v>5704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8349</v>
      </c>
      <c r="D295" t="s">
        <v>5705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8349</v>
      </c>
      <c r="D296" t="s">
        <v>5706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8349</v>
      </c>
      <c r="D297" t="s">
        <v>5707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8349</v>
      </c>
      <c r="D298" t="s">
        <v>5708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8349</v>
      </c>
      <c r="D299" t="s">
        <v>5709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8349</v>
      </c>
      <c r="D300" t="s">
        <v>5710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8349</v>
      </c>
      <c r="D301" t="s">
        <v>5711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8349</v>
      </c>
      <c r="D302" t="s">
        <v>5712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8349</v>
      </c>
      <c r="D303" t="s">
        <v>5713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8349</v>
      </c>
      <c r="D304" t="s">
        <v>5714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8349</v>
      </c>
      <c r="D305" t="s">
        <v>5715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8349</v>
      </c>
      <c r="D306" t="s">
        <v>5716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8349</v>
      </c>
      <c r="D307" t="s">
        <v>5717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8349</v>
      </c>
      <c r="D308" t="s">
        <v>5718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8349</v>
      </c>
      <c r="D309" t="s">
        <v>5719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8349</v>
      </c>
      <c r="D310" t="s">
        <v>5720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8349</v>
      </c>
      <c r="D311" t="s">
        <v>5721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8349</v>
      </c>
      <c r="D312" t="s">
        <v>5722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8349</v>
      </c>
      <c r="D313" t="s">
        <v>5723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8349</v>
      </c>
      <c r="D314" t="s">
        <v>5724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8349</v>
      </c>
      <c r="D315" t="s">
        <v>5725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8349</v>
      </c>
      <c r="D316" t="s">
        <v>5726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8349</v>
      </c>
      <c r="D317" t="s">
        <v>5727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8349</v>
      </c>
      <c r="D318" t="s">
        <v>5728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8349</v>
      </c>
      <c r="D319" t="s">
        <v>5729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8349</v>
      </c>
      <c r="D320" t="s">
        <v>5730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8349</v>
      </c>
      <c r="D321" t="s">
        <v>5731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8349</v>
      </c>
      <c r="D322" t="s">
        <v>5732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8349</v>
      </c>
      <c r="D323" t="s">
        <v>5733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8349</v>
      </c>
      <c r="D324" t="s">
        <v>5734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8349</v>
      </c>
      <c r="D325" t="s">
        <v>5735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8349</v>
      </c>
      <c r="D326" t="s">
        <v>5736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8349</v>
      </c>
      <c r="D327" t="s">
        <v>5737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8349</v>
      </c>
      <c r="D328" t="s">
        <v>5738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8349</v>
      </c>
      <c r="D329" t="s">
        <v>5739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8349</v>
      </c>
      <c r="D330" t="s">
        <v>5740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8349</v>
      </c>
      <c r="D331" t="s">
        <v>5741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8349</v>
      </c>
      <c r="D332" t="s">
        <v>5742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8349</v>
      </c>
      <c r="D333" t="s">
        <v>5743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8349</v>
      </c>
      <c r="D334" t="s">
        <v>5744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8349</v>
      </c>
      <c r="D335" t="s">
        <v>5745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8349</v>
      </c>
      <c r="D336" t="s">
        <v>5746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8349</v>
      </c>
      <c r="D337" t="s">
        <v>5747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8349</v>
      </c>
      <c r="D338" t="s">
        <v>5748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8349</v>
      </c>
      <c r="D339" t="s">
        <v>5749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8349</v>
      </c>
      <c r="D340" t="s">
        <v>5750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8349</v>
      </c>
      <c r="D341" t="s">
        <v>5751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8349</v>
      </c>
      <c r="D342" t="s">
        <v>5752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8349</v>
      </c>
      <c r="D343" t="s">
        <v>5753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8349</v>
      </c>
      <c r="D344" t="s">
        <v>5754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8349</v>
      </c>
      <c r="D345" t="s">
        <v>5755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8349</v>
      </c>
      <c r="D346" t="s">
        <v>5756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8349</v>
      </c>
      <c r="D347" t="s">
        <v>5757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8349</v>
      </c>
      <c r="D348" t="s">
        <v>5758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8349</v>
      </c>
      <c r="D349" t="s">
        <v>5759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8349</v>
      </c>
      <c r="D350" t="s">
        <v>5760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8349</v>
      </c>
      <c r="D351" t="s">
        <v>5761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8349</v>
      </c>
      <c r="D352" t="s">
        <v>5762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8349</v>
      </c>
      <c r="D353" t="s">
        <v>5763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8349</v>
      </c>
      <c r="D354" t="s">
        <v>5764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8349</v>
      </c>
      <c r="D355" t="s">
        <v>5765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8349</v>
      </c>
      <c r="D356" t="s">
        <v>5766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8349</v>
      </c>
      <c r="D357" t="s">
        <v>5767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8349</v>
      </c>
      <c r="D358" t="s">
        <v>5768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8349</v>
      </c>
      <c r="D359" t="s">
        <v>5769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8349</v>
      </c>
      <c r="D360" t="s">
        <v>5770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8349</v>
      </c>
      <c r="D361" t="s">
        <v>5771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8349</v>
      </c>
      <c r="D362" t="s">
        <v>5772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8349</v>
      </c>
      <c r="D363" t="s">
        <v>5773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8349</v>
      </c>
      <c r="D364" t="s">
        <v>5774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8349</v>
      </c>
      <c r="D365" t="s">
        <v>5775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8349</v>
      </c>
      <c r="D366" t="s">
        <v>5776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8349</v>
      </c>
      <c r="D367" t="s">
        <v>5777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8349</v>
      </c>
      <c r="D368" t="s">
        <v>5778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8349</v>
      </c>
      <c r="D369" t="s">
        <v>5779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8349</v>
      </c>
      <c r="D370" t="s">
        <v>5780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8349</v>
      </c>
      <c r="D371" t="s">
        <v>5781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8349</v>
      </c>
      <c r="D372" t="s">
        <v>5782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8349</v>
      </c>
      <c r="D373" t="s">
        <v>5783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8349</v>
      </c>
      <c r="D374" t="s">
        <v>5784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8349</v>
      </c>
      <c r="D375" t="s">
        <v>5785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8349</v>
      </c>
      <c r="D376" t="s">
        <v>5786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8349</v>
      </c>
      <c r="D377" t="s">
        <v>5787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8349</v>
      </c>
      <c r="D378" t="s">
        <v>5788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8349</v>
      </c>
      <c r="D379" t="s">
        <v>5789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8349</v>
      </c>
      <c r="D380" t="s">
        <v>5790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8349</v>
      </c>
      <c r="D381" t="s">
        <v>5791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8349</v>
      </c>
      <c r="D382" t="s">
        <v>5792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8349</v>
      </c>
      <c r="D383" t="s">
        <v>5793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8349</v>
      </c>
      <c r="D384" t="s">
        <v>5794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8349</v>
      </c>
      <c r="D385" t="s">
        <v>5795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8349</v>
      </c>
      <c r="D386" t="s">
        <v>5796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8349</v>
      </c>
      <c r="D387" t="s">
        <v>5797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8349</v>
      </c>
      <c r="D388" t="s">
        <v>5798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8349</v>
      </c>
      <c r="D389" t="s">
        <v>5799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8349</v>
      </c>
      <c r="D390" t="s">
        <v>5800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8349</v>
      </c>
      <c r="D391" t="s">
        <v>5801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8349</v>
      </c>
      <c r="D392" t="s">
        <v>5802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8349</v>
      </c>
      <c r="D393" t="s">
        <v>5803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8349</v>
      </c>
      <c r="D394" t="s">
        <v>5804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8349</v>
      </c>
      <c r="D395" t="s">
        <v>5805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8349</v>
      </c>
      <c r="D396" t="s">
        <v>5806</v>
      </c>
      <c r="F396" s="21"/>
      <c r="H396" t="str">
        <f t="shared" si="6"/>
        <v>271C</v>
      </c>
      <c r="I396" s="25" t="s">
        <v>8249</v>
      </c>
    </row>
    <row r="397" spans="3:9" x14ac:dyDescent="0.2">
      <c r="C397" t="s">
        <v>8349</v>
      </c>
      <c r="D397" t="s">
        <v>5807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8349</v>
      </c>
      <c r="D398" t="s">
        <v>5808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8349</v>
      </c>
      <c r="D399" t="s">
        <v>5809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8349</v>
      </c>
      <c r="D400" t="s">
        <v>5810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8349</v>
      </c>
      <c r="D401" t="s">
        <v>5811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8349</v>
      </c>
      <c r="D402" t="s">
        <v>5812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8349</v>
      </c>
      <c r="D403" t="s">
        <v>5813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8349</v>
      </c>
      <c r="D404" t="s">
        <v>5814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8349</v>
      </c>
      <c r="D405" t="s">
        <v>5815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8349</v>
      </c>
      <c r="D406" t="s">
        <v>5816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8349</v>
      </c>
      <c r="D407" t="s">
        <v>5817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8349</v>
      </c>
      <c r="D408" t="s">
        <v>5818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8349</v>
      </c>
      <c r="D409" t="s">
        <v>5819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8349</v>
      </c>
      <c r="D410" t="s">
        <v>5820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8349</v>
      </c>
      <c r="D411" t="s">
        <v>5821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8349</v>
      </c>
      <c r="D412" t="s">
        <v>5822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8349</v>
      </c>
      <c r="D413" t="s">
        <v>5823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8349</v>
      </c>
      <c r="D414" t="s">
        <v>5824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8349</v>
      </c>
      <c r="D415" t="s">
        <v>5825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8349</v>
      </c>
      <c r="D416" t="s">
        <v>5826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8349</v>
      </c>
      <c r="D417" t="s">
        <v>5827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8349</v>
      </c>
      <c r="D418" t="s">
        <v>5828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8349</v>
      </c>
      <c r="D419" t="s">
        <v>5829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8349</v>
      </c>
      <c r="D420" t="s">
        <v>5830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8349</v>
      </c>
      <c r="D421" t="s">
        <v>5831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8349</v>
      </c>
      <c r="D422" t="s">
        <v>5832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8349</v>
      </c>
      <c r="D423" t="s">
        <v>5833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8349</v>
      </c>
      <c r="D424" t="s">
        <v>5834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8349</v>
      </c>
      <c r="D425" t="s">
        <v>5835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8349</v>
      </c>
      <c r="D426" t="s">
        <v>5836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8349</v>
      </c>
      <c r="D427" t="s">
        <v>5837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8349</v>
      </c>
      <c r="D428" t="s">
        <v>5838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8349</v>
      </c>
      <c r="D429" t="s">
        <v>5839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8349</v>
      </c>
      <c r="D430" t="s">
        <v>5840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8349</v>
      </c>
      <c r="D431" t="s">
        <v>5841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8349</v>
      </c>
      <c r="D432" t="s">
        <v>5842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8349</v>
      </c>
      <c r="D433" t="s">
        <v>5843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8349</v>
      </c>
      <c r="D434" t="s">
        <v>5844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8349</v>
      </c>
      <c r="D435" t="s">
        <v>5845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8349</v>
      </c>
      <c r="D436" t="s">
        <v>5846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8349</v>
      </c>
      <c r="D437" t="s">
        <v>5847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8349</v>
      </c>
      <c r="D438" t="s">
        <v>5848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8349</v>
      </c>
      <c r="D439" t="s">
        <v>5849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8349</v>
      </c>
      <c r="D440" t="s">
        <v>5850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8349</v>
      </c>
      <c r="D441" t="s">
        <v>5851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8349</v>
      </c>
      <c r="D442" t="s">
        <v>5852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8349</v>
      </c>
      <c r="D443" t="s">
        <v>5853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8349</v>
      </c>
      <c r="D444" t="s">
        <v>5854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8349</v>
      </c>
      <c r="D445" t="s">
        <v>5855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8349</v>
      </c>
      <c r="D446" t="s">
        <v>5856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8349</v>
      </c>
      <c r="D447" t="s">
        <v>5857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8349</v>
      </c>
      <c r="D448" t="s">
        <v>5858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8349</v>
      </c>
      <c r="D449" t="s">
        <v>5859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8349</v>
      </c>
      <c r="D450" t="s">
        <v>5860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8349</v>
      </c>
      <c r="D451" t="s">
        <v>5861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8349</v>
      </c>
      <c r="D452" t="s">
        <v>5862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8349</v>
      </c>
      <c r="D453" t="s">
        <v>5863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8349</v>
      </c>
      <c r="D454" t="s">
        <v>5864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8349</v>
      </c>
      <c r="D455" t="s">
        <v>5865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8349</v>
      </c>
      <c r="D456" t="s">
        <v>5866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8349</v>
      </c>
      <c r="D457" t="s">
        <v>5867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8349</v>
      </c>
      <c r="D458" t="s">
        <v>5868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8349</v>
      </c>
      <c r="D459" t="s">
        <v>5869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8349</v>
      </c>
      <c r="D460" t="s">
        <v>5870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8349</v>
      </c>
      <c r="D461" t="s">
        <v>5871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8349</v>
      </c>
      <c r="D462" t="s">
        <v>5872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8349</v>
      </c>
      <c r="D463" t="s">
        <v>5873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8349</v>
      </c>
      <c r="D464" t="s">
        <v>5874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8349</v>
      </c>
      <c r="D465" t="s">
        <v>5875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8349</v>
      </c>
      <c r="D466" t="s">
        <v>5876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8349</v>
      </c>
      <c r="D467" t="s">
        <v>5877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8349</v>
      </c>
      <c r="D468" t="s">
        <v>5878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8349</v>
      </c>
      <c r="D469" t="s">
        <v>5879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8349</v>
      </c>
      <c r="D470" t="s">
        <v>5880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8349</v>
      </c>
      <c r="D471" t="s">
        <v>5881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8349</v>
      </c>
      <c r="D472" t="s">
        <v>5882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8349</v>
      </c>
      <c r="D473" t="s">
        <v>5883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8349</v>
      </c>
      <c r="D474" t="s">
        <v>5884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8349</v>
      </c>
      <c r="D475" t="s">
        <v>5885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8349</v>
      </c>
      <c r="D476" t="s">
        <v>5886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8349</v>
      </c>
      <c r="D477" t="s">
        <v>5887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8349</v>
      </c>
      <c r="D478" t="s">
        <v>5888</v>
      </c>
      <c r="F478" s="21"/>
      <c r="H478" t="str">
        <f t="shared" si="7"/>
        <v>2DBE</v>
      </c>
      <c r="I478" s="25" t="s">
        <v>9556</v>
      </c>
    </row>
    <row r="479" spans="3:9" x14ac:dyDescent="0.2">
      <c r="C479" t="s">
        <v>8349</v>
      </c>
      <c r="D479" t="s">
        <v>5889</v>
      </c>
      <c r="F479" s="21"/>
      <c r="H479" t="str">
        <f t="shared" si="7"/>
        <v/>
      </c>
      <c r="I479" s="25" t="s">
        <v>5889</v>
      </c>
    </row>
    <row r="480" spans="3:9" x14ac:dyDescent="0.2">
      <c r="C480" t="s">
        <v>8349</v>
      </c>
      <c r="D480" t="s">
        <v>5890</v>
      </c>
      <c r="F480" s="21"/>
      <c r="H480" t="str">
        <f t="shared" si="7"/>
        <v/>
      </c>
      <c r="I480" s="25" t="s">
        <v>5890</v>
      </c>
    </row>
    <row r="481" spans="3:9" x14ac:dyDescent="0.2">
      <c r="C481" t="s">
        <v>8349</v>
      </c>
      <c r="D481" t="s">
        <v>5891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8349</v>
      </c>
      <c r="D482" t="s">
        <v>5892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8349</v>
      </c>
      <c r="D483" t="s">
        <v>5893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8349</v>
      </c>
      <c r="D484" t="s">
        <v>5894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8349</v>
      </c>
      <c r="D485" t="s">
        <v>5895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8349</v>
      </c>
      <c r="D486" t="s">
        <v>5896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8349</v>
      </c>
      <c r="D487" t="s">
        <v>5897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8349</v>
      </c>
      <c r="D488" t="s">
        <v>5898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8349</v>
      </c>
      <c r="D489" t="s">
        <v>5899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8349</v>
      </c>
      <c r="D490" t="s">
        <v>5900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8349</v>
      </c>
      <c r="D491" t="s">
        <v>5901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8349</v>
      </c>
      <c r="D492" t="s">
        <v>5902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8349</v>
      </c>
      <c r="D493" t="s">
        <v>5903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8349</v>
      </c>
      <c r="D494" t="s">
        <v>5904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8349</v>
      </c>
      <c r="D495" t="s">
        <v>5905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8349</v>
      </c>
      <c r="D496" t="s">
        <v>5906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8349</v>
      </c>
      <c r="D497" t="s">
        <v>5907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8349</v>
      </c>
      <c r="D498" t="s">
        <v>5908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8349</v>
      </c>
      <c r="D499" t="s">
        <v>5909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8349</v>
      </c>
      <c r="D500" t="s">
        <v>5910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8349</v>
      </c>
      <c r="D501" t="s">
        <v>5911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8349</v>
      </c>
      <c r="D502" t="s">
        <v>5912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8349</v>
      </c>
      <c r="D503" t="s">
        <v>5913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8349</v>
      </c>
      <c r="D504" t="s">
        <v>5914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8349</v>
      </c>
      <c r="D505" t="s">
        <v>5915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8349</v>
      </c>
      <c r="D506" t="s">
        <v>5916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8349</v>
      </c>
      <c r="D507" t="s">
        <v>5917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8349</v>
      </c>
      <c r="D508" t="s">
        <v>5918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8349</v>
      </c>
      <c r="D509" t="s">
        <v>5919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8349</v>
      </c>
      <c r="D510" t="s">
        <v>5920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8349</v>
      </c>
      <c r="D511" t="s">
        <v>5921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8349</v>
      </c>
      <c r="D512" t="s">
        <v>5922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8349</v>
      </c>
      <c r="D513" t="s">
        <v>5923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8349</v>
      </c>
      <c r="D514" t="s">
        <v>5924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8349</v>
      </c>
      <c r="D515" t="s">
        <v>5925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8349</v>
      </c>
      <c r="D516" t="s">
        <v>5926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8349</v>
      </c>
      <c r="D517" t="s">
        <v>5927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8349</v>
      </c>
      <c r="D518" t="s">
        <v>5928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8349</v>
      </c>
      <c r="D519" t="s">
        <v>5929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8349</v>
      </c>
      <c r="D520" t="s">
        <v>5930</v>
      </c>
      <c r="F520" s="21"/>
      <c r="H520" t="str">
        <f t="shared" si="8"/>
        <v/>
      </c>
      <c r="I520" s="25" t="s">
        <v>5930</v>
      </c>
    </row>
    <row r="521" spans="3:9" x14ac:dyDescent="0.2">
      <c r="C521" t="s">
        <v>8349</v>
      </c>
      <c r="D521" t="s">
        <v>5931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8349</v>
      </c>
      <c r="D522" t="s">
        <v>5932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8349</v>
      </c>
      <c r="D523" t="s">
        <v>5933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8349</v>
      </c>
      <c r="D524" t="s">
        <v>5934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8349</v>
      </c>
      <c r="D525" t="s">
        <v>5935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8349</v>
      </c>
      <c r="D526" t="s">
        <v>5936</v>
      </c>
      <c r="F526" s="21"/>
      <c r="H526" t="str">
        <f t="shared" si="8"/>
        <v/>
      </c>
      <c r="I526" s="25" t="s">
        <v>5936</v>
      </c>
    </row>
    <row r="527" spans="3:9" x14ac:dyDescent="0.2">
      <c r="C527" t="s">
        <v>8349</v>
      </c>
      <c r="D527" t="s">
        <v>5937</v>
      </c>
      <c r="F527" s="21"/>
      <c r="H527" t="str">
        <f t="shared" si="8"/>
        <v/>
      </c>
      <c r="I527" s="25" t="s">
        <v>5937</v>
      </c>
    </row>
    <row r="528" spans="3:9" x14ac:dyDescent="0.2">
      <c r="C528" t="s">
        <v>8349</v>
      </c>
      <c r="D528" t="s">
        <v>5938</v>
      </c>
      <c r="F528" s="21"/>
      <c r="H528" t="str">
        <f t="shared" si="8"/>
        <v/>
      </c>
      <c r="I528" s="25" t="s">
        <v>5938</v>
      </c>
    </row>
    <row r="529" spans="3:9" x14ac:dyDescent="0.2">
      <c r="C529" t="s">
        <v>8349</v>
      </c>
      <c r="D529" t="s">
        <v>5939</v>
      </c>
      <c r="F529" s="21"/>
      <c r="H529" t="str">
        <f t="shared" si="8"/>
        <v/>
      </c>
      <c r="I529" s="25" t="s">
        <v>5939</v>
      </c>
    </row>
    <row r="530" spans="3:9" x14ac:dyDescent="0.2">
      <c r="C530" t="s">
        <v>8349</v>
      </c>
      <c r="D530" t="s">
        <v>5940</v>
      </c>
      <c r="F530" s="21"/>
      <c r="H530" t="str">
        <f t="shared" si="8"/>
        <v/>
      </c>
      <c r="I530" s="25" t="s">
        <v>5940</v>
      </c>
    </row>
    <row r="531" spans="3:9" x14ac:dyDescent="0.2">
      <c r="C531" t="s">
        <v>8349</v>
      </c>
      <c r="D531" t="s">
        <v>5941</v>
      </c>
      <c r="F531" s="21"/>
      <c r="H531" t="str">
        <f t="shared" si="8"/>
        <v/>
      </c>
      <c r="I531" s="25" t="s">
        <v>5941</v>
      </c>
    </row>
    <row r="532" spans="3:9" x14ac:dyDescent="0.2">
      <c r="C532" t="s">
        <v>8349</v>
      </c>
      <c r="D532" t="s">
        <v>5942</v>
      </c>
      <c r="F532" s="21"/>
      <c r="H532" t="str">
        <f t="shared" si="8"/>
        <v/>
      </c>
      <c r="I532" s="25" t="s">
        <v>5942</v>
      </c>
    </row>
    <row r="533" spans="3:9" x14ac:dyDescent="0.2">
      <c r="C533" t="s">
        <v>8349</v>
      </c>
      <c r="D533" t="s">
        <v>5943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8349</v>
      </c>
      <c r="D534" t="s">
        <v>5944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8349</v>
      </c>
      <c r="D535" t="s">
        <v>5945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8349</v>
      </c>
      <c r="D536" t="s">
        <v>5946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8349</v>
      </c>
      <c r="D537" t="s">
        <v>5947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8349</v>
      </c>
      <c r="D538" t="s">
        <v>5948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8349</v>
      </c>
      <c r="D539" t="s">
        <v>5949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8349</v>
      </c>
      <c r="D540" t="s">
        <v>5950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8349</v>
      </c>
      <c r="D541" t="s">
        <v>5951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8349</v>
      </c>
      <c r="D542" t="s">
        <v>5952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8349</v>
      </c>
      <c r="D543" t="s">
        <v>5953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8349</v>
      </c>
      <c r="D544" t="s">
        <v>5954</v>
      </c>
      <c r="F544" s="21"/>
      <c r="H544" t="str">
        <f t="shared" si="8"/>
        <v>32DE</v>
      </c>
      <c r="I544" s="25" t="s">
        <v>8319</v>
      </c>
    </row>
    <row r="545" spans="3:9" x14ac:dyDescent="0.2">
      <c r="C545" t="s">
        <v>8349</v>
      </c>
      <c r="D545" t="s">
        <v>5955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8349</v>
      </c>
      <c r="D546" t="s">
        <v>5956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8349</v>
      </c>
      <c r="D547" t="s">
        <v>5957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8349</v>
      </c>
      <c r="D548" t="s">
        <v>5958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8349</v>
      </c>
      <c r="D549" t="s">
        <v>5959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8349</v>
      </c>
      <c r="D550" t="s">
        <v>5960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8349</v>
      </c>
      <c r="D551" t="s">
        <v>5961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8349</v>
      </c>
      <c r="D552" t="s">
        <v>5962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8349</v>
      </c>
      <c r="D553" t="s">
        <v>5963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8349</v>
      </c>
      <c r="D554" t="s">
        <v>5964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8349</v>
      </c>
      <c r="D555" t="s">
        <v>5965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8349</v>
      </c>
      <c r="D556" t="s">
        <v>5966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8349</v>
      </c>
      <c r="D557" t="s">
        <v>5967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8349</v>
      </c>
      <c r="D558" t="s">
        <v>5968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8349</v>
      </c>
      <c r="D559" t="s">
        <v>5969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8349</v>
      </c>
      <c r="D560" t="s">
        <v>5970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8349</v>
      </c>
      <c r="D561" t="s">
        <v>5971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8349</v>
      </c>
      <c r="D562" t="s">
        <v>5972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8349</v>
      </c>
      <c r="D563" t="s">
        <v>5973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8349</v>
      </c>
      <c r="D564" t="s">
        <v>5974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8349</v>
      </c>
      <c r="D565" t="s">
        <v>5975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8349</v>
      </c>
      <c r="D566" t="s">
        <v>5976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8349</v>
      </c>
      <c r="D567" t="s">
        <v>5977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8349</v>
      </c>
      <c r="D568" t="s">
        <v>5978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8349</v>
      </c>
      <c r="D569" t="s">
        <v>5979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8349</v>
      </c>
      <c r="D570" t="s">
        <v>5980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8349</v>
      </c>
      <c r="D571" t="s">
        <v>5981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8349</v>
      </c>
      <c r="D572" t="s">
        <v>5982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8349</v>
      </c>
      <c r="D573" t="s">
        <v>5983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8349</v>
      </c>
      <c r="D574" t="s">
        <v>5984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8349</v>
      </c>
      <c r="D575" t="s">
        <v>5985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8349</v>
      </c>
      <c r="D576" t="s">
        <v>5986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8349</v>
      </c>
      <c r="D577" t="s">
        <v>5987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8349</v>
      </c>
      <c r="D578" t="s">
        <v>5988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8349</v>
      </c>
      <c r="D579" t="s">
        <v>5989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8349</v>
      </c>
      <c r="D580" t="s">
        <v>5990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8349</v>
      </c>
      <c r="D581" t="s">
        <v>5991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8349</v>
      </c>
      <c r="D582" t="s">
        <v>5992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8349</v>
      </c>
      <c r="D583" t="s">
        <v>5993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8349</v>
      </c>
      <c r="D584" t="s">
        <v>5994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8349</v>
      </c>
      <c r="D585" t="s">
        <v>5995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8349</v>
      </c>
      <c r="D586" t="s">
        <v>5996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8349</v>
      </c>
      <c r="D587" t="s">
        <v>5997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8349</v>
      </c>
      <c r="D588" t="s">
        <v>5998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8349</v>
      </c>
      <c r="D589" t="s">
        <v>5999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8349</v>
      </c>
      <c r="D590" t="s">
        <v>6000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8349</v>
      </c>
      <c r="D591" t="s">
        <v>6001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8349</v>
      </c>
      <c r="D592" t="s">
        <v>6002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8349</v>
      </c>
      <c r="D593" t="s">
        <v>6003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8349</v>
      </c>
      <c r="D594" t="s">
        <v>6004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8349</v>
      </c>
      <c r="D595" t="s">
        <v>6005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8349</v>
      </c>
      <c r="D596" t="s">
        <v>6006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8349</v>
      </c>
      <c r="D597" t="s">
        <v>6007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8349</v>
      </c>
      <c r="D598" t="s">
        <v>6008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8349</v>
      </c>
      <c r="D599" t="s">
        <v>6009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8349</v>
      </c>
      <c r="D600" t="s">
        <v>6010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8349</v>
      </c>
      <c r="D601" t="s">
        <v>6011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8349</v>
      </c>
      <c r="D602" t="s">
        <v>6012</v>
      </c>
      <c r="F602" s="21"/>
      <c r="H602" t="str">
        <f t="shared" si="9"/>
        <v/>
      </c>
      <c r="I602" s="25" t="s">
        <v>6012</v>
      </c>
    </row>
    <row r="603" spans="3:9" x14ac:dyDescent="0.2">
      <c r="C603" t="s">
        <v>8349</v>
      </c>
      <c r="D603" t="s">
        <v>6013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8349</v>
      </c>
      <c r="D604" t="s">
        <v>6014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8349</v>
      </c>
      <c r="D605" t="s">
        <v>6015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8349</v>
      </c>
      <c r="D606" t="s">
        <v>6016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8349</v>
      </c>
      <c r="D607" t="s">
        <v>6017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8349</v>
      </c>
      <c r="D608" t="s">
        <v>6018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8349</v>
      </c>
      <c r="D609" t="s">
        <v>6019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8349</v>
      </c>
      <c r="D610" t="s">
        <v>6020</v>
      </c>
      <c r="F610" s="21"/>
      <c r="H610" t="str">
        <f t="shared" si="9"/>
        <v/>
      </c>
      <c r="I610" s="25" t="s">
        <v>6020</v>
      </c>
    </row>
    <row r="611" spans="3:9" x14ac:dyDescent="0.2">
      <c r="C611" t="s">
        <v>8349</v>
      </c>
      <c r="D611" t="s">
        <v>6021</v>
      </c>
      <c r="F611" s="21"/>
      <c r="H611" t="str">
        <f t="shared" si="9"/>
        <v/>
      </c>
      <c r="I611" s="25" t="s">
        <v>6021</v>
      </c>
    </row>
    <row r="612" spans="3:9" x14ac:dyDescent="0.2">
      <c r="C612" t="s">
        <v>8349</v>
      </c>
      <c r="D612" t="s">
        <v>6022</v>
      </c>
      <c r="F612" s="21"/>
      <c r="H612" t="str">
        <f t="shared" si="9"/>
        <v/>
      </c>
      <c r="I612" s="25" t="s">
        <v>6022</v>
      </c>
    </row>
    <row r="613" spans="3:9" x14ac:dyDescent="0.2">
      <c r="C613" t="s">
        <v>8349</v>
      </c>
      <c r="D613" t="s">
        <v>6023</v>
      </c>
      <c r="F613" s="21"/>
      <c r="H613" t="str">
        <f t="shared" si="9"/>
        <v/>
      </c>
      <c r="I613" s="25" t="s">
        <v>6023</v>
      </c>
    </row>
    <row r="614" spans="3:9" x14ac:dyDescent="0.2">
      <c r="C614" t="s">
        <v>8349</v>
      </c>
      <c r="D614" t="s">
        <v>6024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8349</v>
      </c>
      <c r="D615" t="s">
        <v>6025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8349</v>
      </c>
      <c r="D616" t="s">
        <v>6026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8349</v>
      </c>
      <c r="D617" t="s">
        <v>6027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8349</v>
      </c>
      <c r="D618" t="s">
        <v>6028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8349</v>
      </c>
      <c r="D619" t="s">
        <v>6029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8349</v>
      </c>
      <c r="D620" t="s">
        <v>6030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8349</v>
      </c>
      <c r="D621" t="s">
        <v>6031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8349</v>
      </c>
      <c r="D622" t="s">
        <v>6032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8349</v>
      </c>
      <c r="D623" t="s">
        <v>6033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8349</v>
      </c>
      <c r="D624" t="s">
        <v>6034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8349</v>
      </c>
      <c r="D625" t="s">
        <v>6035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8349</v>
      </c>
      <c r="D626" t="s">
        <v>6036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8349</v>
      </c>
      <c r="D627" t="s">
        <v>6037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8349</v>
      </c>
      <c r="D628" t="s">
        <v>6038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8349</v>
      </c>
      <c r="D629" t="s">
        <v>6039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8349</v>
      </c>
      <c r="D630" t="s">
        <v>6040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8349</v>
      </c>
      <c r="D631" t="s">
        <v>6041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8349</v>
      </c>
      <c r="D632" t="s">
        <v>6042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8349</v>
      </c>
      <c r="D633" t="s">
        <v>6043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8349</v>
      </c>
      <c r="D634" t="s">
        <v>6044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8349</v>
      </c>
      <c r="D635" t="s">
        <v>6045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8349</v>
      </c>
      <c r="D636" t="s">
        <v>6046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8349</v>
      </c>
      <c r="D637" t="s">
        <v>6047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8349</v>
      </c>
      <c r="D638" t="s">
        <v>6048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8349</v>
      </c>
      <c r="D639" t="s">
        <v>6049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8349</v>
      </c>
      <c r="D640" t="s">
        <v>6050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8349</v>
      </c>
      <c r="D641" t="s">
        <v>6051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8349</v>
      </c>
      <c r="D642" t="s">
        <v>6052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8349</v>
      </c>
      <c r="D643" t="s">
        <v>6053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8349</v>
      </c>
      <c r="D644" t="s">
        <v>6054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8349</v>
      </c>
      <c r="D645" t="s">
        <v>6055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8349</v>
      </c>
      <c r="D646" t="s">
        <v>6056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8349</v>
      </c>
      <c r="D647" t="s">
        <v>6057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8349</v>
      </c>
      <c r="D648" t="s">
        <v>6058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8349</v>
      </c>
      <c r="D649" t="s">
        <v>6059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8349</v>
      </c>
      <c r="D650" t="s">
        <v>6060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8349</v>
      </c>
      <c r="D651" t="s">
        <v>6061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8349</v>
      </c>
      <c r="D652" t="s">
        <v>6062</v>
      </c>
      <c r="F652" s="21"/>
      <c r="H652" t="str">
        <f t="shared" si="10"/>
        <v/>
      </c>
      <c r="I652" s="25" t="s">
        <v>6062</v>
      </c>
    </row>
    <row r="653" spans="3:9" x14ac:dyDescent="0.2">
      <c r="C653" t="s">
        <v>8349</v>
      </c>
      <c r="D653" t="s">
        <v>6063</v>
      </c>
      <c r="F653" s="21"/>
      <c r="H653" t="str">
        <f t="shared" si="10"/>
        <v/>
      </c>
      <c r="I653" s="25" t="s">
        <v>6063</v>
      </c>
    </row>
    <row r="654" spans="3:9" x14ac:dyDescent="0.2">
      <c r="C654" t="s">
        <v>8349</v>
      </c>
      <c r="D654" t="s">
        <v>6064</v>
      </c>
      <c r="F654" s="21"/>
      <c r="H654" t="str">
        <f t="shared" si="10"/>
        <v/>
      </c>
      <c r="I654" s="25" t="s">
        <v>6064</v>
      </c>
    </row>
    <row r="655" spans="3:9" x14ac:dyDescent="0.2">
      <c r="C655" t="s">
        <v>8349</v>
      </c>
      <c r="D655" t="s">
        <v>6065</v>
      </c>
      <c r="F655" s="21"/>
      <c r="H655" t="str">
        <f t="shared" si="10"/>
        <v/>
      </c>
      <c r="I655" s="25" t="s">
        <v>6065</v>
      </c>
    </row>
    <row r="656" spans="3:9" x14ac:dyDescent="0.2">
      <c r="C656" t="s">
        <v>8349</v>
      </c>
      <c r="D656" t="s">
        <v>6066</v>
      </c>
      <c r="F656" s="21"/>
      <c r="H656" t="str">
        <f t="shared" si="10"/>
        <v/>
      </c>
      <c r="I656" s="25" t="s">
        <v>6066</v>
      </c>
    </row>
    <row r="657" spans="3:9" x14ac:dyDescent="0.2">
      <c r="C657" t="s">
        <v>8349</v>
      </c>
      <c r="D657" t="s">
        <v>6067</v>
      </c>
      <c r="F657" s="21"/>
      <c r="H657" t="str">
        <f t="shared" si="10"/>
        <v/>
      </c>
      <c r="I657" s="25" t="s">
        <v>6067</v>
      </c>
    </row>
    <row r="658" spans="3:9" x14ac:dyDescent="0.2">
      <c r="C658" t="s">
        <v>8349</v>
      </c>
      <c r="D658" t="s">
        <v>6068</v>
      </c>
      <c r="F658" s="21"/>
      <c r="H658" t="str">
        <f t="shared" si="10"/>
        <v/>
      </c>
      <c r="I658" s="25" t="s">
        <v>6068</v>
      </c>
    </row>
    <row r="659" spans="3:9" x14ac:dyDescent="0.2">
      <c r="C659" t="s">
        <v>8349</v>
      </c>
      <c r="D659" t="s">
        <v>6069</v>
      </c>
      <c r="F659" s="21"/>
      <c r="H659" t="str">
        <f t="shared" si="10"/>
        <v/>
      </c>
      <c r="I659" s="25" t="s">
        <v>6069</v>
      </c>
    </row>
    <row r="660" spans="3:9" x14ac:dyDescent="0.2">
      <c r="C660" t="s">
        <v>8349</v>
      </c>
      <c r="D660" t="s">
        <v>6070</v>
      </c>
      <c r="F660" s="21"/>
      <c r="H660" t="str">
        <f t="shared" si="10"/>
        <v/>
      </c>
      <c r="I660" s="25" t="s">
        <v>6070</v>
      </c>
    </row>
    <row r="661" spans="3:9" x14ac:dyDescent="0.2">
      <c r="C661" t="s">
        <v>8349</v>
      </c>
      <c r="D661" t="s">
        <v>6071</v>
      </c>
      <c r="F661" s="21"/>
      <c r="H661" t="str">
        <f t="shared" si="10"/>
        <v/>
      </c>
      <c r="I661" s="25" t="s">
        <v>6071</v>
      </c>
    </row>
    <row r="662" spans="3:9" x14ac:dyDescent="0.2">
      <c r="C662" t="s">
        <v>8349</v>
      </c>
      <c r="D662" t="s">
        <v>6072</v>
      </c>
      <c r="F662" s="21"/>
      <c r="H662" t="str">
        <f t="shared" si="10"/>
        <v/>
      </c>
      <c r="I662" s="25" t="s">
        <v>6072</v>
      </c>
    </row>
    <row r="663" spans="3:9" x14ac:dyDescent="0.2">
      <c r="C663" t="s">
        <v>8349</v>
      </c>
      <c r="D663" t="s">
        <v>6073</v>
      </c>
      <c r="F663" s="21"/>
      <c r="H663" t="str">
        <f t="shared" si="10"/>
        <v/>
      </c>
      <c r="I663" s="25" t="s">
        <v>6073</v>
      </c>
    </row>
    <row r="664" spans="3:9" x14ac:dyDescent="0.2">
      <c r="C664" t="s">
        <v>8349</v>
      </c>
      <c r="D664" t="s">
        <v>6074</v>
      </c>
      <c r="F664" s="21"/>
      <c r="H664" t="str">
        <f t="shared" si="10"/>
        <v/>
      </c>
      <c r="I664" s="25" t="s">
        <v>6074</v>
      </c>
    </row>
    <row r="665" spans="3:9" x14ac:dyDescent="0.2">
      <c r="C665" t="s">
        <v>8349</v>
      </c>
      <c r="D665" t="s">
        <v>6075</v>
      </c>
      <c r="F665" s="21"/>
      <c r="H665" t="str">
        <f t="shared" si="10"/>
        <v/>
      </c>
      <c r="I665" s="25" t="s">
        <v>6075</v>
      </c>
    </row>
    <row r="666" spans="3:9" x14ac:dyDescent="0.2">
      <c r="C666" t="s">
        <v>8349</v>
      </c>
      <c r="D666" t="s">
        <v>6076</v>
      </c>
      <c r="F666" s="21"/>
      <c r="H666" t="str">
        <f t="shared" si="10"/>
        <v/>
      </c>
      <c r="I666" s="25" t="s">
        <v>6076</v>
      </c>
    </row>
    <row r="667" spans="3:9" x14ac:dyDescent="0.2">
      <c r="C667" t="s">
        <v>8349</v>
      </c>
      <c r="D667" t="s">
        <v>6077</v>
      </c>
      <c r="F667" s="21"/>
      <c r="H667" t="str">
        <f t="shared" si="10"/>
        <v/>
      </c>
      <c r="I667" s="25" t="s">
        <v>6077</v>
      </c>
    </row>
    <row r="668" spans="3:9" x14ac:dyDescent="0.2">
      <c r="C668" t="s">
        <v>8349</v>
      </c>
      <c r="D668" t="s">
        <v>6078</v>
      </c>
      <c r="F668" s="21"/>
      <c r="H668" t="str">
        <f t="shared" si="10"/>
        <v/>
      </c>
      <c r="I668" s="25" t="s">
        <v>6078</v>
      </c>
    </row>
    <row r="669" spans="3:9" x14ac:dyDescent="0.2">
      <c r="C669" t="s">
        <v>8349</v>
      </c>
      <c r="D669" t="s">
        <v>6079</v>
      </c>
      <c r="F669" s="21"/>
      <c r="H669" t="str">
        <f t="shared" si="10"/>
        <v/>
      </c>
      <c r="I669" s="25" t="s">
        <v>6079</v>
      </c>
    </row>
    <row r="670" spans="3:9" x14ac:dyDescent="0.2">
      <c r="C670" t="s">
        <v>8349</v>
      </c>
      <c r="D670" t="s">
        <v>6080</v>
      </c>
      <c r="F670" s="21"/>
      <c r="H670" t="str">
        <f t="shared" si="10"/>
        <v/>
      </c>
      <c r="I670" s="25" t="s">
        <v>6080</v>
      </c>
    </row>
    <row r="671" spans="3:9" x14ac:dyDescent="0.2">
      <c r="C671" t="s">
        <v>8349</v>
      </c>
      <c r="D671" t="s">
        <v>6081</v>
      </c>
      <c r="F671" s="21"/>
      <c r="H671" t="str">
        <f t="shared" si="10"/>
        <v/>
      </c>
      <c r="I671" s="25" t="s">
        <v>6081</v>
      </c>
    </row>
    <row r="672" spans="3:9" x14ac:dyDescent="0.2">
      <c r="C672" t="s">
        <v>8349</v>
      </c>
      <c r="D672" t="s">
        <v>6082</v>
      </c>
      <c r="F672" s="21"/>
      <c r="H672" t="str">
        <f t="shared" si="10"/>
        <v/>
      </c>
      <c r="I672" s="25" t="s">
        <v>6082</v>
      </c>
    </row>
    <row r="673" spans="3:9" x14ac:dyDescent="0.2">
      <c r="C673" t="s">
        <v>8349</v>
      </c>
      <c r="D673" t="s">
        <v>6083</v>
      </c>
      <c r="F673" s="21"/>
      <c r="H673" t="str">
        <f t="shared" si="10"/>
        <v/>
      </c>
      <c r="I673" s="25" t="s">
        <v>6083</v>
      </c>
    </row>
    <row r="674" spans="3:9" x14ac:dyDescent="0.2">
      <c r="C674" t="s">
        <v>8349</v>
      </c>
      <c r="D674" t="s">
        <v>6084</v>
      </c>
      <c r="F674" s="21"/>
      <c r="H674" t="str">
        <f t="shared" si="10"/>
        <v/>
      </c>
      <c r="I674" s="25" t="s">
        <v>6084</v>
      </c>
    </row>
    <row r="675" spans="3:9" x14ac:dyDescent="0.2">
      <c r="C675" t="s">
        <v>8349</v>
      </c>
      <c r="D675" t="s">
        <v>6085</v>
      </c>
      <c r="F675" s="21"/>
      <c r="H675" t="str">
        <f t="shared" si="10"/>
        <v/>
      </c>
      <c r="I675" s="25" t="s">
        <v>6085</v>
      </c>
    </row>
    <row r="676" spans="3:9" x14ac:dyDescent="0.2">
      <c r="C676" t="s">
        <v>8349</v>
      </c>
      <c r="D676" t="s">
        <v>6086</v>
      </c>
      <c r="F676" s="21"/>
      <c r="H676" t="str">
        <f t="shared" si="10"/>
        <v/>
      </c>
      <c r="I676" s="25" t="s">
        <v>6086</v>
      </c>
    </row>
    <row r="677" spans="3:9" x14ac:dyDescent="0.2">
      <c r="C677" t="s">
        <v>8349</v>
      </c>
      <c r="D677" t="s">
        <v>6087</v>
      </c>
      <c r="F677" s="21"/>
      <c r="H677" t="str">
        <f t="shared" si="10"/>
        <v/>
      </c>
      <c r="I677" s="25" t="s">
        <v>6087</v>
      </c>
    </row>
    <row r="678" spans="3:9" x14ac:dyDescent="0.2">
      <c r="C678" t="s">
        <v>8349</v>
      </c>
      <c r="D678" t="s">
        <v>6088</v>
      </c>
      <c r="F678" s="21"/>
      <c r="H678" t="str">
        <f t="shared" si="10"/>
        <v/>
      </c>
      <c r="I678" s="25" t="s">
        <v>6088</v>
      </c>
    </row>
    <row r="679" spans="3:9" x14ac:dyDescent="0.2">
      <c r="C679" t="s">
        <v>8349</v>
      </c>
      <c r="D679" t="s">
        <v>6089</v>
      </c>
      <c r="F679" s="21"/>
      <c r="H679" t="str">
        <f t="shared" si="10"/>
        <v/>
      </c>
      <c r="I679" s="25" t="s">
        <v>6089</v>
      </c>
    </row>
    <row r="680" spans="3:9" x14ac:dyDescent="0.2">
      <c r="C680" t="s">
        <v>8349</v>
      </c>
      <c r="D680" t="s">
        <v>6090</v>
      </c>
      <c r="F680" s="21"/>
      <c r="H680" t="str">
        <f t="shared" si="10"/>
        <v/>
      </c>
      <c r="I680" s="25" t="s">
        <v>6090</v>
      </c>
    </row>
    <row r="681" spans="3:9" x14ac:dyDescent="0.2">
      <c r="C681" t="s">
        <v>8349</v>
      </c>
      <c r="D681" t="s">
        <v>6091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8349</v>
      </c>
      <c r="D682" t="s">
        <v>6092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8349</v>
      </c>
      <c r="D683" t="s">
        <v>6093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8349</v>
      </c>
      <c r="D684" t="s">
        <v>6094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8349</v>
      </c>
      <c r="D685" t="s">
        <v>6095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8349</v>
      </c>
      <c r="D686" t="s">
        <v>6096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8349</v>
      </c>
      <c r="D687" t="s">
        <v>6097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8349</v>
      </c>
      <c r="D688" t="s">
        <v>6098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8349</v>
      </c>
      <c r="D689" t="s">
        <v>6099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8349</v>
      </c>
      <c r="D690" t="s">
        <v>6100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8349</v>
      </c>
      <c r="D691" t="s">
        <v>6101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8349</v>
      </c>
      <c r="D692" t="s">
        <v>6102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8349</v>
      </c>
      <c r="D693" t="s">
        <v>6103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8349</v>
      </c>
      <c r="D694" t="s">
        <v>6104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8349</v>
      </c>
      <c r="D695" t="s">
        <v>6105</v>
      </c>
      <c r="F695" s="21"/>
      <c r="H695" t="str">
        <f t="shared" si="10"/>
        <v/>
      </c>
      <c r="I695" s="25" t="s">
        <v>6105</v>
      </c>
    </row>
    <row r="696" spans="3:9" x14ac:dyDescent="0.2">
      <c r="C696" t="s">
        <v>8349</v>
      </c>
      <c r="D696" t="s">
        <v>6106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8349</v>
      </c>
      <c r="D697" t="s">
        <v>6107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8349</v>
      </c>
      <c r="D698" t="s">
        <v>6108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8349</v>
      </c>
      <c r="D699" t="s">
        <v>6109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8349</v>
      </c>
      <c r="D700" t="s">
        <v>6110</v>
      </c>
      <c r="F700" s="21"/>
      <c r="H700" t="str">
        <f t="shared" si="10"/>
        <v/>
      </c>
      <c r="I700" s="25" t="s">
        <v>6110</v>
      </c>
    </row>
    <row r="701" spans="3:9" x14ac:dyDescent="0.2">
      <c r="C701" t="s">
        <v>8349</v>
      </c>
      <c r="D701" t="s">
        <v>6111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8349</v>
      </c>
      <c r="D702" t="s">
        <v>6112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8349</v>
      </c>
      <c r="D703" t="s">
        <v>6113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8349</v>
      </c>
      <c r="D704" t="s">
        <v>6114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8349</v>
      </c>
      <c r="D705" t="s">
        <v>6115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8349</v>
      </c>
      <c r="D706" t="s">
        <v>6116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8349</v>
      </c>
      <c r="D707" t="s">
        <v>6117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8349</v>
      </c>
      <c r="D708" t="s">
        <v>6118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8349</v>
      </c>
      <c r="D709" t="s">
        <v>6119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8349</v>
      </c>
      <c r="D710" t="s">
        <v>6120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8349</v>
      </c>
      <c r="D711" t="s">
        <v>6121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8349</v>
      </c>
      <c r="D712" t="s">
        <v>6122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8349</v>
      </c>
      <c r="D713" t="s">
        <v>6123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8349</v>
      </c>
      <c r="D714" t="s">
        <v>6124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8349</v>
      </c>
      <c r="D715" t="s">
        <v>6125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8349</v>
      </c>
      <c r="D716" t="s">
        <v>6126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8349</v>
      </c>
      <c r="D717" t="s">
        <v>6127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8349</v>
      </c>
      <c r="D718" t="s">
        <v>6128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8349</v>
      </c>
      <c r="D719" t="s">
        <v>6129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8349</v>
      </c>
      <c r="D720" t="s">
        <v>6130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8349</v>
      </c>
      <c r="D721" t="s">
        <v>6131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8349</v>
      </c>
      <c r="D722" t="s">
        <v>6132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8349</v>
      </c>
      <c r="D723" t="s">
        <v>6133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8349</v>
      </c>
      <c r="D724" t="s">
        <v>6134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8349</v>
      </c>
      <c r="D725" t="s">
        <v>6135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8349</v>
      </c>
      <c r="D726" t="s">
        <v>6136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8349</v>
      </c>
      <c r="D727" t="s">
        <v>6137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8349</v>
      </c>
      <c r="D728" t="s">
        <v>6138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8349</v>
      </c>
      <c r="D729" t="s">
        <v>6139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8349</v>
      </c>
      <c r="D730" t="s">
        <v>6140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8349</v>
      </c>
      <c r="D731" t="s">
        <v>6141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8349</v>
      </c>
      <c r="D732" t="s">
        <v>6142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8349</v>
      </c>
      <c r="D733" t="s">
        <v>6143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8349</v>
      </c>
      <c r="D734" t="s">
        <v>6144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8349</v>
      </c>
      <c r="D735" t="s">
        <v>6145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8349</v>
      </c>
      <c r="D736" t="s">
        <v>6146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8349</v>
      </c>
      <c r="D737" t="s">
        <v>6147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8349</v>
      </c>
      <c r="D738" t="s">
        <v>6148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8349</v>
      </c>
      <c r="D739" t="s">
        <v>6149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8349</v>
      </c>
      <c r="D740" t="s">
        <v>6150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8349</v>
      </c>
      <c r="D741" t="s">
        <v>6151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8349</v>
      </c>
      <c r="D742" t="s">
        <v>6152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8349</v>
      </c>
      <c r="D743" t="s">
        <v>6153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8349</v>
      </c>
      <c r="D744" t="s">
        <v>6154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8349</v>
      </c>
      <c r="D745" t="s">
        <v>6155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8349</v>
      </c>
      <c r="D746" t="s">
        <v>6156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8349</v>
      </c>
      <c r="D747" t="s">
        <v>6157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8349</v>
      </c>
      <c r="D748" t="s">
        <v>6158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8349</v>
      </c>
      <c r="D749" t="s">
        <v>6159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8349</v>
      </c>
      <c r="D750" t="s">
        <v>6160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8349</v>
      </c>
      <c r="D751" t="s">
        <v>6161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8349</v>
      </c>
      <c r="D752" t="s">
        <v>6162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8349</v>
      </c>
      <c r="D753" t="s">
        <v>6163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8349</v>
      </c>
      <c r="D754" t="s">
        <v>6164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8349</v>
      </c>
      <c r="D755" t="s">
        <v>6165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8349</v>
      </c>
      <c r="D756" t="s">
        <v>6166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8349</v>
      </c>
      <c r="D757" t="s">
        <v>6167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8349</v>
      </c>
      <c r="D758" t="s">
        <v>6168</v>
      </c>
      <c r="F758" s="21"/>
      <c r="H758" t="str">
        <f t="shared" si="11"/>
        <v>420C</v>
      </c>
      <c r="I758" s="25" t="s">
        <v>8316</v>
      </c>
    </row>
    <row r="759" spans="3:9" x14ac:dyDescent="0.2">
      <c r="C759" t="s">
        <v>8349</v>
      </c>
      <c r="D759" t="s">
        <v>6169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8349</v>
      </c>
      <c r="D760" t="s">
        <v>6170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8349</v>
      </c>
      <c r="D761" t="s">
        <v>6171</v>
      </c>
      <c r="F761" s="21"/>
      <c r="H761" t="str">
        <f t="shared" si="11"/>
        <v>425E</v>
      </c>
      <c r="I761" s="25" t="s">
        <v>8313</v>
      </c>
    </row>
    <row r="762" spans="3:9" x14ac:dyDescent="0.2">
      <c r="C762" t="s">
        <v>8349</v>
      </c>
      <c r="D762" t="s">
        <v>6172</v>
      </c>
      <c r="F762" s="21"/>
      <c r="H762" t="str">
        <f t="shared" si="11"/>
        <v>427C</v>
      </c>
      <c r="I762" s="25" t="s">
        <v>8314</v>
      </c>
    </row>
    <row r="763" spans="3:9" x14ac:dyDescent="0.2">
      <c r="C763" t="s">
        <v>8349</v>
      </c>
      <c r="D763" t="s">
        <v>6173</v>
      </c>
      <c r="F763" s="21"/>
      <c r="H763" t="str">
        <f t="shared" si="11"/>
        <v>42B8</v>
      </c>
      <c r="I763" s="25" t="s">
        <v>8315</v>
      </c>
    </row>
    <row r="764" spans="3:9" x14ac:dyDescent="0.2">
      <c r="C764" t="s">
        <v>8349</v>
      </c>
      <c r="D764" t="s">
        <v>6174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8349</v>
      </c>
      <c r="D765" t="s">
        <v>6175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8349</v>
      </c>
      <c r="D766" t="s">
        <v>6176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8349</v>
      </c>
      <c r="D767" t="s">
        <v>6177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8349</v>
      </c>
      <c r="D768" t="s">
        <v>6178</v>
      </c>
      <c r="F768" s="21"/>
      <c r="H768" t="str">
        <f t="shared" si="11"/>
        <v>432A</v>
      </c>
      <c r="I768" s="25" t="s">
        <v>8312</v>
      </c>
    </row>
    <row r="769" spans="3:9" x14ac:dyDescent="0.2">
      <c r="C769" t="s">
        <v>8349</v>
      </c>
      <c r="D769" t="s">
        <v>6179</v>
      </c>
      <c r="F769" s="21"/>
      <c r="H769" t="str">
        <f t="shared" si="11"/>
        <v>4376</v>
      </c>
      <c r="I769" s="25" t="s">
        <v>8025</v>
      </c>
    </row>
    <row r="770" spans="3:9" x14ac:dyDescent="0.2">
      <c r="C770" t="s">
        <v>8349</v>
      </c>
      <c r="D770" t="s">
        <v>6180</v>
      </c>
      <c r="F770" s="21"/>
      <c r="H770" t="str">
        <f t="shared" ref="H770:H833" si="12">IFERROR(DEC2HEX(IF(LEFT(D770,3)="adr",HEX2DEC(LEFT(RIGHT(D770,6),6)),"")),"")</f>
        <v>437E</v>
      </c>
      <c r="I770" s="25" t="s">
        <v>8486</v>
      </c>
    </row>
    <row r="771" spans="3:9" x14ac:dyDescent="0.2">
      <c r="C771" t="s">
        <v>8349</v>
      </c>
      <c r="D771" t="s">
        <v>6181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8349</v>
      </c>
      <c r="D772" t="s">
        <v>6182</v>
      </c>
      <c r="F772" s="21"/>
      <c r="H772" t="str">
        <f t="shared" si="12"/>
        <v>43A4</v>
      </c>
      <c r="I772" s="25" t="s">
        <v>8218</v>
      </c>
    </row>
    <row r="773" spans="3:9" x14ac:dyDescent="0.2">
      <c r="C773" t="s">
        <v>8349</v>
      </c>
      <c r="D773" t="s">
        <v>6183</v>
      </c>
      <c r="F773" s="21"/>
      <c r="H773" t="str">
        <f t="shared" si="12"/>
        <v>43BA</v>
      </c>
      <c r="I773" s="25" t="s">
        <v>8217</v>
      </c>
    </row>
    <row r="774" spans="3:9" x14ac:dyDescent="0.2">
      <c r="C774" t="s">
        <v>8349</v>
      </c>
      <c r="D774" t="s">
        <v>6184</v>
      </c>
      <c r="F774" s="21"/>
      <c r="H774" t="str">
        <f t="shared" si="12"/>
        <v>43CC</v>
      </c>
      <c r="I774" s="25" t="s">
        <v>8488</v>
      </c>
    </row>
    <row r="775" spans="3:9" x14ac:dyDescent="0.2">
      <c r="C775" t="s">
        <v>8349</v>
      </c>
      <c r="D775" t="s">
        <v>6185</v>
      </c>
      <c r="F775" s="21"/>
      <c r="H775" t="str">
        <f t="shared" si="12"/>
        <v>43DC</v>
      </c>
      <c r="I775" s="25" t="s">
        <v>8487</v>
      </c>
    </row>
    <row r="776" spans="3:9" x14ac:dyDescent="0.2">
      <c r="C776" t="s">
        <v>8349</v>
      </c>
      <c r="D776" t="s">
        <v>6186</v>
      </c>
      <c r="F776" s="21"/>
      <c r="H776" t="str">
        <f t="shared" si="12"/>
        <v>43E2</v>
      </c>
    </row>
    <row r="777" spans="3:9" x14ac:dyDescent="0.2">
      <c r="C777" t="s">
        <v>8349</v>
      </c>
      <c r="D777" t="s">
        <v>6187</v>
      </c>
      <c r="F777" s="21"/>
      <c r="H777" t="str">
        <f t="shared" si="12"/>
        <v>43FC</v>
      </c>
      <c r="I777" s="25" t="s">
        <v>8025</v>
      </c>
    </row>
    <row r="778" spans="3:9" x14ac:dyDescent="0.2">
      <c r="C778" t="s">
        <v>8349</v>
      </c>
      <c r="D778" t="s">
        <v>6188</v>
      </c>
      <c r="F778" s="21"/>
      <c r="H778" t="str">
        <f t="shared" si="12"/>
        <v>4406</v>
      </c>
      <c r="I778" s="25" t="s">
        <v>8509</v>
      </c>
    </row>
    <row r="779" spans="3:9" x14ac:dyDescent="0.2">
      <c r="C779" t="s">
        <v>8349</v>
      </c>
      <c r="D779" t="s">
        <v>6189</v>
      </c>
      <c r="F779" s="21"/>
      <c r="H779" t="str">
        <f t="shared" si="12"/>
        <v>4422</v>
      </c>
      <c r="I779" s="25" t="s">
        <v>8508</v>
      </c>
    </row>
    <row r="780" spans="3:9" x14ac:dyDescent="0.2">
      <c r="C780" t="s">
        <v>8349</v>
      </c>
      <c r="D780" t="s">
        <v>6190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8349</v>
      </c>
      <c r="D781" t="s">
        <v>6191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8349</v>
      </c>
      <c r="D782" t="s">
        <v>6192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8349</v>
      </c>
      <c r="D783" t="s">
        <v>6193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8349</v>
      </c>
      <c r="D784" t="s">
        <v>6194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8349</v>
      </c>
      <c r="D785" t="s">
        <v>6195</v>
      </c>
      <c r="F785" s="21"/>
      <c r="H785" t="str">
        <f t="shared" si="12"/>
        <v/>
      </c>
      <c r="I785" s="25" t="s">
        <v>6195</v>
      </c>
    </row>
    <row r="786" spans="3:9" x14ac:dyDescent="0.2">
      <c r="C786" t="s">
        <v>8349</v>
      </c>
      <c r="D786" t="s">
        <v>6196</v>
      </c>
      <c r="F786" s="21"/>
      <c r="H786" t="str">
        <f t="shared" si="12"/>
        <v/>
      </c>
      <c r="I786" s="25" t="s">
        <v>6196</v>
      </c>
    </row>
    <row r="787" spans="3:9" x14ac:dyDescent="0.2">
      <c r="C787" t="s">
        <v>8349</v>
      </c>
      <c r="D787" t="s">
        <v>6197</v>
      </c>
      <c r="F787" s="21"/>
      <c r="H787" t="str">
        <f t="shared" si="12"/>
        <v/>
      </c>
      <c r="I787" s="25" t="s">
        <v>6197</v>
      </c>
    </row>
    <row r="788" spans="3:9" x14ac:dyDescent="0.2">
      <c r="C788" t="s">
        <v>8349</v>
      </c>
      <c r="D788" t="s">
        <v>6198</v>
      </c>
      <c r="F788" s="21"/>
      <c r="H788" t="str">
        <f t="shared" si="12"/>
        <v>4536</v>
      </c>
      <c r="I788" s="25" t="s">
        <v>8311</v>
      </c>
    </row>
    <row r="789" spans="3:9" x14ac:dyDescent="0.2">
      <c r="C789" t="s">
        <v>8349</v>
      </c>
      <c r="D789" t="s">
        <v>6199</v>
      </c>
      <c r="F789" s="21"/>
      <c r="H789" t="str">
        <f t="shared" si="12"/>
        <v>4554</v>
      </c>
    </row>
    <row r="790" spans="3:9" x14ac:dyDescent="0.2">
      <c r="C790" t="s">
        <v>8349</v>
      </c>
      <c r="D790" t="s">
        <v>6200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8349</v>
      </c>
      <c r="D791" t="s">
        <v>6201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8349</v>
      </c>
      <c r="D792" t="s">
        <v>6202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8349</v>
      </c>
      <c r="D793" t="s">
        <v>6203</v>
      </c>
      <c r="F793" s="21"/>
      <c r="H793" t="str">
        <f t="shared" si="12"/>
        <v>45C4</v>
      </c>
      <c r="I793" s="25" t="s">
        <v>8248</v>
      </c>
    </row>
    <row r="794" spans="3:9" x14ac:dyDescent="0.2">
      <c r="C794" t="s">
        <v>8349</v>
      </c>
      <c r="D794" t="s">
        <v>6204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8349</v>
      </c>
      <c r="D795" t="s">
        <v>6205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8349</v>
      </c>
      <c r="D796" t="s">
        <v>6206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8349</v>
      </c>
      <c r="D797" t="s">
        <v>6207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8349</v>
      </c>
      <c r="D798" t="s">
        <v>6208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8349</v>
      </c>
      <c r="D799" t="s">
        <v>6209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8349</v>
      </c>
      <c r="D800" t="s">
        <v>6210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8349</v>
      </c>
      <c r="D801" t="s">
        <v>6211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8349</v>
      </c>
      <c r="D802" t="s">
        <v>6212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8349</v>
      </c>
      <c r="D803" t="s">
        <v>6213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8349</v>
      </c>
      <c r="D804" t="s">
        <v>6214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8349</v>
      </c>
      <c r="D805" t="s">
        <v>6215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8349</v>
      </c>
      <c r="D806" t="s">
        <v>6216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8349</v>
      </c>
      <c r="D807" t="s">
        <v>6217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8349</v>
      </c>
      <c r="D808" t="s">
        <v>6218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8349</v>
      </c>
      <c r="D809" t="s">
        <v>6219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8349</v>
      </c>
      <c r="D810" t="s">
        <v>6220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8349</v>
      </c>
      <c r="D811" t="s">
        <v>6221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8349</v>
      </c>
      <c r="D812" t="s">
        <v>6222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8349</v>
      </c>
      <c r="D813" t="s">
        <v>6223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8349</v>
      </c>
      <c r="D814" t="s">
        <v>6224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8349</v>
      </c>
      <c r="D815" t="s">
        <v>6225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8349</v>
      </c>
      <c r="D816" t="s">
        <v>6226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8349</v>
      </c>
      <c r="D817" t="s">
        <v>6227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8349</v>
      </c>
      <c r="D818" t="s">
        <v>6228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8349</v>
      </c>
      <c r="D819" t="s">
        <v>6229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8349</v>
      </c>
      <c r="D820" t="s">
        <v>6230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8349</v>
      </c>
      <c r="D821" t="s">
        <v>6231</v>
      </c>
      <c r="F821" s="21"/>
      <c r="H821" t="str">
        <f t="shared" si="12"/>
        <v/>
      </c>
      <c r="I821" s="25" t="s">
        <v>6231</v>
      </c>
    </row>
    <row r="822" spans="3:9" x14ac:dyDescent="0.2">
      <c r="C822" t="s">
        <v>8349</v>
      </c>
      <c r="D822" t="s">
        <v>6232</v>
      </c>
      <c r="F822" s="21"/>
      <c r="H822" t="str">
        <f t="shared" si="12"/>
        <v/>
      </c>
      <c r="I822" s="25" t="s">
        <v>6232</v>
      </c>
    </row>
    <row r="823" spans="3:9" x14ac:dyDescent="0.2">
      <c r="C823" t="s">
        <v>8349</v>
      </c>
      <c r="D823" t="s">
        <v>6233</v>
      </c>
      <c r="F823" s="21"/>
      <c r="H823" t="str">
        <f t="shared" si="12"/>
        <v/>
      </c>
      <c r="I823" s="25" t="s">
        <v>6233</v>
      </c>
    </row>
    <row r="824" spans="3:9" x14ac:dyDescent="0.2">
      <c r="C824" t="s">
        <v>8349</v>
      </c>
      <c r="D824" t="s">
        <v>6234</v>
      </c>
      <c r="F824" s="21"/>
      <c r="H824" t="str">
        <f t="shared" si="12"/>
        <v/>
      </c>
      <c r="I824" s="25" t="s">
        <v>6234</v>
      </c>
    </row>
    <row r="825" spans="3:9" x14ac:dyDescent="0.2">
      <c r="C825" t="s">
        <v>8349</v>
      </c>
      <c r="D825" t="s">
        <v>6235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8349</v>
      </c>
      <c r="D826" t="s">
        <v>6236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8349</v>
      </c>
      <c r="D827" t="s">
        <v>6237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8349</v>
      </c>
      <c r="D828" t="s">
        <v>6238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8349</v>
      </c>
      <c r="D829" t="s">
        <v>6239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8349</v>
      </c>
      <c r="D830" t="s">
        <v>6240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8349</v>
      </c>
      <c r="D831" t="s">
        <v>6241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8349</v>
      </c>
      <c r="D832" t="s">
        <v>6242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8349</v>
      </c>
      <c r="D833" t="s">
        <v>6243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8349</v>
      </c>
      <c r="D834" t="s">
        <v>6244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8349</v>
      </c>
      <c r="D835" t="s">
        <v>6245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8349</v>
      </c>
      <c r="D836" t="s">
        <v>6246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8349</v>
      </c>
      <c r="D837" t="s">
        <v>6247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8349</v>
      </c>
      <c r="D838" t="s">
        <v>6248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8349</v>
      </c>
      <c r="D839" t="s">
        <v>6249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8349</v>
      </c>
      <c r="D840" t="s">
        <v>6250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8349</v>
      </c>
      <c r="D841" t="s">
        <v>6251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8349</v>
      </c>
      <c r="D842" t="s">
        <v>6252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8349</v>
      </c>
      <c r="D843" t="s">
        <v>6253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8349</v>
      </c>
      <c r="D844" t="s">
        <v>6254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8349</v>
      </c>
      <c r="D845" t="s">
        <v>6255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8349</v>
      </c>
      <c r="D846" t="s">
        <v>6256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8349</v>
      </c>
      <c r="D847" t="s">
        <v>6257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8349</v>
      </c>
      <c r="D848" t="s">
        <v>6258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8349</v>
      </c>
      <c r="D849" t="s">
        <v>6259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8349</v>
      </c>
      <c r="D850" t="s">
        <v>6260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8349</v>
      </c>
      <c r="D851" t="s">
        <v>6261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8349</v>
      </c>
      <c r="D852" t="s">
        <v>6262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8349</v>
      </c>
      <c r="D853" t="s">
        <v>6263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8349</v>
      </c>
      <c r="D854" t="s">
        <v>6264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8349</v>
      </c>
      <c r="D855" t="s">
        <v>6265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8349</v>
      </c>
      <c r="D856" t="s">
        <v>6266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8349</v>
      </c>
      <c r="D857" t="s">
        <v>6267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8349</v>
      </c>
      <c r="D858" t="s">
        <v>6268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8349</v>
      </c>
      <c r="D859" t="s">
        <v>6269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8349</v>
      </c>
      <c r="D860" t="s">
        <v>6270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8349</v>
      </c>
      <c r="D861" t="s">
        <v>6271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8349</v>
      </c>
      <c r="D862" t="s">
        <v>6272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8349</v>
      </c>
      <c r="D863" t="s">
        <v>6273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8349</v>
      </c>
      <c r="D864" t="s">
        <v>6274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8349</v>
      </c>
      <c r="D865" t="s">
        <v>6275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8349</v>
      </c>
      <c r="D866" t="s">
        <v>6276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8349</v>
      </c>
      <c r="D867" t="s">
        <v>6277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8349</v>
      </c>
      <c r="D868" t="s">
        <v>6278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8349</v>
      </c>
      <c r="D869" t="s">
        <v>6279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8349</v>
      </c>
      <c r="D870" t="s">
        <v>6280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8349</v>
      </c>
      <c r="D871" t="s">
        <v>6281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8349</v>
      </c>
      <c r="D872" t="s">
        <v>6282</v>
      </c>
      <c r="F872" s="21"/>
      <c r="H872" t="str">
        <f t="shared" si="13"/>
        <v>4E7A</v>
      </c>
      <c r="I872" s="25" t="s">
        <v>8318</v>
      </c>
    </row>
    <row r="873" spans="3:9" x14ac:dyDescent="0.2">
      <c r="C873" t="s">
        <v>8349</v>
      </c>
      <c r="D873" t="s">
        <v>6283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8349</v>
      </c>
      <c r="D874" t="s">
        <v>6284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8349</v>
      </c>
      <c r="D875" t="s">
        <v>6285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8349</v>
      </c>
      <c r="D876" t="s">
        <v>6286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8349</v>
      </c>
      <c r="D877" t="s">
        <v>6287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8349</v>
      </c>
      <c r="D878" t="s">
        <v>6288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8349</v>
      </c>
      <c r="D879" t="s">
        <v>6289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8349</v>
      </c>
      <c r="D880" t="s">
        <v>6290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8349</v>
      </c>
      <c r="D881" t="s">
        <v>6291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8349</v>
      </c>
      <c r="D882" t="s">
        <v>6292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8349</v>
      </c>
      <c r="D883" t="s">
        <v>6293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8349</v>
      </c>
      <c r="D884" t="s">
        <v>6294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8349</v>
      </c>
      <c r="D885" t="s">
        <v>6295</v>
      </c>
      <c r="F885" s="21"/>
      <c r="H885" t="str">
        <f t="shared" si="13"/>
        <v>4FB0</v>
      </c>
      <c r="I885" s="25" t="s">
        <v>8513</v>
      </c>
    </row>
    <row r="886" spans="3:9" x14ac:dyDescent="0.2">
      <c r="C886" t="s">
        <v>8349</v>
      </c>
      <c r="D886" t="s">
        <v>6296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8349</v>
      </c>
      <c r="D887" t="s">
        <v>6297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8349</v>
      </c>
      <c r="D888" t="s">
        <v>6298</v>
      </c>
      <c r="F888" s="21"/>
      <c r="H888" t="str">
        <f t="shared" si="13"/>
        <v>4FD6</v>
      </c>
      <c r="I888" s="25" t="s">
        <v>8512</v>
      </c>
    </row>
    <row r="889" spans="3:9" x14ac:dyDescent="0.2">
      <c r="C889" t="s">
        <v>8349</v>
      </c>
      <c r="D889" t="s">
        <v>6299</v>
      </c>
      <c r="F889" s="21"/>
      <c r="H889" t="str">
        <f t="shared" si="13"/>
        <v>4FEE</v>
      </c>
      <c r="I889" s="25" t="s">
        <v>8540</v>
      </c>
    </row>
    <row r="890" spans="3:9" x14ac:dyDescent="0.2">
      <c r="C890" t="s">
        <v>8349</v>
      </c>
      <c r="D890" t="s">
        <v>6300</v>
      </c>
      <c r="F890" s="21"/>
      <c r="H890" t="str">
        <f t="shared" si="13"/>
        <v/>
      </c>
      <c r="I890" s="25" t="s">
        <v>6300</v>
      </c>
    </row>
    <row r="891" spans="3:9" x14ac:dyDescent="0.2">
      <c r="C891" t="s">
        <v>8349</v>
      </c>
      <c r="D891" t="s">
        <v>6301</v>
      </c>
      <c r="F891" s="21"/>
      <c r="H891" t="str">
        <f t="shared" si="13"/>
        <v>500C</v>
      </c>
      <c r="I891" s="25" t="s">
        <v>8136</v>
      </c>
    </row>
    <row r="892" spans="3:9" x14ac:dyDescent="0.2">
      <c r="C892" t="s">
        <v>8349</v>
      </c>
      <c r="D892" t="s">
        <v>6302</v>
      </c>
      <c r="F892" s="21"/>
      <c r="H892" t="str">
        <f t="shared" si="13"/>
        <v/>
      </c>
      <c r="I892" s="25" t="s">
        <v>6302</v>
      </c>
    </row>
    <row r="893" spans="3:9" x14ac:dyDescent="0.2">
      <c r="C893" t="s">
        <v>8349</v>
      </c>
      <c r="D893" t="s">
        <v>6303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8349</v>
      </c>
      <c r="D894" t="s">
        <v>6304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8349</v>
      </c>
      <c r="D895" t="s">
        <v>6305</v>
      </c>
      <c r="F895" s="21"/>
      <c r="H895" t="str">
        <f t="shared" si="13"/>
        <v>505C</v>
      </c>
      <c r="I895" s="25" t="s">
        <v>8175</v>
      </c>
    </row>
    <row r="896" spans="3:9" x14ac:dyDescent="0.2">
      <c r="C896" t="s">
        <v>8349</v>
      </c>
      <c r="D896" t="s">
        <v>6306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8349</v>
      </c>
      <c r="D897" t="s">
        <v>6307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8349</v>
      </c>
      <c r="D898" t="s">
        <v>6308</v>
      </c>
      <c r="F898" s="21"/>
      <c r="H898" t="str">
        <f t="shared" ref="H898:H961" si="14">IFERROR(DEC2HEX(IF(LEFT(D898,3)="adr",HEX2DEC(LEFT(RIGHT(D898,6),6)),"")),"")</f>
        <v>507E</v>
      </c>
      <c r="I898" s="25" t="s">
        <v>8176</v>
      </c>
    </row>
    <row r="899" spans="3:9" x14ac:dyDescent="0.2">
      <c r="C899" t="s">
        <v>8349</v>
      </c>
      <c r="D899" t="s">
        <v>6309</v>
      </c>
      <c r="F899" s="21"/>
      <c r="H899" t="str">
        <f t="shared" si="14"/>
        <v>5086</v>
      </c>
      <c r="I899" s="25" t="s">
        <v>8177</v>
      </c>
    </row>
    <row r="900" spans="3:9" x14ac:dyDescent="0.2">
      <c r="C900" t="s">
        <v>8349</v>
      </c>
      <c r="D900" t="s">
        <v>6310</v>
      </c>
      <c r="F900" s="21"/>
      <c r="H900" t="str">
        <f t="shared" si="14"/>
        <v>508E</v>
      </c>
      <c r="I900" s="25" t="s">
        <v>8178</v>
      </c>
    </row>
    <row r="901" spans="3:9" x14ac:dyDescent="0.2">
      <c r="C901" t="s">
        <v>8349</v>
      </c>
      <c r="D901" t="s">
        <v>6311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8349</v>
      </c>
      <c r="D902" t="s">
        <v>6312</v>
      </c>
      <c r="F902" s="21"/>
      <c r="H902" t="str">
        <f t="shared" si="14"/>
        <v>50BE</v>
      </c>
      <c r="I902" s="25" t="s">
        <v>8179</v>
      </c>
    </row>
    <row r="903" spans="3:9" x14ac:dyDescent="0.2">
      <c r="C903" t="s">
        <v>8349</v>
      </c>
      <c r="D903" t="s">
        <v>6313</v>
      </c>
      <c r="F903" s="21"/>
      <c r="H903" t="str">
        <f t="shared" si="14"/>
        <v>50C2</v>
      </c>
      <c r="I903" s="25" t="s">
        <v>8180</v>
      </c>
    </row>
    <row r="904" spans="3:9" x14ac:dyDescent="0.2">
      <c r="C904" t="s">
        <v>8349</v>
      </c>
      <c r="D904" t="s">
        <v>6314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8349</v>
      </c>
      <c r="D905" t="s">
        <v>6315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8349</v>
      </c>
      <c r="D906" t="s">
        <v>6316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8349</v>
      </c>
      <c r="D907" t="s">
        <v>6317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8349</v>
      </c>
      <c r="D908" t="s">
        <v>6318</v>
      </c>
      <c r="F908" s="21"/>
      <c r="H908" t="str">
        <f t="shared" si="14"/>
        <v>5136</v>
      </c>
      <c r="I908" s="25" t="s">
        <v>8181</v>
      </c>
    </row>
    <row r="909" spans="3:9" x14ac:dyDescent="0.2">
      <c r="C909" t="s">
        <v>8349</v>
      </c>
      <c r="D909" t="s">
        <v>6319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8349</v>
      </c>
      <c r="D910" t="s">
        <v>6320</v>
      </c>
      <c r="F910" s="21"/>
      <c r="H910" t="str">
        <f t="shared" si="14"/>
        <v>5152</v>
      </c>
      <c r="I910" s="25" t="s">
        <v>8182</v>
      </c>
    </row>
    <row r="911" spans="3:9" x14ac:dyDescent="0.2">
      <c r="C911" t="s">
        <v>8349</v>
      </c>
      <c r="D911" t="s">
        <v>6321</v>
      </c>
      <c r="F911" s="21"/>
      <c r="H911" t="str">
        <f t="shared" si="14"/>
        <v>5158</v>
      </c>
      <c r="I911" s="25" t="s">
        <v>8183</v>
      </c>
    </row>
    <row r="912" spans="3:9" x14ac:dyDescent="0.2">
      <c r="C912" t="s">
        <v>8349</v>
      </c>
      <c r="D912" t="s">
        <v>6322</v>
      </c>
      <c r="F912" s="21"/>
      <c r="H912" t="str">
        <f t="shared" si="14"/>
        <v>5162</v>
      </c>
      <c r="I912" s="25" t="s">
        <v>8184</v>
      </c>
    </row>
    <row r="913" spans="3:9" x14ac:dyDescent="0.2">
      <c r="C913" t="s">
        <v>8349</v>
      </c>
      <c r="D913" t="s">
        <v>6323</v>
      </c>
      <c r="F913" s="21"/>
      <c r="H913" t="str">
        <f t="shared" si="14"/>
        <v>5168</v>
      </c>
      <c r="I913" s="25" t="s">
        <v>8185</v>
      </c>
    </row>
    <row r="914" spans="3:9" x14ac:dyDescent="0.2">
      <c r="C914" t="s">
        <v>8349</v>
      </c>
      <c r="D914" t="s">
        <v>6324</v>
      </c>
      <c r="F914" s="21"/>
      <c r="H914" t="str">
        <f t="shared" si="14"/>
        <v>5170</v>
      </c>
      <c r="I914" s="25" t="s">
        <v>8186</v>
      </c>
    </row>
    <row r="915" spans="3:9" x14ac:dyDescent="0.2">
      <c r="C915" t="s">
        <v>8349</v>
      </c>
      <c r="D915" t="s">
        <v>6325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8349</v>
      </c>
      <c r="D916" t="s">
        <v>6326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8349</v>
      </c>
      <c r="D917" t="s">
        <v>6327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8349</v>
      </c>
      <c r="D918" t="s">
        <v>6328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8349</v>
      </c>
      <c r="D919" t="s">
        <v>6329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8349</v>
      </c>
      <c r="D920" t="s">
        <v>6330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8349</v>
      </c>
      <c r="D921" t="s">
        <v>6331</v>
      </c>
      <c r="F921" s="21"/>
      <c r="H921" t="str">
        <f t="shared" si="14"/>
        <v>51D0</v>
      </c>
      <c r="I921" s="25" t="s">
        <v>8187</v>
      </c>
    </row>
    <row r="922" spans="3:9" x14ac:dyDescent="0.2">
      <c r="C922" t="s">
        <v>8349</v>
      </c>
      <c r="D922" t="s">
        <v>6332</v>
      </c>
      <c r="F922" s="21"/>
      <c r="H922" t="str">
        <f t="shared" si="14"/>
        <v>51D8</v>
      </c>
      <c r="I922" s="25" t="s">
        <v>8188</v>
      </c>
    </row>
    <row r="923" spans="3:9" x14ac:dyDescent="0.2">
      <c r="C923" t="s">
        <v>8349</v>
      </c>
      <c r="D923" t="s">
        <v>6333</v>
      </c>
      <c r="F923" s="21"/>
      <c r="H923" t="str">
        <f t="shared" si="14"/>
        <v>51DE</v>
      </c>
      <c r="I923" s="25" t="s">
        <v>8189</v>
      </c>
    </row>
    <row r="924" spans="3:9" x14ac:dyDescent="0.2">
      <c r="C924" t="s">
        <v>8349</v>
      </c>
      <c r="D924" t="s">
        <v>6334</v>
      </c>
      <c r="F924" s="21"/>
      <c r="H924" t="str">
        <f t="shared" si="14"/>
        <v>51E4</v>
      </c>
      <c r="I924" s="25" t="s">
        <v>8190</v>
      </c>
    </row>
    <row r="925" spans="3:9" x14ac:dyDescent="0.2">
      <c r="C925" t="s">
        <v>8349</v>
      </c>
      <c r="D925" t="s">
        <v>6335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8349</v>
      </c>
      <c r="D926" t="s">
        <v>6336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8349</v>
      </c>
      <c r="D927" t="s">
        <v>6337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8349</v>
      </c>
      <c r="D928" t="s">
        <v>6338</v>
      </c>
      <c r="F928" s="21"/>
      <c r="H928" t="str">
        <f t="shared" si="14"/>
        <v>5226</v>
      </c>
      <c r="I928" s="25" t="s">
        <v>8191</v>
      </c>
    </row>
    <row r="929" spans="3:9" x14ac:dyDescent="0.2">
      <c r="C929" t="s">
        <v>8349</v>
      </c>
      <c r="D929" t="s">
        <v>6339</v>
      </c>
      <c r="F929" s="21"/>
      <c r="H929" t="str">
        <f t="shared" si="14"/>
        <v>522C</v>
      </c>
      <c r="I929" s="25" t="s">
        <v>8192</v>
      </c>
    </row>
    <row r="930" spans="3:9" x14ac:dyDescent="0.2">
      <c r="C930" t="s">
        <v>8349</v>
      </c>
      <c r="D930" t="s">
        <v>6340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8349</v>
      </c>
      <c r="D931" t="s">
        <v>6341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8349</v>
      </c>
      <c r="D932" t="s">
        <v>6342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8349</v>
      </c>
      <c r="D933" t="s">
        <v>6343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8349</v>
      </c>
      <c r="D934" t="s">
        <v>6344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8349</v>
      </c>
      <c r="D935" t="s">
        <v>6345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8349</v>
      </c>
      <c r="D936" t="s">
        <v>6346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8349</v>
      </c>
      <c r="D937" t="s">
        <v>6347</v>
      </c>
      <c r="F937" s="21"/>
      <c r="H937" t="str">
        <f t="shared" si="14"/>
        <v>527E</v>
      </c>
      <c r="I937" s="25" t="s">
        <v>8193</v>
      </c>
    </row>
    <row r="938" spans="3:9" x14ac:dyDescent="0.2">
      <c r="C938" t="s">
        <v>8349</v>
      </c>
      <c r="D938" t="s">
        <v>6348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8349</v>
      </c>
      <c r="D939" t="s">
        <v>6349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8349</v>
      </c>
      <c r="D940" t="s">
        <v>6350</v>
      </c>
      <c r="F940" s="21"/>
      <c r="H940" t="str">
        <f t="shared" si="14"/>
        <v>52B4</v>
      </c>
      <c r="I940" s="25" t="s">
        <v>8194</v>
      </c>
    </row>
    <row r="941" spans="3:9" x14ac:dyDescent="0.2">
      <c r="C941" t="s">
        <v>8349</v>
      </c>
      <c r="D941" t="s">
        <v>6351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8349</v>
      </c>
      <c r="D942" t="s">
        <v>6352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8349</v>
      </c>
      <c r="D943" t="s">
        <v>6353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8349</v>
      </c>
      <c r="D944" t="s">
        <v>6354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8349</v>
      </c>
      <c r="D945" t="s">
        <v>6355</v>
      </c>
      <c r="F945" s="21"/>
      <c r="H945" t="str">
        <f t="shared" si="14"/>
        <v>52F4</v>
      </c>
      <c r="I945" s="25" t="s">
        <v>8195</v>
      </c>
    </row>
    <row r="946" spans="3:9" x14ac:dyDescent="0.2">
      <c r="C946" t="s">
        <v>8349</v>
      </c>
      <c r="D946" t="s">
        <v>6356</v>
      </c>
      <c r="F946" s="21"/>
      <c r="H946" t="str">
        <f t="shared" si="14"/>
        <v>52FC</v>
      </c>
      <c r="I946" s="25" t="s">
        <v>8196</v>
      </c>
    </row>
    <row r="947" spans="3:9" x14ac:dyDescent="0.2">
      <c r="C947" t="s">
        <v>8349</v>
      </c>
      <c r="D947" t="s">
        <v>6357</v>
      </c>
      <c r="F947" s="21"/>
      <c r="H947" t="str">
        <f t="shared" si="14"/>
        <v>5302</v>
      </c>
      <c r="I947" s="25" t="s">
        <v>8197</v>
      </c>
    </row>
    <row r="948" spans="3:9" x14ac:dyDescent="0.2">
      <c r="C948" t="s">
        <v>8349</v>
      </c>
      <c r="D948" t="s">
        <v>6358</v>
      </c>
      <c r="F948" s="21"/>
      <c r="H948" t="str">
        <f t="shared" si="14"/>
        <v>5308</v>
      </c>
      <c r="I948" s="25" t="s">
        <v>8198</v>
      </c>
    </row>
    <row r="949" spans="3:9" x14ac:dyDescent="0.2">
      <c r="C949" t="s">
        <v>8349</v>
      </c>
      <c r="D949" t="s">
        <v>6359</v>
      </c>
      <c r="F949" s="21"/>
      <c r="H949" t="str">
        <f t="shared" si="14"/>
        <v>530E</v>
      </c>
      <c r="I949" s="25" t="s">
        <v>8199</v>
      </c>
    </row>
    <row r="950" spans="3:9" x14ac:dyDescent="0.2">
      <c r="C950" t="s">
        <v>8349</v>
      </c>
      <c r="D950" t="s">
        <v>6360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8349</v>
      </c>
      <c r="D951" t="s">
        <v>6361</v>
      </c>
      <c r="F951" s="21"/>
      <c r="H951" t="str">
        <f t="shared" si="14"/>
        <v>531C</v>
      </c>
      <c r="I951" s="25" t="s">
        <v>8200</v>
      </c>
    </row>
    <row r="952" spans="3:9" x14ac:dyDescent="0.2">
      <c r="C952" t="s">
        <v>8349</v>
      </c>
      <c r="D952" t="s">
        <v>6362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8349</v>
      </c>
      <c r="D953" t="s">
        <v>6363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8349</v>
      </c>
      <c r="D954" t="s">
        <v>6364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8349</v>
      </c>
      <c r="D955" t="s">
        <v>6365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8349</v>
      </c>
      <c r="D956" t="s">
        <v>6366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8349</v>
      </c>
      <c r="D957" t="s">
        <v>6367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8349</v>
      </c>
      <c r="D958" t="s">
        <v>6368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8349</v>
      </c>
      <c r="D959" t="s">
        <v>6369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8349</v>
      </c>
      <c r="D960" t="s">
        <v>6370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8349</v>
      </c>
      <c r="D961" t="s">
        <v>6371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8349</v>
      </c>
      <c r="D962" t="s">
        <v>6372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8349</v>
      </c>
      <c r="D963" t="s">
        <v>6373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8349</v>
      </c>
      <c r="D964" t="s">
        <v>6374</v>
      </c>
      <c r="F964" s="21"/>
      <c r="H964" t="str">
        <f t="shared" si="15"/>
        <v>541C</v>
      </c>
      <c r="I964" s="25" t="s">
        <v>8201</v>
      </c>
    </row>
    <row r="965" spans="3:9" x14ac:dyDescent="0.2">
      <c r="C965" t="s">
        <v>8349</v>
      </c>
      <c r="D965" t="s">
        <v>6375</v>
      </c>
      <c r="F965" s="21"/>
      <c r="H965" t="str">
        <f t="shared" si="15"/>
        <v>5424</v>
      </c>
      <c r="I965" s="25" t="s">
        <v>8501</v>
      </c>
    </row>
    <row r="966" spans="3:9" x14ac:dyDescent="0.2">
      <c r="C966" t="s">
        <v>8349</v>
      </c>
      <c r="D966" t="s">
        <v>6376</v>
      </c>
      <c r="F966" s="21"/>
      <c r="H966" t="str">
        <f t="shared" si="15"/>
        <v>544C</v>
      </c>
      <c r="I966" s="25" t="s">
        <v>8498</v>
      </c>
    </row>
    <row r="967" spans="3:9" x14ac:dyDescent="0.2">
      <c r="C967" t="s">
        <v>8349</v>
      </c>
      <c r="D967" t="s">
        <v>6377</v>
      </c>
      <c r="F967" s="21"/>
      <c r="H967" t="str">
        <f t="shared" si="15"/>
        <v>5458</v>
      </c>
      <c r="I967" s="25" t="s">
        <v>8499</v>
      </c>
    </row>
    <row r="968" spans="3:9" x14ac:dyDescent="0.2">
      <c r="C968" t="s">
        <v>8349</v>
      </c>
      <c r="D968" t="s">
        <v>6378</v>
      </c>
      <c r="F968" s="21"/>
      <c r="H968" t="str">
        <f t="shared" si="15"/>
        <v>5466</v>
      </c>
      <c r="I968" s="25" t="s">
        <v>8500</v>
      </c>
    </row>
    <row r="969" spans="3:9" x14ac:dyDescent="0.2">
      <c r="C969" t="s">
        <v>8349</v>
      </c>
      <c r="D969" t="s">
        <v>6379</v>
      </c>
      <c r="F969" s="21"/>
      <c r="H969" t="str">
        <f t="shared" si="15"/>
        <v>546E</v>
      </c>
      <c r="I969" s="25" t="s">
        <v>8206</v>
      </c>
    </row>
    <row r="970" spans="3:9" x14ac:dyDescent="0.2">
      <c r="C970" t="s">
        <v>8349</v>
      </c>
      <c r="D970" t="s">
        <v>6380</v>
      </c>
      <c r="F970" s="21"/>
      <c r="H970" t="str">
        <f t="shared" si="15"/>
        <v>5476</v>
      </c>
      <c r="I970" s="25" t="s">
        <v>8202</v>
      </c>
    </row>
    <row r="971" spans="3:9" x14ac:dyDescent="0.2">
      <c r="C971" t="s">
        <v>8349</v>
      </c>
      <c r="D971" t="s">
        <v>6381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8349</v>
      </c>
      <c r="D972" t="s">
        <v>6382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8349</v>
      </c>
      <c r="D973" t="s">
        <v>6383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8349</v>
      </c>
      <c r="D974" t="s">
        <v>6384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8349</v>
      </c>
      <c r="D975" t="s">
        <v>6385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8349</v>
      </c>
      <c r="D976" t="s">
        <v>6386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8349</v>
      </c>
      <c r="D977" t="s">
        <v>6387</v>
      </c>
      <c r="F977" s="21"/>
      <c r="H977" t="str">
        <f t="shared" si="15"/>
        <v>54E6</v>
      </c>
      <c r="I977" s="25" t="s">
        <v>8203</v>
      </c>
    </row>
    <row r="978" spans="3:11" x14ac:dyDescent="0.2">
      <c r="C978" t="s">
        <v>8349</v>
      </c>
      <c r="D978" t="s">
        <v>6388</v>
      </c>
      <c r="F978" s="21"/>
      <c r="H978" t="str">
        <f t="shared" si="15"/>
        <v>54EC</v>
      </c>
      <c r="I978" s="25" t="s">
        <v>8204</v>
      </c>
    </row>
    <row r="979" spans="3:11" x14ac:dyDescent="0.2">
      <c r="C979" t="s">
        <v>8349</v>
      </c>
      <c r="D979" t="s">
        <v>6389</v>
      </c>
      <c r="F979" s="21"/>
      <c r="H979" t="str">
        <f t="shared" si="15"/>
        <v>54FA</v>
      </c>
      <c r="I979" s="25" t="s">
        <v>8205</v>
      </c>
    </row>
    <row r="980" spans="3:11" x14ac:dyDescent="0.2">
      <c r="C980" t="s">
        <v>8349</v>
      </c>
      <c r="D980" t="s">
        <v>6390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8349</v>
      </c>
      <c r="D981" t="s">
        <v>6391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8349</v>
      </c>
      <c r="D982" t="s">
        <v>6392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8349</v>
      </c>
      <c r="D983" t="s">
        <v>6393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8349</v>
      </c>
      <c r="D984" t="s">
        <v>6394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8349</v>
      </c>
      <c r="D985" t="s">
        <v>6395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8349</v>
      </c>
      <c r="D986" t="s">
        <v>6396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8349</v>
      </c>
      <c r="D987" t="s">
        <v>6397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8349</v>
      </c>
      <c r="D988" t="s">
        <v>6398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8349</v>
      </c>
      <c r="D989" t="s">
        <v>6399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8349</v>
      </c>
      <c r="D990" t="s">
        <v>6400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8349</v>
      </c>
      <c r="D991" t="s">
        <v>6401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8349</v>
      </c>
      <c r="D992" t="s">
        <v>6402</v>
      </c>
      <c r="F992" s="21"/>
      <c r="H992" t="str">
        <f t="shared" si="15"/>
        <v>55AB</v>
      </c>
      <c r="I992" s="25" t="s">
        <v>8060</v>
      </c>
      <c r="K992" s="20" t="s">
        <v>8514</v>
      </c>
    </row>
    <row r="993" spans="3:9" x14ac:dyDescent="0.2">
      <c r="C993" t="s">
        <v>8349</v>
      </c>
      <c r="D993" t="s">
        <v>6403</v>
      </c>
      <c r="F993" s="21"/>
      <c r="H993" t="str">
        <f t="shared" si="15"/>
        <v>55AC</v>
      </c>
      <c r="I993" s="25" t="s">
        <v>8062</v>
      </c>
    </row>
    <row r="994" spans="3:9" x14ac:dyDescent="0.2">
      <c r="C994" t="s">
        <v>8349</v>
      </c>
      <c r="D994" t="s">
        <v>6404</v>
      </c>
      <c r="F994" s="21"/>
      <c r="H994" t="str">
        <f t="shared" si="15"/>
        <v>55B8</v>
      </c>
      <c r="I994" s="25" t="s">
        <v>8061</v>
      </c>
    </row>
    <row r="995" spans="3:9" x14ac:dyDescent="0.2">
      <c r="C995" t="s">
        <v>8349</v>
      </c>
      <c r="D995" t="s">
        <v>6405</v>
      </c>
      <c r="F995" s="21"/>
      <c r="H995" t="str">
        <f t="shared" si="15"/>
        <v>55BC</v>
      </c>
      <c r="I995" s="25" t="s">
        <v>8059</v>
      </c>
    </row>
    <row r="996" spans="3:9" x14ac:dyDescent="0.2">
      <c r="C996" t="s">
        <v>8349</v>
      </c>
      <c r="D996" t="s">
        <v>6406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8349</v>
      </c>
      <c r="D997" t="s">
        <v>6407</v>
      </c>
      <c r="F997" s="21"/>
      <c r="H997" t="str">
        <f t="shared" si="15"/>
        <v>55E0</v>
      </c>
      <c r="I997" s="25" t="s">
        <v>8307</v>
      </c>
    </row>
    <row r="998" spans="3:9" x14ac:dyDescent="0.2">
      <c r="C998" t="s">
        <v>8349</v>
      </c>
      <c r="D998" t="s">
        <v>6408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8349</v>
      </c>
      <c r="D999" t="s">
        <v>6409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8349</v>
      </c>
      <c r="D1000" t="s">
        <v>6410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8349</v>
      </c>
      <c r="D1001" t="s">
        <v>6411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8349</v>
      </c>
      <c r="D1002" t="s">
        <v>6412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8349</v>
      </c>
      <c r="D1003" t="s">
        <v>6413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8349</v>
      </c>
      <c r="D1004" t="s">
        <v>6414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8349</v>
      </c>
      <c r="D1005" t="s">
        <v>6415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8349</v>
      </c>
      <c r="D1006" t="s">
        <v>6416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8349</v>
      </c>
      <c r="D1007" t="s">
        <v>6417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8349</v>
      </c>
      <c r="D1008" t="s">
        <v>6418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8349</v>
      </c>
      <c r="D1009" t="s">
        <v>6419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8349</v>
      </c>
      <c r="D1010" t="s">
        <v>6420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8349</v>
      </c>
      <c r="D1011" t="s">
        <v>6421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8349</v>
      </c>
      <c r="D1012" t="s">
        <v>6422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8349</v>
      </c>
      <c r="D1013" t="s">
        <v>6423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8349</v>
      </c>
      <c r="D1014" t="s">
        <v>6424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8349</v>
      </c>
      <c r="D1015" t="s">
        <v>6425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8349</v>
      </c>
      <c r="D1016" t="s">
        <v>6426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8349</v>
      </c>
      <c r="D1017" t="s">
        <v>6427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8349</v>
      </c>
      <c r="D1018" t="s">
        <v>6428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8349</v>
      </c>
      <c r="D1019" t="s">
        <v>6429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8349</v>
      </c>
      <c r="D1020" t="s">
        <v>6430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8349</v>
      </c>
      <c r="D1021" t="s">
        <v>6431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8349</v>
      </c>
      <c r="D1022" t="s">
        <v>6432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8349</v>
      </c>
      <c r="D1023" t="s">
        <v>6433</v>
      </c>
      <c r="F1023" s="21"/>
      <c r="H1023" t="str">
        <f t="shared" si="15"/>
        <v>57A4</v>
      </c>
      <c r="I1023" s="25" t="s">
        <v>8317</v>
      </c>
    </row>
    <row r="1024" spans="3:9" x14ac:dyDescent="0.2">
      <c r="C1024" t="s">
        <v>8349</v>
      </c>
      <c r="D1024" t="s">
        <v>6434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8349</v>
      </c>
      <c r="D1025" t="s">
        <v>6435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8349</v>
      </c>
      <c r="D1026" t="s">
        <v>6436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8310</v>
      </c>
    </row>
    <row r="1027" spans="3:9" x14ac:dyDescent="0.2">
      <c r="C1027" t="s">
        <v>8349</v>
      </c>
      <c r="D1027" t="s">
        <v>6437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8349</v>
      </c>
      <c r="D1028" t="s">
        <v>6438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8349</v>
      </c>
      <c r="D1029" t="s">
        <v>6439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8349</v>
      </c>
      <c r="D1030" t="s">
        <v>6440</v>
      </c>
      <c r="F1030" s="21"/>
      <c r="H1030" t="str">
        <f t="shared" si="16"/>
        <v>588E</v>
      </c>
      <c r="I1030" s="25" t="s">
        <v>8333</v>
      </c>
    </row>
    <row r="1031" spans="3:9" x14ac:dyDescent="0.2">
      <c r="C1031" t="s">
        <v>8349</v>
      </c>
      <c r="D1031" t="s">
        <v>6441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8349</v>
      </c>
      <c r="D1032" t="s">
        <v>6442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8349</v>
      </c>
      <c r="D1033" t="s">
        <v>6443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8349</v>
      </c>
      <c r="D1034" t="s">
        <v>6444</v>
      </c>
      <c r="F1034" s="21"/>
      <c r="H1034" t="str">
        <f t="shared" si="16"/>
        <v>58F4</v>
      </c>
      <c r="I1034" s="25" t="s">
        <v>8095</v>
      </c>
    </row>
    <row r="1035" spans="3:9" x14ac:dyDescent="0.2">
      <c r="C1035" t="s">
        <v>8349</v>
      </c>
      <c r="D1035" t="s">
        <v>6445</v>
      </c>
      <c r="F1035" s="21"/>
      <c r="H1035" t="str">
        <f t="shared" si="16"/>
        <v>590C</v>
      </c>
      <c r="I1035" s="25" t="s">
        <v>8096</v>
      </c>
    </row>
    <row r="1036" spans="3:9" x14ac:dyDescent="0.2">
      <c r="C1036" t="s">
        <v>8349</v>
      </c>
      <c r="D1036" t="s">
        <v>6446</v>
      </c>
      <c r="F1036" s="21"/>
      <c r="H1036" t="str">
        <f t="shared" si="16"/>
        <v>591A</v>
      </c>
    </row>
    <row r="1037" spans="3:9" x14ac:dyDescent="0.2">
      <c r="C1037" t="s">
        <v>8349</v>
      </c>
      <c r="D1037" t="s">
        <v>6447</v>
      </c>
      <c r="F1037" s="21"/>
      <c r="H1037" t="str">
        <f t="shared" si="16"/>
        <v>5952</v>
      </c>
      <c r="I1037" s="25" t="s">
        <v>8129</v>
      </c>
    </row>
    <row r="1038" spans="3:9" x14ac:dyDescent="0.2">
      <c r="C1038" t="s">
        <v>8349</v>
      </c>
      <c r="D1038" t="s">
        <v>6448</v>
      </c>
      <c r="F1038" s="21"/>
      <c r="H1038" t="str">
        <f t="shared" si="16"/>
        <v>5958</v>
      </c>
      <c r="I1038" s="25" t="s">
        <v>8098</v>
      </c>
    </row>
    <row r="1039" spans="3:9" x14ac:dyDescent="0.2">
      <c r="C1039" t="s">
        <v>8349</v>
      </c>
      <c r="D1039" t="s">
        <v>6449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8349</v>
      </c>
      <c r="D1040" t="s">
        <v>6450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8349</v>
      </c>
      <c r="D1041" t="s">
        <v>6451</v>
      </c>
      <c r="F1041" s="21"/>
      <c r="H1041" t="str">
        <f t="shared" si="16"/>
        <v>59BE</v>
      </c>
      <c r="I1041" s="25" t="s">
        <v>8130</v>
      </c>
    </row>
    <row r="1042" spans="3:12" x14ac:dyDescent="0.2">
      <c r="C1042" t="s">
        <v>8349</v>
      </c>
      <c r="D1042" t="s">
        <v>6452</v>
      </c>
      <c r="F1042" s="21"/>
      <c r="H1042" t="str">
        <f t="shared" si="16"/>
        <v/>
      </c>
      <c r="I1042" s="25" t="s">
        <v>8089</v>
      </c>
    </row>
    <row r="1043" spans="3:12" x14ac:dyDescent="0.2">
      <c r="C1043" t="s">
        <v>8349</v>
      </c>
      <c r="D1043" t="s">
        <v>6453</v>
      </c>
      <c r="F1043" s="21"/>
      <c r="H1043" t="str">
        <f t="shared" si="16"/>
        <v/>
      </c>
      <c r="I1043" s="25" t="s">
        <v>6453</v>
      </c>
    </row>
    <row r="1044" spans="3:12" x14ac:dyDescent="0.2">
      <c r="C1044" t="s">
        <v>8349</v>
      </c>
      <c r="D1044" t="s">
        <v>6454</v>
      </c>
      <c r="F1044" s="21"/>
      <c r="H1044" t="str">
        <f t="shared" si="16"/>
        <v/>
      </c>
      <c r="I1044" s="25" t="s">
        <v>8088</v>
      </c>
    </row>
    <row r="1045" spans="3:12" x14ac:dyDescent="0.2">
      <c r="C1045" t="s">
        <v>8349</v>
      </c>
      <c r="D1045" t="s">
        <v>6455</v>
      </c>
      <c r="F1045" s="21"/>
      <c r="H1045" t="str">
        <f t="shared" si="16"/>
        <v>59F2</v>
      </c>
      <c r="I1045" s="25" t="s">
        <v>8090</v>
      </c>
    </row>
    <row r="1046" spans="3:12" x14ac:dyDescent="0.2">
      <c r="C1046" t="s">
        <v>8349</v>
      </c>
      <c r="D1046" t="s">
        <v>6456</v>
      </c>
      <c r="F1046" s="21"/>
      <c r="H1046" t="str">
        <f t="shared" si="16"/>
        <v>5A30</v>
      </c>
      <c r="I1046" s="25" t="s">
        <v>8087</v>
      </c>
    </row>
    <row r="1047" spans="3:12" x14ac:dyDescent="0.2">
      <c r="C1047" t="s">
        <v>8349</v>
      </c>
      <c r="D1047" t="s">
        <v>6457</v>
      </c>
      <c r="F1047" s="21"/>
      <c r="H1047" t="str">
        <f t="shared" si="16"/>
        <v>5A38</v>
      </c>
      <c r="I1047" s="25" t="s">
        <v>8091</v>
      </c>
    </row>
    <row r="1048" spans="3:12" x14ac:dyDescent="0.2">
      <c r="C1048" t="s">
        <v>8349</v>
      </c>
      <c r="D1048" t="s">
        <v>6458</v>
      </c>
      <c r="F1048" s="21"/>
      <c r="H1048" t="str">
        <f t="shared" si="16"/>
        <v>5A58</v>
      </c>
      <c r="I1048" s="25" t="s">
        <v>8092</v>
      </c>
    </row>
    <row r="1049" spans="3:12" x14ac:dyDescent="0.2">
      <c r="C1049" t="s">
        <v>8349</v>
      </c>
      <c r="D1049" t="s">
        <v>9095</v>
      </c>
      <c r="F1049" s="21"/>
      <c r="H1049" t="str">
        <f t="shared" si="16"/>
        <v/>
      </c>
    </row>
    <row r="1050" spans="3:12" x14ac:dyDescent="0.2">
      <c r="C1050" t="s">
        <v>8349</v>
      </c>
      <c r="D1050" t="s">
        <v>9096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8349</v>
      </c>
      <c r="D1051" t="s">
        <v>9097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8349</v>
      </c>
      <c r="D1052" t="s">
        <v>6462</v>
      </c>
      <c r="F1052" s="21"/>
      <c r="H1052" t="str">
        <f t="shared" si="16"/>
        <v>5AA6</v>
      </c>
      <c r="I1052" s="25" t="s">
        <v>8093</v>
      </c>
    </row>
    <row r="1053" spans="3:12" x14ac:dyDescent="0.2">
      <c r="C1053" t="s">
        <v>8349</v>
      </c>
      <c r="D1053" t="s">
        <v>6463</v>
      </c>
      <c r="F1053" s="21"/>
      <c r="H1053" t="str">
        <f t="shared" si="16"/>
        <v>5AAE</v>
      </c>
      <c r="I1053" s="25" t="s">
        <v>8094</v>
      </c>
    </row>
    <row r="1054" spans="3:12" x14ac:dyDescent="0.2">
      <c r="C1054" t="s">
        <v>8349</v>
      </c>
      <c r="D1054" t="s">
        <v>6464</v>
      </c>
      <c r="F1054" s="21"/>
      <c r="H1054" t="str">
        <f t="shared" si="16"/>
        <v>5AB4</v>
      </c>
      <c r="I1054" s="25" t="s">
        <v>8497</v>
      </c>
    </row>
    <row r="1055" spans="3:12" x14ac:dyDescent="0.2">
      <c r="C1055" t="s">
        <v>8349</v>
      </c>
      <c r="D1055" t="s">
        <v>6465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8349</v>
      </c>
      <c r="D1056" t="s">
        <v>6466</v>
      </c>
      <c r="F1056" s="21"/>
      <c r="H1056" t="str">
        <f t="shared" si="16"/>
        <v/>
      </c>
      <c r="I1056" s="25" t="s">
        <v>6466</v>
      </c>
      <c r="J1056" t="s">
        <v>9071</v>
      </c>
      <c r="L1056" t="s">
        <v>8289</v>
      </c>
    </row>
    <row r="1057" spans="3:12" x14ac:dyDescent="0.2">
      <c r="C1057" t="s">
        <v>8349</v>
      </c>
      <c r="D1057" t="s">
        <v>6467</v>
      </c>
      <c r="F1057" s="21"/>
      <c r="H1057" t="str">
        <f t="shared" si="16"/>
        <v/>
      </c>
      <c r="I1057" s="25" t="s">
        <v>6467</v>
      </c>
      <c r="J1057" t="s">
        <v>9072</v>
      </c>
      <c r="L1057" t="s">
        <v>8288</v>
      </c>
    </row>
    <row r="1058" spans="3:12" x14ac:dyDescent="0.2">
      <c r="C1058" t="s">
        <v>8349</v>
      </c>
      <c r="D1058" t="s">
        <v>6468</v>
      </c>
      <c r="F1058" s="21"/>
      <c r="H1058" t="str">
        <f t="shared" si="16"/>
        <v>5B2A</v>
      </c>
      <c r="I1058" s="25" t="s">
        <v>8097</v>
      </c>
    </row>
    <row r="1059" spans="3:12" x14ac:dyDescent="0.2">
      <c r="C1059" t="s">
        <v>8349</v>
      </c>
      <c r="D1059" t="s">
        <v>6469</v>
      </c>
      <c r="F1059" s="21"/>
      <c r="H1059" t="str">
        <f t="shared" si="16"/>
        <v>5B66</v>
      </c>
      <c r="I1059" s="25" t="s">
        <v>8107</v>
      </c>
    </row>
    <row r="1060" spans="3:12" x14ac:dyDescent="0.2">
      <c r="C1060" t="s">
        <v>8349</v>
      </c>
      <c r="D1060" t="s">
        <v>6470</v>
      </c>
      <c r="F1060" s="21"/>
      <c r="H1060" t="str">
        <f t="shared" si="16"/>
        <v>5B68</v>
      </c>
      <c r="I1060" s="25" t="s">
        <v>8106</v>
      </c>
    </row>
    <row r="1061" spans="3:12" x14ac:dyDescent="0.2">
      <c r="C1061" t="s">
        <v>8349</v>
      </c>
      <c r="D1061" t="s">
        <v>6471</v>
      </c>
      <c r="F1061" s="21"/>
      <c r="H1061" t="str">
        <f t="shared" si="16"/>
        <v/>
      </c>
      <c r="I1061" s="25" t="s">
        <v>6471</v>
      </c>
      <c r="J1061" t="s">
        <v>9073</v>
      </c>
      <c r="L1061" t="s">
        <v>8256</v>
      </c>
    </row>
    <row r="1062" spans="3:12" x14ac:dyDescent="0.2">
      <c r="C1062" t="s">
        <v>8349</v>
      </c>
      <c r="D1062" t="s">
        <v>6472</v>
      </c>
      <c r="F1062" s="21"/>
      <c r="H1062" t="str">
        <f t="shared" si="16"/>
        <v/>
      </c>
      <c r="I1062" s="25" t="s">
        <v>6472</v>
      </c>
      <c r="J1062" t="s">
        <v>9074</v>
      </c>
      <c r="L1062" t="s">
        <v>8257</v>
      </c>
    </row>
    <row r="1063" spans="3:12" x14ac:dyDescent="0.2">
      <c r="C1063" t="s">
        <v>8349</v>
      </c>
      <c r="D1063" t="s">
        <v>6473</v>
      </c>
      <c r="F1063" s="21"/>
      <c r="H1063" t="str">
        <f t="shared" si="16"/>
        <v/>
      </c>
      <c r="I1063" s="25" t="s">
        <v>6473</v>
      </c>
      <c r="J1063" t="s">
        <v>9075</v>
      </c>
      <c r="L1063" t="s">
        <v>8258</v>
      </c>
    </row>
    <row r="1064" spans="3:12" x14ac:dyDescent="0.2">
      <c r="C1064" t="s">
        <v>8349</v>
      </c>
      <c r="D1064" t="s">
        <v>6474</v>
      </c>
      <c r="F1064" s="21"/>
      <c r="H1064" t="str">
        <f t="shared" si="16"/>
        <v/>
      </c>
      <c r="I1064" s="25" t="s">
        <v>6474</v>
      </c>
      <c r="J1064" t="s">
        <v>9076</v>
      </c>
      <c r="L1064" t="s">
        <v>8259</v>
      </c>
    </row>
    <row r="1065" spans="3:12" x14ac:dyDescent="0.2">
      <c r="C1065" t="s">
        <v>8349</v>
      </c>
      <c r="D1065" t="s">
        <v>6475</v>
      </c>
      <c r="F1065" s="21"/>
      <c r="H1065" t="str">
        <f t="shared" si="16"/>
        <v/>
      </c>
      <c r="I1065" s="25" t="s">
        <v>6475</v>
      </c>
      <c r="J1065" t="s">
        <v>9077</v>
      </c>
      <c r="L1065" t="s">
        <v>8260</v>
      </c>
    </row>
    <row r="1066" spans="3:12" x14ac:dyDescent="0.2">
      <c r="C1066" t="s">
        <v>8349</v>
      </c>
      <c r="D1066" t="s">
        <v>6476</v>
      </c>
      <c r="F1066" s="21"/>
      <c r="H1066" t="str">
        <f t="shared" si="16"/>
        <v/>
      </c>
      <c r="I1066" s="25" t="s">
        <v>6476</v>
      </c>
      <c r="J1066" t="s">
        <v>9078</v>
      </c>
      <c r="L1066" t="s">
        <v>8261</v>
      </c>
    </row>
    <row r="1067" spans="3:12" x14ac:dyDescent="0.2">
      <c r="C1067" t="s">
        <v>8349</v>
      </c>
      <c r="D1067" t="s">
        <v>6477</v>
      </c>
      <c r="F1067" s="21"/>
      <c r="H1067" t="str">
        <f t="shared" si="16"/>
        <v>5CF8</v>
      </c>
      <c r="I1067" s="25" t="s">
        <v>8344</v>
      </c>
    </row>
    <row r="1068" spans="3:12" x14ac:dyDescent="0.2">
      <c r="C1068" t="s">
        <v>8349</v>
      </c>
      <c r="D1068" t="s">
        <v>6478</v>
      </c>
      <c r="F1068" s="21"/>
      <c r="H1068" t="str">
        <f t="shared" si="16"/>
        <v>5CFC</v>
      </c>
      <c r="I1068" s="25" t="s">
        <v>8345</v>
      </c>
    </row>
    <row r="1069" spans="3:12" x14ac:dyDescent="0.2">
      <c r="C1069" t="s">
        <v>8349</v>
      </c>
      <c r="D1069" t="s">
        <v>6479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8349</v>
      </c>
      <c r="D1070" t="s">
        <v>6480</v>
      </c>
      <c r="F1070" s="21"/>
      <c r="H1070" t="str">
        <f t="shared" si="16"/>
        <v>5D12</v>
      </c>
      <c r="I1070" s="25" t="s">
        <v>8108</v>
      </c>
    </row>
    <row r="1071" spans="3:12" x14ac:dyDescent="0.2">
      <c r="C1071" t="s">
        <v>8349</v>
      </c>
      <c r="D1071" t="s">
        <v>6481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8349</v>
      </c>
      <c r="D1072" t="s">
        <v>6482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8349</v>
      </c>
      <c r="D1073" t="s">
        <v>6483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8349</v>
      </c>
      <c r="D1074" t="s">
        <v>6484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8349</v>
      </c>
      <c r="D1075" t="s">
        <v>6485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8349</v>
      </c>
      <c r="D1076" t="s">
        <v>6486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8349</v>
      </c>
      <c r="D1077" t="s">
        <v>6487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8349</v>
      </c>
      <c r="D1078" t="s">
        <v>6488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8349</v>
      </c>
      <c r="D1079" t="s">
        <v>6489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8349</v>
      </c>
      <c r="D1080" t="s">
        <v>6490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8349</v>
      </c>
      <c r="D1081" t="s">
        <v>6491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8349</v>
      </c>
      <c r="D1082" t="s">
        <v>6492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8349</v>
      </c>
      <c r="D1083" t="s">
        <v>6493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8349</v>
      </c>
      <c r="D1084" t="s">
        <v>6494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8349</v>
      </c>
      <c r="D1085" t="s">
        <v>6495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8349</v>
      </c>
      <c r="D1086" t="s">
        <v>6496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8349</v>
      </c>
      <c r="D1087" t="s">
        <v>6497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8349</v>
      </c>
      <c r="D1088" t="s">
        <v>6498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8349</v>
      </c>
      <c r="D1089" t="s">
        <v>6499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8349</v>
      </c>
      <c r="D1090" t="s">
        <v>6500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8349</v>
      </c>
      <c r="D1091" t="s">
        <v>6501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8349</v>
      </c>
      <c r="D1092" t="s">
        <v>6502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8349</v>
      </c>
      <c r="D1093" t="s">
        <v>6503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8349</v>
      </c>
      <c r="D1094" t="s">
        <v>6504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8349</v>
      </c>
      <c r="D1095" t="s">
        <v>6505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8349</v>
      </c>
      <c r="D1096" t="s">
        <v>6506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8349</v>
      </c>
      <c r="D1097" t="s">
        <v>6507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8349</v>
      </c>
      <c r="D1098" t="s">
        <v>6508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8349</v>
      </c>
      <c r="D1099" t="s">
        <v>6509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8349</v>
      </c>
      <c r="D1100" t="s">
        <v>6510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8349</v>
      </c>
      <c r="D1101" t="s">
        <v>6511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8349</v>
      </c>
      <c r="D1102" t="s">
        <v>6512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8349</v>
      </c>
      <c r="D1103" t="s">
        <v>6513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8349</v>
      </c>
      <c r="D1104" t="s">
        <v>6514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8349</v>
      </c>
      <c r="D1105" t="s">
        <v>6515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8349</v>
      </c>
      <c r="D1106" t="s">
        <v>6516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8349</v>
      </c>
      <c r="D1107" t="s">
        <v>6517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8349</v>
      </c>
      <c r="D1108" t="s">
        <v>6518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8349</v>
      </c>
      <c r="D1109" t="s">
        <v>6519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8349</v>
      </c>
      <c r="D1110" t="s">
        <v>6520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8349</v>
      </c>
      <c r="D1111" t="s">
        <v>6521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8349</v>
      </c>
      <c r="D1112" t="s">
        <v>6522</v>
      </c>
      <c r="F1112" s="21"/>
      <c r="H1112" t="str">
        <f t="shared" si="17"/>
        <v>5F94</v>
      </c>
      <c r="I1112" s="25" t="s">
        <v>8323</v>
      </c>
    </row>
    <row r="1113" spans="3:9" x14ac:dyDescent="0.2">
      <c r="C1113" t="s">
        <v>8349</v>
      </c>
      <c r="D1113" t="s">
        <v>6523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8349</v>
      </c>
      <c r="D1114" t="s">
        <v>6524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8349</v>
      </c>
      <c r="D1115" t="s">
        <v>6525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8349</v>
      </c>
      <c r="D1116" t="s">
        <v>6526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8349</v>
      </c>
      <c r="D1117" t="s">
        <v>6527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8349</v>
      </c>
      <c r="D1118" t="s">
        <v>6528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8349</v>
      </c>
      <c r="D1119" t="s">
        <v>6529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8349</v>
      </c>
      <c r="D1120" t="s">
        <v>6530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8349</v>
      </c>
      <c r="D1121" t="s">
        <v>6531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8349</v>
      </c>
      <c r="D1122" t="s">
        <v>6532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8349</v>
      </c>
      <c r="D1123" t="s">
        <v>6533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8349</v>
      </c>
      <c r="D1124" t="s">
        <v>6534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8349</v>
      </c>
      <c r="D1125" t="s">
        <v>6535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8349</v>
      </c>
      <c r="D1126" t="s">
        <v>6536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8349</v>
      </c>
      <c r="D1127" t="s">
        <v>6537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8349</v>
      </c>
      <c r="D1128" t="s">
        <v>6538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8349</v>
      </c>
      <c r="D1129" t="s">
        <v>6539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8349</v>
      </c>
      <c r="D1130" t="s">
        <v>6540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8349</v>
      </c>
      <c r="D1131" t="s">
        <v>6541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8349</v>
      </c>
      <c r="D1132" t="s">
        <v>6542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8349</v>
      </c>
      <c r="D1133" t="s">
        <v>6543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8349</v>
      </c>
      <c r="D1134" t="s">
        <v>6544</v>
      </c>
      <c r="F1134" s="21"/>
      <c r="H1134" t="str">
        <f t="shared" si="17"/>
        <v/>
      </c>
      <c r="I1134" s="25" t="s">
        <v>6544</v>
      </c>
    </row>
    <row r="1135" spans="3:9" x14ac:dyDescent="0.2">
      <c r="C1135" t="s">
        <v>8349</v>
      </c>
      <c r="D1135" t="s">
        <v>6545</v>
      </c>
      <c r="F1135" s="21"/>
      <c r="H1135" t="str">
        <f t="shared" si="17"/>
        <v/>
      </c>
      <c r="I1135" s="25" t="s">
        <v>6545</v>
      </c>
    </row>
    <row r="1136" spans="3:9" x14ac:dyDescent="0.2">
      <c r="C1136" t="s">
        <v>8349</v>
      </c>
      <c r="D1136" t="s">
        <v>6546</v>
      </c>
      <c r="F1136" s="21"/>
      <c r="H1136" t="str">
        <f t="shared" si="17"/>
        <v/>
      </c>
      <c r="I1136" s="25" t="s">
        <v>6546</v>
      </c>
    </row>
    <row r="1137" spans="3:9" x14ac:dyDescent="0.2">
      <c r="C1137" t="s">
        <v>8349</v>
      </c>
      <c r="D1137" t="s">
        <v>6547</v>
      </c>
      <c r="F1137" s="21"/>
      <c r="H1137" t="str">
        <f t="shared" si="17"/>
        <v/>
      </c>
      <c r="I1137" s="25" t="s">
        <v>6547</v>
      </c>
    </row>
    <row r="1138" spans="3:9" x14ac:dyDescent="0.2">
      <c r="C1138" t="s">
        <v>8349</v>
      </c>
      <c r="D1138" t="s">
        <v>6548</v>
      </c>
      <c r="F1138" s="21"/>
      <c r="H1138" t="str">
        <f t="shared" si="17"/>
        <v/>
      </c>
      <c r="I1138" s="25" t="s">
        <v>6548</v>
      </c>
    </row>
    <row r="1139" spans="3:9" x14ac:dyDescent="0.2">
      <c r="C1139" t="s">
        <v>8349</v>
      </c>
      <c r="D1139" t="s">
        <v>6549</v>
      </c>
      <c r="F1139" s="21"/>
      <c r="H1139" t="str">
        <f t="shared" si="17"/>
        <v/>
      </c>
      <c r="I1139" s="25" t="s">
        <v>6549</v>
      </c>
    </row>
    <row r="1140" spans="3:9" x14ac:dyDescent="0.2">
      <c r="C1140" t="s">
        <v>8349</v>
      </c>
      <c r="D1140" t="s">
        <v>6550</v>
      </c>
      <c r="F1140" s="21"/>
      <c r="H1140" t="str">
        <f t="shared" si="17"/>
        <v/>
      </c>
      <c r="I1140" s="25" t="s">
        <v>6550</v>
      </c>
    </row>
    <row r="1141" spans="3:9" x14ac:dyDescent="0.2">
      <c r="C1141" t="s">
        <v>8349</v>
      </c>
      <c r="D1141" t="s">
        <v>6551</v>
      </c>
      <c r="F1141" s="21"/>
      <c r="H1141" t="str">
        <f t="shared" si="17"/>
        <v/>
      </c>
      <c r="I1141" s="25" t="s">
        <v>6551</v>
      </c>
    </row>
    <row r="1142" spans="3:9" x14ac:dyDescent="0.2">
      <c r="C1142" t="s">
        <v>8349</v>
      </c>
      <c r="D1142" t="s">
        <v>6552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8349</v>
      </c>
      <c r="D1143" t="s">
        <v>6553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8349</v>
      </c>
      <c r="D1144" t="s">
        <v>6554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8349</v>
      </c>
      <c r="D1145" t="s">
        <v>6555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8349</v>
      </c>
      <c r="D1146" t="s">
        <v>6556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8349</v>
      </c>
      <c r="D1147" t="s">
        <v>6557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8349</v>
      </c>
      <c r="D1148" t="s">
        <v>6558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8349</v>
      </c>
      <c r="D1149" t="s">
        <v>6559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8349</v>
      </c>
      <c r="D1150" t="s">
        <v>6560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8349</v>
      </c>
      <c r="D1151" t="s">
        <v>6561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8349</v>
      </c>
      <c r="D1152" t="s">
        <v>6562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8349</v>
      </c>
      <c r="D1153" t="s">
        <v>6563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8349</v>
      </c>
      <c r="D1154" t="s">
        <v>6564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8349</v>
      </c>
      <c r="D1155" t="s">
        <v>6565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8349</v>
      </c>
      <c r="D1156" t="s">
        <v>6566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8349</v>
      </c>
      <c r="D1157" t="s">
        <v>6567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8349</v>
      </c>
      <c r="D1158" t="s">
        <v>6568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8349</v>
      </c>
      <c r="D1159" t="s">
        <v>6569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8349</v>
      </c>
      <c r="D1160" t="s">
        <v>6570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8349</v>
      </c>
      <c r="D1161" t="s">
        <v>6571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8349</v>
      </c>
      <c r="D1162" t="s">
        <v>6572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8349</v>
      </c>
      <c r="D1163" t="s">
        <v>6573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8349</v>
      </c>
      <c r="D1164" t="s">
        <v>6574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8349</v>
      </c>
      <c r="D1165" t="s">
        <v>6575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8349</v>
      </c>
      <c r="D1166" t="s">
        <v>6576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8349</v>
      </c>
      <c r="D1167" t="s">
        <v>6577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8349</v>
      </c>
      <c r="D1168" t="s">
        <v>6578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8349</v>
      </c>
      <c r="D1169" t="s">
        <v>6579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8349</v>
      </c>
      <c r="D1170" t="s">
        <v>6580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8349</v>
      </c>
      <c r="D1171" t="s">
        <v>6581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8349</v>
      </c>
      <c r="D1172" t="s">
        <v>6582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8349</v>
      </c>
      <c r="D1173" t="s">
        <v>6583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8349</v>
      </c>
      <c r="D1174" t="s">
        <v>6584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8349</v>
      </c>
      <c r="D1175" t="s">
        <v>6585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8349</v>
      </c>
      <c r="D1176" t="s">
        <v>6586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8349</v>
      </c>
      <c r="D1177" t="s">
        <v>6587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8349</v>
      </c>
      <c r="D1178" t="s">
        <v>6588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8349</v>
      </c>
      <c r="D1179" t="s">
        <v>6589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8349</v>
      </c>
      <c r="D1180" t="s">
        <v>6590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8349</v>
      </c>
      <c r="D1181" t="s">
        <v>6591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8349</v>
      </c>
      <c r="D1182" t="s">
        <v>6592</v>
      </c>
      <c r="F1182" s="21"/>
      <c r="H1182" t="str">
        <f t="shared" si="18"/>
        <v>64AA</v>
      </c>
      <c r="I1182" s="25" t="s">
        <v>8321</v>
      </c>
    </row>
    <row r="1183" spans="3:9" x14ac:dyDescent="0.2">
      <c r="C1183" t="s">
        <v>8349</v>
      </c>
      <c r="D1183" t="s">
        <v>6593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8349</v>
      </c>
      <c r="D1184" t="s">
        <v>6594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8349</v>
      </c>
      <c r="D1185" t="s">
        <v>6595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8349</v>
      </c>
      <c r="D1186" t="s">
        <v>6596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8349</v>
      </c>
      <c r="D1187" t="s">
        <v>6597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8349</v>
      </c>
      <c r="D1188" t="s">
        <v>6598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8349</v>
      </c>
      <c r="D1189" t="s">
        <v>6599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8349</v>
      </c>
      <c r="D1190" t="s">
        <v>6600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8349</v>
      </c>
      <c r="D1191" t="s">
        <v>6601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8349</v>
      </c>
      <c r="D1192" t="s">
        <v>6602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8349</v>
      </c>
      <c r="D1193" t="s">
        <v>6603</v>
      </c>
      <c r="F1193" s="21"/>
      <c r="H1193" t="str">
        <f t="shared" si="18"/>
        <v/>
      </c>
      <c r="I1193" s="25" t="s">
        <v>6603</v>
      </c>
    </row>
    <row r="1194" spans="3:9" x14ac:dyDescent="0.2">
      <c r="C1194" t="s">
        <v>8349</v>
      </c>
      <c r="D1194" t="s">
        <v>6604</v>
      </c>
      <c r="F1194" s="21"/>
      <c r="H1194" t="str">
        <f t="shared" si="18"/>
        <v>65B2</v>
      </c>
      <c r="I1194" s="25" t="s">
        <v>8324</v>
      </c>
    </row>
    <row r="1195" spans="3:9" x14ac:dyDescent="0.2">
      <c r="C1195" t="s">
        <v>8349</v>
      </c>
      <c r="D1195" t="s">
        <v>6605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8349</v>
      </c>
      <c r="D1196" t="s">
        <v>6606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8349</v>
      </c>
      <c r="D1197" t="s">
        <v>6607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8349</v>
      </c>
      <c r="D1198" t="s">
        <v>6608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8349</v>
      </c>
      <c r="D1199" t="s">
        <v>6609</v>
      </c>
      <c r="F1199" s="21"/>
      <c r="H1199" t="str">
        <f t="shared" si="18"/>
        <v>6616</v>
      </c>
      <c r="I1199" s="25" t="s">
        <v>8320</v>
      </c>
    </row>
    <row r="1200" spans="3:9" x14ac:dyDescent="0.2">
      <c r="C1200" t="s">
        <v>8349</v>
      </c>
      <c r="D1200" t="s">
        <v>6610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8349</v>
      </c>
      <c r="D1201" t="s">
        <v>6611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8349</v>
      </c>
      <c r="D1202" t="s">
        <v>6612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8349</v>
      </c>
      <c r="D1203" t="s">
        <v>6613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8349</v>
      </c>
      <c r="D1204" t="s">
        <v>6614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8349</v>
      </c>
      <c r="D1205" t="s">
        <v>6615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8349</v>
      </c>
      <c r="D1206" t="s">
        <v>6616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8349</v>
      </c>
      <c r="D1207" t="s">
        <v>6617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8349</v>
      </c>
      <c r="D1208" t="s">
        <v>6618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8349</v>
      </c>
      <c r="D1209" t="s">
        <v>6619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8349</v>
      </c>
      <c r="D1210" t="s">
        <v>6620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8349</v>
      </c>
      <c r="D1211" t="s">
        <v>6621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8349</v>
      </c>
      <c r="D1212" t="s">
        <v>6622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8349</v>
      </c>
      <c r="D1213" t="s">
        <v>6623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8349</v>
      </c>
      <c r="D1214" t="s">
        <v>6624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8349</v>
      </c>
      <c r="D1215" t="s">
        <v>6625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8349</v>
      </c>
      <c r="D1216" t="s">
        <v>6626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8349</v>
      </c>
      <c r="D1217" t="s">
        <v>6627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8349</v>
      </c>
      <c r="D1218" t="s">
        <v>6628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8349</v>
      </c>
      <c r="D1219" t="s">
        <v>6629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8349</v>
      </c>
      <c r="D1220" t="s">
        <v>6630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8349</v>
      </c>
      <c r="D1221" t="s">
        <v>6631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8349</v>
      </c>
      <c r="D1222" t="s">
        <v>6632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8349</v>
      </c>
      <c r="D1223" t="s">
        <v>6633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8349</v>
      </c>
      <c r="D1224" t="s">
        <v>6634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8349</v>
      </c>
      <c r="D1225" t="s">
        <v>6635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8349</v>
      </c>
      <c r="D1226" t="s">
        <v>6636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8349</v>
      </c>
      <c r="D1227" t="s">
        <v>6637</v>
      </c>
      <c r="F1227" s="21"/>
      <c r="H1227" t="str">
        <f t="shared" si="19"/>
        <v>683E</v>
      </c>
      <c r="I1227" s="25" t="s">
        <v>9028</v>
      </c>
    </row>
    <row r="1228" spans="3:9" x14ac:dyDescent="0.2">
      <c r="C1228" t="s">
        <v>8349</v>
      </c>
      <c r="D1228" t="s">
        <v>6638</v>
      </c>
      <c r="F1228" s="21"/>
      <c r="H1228" t="str">
        <f t="shared" si="19"/>
        <v>685E</v>
      </c>
      <c r="I1228" s="25" t="s">
        <v>9029</v>
      </c>
    </row>
    <row r="1229" spans="3:9" x14ac:dyDescent="0.2">
      <c r="C1229" t="s">
        <v>8349</v>
      </c>
      <c r="D1229" t="s">
        <v>6639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8349</v>
      </c>
      <c r="D1230" t="s">
        <v>6640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8349</v>
      </c>
      <c r="D1231" t="s">
        <v>6641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8349</v>
      </c>
      <c r="D1232" t="s">
        <v>6642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8349</v>
      </c>
      <c r="D1233" t="s">
        <v>6643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8349</v>
      </c>
      <c r="D1234" t="s">
        <v>6644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8349</v>
      </c>
      <c r="D1235" t="s">
        <v>6645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8349</v>
      </c>
      <c r="D1236" t="s">
        <v>6646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8349</v>
      </c>
      <c r="D1237" t="s">
        <v>6647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8349</v>
      </c>
      <c r="D1238" t="s">
        <v>6648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8349</v>
      </c>
      <c r="D1239" t="s">
        <v>6649</v>
      </c>
      <c r="F1239" s="21"/>
      <c r="H1239" t="str">
        <f t="shared" si="19"/>
        <v>6914</v>
      </c>
      <c r="I1239" s="25" t="s">
        <v>8325</v>
      </c>
    </row>
    <row r="1240" spans="3:9" x14ac:dyDescent="0.2">
      <c r="C1240" t="s">
        <v>8349</v>
      </c>
      <c r="D1240" t="s">
        <v>6650</v>
      </c>
      <c r="F1240" s="21"/>
      <c r="H1240" t="str">
        <f t="shared" si="19"/>
        <v>6952</v>
      </c>
      <c r="I1240" s="25" t="s">
        <v>8131</v>
      </c>
    </row>
    <row r="1241" spans="3:9" x14ac:dyDescent="0.2">
      <c r="C1241" t="s">
        <v>8349</v>
      </c>
      <c r="D1241" t="s">
        <v>6651</v>
      </c>
      <c r="F1241" s="21"/>
      <c r="H1241" t="str">
        <f t="shared" si="19"/>
        <v>695A</v>
      </c>
      <c r="I1241" s="25" t="s">
        <v>8132</v>
      </c>
    </row>
    <row r="1242" spans="3:9" x14ac:dyDescent="0.2">
      <c r="C1242" t="s">
        <v>8349</v>
      </c>
      <c r="D1242" t="s">
        <v>6652</v>
      </c>
      <c r="F1242" s="21"/>
      <c r="H1242" t="str">
        <f t="shared" si="19"/>
        <v>6962</v>
      </c>
      <c r="I1242" s="25" t="s">
        <v>8133</v>
      </c>
    </row>
    <row r="1243" spans="3:9" x14ac:dyDescent="0.2">
      <c r="C1243" t="s">
        <v>8349</v>
      </c>
      <c r="D1243" t="s">
        <v>6653</v>
      </c>
      <c r="F1243" s="21"/>
      <c r="H1243" t="str">
        <f t="shared" si="19"/>
        <v>696A</v>
      </c>
      <c r="I1243" s="25" t="s">
        <v>8134</v>
      </c>
    </row>
    <row r="1244" spans="3:9" x14ac:dyDescent="0.2">
      <c r="C1244" t="s">
        <v>8349</v>
      </c>
      <c r="D1244" t="s">
        <v>6654</v>
      </c>
      <c r="F1244" s="21"/>
      <c r="H1244" t="str">
        <f t="shared" si="19"/>
        <v>6976</v>
      </c>
      <c r="I1244" s="25" t="s">
        <v>8135</v>
      </c>
    </row>
    <row r="1245" spans="3:9" x14ac:dyDescent="0.2">
      <c r="C1245" t="s">
        <v>8349</v>
      </c>
      <c r="D1245" t="s">
        <v>6655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8349</v>
      </c>
      <c r="D1246" t="s">
        <v>6656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8349</v>
      </c>
      <c r="D1247" t="s">
        <v>6657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8349</v>
      </c>
      <c r="D1248" t="s">
        <v>6658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8349</v>
      </c>
      <c r="D1249" t="s">
        <v>6659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8349</v>
      </c>
      <c r="D1250" t="s">
        <v>6660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8349</v>
      </c>
      <c r="D1251" t="s">
        <v>6661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8349</v>
      </c>
      <c r="D1252" t="s">
        <v>6662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8349</v>
      </c>
      <c r="D1253" t="s">
        <v>6663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8349</v>
      </c>
      <c r="D1254" t="s">
        <v>6664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8349</v>
      </c>
      <c r="D1255" t="s">
        <v>6665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8349</v>
      </c>
      <c r="D1256" t="s">
        <v>6666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8349</v>
      </c>
      <c r="D1257" t="s">
        <v>6667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8349</v>
      </c>
      <c r="D1258" t="s">
        <v>6668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8349</v>
      </c>
      <c r="D1259" t="s">
        <v>6669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8349</v>
      </c>
      <c r="D1260" t="s">
        <v>6670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8349</v>
      </c>
      <c r="D1261" t="s">
        <v>6671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8349</v>
      </c>
      <c r="D1262" t="s">
        <v>6672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8349</v>
      </c>
      <c r="D1263" t="s">
        <v>6673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8349</v>
      </c>
      <c r="D1264" t="s">
        <v>6674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8349</v>
      </c>
      <c r="D1265" t="s">
        <v>6675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8349</v>
      </c>
      <c r="D1266" t="s">
        <v>6676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8349</v>
      </c>
      <c r="D1267" t="s">
        <v>6677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8349</v>
      </c>
      <c r="D1268" t="s">
        <v>6678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8349</v>
      </c>
      <c r="D1269" t="s">
        <v>6679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8349</v>
      </c>
      <c r="D1270" t="s">
        <v>6680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8349</v>
      </c>
      <c r="D1271" t="s">
        <v>6681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8349</v>
      </c>
      <c r="D1272" t="s">
        <v>6682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8349</v>
      </c>
      <c r="D1273" t="s">
        <v>6683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8349</v>
      </c>
      <c r="D1274" t="s">
        <v>6684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8349</v>
      </c>
      <c r="D1275" t="s">
        <v>6685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8349</v>
      </c>
      <c r="D1276" t="s">
        <v>6686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8349</v>
      </c>
      <c r="D1277" t="s">
        <v>6687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8349</v>
      </c>
      <c r="D1278" t="s">
        <v>6688</v>
      </c>
      <c r="F1278" s="21"/>
      <c r="H1278" t="str">
        <f t="shared" si="19"/>
        <v>6BF0</v>
      </c>
      <c r="I1278" s="25" t="s">
        <v>8322</v>
      </c>
    </row>
    <row r="1279" spans="3:9" x14ac:dyDescent="0.2">
      <c r="C1279" t="s">
        <v>8349</v>
      </c>
      <c r="D1279" t="s">
        <v>6689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8349</v>
      </c>
      <c r="D1280" t="s">
        <v>6690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8349</v>
      </c>
      <c r="D1281" t="s">
        <v>6691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8349</v>
      </c>
      <c r="D1282" t="s">
        <v>6692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8349</v>
      </c>
      <c r="D1283" t="s">
        <v>6693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8349</v>
      </c>
      <c r="D1284" t="s">
        <v>6694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8349</v>
      </c>
      <c r="D1285" t="s">
        <v>6695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8349</v>
      </c>
      <c r="D1286" t="s">
        <v>6696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8349</v>
      </c>
      <c r="D1287" t="s">
        <v>6697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8349</v>
      </c>
      <c r="D1288" t="s">
        <v>6698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8349</v>
      </c>
      <c r="D1289" t="s">
        <v>6699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8349</v>
      </c>
      <c r="D1290" t="s">
        <v>6700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8349</v>
      </c>
      <c r="D1291" t="s">
        <v>6701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8349</v>
      </c>
      <c r="D1292" t="s">
        <v>6702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8349</v>
      </c>
      <c r="D1293" t="s">
        <v>6703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8349</v>
      </c>
      <c r="D1294" t="s">
        <v>6704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8349</v>
      </c>
      <c r="D1295" t="s">
        <v>6705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8349</v>
      </c>
      <c r="D1296" t="s">
        <v>6706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8349</v>
      </c>
      <c r="D1297" t="s">
        <v>6707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8349</v>
      </c>
      <c r="D1298" t="s">
        <v>6708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8349</v>
      </c>
      <c r="D1299" t="s">
        <v>6709</v>
      </c>
      <c r="F1299" s="21"/>
      <c r="H1299" t="str">
        <f t="shared" si="20"/>
        <v>6DEE</v>
      </c>
      <c r="I1299" s="25" t="s">
        <v>8327</v>
      </c>
    </row>
    <row r="1300" spans="3:9" x14ac:dyDescent="0.2">
      <c r="C1300" t="s">
        <v>8349</v>
      </c>
      <c r="D1300" t="s">
        <v>6710</v>
      </c>
      <c r="F1300" s="21"/>
      <c r="H1300" t="str">
        <f t="shared" si="20"/>
        <v>6DF2</v>
      </c>
      <c r="I1300" s="25" t="s">
        <v>8328</v>
      </c>
    </row>
    <row r="1301" spans="3:9" x14ac:dyDescent="0.2">
      <c r="C1301" t="s">
        <v>8349</v>
      </c>
      <c r="D1301" t="s">
        <v>6711</v>
      </c>
      <c r="F1301" s="21"/>
      <c r="H1301" t="str">
        <f t="shared" si="20"/>
        <v>6DF6</v>
      </c>
      <c r="I1301" s="25" t="s">
        <v>8329</v>
      </c>
    </row>
    <row r="1302" spans="3:9" x14ac:dyDescent="0.2">
      <c r="C1302" t="s">
        <v>8349</v>
      </c>
      <c r="D1302" t="s">
        <v>6712</v>
      </c>
      <c r="F1302" s="21"/>
      <c r="H1302" t="str">
        <f t="shared" si="20"/>
        <v>6DFA</v>
      </c>
      <c r="I1302" s="25" t="s">
        <v>8330</v>
      </c>
    </row>
    <row r="1303" spans="3:9" x14ac:dyDescent="0.2">
      <c r="C1303" t="s">
        <v>8349</v>
      </c>
      <c r="D1303" t="s">
        <v>6713</v>
      </c>
      <c r="F1303" s="21"/>
      <c r="H1303" t="str">
        <f t="shared" si="20"/>
        <v>6DFC</v>
      </c>
      <c r="I1303" s="25" t="s">
        <v>8326</v>
      </c>
    </row>
    <row r="1304" spans="3:9" x14ac:dyDescent="0.2">
      <c r="C1304" t="s">
        <v>8349</v>
      </c>
      <c r="D1304" t="s">
        <v>6714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8349</v>
      </c>
      <c r="D1305" t="s">
        <v>6715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8349</v>
      </c>
      <c r="D1306" t="s">
        <v>6716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8349</v>
      </c>
      <c r="D1307" t="s">
        <v>6717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8349</v>
      </c>
      <c r="D1308" t="s">
        <v>6718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8349</v>
      </c>
      <c r="D1309" t="s">
        <v>6719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8349</v>
      </c>
      <c r="D1310" t="s">
        <v>6720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8349</v>
      </c>
      <c r="D1311" t="s">
        <v>6721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8349</v>
      </c>
      <c r="D1312" t="s">
        <v>6722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8349</v>
      </c>
      <c r="D1313" t="s">
        <v>6723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8349</v>
      </c>
      <c r="D1314" t="s">
        <v>6724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8349</v>
      </c>
      <c r="D1315" t="s">
        <v>6725</v>
      </c>
      <c r="F1315" s="21"/>
      <c r="H1315" t="str">
        <f t="shared" si="20"/>
        <v>6F5A</v>
      </c>
      <c r="I1315" s="25" t="s">
        <v>8331</v>
      </c>
    </row>
    <row r="1316" spans="3:9" x14ac:dyDescent="0.2">
      <c r="C1316" t="s">
        <v>8349</v>
      </c>
      <c r="D1316" t="s">
        <v>6726</v>
      </c>
      <c r="F1316" s="21"/>
      <c r="H1316" t="str">
        <f t="shared" si="20"/>
        <v>6F68</v>
      </c>
      <c r="I1316" s="25" t="s">
        <v>8332</v>
      </c>
    </row>
    <row r="1317" spans="3:9" x14ac:dyDescent="0.2">
      <c r="C1317" t="s">
        <v>8349</v>
      </c>
      <c r="D1317" t="s">
        <v>6727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8349</v>
      </c>
      <c r="D1318" t="s">
        <v>6728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8349</v>
      </c>
      <c r="D1319" t="s">
        <v>6729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8349</v>
      </c>
      <c r="D1320" t="s">
        <v>6730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8349</v>
      </c>
      <c r="D1321" t="s">
        <v>6731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8349</v>
      </c>
      <c r="D1322" t="s">
        <v>6732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8349</v>
      </c>
      <c r="D1323" t="s">
        <v>6733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8349</v>
      </c>
      <c r="D1324" t="s">
        <v>6734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8349</v>
      </c>
      <c r="D1325" t="s">
        <v>6735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8349</v>
      </c>
      <c r="D1326" t="s">
        <v>6736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8349</v>
      </c>
      <c r="D1327" t="s">
        <v>6737</v>
      </c>
      <c r="F1327" s="21"/>
      <c r="H1327" t="str">
        <f t="shared" si="20"/>
        <v>7016</v>
      </c>
      <c r="I1327" s="25" t="s">
        <v>8068</v>
      </c>
    </row>
    <row r="1328" spans="3:9" x14ac:dyDescent="0.2">
      <c r="C1328" t="s">
        <v>8349</v>
      </c>
      <c r="D1328" t="s">
        <v>6738</v>
      </c>
      <c r="F1328" s="21"/>
      <c r="H1328" t="str">
        <f t="shared" si="20"/>
        <v>7018</v>
      </c>
      <c r="I1328" s="25" t="s">
        <v>8105</v>
      </c>
    </row>
    <row r="1329" spans="3:12" x14ac:dyDescent="0.2">
      <c r="C1329" t="s">
        <v>8349</v>
      </c>
      <c r="D1329" t="s">
        <v>6739</v>
      </c>
      <c r="F1329" s="21"/>
      <c r="H1329" t="str">
        <f t="shared" si="20"/>
        <v/>
      </c>
      <c r="I1329" s="25" t="s">
        <v>6739</v>
      </c>
      <c r="J1329" t="s">
        <v>9099</v>
      </c>
      <c r="L1329" t="s">
        <v>8262</v>
      </c>
    </row>
    <row r="1330" spans="3:12" x14ac:dyDescent="0.2">
      <c r="C1330" t="s">
        <v>8349</v>
      </c>
      <c r="D1330" t="s">
        <v>6740</v>
      </c>
      <c r="F1330" s="21"/>
      <c r="H1330" t="str">
        <f t="shared" si="20"/>
        <v/>
      </c>
      <c r="I1330" s="25" t="s">
        <v>6740</v>
      </c>
      <c r="J1330" t="s">
        <v>9079</v>
      </c>
      <c r="L1330" t="s">
        <v>8263</v>
      </c>
    </row>
    <row r="1331" spans="3:12" x14ac:dyDescent="0.2">
      <c r="C1331" t="s">
        <v>8349</v>
      </c>
      <c r="D1331" t="s">
        <v>6741</v>
      </c>
      <c r="F1331" s="21"/>
      <c r="H1331" t="str">
        <f t="shared" si="20"/>
        <v/>
      </c>
      <c r="I1331" s="25" t="s">
        <v>6741</v>
      </c>
      <c r="J1331" t="s">
        <v>9080</v>
      </c>
      <c r="L1331" t="s">
        <v>8264</v>
      </c>
    </row>
    <row r="1332" spans="3:12" x14ac:dyDescent="0.2">
      <c r="C1332" t="s">
        <v>8349</v>
      </c>
      <c r="D1332" t="s">
        <v>6742</v>
      </c>
      <c r="F1332" s="21"/>
      <c r="H1332" t="str">
        <f t="shared" si="20"/>
        <v/>
      </c>
      <c r="I1332" s="25" t="s">
        <v>6742</v>
      </c>
      <c r="J1332" t="s">
        <v>9081</v>
      </c>
      <c r="L1332" t="s">
        <v>8266</v>
      </c>
    </row>
    <row r="1333" spans="3:12" x14ac:dyDescent="0.2">
      <c r="C1333" t="s">
        <v>8349</v>
      </c>
      <c r="D1333" t="s">
        <v>6743</v>
      </c>
      <c r="F1333" s="21"/>
      <c r="H1333" t="str">
        <f t="shared" si="20"/>
        <v/>
      </c>
      <c r="I1333" s="25" t="s">
        <v>6743</v>
      </c>
      <c r="J1333" t="s">
        <v>9082</v>
      </c>
      <c r="L1333" t="s">
        <v>8265</v>
      </c>
    </row>
    <row r="1334" spans="3:12" x14ac:dyDescent="0.2">
      <c r="C1334" t="s">
        <v>8349</v>
      </c>
      <c r="D1334" t="s">
        <v>6744</v>
      </c>
      <c r="F1334" s="21"/>
      <c r="H1334" t="str">
        <f t="shared" si="20"/>
        <v/>
      </c>
      <c r="I1334" s="25" t="s">
        <v>6744</v>
      </c>
      <c r="J1334" t="s">
        <v>9083</v>
      </c>
      <c r="L1334" t="s">
        <v>8267</v>
      </c>
    </row>
    <row r="1335" spans="3:12" x14ac:dyDescent="0.2">
      <c r="C1335" t="s">
        <v>8349</v>
      </c>
      <c r="D1335" t="s">
        <v>6745</v>
      </c>
      <c r="F1335" s="21"/>
      <c r="H1335" t="str">
        <f t="shared" si="20"/>
        <v>7356</v>
      </c>
      <c r="I1335" s="25" t="s">
        <v>8080</v>
      </c>
    </row>
    <row r="1336" spans="3:12" x14ac:dyDescent="0.2">
      <c r="C1336" t="s">
        <v>8349</v>
      </c>
      <c r="D1336" t="s">
        <v>6746</v>
      </c>
      <c r="F1336" s="21"/>
      <c r="H1336" t="str">
        <f t="shared" si="20"/>
        <v>7386</v>
      </c>
      <c r="I1336" s="25" t="s">
        <v>8079</v>
      </c>
    </row>
    <row r="1337" spans="3:12" x14ac:dyDescent="0.2">
      <c r="C1337" t="s">
        <v>8349</v>
      </c>
      <c r="D1337" t="s">
        <v>6747</v>
      </c>
      <c r="F1337" s="21"/>
      <c r="H1337" t="str">
        <f t="shared" si="20"/>
        <v>73A2</v>
      </c>
    </row>
    <row r="1338" spans="3:12" x14ac:dyDescent="0.2">
      <c r="C1338" t="s">
        <v>8349</v>
      </c>
      <c r="D1338" t="s">
        <v>6748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8349</v>
      </c>
      <c r="D1339" t="s">
        <v>6749</v>
      </c>
      <c r="F1339" s="21"/>
      <c r="H1339" t="str">
        <f t="shared" si="20"/>
        <v/>
      </c>
      <c r="I1339" s="25" t="s">
        <v>6749</v>
      </c>
      <c r="J1339" s="36" t="s">
        <v>9055</v>
      </c>
      <c r="L1339" t="s">
        <v>8290</v>
      </c>
    </row>
    <row r="1340" spans="3:12" x14ac:dyDescent="0.2">
      <c r="C1340" t="s">
        <v>8349</v>
      </c>
      <c r="D1340" t="s">
        <v>6750</v>
      </c>
      <c r="F1340" s="21"/>
      <c r="H1340" t="str">
        <f t="shared" si="20"/>
        <v/>
      </c>
      <c r="I1340" s="25" t="s">
        <v>6750</v>
      </c>
    </row>
    <row r="1341" spans="3:12" x14ac:dyDescent="0.2">
      <c r="C1341" t="s">
        <v>8349</v>
      </c>
      <c r="D1341" t="s">
        <v>6751</v>
      </c>
      <c r="F1341" s="21"/>
      <c r="H1341" t="str">
        <f t="shared" si="20"/>
        <v>73E6</v>
      </c>
      <c r="I1341" s="25" t="s">
        <v>8073</v>
      </c>
    </row>
    <row r="1342" spans="3:12" x14ac:dyDescent="0.2">
      <c r="C1342" t="s">
        <v>8349</v>
      </c>
      <c r="D1342" t="s">
        <v>6752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8349</v>
      </c>
      <c r="D1343" t="s">
        <v>6753</v>
      </c>
      <c r="F1343" s="21"/>
      <c r="H1343" t="str">
        <f t="shared" si="20"/>
        <v>7454</v>
      </c>
      <c r="I1343" s="25" t="s">
        <v>8072</v>
      </c>
    </row>
    <row r="1344" spans="3:12" x14ac:dyDescent="0.2">
      <c r="C1344" t="s">
        <v>8349</v>
      </c>
      <c r="D1344" t="s">
        <v>6754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8349</v>
      </c>
      <c r="D1345" t="s">
        <v>6755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8349</v>
      </c>
      <c r="D1346" t="s">
        <v>6756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8349</v>
      </c>
      <c r="D1347" t="s">
        <v>6757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8349</v>
      </c>
      <c r="D1348" t="s">
        <v>6758</v>
      </c>
      <c r="F1348" s="21"/>
      <c r="H1348" t="str">
        <f t="shared" si="21"/>
        <v/>
      </c>
      <c r="I1348" s="25" t="s">
        <v>6758</v>
      </c>
      <c r="J1348" s="37" t="s">
        <v>9087</v>
      </c>
      <c r="L1348" t="s">
        <v>8287</v>
      </c>
    </row>
    <row r="1349" spans="3:12" x14ac:dyDescent="0.2">
      <c r="C1349" t="s">
        <v>8349</v>
      </c>
      <c r="D1349" t="s">
        <v>6759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8349</v>
      </c>
      <c r="D1350" t="s">
        <v>6760</v>
      </c>
      <c r="F1350" s="21"/>
      <c r="H1350" t="str">
        <f t="shared" si="21"/>
        <v>751A</v>
      </c>
      <c r="I1350" s="25" t="s">
        <v>8084</v>
      </c>
    </row>
    <row r="1351" spans="3:12" x14ac:dyDescent="0.2">
      <c r="C1351" t="s">
        <v>8349</v>
      </c>
      <c r="D1351" t="s">
        <v>6761</v>
      </c>
      <c r="F1351" s="21"/>
      <c r="H1351" t="str">
        <f t="shared" si="21"/>
        <v>752E</v>
      </c>
      <c r="I1351" s="25" t="s">
        <v>8215</v>
      </c>
    </row>
    <row r="1352" spans="3:12" x14ac:dyDescent="0.2">
      <c r="C1352" t="s">
        <v>8349</v>
      </c>
      <c r="D1352" t="s">
        <v>6762</v>
      </c>
      <c r="F1352" s="21"/>
      <c r="H1352" t="str">
        <f t="shared" si="21"/>
        <v>7566</v>
      </c>
      <c r="I1352" s="25" t="s">
        <v>8334</v>
      </c>
    </row>
    <row r="1353" spans="3:12" x14ac:dyDescent="0.2">
      <c r="C1353" t="s">
        <v>8349</v>
      </c>
      <c r="D1353" t="s">
        <v>6763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8349</v>
      </c>
      <c r="D1354" t="s">
        <v>8521</v>
      </c>
      <c r="F1354" s="21"/>
      <c r="H1354" t="str">
        <f t="shared" si="21"/>
        <v/>
      </c>
      <c r="I1354" s="25" t="s">
        <v>8335</v>
      </c>
    </row>
    <row r="1355" spans="3:12" x14ac:dyDescent="0.2">
      <c r="C1355" t="s">
        <v>8349</v>
      </c>
      <c r="D1355" t="s">
        <v>6765</v>
      </c>
      <c r="F1355" s="21"/>
      <c r="H1355" t="str">
        <f t="shared" si="21"/>
        <v/>
      </c>
      <c r="I1355" s="25" t="s">
        <v>6765</v>
      </c>
    </row>
    <row r="1356" spans="3:12" x14ac:dyDescent="0.2">
      <c r="C1356" t="s">
        <v>8349</v>
      </c>
      <c r="D1356" t="s">
        <v>6766</v>
      </c>
      <c r="F1356" s="21"/>
      <c r="H1356" t="str">
        <f t="shared" si="21"/>
        <v/>
      </c>
      <c r="I1356" s="25" t="s">
        <v>6766</v>
      </c>
    </row>
    <row r="1357" spans="3:12" x14ac:dyDescent="0.2">
      <c r="C1357" t="s">
        <v>8349</v>
      </c>
      <c r="D1357" t="s">
        <v>6767</v>
      </c>
      <c r="F1357" s="21"/>
      <c r="H1357" t="str">
        <f t="shared" si="21"/>
        <v>7630</v>
      </c>
      <c r="I1357" s="25" t="s">
        <v>8083</v>
      </c>
    </row>
    <row r="1358" spans="3:12" x14ac:dyDescent="0.2">
      <c r="C1358" t="s">
        <v>8349</v>
      </c>
      <c r="D1358" t="s">
        <v>6768</v>
      </c>
      <c r="F1358" s="21"/>
      <c r="H1358" t="str">
        <f t="shared" si="21"/>
        <v>763C</v>
      </c>
      <c r="I1358" s="25" t="s">
        <v>8115</v>
      </c>
    </row>
    <row r="1359" spans="3:12" x14ac:dyDescent="0.2">
      <c r="C1359" t="s">
        <v>8349</v>
      </c>
      <c r="D1359" t="s">
        <v>6769</v>
      </c>
      <c r="F1359" s="21"/>
      <c r="H1359" t="str">
        <f t="shared" si="21"/>
        <v>7660</v>
      </c>
    </row>
    <row r="1360" spans="3:12" x14ac:dyDescent="0.2">
      <c r="C1360" t="s">
        <v>8349</v>
      </c>
      <c r="D1360" t="s">
        <v>6770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8349</v>
      </c>
      <c r="D1361" t="s">
        <v>6771</v>
      </c>
      <c r="F1361" s="21"/>
      <c r="H1361" t="str">
        <f t="shared" si="21"/>
        <v>7686</v>
      </c>
      <c r="I1361" s="25" t="s">
        <v>8081</v>
      </c>
    </row>
    <row r="1362" spans="3:9" x14ac:dyDescent="0.2">
      <c r="C1362" t="s">
        <v>8349</v>
      </c>
      <c r="D1362" t="s">
        <v>6772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8349</v>
      </c>
      <c r="D1363" t="s">
        <v>6773</v>
      </c>
      <c r="F1363" s="21"/>
      <c r="H1363" t="str">
        <f t="shared" si="21"/>
        <v>76B4</v>
      </c>
      <c r="I1363" s="25" t="s">
        <v>8110</v>
      </c>
    </row>
    <row r="1364" spans="3:9" x14ac:dyDescent="0.2">
      <c r="C1364" t="s">
        <v>8349</v>
      </c>
      <c r="D1364" t="s">
        <v>6774</v>
      </c>
      <c r="F1364" s="21"/>
      <c r="H1364" t="str">
        <f t="shared" si="21"/>
        <v>76D2</v>
      </c>
      <c r="I1364" s="25" t="s">
        <v>8085</v>
      </c>
    </row>
    <row r="1365" spans="3:9" x14ac:dyDescent="0.2">
      <c r="C1365" t="s">
        <v>8349</v>
      </c>
      <c r="D1365" t="s">
        <v>6775</v>
      </c>
      <c r="F1365" s="21"/>
      <c r="H1365" t="str">
        <f t="shared" si="21"/>
        <v>76EA</v>
      </c>
      <c r="I1365" s="25" t="s">
        <v>8086</v>
      </c>
    </row>
    <row r="1366" spans="3:9" x14ac:dyDescent="0.2">
      <c r="C1366" t="s">
        <v>8349</v>
      </c>
      <c r="D1366" t="s">
        <v>6776</v>
      </c>
      <c r="F1366" s="21"/>
      <c r="H1366" t="str">
        <f t="shared" si="21"/>
        <v>7702</v>
      </c>
      <c r="I1366" s="25" t="s">
        <v>8071</v>
      </c>
    </row>
    <row r="1367" spans="3:9" x14ac:dyDescent="0.2">
      <c r="C1367" t="s">
        <v>8349</v>
      </c>
      <c r="D1367" t="s">
        <v>6777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8349</v>
      </c>
      <c r="D1368" t="s">
        <v>6778</v>
      </c>
      <c r="F1368" s="21"/>
      <c r="H1368" t="str">
        <f t="shared" si="21"/>
        <v>7712</v>
      </c>
      <c r="I1368" s="25" t="s">
        <v>8077</v>
      </c>
    </row>
    <row r="1369" spans="3:9" x14ac:dyDescent="0.2">
      <c r="C1369" t="s">
        <v>8349</v>
      </c>
      <c r="D1369" t="s">
        <v>6779</v>
      </c>
      <c r="F1369" s="21"/>
      <c r="H1369" t="str">
        <f t="shared" si="21"/>
        <v>771A</v>
      </c>
      <c r="I1369" s="25" t="s">
        <v>8114</v>
      </c>
    </row>
    <row r="1370" spans="3:9" x14ac:dyDescent="0.2">
      <c r="C1370" t="s">
        <v>8349</v>
      </c>
      <c r="D1370" t="s">
        <v>6780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8349</v>
      </c>
      <c r="D1371" t="s">
        <v>6781</v>
      </c>
      <c r="F1371" s="21"/>
      <c r="H1371" t="str">
        <f t="shared" si="21"/>
        <v>7734</v>
      </c>
      <c r="I1371" s="25" t="s">
        <v>8074</v>
      </c>
    </row>
    <row r="1372" spans="3:9" x14ac:dyDescent="0.2">
      <c r="C1372" t="s">
        <v>8349</v>
      </c>
      <c r="D1372" t="s">
        <v>6782</v>
      </c>
      <c r="F1372" s="21"/>
      <c r="H1372" t="str">
        <f t="shared" si="21"/>
        <v>7746</v>
      </c>
      <c r="I1372" s="25" t="s">
        <v>8109</v>
      </c>
    </row>
    <row r="1373" spans="3:9" x14ac:dyDescent="0.2">
      <c r="C1373" t="s">
        <v>8349</v>
      </c>
      <c r="D1373" t="s">
        <v>6783</v>
      </c>
      <c r="F1373" s="21"/>
      <c r="H1373" t="str">
        <f t="shared" si="21"/>
        <v>7758</v>
      </c>
      <c r="I1373" s="25" t="s">
        <v>8113</v>
      </c>
    </row>
    <row r="1374" spans="3:9" x14ac:dyDescent="0.2">
      <c r="C1374" t="s">
        <v>8349</v>
      </c>
      <c r="D1374" t="s">
        <v>6784</v>
      </c>
      <c r="F1374" s="21"/>
      <c r="H1374" t="str">
        <f t="shared" si="21"/>
        <v>7768</v>
      </c>
      <c r="I1374" s="25" t="s">
        <v>8112</v>
      </c>
    </row>
    <row r="1375" spans="3:9" x14ac:dyDescent="0.2">
      <c r="C1375" t="s">
        <v>8349</v>
      </c>
      <c r="D1375" t="s">
        <v>6785</v>
      </c>
      <c r="F1375" s="21"/>
      <c r="H1375" t="str">
        <f t="shared" si="21"/>
        <v>776C</v>
      </c>
      <c r="I1375" s="25" t="s">
        <v>8111</v>
      </c>
    </row>
    <row r="1376" spans="3:9" x14ac:dyDescent="0.2">
      <c r="C1376" t="s">
        <v>8349</v>
      </c>
      <c r="D1376" t="s">
        <v>6786</v>
      </c>
      <c r="F1376" s="21"/>
      <c r="H1376" t="str">
        <f t="shared" si="21"/>
        <v>777E</v>
      </c>
      <c r="I1376" s="25" t="s">
        <v>8075</v>
      </c>
    </row>
    <row r="1377" spans="3:9" x14ac:dyDescent="0.2">
      <c r="C1377" t="s">
        <v>8349</v>
      </c>
      <c r="D1377" t="s">
        <v>6787</v>
      </c>
      <c r="F1377" s="21"/>
      <c r="H1377" t="str">
        <f t="shared" si="21"/>
        <v>778A</v>
      </c>
      <c r="I1377" s="25" t="s">
        <v>8082</v>
      </c>
    </row>
    <row r="1378" spans="3:9" x14ac:dyDescent="0.2">
      <c r="C1378" t="s">
        <v>8349</v>
      </c>
      <c r="D1378" t="s">
        <v>6788</v>
      </c>
      <c r="F1378" s="21"/>
      <c r="H1378" t="str">
        <f t="shared" si="21"/>
        <v>7796</v>
      </c>
      <c r="I1378" s="25" t="s">
        <v>8076</v>
      </c>
    </row>
    <row r="1379" spans="3:9" x14ac:dyDescent="0.2">
      <c r="C1379" t="s">
        <v>8349</v>
      </c>
      <c r="D1379" t="s">
        <v>6789</v>
      </c>
      <c r="F1379" s="21"/>
      <c r="H1379" t="str">
        <f t="shared" si="21"/>
        <v>77D6</v>
      </c>
      <c r="I1379" s="25" t="s">
        <v>8078</v>
      </c>
    </row>
    <row r="1380" spans="3:9" x14ac:dyDescent="0.2">
      <c r="C1380" t="s">
        <v>8349</v>
      </c>
      <c r="D1380" t="s">
        <v>6790</v>
      </c>
      <c r="F1380" s="21"/>
      <c r="H1380" t="str">
        <f t="shared" si="21"/>
        <v>7800</v>
      </c>
      <c r="I1380" s="25" t="s">
        <v>8069</v>
      </c>
    </row>
    <row r="1381" spans="3:9" x14ac:dyDescent="0.2">
      <c r="C1381" t="s">
        <v>8349</v>
      </c>
      <c r="D1381" t="s">
        <v>6791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8349</v>
      </c>
      <c r="D1382" t="s">
        <v>6792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8349</v>
      </c>
      <c r="D1383" t="s">
        <v>6793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8349</v>
      </c>
      <c r="D1384" t="s">
        <v>6794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8349</v>
      </c>
      <c r="D1385" t="s">
        <v>6795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8349</v>
      </c>
      <c r="D1386" t="s">
        <v>6796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8349</v>
      </c>
      <c r="D1387" t="s">
        <v>6797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8349</v>
      </c>
      <c r="D1388" t="s">
        <v>6798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8349</v>
      </c>
      <c r="D1389" t="s">
        <v>6799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8349</v>
      </c>
      <c r="D1390" t="s">
        <v>6800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8349</v>
      </c>
      <c r="D1391" t="s">
        <v>6801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8349</v>
      </c>
      <c r="D1392" t="s">
        <v>6802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8349</v>
      </c>
      <c r="D1393" t="s">
        <v>6803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8349</v>
      </c>
      <c r="D1394" t="s">
        <v>6804</v>
      </c>
      <c r="F1394" s="21"/>
      <c r="H1394" t="str">
        <f t="shared" si="21"/>
        <v>78F0</v>
      </c>
      <c r="I1394" s="25" t="s">
        <v>8070</v>
      </c>
    </row>
    <row r="1395" spans="3:9" x14ac:dyDescent="0.2">
      <c r="C1395" t="s">
        <v>8349</v>
      </c>
      <c r="D1395" t="s">
        <v>6805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8349</v>
      </c>
      <c r="D1396" t="s">
        <v>6806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8349</v>
      </c>
      <c r="D1397" t="s">
        <v>6807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8349</v>
      </c>
      <c r="D1398" t="s">
        <v>6808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8349</v>
      </c>
      <c r="D1399" t="s">
        <v>6809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8349</v>
      </c>
      <c r="D1400" t="s">
        <v>6810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8349</v>
      </c>
      <c r="D1401" t="s">
        <v>6811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8349</v>
      </c>
      <c r="D1402" t="s">
        <v>6812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8349</v>
      </c>
      <c r="D1403" t="s">
        <v>6813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8349</v>
      </c>
      <c r="D1404" t="s">
        <v>6814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8349</v>
      </c>
      <c r="D1405" t="s">
        <v>6815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8349</v>
      </c>
      <c r="D1406" t="s">
        <v>6816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8349</v>
      </c>
      <c r="D1407" t="s">
        <v>6817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8349</v>
      </c>
      <c r="D1408" t="s">
        <v>6818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8349</v>
      </c>
      <c r="D1409" t="s">
        <v>6819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8349</v>
      </c>
      <c r="D1410" t="s">
        <v>6820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8349</v>
      </c>
      <c r="D1411" t="s">
        <v>6821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8349</v>
      </c>
      <c r="D1412" t="s">
        <v>6822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8349</v>
      </c>
      <c r="D1413" t="s">
        <v>6823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8349</v>
      </c>
      <c r="D1414" t="s">
        <v>6824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8349</v>
      </c>
      <c r="D1415" t="s">
        <v>6825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8349</v>
      </c>
      <c r="D1416" t="s">
        <v>6826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8349</v>
      </c>
      <c r="D1417" t="s">
        <v>6827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8349</v>
      </c>
      <c r="D1418" t="s">
        <v>6828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8349</v>
      </c>
      <c r="D1419" t="s">
        <v>6829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8349</v>
      </c>
      <c r="D1420" t="s">
        <v>6830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8349</v>
      </c>
      <c r="D1421" t="s">
        <v>6831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8349</v>
      </c>
      <c r="D1422" t="s">
        <v>6832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8349</v>
      </c>
      <c r="D1423" t="s">
        <v>6833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8349</v>
      </c>
      <c r="D1424" t="s">
        <v>6834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8349</v>
      </c>
      <c r="D1425" t="s">
        <v>6835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8349</v>
      </c>
      <c r="D1426" t="s">
        <v>6836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8349</v>
      </c>
      <c r="D1427" t="s">
        <v>6837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8349</v>
      </c>
      <c r="D1428" t="s">
        <v>6838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8349</v>
      </c>
      <c r="D1429" t="s">
        <v>6839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8349</v>
      </c>
      <c r="D1430" t="s">
        <v>6840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8349</v>
      </c>
      <c r="D1431" t="s">
        <v>6841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8349</v>
      </c>
      <c r="D1432" t="s">
        <v>6842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8349</v>
      </c>
      <c r="D1433" t="s">
        <v>6843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8349</v>
      </c>
      <c r="D1434" t="s">
        <v>6844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8349</v>
      </c>
      <c r="D1435" t="s">
        <v>6845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8349</v>
      </c>
      <c r="D1436" t="s">
        <v>6846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8349</v>
      </c>
      <c r="D1437" t="s">
        <v>6847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8349</v>
      </c>
      <c r="D1438" t="s">
        <v>6848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8349</v>
      </c>
      <c r="D1439" t="s">
        <v>6849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8349</v>
      </c>
      <c r="D1440" t="s">
        <v>6850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8349</v>
      </c>
      <c r="D1441" t="s">
        <v>6851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8349</v>
      </c>
      <c r="D1442" t="s">
        <v>6852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8349</v>
      </c>
      <c r="D1443" t="s">
        <v>6853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8349</v>
      </c>
      <c r="D1444" t="s">
        <v>6854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8349</v>
      </c>
      <c r="D1445" t="s">
        <v>6855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8349</v>
      </c>
      <c r="D1446" t="s">
        <v>6856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8349</v>
      </c>
      <c r="D1447" t="s">
        <v>6857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8349</v>
      </c>
      <c r="D1448" t="s">
        <v>6858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8349</v>
      </c>
      <c r="D1449" t="s">
        <v>6859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8349</v>
      </c>
      <c r="D1450" t="s">
        <v>6860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8349</v>
      </c>
      <c r="D1451" t="s">
        <v>6861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8349</v>
      </c>
      <c r="D1452" t="s">
        <v>6862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8349</v>
      </c>
      <c r="D1453" t="s">
        <v>6863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8349</v>
      </c>
      <c r="D1454" t="s">
        <v>6864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8349</v>
      </c>
      <c r="D1455" t="s">
        <v>6865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8349</v>
      </c>
      <c r="D1456" t="s">
        <v>6866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8349</v>
      </c>
      <c r="D1457" t="s">
        <v>6867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8349</v>
      </c>
      <c r="D1458" t="s">
        <v>6868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8349</v>
      </c>
      <c r="D1459" t="s">
        <v>6869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8349</v>
      </c>
      <c r="D1460" t="s">
        <v>6870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8349</v>
      </c>
      <c r="D1461" t="s">
        <v>6871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8349</v>
      </c>
      <c r="D1462" t="s">
        <v>6872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8349</v>
      </c>
      <c r="D1463" t="s">
        <v>6873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8349</v>
      </c>
      <c r="D1464" t="s">
        <v>6874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8349</v>
      </c>
      <c r="D1465" t="s">
        <v>6875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8349</v>
      </c>
      <c r="D1466" t="s">
        <v>6876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8349</v>
      </c>
      <c r="D1467" t="s">
        <v>6877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8349</v>
      </c>
      <c r="D1468" t="s">
        <v>6878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8349</v>
      </c>
      <c r="D1469" t="s">
        <v>6879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8349</v>
      </c>
      <c r="D1470" t="s">
        <v>6880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8349</v>
      </c>
      <c r="D1471" t="s">
        <v>6881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8349</v>
      </c>
      <c r="D1472" t="s">
        <v>6882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8349</v>
      </c>
      <c r="D1473" t="s">
        <v>6883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8349</v>
      </c>
      <c r="D1474" t="s">
        <v>6884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8349</v>
      </c>
      <c r="D1475" t="s">
        <v>6885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8349</v>
      </c>
      <c r="D1476" t="s">
        <v>6886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8349</v>
      </c>
      <c r="D1477" t="s">
        <v>6887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8349</v>
      </c>
      <c r="D1478" t="s">
        <v>6888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8349</v>
      </c>
      <c r="D1479" t="s">
        <v>6889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8349</v>
      </c>
      <c r="D1480" t="s">
        <v>6890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8349</v>
      </c>
      <c r="D1481" t="s">
        <v>6891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8349</v>
      </c>
      <c r="D1482" t="s">
        <v>6892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8349</v>
      </c>
      <c r="D1483" t="s">
        <v>6893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8349</v>
      </c>
      <c r="D1484" t="s">
        <v>6894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8349</v>
      </c>
      <c r="D1485" t="s">
        <v>6895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8349</v>
      </c>
      <c r="D1486" t="s">
        <v>6896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8349</v>
      </c>
      <c r="D1487" t="s">
        <v>6897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8349</v>
      </c>
      <c r="D1488" t="s">
        <v>6898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8349</v>
      </c>
      <c r="D1489" t="s">
        <v>6899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8349</v>
      </c>
      <c r="D1490" t="s">
        <v>6900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8349</v>
      </c>
      <c r="D1491" t="s">
        <v>6901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8349</v>
      </c>
      <c r="D1492" t="s">
        <v>6902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8349</v>
      </c>
      <c r="D1493" t="s">
        <v>6903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8349</v>
      </c>
      <c r="D1494" t="s">
        <v>6904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8349</v>
      </c>
      <c r="D1495" t="s">
        <v>6905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8349</v>
      </c>
      <c r="D1496" t="s">
        <v>6906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8349</v>
      </c>
      <c r="D1497" t="s">
        <v>6907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8349</v>
      </c>
      <c r="D1498" t="s">
        <v>6908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8349</v>
      </c>
      <c r="D1499" t="s">
        <v>6909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8349</v>
      </c>
      <c r="D1500" t="s">
        <v>6910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8349</v>
      </c>
      <c r="D1501" t="s">
        <v>6911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8349</v>
      </c>
      <c r="D1502" t="s">
        <v>6912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8349</v>
      </c>
      <c r="D1503" t="s">
        <v>6913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8349</v>
      </c>
      <c r="D1504" t="s">
        <v>6914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8349</v>
      </c>
      <c r="D1505" t="s">
        <v>6915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8349</v>
      </c>
      <c r="D1506" t="s">
        <v>6916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8349</v>
      </c>
      <c r="D1507" t="s">
        <v>6917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8349</v>
      </c>
      <c r="D1508" t="s">
        <v>6918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8349</v>
      </c>
      <c r="D1509" t="s">
        <v>6919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8349</v>
      </c>
      <c r="D1510" t="s">
        <v>6920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8349</v>
      </c>
      <c r="D1511" t="s">
        <v>6921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8349</v>
      </c>
      <c r="D1512" t="s">
        <v>6922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8349</v>
      </c>
      <c r="D1513" t="s">
        <v>6923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8349</v>
      </c>
      <c r="D1514" t="s">
        <v>6924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8349</v>
      </c>
      <c r="D1515" t="s">
        <v>6925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8349</v>
      </c>
      <c r="D1516" t="s">
        <v>6926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8349</v>
      </c>
      <c r="D1517" t="s">
        <v>6927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8349</v>
      </c>
      <c r="D1518" t="s">
        <v>6928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8349</v>
      </c>
      <c r="D1519" t="s">
        <v>6929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8349</v>
      </c>
      <c r="D1520" t="s">
        <v>6930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8349</v>
      </c>
      <c r="D1521" t="s">
        <v>6931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8349</v>
      </c>
      <c r="D1522" t="s">
        <v>6932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8349</v>
      </c>
      <c r="D1523" t="s">
        <v>6933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8349</v>
      </c>
      <c r="D1524" t="s">
        <v>6934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8349</v>
      </c>
      <c r="D1525" t="s">
        <v>6935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8349</v>
      </c>
      <c r="D1526" t="s">
        <v>6936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8349</v>
      </c>
      <c r="D1527" t="s">
        <v>6937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8349</v>
      </c>
      <c r="D1528" t="s">
        <v>6938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8349</v>
      </c>
      <c r="D1529" t="s">
        <v>6939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8349</v>
      </c>
      <c r="D1530" t="s">
        <v>6940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8349</v>
      </c>
      <c r="D1531" t="s">
        <v>6941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8349</v>
      </c>
      <c r="D1532" t="s">
        <v>6942</v>
      </c>
      <c r="F1532" s="21"/>
      <c r="H1532" t="str">
        <f t="shared" si="23"/>
        <v>846A</v>
      </c>
      <c r="I1532" s="25" t="s">
        <v>2754</v>
      </c>
    </row>
    <row r="1533" spans="3:9" x14ac:dyDescent="0.2">
      <c r="C1533" t="s">
        <v>8349</v>
      </c>
      <c r="D1533" t="s">
        <v>6943</v>
      </c>
      <c r="F1533" s="21"/>
      <c r="H1533" t="str">
        <f t="shared" si="23"/>
        <v>846E</v>
      </c>
      <c r="I1533" s="25" t="s">
        <v>8479</v>
      </c>
    </row>
    <row r="1534" spans="3:9" x14ac:dyDescent="0.2">
      <c r="C1534" t="s">
        <v>8349</v>
      </c>
      <c r="D1534" t="s">
        <v>6944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8349</v>
      </c>
      <c r="D1535" t="s">
        <v>6945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8349</v>
      </c>
      <c r="D1536" t="s">
        <v>6946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8349</v>
      </c>
      <c r="D1537" t="s">
        <v>6947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8349</v>
      </c>
      <c r="D1538" t="s">
        <v>6948</v>
      </c>
      <c r="F1538" s="21"/>
      <c r="H1538" t="str">
        <f t="shared" ref="H1538:H1601" si="24">IFERROR(DEC2HEX(IF(LEFT(D1538,3)="adr",HEX2DEC(LEFT(RIGHT(D1538,6),6)),"")),"")</f>
        <v/>
      </c>
      <c r="I1538" s="25" t="s">
        <v>6948</v>
      </c>
    </row>
    <row r="1539" spans="3:9" x14ac:dyDescent="0.2">
      <c r="C1539" t="s">
        <v>8349</v>
      </c>
      <c r="D1539" t="s">
        <v>6949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8349</v>
      </c>
      <c r="D1540" t="s">
        <v>6950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8349</v>
      </c>
      <c r="D1541" t="s">
        <v>6951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8349</v>
      </c>
      <c r="D1542" t="s">
        <v>6952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8349</v>
      </c>
      <c r="D1543" t="s">
        <v>6953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8349</v>
      </c>
      <c r="D1544" t="s">
        <v>6954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8349</v>
      </c>
      <c r="D1545" t="s">
        <v>6955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8349</v>
      </c>
      <c r="D1546" t="s">
        <v>6956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8349</v>
      </c>
      <c r="D1547" t="s">
        <v>6957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8349</v>
      </c>
      <c r="D1548" t="s">
        <v>6958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8349</v>
      </c>
      <c r="D1549" t="s">
        <v>6959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8349</v>
      </c>
      <c r="D1550" t="s">
        <v>6960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8349</v>
      </c>
      <c r="D1551" t="s">
        <v>6961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8349</v>
      </c>
      <c r="D1552" t="s">
        <v>6962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8349</v>
      </c>
      <c r="D1553" t="s">
        <v>6963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8349</v>
      </c>
      <c r="D1554" t="s">
        <v>6964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8349</v>
      </c>
      <c r="D1555" t="s">
        <v>6965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8349</v>
      </c>
      <c r="D1556" t="s">
        <v>6966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8349</v>
      </c>
      <c r="D1557" t="s">
        <v>6967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8349</v>
      </c>
      <c r="D1558" t="s">
        <v>6968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8349</v>
      </c>
      <c r="D1559" t="s">
        <v>6969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8349</v>
      </c>
      <c r="D1560" t="s">
        <v>6970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8349</v>
      </c>
      <c r="D1561" t="s">
        <v>6971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8349</v>
      </c>
      <c r="D1562" t="s">
        <v>6972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8349</v>
      </c>
      <c r="D1563" t="s">
        <v>6973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8349</v>
      </c>
      <c r="D1564" t="s">
        <v>6974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8349</v>
      </c>
      <c r="D1565" t="s">
        <v>6975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8349</v>
      </c>
      <c r="D1566" t="s">
        <v>6976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8349</v>
      </c>
      <c r="D1567" t="s">
        <v>6977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8349</v>
      </c>
      <c r="D1568" t="s">
        <v>6978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8349</v>
      </c>
      <c r="D1569" t="s">
        <v>6979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8349</v>
      </c>
      <c r="D1570" t="s">
        <v>6980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8349</v>
      </c>
      <c r="D1571" t="s">
        <v>6981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8349</v>
      </c>
      <c r="D1572" t="s">
        <v>6982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8349</v>
      </c>
      <c r="D1573" t="s">
        <v>6983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8349</v>
      </c>
      <c r="D1574" t="s">
        <v>6984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8349</v>
      </c>
      <c r="D1575" t="s">
        <v>6985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8349</v>
      </c>
      <c r="D1576" t="s">
        <v>6986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8349</v>
      </c>
      <c r="D1577" t="s">
        <v>6987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8349</v>
      </c>
      <c r="D1578" t="s">
        <v>6988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8349</v>
      </c>
      <c r="D1579" t="s">
        <v>6989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8349</v>
      </c>
      <c r="D1580" t="s">
        <v>6990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8349</v>
      </c>
      <c r="D1581" t="s">
        <v>6991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8349</v>
      </c>
      <c r="D1582" t="s">
        <v>6992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8349</v>
      </c>
      <c r="D1583" t="s">
        <v>6993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8349</v>
      </c>
      <c r="D1584" t="s">
        <v>6994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8349</v>
      </c>
      <c r="D1585" t="s">
        <v>6995</v>
      </c>
      <c r="F1585" s="21"/>
      <c r="H1585" t="str">
        <f t="shared" si="24"/>
        <v/>
      </c>
      <c r="I1585" s="25" t="s">
        <v>6995</v>
      </c>
    </row>
    <row r="1586" spans="3:11" x14ac:dyDescent="0.2">
      <c r="C1586" t="s">
        <v>8349</v>
      </c>
      <c r="D1586" t="s">
        <v>6996</v>
      </c>
      <c r="F1586" s="21"/>
      <c r="H1586" t="str">
        <f t="shared" si="24"/>
        <v>8910</v>
      </c>
      <c r="I1586" s="25" t="s">
        <v>8028</v>
      </c>
    </row>
    <row r="1587" spans="3:11" x14ac:dyDescent="0.2">
      <c r="C1587" t="s">
        <v>8349</v>
      </c>
      <c r="D1587" t="s">
        <v>6997</v>
      </c>
      <c r="F1587" s="21"/>
      <c r="H1587" t="str">
        <f t="shared" si="24"/>
        <v>8920</v>
      </c>
      <c r="I1587" s="25" t="s">
        <v>8029</v>
      </c>
    </row>
    <row r="1588" spans="3:11" x14ac:dyDescent="0.2">
      <c r="C1588" t="s">
        <v>8349</v>
      </c>
      <c r="D1588" t="s">
        <v>6998</v>
      </c>
      <c r="F1588" s="21"/>
      <c r="H1588" t="str">
        <f t="shared" si="24"/>
        <v>8938</v>
      </c>
      <c r="I1588" s="25" t="s">
        <v>8030</v>
      </c>
    </row>
    <row r="1589" spans="3:11" s="10" customFormat="1" ht="16" x14ac:dyDescent="0.2">
      <c r="C1589" t="s">
        <v>8349</v>
      </c>
      <c r="D1589" s="10" t="s">
        <v>6999</v>
      </c>
      <c r="E1589" s="31"/>
      <c r="F1589" s="21"/>
      <c r="H1589" s="10" t="str">
        <f t="shared" si="24"/>
        <v>893A</v>
      </c>
      <c r="I1589" s="25" t="s">
        <v>8477</v>
      </c>
      <c r="K1589" s="20" t="s">
        <v>8222</v>
      </c>
    </row>
    <row r="1590" spans="3:11" x14ac:dyDescent="0.2">
      <c r="C1590" t="s">
        <v>8349</v>
      </c>
      <c r="D1590" t="s">
        <v>7000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8349</v>
      </c>
      <c r="D1591" t="s">
        <v>7001</v>
      </c>
      <c r="F1591" s="21"/>
      <c r="H1591" t="str">
        <f t="shared" si="24"/>
        <v>8952</v>
      </c>
      <c r="I1591" s="25" t="s">
        <v>8124</v>
      </c>
    </row>
    <row r="1592" spans="3:11" x14ac:dyDescent="0.2">
      <c r="C1592" t="s">
        <v>8349</v>
      </c>
      <c r="D1592" t="s">
        <v>7002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8349</v>
      </c>
      <c r="D1593" t="s">
        <v>7003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8349</v>
      </c>
      <c r="D1594" t="s">
        <v>7004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8349</v>
      </c>
      <c r="D1595" t="s">
        <v>7005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8349</v>
      </c>
      <c r="D1596" t="s">
        <v>7006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8349</v>
      </c>
      <c r="D1597" t="s">
        <v>7007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8349</v>
      </c>
      <c r="D1598" t="s">
        <v>7008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8349</v>
      </c>
      <c r="D1599" t="s">
        <v>7009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8349</v>
      </c>
      <c r="D1600" t="s">
        <v>7010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8349</v>
      </c>
      <c r="D1601" t="s">
        <v>7011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8349</v>
      </c>
      <c r="D1602" t="s">
        <v>7012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8349</v>
      </c>
      <c r="D1603" t="s">
        <v>7013</v>
      </c>
      <c r="F1603" s="21"/>
      <c r="H1603" t="str">
        <f t="shared" si="25"/>
        <v>8A1C</v>
      </c>
      <c r="I1603" s="25" t="s">
        <v>8121</v>
      </c>
    </row>
    <row r="1604" spans="3:9" x14ac:dyDescent="0.2">
      <c r="C1604" t="s">
        <v>8349</v>
      </c>
      <c r="D1604" t="s">
        <v>7014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8349</v>
      </c>
      <c r="D1605" t="s">
        <v>7015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8349</v>
      </c>
      <c r="D1606" t="s">
        <v>7016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8349</v>
      </c>
      <c r="D1607" t="s">
        <v>7017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8349</v>
      </c>
      <c r="D1608" t="s">
        <v>7018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8349</v>
      </c>
      <c r="D1609" t="s">
        <v>7019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8349</v>
      </c>
      <c r="D1610" t="s">
        <v>7020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8349</v>
      </c>
      <c r="D1611" t="s">
        <v>7021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8349</v>
      </c>
      <c r="D1612" t="s">
        <v>7022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8349</v>
      </c>
      <c r="D1613" t="s">
        <v>7023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8349</v>
      </c>
      <c r="D1614" t="s">
        <v>7024</v>
      </c>
      <c r="F1614" s="21"/>
      <c r="H1614" t="str">
        <f t="shared" si="25"/>
        <v>8AFE</v>
      </c>
      <c r="I1614" s="25" t="s">
        <v>8125</v>
      </c>
    </row>
    <row r="1615" spans="3:9" x14ac:dyDescent="0.2">
      <c r="C1615" t="s">
        <v>8349</v>
      </c>
      <c r="D1615" t="s">
        <v>7025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8349</v>
      </c>
      <c r="D1616" t="s">
        <v>7026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8349</v>
      </c>
      <c r="D1617" t="s">
        <v>7027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8349</v>
      </c>
      <c r="D1618" t="s">
        <v>7028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8349</v>
      </c>
      <c r="D1619" t="s">
        <v>7029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8349</v>
      </c>
      <c r="D1620" t="s">
        <v>7030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8349</v>
      </c>
      <c r="D1621" t="s">
        <v>7031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8349</v>
      </c>
      <c r="D1622" t="s">
        <v>7032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8349</v>
      </c>
      <c r="D1623" t="s">
        <v>7033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8349</v>
      </c>
      <c r="D1624" t="s">
        <v>7034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8349</v>
      </c>
      <c r="D1625" t="s">
        <v>7035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8349</v>
      </c>
      <c r="D1626" t="s">
        <v>7036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8349</v>
      </c>
      <c r="D1627" t="s">
        <v>7037</v>
      </c>
      <c r="F1627" s="21"/>
      <c r="H1627" t="str">
        <f t="shared" si="25"/>
        <v>8C1A</v>
      </c>
      <c r="I1627" s="25" t="s">
        <v>8126</v>
      </c>
    </row>
    <row r="1628" spans="3:9" x14ac:dyDescent="0.2">
      <c r="C1628" t="s">
        <v>8349</v>
      </c>
      <c r="D1628" t="s">
        <v>7038</v>
      </c>
      <c r="F1628" s="21"/>
      <c r="H1628" t="str">
        <f t="shared" si="25"/>
        <v>8C1C</v>
      </c>
      <c r="I1628" s="25" t="s">
        <v>8127</v>
      </c>
    </row>
    <row r="1629" spans="3:9" x14ac:dyDescent="0.2">
      <c r="C1629" t="s">
        <v>8349</v>
      </c>
      <c r="D1629" t="s">
        <v>7039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8349</v>
      </c>
      <c r="D1630" t="s">
        <v>7040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8349</v>
      </c>
      <c r="D1631" t="s">
        <v>7041</v>
      </c>
      <c r="F1631" s="21"/>
      <c r="H1631" t="str">
        <f t="shared" si="25"/>
        <v>8C20</v>
      </c>
      <c r="I1631" s="25" t="s">
        <v>8219</v>
      </c>
    </row>
    <row r="1632" spans="3:9" x14ac:dyDescent="0.2">
      <c r="C1632" t="s">
        <v>8349</v>
      </c>
      <c r="D1632" t="s">
        <v>7042</v>
      </c>
      <c r="F1632" s="21"/>
      <c r="H1632" t="str">
        <f t="shared" si="25"/>
        <v>8C40</v>
      </c>
    </row>
    <row r="1633" spans="3:9" x14ac:dyDescent="0.2">
      <c r="C1633" t="s">
        <v>8349</v>
      </c>
      <c r="D1633" t="s">
        <v>7043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8349</v>
      </c>
      <c r="D1634" t="s">
        <v>7044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8349</v>
      </c>
      <c r="D1635" t="s">
        <v>7045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8349</v>
      </c>
      <c r="D1636" t="s">
        <v>7046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8349</v>
      </c>
      <c r="D1637" t="s">
        <v>7047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8349</v>
      </c>
      <c r="D1638" t="s">
        <v>7048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8349</v>
      </c>
      <c r="D1639" t="s">
        <v>7049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8349</v>
      </c>
      <c r="D1640" t="s">
        <v>7050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8349</v>
      </c>
      <c r="D1641" t="s">
        <v>7051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8349</v>
      </c>
      <c r="D1642" t="s">
        <v>7052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8349</v>
      </c>
      <c r="D1643" t="s">
        <v>7053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8349</v>
      </c>
      <c r="D1644" t="s">
        <v>7054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8349</v>
      </c>
      <c r="D1645" t="s">
        <v>7055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8349</v>
      </c>
      <c r="D1646" t="s">
        <v>7056</v>
      </c>
      <c r="F1646" s="21"/>
      <c r="H1646" t="str">
        <f t="shared" si="25"/>
        <v/>
      </c>
      <c r="I1646" s="25" t="s">
        <v>7056</v>
      </c>
    </row>
    <row r="1647" spans="3:9" x14ac:dyDescent="0.2">
      <c r="C1647" t="s">
        <v>8349</v>
      </c>
      <c r="D1647" t="s">
        <v>7057</v>
      </c>
      <c r="F1647" s="21"/>
      <c r="H1647" t="str">
        <f t="shared" si="25"/>
        <v/>
      </c>
      <c r="I1647" s="25" t="s">
        <v>7057</v>
      </c>
    </row>
    <row r="1648" spans="3:9" x14ac:dyDescent="0.2">
      <c r="C1648" t="s">
        <v>8349</v>
      </c>
      <c r="D1648" t="s">
        <v>7058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8349</v>
      </c>
      <c r="D1649" t="s">
        <v>7059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8349</v>
      </c>
      <c r="D1650" t="s">
        <v>7060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8349</v>
      </c>
      <c r="D1651" t="s">
        <v>7061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8349</v>
      </c>
      <c r="D1652" t="s">
        <v>7062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8349</v>
      </c>
      <c r="D1653" t="s">
        <v>7063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8349</v>
      </c>
      <c r="D1654" t="s">
        <v>7064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8349</v>
      </c>
      <c r="D1655" t="s">
        <v>7065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8349</v>
      </c>
      <c r="D1656" t="s">
        <v>7066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8349</v>
      </c>
      <c r="D1657" t="s">
        <v>7067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8349</v>
      </c>
      <c r="D1658" t="s">
        <v>7068</v>
      </c>
      <c r="F1658" s="21"/>
      <c r="H1658" t="str">
        <f t="shared" si="25"/>
        <v/>
      </c>
      <c r="I1658" s="25" t="s">
        <v>7068</v>
      </c>
    </row>
    <row r="1659" spans="3:9" x14ac:dyDescent="0.2">
      <c r="C1659" t="s">
        <v>8349</v>
      </c>
      <c r="D1659" t="s">
        <v>7069</v>
      </c>
      <c r="F1659" s="21"/>
      <c r="H1659" t="str">
        <f t="shared" si="25"/>
        <v/>
      </c>
      <c r="I1659" s="25" t="s">
        <v>7069</v>
      </c>
    </row>
    <row r="1660" spans="3:9" x14ac:dyDescent="0.2">
      <c r="C1660" t="s">
        <v>8349</v>
      </c>
      <c r="D1660" t="s">
        <v>7070</v>
      </c>
      <c r="F1660" s="21"/>
      <c r="H1660" t="str">
        <f t="shared" si="25"/>
        <v/>
      </c>
      <c r="I1660" s="25" t="s">
        <v>7070</v>
      </c>
    </row>
    <row r="1661" spans="3:9" x14ac:dyDescent="0.2">
      <c r="C1661" t="s">
        <v>8349</v>
      </c>
      <c r="D1661" t="s">
        <v>7071</v>
      </c>
      <c r="F1661" s="21"/>
      <c r="H1661" t="str">
        <f t="shared" si="25"/>
        <v>8E84</v>
      </c>
      <c r="I1661" s="25" t="s">
        <v>8119</v>
      </c>
    </row>
    <row r="1662" spans="3:9" x14ac:dyDescent="0.2">
      <c r="C1662" t="s">
        <v>8349</v>
      </c>
      <c r="D1662" t="s">
        <v>7072</v>
      </c>
      <c r="F1662" s="21"/>
      <c r="H1662" t="str">
        <f t="shared" si="25"/>
        <v>8EC8</v>
      </c>
    </row>
    <row r="1663" spans="3:9" x14ac:dyDescent="0.2">
      <c r="C1663" t="s">
        <v>8349</v>
      </c>
      <c r="D1663" t="s">
        <v>7073</v>
      </c>
      <c r="F1663" s="21"/>
      <c r="H1663" t="str">
        <f t="shared" si="25"/>
        <v>8ECC</v>
      </c>
      <c r="I1663" s="25" t="s">
        <v>8120</v>
      </c>
    </row>
    <row r="1664" spans="3:9" x14ac:dyDescent="0.2">
      <c r="C1664" t="s">
        <v>8349</v>
      </c>
      <c r="D1664" t="s">
        <v>7074</v>
      </c>
      <c r="F1664" s="21"/>
      <c r="H1664" t="str">
        <f t="shared" si="25"/>
        <v>8F14</v>
      </c>
      <c r="I1664" s="25" t="s">
        <v>8117</v>
      </c>
    </row>
    <row r="1665" spans="3:9" x14ac:dyDescent="0.2">
      <c r="C1665" t="s">
        <v>8349</v>
      </c>
      <c r="D1665" t="s">
        <v>7075</v>
      </c>
      <c r="F1665" s="21"/>
      <c r="H1665" t="str">
        <f t="shared" si="25"/>
        <v>8F5C</v>
      </c>
      <c r="I1665" s="25" t="s">
        <v>8118</v>
      </c>
    </row>
    <row r="1666" spans="3:9" x14ac:dyDescent="0.2">
      <c r="C1666" t="s">
        <v>8349</v>
      </c>
      <c r="D1666" t="s">
        <v>7076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8349</v>
      </c>
      <c r="D1667" t="s">
        <v>7077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8349</v>
      </c>
      <c r="D1668" t="s">
        <v>7078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8349</v>
      </c>
      <c r="D1669" t="s">
        <v>7079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8349</v>
      </c>
      <c r="D1670" t="s">
        <v>7080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8349</v>
      </c>
      <c r="D1671" t="s">
        <v>7081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8349</v>
      </c>
      <c r="D1672" t="s">
        <v>7082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8349</v>
      </c>
      <c r="D1673" t="s">
        <v>7083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8349</v>
      </c>
      <c r="D1674" t="s">
        <v>7084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8349</v>
      </c>
      <c r="D1675" t="s">
        <v>7085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8349</v>
      </c>
      <c r="D1676" t="s">
        <v>7086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8349</v>
      </c>
      <c r="D1677" t="s">
        <v>7087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8349</v>
      </c>
      <c r="D1678" t="s">
        <v>7088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8349</v>
      </c>
      <c r="D1679" t="s">
        <v>7089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8349</v>
      </c>
      <c r="D1680" t="s">
        <v>7090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8349</v>
      </c>
      <c r="D1681" t="s">
        <v>7091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8349</v>
      </c>
      <c r="D1682" t="s">
        <v>7092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8349</v>
      </c>
      <c r="D1683" t="s">
        <v>7093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8349</v>
      </c>
      <c r="D1684" t="s">
        <v>7094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8349</v>
      </c>
      <c r="D1685" t="s">
        <v>7095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8349</v>
      </c>
      <c r="D1686" t="s">
        <v>7096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8349</v>
      </c>
      <c r="D1687" t="s">
        <v>7097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8349</v>
      </c>
      <c r="D1688" t="s">
        <v>7098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8349</v>
      </c>
      <c r="D1689" t="s">
        <v>7099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8349</v>
      </c>
      <c r="D1690" t="s">
        <v>7100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8349</v>
      </c>
      <c r="D1691" t="s">
        <v>7101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8349</v>
      </c>
      <c r="D1692" t="s">
        <v>7102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8349</v>
      </c>
      <c r="D1693" t="s">
        <v>7103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8349</v>
      </c>
      <c r="D1694" t="s">
        <v>7104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8349</v>
      </c>
      <c r="D1695" t="s">
        <v>7105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8349</v>
      </c>
      <c r="D1696" t="s">
        <v>7106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8349</v>
      </c>
      <c r="D1697" t="s">
        <v>7107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8349</v>
      </c>
      <c r="D1698" t="s">
        <v>7108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8349</v>
      </c>
      <c r="D1699" t="s">
        <v>7109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8349</v>
      </c>
      <c r="D1700" t="s">
        <v>7110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8349</v>
      </c>
      <c r="D1701" t="s">
        <v>7111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8349</v>
      </c>
      <c r="D1702" t="s">
        <v>7112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8349</v>
      </c>
      <c r="D1703" t="s">
        <v>7113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8349</v>
      </c>
      <c r="D1704" t="s">
        <v>7114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8349</v>
      </c>
      <c r="D1705" t="s">
        <v>7115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8349</v>
      </c>
      <c r="D1706" t="s">
        <v>7116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8349</v>
      </c>
      <c r="D1707" t="s">
        <v>7117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8349</v>
      </c>
      <c r="D1708" t="s">
        <v>7118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8349</v>
      </c>
      <c r="D1709" t="s">
        <v>7119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8349</v>
      </c>
      <c r="D1710" t="s">
        <v>7120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8349</v>
      </c>
      <c r="D1711" t="s">
        <v>7121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8349</v>
      </c>
      <c r="D1712" t="s">
        <v>7122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8349</v>
      </c>
      <c r="D1713" t="s">
        <v>7123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8349</v>
      </c>
      <c r="D1714" t="s">
        <v>7124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8349</v>
      </c>
      <c r="D1715" t="s">
        <v>7125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8349</v>
      </c>
      <c r="D1716" t="s">
        <v>7126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8349</v>
      </c>
      <c r="D1717" t="s">
        <v>7127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8349</v>
      </c>
      <c r="D1718" t="s">
        <v>7128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8349</v>
      </c>
      <c r="D1719" t="s">
        <v>7129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8349</v>
      </c>
      <c r="D1720" t="s">
        <v>7130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8349</v>
      </c>
      <c r="D1721" t="s">
        <v>7131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8349</v>
      </c>
      <c r="D1722" t="s">
        <v>7132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8349</v>
      </c>
      <c r="D1723" t="s">
        <v>7133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8349</v>
      </c>
      <c r="D1724" t="s">
        <v>7134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8349</v>
      </c>
      <c r="D1725" t="s">
        <v>7135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8349</v>
      </c>
      <c r="D1726" t="s">
        <v>7136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8349</v>
      </c>
      <c r="D1727" t="s">
        <v>7137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8349</v>
      </c>
      <c r="D1728" t="s">
        <v>7138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8349</v>
      </c>
      <c r="D1729" t="s">
        <v>7139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8349</v>
      </c>
      <c r="D1730" t="s">
        <v>7140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8349</v>
      </c>
      <c r="D1731" t="s">
        <v>7141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8349</v>
      </c>
      <c r="D1732" t="s">
        <v>7142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8349</v>
      </c>
      <c r="D1733" t="s">
        <v>7143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8349</v>
      </c>
      <c r="D1734" t="s">
        <v>7144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8349</v>
      </c>
      <c r="D1735" t="s">
        <v>7145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8349</v>
      </c>
      <c r="D1736" t="s">
        <v>7146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8349</v>
      </c>
      <c r="D1737" t="s">
        <v>7147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8349</v>
      </c>
      <c r="D1738" t="s">
        <v>7148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8349</v>
      </c>
      <c r="D1739" t="s">
        <v>7149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8349</v>
      </c>
      <c r="D1740" t="s">
        <v>7150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8349</v>
      </c>
      <c r="D1741" t="s">
        <v>7151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8349</v>
      </c>
      <c r="D1742" t="s">
        <v>7152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8349</v>
      </c>
      <c r="D1743" t="s">
        <v>7153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8349</v>
      </c>
      <c r="D1744" t="s">
        <v>7154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8349</v>
      </c>
      <c r="D1745" t="s">
        <v>7155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8349</v>
      </c>
      <c r="D1746" t="s">
        <v>7156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8349</v>
      </c>
      <c r="D1747" t="s">
        <v>7157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8349</v>
      </c>
      <c r="D1748" t="s">
        <v>7158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8349</v>
      </c>
      <c r="D1749" t="s">
        <v>7159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8349</v>
      </c>
      <c r="D1750" t="s">
        <v>7160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8349</v>
      </c>
      <c r="D1751" t="s">
        <v>7161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8349</v>
      </c>
      <c r="D1752" t="s">
        <v>7162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8349</v>
      </c>
      <c r="D1753" t="s">
        <v>7163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8349</v>
      </c>
      <c r="D1754" t="s">
        <v>7164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8349</v>
      </c>
      <c r="D1755" t="s">
        <v>7165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8349</v>
      </c>
      <c r="D1756" t="s">
        <v>7166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8349</v>
      </c>
      <c r="D1757" t="s">
        <v>7167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8349</v>
      </c>
      <c r="D1758" t="s">
        <v>7168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8349</v>
      </c>
      <c r="D1759" t="s">
        <v>7169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8349</v>
      </c>
      <c r="D1760" t="s">
        <v>7170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8349</v>
      </c>
      <c r="D1761" t="s">
        <v>7171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8349</v>
      </c>
      <c r="D1762" t="s">
        <v>7172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8349</v>
      </c>
      <c r="D1763" t="s">
        <v>7173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8349</v>
      </c>
      <c r="D1764" t="s">
        <v>7174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8349</v>
      </c>
      <c r="D1765" t="s">
        <v>7175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8349</v>
      </c>
      <c r="D1766" t="s">
        <v>7176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8349</v>
      </c>
      <c r="D1767" t="s">
        <v>7177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8349</v>
      </c>
      <c r="D1768" t="s">
        <v>7178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8349</v>
      </c>
      <c r="D1769" t="s">
        <v>7179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8349</v>
      </c>
      <c r="D1770" t="s">
        <v>7180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8349</v>
      </c>
      <c r="D1771" t="s">
        <v>7181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8349</v>
      </c>
      <c r="D1772" t="s">
        <v>7182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8349</v>
      </c>
      <c r="D1773" t="s">
        <v>7183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8349</v>
      </c>
      <c r="D1774" t="s">
        <v>7184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8349</v>
      </c>
      <c r="D1775" t="s">
        <v>7185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8349</v>
      </c>
      <c r="D1776" t="s">
        <v>7186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8349</v>
      </c>
      <c r="D1777" t="s">
        <v>7187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8349</v>
      </c>
      <c r="D1778" t="s">
        <v>7188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8349</v>
      </c>
      <c r="D1779" t="s">
        <v>7189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8349</v>
      </c>
      <c r="D1780" t="s">
        <v>7190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8349</v>
      </c>
      <c r="D1781" t="s">
        <v>7191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8349</v>
      </c>
      <c r="D1782" t="s">
        <v>7192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8349</v>
      </c>
      <c r="D1783" t="s">
        <v>7193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8349</v>
      </c>
      <c r="D1784" t="s">
        <v>7194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8349</v>
      </c>
      <c r="D1785" t="s">
        <v>7195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8349</v>
      </c>
      <c r="D1786" t="s">
        <v>7196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8349</v>
      </c>
      <c r="D1787" t="s">
        <v>7197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8349</v>
      </c>
      <c r="D1788" t="s">
        <v>7198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8349</v>
      </c>
      <c r="D1789" t="s">
        <v>7199</v>
      </c>
      <c r="F1789" s="21"/>
      <c r="H1789" t="str">
        <f t="shared" si="27"/>
        <v/>
      </c>
      <c r="I1789" s="25" t="s">
        <v>8269</v>
      </c>
    </row>
    <row r="1790" spans="3:9" x14ac:dyDescent="0.2">
      <c r="C1790" t="s">
        <v>8349</v>
      </c>
      <c r="D1790" t="s">
        <v>7200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8349</v>
      </c>
      <c r="D1791" t="s">
        <v>7201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8349</v>
      </c>
      <c r="D1792" t="s">
        <v>7202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8349</v>
      </c>
      <c r="D1793" t="s">
        <v>7203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8349</v>
      </c>
      <c r="D1794" t="s">
        <v>7204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8349</v>
      </c>
      <c r="D1795" t="s">
        <v>7205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8349</v>
      </c>
      <c r="D1796" t="s">
        <v>7206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8349</v>
      </c>
      <c r="D1797" t="s">
        <v>7207</v>
      </c>
      <c r="F1797" s="21"/>
      <c r="H1797" t="str">
        <f t="shared" si="28"/>
        <v>9B70</v>
      </c>
      <c r="I1797" s="25" t="s">
        <v>8286</v>
      </c>
    </row>
    <row r="1798" spans="3:9" x14ac:dyDescent="0.2">
      <c r="C1798" t="s">
        <v>8349</v>
      </c>
      <c r="D1798" t="s">
        <v>7208</v>
      </c>
      <c r="F1798" s="21"/>
      <c r="H1798" t="str">
        <f t="shared" si="28"/>
        <v>9BC0</v>
      </c>
    </row>
    <row r="1799" spans="3:9" x14ac:dyDescent="0.2">
      <c r="C1799" t="s">
        <v>8349</v>
      </c>
      <c r="D1799" t="s">
        <v>7209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8349</v>
      </c>
      <c r="D1800" t="s">
        <v>7210</v>
      </c>
      <c r="F1800" s="21"/>
      <c r="H1800" t="str">
        <f t="shared" si="28"/>
        <v>9BF0</v>
      </c>
      <c r="I1800" s="25" t="s">
        <v>8270</v>
      </c>
    </row>
    <row r="1801" spans="3:9" x14ac:dyDescent="0.2">
      <c r="C1801" t="s">
        <v>8349</v>
      </c>
      <c r="D1801" t="s">
        <v>7211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8349</v>
      </c>
      <c r="D1802" t="s">
        <v>7212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8349</v>
      </c>
      <c r="D1803" t="s">
        <v>7213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8349</v>
      </c>
      <c r="D1804" t="s">
        <v>7214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8349</v>
      </c>
      <c r="D1805" t="s">
        <v>7215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8349</v>
      </c>
      <c r="D1806" t="s">
        <v>7216</v>
      </c>
      <c r="F1806" s="21"/>
      <c r="H1806" t="str">
        <f t="shared" si="28"/>
        <v>9CA2</v>
      </c>
    </row>
    <row r="1807" spans="3:9" x14ac:dyDescent="0.2">
      <c r="C1807" t="s">
        <v>8349</v>
      </c>
      <c r="D1807" t="s">
        <v>7217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8349</v>
      </c>
      <c r="D1808" t="s">
        <v>7218</v>
      </c>
      <c r="F1808" s="21"/>
      <c r="H1808" t="str">
        <f t="shared" si="28"/>
        <v>9CD2</v>
      </c>
      <c r="I1808" s="25" t="s">
        <v>5396</v>
      </c>
    </row>
    <row r="1809" spans="3:12" x14ac:dyDescent="0.2">
      <c r="C1809" t="s">
        <v>8349</v>
      </c>
      <c r="D1809" t="s">
        <v>7219</v>
      </c>
      <c r="F1809" s="21"/>
      <c r="H1809" t="str">
        <f t="shared" si="28"/>
        <v>9CFE</v>
      </c>
      <c r="I1809" s="25" t="s">
        <v>8294</v>
      </c>
    </row>
    <row r="1810" spans="3:12" x14ac:dyDescent="0.2">
      <c r="C1810" t="s">
        <v>8349</v>
      </c>
      <c r="D1810" t="s">
        <v>7220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8349</v>
      </c>
      <c r="D1811" t="s">
        <v>7221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8349</v>
      </c>
      <c r="D1812" t="s">
        <v>7222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8349</v>
      </c>
      <c r="D1813" t="s">
        <v>7223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8349</v>
      </c>
      <c r="D1814" t="s">
        <v>7224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8349</v>
      </c>
      <c r="D1815" t="s">
        <v>7225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8349</v>
      </c>
      <c r="D1816" t="s">
        <v>7226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8349</v>
      </c>
      <c r="D1817" t="s">
        <v>7227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8349</v>
      </c>
      <c r="D1818" t="s">
        <v>7228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8349</v>
      </c>
      <c r="D1819" t="s">
        <v>7229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8349</v>
      </c>
      <c r="D1820" t="s">
        <v>7230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8349</v>
      </c>
      <c r="D1821" t="s">
        <v>7231</v>
      </c>
      <c r="F1821" s="21"/>
      <c r="H1821" t="str">
        <f t="shared" si="28"/>
        <v/>
      </c>
      <c r="I1821" s="25" t="s">
        <v>8225</v>
      </c>
      <c r="J1821" s="36" t="s">
        <v>9056</v>
      </c>
      <c r="L1821" t="s">
        <v>8223</v>
      </c>
    </row>
    <row r="1822" spans="3:12" x14ac:dyDescent="0.2">
      <c r="C1822" t="s">
        <v>8349</v>
      </c>
      <c r="D1822" t="s">
        <v>7232</v>
      </c>
      <c r="F1822" s="21"/>
      <c r="H1822" t="str">
        <f t="shared" si="28"/>
        <v>9E60</v>
      </c>
      <c r="I1822" s="25" t="s">
        <v>7231</v>
      </c>
      <c r="J1822" s="36" t="s">
        <v>9057</v>
      </c>
      <c r="L1822" t="s">
        <v>8224</v>
      </c>
    </row>
    <row r="1823" spans="3:12" x14ac:dyDescent="0.2">
      <c r="C1823" t="s">
        <v>8349</v>
      </c>
      <c r="D1823" t="s">
        <v>7233</v>
      </c>
      <c r="F1823" s="21"/>
      <c r="H1823" t="str">
        <f t="shared" si="28"/>
        <v>9E94</v>
      </c>
      <c r="I1823" s="25" t="s">
        <v>8065</v>
      </c>
    </row>
    <row r="1824" spans="3:12" x14ac:dyDescent="0.2">
      <c r="C1824" t="s">
        <v>8349</v>
      </c>
      <c r="D1824" t="s">
        <v>7234</v>
      </c>
      <c r="F1824" s="21"/>
      <c r="H1824" t="str">
        <f t="shared" si="28"/>
        <v>9EA0</v>
      </c>
      <c r="I1824" s="25" t="s">
        <v>8066</v>
      </c>
    </row>
    <row r="1825" spans="3:12" x14ac:dyDescent="0.2">
      <c r="C1825" t="s">
        <v>8349</v>
      </c>
      <c r="D1825" t="s">
        <v>7235</v>
      </c>
      <c r="F1825" s="21"/>
      <c r="H1825" t="str">
        <f t="shared" si="28"/>
        <v>9EA8</v>
      </c>
      <c r="I1825" s="25" t="s">
        <v>8067</v>
      </c>
    </row>
    <row r="1826" spans="3:12" x14ac:dyDescent="0.2">
      <c r="C1826" t="s">
        <v>8349</v>
      </c>
      <c r="D1826" t="s">
        <v>7236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8349</v>
      </c>
      <c r="D1827" t="s">
        <v>7237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8349</v>
      </c>
      <c r="D1828" t="s">
        <v>7238</v>
      </c>
      <c r="F1828" s="21"/>
      <c r="H1828" t="str">
        <f t="shared" si="28"/>
        <v>9EFA</v>
      </c>
      <c r="I1828" s="25" t="s">
        <v>5400</v>
      </c>
    </row>
    <row r="1829" spans="3:12" x14ac:dyDescent="0.2">
      <c r="C1829" t="s">
        <v>8349</v>
      </c>
      <c r="D1829" t="s">
        <v>8243</v>
      </c>
      <c r="F1829" s="21"/>
      <c r="H1829" t="str">
        <f>DEC2HEX(40742)</f>
        <v>9F26</v>
      </c>
      <c r="I1829" s="25" t="s">
        <v>8244</v>
      </c>
      <c r="J1829" s="37" t="s">
        <v>9084</v>
      </c>
      <c r="L1829" t="s">
        <v>8245</v>
      </c>
    </row>
    <row r="1830" spans="3:12" x14ac:dyDescent="0.2">
      <c r="C1830" t="s">
        <v>8349</v>
      </c>
      <c r="D1830" t="s">
        <v>7239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8349</v>
      </c>
      <c r="D1831" t="s">
        <v>7240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8349</v>
      </c>
      <c r="D1832" t="s">
        <v>7241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8349</v>
      </c>
      <c r="D1833" t="s">
        <v>7242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8349</v>
      </c>
      <c r="D1834" t="s">
        <v>7243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8349</v>
      </c>
      <c r="D1835" t="s">
        <v>7244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8349</v>
      </c>
      <c r="D1836" t="s">
        <v>7245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8349</v>
      </c>
      <c r="D1837" t="s">
        <v>7246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8349</v>
      </c>
      <c r="D1838" t="s">
        <v>7247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8349</v>
      </c>
      <c r="D1839" t="s">
        <v>7248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8349</v>
      </c>
      <c r="D1840" t="s">
        <v>7249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8349</v>
      </c>
      <c r="D1841" t="s">
        <v>7250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8349</v>
      </c>
      <c r="D1842" t="s">
        <v>7251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8349</v>
      </c>
      <c r="D1843" t="s">
        <v>7252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8349</v>
      </c>
      <c r="D1844" t="s">
        <v>7253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8349</v>
      </c>
      <c r="D1845" t="s">
        <v>7254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8349</v>
      </c>
      <c r="D1846" t="s">
        <v>7255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8349</v>
      </c>
      <c r="D1847" t="s">
        <v>7256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8349</v>
      </c>
      <c r="D1848" t="s">
        <v>7257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8349</v>
      </c>
      <c r="D1849" t="s">
        <v>7258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8349</v>
      </c>
      <c r="D1850" t="s">
        <v>7259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8349</v>
      </c>
      <c r="D1851" t="s">
        <v>7260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8349</v>
      </c>
      <c r="D1852" t="s">
        <v>7261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8349</v>
      </c>
      <c r="D1853" t="s">
        <v>7262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8349</v>
      </c>
      <c r="D1854" t="s">
        <v>7263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8349</v>
      </c>
      <c r="D1855" t="s">
        <v>7264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8349</v>
      </c>
      <c r="D1856" t="s">
        <v>7265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8349</v>
      </c>
      <c r="D1857" t="s">
        <v>7266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8349</v>
      </c>
      <c r="D1858" t="s">
        <v>7267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8349</v>
      </c>
      <c r="D1859" t="s">
        <v>7268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8349</v>
      </c>
      <c r="D1860" t="s">
        <v>7269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8349</v>
      </c>
      <c r="D1861" t="s">
        <v>7270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8349</v>
      </c>
      <c r="D1862" t="s">
        <v>7271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8349</v>
      </c>
      <c r="D1863" t="s">
        <v>7272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8349</v>
      </c>
      <c r="D1864" t="s">
        <v>7273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8349</v>
      </c>
      <c r="D1865" t="s">
        <v>7274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8349</v>
      </c>
      <c r="D1866" t="s">
        <v>7275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8349</v>
      </c>
      <c r="D1867" t="s">
        <v>7276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8349</v>
      </c>
      <c r="D1868" t="s">
        <v>7277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8349</v>
      </c>
      <c r="D1869" t="s">
        <v>7278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8349</v>
      </c>
      <c r="D1870" t="s">
        <v>7279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8349</v>
      </c>
      <c r="D1871" t="s">
        <v>7280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8349</v>
      </c>
      <c r="D1872" t="s">
        <v>7281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8349</v>
      </c>
      <c r="D1873" t="s">
        <v>7282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8349</v>
      </c>
      <c r="D1874" t="s">
        <v>7283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8349</v>
      </c>
      <c r="D1875" t="s">
        <v>7284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8349</v>
      </c>
      <c r="D1876" t="s">
        <v>7285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8349</v>
      </c>
      <c r="D1877" t="s">
        <v>7286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8349</v>
      </c>
      <c r="D1878" t="s">
        <v>7287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8349</v>
      </c>
      <c r="D1879" t="s">
        <v>7288</v>
      </c>
      <c r="F1879" s="21"/>
      <c r="H1879" t="str">
        <f t="shared" si="29"/>
        <v>A18A</v>
      </c>
      <c r="I1879" s="25" t="s">
        <v>5397</v>
      </c>
    </row>
    <row r="1880" spans="3:12" x14ac:dyDescent="0.2">
      <c r="C1880" t="s">
        <v>8349</v>
      </c>
      <c r="D1880" t="s">
        <v>7289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8349</v>
      </c>
      <c r="D1881" t="s">
        <v>8246</v>
      </c>
      <c r="F1881" s="21"/>
      <c r="H1881" t="str">
        <f>DEC2HEX(41384)</f>
        <v>A1A8</v>
      </c>
      <c r="I1881" s="25" t="s">
        <v>8246</v>
      </c>
      <c r="J1881" s="36" t="s">
        <v>9058</v>
      </c>
      <c r="L1881" t="s">
        <v>8247</v>
      </c>
    </row>
    <row r="1882" spans="3:12" x14ac:dyDescent="0.2">
      <c r="C1882" t="s">
        <v>8349</v>
      </c>
      <c r="D1882" t="s">
        <v>7290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8349</v>
      </c>
      <c r="D1883" t="s">
        <v>7291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8349</v>
      </c>
      <c r="D1884" t="s">
        <v>7292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8349</v>
      </c>
      <c r="D1885" t="s">
        <v>7293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8349</v>
      </c>
      <c r="D1886" t="s">
        <v>7294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8349</v>
      </c>
      <c r="D1887" t="s">
        <v>7295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8349</v>
      </c>
      <c r="D1888" t="s">
        <v>7296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8349</v>
      </c>
      <c r="D1889" t="s">
        <v>7297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8349</v>
      </c>
      <c r="D1890" t="s">
        <v>7298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8349</v>
      </c>
      <c r="D1891" t="s">
        <v>7299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8349</v>
      </c>
      <c r="D1892" t="s">
        <v>7300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8349</v>
      </c>
      <c r="D1893" t="s">
        <v>7301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8349</v>
      </c>
      <c r="D1894" t="s">
        <v>7302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8349</v>
      </c>
      <c r="D1895" t="s">
        <v>7303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8349</v>
      </c>
      <c r="D1896" t="s">
        <v>7304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8349</v>
      </c>
      <c r="D1897" t="s">
        <v>7305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8349</v>
      </c>
      <c r="D1898" t="s">
        <v>7306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8349</v>
      </c>
      <c r="D1899" t="s">
        <v>7307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8349</v>
      </c>
      <c r="D1900" t="s">
        <v>7308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8349</v>
      </c>
      <c r="D1901" t="s">
        <v>7309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8349</v>
      </c>
      <c r="D1902" t="s">
        <v>7310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8349</v>
      </c>
      <c r="D1903" t="s">
        <v>7311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8349</v>
      </c>
      <c r="D1904" t="s">
        <v>7312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8349</v>
      </c>
      <c r="D1905" t="s">
        <v>7313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8349</v>
      </c>
      <c r="D1906" t="s">
        <v>7314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8349</v>
      </c>
      <c r="D1907" t="s">
        <v>7315</v>
      </c>
      <c r="F1907" s="21"/>
      <c r="H1907" t="str">
        <f t="shared" si="29"/>
        <v>A330</v>
      </c>
      <c r="I1907" s="25" t="s">
        <v>5402</v>
      </c>
    </row>
    <row r="1908" spans="3:9" x14ac:dyDescent="0.2">
      <c r="C1908" t="s">
        <v>8349</v>
      </c>
      <c r="D1908" t="s">
        <v>7316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8349</v>
      </c>
      <c r="D1909" t="s">
        <v>7317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8349</v>
      </c>
      <c r="D1910" t="s">
        <v>7318</v>
      </c>
      <c r="F1910" s="21"/>
      <c r="H1910" t="str">
        <f t="shared" si="29"/>
        <v>A34C</v>
      </c>
      <c r="I1910" s="25" t="s">
        <v>5401</v>
      </c>
    </row>
    <row r="1911" spans="3:9" x14ac:dyDescent="0.2">
      <c r="C1911" t="s">
        <v>8349</v>
      </c>
      <c r="D1911" t="s">
        <v>7319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8349</v>
      </c>
      <c r="D1912" t="s">
        <v>7320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8349</v>
      </c>
      <c r="D1913" t="s">
        <v>7321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8349</v>
      </c>
      <c r="D1914" t="s">
        <v>7322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8349</v>
      </c>
      <c r="D1915" t="s">
        <v>8295</v>
      </c>
      <c r="F1915" s="21"/>
      <c r="H1915" t="str">
        <f>DEC2HEX(41894)</f>
        <v>A3A6</v>
      </c>
      <c r="I1915" s="25" t="s">
        <v>8295</v>
      </c>
    </row>
    <row r="1916" spans="3:9" x14ac:dyDescent="0.2">
      <c r="C1916" t="s">
        <v>8349</v>
      </c>
      <c r="D1916" t="s">
        <v>7323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8349</v>
      </c>
      <c r="D1917" t="s">
        <v>7324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8349</v>
      </c>
      <c r="D1918" t="s">
        <v>7325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8349</v>
      </c>
      <c r="D1919" t="s">
        <v>7326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8349</v>
      </c>
      <c r="D1920" t="s">
        <v>7327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8349</v>
      </c>
      <c r="D1921" t="s">
        <v>7328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8349</v>
      </c>
      <c r="D1922" t="s">
        <v>7329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8349</v>
      </c>
      <c r="D1923" t="s">
        <v>7330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8349</v>
      </c>
      <c r="D1924" t="s">
        <v>7331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8349</v>
      </c>
      <c r="D1925" t="s">
        <v>7332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8349</v>
      </c>
      <c r="D1926" t="s">
        <v>7333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8349</v>
      </c>
      <c r="D1927" t="s">
        <v>7334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8349</v>
      </c>
      <c r="D1928" t="s">
        <v>7335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8349</v>
      </c>
      <c r="D1929" t="s">
        <v>7336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8349</v>
      </c>
      <c r="D1930" t="s">
        <v>7337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8349</v>
      </c>
      <c r="D1931" t="s">
        <v>7338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8349</v>
      </c>
      <c r="D1932" t="s">
        <v>7339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8349</v>
      </c>
      <c r="D1933" t="s">
        <v>7340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8349</v>
      </c>
      <c r="D1934" t="s">
        <v>7341</v>
      </c>
      <c r="F1934" s="21"/>
      <c r="H1934" t="str">
        <f t="shared" si="30"/>
        <v>A50A</v>
      </c>
      <c r="I1934" s="25" t="s">
        <v>5399</v>
      </c>
    </row>
    <row r="1935" spans="3:9" x14ac:dyDescent="0.2">
      <c r="C1935" t="s">
        <v>8349</v>
      </c>
      <c r="D1935" t="s">
        <v>8242</v>
      </c>
      <c r="F1935" s="21"/>
      <c r="H1935" t="str">
        <f>DEC2HEX(42286)</f>
        <v>A52E</v>
      </c>
      <c r="I1935" s="25" t="s">
        <v>8242</v>
      </c>
    </row>
    <row r="1936" spans="3:9" x14ac:dyDescent="0.2">
      <c r="C1936" t="s">
        <v>8349</v>
      </c>
      <c r="D1936" t="s">
        <v>7342</v>
      </c>
      <c r="F1936" s="21"/>
      <c r="H1936" t="str">
        <f t="shared" si="30"/>
        <v>A536</v>
      </c>
      <c r="I1936" s="25" t="s">
        <v>9101</v>
      </c>
    </row>
    <row r="1937" spans="3:9" x14ac:dyDescent="0.2">
      <c r="C1937" t="s">
        <v>8349</v>
      </c>
      <c r="D1937" t="s">
        <v>7343</v>
      </c>
      <c r="F1937" s="21"/>
      <c r="H1937" t="str">
        <f t="shared" si="30"/>
        <v>A53C</v>
      </c>
      <c r="I1937" s="25" t="s">
        <v>5403</v>
      </c>
    </row>
    <row r="1938" spans="3:9" x14ac:dyDescent="0.2">
      <c r="C1938" t="s">
        <v>8349</v>
      </c>
      <c r="D1938" t="s">
        <v>7344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8349</v>
      </c>
      <c r="D1939" t="s">
        <v>7345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8349</v>
      </c>
      <c r="D1940" t="s">
        <v>7346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8349</v>
      </c>
      <c r="D1941" t="s">
        <v>7347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8349</v>
      </c>
      <c r="D1942" t="s">
        <v>7348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8349</v>
      </c>
      <c r="D1943" t="s">
        <v>7349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8349</v>
      </c>
      <c r="D1944" t="s">
        <v>7350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8349</v>
      </c>
      <c r="D1945" t="s">
        <v>7351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8349</v>
      </c>
      <c r="D1946" t="s">
        <v>7352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8349</v>
      </c>
      <c r="D1947" t="s">
        <v>7353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8349</v>
      </c>
      <c r="D1948" t="s">
        <v>7354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8349</v>
      </c>
      <c r="D1949" t="s">
        <v>7355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8349</v>
      </c>
      <c r="D1950" t="s">
        <v>7356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8349</v>
      </c>
      <c r="D1951" t="s">
        <v>7357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8349</v>
      </c>
      <c r="D1952" t="s">
        <v>7358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8349</v>
      </c>
      <c r="D1953" t="s">
        <v>7359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8349</v>
      </c>
      <c r="D1954" t="s">
        <v>7360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8349</v>
      </c>
      <c r="D1955" t="s">
        <v>7361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8349</v>
      </c>
      <c r="D1956" t="s">
        <v>7362</v>
      </c>
      <c r="F1956" s="21"/>
      <c r="H1956" t="str">
        <f t="shared" si="30"/>
        <v>A73A</v>
      </c>
      <c r="I1956" s="25" t="s">
        <v>8268</v>
      </c>
    </row>
    <row r="1957" spans="3:12" x14ac:dyDescent="0.2">
      <c r="C1957" t="s">
        <v>8349</v>
      </c>
      <c r="D1957" t="s">
        <v>7363</v>
      </c>
      <c r="F1957" s="21"/>
      <c r="H1957" t="str">
        <f t="shared" si="30"/>
        <v>A744</v>
      </c>
      <c r="I1957" s="25" t="s">
        <v>8281</v>
      </c>
    </row>
    <row r="1958" spans="3:12" x14ac:dyDescent="0.2">
      <c r="C1958" t="s">
        <v>8349</v>
      </c>
      <c r="D1958" t="s">
        <v>7364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8349</v>
      </c>
      <c r="D1959" t="s">
        <v>7365</v>
      </c>
      <c r="F1959" s="21"/>
      <c r="H1959" t="str">
        <f t="shared" si="30"/>
        <v/>
      </c>
      <c r="I1959" s="25" t="s">
        <v>7365</v>
      </c>
      <c r="J1959" t="s">
        <v>9085</v>
      </c>
      <c r="L1959" t="s">
        <v>8282</v>
      </c>
    </row>
    <row r="1960" spans="3:12" x14ac:dyDescent="0.2">
      <c r="C1960" t="s">
        <v>8349</v>
      </c>
      <c r="D1960" t="s">
        <v>7366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8349</v>
      </c>
      <c r="D1961" t="s">
        <v>7367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8349</v>
      </c>
      <c r="D1962" t="s">
        <v>7368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8349</v>
      </c>
      <c r="D1963" t="s">
        <v>7369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8349</v>
      </c>
      <c r="D1964" t="s">
        <v>7370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8349</v>
      </c>
      <c r="D1965" t="s">
        <v>7371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8349</v>
      </c>
      <c r="D1966" t="s">
        <v>7372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8349</v>
      </c>
      <c r="D1967" t="s">
        <v>7373</v>
      </c>
      <c r="F1967" s="21"/>
      <c r="H1967" t="str">
        <f t="shared" si="30"/>
        <v/>
      </c>
      <c r="I1967" s="25" t="s">
        <v>7373</v>
      </c>
      <c r="J1967" t="s">
        <v>9086</v>
      </c>
      <c r="L1967" t="s">
        <v>8283</v>
      </c>
    </row>
    <row r="1968" spans="3:12" x14ac:dyDescent="0.2">
      <c r="C1968" t="s">
        <v>8349</v>
      </c>
      <c r="D1968" t="s">
        <v>7374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8349</v>
      </c>
      <c r="D1969" t="s">
        <v>7375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8349</v>
      </c>
      <c r="D1970" t="s">
        <v>7376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8349</v>
      </c>
      <c r="D1971" t="s">
        <v>7377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8349</v>
      </c>
      <c r="D1972" t="s">
        <v>7378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8349</v>
      </c>
      <c r="D1973" t="s">
        <v>7379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8349</v>
      </c>
      <c r="D1974" t="s">
        <v>7380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8349</v>
      </c>
      <c r="D1975" t="s">
        <v>7381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8349</v>
      </c>
      <c r="D1976" t="s">
        <v>7382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8349</v>
      </c>
      <c r="D1977" t="s">
        <v>7383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8349</v>
      </c>
      <c r="D1978" t="s">
        <v>7384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8349</v>
      </c>
      <c r="D1979" t="s">
        <v>7385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8349</v>
      </c>
      <c r="D1980" t="s">
        <v>7386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8349</v>
      </c>
      <c r="D1981" t="s">
        <v>7387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8349</v>
      </c>
      <c r="D1982" t="s">
        <v>7388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8349</v>
      </c>
      <c r="D1983" t="s">
        <v>7389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8349</v>
      </c>
      <c r="D1984" t="s">
        <v>7390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8349</v>
      </c>
      <c r="D1985" t="s">
        <v>7391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8349</v>
      </c>
      <c r="D1986" t="s">
        <v>7392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8349</v>
      </c>
      <c r="D1987" t="s">
        <v>7393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8349</v>
      </c>
      <c r="D1988" t="s">
        <v>7394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8349</v>
      </c>
      <c r="D1989" t="s">
        <v>7395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8349</v>
      </c>
      <c r="D1990" t="s">
        <v>7396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8349</v>
      </c>
      <c r="D1991" t="s">
        <v>7397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8349</v>
      </c>
      <c r="D1992" t="s">
        <v>7398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8349</v>
      </c>
      <c r="D1993" t="s">
        <v>7399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8349</v>
      </c>
      <c r="D1994" t="s">
        <v>7400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8349</v>
      </c>
      <c r="D1995" t="s">
        <v>7401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8349</v>
      </c>
      <c r="D1996" t="s">
        <v>7402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8349</v>
      </c>
      <c r="D1997" t="s">
        <v>7403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8349</v>
      </c>
      <c r="D1998" t="s">
        <v>7404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8349</v>
      </c>
      <c r="D1999" t="s">
        <v>7405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8349</v>
      </c>
      <c r="D2000" t="s">
        <v>7406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8349</v>
      </c>
      <c r="D2001" t="s">
        <v>7407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8349</v>
      </c>
      <c r="D2002" t="s">
        <v>7408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8349</v>
      </c>
      <c r="D2003" t="s">
        <v>7409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8349</v>
      </c>
      <c r="D2004" t="s">
        <v>7410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8349</v>
      </c>
      <c r="D2005" t="s">
        <v>7411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8349</v>
      </c>
      <c r="D2006" t="s">
        <v>7412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8349</v>
      </c>
      <c r="D2007" t="s">
        <v>7413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8349</v>
      </c>
      <c r="D2008" t="s">
        <v>7414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8349</v>
      </c>
      <c r="D2009" t="s">
        <v>7415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8349</v>
      </c>
      <c r="D2010" t="s">
        <v>7416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8349</v>
      </c>
      <c r="D2011" t="s">
        <v>7417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8349</v>
      </c>
      <c r="D2012" t="s">
        <v>7418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8349</v>
      </c>
      <c r="D2013" t="s">
        <v>7419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8349</v>
      </c>
      <c r="D2014" t="s">
        <v>7420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8349</v>
      </c>
      <c r="D2015" t="s">
        <v>7421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8349</v>
      </c>
      <c r="D2016" t="s">
        <v>7422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8349</v>
      </c>
      <c r="D2017" t="s">
        <v>7423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8349</v>
      </c>
      <c r="D2018" t="s">
        <v>7424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8349</v>
      </c>
      <c r="D2019" t="s">
        <v>7425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8349</v>
      </c>
      <c r="D2020" t="s">
        <v>7426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8349</v>
      </c>
      <c r="D2021" t="s">
        <v>7427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8349</v>
      </c>
      <c r="D2022" t="s">
        <v>7428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8349</v>
      </c>
      <c r="D2023" t="s">
        <v>7429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8349</v>
      </c>
      <c r="D2024" t="s">
        <v>7430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8349</v>
      </c>
      <c r="D2025" t="s">
        <v>7431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8349</v>
      </c>
      <c r="D2026" t="s">
        <v>7432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8349</v>
      </c>
      <c r="D2027" t="s">
        <v>7433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8349</v>
      </c>
      <c r="D2028" t="s">
        <v>7434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8349</v>
      </c>
      <c r="D2029" t="s">
        <v>7435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8349</v>
      </c>
      <c r="D2030" t="s">
        <v>7436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8349</v>
      </c>
      <c r="D2031" t="s">
        <v>7437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8349</v>
      </c>
      <c r="D2032" t="s">
        <v>7438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8349</v>
      </c>
      <c r="D2033" t="s">
        <v>7439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8349</v>
      </c>
      <c r="D2034" t="s">
        <v>7440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8349</v>
      </c>
      <c r="D2035" t="s">
        <v>7441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8349</v>
      </c>
      <c r="D2036" t="s">
        <v>7442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8349</v>
      </c>
      <c r="D2037" t="s">
        <v>7443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8349</v>
      </c>
      <c r="D2038" t="s">
        <v>7444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8349</v>
      </c>
      <c r="D2039" t="s">
        <v>7445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8349</v>
      </c>
      <c r="D2040" t="s">
        <v>7446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8349</v>
      </c>
      <c r="D2041" t="s">
        <v>7447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8349</v>
      </c>
      <c r="D2042" t="s">
        <v>7448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8349</v>
      </c>
      <c r="D2043" t="s">
        <v>7449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8349</v>
      </c>
      <c r="D2044" t="s">
        <v>7450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8349</v>
      </c>
      <c r="D2045" t="s">
        <v>7451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8349</v>
      </c>
      <c r="D2046" t="s">
        <v>7452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8349</v>
      </c>
      <c r="D2047" t="s">
        <v>7453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8349</v>
      </c>
      <c r="D2048" t="s">
        <v>7454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8349</v>
      </c>
      <c r="D2049" t="s">
        <v>7455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8349</v>
      </c>
      <c r="D2050" t="s">
        <v>7456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8349</v>
      </c>
      <c r="D2051" t="s">
        <v>7457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8349</v>
      </c>
      <c r="D2052" t="s">
        <v>7458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8349</v>
      </c>
      <c r="D2053" t="s">
        <v>7459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8349</v>
      </c>
      <c r="D2054" t="s">
        <v>7460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8349</v>
      </c>
      <c r="D2055" t="s">
        <v>7461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8349</v>
      </c>
      <c r="D2056" t="s">
        <v>7462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8349</v>
      </c>
      <c r="D2057" t="s">
        <v>7463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8349</v>
      </c>
      <c r="D2058" t="s">
        <v>7464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8349</v>
      </c>
      <c r="D2059" t="s">
        <v>7465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8349</v>
      </c>
      <c r="D2060" t="s">
        <v>7466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8349</v>
      </c>
      <c r="D2061" t="s">
        <v>7467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8349</v>
      </c>
      <c r="D2062" t="s">
        <v>7468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8349</v>
      </c>
      <c r="D2063" t="s">
        <v>7469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8349</v>
      </c>
      <c r="D2064" t="s">
        <v>7470</v>
      </c>
      <c r="F2064" s="21"/>
      <c r="H2064" t="str">
        <f t="shared" si="32"/>
        <v>B204</v>
      </c>
      <c r="I2064" s="25" t="s">
        <v>2754</v>
      </c>
    </row>
    <row r="2065" spans="3:9" x14ac:dyDescent="0.2">
      <c r="C2065" t="s">
        <v>8349</v>
      </c>
      <c r="D2065" t="s">
        <v>7471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8349</v>
      </c>
      <c r="D2066" t="s">
        <v>7472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8349</v>
      </c>
      <c r="D2067" t="s">
        <v>7473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8349</v>
      </c>
      <c r="D2068" t="s">
        <v>7474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8349</v>
      </c>
      <c r="D2069" t="s">
        <v>7475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8349</v>
      </c>
      <c r="D2070" t="s">
        <v>7476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8349</v>
      </c>
      <c r="D2071" t="s">
        <v>7477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8349</v>
      </c>
      <c r="D2072" t="s">
        <v>7478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8349</v>
      </c>
      <c r="D2073" t="s">
        <v>7479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8349</v>
      </c>
      <c r="D2074" t="s">
        <v>7480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8349</v>
      </c>
      <c r="D2075" t="s">
        <v>7481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8349</v>
      </c>
      <c r="D2076" t="s">
        <v>7482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8349</v>
      </c>
      <c r="D2077" t="s">
        <v>7483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8349</v>
      </c>
      <c r="D2078" t="s">
        <v>7484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8349</v>
      </c>
      <c r="D2079" t="s">
        <v>7485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8349</v>
      </c>
      <c r="D2080" t="s">
        <v>7486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8349</v>
      </c>
      <c r="D2081" t="s">
        <v>7487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8349</v>
      </c>
      <c r="D2082" t="s">
        <v>7488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8349</v>
      </c>
      <c r="D2083" t="s">
        <v>7489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8349</v>
      </c>
      <c r="D2084" t="s">
        <v>7490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8349</v>
      </c>
      <c r="D2085" t="s">
        <v>7491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8349</v>
      </c>
      <c r="D2086" t="s">
        <v>7492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8349</v>
      </c>
      <c r="D2087" t="s">
        <v>7493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8349</v>
      </c>
      <c r="D2088" t="s">
        <v>7494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8349</v>
      </c>
      <c r="D2089" t="s">
        <v>7495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8349</v>
      </c>
      <c r="D2090" t="s">
        <v>7496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8349</v>
      </c>
      <c r="D2091" t="s">
        <v>7497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8349</v>
      </c>
      <c r="D2092" t="s">
        <v>7498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8349</v>
      </c>
      <c r="D2093" t="s">
        <v>7499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8349</v>
      </c>
      <c r="D2094" t="s">
        <v>7500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8349</v>
      </c>
      <c r="D2095" t="s">
        <v>7501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8349</v>
      </c>
      <c r="D2096" t="s">
        <v>7502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8349</v>
      </c>
      <c r="D2097" t="s">
        <v>7503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8349</v>
      </c>
      <c r="D2098" t="s">
        <v>7504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8349</v>
      </c>
      <c r="D2099" t="s">
        <v>7505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8349</v>
      </c>
      <c r="D2100" t="s">
        <v>7506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8349</v>
      </c>
      <c r="D2101" t="s">
        <v>7507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8349</v>
      </c>
      <c r="D2102" t="s">
        <v>7508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8349</v>
      </c>
      <c r="D2103" t="s">
        <v>7509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8349</v>
      </c>
      <c r="D2104" t="s">
        <v>7510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8349</v>
      </c>
      <c r="D2105" t="s">
        <v>7511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8349</v>
      </c>
      <c r="D2106" t="s">
        <v>7512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8349</v>
      </c>
      <c r="D2107" t="s">
        <v>7513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8349</v>
      </c>
      <c r="D2108" t="s">
        <v>7514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8349</v>
      </c>
      <c r="D2109" t="s">
        <v>7515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8349</v>
      </c>
      <c r="D2110" t="s">
        <v>7516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8349</v>
      </c>
      <c r="D2111" t="s">
        <v>7517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8349</v>
      </c>
      <c r="D2112" t="s">
        <v>7518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8349</v>
      </c>
      <c r="D2113" t="s">
        <v>7519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8349</v>
      </c>
      <c r="D2114" t="s">
        <v>7520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8349</v>
      </c>
      <c r="D2115" t="s">
        <v>7521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8349</v>
      </c>
      <c r="D2116" t="s">
        <v>7522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8349</v>
      </c>
      <c r="D2117" t="s">
        <v>7523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8349</v>
      </c>
      <c r="D2118" t="s">
        <v>7524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8349</v>
      </c>
      <c r="D2119" t="s">
        <v>7525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8349</v>
      </c>
      <c r="D2120" t="s">
        <v>7526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8349</v>
      </c>
      <c r="D2121" t="s">
        <v>7527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8349</v>
      </c>
      <c r="D2122" t="s">
        <v>7528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8349</v>
      </c>
      <c r="D2123" t="s">
        <v>7529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8349</v>
      </c>
      <c r="D2124" t="s">
        <v>7530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8349</v>
      </c>
      <c r="D2125" t="s">
        <v>7531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8349</v>
      </c>
      <c r="D2126" t="s">
        <v>7532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8349</v>
      </c>
      <c r="D2127" t="s">
        <v>7533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8349</v>
      </c>
      <c r="D2128" t="s">
        <v>7534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8349</v>
      </c>
      <c r="D2129" t="s">
        <v>7535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8349</v>
      </c>
      <c r="D2130" t="s">
        <v>7536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8349</v>
      </c>
      <c r="D2131" t="s">
        <v>7537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8349</v>
      </c>
      <c r="D2132" t="s">
        <v>7538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8349</v>
      </c>
      <c r="D2133" t="s">
        <v>7539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8349</v>
      </c>
      <c r="D2134" t="s">
        <v>7540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8349</v>
      </c>
      <c r="D2135" t="s">
        <v>7541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8349</v>
      </c>
      <c r="D2136" t="s">
        <v>7542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8349</v>
      </c>
      <c r="D2137" t="s">
        <v>7543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8349</v>
      </c>
      <c r="D2138" t="s">
        <v>7544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8349</v>
      </c>
      <c r="D2139" t="s">
        <v>7545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8349</v>
      </c>
      <c r="D2140" t="s">
        <v>7546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8349</v>
      </c>
      <c r="D2141" t="s">
        <v>7547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8349</v>
      </c>
      <c r="D2142" t="s">
        <v>7548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8349</v>
      </c>
      <c r="D2143" t="s">
        <v>7549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8349</v>
      </c>
      <c r="D2144" t="s">
        <v>7550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8349</v>
      </c>
      <c r="D2145" t="s">
        <v>7551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8349</v>
      </c>
      <c r="D2146" t="s">
        <v>7552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8349</v>
      </c>
      <c r="D2147" t="s">
        <v>7553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8349</v>
      </c>
      <c r="D2148" t="s">
        <v>7554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8349</v>
      </c>
      <c r="D2149" t="s">
        <v>7555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8349</v>
      </c>
      <c r="D2150" t="s">
        <v>7556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8349</v>
      </c>
      <c r="D2151" t="s">
        <v>7557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8349</v>
      </c>
      <c r="D2152" t="s">
        <v>7558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8349</v>
      </c>
      <c r="D2153" t="s">
        <v>7559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8349</v>
      </c>
      <c r="D2154" t="s">
        <v>7560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8349</v>
      </c>
      <c r="D2155" t="s">
        <v>7561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8349</v>
      </c>
      <c r="D2156" t="s">
        <v>7562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8349</v>
      </c>
      <c r="D2157" t="s">
        <v>7563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8349</v>
      </c>
      <c r="D2158" t="s">
        <v>7564</v>
      </c>
      <c r="F2158" s="21"/>
      <c r="H2158" t="str">
        <f t="shared" si="33"/>
        <v>C0FA</v>
      </c>
      <c r="I2158" s="25" t="s">
        <v>8476</v>
      </c>
    </row>
    <row r="2159" spans="3:9" x14ac:dyDescent="0.2">
      <c r="C2159" t="s">
        <v>8349</v>
      </c>
      <c r="D2159" t="s">
        <v>7565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8349</v>
      </c>
      <c r="D2160" t="s">
        <v>7566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8349</v>
      </c>
      <c r="D2161" t="s">
        <v>7567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8349</v>
      </c>
      <c r="D2162" t="s">
        <v>7568</v>
      </c>
      <c r="F2162" s="21"/>
      <c r="H2162" t="str">
        <f t="shared" si="33"/>
        <v>C1F4</v>
      </c>
      <c r="I2162" s="25" t="s">
        <v>8309</v>
      </c>
    </row>
    <row r="2163" spans="3:9" x14ac:dyDescent="0.2">
      <c r="C2163" t="s">
        <v>8349</v>
      </c>
      <c r="D2163" t="s">
        <v>7569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8349</v>
      </c>
      <c r="D2164" t="s">
        <v>7570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8349</v>
      </c>
      <c r="D2165" t="s">
        <v>7571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8349</v>
      </c>
      <c r="D2166" t="s">
        <v>7572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8349</v>
      </c>
      <c r="D2167" t="s">
        <v>7573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8349</v>
      </c>
      <c r="D2168" t="s">
        <v>7574</v>
      </c>
      <c r="F2168" s="21"/>
      <c r="H2168" t="str">
        <f t="shared" si="33"/>
        <v>C266</v>
      </c>
      <c r="I2168" s="25" t="s">
        <v>8475</v>
      </c>
    </row>
    <row r="2169" spans="3:9" x14ac:dyDescent="0.2">
      <c r="C2169" t="s">
        <v>8349</v>
      </c>
      <c r="D2169" t="s">
        <v>7575</v>
      </c>
      <c r="F2169" s="21"/>
      <c r="H2169" t="str">
        <f t="shared" si="33"/>
        <v>C286</v>
      </c>
      <c r="I2169" s="25" t="s">
        <v>8474</v>
      </c>
    </row>
    <row r="2170" spans="3:9" x14ac:dyDescent="0.2">
      <c r="C2170" t="s">
        <v>8349</v>
      </c>
      <c r="D2170" t="s">
        <v>7576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8349</v>
      </c>
      <c r="D2171" t="s">
        <v>7577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8349</v>
      </c>
      <c r="D2172" t="s">
        <v>7578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8349</v>
      </c>
      <c r="D2173" t="s">
        <v>7579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8349</v>
      </c>
      <c r="D2174" t="s">
        <v>7580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8349</v>
      </c>
      <c r="D2175" t="s">
        <v>7581</v>
      </c>
      <c r="F2175" s="21"/>
      <c r="H2175" t="str">
        <f t="shared" si="33"/>
        <v>C2EA</v>
      </c>
      <c r="I2175" s="25" t="s">
        <v>8308</v>
      </c>
    </row>
    <row r="2176" spans="3:9" x14ac:dyDescent="0.2">
      <c r="C2176" t="s">
        <v>8349</v>
      </c>
      <c r="D2176" t="s">
        <v>7582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8349</v>
      </c>
      <c r="D2177" t="s">
        <v>7583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8349</v>
      </c>
      <c r="D2178" t="s">
        <v>7584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8349</v>
      </c>
      <c r="D2179" t="s">
        <v>7585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8349</v>
      </c>
      <c r="D2180" t="s">
        <v>7586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8349</v>
      </c>
      <c r="D2181" t="s">
        <v>7587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8349</v>
      </c>
      <c r="D2182" t="s">
        <v>7588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8349</v>
      </c>
      <c r="D2183" t="s">
        <v>7589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8349</v>
      </c>
      <c r="D2184" t="s">
        <v>7590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8349</v>
      </c>
      <c r="D2185" t="s">
        <v>7591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8349</v>
      </c>
      <c r="D2186" t="s">
        <v>7592</v>
      </c>
      <c r="F2186" s="21"/>
      <c r="H2186" t="str">
        <f t="shared" si="34"/>
        <v>C436</v>
      </c>
      <c r="I2186" s="25" t="s">
        <v>8304</v>
      </c>
    </row>
    <row r="2187" spans="3:9" x14ac:dyDescent="0.2">
      <c r="C2187" t="s">
        <v>8349</v>
      </c>
      <c r="D2187" t="s">
        <v>7593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8349</v>
      </c>
      <c r="D2188" t="s">
        <v>7594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8349</v>
      </c>
      <c r="D2189" t="s">
        <v>7595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8349</v>
      </c>
      <c r="D2190" t="s">
        <v>7596</v>
      </c>
      <c r="F2190" s="21"/>
      <c r="H2190" t="str">
        <f t="shared" si="34"/>
        <v>C490</v>
      </c>
      <c r="I2190" s="25" t="s">
        <v>8305</v>
      </c>
    </row>
    <row r="2191" spans="3:9" x14ac:dyDescent="0.2">
      <c r="C2191" t="s">
        <v>8349</v>
      </c>
      <c r="D2191" t="s">
        <v>7597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8349</v>
      </c>
      <c r="D2192" t="s">
        <v>7598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8349</v>
      </c>
      <c r="D2193" t="s">
        <v>7599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8349</v>
      </c>
      <c r="D2194" t="s">
        <v>7600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8349</v>
      </c>
      <c r="D2195" t="s">
        <v>7601</v>
      </c>
      <c r="F2195" s="21"/>
      <c r="H2195" t="str">
        <f t="shared" si="34"/>
        <v>C516</v>
      </c>
      <c r="I2195" s="25" t="s">
        <v>8306</v>
      </c>
    </row>
    <row r="2196" spans="3:9" x14ac:dyDescent="0.2">
      <c r="C2196" t="s">
        <v>8349</v>
      </c>
      <c r="D2196" t="s">
        <v>7602</v>
      </c>
      <c r="F2196" s="21"/>
      <c r="H2196" t="str">
        <f t="shared" si="34"/>
        <v>C53C</v>
      </c>
      <c r="I2196" s="25" t="s">
        <v>8303</v>
      </c>
    </row>
    <row r="2197" spans="3:9" x14ac:dyDescent="0.2">
      <c r="C2197" t="s">
        <v>8349</v>
      </c>
      <c r="D2197" t="s">
        <v>7603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8349</v>
      </c>
      <c r="D2198" t="s">
        <v>7604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8349</v>
      </c>
      <c r="D2199" t="s">
        <v>7605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8349</v>
      </c>
      <c r="D2200" t="s">
        <v>7606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8349</v>
      </c>
      <c r="D2201" t="s">
        <v>7607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8349</v>
      </c>
      <c r="D2202" t="s">
        <v>7608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8349</v>
      </c>
      <c r="D2203" t="s">
        <v>7609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8349</v>
      </c>
      <c r="D2204" t="s">
        <v>7610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8349</v>
      </c>
      <c r="D2205" t="s">
        <v>7611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8349</v>
      </c>
      <c r="D2206" t="s">
        <v>7612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8349</v>
      </c>
      <c r="D2207" t="s">
        <v>7613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8349</v>
      </c>
      <c r="D2208" t="s">
        <v>7614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8349</v>
      </c>
      <c r="D2209" t="s">
        <v>7615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8349</v>
      </c>
      <c r="D2210" t="s">
        <v>7616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8349</v>
      </c>
      <c r="D2211" t="s">
        <v>7617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8349</v>
      </c>
      <c r="D2212" t="s">
        <v>7618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8349</v>
      </c>
      <c r="D2213" t="s">
        <v>7619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8349</v>
      </c>
      <c r="D2214" t="s">
        <v>7620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8349</v>
      </c>
      <c r="D2215" t="s">
        <v>7621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8349</v>
      </c>
      <c r="D2216" t="s">
        <v>7622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8349</v>
      </c>
      <c r="D2217" t="s">
        <v>7623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8349</v>
      </c>
      <c r="D2218" t="s">
        <v>7624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8349</v>
      </c>
      <c r="D2219" t="s">
        <v>7625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8349</v>
      </c>
      <c r="D2220" t="s">
        <v>7626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8349</v>
      </c>
      <c r="D2221" t="s">
        <v>7627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8349</v>
      </c>
      <c r="D2222" t="s">
        <v>7628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8349</v>
      </c>
      <c r="D2223" t="s">
        <v>7629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8349</v>
      </c>
      <c r="D2224" t="s">
        <v>7630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8349</v>
      </c>
      <c r="D2225" t="s">
        <v>7631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8349</v>
      </c>
      <c r="D2226" t="s">
        <v>7632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8349</v>
      </c>
      <c r="D2227" t="s">
        <v>7633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8349</v>
      </c>
      <c r="D2228" t="s">
        <v>7634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8349</v>
      </c>
      <c r="D2229" t="s">
        <v>7635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8349</v>
      </c>
      <c r="D2230" t="s">
        <v>7636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8349</v>
      </c>
      <c r="D2231" t="s">
        <v>7637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8349</v>
      </c>
      <c r="D2232" t="s">
        <v>7638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8349</v>
      </c>
      <c r="D2233" t="s">
        <v>7639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8349</v>
      </c>
      <c r="D2234" t="s">
        <v>7640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8349</v>
      </c>
      <c r="D2235" t="s">
        <v>7641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8349</v>
      </c>
      <c r="D2236" t="s">
        <v>7642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8349</v>
      </c>
      <c r="D2237" t="s">
        <v>7643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8349</v>
      </c>
      <c r="D2238" t="s">
        <v>7644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8349</v>
      </c>
      <c r="D2239" t="s">
        <v>7645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8349</v>
      </c>
      <c r="D2240" t="s">
        <v>7646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8349</v>
      </c>
      <c r="D2241" t="s">
        <v>7647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8349</v>
      </c>
      <c r="D2242" t="s">
        <v>7648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8349</v>
      </c>
      <c r="D2243" t="s">
        <v>7649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8349</v>
      </c>
      <c r="D2244" t="s">
        <v>7650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8349</v>
      </c>
      <c r="D2245" t="s">
        <v>7651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8349</v>
      </c>
      <c r="D2246" t="s">
        <v>7652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8349</v>
      </c>
      <c r="D2247" t="s">
        <v>7653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8349</v>
      </c>
      <c r="D2248" t="s">
        <v>7654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8349</v>
      </c>
      <c r="D2249" t="s">
        <v>7655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8349</v>
      </c>
      <c r="D2250" t="s">
        <v>7656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8349</v>
      </c>
      <c r="D2251" t="s">
        <v>7657</v>
      </c>
      <c r="F2251" s="21"/>
      <c r="H2251" t="str">
        <f t="shared" si="35"/>
        <v>CA66</v>
      </c>
      <c r="I2251" s="25" t="s">
        <v>8348</v>
      </c>
    </row>
    <row r="2252" spans="3:9" x14ac:dyDescent="0.2">
      <c r="C2252" t="s">
        <v>8349</v>
      </c>
      <c r="D2252" t="s">
        <v>7658</v>
      </c>
      <c r="F2252" s="21"/>
      <c r="H2252" t="str">
        <f t="shared" si="35"/>
        <v>CA92</v>
      </c>
      <c r="I2252" s="25" t="s">
        <v>8346</v>
      </c>
    </row>
    <row r="2253" spans="3:9" x14ac:dyDescent="0.2">
      <c r="C2253" t="s">
        <v>8349</v>
      </c>
      <c r="D2253" t="s">
        <v>7659</v>
      </c>
      <c r="F2253" s="21"/>
      <c r="H2253" t="str">
        <f t="shared" si="35"/>
        <v>CAA6</v>
      </c>
      <c r="I2253" s="25" t="s">
        <v>8347</v>
      </c>
    </row>
    <row r="2254" spans="3:9" x14ac:dyDescent="0.2">
      <c r="C2254" t="s">
        <v>8349</v>
      </c>
      <c r="D2254" t="s">
        <v>7660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8349</v>
      </c>
      <c r="D2255" t="s">
        <v>7661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8349</v>
      </c>
      <c r="D2256" t="s">
        <v>7662</v>
      </c>
      <c r="F2256" s="21"/>
      <c r="H2256" t="str">
        <f t="shared" si="35"/>
        <v/>
      </c>
      <c r="I2256" s="25" t="s">
        <v>7662</v>
      </c>
    </row>
    <row r="2257" spans="3:9" x14ac:dyDescent="0.2">
      <c r="C2257" t="s">
        <v>8349</v>
      </c>
      <c r="D2257" t="s">
        <v>7663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8349</v>
      </c>
      <c r="D2258" t="s">
        <v>7664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8349</v>
      </c>
      <c r="D2259" t="s">
        <v>7665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8349</v>
      </c>
      <c r="D2260" t="s">
        <v>7666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8349</v>
      </c>
      <c r="D2261" t="s">
        <v>7667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8349</v>
      </c>
      <c r="D2262" t="s">
        <v>7668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8349</v>
      </c>
      <c r="D2263" t="s">
        <v>7669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8349</v>
      </c>
      <c r="D2264" t="s">
        <v>7670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8349</v>
      </c>
      <c r="D2265" t="s">
        <v>7671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8349</v>
      </c>
      <c r="D2266" t="s">
        <v>7672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8349</v>
      </c>
      <c r="D2267" t="s">
        <v>7673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8349</v>
      </c>
      <c r="D2268" t="s">
        <v>7674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8349</v>
      </c>
      <c r="D2269" t="s">
        <v>7675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8349</v>
      </c>
      <c r="D2270" t="s">
        <v>7676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8349</v>
      </c>
      <c r="D2271" t="s">
        <v>7677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8349</v>
      </c>
      <c r="D2272" t="s">
        <v>7678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8349</v>
      </c>
      <c r="D2273" t="s">
        <v>7679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8349</v>
      </c>
      <c r="D2274" t="s">
        <v>7680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8349</v>
      </c>
      <c r="D2275" t="s">
        <v>7681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8349</v>
      </c>
      <c r="D2276" t="s">
        <v>7682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8349</v>
      </c>
      <c r="D2277" t="s">
        <v>7683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8349</v>
      </c>
      <c r="D2278" t="s">
        <v>7684</v>
      </c>
      <c r="F2278" s="21"/>
      <c r="H2278" t="str">
        <f t="shared" si="35"/>
        <v>CD8C</v>
      </c>
      <c r="I2278" s="25" t="s">
        <v>8128</v>
      </c>
    </row>
    <row r="2279" spans="3:9" x14ac:dyDescent="0.2">
      <c r="C2279" t="s">
        <v>8349</v>
      </c>
      <c r="D2279" t="s">
        <v>7685</v>
      </c>
      <c r="F2279" s="21"/>
      <c r="H2279" t="str">
        <f t="shared" si="35"/>
        <v>CD8E</v>
      </c>
      <c r="I2279" s="25" t="s">
        <v>8300</v>
      </c>
    </row>
    <row r="2280" spans="3:9" x14ac:dyDescent="0.2">
      <c r="C2280" t="s">
        <v>8349</v>
      </c>
      <c r="D2280" t="s">
        <v>7686</v>
      </c>
      <c r="F2280" s="21"/>
      <c r="H2280" t="str">
        <f t="shared" si="35"/>
        <v>CD94</v>
      </c>
      <c r="I2280" s="25" t="s">
        <v>8302</v>
      </c>
    </row>
    <row r="2281" spans="3:9" x14ac:dyDescent="0.2">
      <c r="C2281" t="s">
        <v>8349</v>
      </c>
      <c r="D2281" t="s">
        <v>7687</v>
      </c>
      <c r="F2281" s="21"/>
      <c r="H2281" t="str">
        <f t="shared" si="35"/>
        <v/>
      </c>
      <c r="I2281" s="25" t="s">
        <v>7687</v>
      </c>
    </row>
    <row r="2282" spans="3:9" x14ac:dyDescent="0.2">
      <c r="C2282" t="s">
        <v>8349</v>
      </c>
      <c r="D2282" t="s">
        <v>7688</v>
      </c>
      <c r="F2282" s="21"/>
      <c r="H2282" t="str">
        <f t="shared" si="35"/>
        <v>CDA0</v>
      </c>
      <c r="I2282" s="25" t="s">
        <v>8301</v>
      </c>
    </row>
    <row r="2283" spans="3:9" x14ac:dyDescent="0.2">
      <c r="C2283" t="s">
        <v>8349</v>
      </c>
      <c r="D2283" t="s">
        <v>7689</v>
      </c>
      <c r="F2283" s="21"/>
      <c r="H2283" t="str">
        <f t="shared" si="35"/>
        <v>CDBC</v>
      </c>
    </row>
    <row r="2284" spans="3:9" x14ac:dyDescent="0.2">
      <c r="C2284" t="s">
        <v>8349</v>
      </c>
      <c r="D2284" t="s">
        <v>7690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8349</v>
      </c>
      <c r="D2285" t="s">
        <v>7691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8349</v>
      </c>
      <c r="D2286" t="s">
        <v>7692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8349</v>
      </c>
      <c r="D2287" t="s">
        <v>7693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8349</v>
      </c>
      <c r="D2288" t="s">
        <v>7694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8349</v>
      </c>
      <c r="D2289" t="s">
        <v>7695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8349</v>
      </c>
      <c r="D2290" t="s">
        <v>7696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8349</v>
      </c>
      <c r="D2291" t="s">
        <v>7697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8349</v>
      </c>
      <c r="D2292" t="s">
        <v>7698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8349</v>
      </c>
      <c r="D2293" t="s">
        <v>7699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8349</v>
      </c>
      <c r="D2294" t="s">
        <v>7700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8349</v>
      </c>
      <c r="D2295" t="s">
        <v>7701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8349</v>
      </c>
      <c r="D2296" t="s">
        <v>7702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8349</v>
      </c>
      <c r="D2297" t="s">
        <v>7703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8349</v>
      </c>
      <c r="D2298" t="s">
        <v>7704</v>
      </c>
      <c r="F2298" s="21"/>
      <c r="H2298" t="str">
        <f t="shared" si="35"/>
        <v/>
      </c>
      <c r="I2298" s="25" t="s">
        <v>7704</v>
      </c>
    </row>
    <row r="2299" spans="3:11" x14ac:dyDescent="0.2">
      <c r="C2299" t="s">
        <v>8349</v>
      </c>
      <c r="D2299" t="s">
        <v>7705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8349</v>
      </c>
      <c r="D2300" t="s">
        <v>7706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8349</v>
      </c>
      <c r="D2301" t="s">
        <v>7707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8349</v>
      </c>
      <c r="D2302" t="s">
        <v>7708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8349</v>
      </c>
      <c r="D2303" t="s">
        <v>7709</v>
      </c>
      <c r="F2303" s="21"/>
      <c r="H2303" t="str">
        <f t="shared" si="35"/>
        <v>D008</v>
      </c>
      <c r="I2303" s="25" t="s">
        <v>8495</v>
      </c>
      <c r="K2303" s="20" t="s">
        <v>8496</v>
      </c>
    </row>
    <row r="2304" spans="3:11" x14ac:dyDescent="0.2">
      <c r="C2304" t="s">
        <v>8349</v>
      </c>
      <c r="D2304" t="s">
        <v>7710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8349</v>
      </c>
      <c r="D2305" t="s">
        <v>7711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8349</v>
      </c>
      <c r="D2306" t="s">
        <v>7712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8349</v>
      </c>
      <c r="D2307" t="s">
        <v>7713</v>
      </c>
      <c r="E2307" s="32" t="s">
        <v>8351</v>
      </c>
      <c r="F2307" s="35" t="s">
        <v>2754</v>
      </c>
      <c r="H2307" t="str">
        <f t="shared" si="35"/>
        <v>D01A</v>
      </c>
      <c r="K2307" s="23" t="s">
        <v>8419</v>
      </c>
    </row>
    <row r="2308" spans="3:12" ht="48" x14ac:dyDescent="0.2">
      <c r="C2308" t="s">
        <v>8349</v>
      </c>
      <c r="D2308" t="s">
        <v>7714</v>
      </c>
      <c r="E2308" s="32" t="s">
        <v>8352</v>
      </c>
      <c r="F2308" s="35" t="s">
        <v>8391</v>
      </c>
      <c r="H2308" t="str">
        <f t="shared" si="35"/>
        <v/>
      </c>
      <c r="I2308" s="25" t="s">
        <v>8341</v>
      </c>
      <c r="J2308" s="5"/>
      <c r="L2308" s="5"/>
    </row>
    <row r="2309" spans="3:12" ht="16" x14ac:dyDescent="0.2">
      <c r="C2309" t="s">
        <v>8349</v>
      </c>
      <c r="D2309" t="s">
        <v>7715</v>
      </c>
      <c r="E2309" s="32" t="s">
        <v>8353</v>
      </c>
      <c r="F2309" s="35" t="s">
        <v>8412</v>
      </c>
      <c r="H2309" t="str">
        <f t="shared" si="35"/>
        <v>D042</v>
      </c>
      <c r="K2309" s="23" t="s">
        <v>8413</v>
      </c>
    </row>
    <row r="2310" spans="3:12" ht="16" x14ac:dyDescent="0.2">
      <c r="C2310" t="s">
        <v>8349</v>
      </c>
      <c r="D2310" t="s">
        <v>7716</v>
      </c>
      <c r="E2310" s="32" t="s">
        <v>8354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8393</v>
      </c>
      <c r="K2310" s="23" t="s">
        <v>8394</v>
      </c>
    </row>
    <row r="2311" spans="3:12" x14ac:dyDescent="0.2">
      <c r="C2311" t="s">
        <v>8349</v>
      </c>
      <c r="D2311" t="s">
        <v>7717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8349</v>
      </c>
      <c r="D2312" t="s">
        <v>7718</v>
      </c>
      <c r="E2312" s="32" t="s">
        <v>8355</v>
      </c>
      <c r="F2312" s="35" t="s">
        <v>8399</v>
      </c>
      <c r="H2312" t="str">
        <f t="shared" si="36"/>
        <v>D088</v>
      </c>
      <c r="I2312" s="25" t="s">
        <v>8340</v>
      </c>
      <c r="K2312" s="23" t="s">
        <v>8400</v>
      </c>
    </row>
    <row r="2313" spans="3:12" ht="16" x14ac:dyDescent="0.2">
      <c r="C2313" t="s">
        <v>8349</v>
      </c>
      <c r="D2313" t="s">
        <v>7719</v>
      </c>
      <c r="E2313" s="32" t="s">
        <v>8356</v>
      </c>
      <c r="F2313" s="35" t="s">
        <v>8401</v>
      </c>
      <c r="H2313" t="str">
        <f t="shared" si="36"/>
        <v/>
      </c>
      <c r="I2313" s="25" t="s">
        <v>7719</v>
      </c>
      <c r="K2313" s="23" t="s">
        <v>8402</v>
      </c>
    </row>
    <row r="2314" spans="3:12" ht="16" x14ac:dyDescent="0.2">
      <c r="C2314" t="s">
        <v>8349</v>
      </c>
      <c r="D2314" t="s">
        <v>7720</v>
      </c>
      <c r="E2314" s="32" t="s">
        <v>8357</v>
      </c>
      <c r="F2314" s="35" t="s">
        <v>8403</v>
      </c>
      <c r="H2314" t="str">
        <f t="shared" si="36"/>
        <v>D090</v>
      </c>
      <c r="I2314" s="25" t="s">
        <v>8342</v>
      </c>
      <c r="K2314" s="23" t="s">
        <v>8404</v>
      </c>
    </row>
    <row r="2315" spans="3:12" ht="16" x14ac:dyDescent="0.2">
      <c r="C2315" t="s">
        <v>8349</v>
      </c>
      <c r="D2315" t="s">
        <v>7721</v>
      </c>
      <c r="E2315" s="32" t="s">
        <v>8358</v>
      </c>
      <c r="F2315" s="35" t="s">
        <v>8405</v>
      </c>
      <c r="H2315" t="str">
        <f t="shared" si="36"/>
        <v>D09A</v>
      </c>
      <c r="I2315" s="25" t="s">
        <v>8343</v>
      </c>
      <c r="K2315" s="23" t="s">
        <v>8406</v>
      </c>
    </row>
    <row r="2316" spans="3:12" ht="16" x14ac:dyDescent="0.2">
      <c r="C2316" t="s">
        <v>8349</v>
      </c>
      <c r="D2316" t="s">
        <v>7722</v>
      </c>
      <c r="E2316" s="32" t="s">
        <v>8359</v>
      </c>
      <c r="F2316" s="35" t="s">
        <v>8407</v>
      </c>
      <c r="H2316" t="str">
        <f t="shared" si="36"/>
        <v>D0C6</v>
      </c>
      <c r="I2316" s="25" t="s">
        <v>8408</v>
      </c>
      <c r="K2316" s="23" t="s">
        <v>8394</v>
      </c>
    </row>
    <row r="2317" spans="3:12" ht="16" x14ac:dyDescent="0.2">
      <c r="C2317" t="s">
        <v>8349</v>
      </c>
      <c r="D2317" t="s">
        <v>7723</v>
      </c>
      <c r="E2317" s="32" t="s">
        <v>8354</v>
      </c>
      <c r="F2317" s="35" t="s">
        <v>2754</v>
      </c>
      <c r="H2317" t="str">
        <f t="shared" si="36"/>
        <v>D0D0</v>
      </c>
      <c r="I2317" s="25" t="s">
        <v>8395</v>
      </c>
      <c r="K2317" s="23" t="s">
        <v>8394</v>
      </c>
    </row>
    <row r="2318" spans="3:12" ht="16" x14ac:dyDescent="0.2">
      <c r="C2318" t="s">
        <v>8349</v>
      </c>
      <c r="D2318" t="s">
        <v>7724</v>
      </c>
      <c r="E2318" s="32" t="s">
        <v>8360</v>
      </c>
      <c r="F2318" s="35" t="s">
        <v>8409</v>
      </c>
      <c r="H2318" t="str">
        <f t="shared" si="36"/>
        <v>D0D6</v>
      </c>
      <c r="I2318" s="25" t="s">
        <v>8410</v>
      </c>
      <c r="K2318" s="23" t="s">
        <v>8394</v>
      </c>
    </row>
    <row r="2319" spans="3:12" ht="48" x14ac:dyDescent="0.2">
      <c r="C2319" t="s">
        <v>8349</v>
      </c>
      <c r="D2319" t="s">
        <v>7725</v>
      </c>
      <c r="E2319" s="32" t="s">
        <v>8361</v>
      </c>
      <c r="F2319" s="35" t="s">
        <v>2754</v>
      </c>
      <c r="H2319" t="str">
        <f t="shared" si="36"/>
        <v>D0FA</v>
      </c>
      <c r="I2319" s="25" t="s">
        <v>8482</v>
      </c>
      <c r="K2319" s="23" t="s">
        <v>8396</v>
      </c>
    </row>
    <row r="2320" spans="3:12" x14ac:dyDescent="0.2">
      <c r="C2320" t="s">
        <v>8349</v>
      </c>
      <c r="D2320" t="s">
        <v>7726</v>
      </c>
      <c r="F2320" s="21"/>
      <c r="H2320" t="str">
        <f t="shared" si="36"/>
        <v>D102</v>
      </c>
      <c r="I2320" s="25" t="s">
        <v>8481</v>
      </c>
    </row>
    <row r="2321" spans="3:11" x14ac:dyDescent="0.2">
      <c r="C2321" t="s">
        <v>8349</v>
      </c>
      <c r="D2321" t="s">
        <v>7727</v>
      </c>
      <c r="F2321" s="21"/>
      <c r="H2321" t="str">
        <f t="shared" si="36"/>
        <v>D10A</v>
      </c>
      <c r="I2321" s="25" t="s">
        <v>8483</v>
      </c>
    </row>
    <row r="2322" spans="3:11" ht="32" x14ac:dyDescent="0.2">
      <c r="C2322" t="s">
        <v>8349</v>
      </c>
      <c r="D2322" t="s">
        <v>7728</v>
      </c>
      <c r="F2322" s="21"/>
      <c r="H2322" t="str">
        <f t="shared" si="36"/>
        <v>D128</v>
      </c>
      <c r="I2322" s="25" t="s">
        <v>8510</v>
      </c>
      <c r="K2322" s="20" t="s">
        <v>8485</v>
      </c>
    </row>
    <row r="2323" spans="3:11" ht="16" x14ac:dyDescent="0.2">
      <c r="C2323" t="s">
        <v>8349</v>
      </c>
      <c r="D2323" t="s">
        <v>7729</v>
      </c>
      <c r="E2323" s="32" t="s">
        <v>8362</v>
      </c>
      <c r="F2323" s="35" t="s">
        <v>2754</v>
      </c>
      <c r="H2323" t="str">
        <f t="shared" si="36"/>
        <v>D12A</v>
      </c>
      <c r="I2323" s="25" t="s">
        <v>8484</v>
      </c>
      <c r="K2323" s="23" t="s">
        <v>8414</v>
      </c>
    </row>
    <row r="2324" spans="3:11" ht="16" x14ac:dyDescent="0.2">
      <c r="C2324" t="s">
        <v>8349</v>
      </c>
      <c r="D2324" t="s">
        <v>7730</v>
      </c>
      <c r="E2324" s="32" t="s">
        <v>8354</v>
      </c>
      <c r="F2324" s="35" t="s">
        <v>2754</v>
      </c>
      <c r="H2324" t="str">
        <f t="shared" si="36"/>
        <v/>
      </c>
      <c r="I2324" s="25" t="s">
        <v>7730</v>
      </c>
      <c r="K2324" s="23" t="s">
        <v>8397</v>
      </c>
    </row>
    <row r="2325" spans="3:11" x14ac:dyDescent="0.2">
      <c r="C2325" t="s">
        <v>8349</v>
      </c>
      <c r="D2325" t="s">
        <v>7731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8349</v>
      </c>
      <c r="D2326" t="s">
        <v>7732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8349</v>
      </c>
      <c r="D2327" t="s">
        <v>7733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8349</v>
      </c>
      <c r="D2328" t="s">
        <v>7734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8349</v>
      </c>
      <c r="D2329" t="s">
        <v>7735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8349</v>
      </c>
      <c r="D2330" t="s">
        <v>7736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8349</v>
      </c>
      <c r="D2331" t="s">
        <v>7737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8349</v>
      </c>
      <c r="D2332" t="s">
        <v>7738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8349</v>
      </c>
      <c r="D2333" t="s">
        <v>7739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8349</v>
      </c>
      <c r="D2334" t="s">
        <v>7740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8349</v>
      </c>
      <c r="D2335" t="s">
        <v>7741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8349</v>
      </c>
      <c r="D2336" t="s">
        <v>7742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8349</v>
      </c>
      <c r="D2337" t="s">
        <v>7743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8349</v>
      </c>
      <c r="D2338" t="s">
        <v>7744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8349</v>
      </c>
      <c r="D2339" t="s">
        <v>7745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8349</v>
      </c>
      <c r="D2340" t="s">
        <v>7746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8349</v>
      </c>
      <c r="D2341" t="s">
        <v>7747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8349</v>
      </c>
      <c r="D2342" t="s">
        <v>7748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8349</v>
      </c>
      <c r="D2343" t="s">
        <v>7749</v>
      </c>
      <c r="E2343" s="32" t="s">
        <v>8363</v>
      </c>
      <c r="F2343" s="35" t="s">
        <v>8415</v>
      </c>
      <c r="H2343" t="str">
        <f t="shared" si="36"/>
        <v>D74C</v>
      </c>
      <c r="I2343" s="25" t="s">
        <v>8416</v>
      </c>
      <c r="K2343" s="23" t="s">
        <v>8394</v>
      </c>
    </row>
    <row r="2344" spans="3:11" ht="16" x14ac:dyDescent="0.2">
      <c r="C2344" t="s">
        <v>8349</v>
      </c>
      <c r="D2344" t="s">
        <v>7750</v>
      </c>
      <c r="E2344" s="32" t="s">
        <v>8354</v>
      </c>
      <c r="F2344" s="35" t="s">
        <v>2754</v>
      </c>
      <c r="H2344" t="str">
        <f t="shared" si="36"/>
        <v>D772</v>
      </c>
      <c r="I2344" s="25" t="s">
        <v>8398</v>
      </c>
      <c r="K2344" s="23" t="s">
        <v>8394</v>
      </c>
    </row>
    <row r="2345" spans="3:11" ht="16" x14ac:dyDescent="0.2">
      <c r="C2345" t="s">
        <v>8349</v>
      </c>
      <c r="D2345" t="s">
        <v>7751</v>
      </c>
      <c r="F2345" s="21"/>
      <c r="H2345" t="str">
        <f t="shared" si="36"/>
        <v>D780</v>
      </c>
      <c r="I2345" s="25" t="s">
        <v>8492</v>
      </c>
      <c r="K2345" s="20" t="s">
        <v>8490</v>
      </c>
    </row>
    <row r="2346" spans="3:11" x14ac:dyDescent="0.2">
      <c r="C2346" t="s">
        <v>8349</v>
      </c>
      <c r="D2346" t="s">
        <v>7752</v>
      </c>
      <c r="F2346" s="21"/>
      <c r="H2346" t="str">
        <f t="shared" si="36"/>
        <v>D788</v>
      </c>
      <c r="I2346" s="25" t="s">
        <v>8491</v>
      </c>
    </row>
    <row r="2347" spans="3:11" ht="32" x14ac:dyDescent="0.2">
      <c r="C2347" t="s">
        <v>8349</v>
      </c>
      <c r="D2347" t="s">
        <v>7753</v>
      </c>
      <c r="E2347" s="32" t="s">
        <v>8364</v>
      </c>
      <c r="F2347" s="35" t="s">
        <v>8417</v>
      </c>
      <c r="H2347" t="str">
        <f t="shared" si="36"/>
        <v>D7C6</v>
      </c>
      <c r="K2347" s="23" t="s">
        <v>8418</v>
      </c>
    </row>
    <row r="2348" spans="3:11" ht="16" x14ac:dyDescent="0.2">
      <c r="C2348" t="s">
        <v>8349</v>
      </c>
      <c r="D2348" t="s">
        <v>7754</v>
      </c>
      <c r="E2348" s="32" t="s">
        <v>8365</v>
      </c>
      <c r="F2348" s="35" t="s">
        <v>8420</v>
      </c>
      <c r="H2348" t="str">
        <f t="shared" si="36"/>
        <v>D7CC</v>
      </c>
      <c r="I2348" s="25" t="s">
        <v>8421</v>
      </c>
      <c r="K2348" s="23" t="s">
        <v>8394</v>
      </c>
    </row>
    <row r="2349" spans="3:11" ht="16" x14ac:dyDescent="0.2">
      <c r="C2349" t="s">
        <v>8349</v>
      </c>
      <c r="D2349" t="s">
        <v>7755</v>
      </c>
      <c r="E2349" s="32" t="s">
        <v>8354</v>
      </c>
      <c r="F2349" s="35" t="s">
        <v>2754</v>
      </c>
      <c r="H2349" t="str">
        <f t="shared" si="36"/>
        <v>D7D2</v>
      </c>
      <c r="I2349" s="25" t="s">
        <v>8422</v>
      </c>
      <c r="K2349" s="23" t="s">
        <v>8394</v>
      </c>
    </row>
    <row r="2350" spans="3:11" x14ac:dyDescent="0.2">
      <c r="C2350" t="s">
        <v>8349</v>
      </c>
      <c r="D2350" t="s">
        <v>7756</v>
      </c>
      <c r="F2350" s="21"/>
      <c r="H2350" t="str">
        <f t="shared" si="36"/>
        <v>D7DA</v>
      </c>
      <c r="I2350" s="25" t="s">
        <v>8489</v>
      </c>
    </row>
    <row r="2351" spans="3:11" ht="16" x14ac:dyDescent="0.2">
      <c r="C2351" t="s">
        <v>8349</v>
      </c>
      <c r="D2351" t="s">
        <v>7757</v>
      </c>
      <c r="E2351" s="32" t="s">
        <v>8366</v>
      </c>
      <c r="F2351" s="35" t="s">
        <v>8423</v>
      </c>
      <c r="H2351" t="str">
        <f t="shared" si="36"/>
        <v>D7DC</v>
      </c>
      <c r="I2351" s="25" t="s">
        <v>8424</v>
      </c>
      <c r="K2351" s="23" t="s">
        <v>8394</v>
      </c>
    </row>
    <row r="2352" spans="3:11" ht="32" x14ac:dyDescent="0.2">
      <c r="C2352" t="s">
        <v>8349</v>
      </c>
      <c r="D2352" t="s">
        <v>7758</v>
      </c>
      <c r="E2352" s="32" t="s">
        <v>8367</v>
      </c>
      <c r="F2352" s="35" t="s">
        <v>8425</v>
      </c>
      <c r="H2352" t="str">
        <f t="shared" si="36"/>
        <v>D7E2</v>
      </c>
      <c r="I2352" s="25" t="s">
        <v>8426</v>
      </c>
      <c r="K2352" s="23" t="s">
        <v>8427</v>
      </c>
    </row>
    <row r="2353" spans="3:11" ht="32" x14ac:dyDescent="0.2">
      <c r="C2353" t="s">
        <v>8349</v>
      </c>
      <c r="D2353" t="s">
        <v>7759</v>
      </c>
      <c r="E2353" s="32" t="s">
        <v>8368</v>
      </c>
      <c r="F2353" s="35" t="s">
        <v>8428</v>
      </c>
      <c r="H2353" t="str">
        <f t="shared" si="36"/>
        <v>D7E6</v>
      </c>
      <c r="I2353" s="25" t="s">
        <v>8429</v>
      </c>
      <c r="K2353" s="23" t="s">
        <v>8430</v>
      </c>
    </row>
    <row r="2354" spans="3:11" ht="16" x14ac:dyDescent="0.2">
      <c r="C2354" t="s">
        <v>8349</v>
      </c>
      <c r="D2354" t="s">
        <v>7760</v>
      </c>
      <c r="E2354" s="32" t="s">
        <v>8369</v>
      </c>
      <c r="F2354" s="35" t="s">
        <v>8431</v>
      </c>
      <c r="H2354" t="str">
        <f t="shared" si="36"/>
        <v>D7E8</v>
      </c>
      <c r="I2354" s="25" t="s">
        <v>8432</v>
      </c>
      <c r="K2354" s="23" t="s">
        <v>8394</v>
      </c>
    </row>
    <row r="2355" spans="3:11" ht="16" x14ac:dyDescent="0.2">
      <c r="C2355" t="s">
        <v>8349</v>
      </c>
      <c r="D2355" t="s">
        <v>7761</v>
      </c>
      <c r="E2355" s="32" t="s">
        <v>8354</v>
      </c>
      <c r="F2355" s="35" t="s">
        <v>2754</v>
      </c>
      <c r="H2355" t="str">
        <f t="shared" si="36"/>
        <v>D7EC</v>
      </c>
      <c r="I2355" s="25" t="s">
        <v>8433</v>
      </c>
      <c r="K2355" s="23" t="s">
        <v>8394</v>
      </c>
    </row>
    <row r="2356" spans="3:11" ht="48" x14ac:dyDescent="0.2">
      <c r="C2356" t="s">
        <v>8349</v>
      </c>
      <c r="D2356" t="s">
        <v>7762</v>
      </c>
      <c r="E2356" s="32" t="s">
        <v>8370</v>
      </c>
      <c r="F2356" s="35" t="s">
        <v>8471</v>
      </c>
      <c r="H2356" t="str">
        <f t="shared" si="36"/>
        <v>D7F8</v>
      </c>
      <c r="I2356" s="25" t="s">
        <v>8472</v>
      </c>
      <c r="K2356" s="23" t="s">
        <v>8470</v>
      </c>
    </row>
    <row r="2357" spans="3:11" ht="16" x14ac:dyDescent="0.2">
      <c r="C2357" t="s">
        <v>8349</v>
      </c>
      <c r="D2357" t="s">
        <v>7763</v>
      </c>
      <c r="E2357" s="32" t="s">
        <v>8371</v>
      </c>
      <c r="F2357" s="35" t="s">
        <v>8434</v>
      </c>
      <c r="H2357" t="str">
        <f t="shared" si="36"/>
        <v>D7FE</v>
      </c>
      <c r="I2357" s="25" t="s">
        <v>8435</v>
      </c>
      <c r="K2357" s="23" t="s">
        <v>8394</v>
      </c>
    </row>
    <row r="2358" spans="3:11" ht="16" x14ac:dyDescent="0.2">
      <c r="C2358" t="s">
        <v>8349</v>
      </c>
      <c r="D2358" t="s">
        <v>7764</v>
      </c>
      <c r="E2358" s="32" t="s">
        <v>8372</v>
      </c>
      <c r="F2358" s="35" t="s">
        <v>8436</v>
      </c>
      <c r="H2358" t="str">
        <f t="shared" si="36"/>
        <v>D802</v>
      </c>
      <c r="I2358" s="25" t="s">
        <v>8437</v>
      </c>
      <c r="K2358" s="23" t="s">
        <v>8394</v>
      </c>
    </row>
    <row r="2359" spans="3:11" ht="16" x14ac:dyDescent="0.2">
      <c r="C2359" t="s">
        <v>8349</v>
      </c>
      <c r="D2359" t="s">
        <v>7765</v>
      </c>
      <c r="E2359" s="32" t="s">
        <v>8354</v>
      </c>
      <c r="F2359" s="35" t="s">
        <v>2754</v>
      </c>
      <c r="H2359" t="str">
        <f t="shared" si="36"/>
        <v>D814</v>
      </c>
      <c r="I2359" s="25" t="s">
        <v>8438</v>
      </c>
      <c r="K2359" s="23" t="s">
        <v>8394</v>
      </c>
    </row>
    <row r="2360" spans="3:11" ht="16" x14ac:dyDescent="0.2">
      <c r="C2360" t="s">
        <v>8349</v>
      </c>
      <c r="D2360" t="s">
        <v>7766</v>
      </c>
      <c r="E2360" s="32" t="s">
        <v>8373</v>
      </c>
      <c r="F2360" s="35" t="s">
        <v>8439</v>
      </c>
      <c r="H2360" t="str">
        <f t="shared" si="36"/>
        <v>D81C</v>
      </c>
      <c r="I2360" s="25" t="s">
        <v>8440</v>
      </c>
      <c r="K2360" s="23" t="s">
        <v>8394</v>
      </c>
    </row>
    <row r="2361" spans="3:11" ht="16" x14ac:dyDescent="0.2">
      <c r="C2361" t="s">
        <v>8349</v>
      </c>
      <c r="D2361" t="s">
        <v>7767</v>
      </c>
      <c r="E2361" s="32" t="s">
        <v>8354</v>
      </c>
      <c r="F2361" s="35" t="s">
        <v>2754</v>
      </c>
      <c r="H2361" t="str">
        <f t="shared" si="36"/>
        <v>D824</v>
      </c>
      <c r="I2361" s="25" t="s">
        <v>8441</v>
      </c>
      <c r="K2361" s="23" t="s">
        <v>8394</v>
      </c>
    </row>
    <row r="2362" spans="3:11" x14ac:dyDescent="0.2">
      <c r="C2362" t="s">
        <v>8349</v>
      </c>
      <c r="D2362" t="s">
        <v>7768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8349</v>
      </c>
      <c r="D2363" t="s">
        <v>7769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8349</v>
      </c>
      <c r="D2364" t="s">
        <v>7770</v>
      </c>
      <c r="E2364" s="32" t="s">
        <v>8374</v>
      </c>
      <c r="F2364" s="35" t="s">
        <v>8442</v>
      </c>
      <c r="H2364" t="str">
        <f t="shared" si="36"/>
        <v>D86A</v>
      </c>
      <c r="I2364" s="25" t="s">
        <v>8443</v>
      </c>
      <c r="K2364" s="23" t="s">
        <v>8394</v>
      </c>
    </row>
    <row r="2365" spans="3:11" ht="16" x14ac:dyDescent="0.2">
      <c r="C2365" t="s">
        <v>8349</v>
      </c>
      <c r="D2365" t="s">
        <v>7771</v>
      </c>
      <c r="E2365" s="32" t="s">
        <v>8375</v>
      </c>
      <c r="F2365" s="35" t="s">
        <v>8444</v>
      </c>
      <c r="H2365" t="str">
        <f t="shared" si="36"/>
        <v>D870</v>
      </c>
      <c r="I2365" s="25" t="s">
        <v>8445</v>
      </c>
      <c r="K2365" s="23" t="s">
        <v>8394</v>
      </c>
    </row>
    <row r="2366" spans="3:11" ht="16" x14ac:dyDescent="0.2">
      <c r="C2366" t="s">
        <v>8349</v>
      </c>
      <c r="D2366" t="s">
        <v>7772</v>
      </c>
      <c r="E2366" s="32" t="s">
        <v>8376</v>
      </c>
      <c r="F2366" s="35" t="s">
        <v>8446</v>
      </c>
      <c r="H2366" t="str">
        <f t="shared" si="36"/>
        <v>D872</v>
      </c>
      <c r="I2366" s="25" t="s">
        <v>8447</v>
      </c>
      <c r="K2366" s="23" t="s">
        <v>8394</v>
      </c>
    </row>
    <row r="2367" spans="3:11" ht="16" x14ac:dyDescent="0.2">
      <c r="C2367" t="s">
        <v>8349</v>
      </c>
      <c r="D2367" t="s">
        <v>7773</v>
      </c>
      <c r="E2367" s="32" t="s">
        <v>8354</v>
      </c>
      <c r="F2367" s="35" t="s">
        <v>2754</v>
      </c>
      <c r="H2367" t="str">
        <f t="shared" si="36"/>
        <v>D87A</v>
      </c>
      <c r="I2367" s="25" t="s">
        <v>8480</v>
      </c>
      <c r="K2367" s="23" t="s">
        <v>8394</v>
      </c>
    </row>
    <row r="2368" spans="3:11" x14ac:dyDescent="0.2">
      <c r="C2368" t="s">
        <v>8349</v>
      </c>
      <c r="D2368" t="s">
        <v>7774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8349</v>
      </c>
      <c r="D2369" t="s">
        <v>7775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8349</v>
      </c>
      <c r="D2370" t="s">
        <v>7776</v>
      </c>
      <c r="F2370" s="21"/>
      <c r="H2370" t="str">
        <f t="shared" si="36"/>
        <v>D8B2</v>
      </c>
      <c r="I2370" s="25" t="s">
        <v>8493</v>
      </c>
      <c r="K2370" s="20" t="s">
        <v>8494</v>
      </c>
    </row>
    <row r="2371" spans="3:11" x14ac:dyDescent="0.2">
      <c r="C2371" t="s">
        <v>8349</v>
      </c>
      <c r="D2371" t="s">
        <v>7777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8349</v>
      </c>
      <c r="D2372" t="s">
        <v>7778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8349</v>
      </c>
      <c r="D2373" t="s">
        <v>7779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8349</v>
      </c>
      <c r="D2374" t="s">
        <v>7780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8349</v>
      </c>
      <c r="D2375" t="s">
        <v>7781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8349</v>
      </c>
      <c r="D2376" t="s">
        <v>7782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8349</v>
      </c>
      <c r="D2377" t="s">
        <v>7783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8349</v>
      </c>
      <c r="D2378" t="s">
        <v>7784</v>
      </c>
      <c r="E2378" s="32" t="s">
        <v>8377</v>
      </c>
      <c r="F2378" s="35" t="s">
        <v>8473</v>
      </c>
      <c r="H2378" t="str">
        <f t="shared" si="37"/>
        <v>D92A</v>
      </c>
      <c r="K2378" s="23" t="s">
        <v>8448</v>
      </c>
    </row>
    <row r="2379" spans="3:11" ht="16" x14ac:dyDescent="0.2">
      <c r="C2379" t="s">
        <v>8349</v>
      </c>
      <c r="D2379" t="s">
        <v>7785</v>
      </c>
      <c r="E2379" s="32" t="s">
        <v>8377</v>
      </c>
      <c r="F2379" s="35" t="s">
        <v>8473</v>
      </c>
      <c r="H2379" t="str">
        <f t="shared" si="37"/>
        <v>D92B</v>
      </c>
      <c r="K2379" s="23" t="s">
        <v>8448</v>
      </c>
    </row>
    <row r="2380" spans="3:11" ht="16" x14ac:dyDescent="0.2">
      <c r="C2380" t="s">
        <v>8349</v>
      </c>
      <c r="D2380" t="s">
        <v>7786</v>
      </c>
      <c r="E2380" s="32" t="s">
        <v>8377</v>
      </c>
      <c r="F2380" s="35" t="s">
        <v>8473</v>
      </c>
      <c r="H2380" t="str">
        <f t="shared" si="37"/>
        <v>D92C</v>
      </c>
      <c r="K2380" s="23" t="s">
        <v>8448</v>
      </c>
    </row>
    <row r="2381" spans="3:11" ht="16" x14ac:dyDescent="0.2">
      <c r="C2381" t="s">
        <v>8349</v>
      </c>
      <c r="D2381" t="s">
        <v>7787</v>
      </c>
      <c r="E2381" s="32" t="s">
        <v>8377</v>
      </c>
      <c r="F2381" s="35" t="s">
        <v>8473</v>
      </c>
      <c r="H2381" t="str">
        <f t="shared" si="37"/>
        <v>D92D</v>
      </c>
      <c r="K2381" s="23" t="s">
        <v>8448</v>
      </c>
    </row>
    <row r="2382" spans="3:11" ht="16" x14ac:dyDescent="0.2">
      <c r="C2382" t="s">
        <v>8349</v>
      </c>
      <c r="D2382" t="s">
        <v>7788</v>
      </c>
      <c r="E2382" s="32" t="s">
        <v>8378</v>
      </c>
      <c r="F2382" s="35" t="s">
        <v>8449</v>
      </c>
      <c r="H2382" t="str">
        <f t="shared" si="37"/>
        <v>D92E</v>
      </c>
      <c r="I2382" s="25" t="s">
        <v>8450</v>
      </c>
      <c r="K2382" s="23" t="s">
        <v>8394</v>
      </c>
    </row>
    <row r="2383" spans="3:11" ht="16" x14ac:dyDescent="0.2">
      <c r="C2383" t="s">
        <v>8349</v>
      </c>
      <c r="D2383" t="s">
        <v>7789</v>
      </c>
      <c r="E2383" s="32" t="s">
        <v>8354</v>
      </c>
      <c r="F2383" s="35" t="s">
        <v>2754</v>
      </c>
      <c r="H2383" t="str">
        <f t="shared" si="37"/>
        <v>D946</v>
      </c>
      <c r="I2383" s="25" t="s">
        <v>8451</v>
      </c>
      <c r="K2383" s="23" t="s">
        <v>8394</v>
      </c>
    </row>
    <row r="2384" spans="3:11" ht="16" x14ac:dyDescent="0.2">
      <c r="C2384" t="s">
        <v>8349</v>
      </c>
      <c r="D2384" t="s">
        <v>7790</v>
      </c>
      <c r="E2384" s="32" t="s">
        <v>8379</v>
      </c>
      <c r="F2384" s="35" t="s">
        <v>2754</v>
      </c>
      <c r="H2384" t="str">
        <f t="shared" si="37"/>
        <v>D988</v>
      </c>
      <c r="I2384" s="25" t="s">
        <v>8459</v>
      </c>
      <c r="K2384" s="23" t="s">
        <v>8452</v>
      </c>
    </row>
    <row r="2385" spans="3:11" ht="16" x14ac:dyDescent="0.2">
      <c r="C2385" t="s">
        <v>8349</v>
      </c>
      <c r="D2385" t="s">
        <v>7791</v>
      </c>
      <c r="E2385" s="32" t="s">
        <v>8380</v>
      </c>
      <c r="F2385" s="35" t="s">
        <v>8380</v>
      </c>
      <c r="H2385" t="str">
        <f t="shared" si="37"/>
        <v/>
      </c>
      <c r="I2385" s="25" t="s">
        <v>7791</v>
      </c>
      <c r="K2385" s="23" t="s">
        <v>8453</v>
      </c>
    </row>
    <row r="2386" spans="3:11" ht="32" x14ac:dyDescent="0.2">
      <c r="C2386" t="s">
        <v>8349</v>
      </c>
      <c r="D2386" t="s">
        <v>7792</v>
      </c>
      <c r="E2386" s="32" t="s">
        <v>8381</v>
      </c>
      <c r="F2386" s="35" t="s">
        <v>2754</v>
      </c>
      <c r="H2386" t="str">
        <f t="shared" si="37"/>
        <v>D9E0</v>
      </c>
      <c r="I2386" s="25" t="s">
        <v>5414</v>
      </c>
      <c r="K2386" s="23" t="s">
        <v>8454</v>
      </c>
    </row>
    <row r="2387" spans="3:11" ht="32" x14ac:dyDescent="0.2">
      <c r="C2387" t="s">
        <v>8349</v>
      </c>
      <c r="D2387" t="s">
        <v>7793</v>
      </c>
      <c r="E2387" s="32" t="s">
        <v>8382</v>
      </c>
      <c r="F2387" s="35" t="s">
        <v>8456</v>
      </c>
      <c r="H2387" t="str">
        <f t="shared" si="37"/>
        <v/>
      </c>
      <c r="I2387" s="25" t="s">
        <v>7793</v>
      </c>
      <c r="K2387" s="23" t="s">
        <v>8455</v>
      </c>
    </row>
    <row r="2388" spans="3:11" ht="16" x14ac:dyDescent="0.2">
      <c r="C2388" t="s">
        <v>8349</v>
      </c>
      <c r="D2388" t="s">
        <v>7794</v>
      </c>
      <c r="E2388" s="32" t="s">
        <v>8383</v>
      </c>
      <c r="F2388" s="35" t="s">
        <v>8383</v>
      </c>
      <c r="H2388" t="str">
        <f t="shared" si="37"/>
        <v/>
      </c>
      <c r="I2388" s="25" t="s">
        <v>7794</v>
      </c>
      <c r="K2388" s="23" t="s">
        <v>8460</v>
      </c>
    </row>
    <row r="2389" spans="3:11" ht="16" x14ac:dyDescent="0.2">
      <c r="C2389" t="s">
        <v>8349</v>
      </c>
      <c r="D2389" t="s">
        <v>7795</v>
      </c>
      <c r="E2389" s="32" t="s">
        <v>8354</v>
      </c>
      <c r="F2389" s="35" t="s">
        <v>2754</v>
      </c>
      <c r="H2389" t="str">
        <f t="shared" si="37"/>
        <v/>
      </c>
      <c r="I2389" s="25" t="s">
        <v>7795</v>
      </c>
      <c r="K2389" s="23" t="s">
        <v>8461</v>
      </c>
    </row>
    <row r="2390" spans="3:11" ht="16" x14ac:dyDescent="0.2">
      <c r="C2390" t="s">
        <v>8349</v>
      </c>
      <c r="D2390" t="s">
        <v>7796</v>
      </c>
      <c r="E2390" s="32">
        <v>21736</v>
      </c>
      <c r="F2390" s="35" t="s">
        <v>8457</v>
      </c>
      <c r="H2390" t="str">
        <f t="shared" si="37"/>
        <v/>
      </c>
      <c r="I2390" s="25" t="s">
        <v>7796</v>
      </c>
      <c r="K2390" s="23" t="s">
        <v>8462</v>
      </c>
    </row>
    <row r="2391" spans="3:11" ht="16" x14ac:dyDescent="0.2">
      <c r="C2391" t="s">
        <v>8349</v>
      </c>
      <c r="D2391" t="s">
        <v>7797</v>
      </c>
      <c r="E2391" s="32">
        <v>21786</v>
      </c>
      <c r="F2391" s="35" t="s">
        <v>8458</v>
      </c>
      <c r="H2391" t="str">
        <f t="shared" si="37"/>
        <v/>
      </c>
      <c r="I2391" s="25" t="s">
        <v>7797</v>
      </c>
      <c r="K2391" s="23" t="s">
        <v>8463</v>
      </c>
    </row>
    <row r="2392" spans="3:11" ht="32" x14ac:dyDescent="0.2">
      <c r="C2392" t="s">
        <v>8349</v>
      </c>
      <c r="D2392" t="s">
        <v>7798</v>
      </c>
      <c r="E2392" s="32" t="s">
        <v>8384</v>
      </c>
      <c r="F2392" s="35" t="s">
        <v>8389</v>
      </c>
      <c r="H2392" t="str">
        <f t="shared" si="37"/>
        <v/>
      </c>
      <c r="I2392" s="25" t="s">
        <v>8388</v>
      </c>
      <c r="K2392" s="23" t="s">
        <v>8464</v>
      </c>
    </row>
    <row r="2393" spans="3:11" ht="16" x14ac:dyDescent="0.2">
      <c r="C2393" t="s">
        <v>8349</v>
      </c>
      <c r="D2393" t="s">
        <v>7799</v>
      </c>
      <c r="E2393" s="32" t="s">
        <v>8354</v>
      </c>
      <c r="F2393" s="35"/>
      <c r="H2393" t="str">
        <f t="shared" si="37"/>
        <v/>
      </c>
      <c r="I2393" s="25" t="s">
        <v>7799</v>
      </c>
      <c r="K2393" s="23" t="s">
        <v>8467</v>
      </c>
    </row>
    <row r="2394" spans="3:11" x14ac:dyDescent="0.2">
      <c r="C2394" t="s">
        <v>8349</v>
      </c>
      <c r="D2394" t="s">
        <v>7800</v>
      </c>
      <c r="F2394" s="21"/>
      <c r="H2394" t="str">
        <f t="shared" si="37"/>
        <v/>
      </c>
      <c r="I2394" s="25" t="s">
        <v>7800</v>
      </c>
    </row>
    <row r="2395" spans="3:11" ht="16" x14ac:dyDescent="0.2">
      <c r="C2395" t="s">
        <v>8349</v>
      </c>
      <c r="D2395" t="s">
        <v>7801</v>
      </c>
      <c r="E2395" s="32" t="s">
        <v>8385</v>
      </c>
      <c r="F2395" s="35" t="s">
        <v>8466</v>
      </c>
      <c r="H2395" t="str">
        <f t="shared" si="37"/>
        <v/>
      </c>
      <c r="I2395" s="25" t="s">
        <v>7801</v>
      </c>
      <c r="K2395" s="23" t="s">
        <v>8465</v>
      </c>
    </row>
    <row r="2396" spans="3:11" ht="48" x14ac:dyDescent="0.2">
      <c r="C2396" t="s">
        <v>8349</v>
      </c>
      <c r="D2396" t="s">
        <v>7802</v>
      </c>
      <c r="E2396" s="31" t="s">
        <v>8386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8349</v>
      </c>
      <c r="D2397" t="s">
        <v>7803</v>
      </c>
      <c r="F2397" s="21"/>
      <c r="H2397" t="str">
        <f t="shared" si="37"/>
        <v/>
      </c>
      <c r="I2397" s="25" t="s">
        <v>7803</v>
      </c>
    </row>
    <row r="2398" spans="3:11" x14ac:dyDescent="0.2">
      <c r="C2398" t="s">
        <v>8349</v>
      </c>
      <c r="D2398" t="s">
        <v>7804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8349</v>
      </c>
      <c r="D2399" t="s">
        <v>7805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8349</v>
      </c>
      <c r="D2400" t="s">
        <v>7806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8349</v>
      </c>
      <c r="D2401" t="s">
        <v>7807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8349</v>
      </c>
      <c r="D2402" t="s">
        <v>7808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8349</v>
      </c>
      <c r="D2403" t="s">
        <v>7809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8349</v>
      </c>
      <c r="D2404" t="s">
        <v>7810</v>
      </c>
      <c r="E2404" s="32" t="s">
        <v>8387</v>
      </c>
      <c r="F2404" s="35" t="s">
        <v>8469</v>
      </c>
      <c r="H2404" t="str">
        <f t="shared" si="37"/>
        <v/>
      </c>
      <c r="I2404" s="25" t="s">
        <v>7810</v>
      </c>
      <c r="K2404" s="23" t="s">
        <v>8468</v>
      </c>
    </row>
    <row r="2405" spans="3:12" x14ac:dyDescent="0.2">
      <c r="C2405" t="s">
        <v>8349</v>
      </c>
      <c r="D2405" t="s">
        <v>7811</v>
      </c>
      <c r="F2405" s="21"/>
      <c r="H2405" t="str">
        <f t="shared" si="37"/>
        <v/>
      </c>
      <c r="I2405" s="25" t="s">
        <v>7811</v>
      </c>
    </row>
    <row r="2406" spans="3:12" x14ac:dyDescent="0.2">
      <c r="C2406" t="s">
        <v>8349</v>
      </c>
      <c r="D2406" t="s">
        <v>7812</v>
      </c>
      <c r="F2406" s="21"/>
      <c r="H2406" t="str">
        <f t="shared" si="37"/>
        <v>E21E</v>
      </c>
      <c r="I2406" s="25" t="s">
        <v>9224</v>
      </c>
    </row>
    <row r="2407" spans="3:12" x14ac:dyDescent="0.2">
      <c r="C2407" t="s">
        <v>8349</v>
      </c>
      <c r="D2407" t="s">
        <v>7813</v>
      </c>
      <c r="F2407" s="21"/>
      <c r="H2407" t="str">
        <f t="shared" si="37"/>
        <v/>
      </c>
      <c r="I2407" s="25" t="s">
        <v>7813</v>
      </c>
    </row>
    <row r="2408" spans="3:12" x14ac:dyDescent="0.2">
      <c r="C2408" t="s">
        <v>8349</v>
      </c>
      <c r="D2408" t="s">
        <v>7814</v>
      </c>
      <c r="F2408" s="21"/>
      <c r="H2408" t="str">
        <f t="shared" si="37"/>
        <v/>
      </c>
      <c r="I2408" s="25" t="s">
        <v>7814</v>
      </c>
    </row>
    <row r="2409" spans="3:12" x14ac:dyDescent="0.2">
      <c r="C2409" t="s">
        <v>8349</v>
      </c>
      <c r="D2409" t="s">
        <v>7815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8349</v>
      </c>
      <c r="D2410" t="s">
        <v>7816</v>
      </c>
      <c r="F2410" s="21"/>
      <c r="H2410" t="str">
        <f t="shared" si="37"/>
        <v>E4C3</v>
      </c>
    </row>
    <row r="2411" spans="3:12" x14ac:dyDescent="0.2">
      <c r="C2411" t="s">
        <v>8349</v>
      </c>
      <c r="D2411" t="s">
        <v>7817</v>
      </c>
      <c r="F2411" s="21"/>
      <c r="H2411" t="str">
        <f t="shared" si="37"/>
        <v>E4C4</v>
      </c>
      <c r="I2411" s="25" t="s">
        <v>8339</v>
      </c>
      <c r="J2411" s="38" t="s">
        <v>9088</v>
      </c>
      <c r="L2411" t="s">
        <v>8338</v>
      </c>
    </row>
    <row r="2412" spans="3:12" x14ac:dyDescent="0.2">
      <c r="C2412" t="s">
        <v>8349</v>
      </c>
      <c r="D2412" t="s">
        <v>7818</v>
      </c>
      <c r="F2412" s="21"/>
      <c r="H2412" t="str">
        <f t="shared" si="37"/>
        <v>E67A</v>
      </c>
      <c r="I2412" s="25" t="s">
        <v>9027</v>
      </c>
      <c r="J2412" s="38" t="s">
        <v>9089</v>
      </c>
      <c r="L2412" t="s">
        <v>8337</v>
      </c>
    </row>
    <row r="2413" spans="3:12" x14ac:dyDescent="0.2">
      <c r="C2413" t="s">
        <v>8349</v>
      </c>
      <c r="D2413" t="s">
        <v>7819</v>
      </c>
      <c r="F2413" s="21"/>
      <c r="H2413" t="str">
        <f t="shared" si="37"/>
        <v>E6E8</v>
      </c>
      <c r="I2413" s="25" t="s">
        <v>9026</v>
      </c>
    </row>
    <row r="2414" spans="3:12" x14ac:dyDescent="0.2">
      <c r="C2414" t="s">
        <v>8349</v>
      </c>
      <c r="D2414" t="s">
        <v>7820</v>
      </c>
      <c r="F2414" s="21"/>
      <c r="H2414" t="str">
        <f t="shared" si="37"/>
        <v>E770</v>
      </c>
      <c r="I2414" s="25" t="s">
        <v>9023</v>
      </c>
    </row>
    <row r="2415" spans="3:12" x14ac:dyDescent="0.2">
      <c r="C2415" t="s">
        <v>8349</v>
      </c>
      <c r="D2415" t="s">
        <v>7821</v>
      </c>
      <c r="F2415" s="21"/>
      <c r="H2415" t="str">
        <f t="shared" si="37"/>
        <v>E7DE</v>
      </c>
      <c r="I2415" s="25" t="s">
        <v>9025</v>
      </c>
    </row>
    <row r="2416" spans="3:12" x14ac:dyDescent="0.2">
      <c r="C2416" t="s">
        <v>8349</v>
      </c>
      <c r="D2416" t="s">
        <v>7822</v>
      </c>
      <c r="F2416" s="21"/>
      <c r="H2416" t="str">
        <f t="shared" si="37"/>
        <v>E88A</v>
      </c>
      <c r="I2416" s="25" t="s">
        <v>9024</v>
      </c>
    </row>
    <row r="2417" spans="3:12" x14ac:dyDescent="0.2">
      <c r="C2417" t="s">
        <v>8349</v>
      </c>
      <c r="D2417" t="s">
        <v>7823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8349</v>
      </c>
      <c r="D2418" t="s">
        <v>7824</v>
      </c>
      <c r="F2418" s="21"/>
      <c r="H2418" t="str">
        <f t="shared" si="37"/>
        <v>E9A8</v>
      </c>
      <c r="I2418" s="25" t="s">
        <v>8336</v>
      </c>
    </row>
    <row r="2419" spans="3:12" x14ac:dyDescent="0.2">
      <c r="C2419" t="s">
        <v>8349</v>
      </c>
      <c r="D2419" t="s">
        <v>7825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8349</v>
      </c>
      <c r="D2420" t="s">
        <v>7826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8349</v>
      </c>
      <c r="D2421" t="s">
        <v>7827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8349</v>
      </c>
      <c r="D2422" t="s">
        <v>7828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8349</v>
      </c>
      <c r="D2423" t="s">
        <v>7829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8349</v>
      </c>
      <c r="D2424" t="s">
        <v>7830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8349</v>
      </c>
      <c r="D2425" t="s">
        <v>7831</v>
      </c>
      <c r="F2425" s="21"/>
      <c r="H2425" t="str">
        <f t="shared" si="37"/>
        <v>EA62</v>
      </c>
      <c r="I2425" s="25" t="s">
        <v>8511</v>
      </c>
    </row>
    <row r="2426" spans="3:12" x14ac:dyDescent="0.2">
      <c r="C2426" t="s">
        <v>8349</v>
      </c>
      <c r="D2426" t="s">
        <v>7832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8349</v>
      </c>
      <c r="D2427" t="s">
        <v>7833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8349</v>
      </c>
      <c r="D2428" t="s">
        <v>8252</v>
      </c>
      <c r="F2428" s="21"/>
      <c r="H2428" t="str">
        <f>DEC2HEX(59302)</f>
        <v>E7A6</v>
      </c>
      <c r="I2428" s="25" t="s">
        <v>7834</v>
      </c>
      <c r="J2428" s="37" t="s">
        <v>9090</v>
      </c>
      <c r="L2428" t="s">
        <v>8251</v>
      </c>
    </row>
    <row r="2429" spans="3:12" s="10" customFormat="1" ht="16" x14ac:dyDescent="0.2">
      <c r="C2429" t="s">
        <v>8349</v>
      </c>
      <c r="D2429" s="10" t="s">
        <v>7835</v>
      </c>
      <c r="E2429" s="29"/>
      <c r="H2429" s="10" t="str">
        <f>DEC2HEX(59307)</f>
        <v>E7AB</v>
      </c>
      <c r="I2429" s="10" t="s">
        <v>9030</v>
      </c>
      <c r="K2429" s="17" t="s">
        <v>8253</v>
      </c>
    </row>
    <row r="2430" spans="3:12" s="10" customFormat="1" ht="16" x14ac:dyDescent="0.2">
      <c r="C2430" t="s">
        <v>8349</v>
      </c>
      <c r="D2430" s="10" t="s">
        <v>7836</v>
      </c>
      <c r="E2430" s="29"/>
      <c r="H2430" s="10" t="str">
        <f>DEC2HEX(59319)</f>
        <v>E7B7</v>
      </c>
      <c r="I2430" s="10" t="s">
        <v>9031</v>
      </c>
      <c r="K2430" s="17" t="s">
        <v>8254</v>
      </c>
    </row>
    <row r="2431" spans="3:12" x14ac:dyDescent="0.2">
      <c r="C2431" t="s">
        <v>8349</v>
      </c>
      <c r="D2431" t="s">
        <v>7837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8349</v>
      </c>
      <c r="D2432" t="s">
        <v>7838</v>
      </c>
      <c r="F2432" s="21"/>
      <c r="H2432" t="str">
        <f>IFERROR(DEC2HEX(IF(LEFT(D2432,3)="adr",HEX2DEC(LEFT(RIGHT(D2432,6),6)),"")),"")</f>
        <v/>
      </c>
      <c r="I2432" s="25" t="s">
        <v>7838</v>
      </c>
      <c r="J2432" s="37" t="s">
        <v>9091</v>
      </c>
      <c r="L2432" t="s">
        <v>8250</v>
      </c>
    </row>
    <row r="2433" spans="3:11" s="10" customFormat="1" x14ac:dyDescent="0.2">
      <c r="C2433" t="s">
        <v>8349</v>
      </c>
      <c r="D2433" s="10" t="s">
        <v>7839</v>
      </c>
      <c r="E2433" s="29"/>
      <c r="H2433" s="10" t="str">
        <f t="shared" si="37"/>
        <v/>
      </c>
      <c r="I2433" s="10" t="s">
        <v>9032</v>
      </c>
      <c r="K2433" s="10" t="s">
        <v>8255</v>
      </c>
    </row>
    <row r="2434" spans="3:11" x14ac:dyDescent="0.2">
      <c r="C2434" t="s">
        <v>8349</v>
      </c>
      <c r="D2434" t="s">
        <v>7840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8349</v>
      </c>
      <c r="D2435" t="s">
        <v>7841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8349</v>
      </c>
      <c r="D2436" t="s">
        <v>7842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8349</v>
      </c>
      <c r="D2437" t="s">
        <v>7843</v>
      </c>
      <c r="F2437" s="21"/>
      <c r="H2437" t="str">
        <f t="shared" si="37"/>
        <v/>
      </c>
      <c r="I2437" s="25" t="s">
        <v>7843</v>
      </c>
    </row>
    <row r="2438" spans="3:11" x14ac:dyDescent="0.2">
      <c r="C2438" t="s">
        <v>8349</v>
      </c>
      <c r="D2438" t="s">
        <v>7844</v>
      </c>
      <c r="F2438" s="21"/>
      <c r="H2438" t="str">
        <f t="shared" ref="H2438:H2499" si="38">IFERROR(DEC2HEX(IF(LEFT(D2438,3)="adr",HEX2DEC(LEFT(RIGHT(D2438,6),6)),"")),"")</f>
        <v>EE2F</v>
      </c>
      <c r="I2438" s="25" t="s">
        <v>2754</v>
      </c>
    </row>
    <row r="2439" spans="3:11" x14ac:dyDescent="0.2">
      <c r="C2439" t="s">
        <v>8349</v>
      </c>
      <c r="D2439" t="s">
        <v>7845</v>
      </c>
      <c r="F2439" s="21"/>
      <c r="H2439" t="str">
        <f t="shared" si="38"/>
        <v/>
      </c>
      <c r="I2439" s="25" t="s">
        <v>7845</v>
      </c>
    </row>
    <row r="2440" spans="3:11" x14ac:dyDescent="0.2">
      <c r="C2440" t="s">
        <v>8349</v>
      </c>
      <c r="D2440" t="s">
        <v>7846</v>
      </c>
      <c r="F2440" s="21"/>
      <c r="H2440" t="str">
        <f t="shared" si="38"/>
        <v>EE32</v>
      </c>
      <c r="I2440" s="25" t="s">
        <v>8520</v>
      </c>
    </row>
    <row r="2441" spans="3:11" x14ac:dyDescent="0.2">
      <c r="C2441" t="s">
        <v>8349</v>
      </c>
      <c r="D2441" t="s">
        <v>7847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8349</v>
      </c>
      <c r="D2442" t="s">
        <v>7848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8349</v>
      </c>
      <c r="D2443" t="s">
        <v>7849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8349</v>
      </c>
      <c r="D2444" t="s">
        <v>7850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8349</v>
      </c>
      <c r="D2445" t="s">
        <v>7851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8349</v>
      </c>
      <c r="D2446" t="s">
        <v>7852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8349</v>
      </c>
      <c r="D2447" t="s">
        <v>7853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8349</v>
      </c>
      <c r="D2448" t="s">
        <v>7854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8349</v>
      </c>
      <c r="D2449" t="s">
        <v>7855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8349</v>
      </c>
      <c r="D2450" t="s">
        <v>7856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8349</v>
      </c>
      <c r="D2451" t="s">
        <v>7857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8349</v>
      </c>
      <c r="D2452" t="s">
        <v>7858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8349</v>
      </c>
      <c r="D2453" t="s">
        <v>7859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8349</v>
      </c>
      <c r="D2454" t="s">
        <v>7860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8349</v>
      </c>
      <c r="D2455" t="s">
        <v>7861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8349</v>
      </c>
      <c r="D2456" t="s">
        <v>7862</v>
      </c>
      <c r="F2456" s="21"/>
      <c r="H2456" t="str">
        <f t="shared" si="38"/>
        <v/>
      </c>
      <c r="I2456" s="25" t="s">
        <v>7862</v>
      </c>
    </row>
    <row r="2457" spans="3:9" x14ac:dyDescent="0.2">
      <c r="C2457" t="s">
        <v>8349</v>
      </c>
      <c r="D2457" t="s">
        <v>7863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8349</v>
      </c>
      <c r="D2458" t="s">
        <v>7864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8349</v>
      </c>
      <c r="D2459" t="s">
        <v>7865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8349</v>
      </c>
      <c r="D2460" t="s">
        <v>7866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8349</v>
      </c>
      <c r="D2461" t="s">
        <v>7867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8349</v>
      </c>
      <c r="D2462" t="s">
        <v>7868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8349</v>
      </c>
      <c r="D2463" t="s">
        <v>7869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8349</v>
      </c>
      <c r="D2464" t="s">
        <v>7870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8349</v>
      </c>
      <c r="D2465" t="s">
        <v>7871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8349</v>
      </c>
      <c r="D2466" t="s">
        <v>7872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8349</v>
      </c>
      <c r="D2467" t="s">
        <v>7873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8349</v>
      </c>
      <c r="D2468" t="s">
        <v>7874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8349</v>
      </c>
      <c r="D2469" t="s">
        <v>7875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8349</v>
      </c>
      <c r="D2470" t="s">
        <v>7876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8349</v>
      </c>
      <c r="D2471" t="s">
        <v>7877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8349</v>
      </c>
      <c r="D2472" t="s">
        <v>7878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8349</v>
      </c>
      <c r="D2473" t="s">
        <v>7879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8349</v>
      </c>
      <c r="D2474" t="s">
        <v>7880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8349</v>
      </c>
      <c r="D2475" t="s">
        <v>7881</v>
      </c>
      <c r="F2475" s="21"/>
      <c r="H2475" t="str">
        <f t="shared" si="38"/>
        <v/>
      </c>
      <c r="I2475" s="25" t="s">
        <v>7881</v>
      </c>
    </row>
    <row r="2476" spans="3:9" x14ac:dyDescent="0.2">
      <c r="C2476" t="s">
        <v>8349</v>
      </c>
      <c r="D2476" t="s">
        <v>7882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8349</v>
      </c>
      <c r="D2477" t="s">
        <v>7883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8349</v>
      </c>
      <c r="D2478" t="s">
        <v>7884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8349</v>
      </c>
      <c r="D2479" t="s">
        <v>7885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8349</v>
      </c>
      <c r="D2480" t="s">
        <v>7886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8349</v>
      </c>
      <c r="D2481" t="s">
        <v>7887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8349</v>
      </c>
      <c r="D2482" t="s">
        <v>7888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8349</v>
      </c>
      <c r="D2483" t="s">
        <v>7889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8349</v>
      </c>
      <c r="D2484" t="s">
        <v>7890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8349</v>
      </c>
      <c r="D2485" t="s">
        <v>7891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8349</v>
      </c>
      <c r="D2486" t="s">
        <v>7892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8349</v>
      </c>
      <c r="D2487" t="s">
        <v>7893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8349</v>
      </c>
      <c r="D2488" t="s">
        <v>7894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8349</v>
      </c>
      <c r="D2489" t="s">
        <v>7895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8349</v>
      </c>
      <c r="D2490" t="s">
        <v>7896</v>
      </c>
      <c r="F2490" s="21"/>
      <c r="H2490" t="str">
        <f t="shared" si="38"/>
        <v/>
      </c>
      <c r="I2490" t="s">
        <v>7896</v>
      </c>
      <c r="J2490" s="37" t="s">
        <v>9100</v>
      </c>
      <c r="L2490" t="s">
        <v>8040</v>
      </c>
    </row>
    <row r="2491" spans="3:12" x14ac:dyDescent="0.2">
      <c r="C2491" t="s">
        <v>8349</v>
      </c>
      <c r="D2491" t="s">
        <v>7897</v>
      </c>
      <c r="F2491" s="21"/>
      <c r="H2491" t="str">
        <f t="shared" si="38"/>
        <v/>
      </c>
      <c r="I2491" t="s">
        <v>7897</v>
      </c>
      <c r="J2491" s="37" t="s">
        <v>9060</v>
      </c>
      <c r="L2491" t="s">
        <v>8041</v>
      </c>
    </row>
    <row r="2492" spans="3:12" x14ac:dyDescent="0.2">
      <c r="C2492" t="s">
        <v>8349</v>
      </c>
      <c r="D2492" t="s">
        <v>7900</v>
      </c>
      <c r="F2492" s="21"/>
      <c r="H2492" t="str">
        <f t="shared" si="38"/>
        <v/>
      </c>
      <c r="I2492" t="s">
        <v>7900</v>
      </c>
      <c r="J2492" s="37" t="s">
        <v>9061</v>
      </c>
      <c r="L2492" t="s">
        <v>8042</v>
      </c>
    </row>
    <row r="2493" spans="3:12" x14ac:dyDescent="0.2">
      <c r="C2493" t="s">
        <v>8349</v>
      </c>
      <c r="D2493" t="s">
        <v>7901</v>
      </c>
      <c r="F2493" s="21"/>
      <c r="H2493" t="str">
        <f t="shared" si="38"/>
        <v/>
      </c>
      <c r="I2493" t="s">
        <v>7901</v>
      </c>
      <c r="J2493" s="37" t="s">
        <v>9062</v>
      </c>
      <c r="L2493" t="s">
        <v>8043</v>
      </c>
    </row>
    <row r="2494" spans="3:12" x14ac:dyDescent="0.2">
      <c r="C2494" t="s">
        <v>8349</v>
      </c>
      <c r="D2494" t="s">
        <v>7902</v>
      </c>
      <c r="F2494" s="21"/>
      <c r="H2494" t="str">
        <f t="shared" si="38"/>
        <v/>
      </c>
      <c r="I2494" t="s">
        <v>7902</v>
      </c>
      <c r="J2494" s="37" t="s">
        <v>9063</v>
      </c>
      <c r="L2494" t="s">
        <v>8044</v>
      </c>
    </row>
    <row r="2495" spans="3:12" x14ac:dyDescent="0.2">
      <c r="C2495" t="s">
        <v>8349</v>
      </c>
      <c r="D2495" t="s">
        <v>7903</v>
      </c>
      <c r="F2495" s="21"/>
      <c r="H2495" t="str">
        <f t="shared" si="38"/>
        <v/>
      </c>
      <c r="I2495" t="s">
        <v>7903</v>
      </c>
      <c r="J2495" s="37" t="s">
        <v>9064</v>
      </c>
      <c r="L2495" t="s">
        <v>8045</v>
      </c>
    </row>
    <row r="2496" spans="3:12" x14ac:dyDescent="0.2">
      <c r="C2496" t="s">
        <v>8349</v>
      </c>
      <c r="D2496" t="s">
        <v>7904</v>
      </c>
      <c r="F2496" s="21"/>
      <c r="H2496" t="str">
        <f t="shared" si="38"/>
        <v/>
      </c>
      <c r="I2496" t="s">
        <v>7904</v>
      </c>
      <c r="J2496" s="37" t="s">
        <v>9065</v>
      </c>
      <c r="L2496" t="s">
        <v>8046</v>
      </c>
    </row>
    <row r="2497" spans="3:12" x14ac:dyDescent="0.2">
      <c r="C2497" t="s">
        <v>8349</v>
      </c>
      <c r="D2497" t="s">
        <v>7905</v>
      </c>
      <c r="F2497" s="21"/>
      <c r="H2497" t="str">
        <f t="shared" si="38"/>
        <v/>
      </c>
      <c r="I2497" t="s">
        <v>7905</v>
      </c>
      <c r="J2497" s="37" t="s">
        <v>9066</v>
      </c>
      <c r="L2497" t="s">
        <v>8047</v>
      </c>
    </row>
    <row r="2498" spans="3:12" x14ac:dyDescent="0.2">
      <c r="C2498" t="s">
        <v>8349</v>
      </c>
      <c r="D2498" t="s">
        <v>7906</v>
      </c>
      <c r="F2498" s="21"/>
      <c r="H2498" t="str">
        <f t="shared" si="38"/>
        <v/>
      </c>
      <c r="I2498" t="s">
        <v>7906</v>
      </c>
      <c r="J2498" s="37" t="s">
        <v>9067</v>
      </c>
      <c r="L2498" t="s">
        <v>8048</v>
      </c>
    </row>
    <row r="2499" spans="3:12" x14ac:dyDescent="0.2">
      <c r="C2499" t="s">
        <v>8349</v>
      </c>
      <c r="D2499" t="s">
        <v>7907</v>
      </c>
      <c r="F2499" s="21"/>
      <c r="H2499" t="str">
        <f t="shared" si="38"/>
        <v/>
      </c>
      <c r="I2499" t="s">
        <v>7907</v>
      </c>
      <c r="J2499" s="37" t="s">
        <v>9068</v>
      </c>
      <c r="L2499" t="s">
        <v>8049</v>
      </c>
    </row>
    <row r="2500" spans="3:12" x14ac:dyDescent="0.2">
      <c r="C2500" t="s">
        <v>8349</v>
      </c>
      <c r="D2500" t="s">
        <v>7908</v>
      </c>
      <c r="F2500" s="21"/>
      <c r="H2500" t="str">
        <f t="shared" ref="H2500:H2568" si="39">IFERROR(DEC2HEX(IF(LEFT(D2500,3)="adr",HEX2DEC(LEFT(RIGHT(D2500,6),6)),"")),"")</f>
        <v/>
      </c>
      <c r="I2500" t="s">
        <v>7908</v>
      </c>
      <c r="J2500" s="37" t="s">
        <v>9069</v>
      </c>
      <c r="L2500" t="s">
        <v>8050</v>
      </c>
    </row>
    <row r="2501" spans="3:12" x14ac:dyDescent="0.2">
      <c r="C2501" t="s">
        <v>8349</v>
      </c>
      <c r="D2501" t="s">
        <v>7909</v>
      </c>
      <c r="F2501" s="21"/>
      <c r="H2501" t="str">
        <f t="shared" si="39"/>
        <v/>
      </c>
      <c r="I2501" t="s">
        <v>7909</v>
      </c>
      <c r="J2501" s="37" t="s">
        <v>9070</v>
      </c>
      <c r="L2501" t="s">
        <v>8051</v>
      </c>
    </row>
    <row r="2502" spans="3:12" x14ac:dyDescent="0.2">
      <c r="C2502" t="s">
        <v>8349</v>
      </c>
      <c r="D2502" t="s">
        <v>7910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8349</v>
      </c>
      <c r="D2503" t="s">
        <v>7911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8349</v>
      </c>
      <c r="D2504" t="s">
        <v>7912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8349</v>
      </c>
      <c r="D2505" t="s">
        <v>7913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8349</v>
      </c>
      <c r="D2506" t="s">
        <v>7914</v>
      </c>
      <c r="F2506" s="21"/>
      <c r="H2506" t="str">
        <f t="shared" si="39"/>
        <v/>
      </c>
      <c r="I2506" s="25" t="s">
        <v>7914</v>
      </c>
    </row>
    <row r="2507" spans="3:12" x14ac:dyDescent="0.2">
      <c r="C2507" t="s">
        <v>8349</v>
      </c>
      <c r="D2507" t="s">
        <v>7915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8349</v>
      </c>
      <c r="D2508" t="s">
        <v>7916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8349</v>
      </c>
      <c r="D2509" t="s">
        <v>7917</v>
      </c>
      <c r="F2509" s="21"/>
      <c r="H2509" t="str">
        <f t="shared" si="39"/>
        <v/>
      </c>
      <c r="I2509" s="25" t="s">
        <v>7917</v>
      </c>
    </row>
    <row r="2510" spans="3:12" x14ac:dyDescent="0.2">
      <c r="C2510" t="s">
        <v>8349</v>
      </c>
      <c r="D2510" t="s">
        <v>7918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8349</v>
      </c>
      <c r="D2511" t="s">
        <v>7919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8349</v>
      </c>
      <c r="D2512" t="s">
        <v>7920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8349</v>
      </c>
      <c r="D2513" t="s">
        <v>7921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8349</v>
      </c>
      <c r="D2514" t="s">
        <v>7922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8349</v>
      </c>
      <c r="D2515" t="s">
        <v>7923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8349</v>
      </c>
      <c r="D2516" t="s">
        <v>7924</v>
      </c>
      <c r="F2516" s="21"/>
      <c r="H2516" t="str">
        <f t="shared" si="39"/>
        <v/>
      </c>
      <c r="I2516" s="25" t="s">
        <v>7924</v>
      </c>
      <c r="J2516" s="37" t="s">
        <v>9094</v>
      </c>
      <c r="L2516" t="s">
        <v>8291</v>
      </c>
    </row>
    <row r="2517" spans="3:12" x14ac:dyDescent="0.2">
      <c r="C2517" t="s">
        <v>8349</v>
      </c>
      <c r="D2517" t="s">
        <v>7925</v>
      </c>
      <c r="F2517" s="21"/>
      <c r="H2517" t="str">
        <f t="shared" si="39"/>
        <v/>
      </c>
      <c r="I2517" t="s">
        <v>9106</v>
      </c>
      <c r="K2517" t="s">
        <v>9046</v>
      </c>
      <c r="L2517" t="s">
        <v>8052</v>
      </c>
    </row>
    <row r="2518" spans="3:12" x14ac:dyDescent="0.2">
      <c r="C2518" t="s">
        <v>8349</v>
      </c>
      <c r="D2518" t="s">
        <v>9107</v>
      </c>
      <c r="F2518" s="21"/>
      <c r="H2518" t="str">
        <f t="shared" si="39"/>
        <v/>
      </c>
      <c r="I2518" t="s">
        <v>9107</v>
      </c>
      <c r="K2518" t="s">
        <v>9047</v>
      </c>
      <c r="L2518" t="s">
        <v>8053</v>
      </c>
    </row>
    <row r="2519" spans="3:12" x14ac:dyDescent="0.2">
      <c r="C2519" t="s">
        <v>8349</v>
      </c>
      <c r="D2519" t="s">
        <v>9108</v>
      </c>
      <c r="F2519" s="21"/>
      <c r="I2519" t="s">
        <v>9108</v>
      </c>
      <c r="K2519" t="s">
        <v>9048</v>
      </c>
      <c r="L2519" t="s">
        <v>8054</v>
      </c>
    </row>
    <row r="2520" spans="3:12" x14ac:dyDescent="0.2">
      <c r="C2520" t="s">
        <v>8349</v>
      </c>
      <c r="D2520" t="s">
        <v>9109</v>
      </c>
      <c r="F2520" s="21"/>
      <c r="I2520" t="s">
        <v>9109</v>
      </c>
      <c r="K2520" t="s">
        <v>9049</v>
      </c>
      <c r="L2520" t="s">
        <v>8055</v>
      </c>
    </row>
    <row r="2521" spans="3:12" x14ac:dyDescent="0.2">
      <c r="C2521" t="s">
        <v>8349</v>
      </c>
      <c r="D2521" t="s">
        <v>9110</v>
      </c>
      <c r="F2521" s="21"/>
      <c r="I2521" t="s">
        <v>9110</v>
      </c>
      <c r="K2521" t="s">
        <v>9050</v>
      </c>
      <c r="L2521" t="s">
        <v>8056</v>
      </c>
    </row>
    <row r="2522" spans="3:12" x14ac:dyDescent="0.2">
      <c r="C2522" t="s">
        <v>8349</v>
      </c>
      <c r="D2522" t="s">
        <v>9111</v>
      </c>
      <c r="F2522" s="21"/>
      <c r="I2522" t="s">
        <v>9111</v>
      </c>
      <c r="K2522" t="s">
        <v>9051</v>
      </c>
      <c r="L2522" t="s">
        <v>8057</v>
      </c>
    </row>
    <row r="2523" spans="3:12" s="10" customFormat="1" x14ac:dyDescent="0.2">
      <c r="C2523" s="10" t="s">
        <v>8349</v>
      </c>
      <c r="D2523" s="10" t="s">
        <v>7926</v>
      </c>
      <c r="E2523" s="45"/>
      <c r="H2523" s="10" t="str">
        <f t="shared" si="39"/>
        <v>186A0</v>
      </c>
      <c r="I2523" s="10" t="s">
        <v>2754</v>
      </c>
      <c r="K2523" s="10" t="s">
        <v>9164</v>
      </c>
    </row>
    <row r="2524" spans="3:12" x14ac:dyDescent="0.2">
      <c r="C2524" t="s">
        <v>8349</v>
      </c>
      <c r="D2524" t="s">
        <v>7927</v>
      </c>
      <c r="F2524" s="21"/>
      <c r="H2524" t="str">
        <f t="shared" si="39"/>
        <v/>
      </c>
      <c r="I2524" s="25" t="s">
        <v>8226</v>
      </c>
    </row>
    <row r="2525" spans="3:12" s="10" customFormat="1" ht="16" x14ac:dyDescent="0.2">
      <c r="C2525" t="s">
        <v>8349</v>
      </c>
      <c r="D2525" s="10" t="s">
        <v>7928</v>
      </c>
      <c r="E2525" s="31"/>
      <c r="F2525" s="21"/>
      <c r="H2525" s="10" t="str">
        <f t="shared" si="39"/>
        <v/>
      </c>
      <c r="I2525" s="25" t="s">
        <v>9577</v>
      </c>
      <c r="K2525" s="23" t="s">
        <v>8227</v>
      </c>
    </row>
    <row r="2526" spans="3:12" x14ac:dyDescent="0.2">
      <c r="C2526" t="s">
        <v>8349</v>
      </c>
      <c r="D2526" t="s">
        <v>7929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8349</v>
      </c>
      <c r="D2527" t="s">
        <v>7930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8349</v>
      </c>
      <c r="D2528" t="s">
        <v>7931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8349</v>
      </c>
      <c r="D2529" t="s">
        <v>7932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8349</v>
      </c>
      <c r="D2530" t="s">
        <v>7933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8349</v>
      </c>
      <c r="D2531" t="s">
        <v>7934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8349</v>
      </c>
      <c r="D2532" t="s">
        <v>7935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8349</v>
      </c>
      <c r="D2533" t="s">
        <v>7936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8349</v>
      </c>
      <c r="D2534" t="s">
        <v>7937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8349</v>
      </c>
      <c r="D2535" t="s">
        <v>7938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8349</v>
      </c>
      <c r="D2536" t="s">
        <v>7939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8349</v>
      </c>
      <c r="D2537" t="s">
        <v>7940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8349</v>
      </c>
      <c r="D2538" t="s">
        <v>7941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8349</v>
      </c>
      <c r="D2539" t="s">
        <v>7942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8349</v>
      </c>
      <c r="D2540" t="s">
        <v>7943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8349</v>
      </c>
      <c r="D2541" t="s">
        <v>7944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8349</v>
      </c>
      <c r="D2542" t="s">
        <v>7945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8349</v>
      </c>
      <c r="D2543" t="s">
        <v>7946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8349</v>
      </c>
      <c r="D2544" t="s">
        <v>7947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8349</v>
      </c>
      <c r="D2545" t="s">
        <v>7948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8349</v>
      </c>
      <c r="D2546" t="s">
        <v>7949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8349</v>
      </c>
      <c r="D2547" t="s">
        <v>7950</v>
      </c>
      <c r="F2547" s="21"/>
      <c r="H2547" t="str">
        <f t="shared" si="39"/>
        <v/>
      </c>
      <c r="I2547" s="25" t="s">
        <v>8064</v>
      </c>
      <c r="J2547" s="36" t="s">
        <v>9119</v>
      </c>
    </row>
    <row r="2548" spans="3:12" x14ac:dyDescent="0.2">
      <c r="C2548" t="s">
        <v>8349</v>
      </c>
      <c r="D2548" t="s">
        <v>7951</v>
      </c>
      <c r="F2548" s="21"/>
      <c r="H2548" t="str">
        <f t="shared" si="39"/>
        <v>18EFE</v>
      </c>
      <c r="I2548" s="25" t="s">
        <v>9138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8349</v>
      </c>
      <c r="D2549" t="s">
        <v>7952</v>
      </c>
      <c r="F2549" s="21"/>
      <c r="H2549" t="str">
        <f t="shared" si="39"/>
        <v>191BE</v>
      </c>
      <c r="I2549" s="25" t="s">
        <v>9156</v>
      </c>
      <c r="J2549" s="41" t="str">
        <f t="shared" si="40"/>
        <v>bw-gfx/Scroll_Edge_Top</v>
      </c>
    </row>
    <row r="2550" spans="3:12" x14ac:dyDescent="0.2">
      <c r="C2550" t="s">
        <v>8349</v>
      </c>
      <c r="D2550" t="s">
        <v>7953</v>
      </c>
      <c r="F2550" s="21"/>
      <c r="H2550" t="str">
        <f t="shared" si="39"/>
        <v>1948E</v>
      </c>
      <c r="I2550" s="25" t="s">
        <v>9157</v>
      </c>
      <c r="J2550" s="41" t="str">
        <f t="shared" si="40"/>
        <v>bw-gfx/Scroll_Edge_Bottom</v>
      </c>
    </row>
    <row r="2551" spans="3:12" x14ac:dyDescent="0.2">
      <c r="C2551" t="s">
        <v>8349</v>
      </c>
      <c r="D2551" t="s">
        <v>7954</v>
      </c>
      <c r="F2551" s="21"/>
      <c r="H2551" t="str">
        <f t="shared" si="39"/>
        <v>1975E</v>
      </c>
      <c r="I2551" s="25" t="s">
        <v>9158</v>
      </c>
      <c r="J2551" s="41" t="str">
        <f t="shared" si="40"/>
        <v>bw-gfx/Scroll_Edge_Left</v>
      </c>
    </row>
    <row r="2552" spans="3:12" x14ac:dyDescent="0.2">
      <c r="C2552" t="s">
        <v>8349</v>
      </c>
      <c r="D2552" t="s">
        <v>7955</v>
      </c>
      <c r="F2552" s="21"/>
      <c r="H2552" t="str">
        <f t="shared" si="39"/>
        <v>1992E</v>
      </c>
      <c r="I2552" s="25" t="s">
        <v>9162</v>
      </c>
      <c r="J2552" s="41" t="str">
        <f t="shared" si="40"/>
        <v>bw-gfx/Scroll_Edge_Right</v>
      </c>
    </row>
    <row r="2553" spans="3:12" x14ac:dyDescent="0.2">
      <c r="C2553" t="s">
        <v>8349</v>
      </c>
      <c r="D2553" t="s">
        <v>7956</v>
      </c>
      <c r="F2553" s="21"/>
      <c r="H2553" t="str">
        <f t="shared" si="39"/>
        <v>19BFE</v>
      </c>
      <c r="I2553" s="25" t="s">
        <v>9159</v>
      </c>
      <c r="J2553" s="41" t="str">
        <f t="shared" si="40"/>
        <v>bw-gfx/Shield_Clicked</v>
      </c>
    </row>
    <row r="2554" spans="3:12" x14ac:dyDescent="0.2">
      <c r="C2554" t="s">
        <v>8349</v>
      </c>
      <c r="D2554" t="s">
        <v>7957</v>
      </c>
      <c r="F2554" s="21"/>
      <c r="H2554" t="str">
        <f t="shared" si="39"/>
        <v/>
      </c>
      <c r="I2554" s="25" t="s">
        <v>8123</v>
      </c>
    </row>
    <row r="2555" spans="3:12" x14ac:dyDescent="0.2">
      <c r="C2555" t="s">
        <v>8349</v>
      </c>
      <c r="D2555" t="s">
        <v>7958</v>
      </c>
      <c r="F2555" s="21"/>
      <c r="H2555" t="str">
        <f t="shared" si="39"/>
        <v/>
      </c>
      <c r="I2555" s="25" t="s">
        <v>8122</v>
      </c>
    </row>
    <row r="2556" spans="3:12" x14ac:dyDescent="0.2">
      <c r="C2556" t="s">
        <v>8349</v>
      </c>
      <c r="D2556" t="s">
        <v>7959</v>
      </c>
      <c r="F2556" s="21"/>
      <c r="H2556" t="str">
        <f t="shared" si="39"/>
        <v/>
      </c>
      <c r="I2556" s="25" t="s">
        <v>7959</v>
      </c>
      <c r="J2556" t="s">
        <v>8292</v>
      </c>
      <c r="L2556" t="s">
        <v>8292</v>
      </c>
    </row>
    <row r="2557" spans="3:12" x14ac:dyDescent="0.2">
      <c r="C2557" t="s">
        <v>8349</v>
      </c>
      <c r="D2557" t="s">
        <v>7960</v>
      </c>
      <c r="F2557" s="21"/>
      <c r="H2557" t="str">
        <f t="shared" si="39"/>
        <v/>
      </c>
      <c r="I2557" s="25" t="s">
        <v>7960</v>
      </c>
    </row>
    <row r="2558" spans="3:12" x14ac:dyDescent="0.2">
      <c r="C2558" t="s">
        <v>8349</v>
      </c>
      <c r="D2558" t="s">
        <v>7961</v>
      </c>
      <c r="F2558" s="21"/>
      <c r="H2558" t="str">
        <f t="shared" si="39"/>
        <v>1B050</v>
      </c>
      <c r="I2558" s="25" t="s">
        <v>9131</v>
      </c>
      <c r="J2558" s="41" t="str">
        <f>SUBSTITUTE(I2558,"_GFX_","bw-gfx/")</f>
        <v>bw-gfx/MainWalls</v>
      </c>
    </row>
    <row r="2559" spans="3:12" x14ac:dyDescent="0.2">
      <c r="C2559" t="s">
        <v>8349</v>
      </c>
      <c r="D2559" t="s">
        <v>7962</v>
      </c>
      <c r="F2559" s="21"/>
      <c r="H2559" t="str">
        <f t="shared" si="39"/>
        <v>1F980</v>
      </c>
      <c r="I2559" s="25" t="s">
        <v>9144</v>
      </c>
      <c r="J2559" s="41" t="s">
        <v>9166</v>
      </c>
    </row>
    <row r="2560" spans="3:12" x14ac:dyDescent="0.2">
      <c r="C2560" t="s">
        <v>8349</v>
      </c>
      <c r="D2560" t="s">
        <v>7963</v>
      </c>
      <c r="F2560" s="21"/>
      <c r="H2560" t="str">
        <f t="shared" si="39"/>
        <v>242B0</v>
      </c>
      <c r="I2560" s="25" t="s">
        <v>9145</v>
      </c>
      <c r="J2560" s="41" t="s">
        <v>9167</v>
      </c>
    </row>
    <row r="2561" spans="3:10" x14ac:dyDescent="0.2">
      <c r="C2561" t="s">
        <v>8349</v>
      </c>
      <c r="D2561" t="s">
        <v>7964</v>
      </c>
      <c r="F2561" s="21"/>
      <c r="H2561" t="str">
        <f t="shared" si="39"/>
        <v>25490</v>
      </c>
      <c r="I2561" s="25" t="s">
        <v>9133</v>
      </c>
      <c r="J2561" s="41" t="s">
        <v>9168</v>
      </c>
    </row>
    <row r="2562" spans="3:10" x14ac:dyDescent="0.2">
      <c r="C2562" t="s">
        <v>8349</v>
      </c>
      <c r="D2562" t="s">
        <v>7965</v>
      </c>
      <c r="F2562" s="21"/>
      <c r="H2562" t="str">
        <f t="shared" si="39"/>
        <v>25CD8</v>
      </c>
      <c r="I2562" s="25" t="s">
        <v>9137</v>
      </c>
      <c r="J2562" s="41" t="s">
        <v>9169</v>
      </c>
    </row>
    <row r="2563" spans="3:10" x14ac:dyDescent="0.2">
      <c r="C2563" t="s">
        <v>8349</v>
      </c>
      <c r="D2563" t="s">
        <v>7966</v>
      </c>
      <c r="F2563" s="21"/>
      <c r="H2563" t="str">
        <f t="shared" si="39"/>
        <v>26CA8</v>
      </c>
      <c r="I2563" s="25" t="s">
        <v>9136</v>
      </c>
      <c r="J2563" s="41" t="s">
        <v>9170</v>
      </c>
    </row>
    <row r="2564" spans="3:10" x14ac:dyDescent="0.2">
      <c r="C2564" t="s">
        <v>8349</v>
      </c>
      <c r="D2564" t="s">
        <v>7967</v>
      </c>
      <c r="F2564" s="21"/>
      <c r="H2564" t="str">
        <f t="shared" si="39"/>
        <v>284E8</v>
      </c>
      <c r="I2564" s="25" t="s">
        <v>9135</v>
      </c>
      <c r="J2564" s="41" t="s">
        <v>9171</v>
      </c>
    </row>
    <row r="2565" spans="3:10" x14ac:dyDescent="0.2">
      <c r="C2565" t="s">
        <v>8349</v>
      </c>
      <c r="D2565" t="s">
        <v>7968</v>
      </c>
      <c r="F2565" s="21"/>
      <c r="H2565" t="str">
        <f t="shared" si="39"/>
        <v>287A0</v>
      </c>
      <c r="I2565" s="25" t="s">
        <v>9134</v>
      </c>
      <c r="J2565" s="41" t="s">
        <v>9172</v>
      </c>
    </row>
    <row r="2566" spans="3:10" x14ac:dyDescent="0.2">
      <c r="C2566" t="s">
        <v>8349</v>
      </c>
      <c r="D2566" t="s">
        <v>7969</v>
      </c>
      <c r="F2566" s="21"/>
      <c r="H2566" t="str">
        <f t="shared" si="39"/>
        <v>28C28</v>
      </c>
      <c r="I2566" s="25" t="s">
        <v>8523</v>
      </c>
      <c r="J2566" s="41" t="s">
        <v>9103</v>
      </c>
    </row>
    <row r="2567" spans="3:10" x14ac:dyDescent="0.2">
      <c r="C2567" t="s">
        <v>8349</v>
      </c>
      <c r="D2567" t="s">
        <v>7970</v>
      </c>
      <c r="F2567" s="21"/>
      <c r="H2567" t="str">
        <f t="shared" si="39"/>
        <v>296A0</v>
      </c>
      <c r="I2567" s="25" t="s">
        <v>8522</v>
      </c>
      <c r="J2567" s="41" t="s">
        <v>9128</v>
      </c>
    </row>
    <row r="2568" spans="3:10" x14ac:dyDescent="0.2">
      <c r="C2568" t="s">
        <v>8349</v>
      </c>
      <c r="D2568" t="s">
        <v>7971</v>
      </c>
      <c r="F2568" s="21"/>
      <c r="H2568" t="str">
        <f t="shared" si="39"/>
        <v>2AB38</v>
      </c>
      <c r="I2568" s="25" t="s">
        <v>9140</v>
      </c>
      <c r="J2568" s="41" t="s">
        <v>9173</v>
      </c>
    </row>
    <row r="2569" spans="3:10" x14ac:dyDescent="0.2">
      <c r="C2569" t="s">
        <v>8349</v>
      </c>
      <c r="D2569" t="s">
        <v>7972</v>
      </c>
      <c r="F2569" s="21"/>
      <c r="H2569" t="str">
        <f t="shared" ref="H2569:H2617" si="41">IFERROR(DEC2HEX(IF(LEFT(D2569,3)="adr",HEX2DEC(LEFT(RIGHT(D2569,6),6)),"")),"")</f>
        <v>2C9E0</v>
      </c>
      <c r="I2569" s="25" t="s">
        <v>9139</v>
      </c>
      <c r="J2569" s="41" t="s">
        <v>9174</v>
      </c>
    </row>
    <row r="2570" spans="3:10" x14ac:dyDescent="0.2">
      <c r="C2570" t="s">
        <v>8349</v>
      </c>
      <c r="D2570" t="s">
        <v>7973</v>
      </c>
      <c r="F2570" s="21"/>
      <c r="H2570" t="str">
        <f t="shared" si="41"/>
        <v>2D660</v>
      </c>
      <c r="I2570" s="25" t="s">
        <v>9142</v>
      </c>
      <c r="J2570" s="41" t="s">
        <v>9175</v>
      </c>
    </row>
    <row r="2571" spans="3:10" x14ac:dyDescent="0.2">
      <c r="C2571" t="s">
        <v>8349</v>
      </c>
      <c r="D2571" t="s">
        <v>7974</v>
      </c>
      <c r="F2571" s="21"/>
      <c r="H2571" t="str">
        <f t="shared" si="41"/>
        <v>2F1C8</v>
      </c>
      <c r="I2571" s="25" t="s">
        <v>9143</v>
      </c>
      <c r="J2571" s="41" t="s">
        <v>9176</v>
      </c>
    </row>
    <row r="2572" spans="3:10" x14ac:dyDescent="0.2">
      <c r="C2572" t="s">
        <v>8349</v>
      </c>
      <c r="D2572" t="s">
        <v>7975</v>
      </c>
      <c r="F2572" s="21"/>
      <c r="H2572" t="str">
        <f t="shared" si="41"/>
        <v>30650</v>
      </c>
      <c r="I2572" s="25" t="s">
        <v>9141</v>
      </c>
      <c r="J2572" s="41" t="s">
        <v>9177</v>
      </c>
    </row>
    <row r="2573" spans="3:10" x14ac:dyDescent="0.2">
      <c r="C2573" t="s">
        <v>8349</v>
      </c>
      <c r="D2573" t="s">
        <v>7976</v>
      </c>
      <c r="F2573" s="21"/>
      <c r="H2573" t="str">
        <f t="shared" si="41"/>
        <v>31AD8</v>
      </c>
      <c r="I2573" s="25" t="s">
        <v>9146</v>
      </c>
      <c r="J2573" s="41" t="s">
        <v>9178</v>
      </c>
    </row>
    <row r="2574" spans="3:10" x14ac:dyDescent="0.2">
      <c r="C2574" t="s">
        <v>8349</v>
      </c>
      <c r="D2574" t="s">
        <v>7977</v>
      </c>
      <c r="F2574" s="21"/>
      <c r="H2574" t="str">
        <f t="shared" si="41"/>
        <v>31D20</v>
      </c>
      <c r="I2574" s="25" t="s">
        <v>9147</v>
      </c>
      <c r="J2574" s="41" t="s">
        <v>9179</v>
      </c>
    </row>
    <row r="2575" spans="3:10" x14ac:dyDescent="0.2">
      <c r="C2575" t="s">
        <v>8349</v>
      </c>
      <c r="D2575" t="s">
        <v>7978</v>
      </c>
      <c r="F2575" s="21"/>
      <c r="H2575" t="str">
        <f t="shared" si="41"/>
        <v>31F68</v>
      </c>
      <c r="I2575" s="25" t="s">
        <v>9132</v>
      </c>
      <c r="J2575" s="41" t="s">
        <v>9180</v>
      </c>
    </row>
    <row r="2576" spans="3:10" x14ac:dyDescent="0.2">
      <c r="C2576" t="s">
        <v>8349</v>
      </c>
      <c r="D2576" t="s">
        <v>7979</v>
      </c>
      <c r="F2576" s="21"/>
      <c r="H2576" t="str">
        <f t="shared" si="41"/>
        <v/>
      </c>
      <c r="I2576" s="25" t="s">
        <v>8101</v>
      </c>
      <c r="J2576" s="41" t="s">
        <v>9120</v>
      </c>
    </row>
    <row r="2577" spans="3:12" x14ac:dyDescent="0.2">
      <c r="C2577" t="s">
        <v>8349</v>
      </c>
      <c r="D2577" t="s">
        <v>7980</v>
      </c>
      <c r="F2577" s="21"/>
      <c r="H2577" t="str">
        <f t="shared" si="41"/>
        <v/>
      </c>
      <c r="I2577" s="25" t="s">
        <v>8102</v>
      </c>
      <c r="J2577" s="41" t="s">
        <v>9121</v>
      </c>
    </row>
    <row r="2578" spans="3:12" x14ac:dyDescent="0.2">
      <c r="C2578" t="s">
        <v>8349</v>
      </c>
      <c r="D2578" t="s">
        <v>7981</v>
      </c>
      <c r="F2578" s="21"/>
      <c r="H2578" t="str">
        <f t="shared" si="41"/>
        <v/>
      </c>
      <c r="I2578" s="25" t="s">
        <v>8103</v>
      </c>
      <c r="J2578" s="41" t="s">
        <v>9105</v>
      </c>
    </row>
    <row r="2579" spans="3:12" x14ac:dyDescent="0.2">
      <c r="C2579" t="s">
        <v>8349</v>
      </c>
      <c r="D2579" t="s">
        <v>7982</v>
      </c>
      <c r="F2579" s="21"/>
      <c r="H2579" t="str">
        <f t="shared" si="41"/>
        <v/>
      </c>
      <c r="I2579" s="25" t="s">
        <v>8104</v>
      </c>
      <c r="J2579" s="41" t="s">
        <v>9104</v>
      </c>
    </row>
    <row r="2580" spans="3:12" x14ac:dyDescent="0.2">
      <c r="C2580" t="s">
        <v>8349</v>
      </c>
      <c r="D2580" t="s">
        <v>7983</v>
      </c>
      <c r="F2580" s="21"/>
      <c r="G2580" s="27" t="s">
        <v>8285</v>
      </c>
      <c r="I2580" s="25" t="s">
        <v>7983</v>
      </c>
      <c r="J2580" s="41" t="s">
        <v>9160</v>
      </c>
      <c r="L2580" t="s">
        <v>8284</v>
      </c>
    </row>
    <row r="2581" spans="3:12" s="10" customFormat="1" ht="16" x14ac:dyDescent="0.2">
      <c r="C2581" t="s">
        <v>8349</v>
      </c>
      <c r="D2581" s="10" t="s">
        <v>7984</v>
      </c>
      <c r="E2581" s="31"/>
      <c r="F2581" s="21"/>
      <c r="H2581" s="10" t="str">
        <f t="shared" si="41"/>
        <v>351D8</v>
      </c>
      <c r="I2581" s="25" t="s">
        <v>8478</v>
      </c>
      <c r="J2581" s="41"/>
      <c r="K2581" s="20" t="s">
        <v>8228</v>
      </c>
    </row>
    <row r="2582" spans="3:12" x14ac:dyDescent="0.2">
      <c r="C2582" t="s">
        <v>8349</v>
      </c>
      <c r="D2582" t="s">
        <v>7985</v>
      </c>
      <c r="F2582" s="21"/>
      <c r="H2582" t="str">
        <f t="shared" si="41"/>
        <v/>
      </c>
      <c r="I2582" s="25" t="s">
        <v>7985</v>
      </c>
      <c r="J2582" s="41" t="s">
        <v>9114</v>
      </c>
    </row>
    <row r="2583" spans="3:12" x14ac:dyDescent="0.2">
      <c r="C2583" t="s">
        <v>8349</v>
      </c>
      <c r="D2583" t="s">
        <v>7986</v>
      </c>
      <c r="F2583" s="21"/>
      <c r="H2583" t="str">
        <f t="shared" si="41"/>
        <v/>
      </c>
      <c r="I2583" s="25" t="s">
        <v>8100</v>
      </c>
      <c r="J2583" s="41" t="s">
        <v>9113</v>
      </c>
    </row>
    <row r="2584" spans="3:12" x14ac:dyDescent="0.2">
      <c r="C2584" t="s">
        <v>8349</v>
      </c>
      <c r="D2584" t="s">
        <v>7988</v>
      </c>
      <c r="F2584" s="21"/>
      <c r="H2584" t="str">
        <f t="shared" si="41"/>
        <v/>
      </c>
      <c r="I2584" s="25" t="s">
        <v>7988</v>
      </c>
      <c r="J2584" s="41" t="s">
        <v>9123</v>
      </c>
    </row>
    <row r="2585" spans="3:12" x14ac:dyDescent="0.2">
      <c r="C2585" t="s">
        <v>8349</v>
      </c>
      <c r="D2585" t="s">
        <v>7989</v>
      </c>
      <c r="F2585" s="21"/>
      <c r="H2585" t="str">
        <f t="shared" si="41"/>
        <v/>
      </c>
      <c r="I2585" s="25" t="s">
        <v>7989</v>
      </c>
      <c r="J2585" s="41" t="s">
        <v>9124</v>
      </c>
    </row>
    <row r="2586" spans="3:12" x14ac:dyDescent="0.2">
      <c r="C2586" t="s">
        <v>8349</v>
      </c>
      <c r="D2586" t="s">
        <v>7990</v>
      </c>
      <c r="F2586" s="21"/>
      <c r="H2586" t="str">
        <f t="shared" si="41"/>
        <v/>
      </c>
      <c r="I2586" s="25" t="s">
        <v>7990</v>
      </c>
      <c r="J2586" s="41" t="s">
        <v>9125</v>
      </c>
    </row>
    <row r="2587" spans="3:12" x14ac:dyDescent="0.2">
      <c r="C2587" t="s">
        <v>8349</v>
      </c>
      <c r="D2587" t="s">
        <v>7991</v>
      </c>
      <c r="F2587" s="21"/>
      <c r="H2587" t="str">
        <f t="shared" si="41"/>
        <v/>
      </c>
      <c r="I2587" s="25" t="s">
        <v>7991</v>
      </c>
      <c r="J2587" s="41" t="s">
        <v>9126</v>
      </c>
    </row>
    <row r="2588" spans="3:12" x14ac:dyDescent="0.2">
      <c r="C2588" t="s">
        <v>8349</v>
      </c>
      <c r="D2588" t="s">
        <v>7992</v>
      </c>
      <c r="F2588" s="21"/>
      <c r="H2588" t="str">
        <f t="shared" si="41"/>
        <v/>
      </c>
      <c r="I2588" s="25" t="s">
        <v>7992</v>
      </c>
      <c r="J2588" s="41" t="s">
        <v>9127</v>
      </c>
    </row>
    <row r="2589" spans="3:12" x14ac:dyDescent="0.2">
      <c r="C2589" t="s">
        <v>8349</v>
      </c>
      <c r="D2589" t="s">
        <v>7993</v>
      </c>
      <c r="F2589" s="21"/>
      <c r="H2589" t="str">
        <f t="shared" si="41"/>
        <v/>
      </c>
      <c r="I2589" s="25" t="s">
        <v>7993</v>
      </c>
      <c r="J2589" s="41" t="s">
        <v>9129</v>
      </c>
    </row>
    <row r="2590" spans="3:12" x14ac:dyDescent="0.2">
      <c r="C2590" t="s">
        <v>8349</v>
      </c>
      <c r="D2590" t="s">
        <v>7994</v>
      </c>
      <c r="F2590" s="21"/>
      <c r="H2590" t="str">
        <f t="shared" si="41"/>
        <v/>
      </c>
      <c r="I2590" s="25" t="s">
        <v>7994</v>
      </c>
      <c r="J2590" s="41" t="s">
        <v>9130</v>
      </c>
    </row>
    <row r="2591" spans="3:12" x14ac:dyDescent="0.2">
      <c r="C2591" t="s">
        <v>8349</v>
      </c>
      <c r="D2591" t="s">
        <v>7995</v>
      </c>
      <c r="F2591" s="21"/>
      <c r="H2591" t="str">
        <f t="shared" si="41"/>
        <v/>
      </c>
      <c r="I2591" s="25" t="s">
        <v>7995</v>
      </c>
      <c r="J2591" s="41" t="s">
        <v>9112</v>
      </c>
    </row>
    <row r="2592" spans="3:12" x14ac:dyDescent="0.2">
      <c r="C2592" t="s">
        <v>8349</v>
      </c>
      <c r="D2592" t="s">
        <v>7996</v>
      </c>
      <c r="F2592" s="21"/>
      <c r="H2592" t="str">
        <f t="shared" si="41"/>
        <v/>
      </c>
      <c r="I2592" s="25" t="s">
        <v>7996</v>
      </c>
      <c r="J2592" s="41" t="s">
        <v>9115</v>
      </c>
      <c r="L2592" t="s">
        <v>8237</v>
      </c>
    </row>
    <row r="2593" spans="3:12" x14ac:dyDescent="0.2">
      <c r="C2593" t="s">
        <v>8349</v>
      </c>
      <c r="D2593" t="s">
        <v>7997</v>
      </c>
      <c r="F2593" s="21"/>
      <c r="H2593" t="str">
        <f t="shared" si="41"/>
        <v/>
      </c>
      <c r="I2593" s="25" t="s">
        <v>7997</v>
      </c>
      <c r="J2593" s="40" t="s">
        <v>9116</v>
      </c>
      <c r="L2593" t="s">
        <v>8238</v>
      </c>
    </row>
    <row r="2594" spans="3:12" x14ac:dyDescent="0.2">
      <c r="C2594" t="s">
        <v>8349</v>
      </c>
      <c r="D2594" t="s">
        <v>7998</v>
      </c>
      <c r="F2594" s="21"/>
      <c r="H2594" t="str">
        <f t="shared" si="41"/>
        <v/>
      </c>
      <c r="I2594" s="25" t="s">
        <v>7998</v>
      </c>
      <c r="J2594" s="40"/>
      <c r="L2594" t="s">
        <v>8239</v>
      </c>
    </row>
    <row r="2595" spans="3:12" x14ac:dyDescent="0.2">
      <c r="C2595" t="s">
        <v>8349</v>
      </c>
      <c r="D2595" t="s">
        <v>7999</v>
      </c>
      <c r="F2595" s="21"/>
      <c r="H2595" t="str">
        <f t="shared" si="41"/>
        <v/>
      </c>
      <c r="I2595" s="25" t="s">
        <v>7999</v>
      </c>
      <c r="J2595" s="41" t="s">
        <v>9148</v>
      </c>
      <c r="L2595" t="s">
        <v>8240</v>
      </c>
    </row>
    <row r="2596" spans="3:12" x14ac:dyDescent="0.2">
      <c r="C2596" t="s">
        <v>8349</v>
      </c>
      <c r="D2596" t="s">
        <v>8293</v>
      </c>
      <c r="F2596" s="21"/>
      <c r="H2596" t="str">
        <f t="shared" si="41"/>
        <v/>
      </c>
      <c r="I2596" s="25" t="s">
        <v>8293</v>
      </c>
      <c r="J2596" s="41" t="s">
        <v>9117</v>
      </c>
      <c r="L2596" t="s">
        <v>8241</v>
      </c>
    </row>
    <row r="2597" spans="3:12" x14ac:dyDescent="0.2">
      <c r="C2597" t="s">
        <v>8349</v>
      </c>
      <c r="D2597" t="s">
        <v>8000</v>
      </c>
      <c r="F2597" s="21"/>
      <c r="H2597" t="str">
        <f t="shared" si="41"/>
        <v/>
      </c>
      <c r="I2597" s="25" t="s">
        <v>8000</v>
      </c>
      <c r="J2597" s="41" t="s">
        <v>9118</v>
      </c>
    </row>
    <row r="2598" spans="3:12" s="10" customFormat="1" ht="16" x14ac:dyDescent="0.2">
      <c r="C2598" t="s">
        <v>8349</v>
      </c>
      <c r="D2598" s="10" t="s">
        <v>8001</v>
      </c>
      <c r="E2598" s="29"/>
      <c r="H2598" s="10" t="str">
        <f t="shared" si="41"/>
        <v>50302</v>
      </c>
      <c r="I2598" s="25" t="s">
        <v>9033</v>
      </c>
      <c r="K2598" s="17" t="s">
        <v>8229</v>
      </c>
    </row>
    <row r="2599" spans="3:12" s="10" customFormat="1" ht="16" x14ac:dyDescent="0.2">
      <c r="C2599" t="s">
        <v>8349</v>
      </c>
      <c r="D2599" s="10" t="s">
        <v>8002</v>
      </c>
      <c r="E2599" s="29"/>
      <c r="H2599" s="10" t="str">
        <f t="shared" si="41"/>
        <v>50332</v>
      </c>
      <c r="I2599" s="25" t="s">
        <v>9034</v>
      </c>
      <c r="K2599" s="17" t="s">
        <v>8229</v>
      </c>
    </row>
    <row r="2600" spans="3:12" s="10" customFormat="1" ht="16" x14ac:dyDescent="0.2">
      <c r="C2600" t="s">
        <v>8349</v>
      </c>
      <c r="D2600" s="10" t="s">
        <v>8003</v>
      </c>
      <c r="E2600" s="29"/>
      <c r="H2600" s="10" t="str">
        <f t="shared" si="41"/>
        <v>50362</v>
      </c>
      <c r="I2600" s="25" t="s">
        <v>9035</v>
      </c>
      <c r="K2600" s="17" t="s">
        <v>8229</v>
      </c>
    </row>
    <row r="2601" spans="3:12" s="10" customFormat="1" ht="16" x14ac:dyDescent="0.2">
      <c r="C2601" t="s">
        <v>8349</v>
      </c>
      <c r="D2601" s="10" t="s">
        <v>8004</v>
      </c>
      <c r="E2601" s="29"/>
      <c r="H2601" s="10" t="str">
        <f t="shared" si="41"/>
        <v>50802</v>
      </c>
      <c r="I2601" s="25" t="s">
        <v>9036</v>
      </c>
      <c r="K2601" s="17" t="s">
        <v>8229</v>
      </c>
    </row>
    <row r="2602" spans="3:12" s="10" customFormat="1" ht="16" x14ac:dyDescent="0.2">
      <c r="C2602" t="s">
        <v>8349</v>
      </c>
      <c r="D2602" s="10" t="s">
        <v>8005</v>
      </c>
      <c r="E2602" s="29"/>
      <c r="H2602" s="10" t="str">
        <f t="shared" si="41"/>
        <v>50832</v>
      </c>
      <c r="I2602" s="25" t="s">
        <v>9037</v>
      </c>
      <c r="K2602" s="17" t="s">
        <v>8229</v>
      </c>
    </row>
    <row r="2603" spans="3:12" s="10" customFormat="1" ht="16" x14ac:dyDescent="0.2">
      <c r="C2603" t="s">
        <v>8349</v>
      </c>
      <c r="D2603" s="10" t="s">
        <v>8006</v>
      </c>
      <c r="E2603" s="29"/>
      <c r="H2603" s="10" t="str">
        <f t="shared" si="41"/>
        <v>51772</v>
      </c>
      <c r="I2603" s="25" t="s">
        <v>9038</v>
      </c>
      <c r="K2603" s="17" t="s">
        <v>8229</v>
      </c>
    </row>
    <row r="2604" spans="3:12" s="10" customFormat="1" ht="16" x14ac:dyDescent="0.2">
      <c r="C2604" t="s">
        <v>8349</v>
      </c>
      <c r="D2604" s="10" t="s">
        <v>8007</v>
      </c>
      <c r="E2604" s="29"/>
      <c r="H2604" s="10" t="str">
        <f t="shared" si="41"/>
        <v>52C02</v>
      </c>
      <c r="I2604" s="25" t="s">
        <v>9039</v>
      </c>
      <c r="K2604" s="17" t="s">
        <v>8229</v>
      </c>
    </row>
    <row r="2605" spans="3:12" s="10" customFormat="1" ht="16" x14ac:dyDescent="0.2">
      <c r="C2605" t="s">
        <v>8349</v>
      </c>
      <c r="D2605" s="10" t="s">
        <v>8008</v>
      </c>
      <c r="E2605" s="29"/>
      <c r="H2605" s="10" t="str">
        <f t="shared" si="41"/>
        <v>52C0A</v>
      </c>
      <c r="I2605" s="25" t="s">
        <v>9040</v>
      </c>
      <c r="K2605" s="17" t="s">
        <v>8229</v>
      </c>
    </row>
    <row r="2606" spans="3:12" s="10" customFormat="1" ht="16" x14ac:dyDescent="0.2">
      <c r="C2606" t="s">
        <v>8349</v>
      </c>
      <c r="D2606" s="10" t="s">
        <v>8009</v>
      </c>
      <c r="E2606" s="29"/>
      <c r="H2606" s="10" t="str">
        <f t="shared" si="41"/>
        <v>52EC2</v>
      </c>
      <c r="I2606" s="25" t="s">
        <v>9041</v>
      </c>
      <c r="K2606" s="17" t="s">
        <v>8229</v>
      </c>
    </row>
    <row r="2607" spans="3:12" s="10" customFormat="1" ht="16" x14ac:dyDescent="0.2">
      <c r="C2607" t="s">
        <v>8349</v>
      </c>
      <c r="D2607" s="10" t="s">
        <v>8010</v>
      </c>
      <c r="E2607" s="29"/>
      <c r="H2607" s="10" t="str">
        <f t="shared" si="41"/>
        <v>52EE2</v>
      </c>
      <c r="I2607" s="25" t="s">
        <v>9042</v>
      </c>
      <c r="K2607" s="17" t="s">
        <v>8229</v>
      </c>
    </row>
    <row r="2608" spans="3:12" s="10" customFormat="1" ht="16" x14ac:dyDescent="0.2">
      <c r="C2608" t="s">
        <v>8349</v>
      </c>
      <c r="D2608" s="10" t="s">
        <v>8011</v>
      </c>
      <c r="E2608" s="29"/>
      <c r="H2608" s="10" t="str">
        <f t="shared" si="41"/>
        <v>53162</v>
      </c>
      <c r="I2608" s="25" t="s">
        <v>9043</v>
      </c>
      <c r="K2608" s="17" t="s">
        <v>8229</v>
      </c>
    </row>
    <row r="2609" spans="3:12" s="10" customFormat="1" ht="16" x14ac:dyDescent="0.2">
      <c r="C2609" t="s">
        <v>8349</v>
      </c>
      <c r="D2609" s="10" t="s">
        <v>8012</v>
      </c>
      <c r="E2609" s="29"/>
      <c r="H2609" s="10" t="str">
        <f t="shared" si="41"/>
        <v>53C82</v>
      </c>
      <c r="I2609" s="25" t="s">
        <v>9044</v>
      </c>
      <c r="K2609" s="17" t="s">
        <v>8229</v>
      </c>
    </row>
    <row r="2610" spans="3:12" s="10" customFormat="1" ht="16" x14ac:dyDescent="0.2">
      <c r="C2610" t="s">
        <v>8349</v>
      </c>
      <c r="D2610" s="10" t="s">
        <v>8013</v>
      </c>
      <c r="E2610" s="29"/>
      <c r="H2610" s="10" t="str">
        <f t="shared" si="41"/>
        <v>53D8A</v>
      </c>
      <c r="I2610" s="25" t="s">
        <v>9045</v>
      </c>
      <c r="K2610" s="17" t="s">
        <v>8229</v>
      </c>
    </row>
    <row r="2611" spans="3:12" x14ac:dyDescent="0.2">
      <c r="C2611" t="s">
        <v>8349</v>
      </c>
      <c r="D2611" t="s">
        <v>8014</v>
      </c>
      <c r="F2611" s="21"/>
      <c r="H2611" t="str">
        <f t="shared" si="41"/>
        <v/>
      </c>
      <c r="I2611" s="25" t="s">
        <v>8014</v>
      </c>
      <c r="J2611" s="39" t="s">
        <v>8515</v>
      </c>
      <c r="L2611" t="s">
        <v>8515</v>
      </c>
    </row>
    <row r="2612" spans="3:12" x14ac:dyDescent="0.2">
      <c r="C2612" t="s">
        <v>8349</v>
      </c>
      <c r="D2612" t="s">
        <v>8015</v>
      </c>
      <c r="F2612" s="21"/>
      <c r="H2612" t="str">
        <f t="shared" si="41"/>
        <v/>
      </c>
      <c r="I2612" s="25" t="s">
        <v>8015</v>
      </c>
      <c r="J2612" s="39" t="s">
        <v>8516</v>
      </c>
      <c r="L2612" t="s">
        <v>8516</v>
      </c>
    </row>
    <row r="2613" spans="3:12" x14ac:dyDescent="0.2">
      <c r="C2613" t="s">
        <v>8349</v>
      </c>
      <c r="D2613" t="s">
        <v>8016</v>
      </c>
      <c r="F2613" s="21"/>
      <c r="H2613" t="str">
        <f t="shared" si="41"/>
        <v/>
      </c>
      <c r="I2613" s="25" t="s">
        <v>8016</v>
      </c>
      <c r="J2613" s="39" t="s">
        <v>8517</v>
      </c>
      <c r="L2613" t="s">
        <v>8517</v>
      </c>
    </row>
    <row r="2614" spans="3:12" x14ac:dyDescent="0.2">
      <c r="C2614" t="s">
        <v>8349</v>
      </c>
      <c r="D2614" t="s">
        <v>8017</v>
      </c>
      <c r="F2614" s="21"/>
      <c r="H2614" t="str">
        <f t="shared" si="41"/>
        <v/>
      </c>
      <c r="I2614" s="25" t="s">
        <v>8017</v>
      </c>
      <c r="J2614" s="39" t="s">
        <v>8518</v>
      </c>
      <c r="L2614" t="s">
        <v>8518</v>
      </c>
    </row>
    <row r="2615" spans="3:12" x14ac:dyDescent="0.2">
      <c r="C2615" t="s">
        <v>8349</v>
      </c>
      <c r="D2615" t="s">
        <v>8018</v>
      </c>
      <c r="F2615" s="21"/>
      <c r="H2615" t="str">
        <f t="shared" si="41"/>
        <v/>
      </c>
      <c r="I2615" s="25" t="s">
        <v>8018</v>
      </c>
      <c r="J2615" s="39" t="s">
        <v>8519</v>
      </c>
      <c r="L2615" t="s">
        <v>8519</v>
      </c>
    </row>
    <row r="2616" spans="3:12" x14ac:dyDescent="0.2">
      <c r="C2616" t="s">
        <v>8349</v>
      </c>
      <c r="D2616" t="s">
        <v>8019</v>
      </c>
      <c r="F2616" s="21"/>
      <c r="H2616" t="str">
        <f t="shared" si="41"/>
        <v>58828</v>
      </c>
      <c r="I2616" s="25" t="s">
        <v>8235</v>
      </c>
      <c r="J2616" s="39" t="s">
        <v>9092</v>
      </c>
      <c r="L2616" t="s">
        <v>8233</v>
      </c>
    </row>
    <row r="2617" spans="3:12" x14ac:dyDescent="0.2">
      <c r="C2617" t="s">
        <v>8349</v>
      </c>
      <c r="D2617" t="s">
        <v>8020</v>
      </c>
      <c r="F2617" s="21"/>
      <c r="H2617" t="str">
        <f t="shared" si="41"/>
        <v>58C10</v>
      </c>
      <c r="I2617" s="25" t="s">
        <v>8236</v>
      </c>
      <c r="J2617" s="39" t="s">
        <v>9093</v>
      </c>
      <c r="L2617" t="s">
        <v>8234</v>
      </c>
    </row>
    <row r="2618" spans="3:12" x14ac:dyDescent="0.2">
      <c r="D2618" t="s">
        <v>6764</v>
      </c>
      <c r="I2618" t="s">
        <v>6764</v>
      </c>
    </row>
  </sheetData>
  <autoFilter ref="A1:K2617" xr:uid="{00000000-0009-0000-0000-000002000000}"/>
  <phoneticPr fontId="12" type="noConversion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77"/>
  <sheetViews>
    <sheetView topLeftCell="A1709" zoomScale="90" zoomScaleNormal="90" zoomScalePageLayoutView="90" workbookViewId="0">
      <selection activeCell="J1463" sqref="J1463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1" customWidth="1"/>
    <col min="6" max="6" width="17.6640625" style="21" customWidth="1"/>
    <col min="7" max="7" width="14.6640625" style="3" customWidth="1"/>
    <col min="8" max="8" width="18.33203125" customWidth="1"/>
    <col min="9" max="9" width="39.33203125" style="25" customWidth="1"/>
    <col min="10" max="10" width="30" customWidth="1"/>
    <col min="11" max="11" width="30.6640625" style="21" customWidth="1"/>
  </cols>
  <sheetData>
    <row r="1" spans="1:11" ht="32" x14ac:dyDescent="0.2">
      <c r="B1" s="9" t="s">
        <v>5392</v>
      </c>
      <c r="D1" s="4" t="s">
        <v>2752</v>
      </c>
      <c r="E1" s="30"/>
      <c r="F1" s="19" t="s">
        <v>5379</v>
      </c>
      <c r="G1" s="18" t="s">
        <v>8230</v>
      </c>
      <c r="H1" s="18" t="s">
        <v>8231</v>
      </c>
      <c r="I1" s="26" t="s">
        <v>8220</v>
      </c>
      <c r="J1" s="18" t="s">
        <v>8221</v>
      </c>
      <c r="K1" s="19" t="s">
        <v>8232</v>
      </c>
    </row>
    <row r="2" spans="1:11" ht="39.5" customHeight="1" x14ac:dyDescent="0.2">
      <c r="A2" s="2" t="s">
        <v>5391</v>
      </c>
      <c r="B2" s="6" t="s">
        <v>2753</v>
      </c>
      <c r="D2" s="2" t="s">
        <v>85</v>
      </c>
      <c r="F2" s="20"/>
      <c r="G2" s="3">
        <v>0</v>
      </c>
      <c r="H2" s="8" t="s">
        <v>5385</v>
      </c>
    </row>
    <row r="3" spans="1:11" ht="16" x14ac:dyDescent="0.2">
      <c r="A3" s="5" t="s">
        <v>5390</v>
      </c>
      <c r="B3" s="6" t="s">
        <v>5389</v>
      </c>
      <c r="D3" t="s">
        <v>86</v>
      </c>
      <c r="G3" s="8" t="s">
        <v>5380</v>
      </c>
      <c r="H3" s="3" t="str">
        <f>DEC2HEX(HEX2DEC(G3)+932)</f>
        <v>3C0</v>
      </c>
      <c r="I3" s="25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5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5" t="s">
        <v>88</v>
      </c>
    </row>
    <row r="6" spans="1:11" x14ac:dyDescent="0.2">
      <c r="A6" t="s">
        <v>5386</v>
      </c>
      <c r="B6" s="1">
        <f>COUNTA(D:D)-1</f>
        <v>2676</v>
      </c>
      <c r="D6" t="s">
        <v>89</v>
      </c>
      <c r="E6" s="32"/>
      <c r="F6" s="21">
        <v>14002</v>
      </c>
      <c r="G6" s="8" t="s">
        <v>5384</v>
      </c>
      <c r="H6" s="3" t="str">
        <f>DEC2HEX(HEX2DEC(G6)+932)</f>
        <v>400</v>
      </c>
      <c r="I6" s="25" t="s">
        <v>89</v>
      </c>
    </row>
    <row r="7" spans="1:11" x14ac:dyDescent="0.2">
      <c r="A7" t="s">
        <v>5387</v>
      </c>
      <c r="B7" s="1">
        <f>B6-COUNTIF(I2:I2676,"")</f>
        <v>263</v>
      </c>
      <c r="D7" t="s">
        <v>90</v>
      </c>
      <c r="G7" s="8" t="s">
        <v>5383</v>
      </c>
      <c r="H7" s="3" t="s">
        <v>2755</v>
      </c>
      <c r="I7" s="25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5" t="s">
        <v>2754</v>
      </c>
    </row>
    <row r="9" spans="1:11" x14ac:dyDescent="0.2">
      <c r="A9" t="s">
        <v>5388</v>
      </c>
      <c r="B9" s="1">
        <f>B6-B7</f>
        <v>2413</v>
      </c>
      <c r="D9" t="s">
        <v>92</v>
      </c>
      <c r="G9" s="3" t="str">
        <f t="shared" si="0"/>
        <v>15A</v>
      </c>
      <c r="H9" s="3" t="s">
        <v>2757</v>
      </c>
      <c r="I9" s="25" t="s">
        <v>2754</v>
      </c>
    </row>
    <row r="10" spans="1:11" x14ac:dyDescent="0.2">
      <c r="D10" t="s">
        <v>93</v>
      </c>
      <c r="G10" s="3" t="str">
        <f t="shared" si="0"/>
        <v>1D2</v>
      </c>
      <c r="H10" s="3" t="s">
        <v>2758</v>
      </c>
      <c r="I10" s="25" t="s">
        <v>2754</v>
      </c>
    </row>
    <row r="11" spans="1:11" x14ac:dyDescent="0.2">
      <c r="D11" t="s">
        <v>94</v>
      </c>
      <c r="G11" s="3" t="str">
        <f t="shared" si="0"/>
        <v>1DA</v>
      </c>
      <c r="H11" s="3" t="s">
        <v>2759</v>
      </c>
      <c r="I11" s="25" t="s">
        <v>2754</v>
      </c>
    </row>
    <row r="12" spans="1:11" x14ac:dyDescent="0.2">
      <c r="D12" t="s">
        <v>95</v>
      </c>
      <c r="G12" s="3" t="str">
        <f t="shared" si="0"/>
        <v>1F0</v>
      </c>
      <c r="H12" s="3" t="s">
        <v>2760</v>
      </c>
      <c r="I12" s="25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5" t="s">
        <v>8216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5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5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5" t="s">
        <v>8022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5" t="s">
        <v>8023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5" t="s">
        <v>8024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5" t="s">
        <v>8025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5" t="s">
        <v>103</v>
      </c>
    </row>
    <row r="21" spans="4:9" x14ac:dyDescent="0.2">
      <c r="D21" t="s">
        <v>9202</v>
      </c>
      <c r="G21" s="3" t="str">
        <f t="shared" si="0"/>
        <v>282</v>
      </c>
      <c r="H21" s="3" t="s">
        <v>2767</v>
      </c>
      <c r="I21" s="25" t="s">
        <v>8031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5" t="s">
        <v>8032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5" t="s">
        <v>5434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5" t="s">
        <v>8033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5" t="s">
        <v>8039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5" t="s">
        <v>5439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5" t="s">
        <v>8034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5" t="s">
        <v>8036</v>
      </c>
    </row>
    <row r="29" spans="4:9" x14ac:dyDescent="0.2">
      <c r="D29" t="s">
        <v>9223</v>
      </c>
      <c r="G29" s="3" t="str">
        <f t="shared" si="0"/>
        <v>3C6</v>
      </c>
      <c r="H29" s="3" t="s">
        <v>2775</v>
      </c>
      <c r="I29" s="25" t="s">
        <v>8037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5" t="s">
        <v>8038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5" t="s">
        <v>8035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5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5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5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5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5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5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5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5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5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5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5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5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5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5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5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5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5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5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5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5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5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5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5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5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5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5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5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5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5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5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5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5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5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5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5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5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5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5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5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5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5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5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5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5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5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5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5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5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5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5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5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5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5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5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5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5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5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5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5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5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5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5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5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5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5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5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5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5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5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5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5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5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5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5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5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5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5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5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5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5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5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5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5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5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5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5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5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5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5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5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5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5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5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5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5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5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5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5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5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5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5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5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5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5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5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5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5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5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5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5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5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5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5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5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5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5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5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5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5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5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5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5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5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5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5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5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5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5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5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5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5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5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5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5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5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5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5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5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5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5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5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5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5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5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5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5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5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5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5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5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5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5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5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5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5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5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5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5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5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5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5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5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5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5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5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5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5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5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5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5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5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5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5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5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5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5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5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5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5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5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5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5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5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5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5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5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5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5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5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5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5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5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5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5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5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5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5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5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5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5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5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5" t="s">
        <v>9150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5" t="s">
        <v>9155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5" t="s">
        <v>9151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5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5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5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5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5" t="s">
        <v>9152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5" t="s">
        <v>9153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5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5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5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5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5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5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5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5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5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5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5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5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5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5" t="s">
        <v>9154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5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5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5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5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5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5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5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5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5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5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5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5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5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5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5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5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5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5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5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5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5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5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5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5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5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5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5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5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5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5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5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5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5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5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5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5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5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5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5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5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5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5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5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5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5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5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5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5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5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5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5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5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5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5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5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5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5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5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5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5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5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5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5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5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5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5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5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5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5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5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5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5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5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5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5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5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5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5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5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5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5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5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5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5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5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5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5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5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5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5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5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5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5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5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5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5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5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5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5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5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5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5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5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5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5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5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5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5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5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5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5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5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5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5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5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5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5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5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5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5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5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5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5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5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5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5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5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5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5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5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5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5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5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5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5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5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5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5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5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5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5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5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5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5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5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5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5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5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5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5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5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5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5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5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5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5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5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5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5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5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5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5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5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5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5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5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5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5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5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5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5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5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5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5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5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5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5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5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5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5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5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5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5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5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5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5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5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5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5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5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5" t="s">
        <v>8249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5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5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5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5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5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5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5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5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5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5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5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5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5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5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5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5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5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5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5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5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5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5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5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5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5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5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5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5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5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5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5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5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5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5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5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5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5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5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5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5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5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5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5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5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5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5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5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5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5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5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5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5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5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5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5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5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5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5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5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5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5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5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5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5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5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5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5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5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5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5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5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5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5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5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5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5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5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5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5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5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5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5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5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5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5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5" t="s">
        <v>9556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5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5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5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5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5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5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5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5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5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5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5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5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5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5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5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5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5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5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5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5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5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5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5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5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5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5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5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5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5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5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5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5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5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5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5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5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5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5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5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5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5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5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5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5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5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5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5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5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5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5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5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5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5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5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5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5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5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5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5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5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5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5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5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5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5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5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5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5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5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5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5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5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5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5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5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5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5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5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5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5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5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5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5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5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5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5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5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5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5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5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5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5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5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5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5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5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5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5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5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5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5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5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5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5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5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5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5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5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5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5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5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5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5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5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5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5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5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5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5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5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5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5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5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5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5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5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5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5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5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5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5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5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5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5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5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5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5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5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5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5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5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5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5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5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5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5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5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5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5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5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5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5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5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5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5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5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5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5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5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5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5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5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5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5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5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5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5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5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5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5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5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5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5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5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5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5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5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5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5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5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5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5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5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5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5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5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5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5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5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5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5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5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5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5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5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5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5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5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5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5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5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5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5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5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5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5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5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5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5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5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5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5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5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5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5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5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5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5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5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5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5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5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5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5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5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5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5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5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5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5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5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5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5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5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5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5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5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5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5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5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5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5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5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5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5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5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5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5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5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5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5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5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5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5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5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5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5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5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5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5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5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5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5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5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5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5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5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5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5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5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5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5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5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5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5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5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5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5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5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5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5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5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5" t="s">
        <v>8312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5" t="s">
        <v>8025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5" t="s">
        <v>8486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5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5" t="s">
        <v>8218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5" t="s">
        <v>8217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5" t="s">
        <v>8488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5" t="s">
        <v>8487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5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5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5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5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5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5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5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5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5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5" t="s">
        <v>6195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5" t="s">
        <v>6196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5" t="s">
        <v>6197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5" t="s">
        <v>8311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5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5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5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5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5" t="s">
        <v>8248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5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5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5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5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5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5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5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5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5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5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5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5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5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5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5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5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5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5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5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5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5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5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5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5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5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5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5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5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5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5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5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5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5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5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5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5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5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5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5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5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5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5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5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5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5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5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5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5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5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5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5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5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5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5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5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5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5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5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5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5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5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5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5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5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5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5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5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5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5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5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5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5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5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5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5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5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5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5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5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5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5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5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5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5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5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5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5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5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5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5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5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5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5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5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5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5" t="s">
        <v>8318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5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5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5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5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5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5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5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5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5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5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5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5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5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5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5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5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5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5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5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5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5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5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5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5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5" t="s">
        <v>2754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5" t="s">
        <v>2754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5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5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5" t="s">
        <v>2754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5" t="s">
        <v>2754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5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5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5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5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5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5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5" t="s">
        <v>2754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5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5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5" t="s">
        <v>2754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5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5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5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5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5" t="s">
        <v>2754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5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5" t="s">
        <v>2754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5" t="s">
        <v>2754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5" t="s">
        <v>2754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5" t="s">
        <v>2754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5" t="s">
        <v>2754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5" t="s">
        <v>2754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5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5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5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5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5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5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5" t="s">
        <v>2754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5" t="s">
        <v>2754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5" t="s">
        <v>2754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5" t="s">
        <v>2754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5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5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5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5" t="s">
        <v>2754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5" t="s">
        <v>2754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5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5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5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5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5" t="s">
        <v>2754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5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5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5" t="s">
        <v>2754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5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5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5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5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5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5" t="s">
        <v>2754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5" t="s">
        <v>2754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5" t="s">
        <v>2754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5" t="s">
        <v>2754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5" t="s">
        <v>2754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5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5" t="s">
        <v>2754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5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5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5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5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5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5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5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5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5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5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5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5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5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5" t="s">
        <v>2754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5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5" t="s">
        <v>2754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5" t="s">
        <v>2754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5" t="s">
        <v>2754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5" t="s">
        <v>2754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5" t="s">
        <v>2754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5" t="s">
        <v>2754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5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5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5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5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5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5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5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5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5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5" t="s">
        <v>2754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5" t="s">
        <v>2754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5" t="s">
        <v>2754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5" t="s">
        <v>2754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5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5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5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5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5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5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5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5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5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5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5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5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5" t="s">
        <v>2754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5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5" t="s">
        <v>2754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5" t="s">
        <v>2754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5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  <c r="I1075" s="25" t="s">
        <v>2754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5" t="s">
        <v>2754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5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5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5" t="s">
        <v>2754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5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5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5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5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5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5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5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5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5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5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5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5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5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5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5" t="s">
        <v>8062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5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5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5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5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5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5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5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5" t="s">
        <v>8307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5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5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5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5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5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5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5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5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5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5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5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5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5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5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5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5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5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5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5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5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5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5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5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5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5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5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5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5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5" t="s">
        <v>8317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5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5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5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5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5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5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5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5" t="s">
        <v>8333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5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5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5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5" t="s">
        <v>8095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5" t="s">
        <v>8096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5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5" t="s">
        <v>8129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5" t="s">
        <v>8098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5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5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5" t="s">
        <v>8130</v>
      </c>
    </row>
    <row r="1151" spans="4:9" x14ac:dyDescent="0.2">
      <c r="D1151" t="s">
        <v>9548</v>
      </c>
      <c r="G1151" s="3" t="str">
        <f t="shared" si="17"/>
        <v>62CA</v>
      </c>
      <c r="H1151" s="3" t="s">
        <v>3897</v>
      </c>
      <c r="I1151" s="25" t="s">
        <v>8089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5" t="s">
        <v>6453</v>
      </c>
    </row>
    <row r="1153" spans="4:10" x14ac:dyDescent="0.2">
      <c r="D1153" t="s">
        <v>9550</v>
      </c>
      <c r="G1153" s="3" t="str">
        <f t="shared" si="17"/>
        <v>62EC</v>
      </c>
      <c r="H1153" s="3" t="s">
        <v>3899</v>
      </c>
      <c r="I1153" s="25" t="s">
        <v>8088</v>
      </c>
    </row>
    <row r="1154" spans="4:10" x14ac:dyDescent="0.2">
      <c r="D1154" t="s">
        <v>9549</v>
      </c>
      <c r="G1154" s="3" t="str">
        <f t="shared" si="17"/>
        <v>62EE</v>
      </c>
      <c r="H1154" s="3" t="s">
        <v>3900</v>
      </c>
      <c r="I1154" s="25" t="s">
        <v>8090</v>
      </c>
    </row>
    <row r="1155" spans="4:10" x14ac:dyDescent="0.2">
      <c r="D1155" t="s">
        <v>1238</v>
      </c>
      <c r="G1155" s="3" t="str">
        <f t="shared" si="17"/>
        <v>6316</v>
      </c>
      <c r="H1155" s="3" t="s">
        <v>3901</v>
      </c>
      <c r="I1155" s="25" t="s">
        <v>8087</v>
      </c>
    </row>
    <row r="1156" spans="4:10" x14ac:dyDescent="0.2">
      <c r="D1156" t="s">
        <v>9551</v>
      </c>
      <c r="G1156" s="3" t="str">
        <f t="shared" si="17"/>
        <v>6320</v>
      </c>
      <c r="H1156" s="3" t="s">
        <v>3902</v>
      </c>
      <c r="I1156" s="25" t="s">
        <v>8091</v>
      </c>
    </row>
    <row r="1157" spans="4:10" x14ac:dyDescent="0.2">
      <c r="D1157" t="s">
        <v>9552</v>
      </c>
      <c r="G1157" s="3" t="str">
        <f t="shared" si="17"/>
        <v>6340</v>
      </c>
      <c r="H1157" s="3" t="s">
        <v>3903</v>
      </c>
      <c r="I1157" s="25" t="s">
        <v>8092</v>
      </c>
    </row>
    <row r="1158" spans="4:10" x14ac:dyDescent="0.2">
      <c r="D1158" t="s">
        <v>1241</v>
      </c>
      <c r="G1158" s="3" t="str">
        <f t="shared" si="17"/>
        <v>6358</v>
      </c>
      <c r="H1158" s="3" t="s">
        <v>3904</v>
      </c>
      <c r="I1158" s="25" t="s">
        <v>2754</v>
      </c>
    </row>
    <row r="1159" spans="4:10" x14ac:dyDescent="0.2">
      <c r="D1159" t="s">
        <v>1242</v>
      </c>
      <c r="G1159" s="3" t="str">
        <f t="shared" si="17"/>
        <v>6364</v>
      </c>
      <c r="H1159" s="3" t="s">
        <v>3905</v>
      </c>
      <c r="I1159" s="25" t="s">
        <v>2754</v>
      </c>
    </row>
    <row r="1160" spans="4:10" x14ac:dyDescent="0.2">
      <c r="D1160" t="s">
        <v>1243</v>
      </c>
      <c r="G1160" s="3" t="str">
        <f t="shared" ref="G1160:G1225" si="18">IF(H1160&lt;&gt;"",DEC2HEX(HEX2DEC(H1160)-932),"")</f>
        <v>637C</v>
      </c>
      <c r="H1160" s="3" t="s">
        <v>3906</v>
      </c>
      <c r="I1160" s="25" t="s">
        <v>2754</v>
      </c>
    </row>
    <row r="1161" spans="4:10" x14ac:dyDescent="0.2">
      <c r="D1161" t="s">
        <v>1244</v>
      </c>
      <c r="G1161" s="3" t="str">
        <f t="shared" si="18"/>
        <v>6382</v>
      </c>
      <c r="H1161" s="3" t="s">
        <v>3907</v>
      </c>
      <c r="I1161" s="25" t="s">
        <v>2754</v>
      </c>
    </row>
    <row r="1162" spans="4:10" x14ac:dyDescent="0.2">
      <c r="D1162" t="s">
        <v>1245</v>
      </c>
      <c r="G1162" s="3" t="str">
        <f t="shared" si="18"/>
        <v>639A</v>
      </c>
      <c r="H1162" s="3" t="s">
        <v>3908</v>
      </c>
      <c r="I1162" s="25" t="s">
        <v>8093</v>
      </c>
    </row>
    <row r="1163" spans="4:10" x14ac:dyDescent="0.2">
      <c r="D1163" t="s">
        <v>1246</v>
      </c>
      <c r="G1163" s="3" t="str">
        <f t="shared" si="18"/>
        <v>63A2</v>
      </c>
      <c r="H1163" s="3" t="s">
        <v>3909</v>
      </c>
      <c r="I1163" s="25" t="s">
        <v>8094</v>
      </c>
    </row>
    <row r="1164" spans="4:10" x14ac:dyDescent="0.2">
      <c r="D1164" t="s">
        <v>1247</v>
      </c>
      <c r="G1164" s="3" t="str">
        <f t="shared" si="18"/>
        <v>63A8</v>
      </c>
      <c r="H1164" s="3" t="s">
        <v>3910</v>
      </c>
      <c r="I1164" s="25" t="s">
        <v>8497</v>
      </c>
    </row>
    <row r="1165" spans="4:10" x14ac:dyDescent="0.2">
      <c r="D1165" t="s">
        <v>1248</v>
      </c>
      <c r="G1165" s="3" t="str">
        <f t="shared" si="18"/>
        <v>63C6</v>
      </c>
      <c r="H1165" s="3" t="s">
        <v>3911</v>
      </c>
      <c r="I1165" s="25" t="s">
        <v>2754</v>
      </c>
    </row>
    <row r="1166" spans="4:10" x14ac:dyDescent="0.2">
      <c r="D1166" t="s">
        <v>9554</v>
      </c>
      <c r="H1166" s="3"/>
      <c r="I1166" s="25" t="s">
        <v>6466</v>
      </c>
      <c r="J1166" t="s">
        <v>9572</v>
      </c>
    </row>
    <row r="1167" spans="4:10" x14ac:dyDescent="0.2">
      <c r="D1167" t="s">
        <v>9553</v>
      </c>
      <c r="H1167" s="3"/>
      <c r="I1167" s="25" t="s">
        <v>6467</v>
      </c>
      <c r="J1167" t="s">
        <v>9573</v>
      </c>
    </row>
    <row r="1168" spans="4:10" x14ac:dyDescent="0.2">
      <c r="D1168" t="s">
        <v>1249</v>
      </c>
      <c r="G1168" s="3" t="str">
        <f t="shared" si="18"/>
        <v>640E</v>
      </c>
      <c r="H1168" s="3" t="s">
        <v>3912</v>
      </c>
      <c r="I1168" s="25" t="s">
        <v>8097</v>
      </c>
    </row>
    <row r="1169" spans="4:9" x14ac:dyDescent="0.2">
      <c r="D1169" t="s">
        <v>1250</v>
      </c>
      <c r="G1169" s="3" t="str">
        <f t="shared" si="18"/>
        <v>644A</v>
      </c>
      <c r="H1169" s="3" t="s">
        <v>3913</v>
      </c>
    </row>
    <row r="1170" spans="4:9" x14ac:dyDescent="0.2">
      <c r="D1170" t="s">
        <v>1251</v>
      </c>
      <c r="G1170" s="3" t="str">
        <f t="shared" si="18"/>
        <v>644C</v>
      </c>
      <c r="H1170" s="3" t="s">
        <v>3914</v>
      </c>
      <c r="I1170" s="25" t="s">
        <v>8107</v>
      </c>
    </row>
    <row r="1171" spans="4:9" x14ac:dyDescent="0.2">
      <c r="D1171" t="s">
        <v>1252</v>
      </c>
      <c r="G1171" s="3" t="str">
        <f t="shared" si="18"/>
        <v/>
      </c>
      <c r="H1171" s="3" t="s">
        <v>2754</v>
      </c>
      <c r="I1171" s="25" t="s">
        <v>6471</v>
      </c>
    </row>
    <row r="1172" spans="4:9" x14ac:dyDescent="0.2">
      <c r="D1172" t="s">
        <v>1253</v>
      </c>
      <c r="G1172" s="3" t="str">
        <f t="shared" si="18"/>
        <v/>
      </c>
      <c r="H1172" s="3" t="s">
        <v>2754</v>
      </c>
      <c r="I1172" s="25" t="s">
        <v>6472</v>
      </c>
    </row>
    <row r="1173" spans="4:9" x14ac:dyDescent="0.2">
      <c r="D1173" t="s">
        <v>1254</v>
      </c>
      <c r="G1173" s="3" t="str">
        <f t="shared" si="18"/>
        <v/>
      </c>
      <c r="H1173" s="3" t="s">
        <v>2754</v>
      </c>
      <c r="I1173" s="25" t="s">
        <v>6473</v>
      </c>
    </row>
    <row r="1174" spans="4:9" x14ac:dyDescent="0.2">
      <c r="D1174" t="s">
        <v>1255</v>
      </c>
      <c r="G1174" s="3" t="str">
        <f t="shared" si="18"/>
        <v/>
      </c>
      <c r="H1174" s="3" t="s">
        <v>2754</v>
      </c>
      <c r="I1174" s="25" t="s">
        <v>6474</v>
      </c>
    </row>
    <row r="1175" spans="4:9" x14ac:dyDescent="0.2">
      <c r="D1175" t="s">
        <v>1256</v>
      </c>
      <c r="G1175" s="3" t="str">
        <f t="shared" si="18"/>
        <v>6564</v>
      </c>
      <c r="H1175" s="3" t="s">
        <v>3915</v>
      </c>
      <c r="I1175" s="25" t="s">
        <v>2754</v>
      </c>
    </row>
    <row r="1176" spans="4:9" x14ac:dyDescent="0.2">
      <c r="D1176" t="s">
        <v>1257</v>
      </c>
      <c r="G1176" s="3" t="str">
        <f t="shared" si="18"/>
        <v>6576</v>
      </c>
      <c r="H1176" s="3" t="s">
        <v>3916</v>
      </c>
      <c r="I1176" s="25" t="s">
        <v>8344</v>
      </c>
    </row>
    <row r="1177" spans="4:9" x14ac:dyDescent="0.2">
      <c r="D1177" t="s">
        <v>1258</v>
      </c>
      <c r="G1177" s="3" t="str">
        <f t="shared" si="18"/>
        <v>657A</v>
      </c>
      <c r="H1177" s="3" t="s">
        <v>3917</v>
      </c>
      <c r="I1177" s="25" t="s">
        <v>8345</v>
      </c>
    </row>
    <row r="1178" spans="4:9" x14ac:dyDescent="0.2">
      <c r="D1178" t="s">
        <v>1259</v>
      </c>
      <c r="G1178" s="3" t="str">
        <f t="shared" si="18"/>
        <v>658E</v>
      </c>
      <c r="H1178" s="3" t="s">
        <v>3918</v>
      </c>
      <c r="I1178" s="25" t="s">
        <v>2754</v>
      </c>
    </row>
    <row r="1179" spans="4:9" x14ac:dyDescent="0.2">
      <c r="D1179" t="s">
        <v>1260</v>
      </c>
      <c r="G1179" s="3" t="str">
        <f t="shared" si="18"/>
        <v>6590</v>
      </c>
      <c r="H1179" s="3" t="s">
        <v>3919</v>
      </c>
      <c r="I1179" s="25" t="s">
        <v>8108</v>
      </c>
    </row>
    <row r="1180" spans="4:9" x14ac:dyDescent="0.2">
      <c r="D1180" t="s">
        <v>1261</v>
      </c>
      <c r="G1180" s="3" t="str">
        <f t="shared" si="18"/>
        <v>65A4</v>
      </c>
      <c r="H1180" s="3" t="s">
        <v>3920</v>
      </c>
      <c r="I1180" s="25" t="s">
        <v>2754</v>
      </c>
    </row>
    <row r="1181" spans="4:9" x14ac:dyDescent="0.2">
      <c r="D1181" t="s">
        <v>1262</v>
      </c>
      <c r="G1181" s="3" t="str">
        <f t="shared" si="18"/>
        <v>65AC</v>
      </c>
      <c r="H1181" s="3" t="s">
        <v>3921</v>
      </c>
      <c r="I1181" s="25" t="s">
        <v>2754</v>
      </c>
    </row>
    <row r="1182" spans="4:9" x14ac:dyDescent="0.2">
      <c r="D1182" t="s">
        <v>1263</v>
      </c>
      <c r="G1182" s="3" t="str">
        <f t="shared" si="18"/>
        <v>65BC</v>
      </c>
      <c r="H1182" s="3" t="s">
        <v>3922</v>
      </c>
      <c r="I1182" s="25" t="s">
        <v>2754</v>
      </c>
    </row>
    <row r="1183" spans="4:9" x14ac:dyDescent="0.2">
      <c r="D1183" t="s">
        <v>1264</v>
      </c>
      <c r="G1183" s="3" t="str">
        <f t="shared" si="18"/>
        <v>65BE</v>
      </c>
      <c r="H1183" s="3" t="s">
        <v>3923</v>
      </c>
      <c r="I1183" s="25" t="s">
        <v>2754</v>
      </c>
    </row>
    <row r="1184" spans="4:9" x14ac:dyDescent="0.2">
      <c r="D1184" t="s">
        <v>1265</v>
      </c>
      <c r="G1184" s="3" t="str">
        <f t="shared" si="18"/>
        <v>65CC</v>
      </c>
      <c r="H1184" s="3" t="s">
        <v>3924</v>
      </c>
      <c r="I1184" s="25" t="s">
        <v>2754</v>
      </c>
    </row>
    <row r="1185" spans="4:9" x14ac:dyDescent="0.2">
      <c r="D1185" t="s">
        <v>1266</v>
      </c>
      <c r="G1185" s="3" t="str">
        <f t="shared" si="18"/>
        <v>65D0</v>
      </c>
      <c r="H1185" s="3" t="s">
        <v>3925</v>
      </c>
      <c r="I1185" s="25" t="s">
        <v>2754</v>
      </c>
    </row>
    <row r="1186" spans="4:9" x14ac:dyDescent="0.2">
      <c r="D1186" t="s">
        <v>1267</v>
      </c>
      <c r="G1186" s="3" t="str">
        <f t="shared" si="18"/>
        <v>65E2</v>
      </c>
      <c r="H1186" s="3" t="s">
        <v>3926</v>
      </c>
      <c r="I1186" s="25" t="s">
        <v>2754</v>
      </c>
    </row>
    <row r="1187" spans="4:9" x14ac:dyDescent="0.2">
      <c r="D1187" t="s">
        <v>1268</v>
      </c>
      <c r="G1187" s="3" t="str">
        <f t="shared" si="18"/>
        <v>65EC</v>
      </c>
      <c r="H1187" s="3" t="s">
        <v>3927</v>
      </c>
      <c r="I1187" s="25" t="s">
        <v>2754</v>
      </c>
    </row>
    <row r="1188" spans="4:9" x14ac:dyDescent="0.2">
      <c r="D1188" t="s">
        <v>1269</v>
      </c>
      <c r="G1188" s="3" t="str">
        <f t="shared" si="18"/>
        <v>65FC</v>
      </c>
      <c r="H1188" s="3" t="s">
        <v>3928</v>
      </c>
      <c r="I1188" s="25" t="s">
        <v>2754</v>
      </c>
    </row>
    <row r="1189" spans="4:9" x14ac:dyDescent="0.2">
      <c r="D1189" t="s">
        <v>1270</v>
      </c>
      <c r="G1189" s="3" t="str">
        <f t="shared" si="18"/>
        <v>661A</v>
      </c>
      <c r="H1189" s="3" t="s">
        <v>3929</v>
      </c>
      <c r="I1189" s="25" t="s">
        <v>2754</v>
      </c>
    </row>
    <row r="1190" spans="4:9" x14ac:dyDescent="0.2">
      <c r="D1190" t="s">
        <v>1271</v>
      </c>
      <c r="G1190" s="3" t="str">
        <f t="shared" si="18"/>
        <v>661C</v>
      </c>
      <c r="H1190" s="3" t="s">
        <v>3930</v>
      </c>
      <c r="I1190" s="25" t="s">
        <v>2754</v>
      </c>
    </row>
    <row r="1191" spans="4:9" x14ac:dyDescent="0.2">
      <c r="D1191" t="s">
        <v>1272</v>
      </c>
      <c r="G1191" s="3" t="str">
        <f t="shared" si="18"/>
        <v>666A</v>
      </c>
      <c r="H1191" s="3" t="s">
        <v>3931</v>
      </c>
      <c r="I1191" s="25" t="s">
        <v>2754</v>
      </c>
    </row>
    <row r="1192" spans="4:9" x14ac:dyDescent="0.2">
      <c r="D1192" t="s">
        <v>1273</v>
      </c>
      <c r="G1192" s="3" t="str">
        <f t="shared" si="18"/>
        <v>6676</v>
      </c>
      <c r="H1192" s="3" t="s">
        <v>3932</v>
      </c>
      <c r="I1192" s="25" t="s">
        <v>2754</v>
      </c>
    </row>
    <row r="1193" spans="4:9" x14ac:dyDescent="0.2">
      <c r="D1193" t="s">
        <v>1274</v>
      </c>
      <c r="G1193" s="3" t="str">
        <f t="shared" si="18"/>
        <v>668C</v>
      </c>
      <c r="H1193" s="3" t="s">
        <v>3933</v>
      </c>
      <c r="I1193" s="25" t="s">
        <v>2754</v>
      </c>
    </row>
    <row r="1194" spans="4:9" x14ac:dyDescent="0.2">
      <c r="D1194" t="s">
        <v>1275</v>
      </c>
      <c r="G1194" s="3" t="str">
        <f t="shared" si="18"/>
        <v>6694</v>
      </c>
      <c r="H1194" s="3" t="s">
        <v>3934</v>
      </c>
      <c r="I1194" s="25" t="s">
        <v>2754</v>
      </c>
    </row>
    <row r="1195" spans="4:9" x14ac:dyDescent="0.2">
      <c r="D1195" t="s">
        <v>1276</v>
      </c>
      <c r="G1195" s="3" t="str">
        <f t="shared" si="18"/>
        <v>6696</v>
      </c>
      <c r="H1195" s="3" t="s">
        <v>3935</v>
      </c>
      <c r="I1195" s="25" t="s">
        <v>2754</v>
      </c>
    </row>
    <row r="1196" spans="4:9" x14ac:dyDescent="0.2">
      <c r="D1196" t="s">
        <v>1277</v>
      </c>
      <c r="G1196" s="3" t="str">
        <f t="shared" si="18"/>
        <v>669C</v>
      </c>
      <c r="H1196" s="3" t="s">
        <v>3936</v>
      </c>
      <c r="I1196" s="25" t="s">
        <v>2754</v>
      </c>
    </row>
    <row r="1197" spans="4:9" x14ac:dyDescent="0.2">
      <c r="D1197" t="s">
        <v>1278</v>
      </c>
      <c r="G1197" s="3" t="str">
        <f t="shared" si="18"/>
        <v>66AC</v>
      </c>
      <c r="H1197" s="3" t="s">
        <v>3937</v>
      </c>
      <c r="I1197" s="25" t="s">
        <v>2754</v>
      </c>
    </row>
    <row r="1198" spans="4:9" x14ac:dyDescent="0.2">
      <c r="D1198" t="s">
        <v>1279</v>
      </c>
      <c r="G1198" s="3" t="str">
        <f t="shared" si="18"/>
        <v>66BE</v>
      </c>
      <c r="H1198" s="3" t="s">
        <v>3938</v>
      </c>
      <c r="I1198" s="25" t="s">
        <v>2754</v>
      </c>
    </row>
    <row r="1199" spans="4:9" x14ac:dyDescent="0.2">
      <c r="D1199" t="s">
        <v>1280</v>
      </c>
      <c r="G1199" s="3" t="str">
        <f t="shared" si="18"/>
        <v>66C0</v>
      </c>
      <c r="H1199" s="3" t="s">
        <v>3939</v>
      </c>
      <c r="I1199" s="25" t="s">
        <v>2754</v>
      </c>
    </row>
    <row r="1200" spans="4:9" x14ac:dyDescent="0.2">
      <c r="D1200" t="s">
        <v>1281</v>
      </c>
      <c r="G1200" s="3" t="str">
        <f t="shared" si="18"/>
        <v>66EE</v>
      </c>
      <c r="H1200" s="3" t="s">
        <v>3940</v>
      </c>
      <c r="I1200" s="25" t="s">
        <v>2754</v>
      </c>
    </row>
    <row r="1201" spans="4:9" x14ac:dyDescent="0.2">
      <c r="D1201" t="s">
        <v>1282</v>
      </c>
      <c r="G1201" s="3" t="str">
        <f t="shared" si="18"/>
        <v>66F4</v>
      </c>
      <c r="H1201" s="3" t="s">
        <v>3941</v>
      </c>
      <c r="I1201" s="25" t="s">
        <v>2754</v>
      </c>
    </row>
    <row r="1202" spans="4:9" x14ac:dyDescent="0.2">
      <c r="D1202" t="s">
        <v>1283</v>
      </c>
      <c r="G1202" s="3" t="str">
        <f t="shared" si="18"/>
        <v>66F8</v>
      </c>
      <c r="H1202" s="3" t="s">
        <v>3942</v>
      </c>
      <c r="I1202" s="25" t="s">
        <v>2754</v>
      </c>
    </row>
    <row r="1203" spans="4:9" x14ac:dyDescent="0.2">
      <c r="D1203" t="s">
        <v>1284</v>
      </c>
      <c r="G1203" s="3" t="str">
        <f t="shared" si="18"/>
        <v>66FA</v>
      </c>
      <c r="H1203" s="3" t="s">
        <v>3943</v>
      </c>
      <c r="I1203" s="25" t="s">
        <v>2754</v>
      </c>
    </row>
    <row r="1204" spans="4:9" x14ac:dyDescent="0.2">
      <c r="D1204" t="s">
        <v>1285</v>
      </c>
      <c r="G1204" s="3" t="str">
        <f t="shared" si="18"/>
        <v>6706</v>
      </c>
      <c r="H1204" s="3" t="s">
        <v>3944</v>
      </c>
      <c r="I1204" s="25" t="s">
        <v>2754</v>
      </c>
    </row>
    <row r="1205" spans="4:9" x14ac:dyDescent="0.2">
      <c r="D1205" t="s">
        <v>1286</v>
      </c>
      <c r="G1205" s="3" t="str">
        <f t="shared" si="18"/>
        <v>6720</v>
      </c>
      <c r="H1205" s="3" t="s">
        <v>3945</v>
      </c>
      <c r="I1205" s="25" t="s">
        <v>2754</v>
      </c>
    </row>
    <row r="1206" spans="4:9" x14ac:dyDescent="0.2">
      <c r="D1206" t="s">
        <v>1287</v>
      </c>
      <c r="G1206" s="3" t="str">
        <f t="shared" si="18"/>
        <v>672A</v>
      </c>
      <c r="H1206" s="3" t="s">
        <v>3946</v>
      </c>
      <c r="I1206" s="25" t="s">
        <v>2754</v>
      </c>
    </row>
    <row r="1207" spans="4:9" x14ac:dyDescent="0.2">
      <c r="D1207" t="s">
        <v>1288</v>
      </c>
      <c r="G1207" s="3" t="str">
        <f t="shared" si="18"/>
        <v>674E</v>
      </c>
      <c r="H1207" s="3" t="s">
        <v>3947</v>
      </c>
      <c r="I1207" s="25" t="s">
        <v>2754</v>
      </c>
    </row>
    <row r="1208" spans="4:9" x14ac:dyDescent="0.2">
      <c r="D1208" t="s">
        <v>1289</v>
      </c>
      <c r="G1208" s="3" t="str">
        <f t="shared" si="18"/>
        <v>6750</v>
      </c>
      <c r="H1208" s="3" t="s">
        <v>3948</v>
      </c>
      <c r="I1208" s="25" t="s">
        <v>2754</v>
      </c>
    </row>
    <row r="1209" spans="4:9" x14ac:dyDescent="0.2">
      <c r="D1209" t="s">
        <v>1290</v>
      </c>
      <c r="G1209" s="3" t="str">
        <f t="shared" si="18"/>
        <v>6760</v>
      </c>
      <c r="H1209" s="3" t="s">
        <v>3949</v>
      </c>
      <c r="I1209" s="25" t="s">
        <v>2754</v>
      </c>
    </row>
    <row r="1210" spans="4:9" x14ac:dyDescent="0.2">
      <c r="D1210" t="s">
        <v>1291</v>
      </c>
      <c r="G1210" s="3" t="str">
        <f t="shared" si="18"/>
        <v>6772</v>
      </c>
      <c r="H1210" s="3" t="s">
        <v>3950</v>
      </c>
      <c r="I1210" s="25" t="s">
        <v>2754</v>
      </c>
    </row>
    <row r="1211" spans="4:9" x14ac:dyDescent="0.2">
      <c r="D1211" t="s">
        <v>1292</v>
      </c>
      <c r="G1211" s="3" t="str">
        <f t="shared" si="18"/>
        <v>6782</v>
      </c>
      <c r="H1211" s="3" t="s">
        <v>3951</v>
      </c>
      <c r="I1211" s="25" t="s">
        <v>2754</v>
      </c>
    </row>
    <row r="1212" spans="4:9" x14ac:dyDescent="0.2">
      <c r="D1212" t="s">
        <v>1293</v>
      </c>
      <c r="G1212" s="3" t="str">
        <f t="shared" si="18"/>
        <v>67AC</v>
      </c>
      <c r="H1212" s="3" t="s">
        <v>3952</v>
      </c>
      <c r="I1212" s="25" t="s">
        <v>2754</v>
      </c>
    </row>
    <row r="1213" spans="4:9" x14ac:dyDescent="0.2">
      <c r="D1213" t="s">
        <v>1294</v>
      </c>
      <c r="G1213" s="3" t="str">
        <f t="shared" si="18"/>
        <v>67BC</v>
      </c>
      <c r="H1213" s="3" t="s">
        <v>3953</v>
      </c>
      <c r="I1213" s="25" t="s">
        <v>2754</v>
      </c>
    </row>
    <row r="1214" spans="4:9" x14ac:dyDescent="0.2">
      <c r="D1214" t="s">
        <v>1295</v>
      </c>
      <c r="G1214" s="3" t="str">
        <f t="shared" si="18"/>
        <v>67CC</v>
      </c>
      <c r="H1214" s="3" t="s">
        <v>3954</v>
      </c>
      <c r="I1214" s="25" t="s">
        <v>2754</v>
      </c>
    </row>
    <row r="1215" spans="4:9" x14ac:dyDescent="0.2">
      <c r="D1215" t="s">
        <v>1296</v>
      </c>
      <c r="G1215" s="3" t="str">
        <f t="shared" si="18"/>
        <v>67D2</v>
      </c>
      <c r="H1215" s="3" t="s">
        <v>3955</v>
      </c>
      <c r="I1215" s="25" t="s">
        <v>2754</v>
      </c>
    </row>
    <row r="1216" spans="4:9" x14ac:dyDescent="0.2">
      <c r="D1216" t="s">
        <v>1297</v>
      </c>
      <c r="G1216" s="3" t="str">
        <f t="shared" si="18"/>
        <v>67DA</v>
      </c>
      <c r="H1216" s="3" t="s">
        <v>3956</v>
      </c>
      <c r="I1216" s="25" t="s">
        <v>2754</v>
      </c>
    </row>
    <row r="1217" spans="4:9" x14ac:dyDescent="0.2">
      <c r="D1217" t="s">
        <v>1298</v>
      </c>
      <c r="G1217" s="3" t="str">
        <f t="shared" si="18"/>
        <v>67F0</v>
      </c>
      <c r="H1217" s="3" t="s">
        <v>3957</v>
      </c>
      <c r="I1217" s="25" t="s">
        <v>2754</v>
      </c>
    </row>
    <row r="1218" spans="4:9" x14ac:dyDescent="0.2">
      <c r="D1218" t="s">
        <v>1299</v>
      </c>
      <c r="G1218" s="3" t="str">
        <f t="shared" si="18"/>
        <v>6802</v>
      </c>
      <c r="H1218" s="3" t="s">
        <v>3958</v>
      </c>
      <c r="I1218" s="25" t="s">
        <v>2754</v>
      </c>
    </row>
    <row r="1219" spans="4:9" x14ac:dyDescent="0.2">
      <c r="D1219" t="s">
        <v>1300</v>
      </c>
      <c r="G1219" s="3" t="str">
        <f t="shared" si="18"/>
        <v>680E</v>
      </c>
      <c r="H1219" s="3" t="s">
        <v>3959</v>
      </c>
      <c r="I1219" s="25" t="s">
        <v>2754</v>
      </c>
    </row>
    <row r="1220" spans="4:9" x14ac:dyDescent="0.2">
      <c r="D1220" t="s">
        <v>1301</v>
      </c>
      <c r="G1220" s="3" t="str">
        <f t="shared" si="18"/>
        <v>6810</v>
      </c>
      <c r="H1220" s="3" t="s">
        <v>3960</v>
      </c>
      <c r="I1220" s="25" t="s">
        <v>2754</v>
      </c>
    </row>
    <row r="1221" spans="4:9" x14ac:dyDescent="0.2">
      <c r="D1221" t="s">
        <v>1302</v>
      </c>
      <c r="G1221" s="3" t="str">
        <f t="shared" si="18"/>
        <v>6812</v>
      </c>
      <c r="H1221" s="3" t="s">
        <v>3961</v>
      </c>
      <c r="I1221" s="25" t="s">
        <v>8323</v>
      </c>
    </row>
    <row r="1222" spans="4:9" x14ac:dyDescent="0.2">
      <c r="D1222" t="s">
        <v>1303</v>
      </c>
      <c r="G1222" s="3" t="str">
        <f t="shared" si="18"/>
        <v>681C</v>
      </c>
      <c r="H1222" s="3" t="s">
        <v>3962</v>
      </c>
      <c r="I1222" s="25" t="s">
        <v>2754</v>
      </c>
    </row>
    <row r="1223" spans="4:9" x14ac:dyDescent="0.2">
      <c r="D1223" t="s">
        <v>1304</v>
      </c>
      <c r="G1223" s="3" t="str">
        <f t="shared" si="18"/>
        <v>6824</v>
      </c>
      <c r="H1223" s="3" t="s">
        <v>3963</v>
      </c>
      <c r="I1223" s="25" t="s">
        <v>2754</v>
      </c>
    </row>
    <row r="1224" spans="4:9" x14ac:dyDescent="0.2">
      <c r="D1224" t="s">
        <v>1305</v>
      </c>
      <c r="G1224" s="3" t="str">
        <f t="shared" si="18"/>
        <v>6842</v>
      </c>
      <c r="H1224" s="3" t="s">
        <v>3964</v>
      </c>
      <c r="I1224" s="25" t="s">
        <v>2754</v>
      </c>
    </row>
    <row r="1225" spans="4:9" x14ac:dyDescent="0.2">
      <c r="D1225" t="s">
        <v>1306</v>
      </c>
      <c r="G1225" s="3" t="str">
        <f t="shared" si="18"/>
        <v>6884</v>
      </c>
      <c r="H1225" s="3" t="s">
        <v>3965</v>
      </c>
      <c r="I1225" s="25" t="s">
        <v>2754</v>
      </c>
    </row>
    <row r="1226" spans="4:9" x14ac:dyDescent="0.2">
      <c r="D1226" t="s">
        <v>1307</v>
      </c>
      <c r="G1226" s="3" t="str">
        <f t="shared" ref="G1226:G1289" si="19">IF(H1226&lt;&gt;"",DEC2HEX(HEX2DEC(H1226)-932),"")</f>
        <v>68A4</v>
      </c>
      <c r="H1226" s="3" t="s">
        <v>3966</v>
      </c>
      <c r="I1226" s="25" t="s">
        <v>2754</v>
      </c>
    </row>
    <row r="1227" spans="4:9" x14ac:dyDescent="0.2">
      <c r="D1227" t="s">
        <v>1308</v>
      </c>
      <c r="G1227" s="3" t="str">
        <f t="shared" si="19"/>
        <v>68AC</v>
      </c>
      <c r="H1227" s="3" t="s">
        <v>3967</v>
      </c>
      <c r="I1227" s="25" t="s">
        <v>2754</v>
      </c>
    </row>
    <row r="1228" spans="4:9" x14ac:dyDescent="0.2">
      <c r="D1228" t="s">
        <v>1309</v>
      </c>
      <c r="G1228" s="3" t="str">
        <f t="shared" si="19"/>
        <v>68B4</v>
      </c>
      <c r="H1228" s="3" t="s">
        <v>3968</v>
      </c>
      <c r="I1228" s="25" t="s">
        <v>2754</v>
      </c>
    </row>
    <row r="1229" spans="4:9" x14ac:dyDescent="0.2">
      <c r="D1229" t="s">
        <v>1310</v>
      </c>
      <c r="G1229" s="3" t="str">
        <f t="shared" si="19"/>
        <v>68E2</v>
      </c>
      <c r="H1229" s="3" t="s">
        <v>3969</v>
      </c>
      <c r="I1229" s="25" t="s">
        <v>2754</v>
      </c>
    </row>
    <row r="1230" spans="4:9" x14ac:dyDescent="0.2">
      <c r="D1230" t="s">
        <v>1311</v>
      </c>
      <c r="G1230" s="3" t="str">
        <f t="shared" si="19"/>
        <v>6910</v>
      </c>
      <c r="H1230" s="3" t="s">
        <v>3970</v>
      </c>
      <c r="I1230" s="25" t="s">
        <v>2754</v>
      </c>
    </row>
    <row r="1231" spans="4:9" x14ac:dyDescent="0.2">
      <c r="D1231" t="s">
        <v>1312</v>
      </c>
      <c r="G1231" s="3" t="str">
        <f t="shared" si="19"/>
        <v>6920</v>
      </c>
      <c r="H1231" s="3" t="s">
        <v>3971</v>
      </c>
      <c r="I1231" s="25" t="s">
        <v>2754</v>
      </c>
    </row>
    <row r="1232" spans="4:9" x14ac:dyDescent="0.2">
      <c r="D1232" t="s">
        <v>1313</v>
      </c>
      <c r="G1232" s="3" t="str">
        <f t="shared" si="19"/>
        <v>692C</v>
      </c>
      <c r="H1232" s="3" t="s">
        <v>3972</v>
      </c>
      <c r="I1232" s="25" t="s">
        <v>2754</v>
      </c>
    </row>
    <row r="1233" spans="4:9" x14ac:dyDescent="0.2">
      <c r="D1233" t="s">
        <v>1314</v>
      </c>
      <c r="G1233" s="3" t="str">
        <f t="shared" si="19"/>
        <v>6930</v>
      </c>
      <c r="H1233" s="3" t="s">
        <v>3973</v>
      </c>
      <c r="I1233" s="25" t="s">
        <v>2754</v>
      </c>
    </row>
    <row r="1234" spans="4:9" x14ac:dyDescent="0.2">
      <c r="D1234" t="s">
        <v>1315</v>
      </c>
      <c r="G1234" s="3" t="str">
        <f t="shared" si="19"/>
        <v>6932</v>
      </c>
      <c r="H1234" s="3" t="s">
        <v>3974</v>
      </c>
      <c r="I1234" s="25" t="s">
        <v>2754</v>
      </c>
    </row>
    <row r="1235" spans="4:9" x14ac:dyDescent="0.2">
      <c r="D1235" t="s">
        <v>1316</v>
      </c>
      <c r="G1235" s="3" t="str">
        <f t="shared" si="19"/>
        <v>693E</v>
      </c>
      <c r="H1235" s="3" t="s">
        <v>3975</v>
      </c>
      <c r="I1235" s="25" t="s">
        <v>2754</v>
      </c>
    </row>
    <row r="1236" spans="4:9" x14ac:dyDescent="0.2">
      <c r="D1236" t="s">
        <v>1317</v>
      </c>
      <c r="G1236" s="3" t="str">
        <f t="shared" si="19"/>
        <v>6968</v>
      </c>
      <c r="H1236" s="3" t="s">
        <v>3976</v>
      </c>
      <c r="I1236" s="25" t="s">
        <v>2754</v>
      </c>
    </row>
    <row r="1237" spans="4:9" x14ac:dyDescent="0.2">
      <c r="D1237" t="s">
        <v>1318</v>
      </c>
      <c r="G1237" s="3" t="str">
        <f t="shared" si="19"/>
        <v>696C</v>
      </c>
      <c r="H1237" s="3" t="s">
        <v>3977</v>
      </c>
      <c r="I1237" s="25" t="s">
        <v>2754</v>
      </c>
    </row>
    <row r="1238" spans="4:9" x14ac:dyDescent="0.2">
      <c r="D1238" t="s">
        <v>1319</v>
      </c>
      <c r="G1238" s="3" t="str">
        <f t="shared" si="19"/>
        <v>6970</v>
      </c>
      <c r="H1238" s="3" t="s">
        <v>3978</v>
      </c>
      <c r="I1238" s="25" t="s">
        <v>2754</v>
      </c>
    </row>
    <row r="1239" spans="4:9" x14ac:dyDescent="0.2">
      <c r="D1239" t="s">
        <v>1320</v>
      </c>
      <c r="G1239" s="3" t="str">
        <f t="shared" si="19"/>
        <v>69B2</v>
      </c>
      <c r="H1239" s="3" t="s">
        <v>3979</v>
      </c>
      <c r="I1239" s="25" t="s">
        <v>2754</v>
      </c>
    </row>
    <row r="1240" spans="4:9" x14ac:dyDescent="0.2">
      <c r="D1240" t="s">
        <v>1321</v>
      </c>
      <c r="G1240" s="3" t="str">
        <f t="shared" si="19"/>
        <v>69B8</v>
      </c>
      <c r="H1240" s="3" t="s">
        <v>3980</v>
      </c>
      <c r="I1240" s="25" t="s">
        <v>2754</v>
      </c>
    </row>
    <row r="1241" spans="4:9" x14ac:dyDescent="0.2">
      <c r="D1241" t="s">
        <v>1322</v>
      </c>
      <c r="G1241" s="3" t="str">
        <f t="shared" si="19"/>
        <v>69DE</v>
      </c>
      <c r="H1241" s="3" t="s">
        <v>3981</v>
      </c>
      <c r="I1241" s="25" t="s">
        <v>2754</v>
      </c>
    </row>
    <row r="1242" spans="4:9" x14ac:dyDescent="0.2">
      <c r="D1242" t="s">
        <v>1323</v>
      </c>
      <c r="G1242" s="3" t="str">
        <f t="shared" si="19"/>
        <v>69E0</v>
      </c>
      <c r="H1242" s="3" t="s">
        <v>3982</v>
      </c>
      <c r="I1242" s="25" t="s">
        <v>2754</v>
      </c>
    </row>
    <row r="1243" spans="4:9" x14ac:dyDescent="0.2">
      <c r="D1243" t="s">
        <v>1324</v>
      </c>
      <c r="G1243" s="3" t="str">
        <f t="shared" si="19"/>
        <v>69E4</v>
      </c>
      <c r="H1243" s="3" t="s">
        <v>3983</v>
      </c>
      <c r="I1243" s="25" t="s">
        <v>2754</v>
      </c>
    </row>
    <row r="1244" spans="4:9" x14ac:dyDescent="0.2">
      <c r="D1244" t="s">
        <v>1325</v>
      </c>
      <c r="G1244" s="3" t="str">
        <f t="shared" si="19"/>
        <v>69EC</v>
      </c>
      <c r="H1244" s="3" t="s">
        <v>3984</v>
      </c>
      <c r="I1244" s="25" t="s">
        <v>2754</v>
      </c>
    </row>
    <row r="1245" spans="4:9" x14ac:dyDescent="0.2">
      <c r="D1245" t="s">
        <v>1326</v>
      </c>
      <c r="G1245" s="3" t="str">
        <f t="shared" si="19"/>
        <v>69F2</v>
      </c>
      <c r="H1245" s="3" t="s">
        <v>3985</v>
      </c>
      <c r="I1245" s="25" t="s">
        <v>2754</v>
      </c>
    </row>
    <row r="1246" spans="4:9" x14ac:dyDescent="0.2">
      <c r="D1246" t="s">
        <v>1327</v>
      </c>
      <c r="G1246" s="3" t="str">
        <f t="shared" si="19"/>
        <v>6A1B</v>
      </c>
      <c r="H1246" s="3" t="s">
        <v>3986</v>
      </c>
      <c r="I1246" s="25" t="s">
        <v>2754</v>
      </c>
    </row>
    <row r="1247" spans="4:9" x14ac:dyDescent="0.2">
      <c r="D1247" t="s">
        <v>1328</v>
      </c>
      <c r="G1247" s="3" t="str">
        <f t="shared" si="19"/>
        <v>6A24</v>
      </c>
      <c r="H1247" s="3" t="s">
        <v>3987</v>
      </c>
      <c r="I1247" s="25" t="s">
        <v>2754</v>
      </c>
    </row>
    <row r="1248" spans="4:9" x14ac:dyDescent="0.2">
      <c r="D1248" t="s">
        <v>1329</v>
      </c>
      <c r="G1248" s="3" t="str">
        <f t="shared" si="19"/>
        <v>6A28</v>
      </c>
      <c r="H1248" s="3" t="s">
        <v>3988</v>
      </c>
      <c r="I1248" s="25" t="s">
        <v>2754</v>
      </c>
    </row>
    <row r="1249" spans="4:9" x14ac:dyDescent="0.2">
      <c r="D1249" t="s">
        <v>1330</v>
      </c>
      <c r="G1249" s="3" t="str">
        <f t="shared" si="19"/>
        <v>6A40</v>
      </c>
      <c r="H1249" s="3" t="s">
        <v>3989</v>
      </c>
      <c r="I1249" s="25" t="s">
        <v>2754</v>
      </c>
    </row>
    <row r="1250" spans="4:9" x14ac:dyDescent="0.2">
      <c r="D1250" t="s">
        <v>1331</v>
      </c>
      <c r="G1250" s="3" t="str">
        <f t="shared" si="19"/>
        <v>6A54</v>
      </c>
      <c r="H1250" s="3" t="s">
        <v>3990</v>
      </c>
      <c r="I1250" s="25" t="s">
        <v>2754</v>
      </c>
    </row>
    <row r="1251" spans="4:9" x14ac:dyDescent="0.2">
      <c r="D1251" t="s">
        <v>1332</v>
      </c>
      <c r="G1251" s="3" t="str">
        <f t="shared" si="19"/>
        <v>6A5A</v>
      </c>
      <c r="H1251" s="3" t="s">
        <v>3991</v>
      </c>
      <c r="I1251" s="25" t="s">
        <v>2754</v>
      </c>
    </row>
    <row r="1252" spans="4:9" x14ac:dyDescent="0.2">
      <c r="D1252" t="s">
        <v>1333</v>
      </c>
      <c r="G1252" s="3" t="str">
        <f t="shared" si="19"/>
        <v>6A66</v>
      </c>
      <c r="H1252" s="3" t="s">
        <v>3992</v>
      </c>
      <c r="I1252" s="25" t="s">
        <v>2754</v>
      </c>
    </row>
    <row r="1253" spans="4:9" x14ac:dyDescent="0.2">
      <c r="D1253" t="s">
        <v>1334</v>
      </c>
      <c r="G1253" s="3" t="str">
        <f t="shared" si="19"/>
        <v>6A80</v>
      </c>
      <c r="H1253" s="3" t="s">
        <v>3993</v>
      </c>
      <c r="I1253" s="25" t="s">
        <v>2754</v>
      </c>
    </row>
    <row r="1254" spans="4:9" x14ac:dyDescent="0.2">
      <c r="D1254" t="s">
        <v>1335</v>
      </c>
      <c r="G1254" s="3" t="str">
        <f t="shared" si="19"/>
        <v>6A8A</v>
      </c>
      <c r="H1254" s="3" t="s">
        <v>3994</v>
      </c>
      <c r="I1254" s="25" t="s">
        <v>2754</v>
      </c>
    </row>
    <row r="1255" spans="4:9" x14ac:dyDescent="0.2">
      <c r="D1255" t="s">
        <v>1336</v>
      </c>
      <c r="G1255" s="3" t="str">
        <f t="shared" si="19"/>
        <v>6AC2</v>
      </c>
      <c r="H1255" s="3" t="s">
        <v>3995</v>
      </c>
      <c r="I1255" s="25" t="s">
        <v>2754</v>
      </c>
    </row>
    <row r="1256" spans="4:9" x14ac:dyDescent="0.2">
      <c r="D1256" t="s">
        <v>1337</v>
      </c>
      <c r="G1256" s="3" t="str">
        <f t="shared" si="19"/>
        <v>6ACE</v>
      </c>
      <c r="H1256" s="3" t="s">
        <v>3996</v>
      </c>
      <c r="I1256" s="25" t="s">
        <v>2754</v>
      </c>
    </row>
    <row r="1257" spans="4:9" x14ac:dyDescent="0.2">
      <c r="D1257" t="s">
        <v>1338</v>
      </c>
      <c r="G1257" s="3" t="str">
        <f t="shared" si="19"/>
        <v>6AF0</v>
      </c>
      <c r="H1257" s="3" t="s">
        <v>3997</v>
      </c>
      <c r="I1257" s="25" t="s">
        <v>2754</v>
      </c>
    </row>
    <row r="1258" spans="4:9" x14ac:dyDescent="0.2">
      <c r="D1258" t="s">
        <v>1339</v>
      </c>
      <c r="G1258" s="3" t="str">
        <f t="shared" si="19"/>
        <v>6AFE</v>
      </c>
      <c r="H1258" s="3" t="s">
        <v>3998</v>
      </c>
      <c r="I1258" s="25" t="s">
        <v>2754</v>
      </c>
    </row>
    <row r="1259" spans="4:9" x14ac:dyDescent="0.2">
      <c r="D1259" t="s">
        <v>1340</v>
      </c>
      <c r="G1259" s="3" t="str">
        <f t="shared" si="19"/>
        <v>6B08</v>
      </c>
      <c r="H1259" s="3" t="s">
        <v>3999</v>
      </c>
      <c r="I1259" s="25" t="s">
        <v>2754</v>
      </c>
    </row>
    <row r="1260" spans="4:9" x14ac:dyDescent="0.2">
      <c r="D1260" t="s">
        <v>1341</v>
      </c>
      <c r="G1260" s="3" t="str">
        <f t="shared" si="19"/>
        <v>6B1E</v>
      </c>
      <c r="H1260" s="3" t="s">
        <v>4000</v>
      </c>
      <c r="I1260" s="25" t="s">
        <v>2754</v>
      </c>
    </row>
    <row r="1261" spans="4:9" x14ac:dyDescent="0.2">
      <c r="D1261" t="s">
        <v>1342</v>
      </c>
      <c r="G1261" s="3" t="str">
        <f t="shared" si="19"/>
        <v>6B20</v>
      </c>
      <c r="H1261" s="3" t="s">
        <v>4001</v>
      </c>
      <c r="I1261" s="25" t="s">
        <v>2754</v>
      </c>
    </row>
    <row r="1262" spans="4:9" x14ac:dyDescent="0.2">
      <c r="D1262" t="s">
        <v>1343</v>
      </c>
      <c r="G1262" s="3" t="str">
        <f t="shared" si="19"/>
        <v>6B40</v>
      </c>
      <c r="H1262" s="3" t="s">
        <v>4002</v>
      </c>
      <c r="I1262" s="25" t="s">
        <v>2754</v>
      </c>
    </row>
    <row r="1263" spans="4:9" x14ac:dyDescent="0.2">
      <c r="D1263" t="s">
        <v>1344</v>
      </c>
      <c r="G1263" s="3" t="str">
        <f t="shared" si="19"/>
        <v>6B44</v>
      </c>
      <c r="H1263" s="3" t="s">
        <v>4003</v>
      </c>
      <c r="I1263" s="25" t="s">
        <v>2754</v>
      </c>
    </row>
    <row r="1264" spans="4:9" x14ac:dyDescent="0.2">
      <c r="D1264" t="s">
        <v>1345</v>
      </c>
      <c r="G1264" s="3" t="str">
        <f t="shared" si="19"/>
        <v>6B46</v>
      </c>
      <c r="H1264" s="3" t="s">
        <v>4004</v>
      </c>
      <c r="I1264" s="25" t="s">
        <v>2754</v>
      </c>
    </row>
    <row r="1265" spans="4:9" x14ac:dyDescent="0.2">
      <c r="D1265" t="s">
        <v>1346</v>
      </c>
      <c r="G1265" s="3" t="str">
        <f t="shared" si="19"/>
        <v>6B48</v>
      </c>
      <c r="H1265" s="3" t="s">
        <v>4005</v>
      </c>
      <c r="I1265" s="25" t="s">
        <v>2754</v>
      </c>
    </row>
    <row r="1266" spans="4:9" x14ac:dyDescent="0.2">
      <c r="D1266" t="s">
        <v>1347</v>
      </c>
      <c r="G1266" s="3" t="str">
        <f t="shared" si="19"/>
        <v>6B84</v>
      </c>
      <c r="H1266" s="3" t="s">
        <v>4006</v>
      </c>
      <c r="I1266" s="25" t="s">
        <v>2754</v>
      </c>
    </row>
    <row r="1267" spans="4:9" x14ac:dyDescent="0.2">
      <c r="D1267" t="s">
        <v>1348</v>
      </c>
      <c r="G1267" s="3" t="str">
        <f t="shared" si="19"/>
        <v>6B94</v>
      </c>
      <c r="H1267" s="3" t="s">
        <v>4007</v>
      </c>
      <c r="I1267" s="25" t="s">
        <v>2754</v>
      </c>
    </row>
    <row r="1268" spans="4:9" x14ac:dyDescent="0.2">
      <c r="D1268" t="s">
        <v>1349</v>
      </c>
      <c r="G1268" s="3" t="str">
        <f t="shared" si="19"/>
        <v>6BAA</v>
      </c>
      <c r="H1268" s="3" t="s">
        <v>4008</v>
      </c>
      <c r="I1268" s="25" t="s">
        <v>2754</v>
      </c>
    </row>
    <row r="1269" spans="4:9" x14ac:dyDescent="0.2">
      <c r="D1269" t="s">
        <v>1350</v>
      </c>
      <c r="G1269" s="3" t="str">
        <f t="shared" si="19"/>
        <v>6BD2</v>
      </c>
      <c r="H1269" s="3" t="s">
        <v>4009</v>
      </c>
      <c r="I1269" s="25" t="s">
        <v>2754</v>
      </c>
    </row>
    <row r="1270" spans="4:9" x14ac:dyDescent="0.2">
      <c r="D1270" t="s">
        <v>1351</v>
      </c>
      <c r="G1270" s="3" t="str">
        <f t="shared" si="19"/>
        <v>6BDE</v>
      </c>
      <c r="H1270" s="3" t="s">
        <v>4010</v>
      </c>
      <c r="I1270" s="25" t="s">
        <v>2754</v>
      </c>
    </row>
    <row r="1271" spans="4:9" x14ac:dyDescent="0.2">
      <c r="D1271" t="s">
        <v>1352</v>
      </c>
      <c r="G1271" s="3" t="str">
        <f t="shared" si="19"/>
        <v>6BF4</v>
      </c>
      <c r="H1271" s="3" t="s">
        <v>4011</v>
      </c>
      <c r="I1271" s="25" t="s">
        <v>2754</v>
      </c>
    </row>
    <row r="1272" spans="4:9" x14ac:dyDescent="0.2">
      <c r="D1272" t="s">
        <v>1353</v>
      </c>
      <c r="G1272" s="3" t="str">
        <f t="shared" si="19"/>
        <v>6BFE</v>
      </c>
      <c r="H1272" s="3" t="s">
        <v>4012</v>
      </c>
      <c r="I1272" s="25" t="s">
        <v>2754</v>
      </c>
    </row>
    <row r="1273" spans="4:9" x14ac:dyDescent="0.2">
      <c r="D1273" t="s">
        <v>1354</v>
      </c>
      <c r="G1273" s="3" t="str">
        <f t="shared" si="19"/>
        <v>6C14</v>
      </c>
      <c r="H1273" s="3" t="s">
        <v>4013</v>
      </c>
      <c r="I1273" s="25" t="s">
        <v>2754</v>
      </c>
    </row>
    <row r="1274" spans="4:9" x14ac:dyDescent="0.2">
      <c r="D1274" t="s">
        <v>1355</v>
      </c>
      <c r="G1274" s="3" t="str">
        <f t="shared" si="19"/>
        <v>6C24</v>
      </c>
      <c r="H1274" s="3" t="s">
        <v>4014</v>
      </c>
      <c r="I1274" s="25" t="s">
        <v>2754</v>
      </c>
    </row>
    <row r="1275" spans="4:9" x14ac:dyDescent="0.2">
      <c r="D1275" t="s">
        <v>1356</v>
      </c>
      <c r="G1275" s="3" t="str">
        <f t="shared" si="19"/>
        <v>6C3A</v>
      </c>
      <c r="H1275" s="3" t="s">
        <v>4015</v>
      </c>
      <c r="I1275" s="25" t="s">
        <v>2754</v>
      </c>
    </row>
    <row r="1276" spans="4:9" x14ac:dyDescent="0.2">
      <c r="D1276" t="s">
        <v>1357</v>
      </c>
      <c r="G1276" s="3" t="str">
        <f t="shared" si="19"/>
        <v>6C3C</v>
      </c>
      <c r="H1276" s="3" t="s">
        <v>4016</v>
      </c>
      <c r="I1276" s="25" t="s">
        <v>2754</v>
      </c>
    </row>
    <row r="1277" spans="4:9" x14ac:dyDescent="0.2">
      <c r="D1277" t="s">
        <v>1358</v>
      </c>
      <c r="G1277" s="3" t="str">
        <f t="shared" si="19"/>
        <v>6C44</v>
      </c>
      <c r="H1277" s="3" t="s">
        <v>4017</v>
      </c>
      <c r="I1277" s="25" t="s">
        <v>2754</v>
      </c>
    </row>
    <row r="1278" spans="4:9" x14ac:dyDescent="0.2">
      <c r="D1278" t="s">
        <v>1359</v>
      </c>
      <c r="G1278" s="3" t="str">
        <f t="shared" si="19"/>
        <v>6C56</v>
      </c>
      <c r="H1278" s="3" t="s">
        <v>4018</v>
      </c>
      <c r="I1278" s="25" t="s">
        <v>2754</v>
      </c>
    </row>
    <row r="1279" spans="4:9" x14ac:dyDescent="0.2">
      <c r="D1279" t="s">
        <v>1360</v>
      </c>
      <c r="G1279" s="3" t="str">
        <f t="shared" si="19"/>
        <v>6C66</v>
      </c>
      <c r="H1279" s="3" t="s">
        <v>4019</v>
      </c>
      <c r="I1279" s="25" t="s">
        <v>2754</v>
      </c>
    </row>
    <row r="1280" spans="4:9" x14ac:dyDescent="0.2">
      <c r="D1280" t="s">
        <v>1361</v>
      </c>
      <c r="G1280" s="3" t="str">
        <f t="shared" si="19"/>
        <v>6C8E</v>
      </c>
      <c r="H1280" s="3" t="s">
        <v>4020</v>
      </c>
      <c r="I1280" s="25" t="s">
        <v>2754</v>
      </c>
    </row>
    <row r="1281" spans="4:9" x14ac:dyDescent="0.2">
      <c r="D1281" t="s">
        <v>1362</v>
      </c>
      <c r="G1281" s="3" t="str">
        <f t="shared" si="19"/>
        <v>6CA4</v>
      </c>
      <c r="H1281" s="3" t="s">
        <v>4021</v>
      </c>
      <c r="I1281" s="25" t="s">
        <v>2754</v>
      </c>
    </row>
    <row r="1282" spans="4:9" x14ac:dyDescent="0.2">
      <c r="D1282" t="s">
        <v>1363</v>
      </c>
      <c r="G1282" s="3" t="str">
        <f t="shared" si="19"/>
        <v>6CA6</v>
      </c>
      <c r="H1282" s="3" t="s">
        <v>4022</v>
      </c>
      <c r="I1282" s="25" t="s">
        <v>2754</v>
      </c>
    </row>
    <row r="1283" spans="4:9" x14ac:dyDescent="0.2">
      <c r="D1283" t="s">
        <v>1364</v>
      </c>
      <c r="G1283" s="3" t="str">
        <f t="shared" si="19"/>
        <v>6CE6</v>
      </c>
      <c r="H1283" s="3" t="s">
        <v>4023</v>
      </c>
      <c r="I1283" s="25" t="s">
        <v>2754</v>
      </c>
    </row>
    <row r="1284" spans="4:9" x14ac:dyDescent="0.2">
      <c r="D1284" t="s">
        <v>1365</v>
      </c>
      <c r="G1284" s="3" t="str">
        <f t="shared" si="19"/>
        <v>6D1C</v>
      </c>
      <c r="H1284" s="3" t="s">
        <v>4024</v>
      </c>
      <c r="I1284" s="25" t="s">
        <v>2754</v>
      </c>
    </row>
    <row r="1285" spans="4:9" x14ac:dyDescent="0.2">
      <c r="D1285" t="s">
        <v>1366</v>
      </c>
      <c r="G1285" s="3" t="str">
        <f t="shared" si="19"/>
        <v>6D22</v>
      </c>
      <c r="H1285" s="3" t="s">
        <v>4025</v>
      </c>
      <c r="I1285" s="25" t="s">
        <v>2754</v>
      </c>
    </row>
    <row r="1286" spans="4:9" x14ac:dyDescent="0.2">
      <c r="D1286" t="s">
        <v>1367</v>
      </c>
      <c r="G1286" s="3" t="str">
        <f t="shared" si="19"/>
        <v>6D24</v>
      </c>
      <c r="H1286" s="3" t="s">
        <v>4026</v>
      </c>
      <c r="I1286" s="25" t="s">
        <v>2754</v>
      </c>
    </row>
    <row r="1287" spans="4:9" x14ac:dyDescent="0.2">
      <c r="D1287" t="s">
        <v>1368</v>
      </c>
      <c r="G1287" s="3" t="str">
        <f t="shared" si="19"/>
        <v>6D4A</v>
      </c>
      <c r="H1287" s="3" t="s">
        <v>4027</v>
      </c>
      <c r="I1287" s="25" t="s">
        <v>2754</v>
      </c>
    </row>
    <row r="1288" spans="4:9" x14ac:dyDescent="0.2">
      <c r="D1288" t="s">
        <v>1369</v>
      </c>
      <c r="G1288" s="3" t="str">
        <f t="shared" si="19"/>
        <v>6D56</v>
      </c>
      <c r="H1288" s="3" t="s">
        <v>4028</v>
      </c>
      <c r="I1288" s="25" t="s">
        <v>2754</v>
      </c>
    </row>
    <row r="1289" spans="4:9" x14ac:dyDescent="0.2">
      <c r="D1289" t="s">
        <v>1370</v>
      </c>
      <c r="G1289" s="3" t="str">
        <f t="shared" si="19"/>
        <v>6D70</v>
      </c>
      <c r="H1289" s="3" t="s">
        <v>4029</v>
      </c>
      <c r="I1289" s="25" t="s">
        <v>2754</v>
      </c>
    </row>
    <row r="1290" spans="4:9" x14ac:dyDescent="0.2">
      <c r="D1290" t="s">
        <v>1371</v>
      </c>
      <c r="G1290" s="3" t="str">
        <f t="shared" ref="G1290:G1353" si="20">IF(H1290&lt;&gt;"",DEC2HEX(HEX2DEC(H1290)-932),"")</f>
        <v>6D76</v>
      </c>
      <c r="H1290" s="3" t="s">
        <v>4030</v>
      </c>
      <c r="I1290" s="25" t="s">
        <v>8321</v>
      </c>
    </row>
    <row r="1291" spans="4:9" x14ac:dyDescent="0.2">
      <c r="D1291" t="s">
        <v>1372</v>
      </c>
      <c r="G1291" s="3" t="str">
        <f t="shared" si="20"/>
        <v>6D8E</v>
      </c>
      <c r="H1291" s="3" t="s">
        <v>4031</v>
      </c>
      <c r="I1291" s="25" t="s">
        <v>2754</v>
      </c>
    </row>
    <row r="1292" spans="4:9" x14ac:dyDescent="0.2">
      <c r="D1292" t="s">
        <v>1373</v>
      </c>
      <c r="G1292" s="3" t="str">
        <f t="shared" si="20"/>
        <v>6D98</v>
      </c>
      <c r="H1292" s="3" t="s">
        <v>4032</v>
      </c>
      <c r="I1292" s="25" t="s">
        <v>2754</v>
      </c>
    </row>
    <row r="1293" spans="4:9" x14ac:dyDescent="0.2">
      <c r="D1293" t="s">
        <v>1374</v>
      </c>
      <c r="G1293" s="3" t="str">
        <f t="shared" si="20"/>
        <v>6D9C</v>
      </c>
      <c r="H1293" s="3" t="s">
        <v>4033</v>
      </c>
      <c r="I1293" s="25" t="s">
        <v>2754</v>
      </c>
    </row>
    <row r="1294" spans="4:9" x14ac:dyDescent="0.2">
      <c r="D1294" t="s">
        <v>1375</v>
      </c>
      <c r="G1294" s="3" t="str">
        <f t="shared" si="20"/>
        <v>6DBE</v>
      </c>
      <c r="H1294" s="3" t="s">
        <v>4034</v>
      </c>
      <c r="I1294" s="25" t="s">
        <v>2754</v>
      </c>
    </row>
    <row r="1295" spans="4:9" x14ac:dyDescent="0.2">
      <c r="D1295" t="s">
        <v>1376</v>
      </c>
      <c r="G1295" s="3" t="str">
        <f t="shared" si="20"/>
        <v>6E16</v>
      </c>
      <c r="H1295" s="3" t="s">
        <v>4035</v>
      </c>
      <c r="I1295" s="25" t="s">
        <v>2754</v>
      </c>
    </row>
    <row r="1296" spans="4:9" x14ac:dyDescent="0.2">
      <c r="D1296" t="s">
        <v>1377</v>
      </c>
      <c r="G1296" s="3" t="str">
        <f t="shared" si="20"/>
        <v>6E1C</v>
      </c>
      <c r="H1296" s="3" t="s">
        <v>4036</v>
      </c>
      <c r="I1296" s="25" t="s">
        <v>2754</v>
      </c>
    </row>
    <row r="1297" spans="4:9" x14ac:dyDescent="0.2">
      <c r="D1297" t="s">
        <v>1378</v>
      </c>
      <c r="G1297" s="3" t="str">
        <f t="shared" si="20"/>
        <v>6E1E</v>
      </c>
      <c r="H1297" s="3" t="s">
        <v>4037</v>
      </c>
      <c r="I1297" s="25" t="s">
        <v>2754</v>
      </c>
    </row>
    <row r="1298" spans="4:9" x14ac:dyDescent="0.2">
      <c r="D1298" t="s">
        <v>1379</v>
      </c>
      <c r="G1298" s="3" t="str">
        <f t="shared" si="20"/>
        <v>6E2E</v>
      </c>
      <c r="H1298" s="3" t="s">
        <v>4038</v>
      </c>
      <c r="I1298" s="25" t="s">
        <v>2754</v>
      </c>
    </row>
    <row r="1299" spans="4:9" x14ac:dyDescent="0.2">
      <c r="D1299" t="s">
        <v>1380</v>
      </c>
      <c r="G1299" s="3" t="str">
        <f t="shared" si="20"/>
        <v>6E48</v>
      </c>
      <c r="H1299" s="3" t="s">
        <v>4039</v>
      </c>
      <c r="I1299" s="25" t="s">
        <v>2754</v>
      </c>
    </row>
    <row r="1300" spans="4:9" x14ac:dyDescent="0.2">
      <c r="D1300" t="s">
        <v>1381</v>
      </c>
      <c r="G1300" s="3" t="str">
        <f t="shared" si="20"/>
        <v>6E60</v>
      </c>
      <c r="H1300" s="3" t="s">
        <v>4040</v>
      </c>
      <c r="I1300" s="25" t="s">
        <v>2754</v>
      </c>
    </row>
    <row r="1301" spans="4:9" x14ac:dyDescent="0.2">
      <c r="D1301" t="s">
        <v>1382</v>
      </c>
      <c r="G1301" s="3" t="str">
        <f t="shared" si="20"/>
        <v>6E6A</v>
      </c>
      <c r="H1301" s="3" t="s">
        <v>4041</v>
      </c>
      <c r="I1301" s="25" t="s">
        <v>2754</v>
      </c>
    </row>
    <row r="1302" spans="4:9" x14ac:dyDescent="0.2">
      <c r="D1302" t="s">
        <v>1383</v>
      </c>
      <c r="G1302" s="3" t="str">
        <f t="shared" si="20"/>
        <v>6E7E</v>
      </c>
      <c r="H1302" s="3" t="s">
        <v>4042</v>
      </c>
      <c r="I1302" s="25" t="s">
        <v>8324</v>
      </c>
    </row>
    <row r="1303" spans="4:9" x14ac:dyDescent="0.2">
      <c r="D1303" t="s">
        <v>1384</v>
      </c>
      <c r="G1303" s="3" t="str">
        <f t="shared" si="20"/>
        <v>6E92</v>
      </c>
      <c r="H1303" s="3" t="s">
        <v>4043</v>
      </c>
      <c r="I1303" s="25" t="s">
        <v>2754</v>
      </c>
    </row>
    <row r="1304" spans="4:9" x14ac:dyDescent="0.2">
      <c r="D1304" t="s">
        <v>1385</v>
      </c>
      <c r="G1304" s="3" t="str">
        <f t="shared" si="20"/>
        <v>6E9A</v>
      </c>
      <c r="H1304" s="3" t="s">
        <v>4044</v>
      </c>
      <c r="I1304" s="25" t="s">
        <v>2754</v>
      </c>
    </row>
    <row r="1305" spans="4:9" x14ac:dyDescent="0.2">
      <c r="D1305" t="s">
        <v>1386</v>
      </c>
      <c r="G1305" s="3" t="str">
        <f t="shared" si="20"/>
        <v>6EB6</v>
      </c>
      <c r="H1305" s="3" t="s">
        <v>4045</v>
      </c>
      <c r="I1305" s="25" t="s">
        <v>2754</v>
      </c>
    </row>
    <row r="1306" spans="4:9" x14ac:dyDescent="0.2">
      <c r="D1306" t="s">
        <v>1387</v>
      </c>
      <c r="G1306" s="3" t="str">
        <f t="shared" si="20"/>
        <v>6ED6</v>
      </c>
      <c r="H1306" s="3" t="s">
        <v>4046</v>
      </c>
      <c r="I1306" s="25" t="s">
        <v>2754</v>
      </c>
    </row>
    <row r="1307" spans="4:9" x14ac:dyDescent="0.2">
      <c r="D1307" t="s">
        <v>1388</v>
      </c>
      <c r="G1307" s="3" t="str">
        <f t="shared" si="20"/>
        <v>6EE4</v>
      </c>
      <c r="H1307" s="3" t="s">
        <v>4047</v>
      </c>
      <c r="I1307" s="25" t="s">
        <v>8320</v>
      </c>
    </row>
    <row r="1308" spans="4:9" x14ac:dyDescent="0.2">
      <c r="D1308" t="s">
        <v>1389</v>
      </c>
      <c r="G1308" s="3" t="str">
        <f t="shared" si="20"/>
        <v>6F2C</v>
      </c>
      <c r="H1308" s="3" t="s">
        <v>4048</v>
      </c>
      <c r="I1308" s="25" t="s">
        <v>2754</v>
      </c>
    </row>
    <row r="1309" spans="4:9" x14ac:dyDescent="0.2">
      <c r="D1309" t="s">
        <v>1390</v>
      </c>
      <c r="G1309" s="3" t="str">
        <f t="shared" si="20"/>
        <v>6F30</v>
      </c>
      <c r="H1309" s="3" t="s">
        <v>4049</v>
      </c>
      <c r="I1309" s="25" t="s">
        <v>2754</v>
      </c>
    </row>
    <row r="1310" spans="4:9" x14ac:dyDescent="0.2">
      <c r="D1310" t="s">
        <v>1391</v>
      </c>
      <c r="G1310" s="3" t="str">
        <f t="shared" si="20"/>
        <v>6F3E</v>
      </c>
      <c r="H1310" s="3" t="s">
        <v>4050</v>
      </c>
      <c r="I1310" s="25" t="s">
        <v>2754</v>
      </c>
    </row>
    <row r="1311" spans="4:9" x14ac:dyDescent="0.2">
      <c r="D1311" t="s">
        <v>1392</v>
      </c>
      <c r="G1311" s="3" t="str">
        <f t="shared" si="20"/>
        <v>6F40</v>
      </c>
      <c r="H1311" s="3" t="s">
        <v>4051</v>
      </c>
      <c r="I1311" s="25" t="s">
        <v>2754</v>
      </c>
    </row>
    <row r="1312" spans="4:9" x14ac:dyDescent="0.2">
      <c r="D1312" t="s">
        <v>1393</v>
      </c>
      <c r="G1312" s="3" t="str">
        <f t="shared" si="20"/>
        <v>6F52</v>
      </c>
      <c r="H1312" s="3" t="s">
        <v>4052</v>
      </c>
      <c r="I1312" s="25" t="s">
        <v>2754</v>
      </c>
    </row>
    <row r="1313" spans="4:9" x14ac:dyDescent="0.2">
      <c r="D1313" t="s">
        <v>1394</v>
      </c>
      <c r="G1313" s="3" t="str">
        <f t="shared" si="20"/>
        <v>6F54</v>
      </c>
      <c r="H1313" s="3" t="s">
        <v>4053</v>
      </c>
      <c r="I1313" s="25" t="s">
        <v>2754</v>
      </c>
    </row>
    <row r="1314" spans="4:9" x14ac:dyDescent="0.2">
      <c r="D1314" t="s">
        <v>1395</v>
      </c>
      <c r="G1314" s="3" t="str">
        <f t="shared" si="20"/>
        <v>6F68</v>
      </c>
      <c r="H1314" s="3" t="s">
        <v>4054</v>
      </c>
      <c r="I1314" s="25" t="s">
        <v>2754</v>
      </c>
    </row>
    <row r="1315" spans="4:9" x14ac:dyDescent="0.2">
      <c r="D1315" t="s">
        <v>1396</v>
      </c>
      <c r="G1315" s="3" t="str">
        <f t="shared" si="20"/>
        <v>6F7A</v>
      </c>
      <c r="H1315" s="3" t="s">
        <v>4055</v>
      </c>
      <c r="I1315" s="25" t="s">
        <v>2754</v>
      </c>
    </row>
    <row r="1316" spans="4:9" x14ac:dyDescent="0.2">
      <c r="D1316" t="s">
        <v>1397</v>
      </c>
      <c r="G1316" s="3" t="str">
        <f t="shared" si="20"/>
        <v>6F88</v>
      </c>
      <c r="H1316" s="3" t="s">
        <v>4056</v>
      </c>
      <c r="I1316" s="25" t="s">
        <v>2754</v>
      </c>
    </row>
    <row r="1317" spans="4:9" x14ac:dyDescent="0.2">
      <c r="D1317" t="s">
        <v>1398</v>
      </c>
      <c r="G1317" s="3" t="str">
        <f t="shared" si="20"/>
        <v>6F8E</v>
      </c>
      <c r="H1317" s="3" t="s">
        <v>4057</v>
      </c>
      <c r="I1317" s="25" t="s">
        <v>2754</v>
      </c>
    </row>
    <row r="1318" spans="4:9" x14ac:dyDescent="0.2">
      <c r="D1318" t="s">
        <v>1399</v>
      </c>
      <c r="G1318" s="3" t="str">
        <f t="shared" si="20"/>
        <v>6F9C</v>
      </c>
      <c r="H1318" s="3" t="s">
        <v>4058</v>
      </c>
      <c r="I1318" s="25" t="s">
        <v>2754</v>
      </c>
    </row>
    <row r="1319" spans="4:9" x14ac:dyDescent="0.2">
      <c r="D1319" t="s">
        <v>1400</v>
      </c>
      <c r="G1319" s="3" t="str">
        <f t="shared" si="20"/>
        <v>6FAA</v>
      </c>
      <c r="H1319" s="3" t="s">
        <v>4059</v>
      </c>
      <c r="I1319" s="25" t="s">
        <v>2754</v>
      </c>
    </row>
    <row r="1320" spans="4:9" x14ac:dyDescent="0.2">
      <c r="D1320" t="s">
        <v>1401</v>
      </c>
      <c r="G1320" s="3" t="str">
        <f t="shared" si="20"/>
        <v>6FC4</v>
      </c>
      <c r="H1320" s="3" t="s">
        <v>4060</v>
      </c>
      <c r="I1320" s="25" t="s">
        <v>2754</v>
      </c>
    </row>
    <row r="1321" spans="4:9" x14ac:dyDescent="0.2">
      <c r="D1321" t="s">
        <v>1402</v>
      </c>
      <c r="G1321" s="3" t="str">
        <f t="shared" si="20"/>
        <v>6FE6</v>
      </c>
      <c r="H1321" s="3" t="s">
        <v>4061</v>
      </c>
      <c r="I1321" s="25" t="s">
        <v>2754</v>
      </c>
    </row>
    <row r="1322" spans="4:9" x14ac:dyDescent="0.2">
      <c r="D1322" t="s">
        <v>1403</v>
      </c>
      <c r="G1322" s="3" t="str">
        <f t="shared" si="20"/>
        <v>6FEE</v>
      </c>
      <c r="H1322" s="3" t="s">
        <v>4062</v>
      </c>
      <c r="I1322" s="25" t="s">
        <v>2754</v>
      </c>
    </row>
    <row r="1323" spans="4:9" x14ac:dyDescent="0.2">
      <c r="D1323" t="s">
        <v>1404</v>
      </c>
      <c r="G1323" s="3" t="str">
        <f t="shared" si="20"/>
        <v>700A</v>
      </c>
      <c r="H1323" s="3" t="s">
        <v>4063</v>
      </c>
      <c r="I1323" s="25" t="s">
        <v>2754</v>
      </c>
    </row>
    <row r="1324" spans="4:9" x14ac:dyDescent="0.2">
      <c r="D1324" t="s">
        <v>1405</v>
      </c>
      <c r="G1324" s="3" t="str">
        <f t="shared" si="20"/>
        <v>7018</v>
      </c>
      <c r="H1324" s="3" t="s">
        <v>4064</v>
      </c>
      <c r="I1324" s="25" t="s">
        <v>2754</v>
      </c>
    </row>
    <row r="1325" spans="4:9" x14ac:dyDescent="0.2">
      <c r="D1325" t="s">
        <v>1406</v>
      </c>
      <c r="G1325" s="3" t="str">
        <f t="shared" si="20"/>
        <v>702E</v>
      </c>
      <c r="H1325" s="3" t="s">
        <v>4065</v>
      </c>
      <c r="I1325" s="25" t="s">
        <v>2754</v>
      </c>
    </row>
    <row r="1326" spans="4:9" x14ac:dyDescent="0.2">
      <c r="D1326" t="s">
        <v>1407</v>
      </c>
      <c r="G1326" s="3" t="str">
        <f t="shared" si="20"/>
        <v>7058</v>
      </c>
      <c r="H1326" s="3" t="s">
        <v>4066</v>
      </c>
      <c r="I1326" s="25" t="s">
        <v>2754</v>
      </c>
    </row>
    <row r="1327" spans="4:9" x14ac:dyDescent="0.2">
      <c r="D1327" t="s">
        <v>1408</v>
      </c>
      <c r="G1327" s="3" t="str">
        <f t="shared" si="20"/>
        <v>705A</v>
      </c>
      <c r="H1327" s="3" t="s">
        <v>4067</v>
      </c>
      <c r="I1327" s="25" t="s">
        <v>2754</v>
      </c>
    </row>
    <row r="1328" spans="4:9" x14ac:dyDescent="0.2">
      <c r="D1328" t="s">
        <v>1409</v>
      </c>
      <c r="G1328" s="3" t="str">
        <f t="shared" si="20"/>
        <v>7072</v>
      </c>
      <c r="H1328" s="3" t="s">
        <v>4068</v>
      </c>
      <c r="I1328" s="25" t="s">
        <v>2754</v>
      </c>
    </row>
    <row r="1329" spans="4:9" x14ac:dyDescent="0.2">
      <c r="D1329" t="s">
        <v>1410</v>
      </c>
      <c r="G1329" s="3" t="str">
        <f t="shared" si="20"/>
        <v>70A8</v>
      </c>
      <c r="H1329" s="3" t="s">
        <v>4069</v>
      </c>
      <c r="I1329" s="25" t="s">
        <v>2754</v>
      </c>
    </row>
    <row r="1330" spans="4:9" x14ac:dyDescent="0.2">
      <c r="D1330" t="s">
        <v>1411</v>
      </c>
      <c r="G1330" s="3" t="str">
        <f t="shared" si="20"/>
        <v>70D2</v>
      </c>
      <c r="H1330" s="3" t="s">
        <v>4070</v>
      </c>
      <c r="I1330" s="25" t="s">
        <v>2754</v>
      </c>
    </row>
    <row r="1331" spans="4:9" x14ac:dyDescent="0.2">
      <c r="D1331" t="s">
        <v>1412</v>
      </c>
      <c r="G1331" s="3" t="str">
        <f t="shared" si="20"/>
        <v>70D4</v>
      </c>
      <c r="H1331" s="3" t="s">
        <v>4071</v>
      </c>
      <c r="I1331" s="25" t="s">
        <v>2754</v>
      </c>
    </row>
    <row r="1332" spans="4:9" x14ac:dyDescent="0.2">
      <c r="D1332" t="s">
        <v>1413</v>
      </c>
      <c r="G1332" s="3" t="str">
        <f t="shared" si="20"/>
        <v>70DC</v>
      </c>
      <c r="H1332" s="3" t="s">
        <v>4072</v>
      </c>
      <c r="I1332" s="25" t="s">
        <v>2754</v>
      </c>
    </row>
    <row r="1333" spans="4:9" x14ac:dyDescent="0.2">
      <c r="D1333" t="s">
        <v>1414</v>
      </c>
      <c r="G1333" s="3" t="str">
        <f t="shared" si="20"/>
        <v>70E2</v>
      </c>
      <c r="H1333" s="3" t="s">
        <v>4073</v>
      </c>
      <c r="I1333" s="25" t="s">
        <v>2754</v>
      </c>
    </row>
    <row r="1334" spans="4:9" x14ac:dyDescent="0.2">
      <c r="D1334" t="s">
        <v>1415</v>
      </c>
      <c r="G1334" s="3" t="str">
        <f t="shared" si="20"/>
        <v>70E6</v>
      </c>
      <c r="H1334" s="3" t="s">
        <v>4074</v>
      </c>
      <c r="I1334" s="25" t="s">
        <v>2754</v>
      </c>
    </row>
    <row r="1335" spans="4:9" x14ac:dyDescent="0.2">
      <c r="D1335" t="s">
        <v>1416</v>
      </c>
      <c r="G1335" s="3" t="str">
        <f t="shared" si="20"/>
        <v>711C</v>
      </c>
      <c r="H1335" s="3" t="s">
        <v>4075</v>
      </c>
      <c r="I1335" s="25" t="s">
        <v>2754</v>
      </c>
    </row>
    <row r="1336" spans="4:9" x14ac:dyDescent="0.2">
      <c r="D1336" t="s">
        <v>1417</v>
      </c>
      <c r="G1336" s="3" t="str">
        <f t="shared" si="20"/>
        <v>7132</v>
      </c>
      <c r="H1336" s="3" t="s">
        <v>4076</v>
      </c>
      <c r="I1336" s="25" t="s">
        <v>2754</v>
      </c>
    </row>
    <row r="1337" spans="4:9" x14ac:dyDescent="0.2">
      <c r="D1337" t="s">
        <v>1418</v>
      </c>
      <c r="G1337" s="3" t="str">
        <f t="shared" si="20"/>
        <v>7134</v>
      </c>
      <c r="H1337" s="3" t="s">
        <v>4077</v>
      </c>
      <c r="I1337" s="25" t="s">
        <v>2754</v>
      </c>
    </row>
    <row r="1338" spans="4:9" x14ac:dyDescent="0.2">
      <c r="D1338" t="s">
        <v>1419</v>
      </c>
      <c r="G1338" s="3" t="str">
        <f t="shared" si="20"/>
        <v>7150</v>
      </c>
      <c r="H1338" s="3" t="s">
        <v>4078</v>
      </c>
      <c r="I1338" s="25" t="s">
        <v>2754</v>
      </c>
    </row>
    <row r="1339" spans="4:9" x14ac:dyDescent="0.2">
      <c r="D1339" t="s">
        <v>1420</v>
      </c>
      <c r="G1339" s="3" t="str">
        <f t="shared" si="20"/>
        <v>7158</v>
      </c>
      <c r="H1339" s="3" t="s">
        <v>4079</v>
      </c>
      <c r="I1339" s="25" t="s">
        <v>2754</v>
      </c>
    </row>
    <row r="1340" spans="4:9" x14ac:dyDescent="0.2">
      <c r="D1340" t="s">
        <v>1421</v>
      </c>
      <c r="G1340" s="3" t="str">
        <f t="shared" si="20"/>
        <v>7180</v>
      </c>
      <c r="H1340" s="3" t="s">
        <v>4080</v>
      </c>
      <c r="I1340" s="25" t="s">
        <v>2754</v>
      </c>
    </row>
    <row r="1341" spans="4:9" x14ac:dyDescent="0.2">
      <c r="D1341" t="s">
        <v>1422</v>
      </c>
      <c r="G1341" s="3" t="str">
        <f t="shared" si="20"/>
        <v>71A8</v>
      </c>
      <c r="H1341" s="3" t="s">
        <v>4081</v>
      </c>
      <c r="I1341" s="25" t="s">
        <v>2754</v>
      </c>
    </row>
    <row r="1342" spans="4:9" x14ac:dyDescent="0.2">
      <c r="D1342" t="s">
        <v>1423</v>
      </c>
      <c r="G1342" s="3" t="str">
        <f t="shared" si="20"/>
        <v>71B6</v>
      </c>
      <c r="H1342" s="3" t="s">
        <v>4082</v>
      </c>
      <c r="I1342" s="25" t="s">
        <v>2754</v>
      </c>
    </row>
    <row r="1343" spans="4:9" x14ac:dyDescent="0.2">
      <c r="D1343" t="s">
        <v>1424</v>
      </c>
      <c r="G1343" s="3" t="str">
        <f t="shared" si="20"/>
        <v>71D8</v>
      </c>
      <c r="H1343" s="3" t="s">
        <v>4083</v>
      </c>
      <c r="I1343" s="25" t="s">
        <v>2754</v>
      </c>
    </row>
    <row r="1344" spans="4:9" x14ac:dyDescent="0.2">
      <c r="D1344" t="s">
        <v>1425</v>
      </c>
      <c r="G1344" s="3" t="str">
        <f t="shared" si="20"/>
        <v>71F0</v>
      </c>
      <c r="H1344" s="3" t="s">
        <v>4084</v>
      </c>
      <c r="I1344" s="25" t="s">
        <v>2754</v>
      </c>
    </row>
    <row r="1345" spans="4:9" x14ac:dyDescent="0.2">
      <c r="D1345" t="s">
        <v>1426</v>
      </c>
      <c r="G1345" s="3" t="str">
        <f t="shared" si="20"/>
        <v>71F4</v>
      </c>
      <c r="H1345" s="3" t="s">
        <v>4085</v>
      </c>
      <c r="I1345" s="25" t="s">
        <v>2754</v>
      </c>
    </row>
    <row r="1346" spans="4:9" x14ac:dyDescent="0.2">
      <c r="D1346" t="s">
        <v>1427</v>
      </c>
      <c r="G1346" s="3" t="str">
        <f t="shared" si="20"/>
        <v>7200</v>
      </c>
      <c r="H1346" s="3" t="s">
        <v>4086</v>
      </c>
      <c r="I1346" s="25" t="s">
        <v>2754</v>
      </c>
    </row>
    <row r="1347" spans="4:9" x14ac:dyDescent="0.2">
      <c r="D1347" t="s">
        <v>1428</v>
      </c>
      <c r="G1347" s="3" t="str">
        <f t="shared" si="20"/>
        <v>7218</v>
      </c>
      <c r="H1347" s="3" t="s">
        <v>4087</v>
      </c>
      <c r="I1347" s="25" t="s">
        <v>2754</v>
      </c>
    </row>
    <row r="1348" spans="4:9" x14ac:dyDescent="0.2">
      <c r="D1348" t="s">
        <v>1429</v>
      </c>
      <c r="G1348" s="3" t="str">
        <f t="shared" si="20"/>
        <v>7230</v>
      </c>
      <c r="H1348" s="3" t="s">
        <v>4088</v>
      </c>
      <c r="I1348" s="25" t="s">
        <v>2754</v>
      </c>
    </row>
    <row r="1349" spans="4:9" x14ac:dyDescent="0.2">
      <c r="D1349" t="s">
        <v>1430</v>
      </c>
      <c r="G1349" s="3" t="str">
        <f t="shared" si="20"/>
        <v>7238</v>
      </c>
      <c r="H1349" s="3" t="s">
        <v>4089</v>
      </c>
      <c r="I1349" s="25" t="s">
        <v>2754</v>
      </c>
    </row>
    <row r="1350" spans="4:9" x14ac:dyDescent="0.2">
      <c r="D1350" t="s">
        <v>1431</v>
      </c>
      <c r="G1350" s="3" t="str">
        <f t="shared" si="20"/>
        <v>7242</v>
      </c>
      <c r="H1350" s="3" t="s">
        <v>4090</v>
      </c>
      <c r="I1350" s="25" t="s">
        <v>2754</v>
      </c>
    </row>
    <row r="1351" spans="4:9" x14ac:dyDescent="0.2">
      <c r="D1351" t="s">
        <v>1432</v>
      </c>
      <c r="G1351" s="3" t="str">
        <f t="shared" si="20"/>
        <v>724A</v>
      </c>
      <c r="H1351" s="3" t="s">
        <v>4091</v>
      </c>
      <c r="I1351" s="25" t="s">
        <v>2754</v>
      </c>
    </row>
    <row r="1352" spans="4:9" x14ac:dyDescent="0.2">
      <c r="D1352" t="s">
        <v>1433</v>
      </c>
      <c r="G1352" s="3" t="str">
        <f t="shared" si="20"/>
        <v>724C</v>
      </c>
      <c r="H1352" s="3" t="s">
        <v>4092</v>
      </c>
      <c r="I1352" s="25" t="s">
        <v>8325</v>
      </c>
    </row>
    <row r="1353" spans="4:9" x14ac:dyDescent="0.2">
      <c r="D1353" t="s">
        <v>1434</v>
      </c>
      <c r="G1353" s="3" t="str">
        <f t="shared" si="20"/>
        <v>728A</v>
      </c>
      <c r="H1353" s="3" t="s">
        <v>4093</v>
      </c>
      <c r="I1353" s="25" t="s">
        <v>8131</v>
      </c>
    </row>
    <row r="1354" spans="4:9" x14ac:dyDescent="0.2">
      <c r="D1354" t="s">
        <v>1435</v>
      </c>
      <c r="G1354" s="3" t="str">
        <f t="shared" ref="G1354:G1417" si="21">IF(H1354&lt;&gt;"",DEC2HEX(HEX2DEC(H1354)-932),"")</f>
        <v>7292</v>
      </c>
      <c r="H1354" s="3" t="s">
        <v>4094</v>
      </c>
      <c r="I1354" s="25" t="s">
        <v>8132</v>
      </c>
    </row>
    <row r="1355" spans="4:9" x14ac:dyDescent="0.2">
      <c r="D1355" t="s">
        <v>1436</v>
      </c>
      <c r="G1355" s="3" t="str">
        <f t="shared" si="21"/>
        <v>729A</v>
      </c>
      <c r="H1355" s="3" t="s">
        <v>4095</v>
      </c>
      <c r="I1355" s="25" t="s">
        <v>8133</v>
      </c>
    </row>
    <row r="1356" spans="4:9" x14ac:dyDescent="0.2">
      <c r="D1356" t="s">
        <v>1437</v>
      </c>
      <c r="G1356" s="3" t="str">
        <f t="shared" si="21"/>
        <v>72A2</v>
      </c>
      <c r="H1356" s="3" t="s">
        <v>4096</v>
      </c>
      <c r="I1356" s="25" t="s">
        <v>8134</v>
      </c>
    </row>
    <row r="1357" spans="4:9" x14ac:dyDescent="0.2">
      <c r="D1357" t="s">
        <v>1438</v>
      </c>
      <c r="G1357" s="3" t="str">
        <f t="shared" si="21"/>
        <v>72AE</v>
      </c>
      <c r="H1357" s="3" t="s">
        <v>4097</v>
      </c>
      <c r="I1357" s="25" t="s">
        <v>8135</v>
      </c>
    </row>
    <row r="1358" spans="4:9" x14ac:dyDescent="0.2">
      <c r="D1358" t="s">
        <v>1439</v>
      </c>
      <c r="G1358" s="3" t="str">
        <f t="shared" si="21"/>
        <v>72BA</v>
      </c>
      <c r="H1358" s="3" t="s">
        <v>4098</v>
      </c>
      <c r="I1358" s="25" t="s">
        <v>2754</v>
      </c>
    </row>
    <row r="1359" spans="4:9" x14ac:dyDescent="0.2">
      <c r="D1359" t="s">
        <v>1440</v>
      </c>
      <c r="G1359" s="3" t="str">
        <f t="shared" si="21"/>
        <v>72D0</v>
      </c>
      <c r="H1359" s="3" t="s">
        <v>4099</v>
      </c>
      <c r="I1359" s="25" t="s">
        <v>2754</v>
      </c>
    </row>
    <row r="1360" spans="4:9" x14ac:dyDescent="0.2">
      <c r="D1360" t="s">
        <v>1441</v>
      </c>
      <c r="G1360" s="3" t="str">
        <f t="shared" si="21"/>
        <v>72E4</v>
      </c>
      <c r="H1360" s="3" t="s">
        <v>4100</v>
      </c>
      <c r="I1360" s="25" t="s">
        <v>2754</v>
      </c>
    </row>
    <row r="1361" spans="4:9" x14ac:dyDescent="0.2">
      <c r="D1361" t="s">
        <v>1442</v>
      </c>
      <c r="G1361" s="3" t="str">
        <f t="shared" si="21"/>
        <v>72F0</v>
      </c>
      <c r="H1361" s="3" t="s">
        <v>4101</v>
      </c>
      <c r="I1361" s="25" t="s">
        <v>2754</v>
      </c>
    </row>
    <row r="1362" spans="4:9" x14ac:dyDescent="0.2">
      <c r="D1362" t="s">
        <v>1443</v>
      </c>
      <c r="G1362" s="3" t="str">
        <f t="shared" si="21"/>
        <v>72FA</v>
      </c>
      <c r="H1362" s="3" t="s">
        <v>4102</v>
      </c>
      <c r="I1362" s="25" t="s">
        <v>2754</v>
      </c>
    </row>
    <row r="1363" spans="4:9" x14ac:dyDescent="0.2">
      <c r="D1363" t="s">
        <v>1444</v>
      </c>
      <c r="G1363" s="3" t="str">
        <f t="shared" si="21"/>
        <v>7300</v>
      </c>
      <c r="H1363" s="3" t="s">
        <v>4103</v>
      </c>
      <c r="I1363" s="25" t="s">
        <v>2754</v>
      </c>
    </row>
    <row r="1364" spans="4:9" x14ac:dyDescent="0.2">
      <c r="D1364" t="s">
        <v>1445</v>
      </c>
      <c r="G1364" s="3" t="str">
        <f t="shared" si="21"/>
        <v>730A</v>
      </c>
      <c r="H1364" s="3" t="s">
        <v>4104</v>
      </c>
      <c r="I1364" s="25" t="s">
        <v>2754</v>
      </c>
    </row>
    <row r="1365" spans="4:9" x14ac:dyDescent="0.2">
      <c r="D1365" t="s">
        <v>1446</v>
      </c>
      <c r="G1365" s="3" t="str">
        <f t="shared" si="21"/>
        <v>7326</v>
      </c>
      <c r="H1365" s="3" t="s">
        <v>4105</v>
      </c>
      <c r="I1365" s="25" t="s">
        <v>2754</v>
      </c>
    </row>
    <row r="1366" spans="4:9" x14ac:dyDescent="0.2">
      <c r="D1366" t="s">
        <v>1447</v>
      </c>
      <c r="G1366" s="3" t="str">
        <f t="shared" si="21"/>
        <v>732A</v>
      </c>
      <c r="H1366" s="3" t="s">
        <v>4106</v>
      </c>
      <c r="I1366" s="25" t="s">
        <v>2754</v>
      </c>
    </row>
    <row r="1367" spans="4:9" x14ac:dyDescent="0.2">
      <c r="D1367" t="s">
        <v>1448</v>
      </c>
      <c r="G1367" s="3" t="str">
        <f t="shared" si="21"/>
        <v>734C</v>
      </c>
      <c r="H1367" s="3" t="s">
        <v>4107</v>
      </c>
      <c r="I1367" s="25" t="s">
        <v>2754</v>
      </c>
    </row>
    <row r="1368" spans="4:9" x14ac:dyDescent="0.2">
      <c r="D1368" t="s">
        <v>1449</v>
      </c>
      <c r="G1368" s="3" t="str">
        <f t="shared" si="21"/>
        <v>736A</v>
      </c>
      <c r="H1368" s="3" t="s">
        <v>4108</v>
      </c>
      <c r="I1368" s="25" t="s">
        <v>2754</v>
      </c>
    </row>
    <row r="1369" spans="4:9" x14ac:dyDescent="0.2">
      <c r="D1369" t="s">
        <v>1450</v>
      </c>
      <c r="G1369" s="3" t="str">
        <f t="shared" si="21"/>
        <v>7370</v>
      </c>
      <c r="H1369" s="3" t="s">
        <v>4109</v>
      </c>
      <c r="I1369" s="25" t="s">
        <v>2754</v>
      </c>
    </row>
    <row r="1370" spans="4:9" x14ac:dyDescent="0.2">
      <c r="D1370" t="s">
        <v>1451</v>
      </c>
      <c r="G1370" s="3" t="str">
        <f t="shared" si="21"/>
        <v>7380</v>
      </c>
      <c r="H1370" s="3" t="s">
        <v>4110</v>
      </c>
      <c r="I1370" s="25" t="s">
        <v>2754</v>
      </c>
    </row>
    <row r="1371" spans="4:9" x14ac:dyDescent="0.2">
      <c r="D1371" t="s">
        <v>1452</v>
      </c>
      <c r="G1371" s="3" t="str">
        <f t="shared" si="21"/>
        <v>73C2</v>
      </c>
      <c r="H1371" s="3" t="s">
        <v>4111</v>
      </c>
      <c r="I1371" s="25" t="s">
        <v>2754</v>
      </c>
    </row>
    <row r="1372" spans="4:9" x14ac:dyDescent="0.2">
      <c r="D1372" t="s">
        <v>1453</v>
      </c>
      <c r="G1372" s="3" t="str">
        <f t="shared" si="21"/>
        <v>73D8</v>
      </c>
      <c r="H1372" s="3" t="s">
        <v>4112</v>
      </c>
      <c r="I1372" s="25" t="s">
        <v>2754</v>
      </c>
    </row>
    <row r="1373" spans="4:9" x14ac:dyDescent="0.2">
      <c r="D1373" t="s">
        <v>1454</v>
      </c>
      <c r="G1373" s="3" t="str">
        <f t="shared" si="21"/>
        <v>73DE</v>
      </c>
      <c r="H1373" s="3" t="s">
        <v>4113</v>
      </c>
      <c r="I1373" s="25" t="s">
        <v>2754</v>
      </c>
    </row>
    <row r="1374" spans="4:9" x14ac:dyDescent="0.2">
      <c r="D1374" t="s">
        <v>1455</v>
      </c>
      <c r="G1374" s="3" t="str">
        <f t="shared" si="21"/>
        <v>7406</v>
      </c>
      <c r="H1374" s="3" t="s">
        <v>4114</v>
      </c>
      <c r="I1374" s="25" t="s">
        <v>2754</v>
      </c>
    </row>
    <row r="1375" spans="4:9" x14ac:dyDescent="0.2">
      <c r="D1375" t="s">
        <v>1456</v>
      </c>
      <c r="G1375" s="3" t="str">
        <f t="shared" si="21"/>
        <v>741C</v>
      </c>
      <c r="H1375" s="3" t="s">
        <v>4115</v>
      </c>
      <c r="I1375" s="25" t="s">
        <v>2754</v>
      </c>
    </row>
    <row r="1376" spans="4:9" x14ac:dyDescent="0.2">
      <c r="D1376" t="s">
        <v>1457</v>
      </c>
      <c r="G1376" s="3" t="str">
        <f t="shared" si="21"/>
        <v>7446</v>
      </c>
      <c r="H1376" s="3" t="s">
        <v>4116</v>
      </c>
      <c r="I1376" s="25" t="s">
        <v>2754</v>
      </c>
    </row>
    <row r="1377" spans="4:9" x14ac:dyDescent="0.2">
      <c r="D1377" t="s">
        <v>1458</v>
      </c>
      <c r="G1377" s="3" t="str">
        <f t="shared" si="21"/>
        <v>745A</v>
      </c>
      <c r="H1377" s="3" t="s">
        <v>4117</v>
      </c>
      <c r="I1377" s="25" t="s">
        <v>2754</v>
      </c>
    </row>
    <row r="1378" spans="4:9" x14ac:dyDescent="0.2">
      <c r="D1378" t="s">
        <v>1459</v>
      </c>
      <c r="G1378" s="3" t="str">
        <f t="shared" si="21"/>
        <v>7476</v>
      </c>
      <c r="H1378" s="3" t="s">
        <v>4118</v>
      </c>
      <c r="I1378" s="25" t="s">
        <v>2754</v>
      </c>
    </row>
    <row r="1379" spans="4:9" x14ac:dyDescent="0.2">
      <c r="D1379" t="s">
        <v>1460</v>
      </c>
      <c r="G1379" s="3" t="str">
        <f t="shared" si="21"/>
        <v>747E</v>
      </c>
      <c r="H1379" s="3" t="s">
        <v>4119</v>
      </c>
      <c r="I1379" s="25" t="s">
        <v>2754</v>
      </c>
    </row>
    <row r="1380" spans="4:9" x14ac:dyDescent="0.2">
      <c r="D1380" t="s">
        <v>1461</v>
      </c>
      <c r="G1380" s="3" t="str">
        <f t="shared" si="21"/>
        <v>749C</v>
      </c>
      <c r="H1380" s="3" t="s">
        <v>4120</v>
      </c>
      <c r="I1380" s="25" t="s">
        <v>2754</v>
      </c>
    </row>
    <row r="1381" spans="4:9" x14ac:dyDescent="0.2">
      <c r="D1381" t="s">
        <v>1462</v>
      </c>
      <c r="G1381" s="3" t="str">
        <f t="shared" si="21"/>
        <v>74A2</v>
      </c>
      <c r="H1381" s="3" t="s">
        <v>4121</v>
      </c>
      <c r="I1381" s="25" t="s">
        <v>2754</v>
      </c>
    </row>
    <row r="1382" spans="4:9" x14ac:dyDescent="0.2">
      <c r="D1382" t="s">
        <v>1463</v>
      </c>
      <c r="G1382" s="3" t="str">
        <f t="shared" si="21"/>
        <v>74AC</v>
      </c>
      <c r="H1382" s="3" t="s">
        <v>4122</v>
      </c>
      <c r="I1382" s="25" t="s">
        <v>2754</v>
      </c>
    </row>
    <row r="1383" spans="4:9" x14ac:dyDescent="0.2">
      <c r="D1383" t="s">
        <v>1464</v>
      </c>
      <c r="G1383" s="3" t="str">
        <f t="shared" si="21"/>
        <v>74CA</v>
      </c>
      <c r="H1383" s="3" t="s">
        <v>4123</v>
      </c>
      <c r="I1383" s="25" t="s">
        <v>2754</v>
      </c>
    </row>
    <row r="1384" spans="4:9" x14ac:dyDescent="0.2">
      <c r="D1384" t="s">
        <v>1465</v>
      </c>
      <c r="G1384" s="3" t="str">
        <f t="shared" si="21"/>
        <v>74CC</v>
      </c>
      <c r="H1384" s="3" t="s">
        <v>4124</v>
      </c>
      <c r="I1384" s="25" t="s">
        <v>2754</v>
      </c>
    </row>
    <row r="1385" spans="4:9" x14ac:dyDescent="0.2">
      <c r="D1385" t="s">
        <v>1466</v>
      </c>
      <c r="G1385" s="3" t="str">
        <f t="shared" si="21"/>
        <v>74D6</v>
      </c>
      <c r="H1385" s="3" t="s">
        <v>4125</v>
      </c>
      <c r="I1385" s="25" t="s">
        <v>2754</v>
      </c>
    </row>
    <row r="1386" spans="4:9" x14ac:dyDescent="0.2">
      <c r="D1386" t="s">
        <v>1467</v>
      </c>
      <c r="G1386" s="3" t="str">
        <f t="shared" si="21"/>
        <v>74DA</v>
      </c>
      <c r="H1386" s="3" t="s">
        <v>4126</v>
      </c>
      <c r="I1386" s="25" t="s">
        <v>2754</v>
      </c>
    </row>
    <row r="1387" spans="4:9" x14ac:dyDescent="0.2">
      <c r="D1387" t="s">
        <v>1468</v>
      </c>
      <c r="G1387" s="3" t="str">
        <f t="shared" si="21"/>
        <v>74E2</v>
      </c>
      <c r="H1387" s="3" t="s">
        <v>4127</v>
      </c>
      <c r="I1387" s="25" t="s">
        <v>2754</v>
      </c>
    </row>
    <row r="1388" spans="4:9" x14ac:dyDescent="0.2">
      <c r="D1388" t="s">
        <v>1469</v>
      </c>
      <c r="G1388" s="3" t="str">
        <f t="shared" si="21"/>
        <v>74FE</v>
      </c>
      <c r="H1388" s="3" t="s">
        <v>4128</v>
      </c>
      <c r="I1388" s="25" t="s">
        <v>2754</v>
      </c>
    </row>
    <row r="1389" spans="4:9" x14ac:dyDescent="0.2">
      <c r="D1389" t="s">
        <v>1470</v>
      </c>
      <c r="G1389" s="3" t="str">
        <f t="shared" si="21"/>
        <v>7500</v>
      </c>
      <c r="H1389" s="3" t="s">
        <v>4129</v>
      </c>
      <c r="I1389" s="25" t="s">
        <v>2754</v>
      </c>
    </row>
    <row r="1390" spans="4:9" x14ac:dyDescent="0.2">
      <c r="D1390" t="s">
        <v>1471</v>
      </c>
      <c r="G1390" s="3" t="str">
        <f t="shared" si="21"/>
        <v>7510</v>
      </c>
      <c r="H1390" s="3" t="s">
        <v>4130</v>
      </c>
      <c r="I1390" s="25" t="s">
        <v>2754</v>
      </c>
    </row>
    <row r="1391" spans="4:9" x14ac:dyDescent="0.2">
      <c r="D1391" t="s">
        <v>1472</v>
      </c>
      <c r="G1391" s="3" t="str">
        <f t="shared" si="21"/>
        <v>7518</v>
      </c>
      <c r="H1391" s="3" t="s">
        <v>4131</v>
      </c>
      <c r="I1391" s="25" t="s">
        <v>8322</v>
      </c>
    </row>
    <row r="1392" spans="4:9" x14ac:dyDescent="0.2">
      <c r="D1392" t="s">
        <v>1473</v>
      </c>
      <c r="G1392" s="3" t="str">
        <f t="shared" si="21"/>
        <v>7532</v>
      </c>
      <c r="H1392" s="3" t="s">
        <v>4132</v>
      </c>
      <c r="I1392" s="25" t="s">
        <v>2754</v>
      </c>
    </row>
    <row r="1393" spans="4:9" x14ac:dyDescent="0.2">
      <c r="D1393" t="s">
        <v>1474</v>
      </c>
      <c r="G1393" s="3" t="str">
        <f t="shared" si="21"/>
        <v>755C</v>
      </c>
      <c r="H1393" s="3" t="s">
        <v>4133</v>
      </c>
      <c r="I1393" s="25" t="s">
        <v>2754</v>
      </c>
    </row>
    <row r="1394" spans="4:9" x14ac:dyDescent="0.2">
      <c r="D1394" t="s">
        <v>1475</v>
      </c>
      <c r="G1394" s="3" t="str">
        <f t="shared" si="21"/>
        <v>756A</v>
      </c>
      <c r="H1394" s="3" t="s">
        <v>4134</v>
      </c>
      <c r="I1394" s="25" t="s">
        <v>2754</v>
      </c>
    </row>
    <row r="1395" spans="4:9" x14ac:dyDescent="0.2">
      <c r="D1395" t="s">
        <v>1476</v>
      </c>
      <c r="G1395" s="3" t="str">
        <f t="shared" si="21"/>
        <v>7580</v>
      </c>
      <c r="H1395" s="3" t="s">
        <v>4135</v>
      </c>
      <c r="I1395" s="25" t="s">
        <v>2754</v>
      </c>
    </row>
    <row r="1396" spans="4:9" x14ac:dyDescent="0.2">
      <c r="D1396" t="s">
        <v>1477</v>
      </c>
      <c r="G1396" s="3" t="str">
        <f t="shared" si="21"/>
        <v>75B8</v>
      </c>
      <c r="H1396" s="3" t="s">
        <v>4136</v>
      </c>
      <c r="I1396" s="25" t="s">
        <v>2754</v>
      </c>
    </row>
    <row r="1397" spans="4:9" x14ac:dyDescent="0.2">
      <c r="D1397" t="s">
        <v>1478</v>
      </c>
      <c r="G1397" s="3" t="str">
        <f t="shared" si="21"/>
        <v>75BA</v>
      </c>
      <c r="H1397" s="3" t="s">
        <v>4137</v>
      </c>
      <c r="I1397" s="25" t="s">
        <v>2754</v>
      </c>
    </row>
    <row r="1398" spans="4:9" x14ac:dyDescent="0.2">
      <c r="D1398" t="s">
        <v>1479</v>
      </c>
      <c r="G1398" s="3" t="str">
        <f t="shared" si="21"/>
        <v>75C4</v>
      </c>
      <c r="H1398" s="3" t="s">
        <v>4138</v>
      </c>
      <c r="I1398" s="25" t="s">
        <v>2754</v>
      </c>
    </row>
    <row r="1399" spans="4:9" x14ac:dyDescent="0.2">
      <c r="D1399" t="s">
        <v>1480</v>
      </c>
      <c r="G1399" s="3" t="str">
        <f t="shared" si="21"/>
        <v>75FC</v>
      </c>
      <c r="H1399" s="3" t="s">
        <v>4139</v>
      </c>
      <c r="I1399" s="25" t="s">
        <v>2754</v>
      </c>
    </row>
    <row r="1400" spans="4:9" x14ac:dyDescent="0.2">
      <c r="D1400" t="s">
        <v>1481</v>
      </c>
      <c r="G1400" s="3" t="str">
        <f t="shared" si="21"/>
        <v>760C</v>
      </c>
      <c r="H1400" s="3" t="s">
        <v>4140</v>
      </c>
      <c r="I1400" s="25" t="s">
        <v>2754</v>
      </c>
    </row>
    <row r="1401" spans="4:9" x14ac:dyDescent="0.2">
      <c r="D1401" t="s">
        <v>1482</v>
      </c>
      <c r="G1401" s="3" t="str">
        <f t="shared" si="21"/>
        <v>7632</v>
      </c>
      <c r="H1401" s="3" t="s">
        <v>4141</v>
      </c>
      <c r="I1401" s="25" t="s">
        <v>2754</v>
      </c>
    </row>
    <row r="1402" spans="4:9" x14ac:dyDescent="0.2">
      <c r="D1402" t="s">
        <v>1483</v>
      </c>
      <c r="G1402" s="3" t="str">
        <f t="shared" si="21"/>
        <v>7648</v>
      </c>
      <c r="H1402" s="3" t="s">
        <v>4142</v>
      </c>
      <c r="I1402" s="25" t="s">
        <v>2754</v>
      </c>
    </row>
    <row r="1403" spans="4:9" x14ac:dyDescent="0.2">
      <c r="D1403" t="s">
        <v>1484</v>
      </c>
      <c r="G1403" s="3" t="str">
        <f t="shared" si="21"/>
        <v>7666</v>
      </c>
      <c r="H1403" s="3" t="s">
        <v>4143</v>
      </c>
      <c r="I1403" s="25" t="s">
        <v>2754</v>
      </c>
    </row>
    <row r="1404" spans="4:9" x14ac:dyDescent="0.2">
      <c r="D1404" t="s">
        <v>1485</v>
      </c>
      <c r="G1404" s="3" t="str">
        <f t="shared" si="21"/>
        <v>766C</v>
      </c>
      <c r="H1404" s="3" t="s">
        <v>4144</v>
      </c>
      <c r="I1404" s="25" t="s">
        <v>2754</v>
      </c>
    </row>
    <row r="1405" spans="4:9" x14ac:dyDescent="0.2">
      <c r="D1405" t="s">
        <v>1486</v>
      </c>
      <c r="G1405" s="3" t="str">
        <f t="shared" si="21"/>
        <v>766E</v>
      </c>
      <c r="H1405" s="3" t="s">
        <v>4145</v>
      </c>
      <c r="I1405" s="25" t="s">
        <v>2754</v>
      </c>
    </row>
    <row r="1406" spans="4:9" x14ac:dyDescent="0.2">
      <c r="D1406" t="s">
        <v>1487</v>
      </c>
      <c r="G1406" s="3" t="str">
        <f t="shared" si="21"/>
        <v>7698</v>
      </c>
      <c r="H1406" s="3" t="s">
        <v>4146</v>
      </c>
      <c r="I1406" s="25" t="s">
        <v>2754</v>
      </c>
    </row>
    <row r="1407" spans="4:9" x14ac:dyDescent="0.2">
      <c r="D1407" t="s">
        <v>1488</v>
      </c>
      <c r="G1407" s="3" t="str">
        <f t="shared" si="21"/>
        <v>76A8</v>
      </c>
      <c r="H1407" s="3" t="s">
        <v>4147</v>
      </c>
      <c r="I1407" s="25" t="s">
        <v>2754</v>
      </c>
    </row>
    <row r="1408" spans="4:9" x14ac:dyDescent="0.2">
      <c r="D1408" t="s">
        <v>1489</v>
      </c>
      <c r="G1408" s="3" t="str">
        <f t="shared" si="21"/>
        <v>76B4</v>
      </c>
      <c r="H1408" s="3" t="s">
        <v>4148</v>
      </c>
      <c r="I1408" s="25" t="s">
        <v>2754</v>
      </c>
    </row>
    <row r="1409" spans="4:9" x14ac:dyDescent="0.2">
      <c r="D1409" t="s">
        <v>1490</v>
      </c>
      <c r="G1409" s="3" t="str">
        <f t="shared" si="21"/>
        <v>76C0</v>
      </c>
      <c r="H1409" s="3" t="s">
        <v>4149</v>
      </c>
      <c r="I1409" s="25" t="s">
        <v>2754</v>
      </c>
    </row>
    <row r="1410" spans="4:9" x14ac:dyDescent="0.2">
      <c r="D1410" t="s">
        <v>1491</v>
      </c>
      <c r="G1410" s="3" t="str">
        <f t="shared" si="21"/>
        <v>76C1</v>
      </c>
      <c r="H1410" s="3" t="s">
        <v>4150</v>
      </c>
      <c r="I1410" s="25" t="s">
        <v>2754</v>
      </c>
    </row>
    <row r="1411" spans="4:9" x14ac:dyDescent="0.2">
      <c r="D1411" t="s">
        <v>1492</v>
      </c>
      <c r="G1411" s="3" t="str">
        <f t="shared" si="21"/>
        <v>76CC</v>
      </c>
      <c r="H1411" s="3" t="s">
        <v>4151</v>
      </c>
      <c r="I1411" s="25" t="s">
        <v>2754</v>
      </c>
    </row>
    <row r="1412" spans="4:9" x14ac:dyDescent="0.2">
      <c r="D1412" t="s">
        <v>1493</v>
      </c>
      <c r="G1412" s="3" t="str">
        <f t="shared" si="21"/>
        <v>7718</v>
      </c>
      <c r="H1412" s="3" t="s">
        <v>4152</v>
      </c>
      <c r="I1412" s="25" t="s">
        <v>8327</v>
      </c>
    </row>
    <row r="1413" spans="4:9" x14ac:dyDescent="0.2">
      <c r="D1413" t="s">
        <v>1494</v>
      </c>
      <c r="G1413" s="3" t="str">
        <f t="shared" si="21"/>
        <v>771C</v>
      </c>
      <c r="H1413" s="3" t="s">
        <v>4153</v>
      </c>
      <c r="I1413" s="25" t="s">
        <v>8328</v>
      </c>
    </row>
    <row r="1414" spans="4:9" x14ac:dyDescent="0.2">
      <c r="D1414" t="s">
        <v>1495</v>
      </c>
      <c r="G1414" s="3" t="str">
        <f t="shared" si="21"/>
        <v>7720</v>
      </c>
      <c r="H1414" s="3" t="s">
        <v>4154</v>
      </c>
      <c r="I1414" s="25" t="s">
        <v>8329</v>
      </c>
    </row>
    <row r="1415" spans="4:9" x14ac:dyDescent="0.2">
      <c r="D1415" t="s">
        <v>1496</v>
      </c>
      <c r="G1415" s="3" t="str">
        <f t="shared" si="21"/>
        <v>7724</v>
      </c>
      <c r="H1415" s="3" t="s">
        <v>4155</v>
      </c>
      <c r="I1415" s="25" t="s">
        <v>8330</v>
      </c>
    </row>
    <row r="1416" spans="4:9" x14ac:dyDescent="0.2">
      <c r="D1416" t="s">
        <v>1497</v>
      </c>
      <c r="G1416" s="3" t="str">
        <f t="shared" si="21"/>
        <v>7726</v>
      </c>
      <c r="H1416" s="3" t="s">
        <v>4156</v>
      </c>
      <c r="I1416" s="25" t="s">
        <v>8326</v>
      </c>
    </row>
    <row r="1417" spans="4:9" x14ac:dyDescent="0.2">
      <c r="D1417" t="s">
        <v>1498</v>
      </c>
      <c r="G1417" s="3" t="str">
        <f t="shared" si="21"/>
        <v>7766</v>
      </c>
      <c r="H1417" s="3" t="s">
        <v>4157</v>
      </c>
      <c r="I1417" s="25" t="s">
        <v>2754</v>
      </c>
    </row>
    <row r="1418" spans="4:9" x14ac:dyDescent="0.2">
      <c r="D1418" t="s">
        <v>1499</v>
      </c>
      <c r="G1418" s="3" t="str">
        <f t="shared" ref="G1418:G1482" si="22">IF(H1418&lt;&gt;"",DEC2HEX(HEX2DEC(H1418)-932),"")</f>
        <v>7768</v>
      </c>
      <c r="H1418" s="3" t="s">
        <v>4158</v>
      </c>
      <c r="I1418" s="25" t="s">
        <v>2754</v>
      </c>
    </row>
    <row r="1419" spans="4:9" x14ac:dyDescent="0.2">
      <c r="D1419" t="s">
        <v>1500</v>
      </c>
      <c r="G1419" s="3" t="str">
        <f t="shared" si="22"/>
        <v>77BC</v>
      </c>
      <c r="H1419" s="3" t="s">
        <v>4159</v>
      </c>
      <c r="I1419" s="25" t="s">
        <v>2754</v>
      </c>
    </row>
    <row r="1420" spans="4:9" x14ac:dyDescent="0.2">
      <c r="D1420" t="s">
        <v>1501</v>
      </c>
      <c r="G1420" s="3" t="str">
        <f t="shared" si="22"/>
        <v>77CC</v>
      </c>
      <c r="H1420" s="3" t="s">
        <v>4160</v>
      </c>
      <c r="I1420" s="25" t="s">
        <v>2754</v>
      </c>
    </row>
    <row r="1421" spans="4:9" x14ac:dyDescent="0.2">
      <c r="D1421" t="s">
        <v>1502</v>
      </c>
      <c r="G1421" s="3" t="str">
        <f t="shared" si="22"/>
        <v>77D4</v>
      </c>
      <c r="H1421" s="3" t="s">
        <v>4161</v>
      </c>
      <c r="I1421" s="25" t="s">
        <v>2754</v>
      </c>
    </row>
    <row r="1422" spans="4:9" x14ac:dyDescent="0.2">
      <c r="D1422" t="s">
        <v>1503</v>
      </c>
      <c r="G1422" s="3" t="str">
        <f t="shared" si="22"/>
        <v>77FC</v>
      </c>
      <c r="H1422" s="3" t="s">
        <v>4162</v>
      </c>
      <c r="I1422" s="25" t="s">
        <v>2754</v>
      </c>
    </row>
    <row r="1423" spans="4:9" x14ac:dyDescent="0.2">
      <c r="D1423" t="s">
        <v>1504</v>
      </c>
      <c r="G1423" s="3" t="str">
        <f t="shared" si="22"/>
        <v>7814</v>
      </c>
      <c r="H1423" s="3" t="s">
        <v>4163</v>
      </c>
      <c r="I1423" s="25" t="s">
        <v>2754</v>
      </c>
    </row>
    <row r="1424" spans="4:9" x14ac:dyDescent="0.2">
      <c r="D1424" t="s">
        <v>1505</v>
      </c>
      <c r="G1424" s="3" t="str">
        <f t="shared" si="22"/>
        <v>7852</v>
      </c>
      <c r="H1424" s="3" t="s">
        <v>4164</v>
      </c>
      <c r="I1424" s="25" t="s">
        <v>2754</v>
      </c>
    </row>
    <row r="1425" spans="4:9" x14ac:dyDescent="0.2">
      <c r="D1425" t="s">
        <v>1506</v>
      </c>
      <c r="G1425" s="3" t="str">
        <f t="shared" si="22"/>
        <v>7866</v>
      </c>
      <c r="H1425" s="3" t="s">
        <v>4165</v>
      </c>
      <c r="I1425" s="25" t="s">
        <v>2754</v>
      </c>
    </row>
    <row r="1426" spans="4:9" x14ac:dyDescent="0.2">
      <c r="D1426" t="s">
        <v>1507</v>
      </c>
      <c r="G1426" s="3" t="str">
        <f t="shared" si="22"/>
        <v>7878</v>
      </c>
      <c r="H1426" s="3" t="s">
        <v>4166</v>
      </c>
      <c r="I1426" s="25" t="s">
        <v>2754</v>
      </c>
    </row>
    <row r="1427" spans="4:9" x14ac:dyDescent="0.2">
      <c r="D1427" t="s">
        <v>1508</v>
      </c>
      <c r="G1427" s="3" t="str">
        <f t="shared" si="22"/>
        <v>7886</v>
      </c>
      <c r="H1427" s="3" t="s">
        <v>4167</v>
      </c>
      <c r="I1427" s="25" t="s">
        <v>2754</v>
      </c>
    </row>
    <row r="1428" spans="4:9" x14ac:dyDescent="0.2">
      <c r="D1428" t="s">
        <v>1509</v>
      </c>
      <c r="G1428" s="3" t="str">
        <f t="shared" si="22"/>
        <v>7888</v>
      </c>
      <c r="H1428" s="3" t="s">
        <v>4168</v>
      </c>
      <c r="I1428" s="25" t="s">
        <v>8331</v>
      </c>
    </row>
    <row r="1429" spans="4:9" x14ac:dyDescent="0.2">
      <c r="D1429" t="s">
        <v>1510</v>
      </c>
      <c r="G1429" s="3" t="str">
        <f t="shared" si="22"/>
        <v>7896</v>
      </c>
      <c r="H1429" s="3" t="s">
        <v>4169</v>
      </c>
      <c r="I1429" s="25" t="s">
        <v>8332</v>
      </c>
    </row>
    <row r="1430" spans="4:9" x14ac:dyDescent="0.2">
      <c r="D1430" t="s">
        <v>1511</v>
      </c>
      <c r="G1430" s="3" t="str">
        <f t="shared" si="22"/>
        <v>78A2</v>
      </c>
      <c r="H1430" s="3" t="s">
        <v>4170</v>
      </c>
      <c r="I1430" s="25" t="s">
        <v>2754</v>
      </c>
    </row>
    <row r="1431" spans="4:9" x14ac:dyDescent="0.2">
      <c r="D1431" t="s">
        <v>1512</v>
      </c>
      <c r="G1431" s="3" t="str">
        <f t="shared" si="22"/>
        <v>78AE</v>
      </c>
      <c r="H1431" s="3" t="s">
        <v>4171</v>
      </c>
      <c r="I1431" s="25" t="s">
        <v>2754</v>
      </c>
    </row>
    <row r="1432" spans="4:9" x14ac:dyDescent="0.2">
      <c r="D1432" t="s">
        <v>1513</v>
      </c>
      <c r="G1432" s="3" t="str">
        <f t="shared" si="22"/>
        <v>78B4</v>
      </c>
      <c r="H1432" s="3" t="s">
        <v>4172</v>
      </c>
      <c r="I1432" s="25" t="s">
        <v>2754</v>
      </c>
    </row>
    <row r="1433" spans="4:9" x14ac:dyDescent="0.2">
      <c r="D1433" t="s">
        <v>1514</v>
      </c>
      <c r="G1433" s="3" t="str">
        <f t="shared" si="22"/>
        <v>78C8</v>
      </c>
      <c r="H1433" s="3" t="s">
        <v>4173</v>
      </c>
      <c r="I1433" s="25" t="s">
        <v>2754</v>
      </c>
    </row>
    <row r="1434" spans="4:9" x14ac:dyDescent="0.2">
      <c r="D1434" t="s">
        <v>1515</v>
      </c>
      <c r="G1434" s="3" t="str">
        <f t="shared" si="22"/>
        <v>78D6</v>
      </c>
      <c r="H1434" s="3" t="s">
        <v>4174</v>
      </c>
      <c r="I1434" s="25" t="s">
        <v>2754</v>
      </c>
    </row>
    <row r="1435" spans="4:9" x14ac:dyDescent="0.2">
      <c r="D1435" t="s">
        <v>1516</v>
      </c>
      <c r="G1435" s="3" t="str">
        <f t="shared" si="22"/>
        <v>78D8</v>
      </c>
      <c r="H1435" s="3" t="s">
        <v>4175</v>
      </c>
      <c r="I1435" s="25" t="s">
        <v>2754</v>
      </c>
    </row>
    <row r="1436" spans="4:9" x14ac:dyDescent="0.2">
      <c r="D1436" t="s">
        <v>1517</v>
      </c>
      <c r="G1436" s="3" t="str">
        <f t="shared" si="22"/>
        <v>78F2</v>
      </c>
      <c r="H1436" s="3" t="s">
        <v>4176</v>
      </c>
      <c r="I1436" s="25" t="s">
        <v>2754</v>
      </c>
    </row>
    <row r="1437" spans="4:9" x14ac:dyDescent="0.2">
      <c r="D1437" t="s">
        <v>1518</v>
      </c>
      <c r="G1437" s="3" t="str">
        <f t="shared" si="22"/>
        <v>7924</v>
      </c>
      <c r="H1437" s="3" t="s">
        <v>4177</v>
      </c>
      <c r="I1437" s="25" t="s">
        <v>2754</v>
      </c>
    </row>
    <row r="1438" spans="4:9" x14ac:dyDescent="0.2">
      <c r="D1438" t="s">
        <v>1519</v>
      </c>
      <c r="G1438" s="3" t="str">
        <f t="shared" si="22"/>
        <v>792C</v>
      </c>
      <c r="H1438" s="3" t="s">
        <v>4178</v>
      </c>
      <c r="I1438" s="25" t="s">
        <v>2754</v>
      </c>
    </row>
    <row r="1439" spans="4:9" x14ac:dyDescent="0.2">
      <c r="D1439" t="s">
        <v>1520</v>
      </c>
      <c r="G1439" s="3" t="str">
        <f t="shared" si="22"/>
        <v>7948</v>
      </c>
      <c r="H1439" s="3" t="s">
        <v>4179</v>
      </c>
      <c r="I1439" s="25" t="s">
        <v>2754</v>
      </c>
    </row>
    <row r="1440" spans="4:9" x14ac:dyDescent="0.2">
      <c r="D1440" t="s">
        <v>1521</v>
      </c>
      <c r="G1440" s="3" t="str">
        <f t="shared" si="22"/>
        <v>794C</v>
      </c>
      <c r="H1440" s="3" t="s">
        <v>4180</v>
      </c>
      <c r="I1440" s="25" t="s">
        <v>8068</v>
      </c>
    </row>
    <row r="1441" spans="4:9" x14ac:dyDescent="0.2">
      <c r="D1441" t="s">
        <v>1522</v>
      </c>
      <c r="G1441" s="3" t="str">
        <f t="shared" si="22"/>
        <v>794E</v>
      </c>
      <c r="H1441" s="3" t="s">
        <v>4181</v>
      </c>
      <c r="I1441" s="25" t="s">
        <v>8105</v>
      </c>
    </row>
    <row r="1442" spans="4:9" x14ac:dyDescent="0.2">
      <c r="D1442" t="s">
        <v>1523</v>
      </c>
      <c r="G1442" s="3" t="str">
        <f t="shared" si="22"/>
        <v/>
      </c>
      <c r="H1442" s="3" t="s">
        <v>2754</v>
      </c>
      <c r="I1442" s="25" t="s">
        <v>1523</v>
      </c>
    </row>
    <row r="1443" spans="4:9" x14ac:dyDescent="0.2">
      <c r="D1443" t="s">
        <v>1524</v>
      </c>
      <c r="G1443" s="3" t="str">
        <f t="shared" si="22"/>
        <v/>
      </c>
      <c r="H1443" s="3" t="s">
        <v>2754</v>
      </c>
      <c r="I1443" s="25" t="s">
        <v>1524</v>
      </c>
    </row>
    <row r="1444" spans="4:9" x14ac:dyDescent="0.2">
      <c r="D1444" t="s">
        <v>1525</v>
      </c>
      <c r="G1444" s="3" t="str">
        <f t="shared" si="22"/>
        <v/>
      </c>
      <c r="H1444" s="3" t="s">
        <v>2754</v>
      </c>
      <c r="I1444" s="25" t="s">
        <v>1525</v>
      </c>
    </row>
    <row r="1445" spans="4:9" x14ac:dyDescent="0.2">
      <c r="D1445" t="s">
        <v>1526</v>
      </c>
      <c r="G1445" s="3" t="str">
        <f t="shared" si="22"/>
        <v/>
      </c>
      <c r="H1445" s="3" t="s">
        <v>2754</v>
      </c>
      <c r="I1445" s="25" t="s">
        <v>1526</v>
      </c>
    </row>
    <row r="1446" spans="4:9" x14ac:dyDescent="0.2">
      <c r="D1446" t="s">
        <v>1527</v>
      </c>
      <c r="G1446" s="3" t="str">
        <f t="shared" si="22"/>
        <v>7B90</v>
      </c>
      <c r="H1446" s="3" t="s">
        <v>4182</v>
      </c>
      <c r="I1446" s="25" t="s">
        <v>2754</v>
      </c>
    </row>
    <row r="1447" spans="4:9" x14ac:dyDescent="0.2">
      <c r="D1447" t="s">
        <v>1528</v>
      </c>
      <c r="G1447" s="3" t="str">
        <f t="shared" si="22"/>
        <v>7B98</v>
      </c>
      <c r="H1447" s="3" t="s">
        <v>4183</v>
      </c>
      <c r="I1447" s="25" t="s">
        <v>2754</v>
      </c>
    </row>
    <row r="1448" spans="4:9" x14ac:dyDescent="0.2">
      <c r="D1448" t="s">
        <v>1529</v>
      </c>
      <c r="G1448" s="3" t="str">
        <f t="shared" si="22"/>
        <v>7BA6</v>
      </c>
      <c r="H1448" s="3" t="s">
        <v>4184</v>
      </c>
      <c r="I1448" s="25" t="s">
        <v>2754</v>
      </c>
    </row>
    <row r="1449" spans="4:9" x14ac:dyDescent="0.2">
      <c r="D1449" t="s">
        <v>1530</v>
      </c>
      <c r="G1449" s="3" t="str">
        <f t="shared" si="22"/>
        <v>7BA8</v>
      </c>
      <c r="H1449" s="3" t="s">
        <v>4185</v>
      </c>
      <c r="I1449" s="25" t="s">
        <v>2754</v>
      </c>
    </row>
    <row r="1450" spans="4:9" x14ac:dyDescent="0.2">
      <c r="D1450" t="s">
        <v>1531</v>
      </c>
      <c r="G1450" s="3" t="str">
        <f t="shared" si="22"/>
        <v>7BDE</v>
      </c>
      <c r="H1450" s="3" t="s">
        <v>4186</v>
      </c>
      <c r="I1450" s="25" t="s">
        <v>2754</v>
      </c>
    </row>
    <row r="1451" spans="4:9" x14ac:dyDescent="0.2">
      <c r="D1451" t="s">
        <v>1532</v>
      </c>
      <c r="G1451" s="3" t="str">
        <f t="shared" si="22"/>
        <v>7C02</v>
      </c>
      <c r="H1451" s="3" t="s">
        <v>4187</v>
      </c>
      <c r="I1451" s="25" t="s">
        <v>2754</v>
      </c>
    </row>
    <row r="1452" spans="4:9" x14ac:dyDescent="0.2">
      <c r="D1452" t="s">
        <v>1533</v>
      </c>
      <c r="G1452" s="3" t="str">
        <f t="shared" si="22"/>
        <v>7C5E</v>
      </c>
      <c r="H1452" s="3" t="s">
        <v>4188</v>
      </c>
      <c r="I1452" s="25" t="s">
        <v>2754</v>
      </c>
    </row>
    <row r="1453" spans="4:9" x14ac:dyDescent="0.2">
      <c r="D1453" t="s">
        <v>1534</v>
      </c>
      <c r="G1453" s="3" t="str">
        <f t="shared" si="22"/>
        <v>7C92</v>
      </c>
      <c r="H1453" s="3" t="s">
        <v>4189</v>
      </c>
      <c r="I1453" s="25" t="s">
        <v>2754</v>
      </c>
    </row>
    <row r="1454" spans="4:9" x14ac:dyDescent="0.2">
      <c r="D1454" t="s">
        <v>1535</v>
      </c>
      <c r="G1454" s="3" t="str">
        <f t="shared" si="22"/>
        <v>7C94</v>
      </c>
      <c r="H1454" s="3" t="s">
        <v>4190</v>
      </c>
      <c r="I1454" s="25" t="s">
        <v>2754</v>
      </c>
    </row>
    <row r="1455" spans="4:9" x14ac:dyDescent="0.2">
      <c r="D1455" t="s">
        <v>1536</v>
      </c>
      <c r="G1455" s="3" t="str">
        <f t="shared" si="22"/>
        <v>7C98</v>
      </c>
      <c r="H1455" s="3" t="s">
        <v>4191</v>
      </c>
      <c r="I1455" s="25" t="s">
        <v>2754</v>
      </c>
    </row>
    <row r="1456" spans="4:9" x14ac:dyDescent="0.2">
      <c r="D1456" t="s">
        <v>1537</v>
      </c>
      <c r="G1456" s="3" t="str">
        <f t="shared" si="22"/>
        <v>7C9A</v>
      </c>
      <c r="H1456" s="3" t="s">
        <v>4192</v>
      </c>
      <c r="I1456" s="25" t="s">
        <v>8073</v>
      </c>
    </row>
    <row r="1457" spans="4:10" x14ac:dyDescent="0.2">
      <c r="D1457" t="s">
        <v>1538</v>
      </c>
      <c r="G1457" s="3" t="str">
        <f t="shared" si="22"/>
        <v>7CC4</v>
      </c>
      <c r="H1457" s="3" t="s">
        <v>4193</v>
      </c>
      <c r="I1457" s="25" t="s">
        <v>2754</v>
      </c>
    </row>
    <row r="1458" spans="4:10" x14ac:dyDescent="0.2">
      <c r="D1458" t="s">
        <v>1539</v>
      </c>
      <c r="G1458" s="3" t="str">
        <f t="shared" si="22"/>
        <v>7D1C</v>
      </c>
      <c r="H1458" s="3" t="s">
        <v>4194</v>
      </c>
      <c r="I1458" s="25" t="s">
        <v>8072</v>
      </c>
    </row>
    <row r="1459" spans="4:10" x14ac:dyDescent="0.2">
      <c r="D1459" t="s">
        <v>1540</v>
      </c>
      <c r="G1459" s="3" t="str">
        <f t="shared" si="22"/>
        <v>7D36</v>
      </c>
      <c r="H1459" s="3" t="s">
        <v>4195</v>
      </c>
      <c r="I1459" s="25" t="s">
        <v>2754</v>
      </c>
    </row>
    <row r="1460" spans="4:10" x14ac:dyDescent="0.2">
      <c r="D1460" t="s">
        <v>1541</v>
      </c>
      <c r="G1460" s="3" t="str">
        <f t="shared" si="22"/>
        <v>7D38</v>
      </c>
      <c r="H1460" s="3" t="s">
        <v>4196</v>
      </c>
      <c r="I1460" s="25" t="s">
        <v>2754</v>
      </c>
    </row>
    <row r="1461" spans="4:10" x14ac:dyDescent="0.2">
      <c r="D1461" t="s">
        <v>1542</v>
      </c>
      <c r="G1461" s="3" t="str">
        <f t="shared" si="22"/>
        <v>7D3A</v>
      </c>
      <c r="H1461" s="3" t="s">
        <v>4197</v>
      </c>
      <c r="I1461" s="25" t="s">
        <v>2754</v>
      </c>
    </row>
    <row r="1462" spans="4:10" x14ac:dyDescent="0.2">
      <c r="D1462" t="s">
        <v>1543</v>
      </c>
      <c r="G1462" s="3" t="str">
        <f t="shared" si="22"/>
        <v>7D5C</v>
      </c>
      <c r="H1462" s="3" t="s">
        <v>4198</v>
      </c>
      <c r="I1462" s="25" t="s">
        <v>2754</v>
      </c>
    </row>
    <row r="1463" spans="4:10" x14ac:dyDescent="0.2">
      <c r="D1463" t="s">
        <v>9574</v>
      </c>
      <c r="H1463" s="3"/>
      <c r="J1463" t="s">
        <v>9575</v>
      </c>
    </row>
    <row r="1464" spans="4:10" x14ac:dyDescent="0.2">
      <c r="D1464" t="s">
        <v>1544</v>
      </c>
      <c r="G1464" s="3" t="str">
        <f t="shared" si="22"/>
        <v>7DE6</v>
      </c>
      <c r="H1464" s="3" t="s">
        <v>4199</v>
      </c>
      <c r="I1464" s="25" t="s">
        <v>2754</v>
      </c>
    </row>
    <row r="1465" spans="4:10" x14ac:dyDescent="0.2">
      <c r="D1465" t="s">
        <v>1545</v>
      </c>
      <c r="G1465" s="3" t="str">
        <f t="shared" si="22"/>
        <v>7DFE</v>
      </c>
      <c r="H1465" s="3" t="s">
        <v>4200</v>
      </c>
      <c r="I1465" s="25" t="s">
        <v>8084</v>
      </c>
    </row>
    <row r="1466" spans="4:10" x14ac:dyDescent="0.2">
      <c r="D1466" t="s">
        <v>1546</v>
      </c>
      <c r="G1466" s="3" t="str">
        <f t="shared" si="22"/>
        <v>7E12</v>
      </c>
      <c r="H1466" s="3" t="s">
        <v>4201</v>
      </c>
      <c r="I1466" s="25" t="s">
        <v>8215</v>
      </c>
    </row>
    <row r="1467" spans="4:10" x14ac:dyDescent="0.2">
      <c r="D1467" t="s">
        <v>1547</v>
      </c>
      <c r="G1467" s="3" t="str">
        <f t="shared" si="22"/>
        <v>7E4A</v>
      </c>
      <c r="H1467" s="3" t="s">
        <v>4202</v>
      </c>
      <c r="I1467" s="25" t="s">
        <v>8334</v>
      </c>
    </row>
    <row r="1468" spans="4:10" x14ac:dyDescent="0.2">
      <c r="D1468" t="s">
        <v>1548</v>
      </c>
      <c r="G1468" s="3" t="str">
        <f t="shared" si="22"/>
        <v>7E5A</v>
      </c>
      <c r="H1468" s="3" t="s">
        <v>4203</v>
      </c>
      <c r="I1468" s="25" t="s">
        <v>2754</v>
      </c>
    </row>
    <row r="1469" spans="4:10" x14ac:dyDescent="0.2">
      <c r="D1469" t="s">
        <v>1549</v>
      </c>
      <c r="G1469" s="3" t="str">
        <f t="shared" si="22"/>
        <v>7E66</v>
      </c>
      <c r="H1469" s="3" t="s">
        <v>4204</v>
      </c>
      <c r="I1469" s="25" t="s">
        <v>8335</v>
      </c>
    </row>
    <row r="1470" spans="4:10" x14ac:dyDescent="0.2">
      <c r="D1470" t="s">
        <v>1550</v>
      </c>
      <c r="G1470" s="3" t="str">
        <f t="shared" si="22"/>
        <v>7E7C</v>
      </c>
      <c r="H1470" s="3" t="s">
        <v>4205</v>
      </c>
      <c r="I1470" s="25" t="s">
        <v>6765</v>
      </c>
    </row>
    <row r="1471" spans="4:10" x14ac:dyDescent="0.2">
      <c r="D1471" t="s">
        <v>1551</v>
      </c>
      <c r="G1471" s="3" t="str">
        <f t="shared" si="22"/>
        <v>7EDC</v>
      </c>
      <c r="H1471" s="3" t="s">
        <v>4206</v>
      </c>
      <c r="I1471" s="25" t="s">
        <v>9555</v>
      </c>
    </row>
    <row r="1472" spans="4:10" x14ac:dyDescent="0.2">
      <c r="D1472" t="s">
        <v>1552</v>
      </c>
      <c r="G1472" s="3" t="str">
        <f t="shared" si="22"/>
        <v>7F04</v>
      </c>
      <c r="H1472" s="3" t="s">
        <v>4207</v>
      </c>
      <c r="I1472" s="25" t="s">
        <v>6766</v>
      </c>
    </row>
    <row r="1473" spans="4:9" x14ac:dyDescent="0.2">
      <c r="D1473" t="s">
        <v>1553</v>
      </c>
      <c r="G1473" s="3" t="str">
        <f t="shared" si="22"/>
        <v>7F18</v>
      </c>
      <c r="H1473" s="3" t="s">
        <v>4208</v>
      </c>
      <c r="I1473" s="25" t="s">
        <v>8083</v>
      </c>
    </row>
    <row r="1474" spans="4:9" x14ac:dyDescent="0.2">
      <c r="D1474" t="s">
        <v>1554</v>
      </c>
      <c r="G1474" s="3" t="str">
        <f t="shared" si="22"/>
        <v>7F24</v>
      </c>
      <c r="H1474" s="3" t="s">
        <v>4209</v>
      </c>
      <c r="I1474" s="25" t="s">
        <v>8115</v>
      </c>
    </row>
    <row r="1475" spans="4:9" x14ac:dyDescent="0.2">
      <c r="D1475" t="s">
        <v>1555</v>
      </c>
      <c r="G1475" s="3" t="str">
        <f t="shared" si="22"/>
        <v>7F48</v>
      </c>
      <c r="H1475" s="3" t="s">
        <v>4210</v>
      </c>
      <c r="I1475" s="25" t="s">
        <v>2754</v>
      </c>
    </row>
    <row r="1476" spans="4:9" x14ac:dyDescent="0.2">
      <c r="D1476" t="s">
        <v>1556</v>
      </c>
      <c r="G1476" s="3" t="str">
        <f t="shared" si="22"/>
        <v>7F4C</v>
      </c>
      <c r="H1476" s="3" t="s">
        <v>4211</v>
      </c>
      <c r="I1476" s="25" t="s">
        <v>2754</v>
      </c>
    </row>
    <row r="1477" spans="4:9" x14ac:dyDescent="0.2">
      <c r="D1477" t="s">
        <v>1557</v>
      </c>
      <c r="G1477" s="3" t="str">
        <f t="shared" si="22"/>
        <v>7F6E</v>
      </c>
      <c r="H1477" s="3" t="s">
        <v>4212</v>
      </c>
      <c r="I1477" s="25" t="s">
        <v>8081</v>
      </c>
    </row>
    <row r="1478" spans="4:9" x14ac:dyDescent="0.2">
      <c r="D1478" t="s">
        <v>1558</v>
      </c>
      <c r="G1478" s="3" t="str">
        <f t="shared" si="22"/>
        <v>7F94</v>
      </c>
      <c r="H1478" s="3" t="s">
        <v>4213</v>
      </c>
      <c r="I1478" s="25" t="s">
        <v>2754</v>
      </c>
    </row>
    <row r="1479" spans="4:9" x14ac:dyDescent="0.2">
      <c r="D1479" t="s">
        <v>1559</v>
      </c>
      <c r="G1479" s="3" t="str">
        <f t="shared" si="22"/>
        <v>7F9C</v>
      </c>
      <c r="H1479" s="3" t="s">
        <v>4214</v>
      </c>
      <c r="I1479" s="25" t="s">
        <v>8110</v>
      </c>
    </row>
    <row r="1480" spans="4:9" x14ac:dyDescent="0.2">
      <c r="D1480" t="s">
        <v>1560</v>
      </c>
      <c r="G1480" s="3" t="str">
        <f t="shared" si="22"/>
        <v>7FBA</v>
      </c>
      <c r="H1480" s="3" t="s">
        <v>4215</v>
      </c>
      <c r="I1480" s="25" t="s">
        <v>8085</v>
      </c>
    </row>
    <row r="1481" spans="4:9" x14ac:dyDescent="0.2">
      <c r="D1481" t="s">
        <v>1561</v>
      </c>
      <c r="G1481" s="3" t="str">
        <f t="shared" si="22"/>
        <v>7FD2</v>
      </c>
      <c r="H1481" s="3" t="s">
        <v>4216</v>
      </c>
      <c r="I1481" s="25" t="s">
        <v>8086</v>
      </c>
    </row>
    <row r="1482" spans="4:9" x14ac:dyDescent="0.2">
      <c r="D1482" t="s">
        <v>1562</v>
      </c>
      <c r="G1482" s="3" t="str">
        <f t="shared" si="22"/>
        <v>7FEA</v>
      </c>
      <c r="H1482" s="3" t="s">
        <v>4217</v>
      </c>
      <c r="I1482" s="25" t="s">
        <v>8071</v>
      </c>
    </row>
    <row r="1483" spans="4:9" x14ac:dyDescent="0.2">
      <c r="D1483" t="s">
        <v>1563</v>
      </c>
      <c r="G1483" s="3" t="str">
        <f t="shared" ref="G1483:G1546" si="23">IF(H1483&lt;&gt;"",DEC2HEX(HEX2DEC(H1483)-932),"")</f>
        <v>7FF8</v>
      </c>
      <c r="H1483" s="3" t="s">
        <v>4218</v>
      </c>
      <c r="I1483" s="25" t="s">
        <v>2754</v>
      </c>
    </row>
    <row r="1484" spans="4:9" x14ac:dyDescent="0.2">
      <c r="D1484" t="s">
        <v>1564</v>
      </c>
      <c r="G1484" s="3" t="str">
        <f t="shared" si="23"/>
        <v>7FFA</v>
      </c>
      <c r="H1484" s="3" t="s">
        <v>4219</v>
      </c>
      <c r="I1484" s="25" t="s">
        <v>8058</v>
      </c>
    </row>
    <row r="1485" spans="4:9" x14ac:dyDescent="0.2">
      <c r="D1485" t="s">
        <v>1565</v>
      </c>
      <c r="G1485" s="3" t="str">
        <f t="shared" si="23"/>
        <v>8002</v>
      </c>
      <c r="H1485" s="3" t="s">
        <v>4220</v>
      </c>
      <c r="I1485" s="25" t="s">
        <v>8114</v>
      </c>
    </row>
    <row r="1486" spans="4:9" x14ac:dyDescent="0.2">
      <c r="D1486" t="s">
        <v>1566</v>
      </c>
      <c r="G1486" s="3" t="str">
        <f t="shared" si="23"/>
        <v>8010</v>
      </c>
      <c r="H1486" s="3" t="s">
        <v>4221</v>
      </c>
      <c r="I1486" s="25" t="s">
        <v>2754</v>
      </c>
    </row>
    <row r="1487" spans="4:9" x14ac:dyDescent="0.2">
      <c r="D1487" t="s">
        <v>1567</v>
      </c>
      <c r="G1487" s="3" t="str">
        <f t="shared" si="23"/>
        <v>801C</v>
      </c>
      <c r="H1487" s="3" t="s">
        <v>4222</v>
      </c>
      <c r="I1487" s="25" t="s">
        <v>8074</v>
      </c>
    </row>
    <row r="1488" spans="4:9" x14ac:dyDescent="0.2">
      <c r="D1488" t="s">
        <v>1568</v>
      </c>
      <c r="G1488" s="3" t="str">
        <f t="shared" si="23"/>
        <v>8030</v>
      </c>
      <c r="H1488" s="3" t="s">
        <v>4223</v>
      </c>
      <c r="I1488" s="25" t="s">
        <v>8109</v>
      </c>
    </row>
    <row r="1489" spans="4:9" x14ac:dyDescent="0.2">
      <c r="D1489" t="s">
        <v>1569</v>
      </c>
      <c r="G1489" s="3" t="str">
        <f t="shared" si="23"/>
        <v>8044</v>
      </c>
      <c r="H1489" s="3" t="s">
        <v>4224</v>
      </c>
      <c r="I1489" s="25" t="s">
        <v>8113</v>
      </c>
    </row>
    <row r="1490" spans="4:9" x14ac:dyDescent="0.2">
      <c r="D1490" t="s">
        <v>1570</v>
      </c>
      <c r="G1490" s="3" t="str">
        <f t="shared" si="23"/>
        <v>8054</v>
      </c>
      <c r="H1490" s="3" t="s">
        <v>4225</v>
      </c>
      <c r="I1490" s="25" t="s">
        <v>8112</v>
      </c>
    </row>
    <row r="1491" spans="4:9" x14ac:dyDescent="0.2">
      <c r="D1491" t="s">
        <v>1571</v>
      </c>
      <c r="G1491" s="3" t="str">
        <f t="shared" si="23"/>
        <v>8058</v>
      </c>
      <c r="H1491" s="3" t="s">
        <v>4226</v>
      </c>
      <c r="I1491" s="25" t="s">
        <v>8111</v>
      </c>
    </row>
    <row r="1492" spans="4:9" x14ac:dyDescent="0.2">
      <c r="D1492" t="s">
        <v>1572</v>
      </c>
      <c r="G1492" s="3" t="str">
        <f t="shared" si="23"/>
        <v>806A</v>
      </c>
      <c r="H1492" s="3" t="s">
        <v>4227</v>
      </c>
      <c r="I1492" s="25" t="s">
        <v>8075</v>
      </c>
    </row>
    <row r="1493" spans="4:9" x14ac:dyDescent="0.2">
      <c r="D1493" t="s">
        <v>1573</v>
      </c>
      <c r="G1493" s="3" t="str">
        <f t="shared" si="23"/>
        <v>8082</v>
      </c>
      <c r="H1493" s="3" t="s">
        <v>4228</v>
      </c>
      <c r="I1493" s="25" t="s">
        <v>8082</v>
      </c>
    </row>
    <row r="1494" spans="4:9" x14ac:dyDescent="0.2">
      <c r="D1494" t="s">
        <v>1574</v>
      </c>
      <c r="G1494" s="3" t="str">
        <f t="shared" si="23"/>
        <v>808E</v>
      </c>
      <c r="H1494" s="3" t="s">
        <v>4229</v>
      </c>
      <c r="I1494" s="25" t="s">
        <v>8076</v>
      </c>
    </row>
    <row r="1495" spans="4:9" x14ac:dyDescent="0.2">
      <c r="D1495" t="s">
        <v>1575</v>
      </c>
      <c r="G1495" s="3" t="str">
        <f t="shared" si="23"/>
        <v>80D0</v>
      </c>
      <c r="H1495" s="3" t="s">
        <v>4230</v>
      </c>
      <c r="I1495" s="25" t="s">
        <v>8078</v>
      </c>
    </row>
    <row r="1496" spans="4:9" x14ac:dyDescent="0.2">
      <c r="D1496" t="s">
        <v>1576</v>
      </c>
      <c r="G1496" s="3" t="str">
        <f t="shared" si="23"/>
        <v>80FA</v>
      </c>
      <c r="H1496" s="3" t="s">
        <v>4231</v>
      </c>
      <c r="I1496" s="25" t="s">
        <v>8069</v>
      </c>
    </row>
    <row r="1497" spans="4:9" x14ac:dyDescent="0.2">
      <c r="D1497" t="s">
        <v>1577</v>
      </c>
      <c r="G1497" s="3" t="str">
        <f t="shared" si="23"/>
        <v>810C</v>
      </c>
      <c r="H1497" s="3" t="s">
        <v>4232</v>
      </c>
      <c r="I1497" s="25" t="s">
        <v>2754</v>
      </c>
    </row>
    <row r="1498" spans="4:9" x14ac:dyDescent="0.2">
      <c r="D1498" t="s">
        <v>1578</v>
      </c>
      <c r="G1498" s="3" t="str">
        <f t="shared" si="23"/>
        <v>8124</v>
      </c>
      <c r="H1498" s="3" t="s">
        <v>4233</v>
      </c>
      <c r="I1498" s="25" t="s">
        <v>2754</v>
      </c>
    </row>
    <row r="1499" spans="4:9" x14ac:dyDescent="0.2">
      <c r="D1499" t="s">
        <v>1579</v>
      </c>
      <c r="G1499" s="3" t="str">
        <f t="shared" si="23"/>
        <v>812C</v>
      </c>
      <c r="H1499" s="3" t="s">
        <v>4234</v>
      </c>
      <c r="I1499" s="25" t="s">
        <v>2754</v>
      </c>
    </row>
    <row r="1500" spans="4:9" x14ac:dyDescent="0.2">
      <c r="D1500" t="s">
        <v>1580</v>
      </c>
      <c r="G1500" s="3" t="str">
        <f t="shared" si="23"/>
        <v>8130</v>
      </c>
      <c r="H1500" s="3" t="s">
        <v>4235</v>
      </c>
      <c r="I1500" s="25" t="s">
        <v>2754</v>
      </c>
    </row>
    <row r="1501" spans="4:9" x14ac:dyDescent="0.2">
      <c r="D1501" t="s">
        <v>1581</v>
      </c>
      <c r="G1501" s="3" t="str">
        <f t="shared" si="23"/>
        <v>8132</v>
      </c>
      <c r="H1501" s="3" t="s">
        <v>4236</v>
      </c>
      <c r="I1501" s="25" t="s">
        <v>2754</v>
      </c>
    </row>
    <row r="1502" spans="4:9" x14ac:dyDescent="0.2">
      <c r="D1502" t="s">
        <v>1582</v>
      </c>
      <c r="G1502" s="3" t="str">
        <f t="shared" si="23"/>
        <v>813E</v>
      </c>
      <c r="H1502" s="3" t="s">
        <v>4237</v>
      </c>
      <c r="I1502" s="25" t="s">
        <v>2754</v>
      </c>
    </row>
    <row r="1503" spans="4:9" x14ac:dyDescent="0.2">
      <c r="D1503" t="s">
        <v>1583</v>
      </c>
      <c r="G1503" s="3" t="str">
        <f t="shared" si="23"/>
        <v>814E</v>
      </c>
      <c r="H1503" s="3" t="s">
        <v>4238</v>
      </c>
      <c r="I1503" s="25" t="s">
        <v>2754</v>
      </c>
    </row>
    <row r="1504" spans="4:9" x14ac:dyDescent="0.2">
      <c r="D1504" t="s">
        <v>1584</v>
      </c>
      <c r="G1504" s="3" t="str">
        <f t="shared" si="23"/>
        <v>8154</v>
      </c>
      <c r="H1504" s="3" t="s">
        <v>4239</v>
      </c>
      <c r="I1504" s="25" t="s">
        <v>2754</v>
      </c>
    </row>
    <row r="1505" spans="4:9" x14ac:dyDescent="0.2">
      <c r="D1505" t="s">
        <v>1585</v>
      </c>
      <c r="G1505" s="3" t="str">
        <f t="shared" si="23"/>
        <v>8178</v>
      </c>
      <c r="H1505" s="3" t="s">
        <v>4240</v>
      </c>
      <c r="I1505" s="25" t="s">
        <v>2754</v>
      </c>
    </row>
    <row r="1506" spans="4:9" x14ac:dyDescent="0.2">
      <c r="D1506" t="s">
        <v>1586</v>
      </c>
      <c r="G1506" s="3" t="str">
        <f t="shared" si="23"/>
        <v>819A</v>
      </c>
      <c r="H1506" s="3" t="s">
        <v>4241</v>
      </c>
      <c r="I1506" s="25" t="s">
        <v>2754</v>
      </c>
    </row>
    <row r="1507" spans="4:9" x14ac:dyDescent="0.2">
      <c r="D1507" t="s">
        <v>1587</v>
      </c>
      <c r="G1507" s="3" t="str">
        <f t="shared" si="23"/>
        <v>81B0</v>
      </c>
      <c r="H1507" s="3" t="s">
        <v>4242</v>
      </c>
      <c r="I1507" s="25" t="s">
        <v>2754</v>
      </c>
    </row>
    <row r="1508" spans="4:9" x14ac:dyDescent="0.2">
      <c r="D1508" t="s">
        <v>1588</v>
      </c>
      <c r="G1508" s="3" t="str">
        <f t="shared" si="23"/>
        <v>81BA</v>
      </c>
      <c r="H1508" s="3" t="s">
        <v>4243</v>
      </c>
      <c r="I1508" s="25" t="s">
        <v>2754</v>
      </c>
    </row>
    <row r="1509" spans="4:9" x14ac:dyDescent="0.2">
      <c r="D1509" t="s">
        <v>1589</v>
      </c>
      <c r="G1509" s="3" t="str">
        <f t="shared" si="23"/>
        <v>81DE</v>
      </c>
      <c r="H1509" s="3" t="s">
        <v>4244</v>
      </c>
      <c r="I1509" s="25" t="s">
        <v>2754</v>
      </c>
    </row>
    <row r="1510" spans="4:9" x14ac:dyDescent="0.2">
      <c r="D1510" t="s">
        <v>1590</v>
      </c>
      <c r="G1510" s="3" t="str">
        <f t="shared" si="23"/>
        <v>81EA</v>
      </c>
      <c r="H1510" s="3" t="s">
        <v>4245</v>
      </c>
      <c r="I1510" s="25" t="s">
        <v>8070</v>
      </c>
    </row>
    <row r="1511" spans="4:9" x14ac:dyDescent="0.2">
      <c r="D1511" t="s">
        <v>1591</v>
      </c>
      <c r="G1511" s="3" t="str">
        <f t="shared" si="23"/>
        <v>81F4</v>
      </c>
      <c r="H1511" s="3" t="s">
        <v>4246</v>
      </c>
      <c r="I1511" s="25" t="s">
        <v>2754</v>
      </c>
    </row>
    <row r="1512" spans="4:9" x14ac:dyDescent="0.2">
      <c r="D1512" t="s">
        <v>1592</v>
      </c>
      <c r="G1512" s="3" t="str">
        <f t="shared" si="23"/>
        <v>820C</v>
      </c>
      <c r="H1512" s="3" t="s">
        <v>4247</v>
      </c>
      <c r="I1512" s="25" t="s">
        <v>2754</v>
      </c>
    </row>
    <row r="1513" spans="4:9" x14ac:dyDescent="0.2">
      <c r="D1513" t="s">
        <v>1593</v>
      </c>
      <c r="G1513" s="3" t="str">
        <f t="shared" si="23"/>
        <v>823C</v>
      </c>
      <c r="H1513" s="3" t="s">
        <v>4248</v>
      </c>
      <c r="I1513" s="25" t="s">
        <v>2754</v>
      </c>
    </row>
    <row r="1514" spans="4:9" x14ac:dyDescent="0.2">
      <c r="D1514" t="s">
        <v>1594</v>
      </c>
      <c r="G1514" s="3" t="str">
        <f t="shared" si="23"/>
        <v>8248</v>
      </c>
      <c r="H1514" s="3" t="s">
        <v>4249</v>
      </c>
      <c r="I1514" s="25" t="s">
        <v>2754</v>
      </c>
    </row>
    <row r="1515" spans="4:9" x14ac:dyDescent="0.2">
      <c r="D1515" t="s">
        <v>1595</v>
      </c>
      <c r="G1515" s="3" t="str">
        <f t="shared" si="23"/>
        <v>8254</v>
      </c>
      <c r="H1515" s="3" t="s">
        <v>4250</v>
      </c>
      <c r="I1515" s="25" t="s">
        <v>2754</v>
      </c>
    </row>
    <row r="1516" spans="4:9" x14ac:dyDescent="0.2">
      <c r="D1516" t="s">
        <v>1596</v>
      </c>
      <c r="G1516" s="3" t="str">
        <f t="shared" si="23"/>
        <v>8270</v>
      </c>
      <c r="H1516" s="3" t="s">
        <v>4251</v>
      </c>
      <c r="I1516" s="25" t="s">
        <v>2754</v>
      </c>
    </row>
    <row r="1517" spans="4:9" x14ac:dyDescent="0.2">
      <c r="D1517" t="s">
        <v>1597</v>
      </c>
      <c r="G1517" s="3" t="str">
        <f t="shared" si="23"/>
        <v>82AA</v>
      </c>
      <c r="H1517" s="3" t="s">
        <v>4252</v>
      </c>
      <c r="I1517" s="25" t="s">
        <v>2754</v>
      </c>
    </row>
    <row r="1518" spans="4:9" x14ac:dyDescent="0.2">
      <c r="D1518" t="s">
        <v>1598</v>
      </c>
      <c r="G1518" s="3" t="str">
        <f t="shared" si="23"/>
        <v>82C8</v>
      </c>
      <c r="H1518" s="3" t="s">
        <v>4253</v>
      </c>
      <c r="I1518" s="25" t="s">
        <v>2754</v>
      </c>
    </row>
    <row r="1519" spans="4:9" x14ac:dyDescent="0.2">
      <c r="D1519" t="s">
        <v>1599</v>
      </c>
      <c r="G1519" s="3" t="str">
        <f t="shared" si="23"/>
        <v>82E2</v>
      </c>
      <c r="H1519" s="3" t="s">
        <v>4254</v>
      </c>
      <c r="I1519" s="25" t="s">
        <v>2754</v>
      </c>
    </row>
    <row r="1520" spans="4:9" x14ac:dyDescent="0.2">
      <c r="D1520" t="s">
        <v>1600</v>
      </c>
      <c r="G1520" s="3" t="str">
        <f t="shared" si="23"/>
        <v>8304</v>
      </c>
      <c r="H1520" s="3" t="s">
        <v>4255</v>
      </c>
      <c r="I1520" s="25" t="s">
        <v>2754</v>
      </c>
    </row>
    <row r="1521" spans="4:9" x14ac:dyDescent="0.2">
      <c r="D1521" t="s">
        <v>1601</v>
      </c>
      <c r="G1521" s="3" t="str">
        <f t="shared" si="23"/>
        <v>831C</v>
      </c>
      <c r="H1521" s="3" t="s">
        <v>4256</v>
      </c>
      <c r="I1521" s="25" t="s">
        <v>2754</v>
      </c>
    </row>
    <row r="1522" spans="4:9" x14ac:dyDescent="0.2">
      <c r="D1522" t="s">
        <v>1602</v>
      </c>
      <c r="G1522" s="3" t="str">
        <f t="shared" si="23"/>
        <v>8320</v>
      </c>
      <c r="H1522" s="3" t="s">
        <v>4257</v>
      </c>
      <c r="I1522" s="25" t="s">
        <v>2754</v>
      </c>
    </row>
    <row r="1523" spans="4:9" x14ac:dyDescent="0.2">
      <c r="D1523" t="s">
        <v>1603</v>
      </c>
      <c r="G1523" s="3" t="str">
        <f t="shared" si="23"/>
        <v>832A</v>
      </c>
      <c r="H1523" s="3" t="s">
        <v>4258</v>
      </c>
      <c r="I1523" s="25" t="s">
        <v>2754</v>
      </c>
    </row>
    <row r="1524" spans="4:9" x14ac:dyDescent="0.2">
      <c r="D1524" t="s">
        <v>1604</v>
      </c>
      <c r="G1524" s="3" t="str">
        <f t="shared" si="23"/>
        <v>8340</v>
      </c>
      <c r="H1524" s="3" t="s">
        <v>4259</v>
      </c>
      <c r="I1524" s="25" t="s">
        <v>2754</v>
      </c>
    </row>
    <row r="1525" spans="4:9" x14ac:dyDescent="0.2">
      <c r="D1525" t="s">
        <v>1605</v>
      </c>
      <c r="G1525" s="3" t="str">
        <f t="shared" si="23"/>
        <v>834A</v>
      </c>
      <c r="H1525" s="3" t="s">
        <v>4260</v>
      </c>
      <c r="I1525" s="25" t="s">
        <v>2754</v>
      </c>
    </row>
    <row r="1526" spans="4:9" x14ac:dyDescent="0.2">
      <c r="D1526" t="s">
        <v>1606</v>
      </c>
      <c r="G1526" s="3" t="str">
        <f t="shared" si="23"/>
        <v>8352</v>
      </c>
      <c r="H1526" s="3" t="s">
        <v>4261</v>
      </c>
      <c r="I1526" s="25" t="s">
        <v>2754</v>
      </c>
    </row>
    <row r="1527" spans="4:9" x14ac:dyDescent="0.2">
      <c r="D1527" t="s">
        <v>1607</v>
      </c>
      <c r="G1527" s="3" t="str">
        <f t="shared" si="23"/>
        <v>839C</v>
      </c>
      <c r="H1527" s="3" t="s">
        <v>4262</v>
      </c>
      <c r="I1527" s="25" t="s">
        <v>2754</v>
      </c>
    </row>
    <row r="1528" spans="4:9" x14ac:dyDescent="0.2">
      <c r="D1528" t="s">
        <v>1608</v>
      </c>
      <c r="G1528" s="3" t="str">
        <f t="shared" si="23"/>
        <v>83BE</v>
      </c>
      <c r="H1528" s="3" t="s">
        <v>4263</v>
      </c>
      <c r="I1528" s="25" t="s">
        <v>2754</v>
      </c>
    </row>
    <row r="1529" spans="4:9" x14ac:dyDescent="0.2">
      <c r="D1529" t="s">
        <v>1609</v>
      </c>
      <c r="G1529" s="3" t="str">
        <f t="shared" si="23"/>
        <v>83CA</v>
      </c>
      <c r="H1529" s="3" t="s">
        <v>4264</v>
      </c>
      <c r="I1529" s="25" t="s">
        <v>2754</v>
      </c>
    </row>
    <row r="1530" spans="4:9" x14ac:dyDescent="0.2">
      <c r="D1530" t="s">
        <v>1610</v>
      </c>
      <c r="G1530" s="3" t="str">
        <f t="shared" si="23"/>
        <v>83CC</v>
      </c>
      <c r="H1530" s="3" t="s">
        <v>4265</v>
      </c>
      <c r="I1530" s="25" t="s">
        <v>2754</v>
      </c>
    </row>
    <row r="1531" spans="4:9" x14ac:dyDescent="0.2">
      <c r="D1531" t="s">
        <v>1611</v>
      </c>
      <c r="G1531" s="3" t="str">
        <f t="shared" si="23"/>
        <v>83CE</v>
      </c>
      <c r="H1531" s="3" t="s">
        <v>4266</v>
      </c>
      <c r="I1531" s="25" t="s">
        <v>2754</v>
      </c>
    </row>
    <row r="1532" spans="4:9" x14ac:dyDescent="0.2">
      <c r="D1532" t="s">
        <v>1612</v>
      </c>
      <c r="G1532" s="3" t="str">
        <f t="shared" si="23"/>
        <v>83DE</v>
      </c>
      <c r="H1532" s="3" t="s">
        <v>4267</v>
      </c>
      <c r="I1532" s="25" t="s">
        <v>2754</v>
      </c>
    </row>
    <row r="1533" spans="4:9" x14ac:dyDescent="0.2">
      <c r="D1533" t="s">
        <v>1613</v>
      </c>
      <c r="G1533" s="3" t="str">
        <f t="shared" si="23"/>
        <v>83E6</v>
      </c>
      <c r="H1533" s="3" t="s">
        <v>4268</v>
      </c>
      <c r="I1533" s="25" t="s">
        <v>2754</v>
      </c>
    </row>
    <row r="1534" spans="4:9" x14ac:dyDescent="0.2">
      <c r="D1534" t="s">
        <v>1614</v>
      </c>
      <c r="G1534" s="3" t="str">
        <f t="shared" si="23"/>
        <v>83EA</v>
      </c>
      <c r="H1534" s="3" t="s">
        <v>4269</v>
      </c>
      <c r="I1534" s="25" t="s">
        <v>2754</v>
      </c>
    </row>
    <row r="1535" spans="4:9" x14ac:dyDescent="0.2">
      <c r="D1535" t="s">
        <v>1615</v>
      </c>
      <c r="G1535" s="3" t="str">
        <f t="shared" si="23"/>
        <v>83EC</v>
      </c>
      <c r="H1535" s="3" t="s">
        <v>4270</v>
      </c>
      <c r="I1535" s="25" t="s">
        <v>2754</v>
      </c>
    </row>
    <row r="1536" spans="4:9" x14ac:dyDescent="0.2">
      <c r="D1536" t="s">
        <v>1616</v>
      </c>
      <c r="G1536" s="3" t="str">
        <f t="shared" si="23"/>
        <v>83F4</v>
      </c>
      <c r="H1536" s="3" t="s">
        <v>4271</v>
      </c>
      <c r="I1536" s="25" t="s">
        <v>2754</v>
      </c>
    </row>
    <row r="1537" spans="4:9" x14ac:dyDescent="0.2">
      <c r="D1537" t="s">
        <v>1617</v>
      </c>
      <c r="G1537" s="3" t="str">
        <f t="shared" si="23"/>
        <v>8402</v>
      </c>
      <c r="H1537" s="3" t="s">
        <v>4272</v>
      </c>
      <c r="I1537" s="25" t="s">
        <v>2754</v>
      </c>
    </row>
    <row r="1538" spans="4:9" x14ac:dyDescent="0.2">
      <c r="D1538" t="s">
        <v>1618</v>
      </c>
      <c r="G1538" s="3" t="str">
        <f t="shared" si="23"/>
        <v>8406</v>
      </c>
      <c r="H1538" s="3" t="s">
        <v>4273</v>
      </c>
      <c r="I1538" s="25" t="s">
        <v>2754</v>
      </c>
    </row>
    <row r="1539" spans="4:9" x14ac:dyDescent="0.2">
      <c r="D1539" t="s">
        <v>1619</v>
      </c>
      <c r="G1539" s="3" t="str">
        <f t="shared" si="23"/>
        <v>8412</v>
      </c>
      <c r="H1539" s="3" t="s">
        <v>4274</v>
      </c>
      <c r="I1539" s="25" t="s">
        <v>2754</v>
      </c>
    </row>
    <row r="1540" spans="4:9" x14ac:dyDescent="0.2">
      <c r="D1540" t="s">
        <v>1620</v>
      </c>
      <c r="G1540" s="3" t="str">
        <f t="shared" si="23"/>
        <v>8416</v>
      </c>
      <c r="H1540" s="3" t="s">
        <v>4275</v>
      </c>
      <c r="I1540" s="25" t="s">
        <v>2754</v>
      </c>
    </row>
    <row r="1541" spans="4:9" x14ac:dyDescent="0.2">
      <c r="D1541" t="s">
        <v>1621</v>
      </c>
      <c r="G1541" s="3" t="str">
        <f t="shared" si="23"/>
        <v>841A</v>
      </c>
      <c r="H1541" s="3" t="s">
        <v>4276</v>
      </c>
      <c r="I1541" s="25" t="s">
        <v>2754</v>
      </c>
    </row>
    <row r="1542" spans="4:9" x14ac:dyDescent="0.2">
      <c r="D1542" t="s">
        <v>1622</v>
      </c>
      <c r="G1542" s="3" t="str">
        <f t="shared" si="23"/>
        <v>8430</v>
      </c>
      <c r="H1542" s="3" t="s">
        <v>4277</v>
      </c>
      <c r="I1542" s="25" t="s">
        <v>2754</v>
      </c>
    </row>
    <row r="1543" spans="4:9" x14ac:dyDescent="0.2">
      <c r="D1543" t="s">
        <v>1623</v>
      </c>
      <c r="G1543" s="3" t="str">
        <f t="shared" si="23"/>
        <v>8444</v>
      </c>
      <c r="H1543" s="3" t="s">
        <v>4278</v>
      </c>
      <c r="I1543" s="25" t="s">
        <v>2754</v>
      </c>
    </row>
    <row r="1544" spans="4:9" x14ac:dyDescent="0.2">
      <c r="D1544" t="s">
        <v>1624</v>
      </c>
      <c r="G1544" s="3" t="str">
        <f t="shared" si="23"/>
        <v>845A</v>
      </c>
      <c r="H1544" s="3" t="s">
        <v>4279</v>
      </c>
      <c r="I1544" s="25" t="s">
        <v>2754</v>
      </c>
    </row>
    <row r="1545" spans="4:9" x14ac:dyDescent="0.2">
      <c r="D1545" t="s">
        <v>1625</v>
      </c>
      <c r="G1545" s="3" t="str">
        <f t="shared" si="23"/>
        <v>846C</v>
      </c>
      <c r="H1545" s="3" t="s">
        <v>4280</v>
      </c>
      <c r="I1545" s="25" t="s">
        <v>2754</v>
      </c>
    </row>
    <row r="1546" spans="4:9" x14ac:dyDescent="0.2">
      <c r="D1546" t="s">
        <v>1626</v>
      </c>
      <c r="G1546" s="3" t="str">
        <f t="shared" si="23"/>
        <v>8482</v>
      </c>
      <c r="H1546" s="3" t="s">
        <v>4281</v>
      </c>
      <c r="I1546" s="25" t="s">
        <v>2754</v>
      </c>
    </row>
    <row r="1547" spans="4:9" x14ac:dyDescent="0.2">
      <c r="D1547" t="s">
        <v>1627</v>
      </c>
      <c r="G1547" s="3" t="str">
        <f t="shared" ref="G1547:G1610" si="24">IF(H1547&lt;&gt;"",DEC2HEX(HEX2DEC(H1547)-932),"")</f>
        <v>848E</v>
      </c>
      <c r="H1547" s="3" t="s">
        <v>4282</v>
      </c>
      <c r="I1547" s="25" t="s">
        <v>2754</v>
      </c>
    </row>
    <row r="1548" spans="4:9" x14ac:dyDescent="0.2">
      <c r="D1548" t="s">
        <v>1628</v>
      </c>
      <c r="G1548" s="3" t="str">
        <f t="shared" si="24"/>
        <v>8498</v>
      </c>
      <c r="H1548" s="3" t="s">
        <v>4283</v>
      </c>
      <c r="I1548" s="25" t="s">
        <v>2754</v>
      </c>
    </row>
    <row r="1549" spans="4:9" x14ac:dyDescent="0.2">
      <c r="D1549" t="s">
        <v>1629</v>
      </c>
      <c r="G1549" s="3" t="str">
        <f t="shared" si="24"/>
        <v>849C</v>
      </c>
      <c r="H1549" s="3" t="s">
        <v>4284</v>
      </c>
      <c r="I1549" s="25" t="s">
        <v>2754</v>
      </c>
    </row>
    <row r="1550" spans="4:9" x14ac:dyDescent="0.2">
      <c r="D1550" t="s">
        <v>1630</v>
      </c>
      <c r="G1550" s="3" t="str">
        <f t="shared" si="24"/>
        <v>84A2</v>
      </c>
      <c r="H1550" s="3" t="s">
        <v>4285</v>
      </c>
      <c r="I1550" s="25" t="s">
        <v>2754</v>
      </c>
    </row>
    <row r="1551" spans="4:9" x14ac:dyDescent="0.2">
      <c r="D1551" t="s">
        <v>1631</v>
      </c>
      <c r="G1551" s="3" t="str">
        <f t="shared" si="24"/>
        <v>84A8</v>
      </c>
      <c r="H1551" s="3" t="s">
        <v>4286</v>
      </c>
      <c r="I1551" s="25" t="s">
        <v>2754</v>
      </c>
    </row>
    <row r="1552" spans="4:9" x14ac:dyDescent="0.2">
      <c r="D1552" t="s">
        <v>1632</v>
      </c>
      <c r="G1552" s="3" t="str">
        <f t="shared" si="24"/>
        <v>84C0</v>
      </c>
      <c r="H1552" s="3" t="s">
        <v>4287</v>
      </c>
      <c r="I1552" s="25" t="s">
        <v>2754</v>
      </c>
    </row>
    <row r="1553" spans="4:9" x14ac:dyDescent="0.2">
      <c r="D1553" t="s">
        <v>1633</v>
      </c>
      <c r="G1553" s="3" t="str">
        <f t="shared" si="24"/>
        <v>84C2</v>
      </c>
      <c r="H1553" s="3" t="s">
        <v>4288</v>
      </c>
      <c r="I1553" s="25" t="s">
        <v>2754</v>
      </c>
    </row>
    <row r="1554" spans="4:9" x14ac:dyDescent="0.2">
      <c r="D1554" t="s">
        <v>1634</v>
      </c>
      <c r="G1554" s="3" t="str">
        <f t="shared" si="24"/>
        <v>84CE</v>
      </c>
      <c r="H1554" s="3" t="s">
        <v>4289</v>
      </c>
      <c r="I1554" s="25" t="s">
        <v>2754</v>
      </c>
    </row>
    <row r="1555" spans="4:9" x14ac:dyDescent="0.2">
      <c r="D1555" t="s">
        <v>1635</v>
      </c>
      <c r="G1555" s="3" t="str">
        <f t="shared" si="24"/>
        <v>84D4</v>
      </c>
      <c r="H1555" s="3" t="s">
        <v>4290</v>
      </c>
      <c r="I1555" s="25" t="s">
        <v>2754</v>
      </c>
    </row>
    <row r="1556" spans="4:9" x14ac:dyDescent="0.2">
      <c r="D1556" t="s">
        <v>1636</v>
      </c>
      <c r="G1556" s="3" t="str">
        <f t="shared" si="24"/>
        <v>84E4</v>
      </c>
      <c r="H1556" s="3" t="s">
        <v>4291</v>
      </c>
      <c r="I1556" s="25" t="s">
        <v>2754</v>
      </c>
    </row>
    <row r="1557" spans="4:9" x14ac:dyDescent="0.2">
      <c r="D1557" t="s">
        <v>1637</v>
      </c>
      <c r="G1557" s="3" t="str">
        <f t="shared" si="24"/>
        <v>84F0</v>
      </c>
      <c r="H1557" s="3" t="s">
        <v>4292</v>
      </c>
      <c r="I1557" s="25" t="s">
        <v>2754</v>
      </c>
    </row>
    <row r="1558" spans="4:9" x14ac:dyDescent="0.2">
      <c r="D1558" t="s">
        <v>1638</v>
      </c>
      <c r="G1558" s="3" t="str">
        <f t="shared" si="24"/>
        <v>8562</v>
      </c>
      <c r="H1558" s="3" t="s">
        <v>4293</v>
      </c>
      <c r="I1558" s="25" t="s">
        <v>2754</v>
      </c>
    </row>
    <row r="1559" spans="4:9" x14ac:dyDescent="0.2">
      <c r="D1559" t="s">
        <v>1639</v>
      </c>
      <c r="G1559" s="3" t="str">
        <f t="shared" si="24"/>
        <v>858A</v>
      </c>
      <c r="H1559" s="3" t="s">
        <v>4294</v>
      </c>
      <c r="I1559" s="25" t="s">
        <v>2754</v>
      </c>
    </row>
    <row r="1560" spans="4:9" x14ac:dyDescent="0.2">
      <c r="D1560" t="s">
        <v>1640</v>
      </c>
      <c r="G1560" s="3" t="str">
        <f t="shared" si="24"/>
        <v>85B2</v>
      </c>
      <c r="H1560" s="3" t="s">
        <v>4295</v>
      </c>
      <c r="I1560" s="25" t="s">
        <v>2754</v>
      </c>
    </row>
    <row r="1561" spans="4:9" x14ac:dyDescent="0.2">
      <c r="D1561" t="s">
        <v>1641</v>
      </c>
      <c r="G1561" s="3" t="str">
        <f t="shared" si="24"/>
        <v>85C4</v>
      </c>
      <c r="H1561" s="3" t="s">
        <v>4296</v>
      </c>
      <c r="I1561" s="25" t="s">
        <v>2754</v>
      </c>
    </row>
    <row r="1562" spans="4:9" x14ac:dyDescent="0.2">
      <c r="D1562" t="s">
        <v>1642</v>
      </c>
      <c r="G1562" s="3" t="str">
        <f t="shared" si="24"/>
        <v>85C8</v>
      </c>
      <c r="H1562" s="3" t="s">
        <v>4297</v>
      </c>
      <c r="I1562" s="25" t="s">
        <v>2754</v>
      </c>
    </row>
    <row r="1563" spans="4:9" x14ac:dyDescent="0.2">
      <c r="D1563" t="s">
        <v>1643</v>
      </c>
      <c r="G1563" s="3" t="str">
        <f t="shared" si="24"/>
        <v>85D0</v>
      </c>
      <c r="H1563" s="3" t="s">
        <v>4298</v>
      </c>
      <c r="I1563" s="25" t="s">
        <v>2754</v>
      </c>
    </row>
    <row r="1564" spans="4:9" x14ac:dyDescent="0.2">
      <c r="D1564" t="s">
        <v>1644</v>
      </c>
      <c r="G1564" s="3" t="str">
        <f t="shared" si="24"/>
        <v>85DE</v>
      </c>
      <c r="H1564" s="3" t="s">
        <v>4299</v>
      </c>
      <c r="I1564" s="25" t="s">
        <v>2754</v>
      </c>
    </row>
    <row r="1565" spans="4:9" x14ac:dyDescent="0.2">
      <c r="D1565" t="s">
        <v>1645</v>
      </c>
      <c r="G1565" s="3" t="str">
        <f t="shared" si="24"/>
        <v>85F1</v>
      </c>
      <c r="H1565" s="3" t="s">
        <v>4300</v>
      </c>
      <c r="I1565" s="25" t="s">
        <v>2754</v>
      </c>
    </row>
    <row r="1566" spans="4:9" x14ac:dyDescent="0.2">
      <c r="D1566" t="s">
        <v>1646</v>
      </c>
      <c r="G1566" s="3" t="str">
        <f t="shared" si="24"/>
        <v>8613</v>
      </c>
      <c r="H1566" s="3" t="s">
        <v>4301</v>
      </c>
      <c r="I1566" s="25" t="s">
        <v>2754</v>
      </c>
    </row>
    <row r="1567" spans="4:9" x14ac:dyDescent="0.2">
      <c r="D1567" t="s">
        <v>1647</v>
      </c>
      <c r="G1567" s="3" t="str">
        <f t="shared" si="24"/>
        <v>862B</v>
      </c>
      <c r="H1567" s="3" t="s">
        <v>4302</v>
      </c>
      <c r="I1567" s="25" t="s">
        <v>2754</v>
      </c>
    </row>
    <row r="1568" spans="4:9" x14ac:dyDescent="0.2">
      <c r="D1568" t="s">
        <v>1648</v>
      </c>
      <c r="G1568" s="3" t="str">
        <f t="shared" si="24"/>
        <v>8637</v>
      </c>
      <c r="H1568" s="3" t="s">
        <v>4303</v>
      </c>
      <c r="I1568" s="25" t="s">
        <v>2754</v>
      </c>
    </row>
    <row r="1569" spans="4:9" x14ac:dyDescent="0.2">
      <c r="D1569" t="s">
        <v>1649</v>
      </c>
      <c r="G1569" s="3" t="str">
        <f t="shared" si="24"/>
        <v>8644</v>
      </c>
      <c r="H1569" s="3" t="s">
        <v>4304</v>
      </c>
      <c r="I1569" s="25" t="s">
        <v>2754</v>
      </c>
    </row>
    <row r="1570" spans="4:9" x14ac:dyDescent="0.2">
      <c r="D1570" t="s">
        <v>1650</v>
      </c>
      <c r="G1570" s="3" t="str">
        <f t="shared" si="24"/>
        <v>864C</v>
      </c>
      <c r="H1570" s="3" t="s">
        <v>4305</v>
      </c>
      <c r="I1570" s="25" t="s">
        <v>2754</v>
      </c>
    </row>
    <row r="1571" spans="4:9" x14ac:dyDescent="0.2">
      <c r="D1571" t="s">
        <v>1651</v>
      </c>
      <c r="G1571" s="3" t="str">
        <f t="shared" si="24"/>
        <v>8652</v>
      </c>
      <c r="H1571" s="3" t="s">
        <v>4306</v>
      </c>
      <c r="I1571" s="25" t="s">
        <v>2754</v>
      </c>
    </row>
    <row r="1572" spans="4:9" x14ac:dyDescent="0.2">
      <c r="D1572" t="s">
        <v>1652</v>
      </c>
      <c r="G1572" s="3" t="str">
        <f t="shared" si="24"/>
        <v>8672</v>
      </c>
      <c r="H1572" s="3" t="s">
        <v>4307</v>
      </c>
      <c r="I1572" s="25" t="s">
        <v>2754</v>
      </c>
    </row>
    <row r="1573" spans="4:9" x14ac:dyDescent="0.2">
      <c r="D1573" t="s">
        <v>1653</v>
      </c>
      <c r="G1573" s="3" t="str">
        <f t="shared" si="24"/>
        <v>867C</v>
      </c>
      <c r="H1573" s="3" t="s">
        <v>4308</v>
      </c>
      <c r="I1573" s="25" t="s">
        <v>2754</v>
      </c>
    </row>
    <row r="1574" spans="4:9" x14ac:dyDescent="0.2">
      <c r="D1574" t="s">
        <v>1654</v>
      </c>
      <c r="G1574" s="3" t="str">
        <f t="shared" si="24"/>
        <v>8682</v>
      </c>
      <c r="H1574" s="3" t="s">
        <v>4309</v>
      </c>
      <c r="I1574" s="25" t="s">
        <v>2754</v>
      </c>
    </row>
    <row r="1575" spans="4:9" x14ac:dyDescent="0.2">
      <c r="D1575" t="s">
        <v>1655</v>
      </c>
      <c r="G1575" s="3" t="str">
        <f t="shared" si="24"/>
        <v>86A6</v>
      </c>
      <c r="H1575" s="3" t="s">
        <v>4310</v>
      </c>
      <c r="I1575" s="25" t="s">
        <v>2754</v>
      </c>
    </row>
    <row r="1576" spans="4:9" x14ac:dyDescent="0.2">
      <c r="D1576" t="s">
        <v>1656</v>
      </c>
      <c r="G1576" s="3" t="str">
        <f t="shared" si="24"/>
        <v>86AC</v>
      </c>
      <c r="H1576" s="3" t="s">
        <v>4311</v>
      </c>
      <c r="I1576" s="25" t="s">
        <v>2754</v>
      </c>
    </row>
    <row r="1577" spans="4:9" x14ac:dyDescent="0.2">
      <c r="D1577" t="s">
        <v>1657</v>
      </c>
      <c r="G1577" s="3" t="str">
        <f t="shared" si="24"/>
        <v>86B8</v>
      </c>
      <c r="H1577" s="3" t="s">
        <v>4312</v>
      </c>
      <c r="I1577" s="25" t="s">
        <v>2754</v>
      </c>
    </row>
    <row r="1578" spans="4:9" x14ac:dyDescent="0.2">
      <c r="D1578" t="s">
        <v>1658</v>
      </c>
      <c r="G1578" s="3" t="str">
        <f t="shared" si="24"/>
        <v>86C8</v>
      </c>
      <c r="H1578" s="3" t="s">
        <v>4313</v>
      </c>
      <c r="I1578" s="25" t="s">
        <v>2754</v>
      </c>
    </row>
    <row r="1579" spans="4:9" x14ac:dyDescent="0.2">
      <c r="D1579" t="s">
        <v>1659</v>
      </c>
      <c r="G1579" s="3" t="str">
        <f t="shared" si="24"/>
        <v>86D0</v>
      </c>
      <c r="H1579" s="3" t="s">
        <v>4314</v>
      </c>
      <c r="I1579" s="25" t="s">
        <v>2754</v>
      </c>
    </row>
    <row r="1580" spans="4:9" x14ac:dyDescent="0.2">
      <c r="D1580" t="s">
        <v>1660</v>
      </c>
      <c r="G1580" s="3" t="str">
        <f t="shared" si="24"/>
        <v>86D8</v>
      </c>
      <c r="H1580" s="3" t="s">
        <v>4315</v>
      </c>
      <c r="I1580" s="25" t="s">
        <v>2754</v>
      </c>
    </row>
    <row r="1581" spans="4:9" x14ac:dyDescent="0.2">
      <c r="D1581" t="s">
        <v>1661</v>
      </c>
      <c r="G1581" s="3" t="str">
        <f t="shared" si="24"/>
        <v>86E0</v>
      </c>
      <c r="H1581" s="3" t="s">
        <v>4316</v>
      </c>
      <c r="I1581" s="25" t="s">
        <v>2754</v>
      </c>
    </row>
    <row r="1582" spans="4:9" x14ac:dyDescent="0.2">
      <c r="D1582" t="s">
        <v>1662</v>
      </c>
      <c r="G1582" s="3" t="str">
        <f t="shared" si="24"/>
        <v>86E8</v>
      </c>
      <c r="H1582" s="3" t="s">
        <v>4317</v>
      </c>
      <c r="I1582" s="25" t="s">
        <v>2754</v>
      </c>
    </row>
    <row r="1583" spans="4:9" x14ac:dyDescent="0.2">
      <c r="D1583" t="s">
        <v>1663</v>
      </c>
      <c r="G1583" s="3" t="str">
        <f t="shared" si="24"/>
        <v>86F0</v>
      </c>
      <c r="H1583" s="3" t="s">
        <v>4318</v>
      </c>
      <c r="I1583" s="25" t="s">
        <v>2754</v>
      </c>
    </row>
    <row r="1584" spans="4:9" x14ac:dyDescent="0.2">
      <c r="D1584" t="s">
        <v>1664</v>
      </c>
      <c r="G1584" s="3" t="str">
        <f t="shared" si="24"/>
        <v>86F8</v>
      </c>
      <c r="H1584" s="3" t="s">
        <v>4319</v>
      </c>
      <c r="I1584" s="25" t="s">
        <v>2754</v>
      </c>
    </row>
    <row r="1585" spans="4:9" x14ac:dyDescent="0.2">
      <c r="D1585" t="s">
        <v>1665</v>
      </c>
      <c r="G1585" s="3" t="str">
        <f t="shared" si="24"/>
        <v>8720</v>
      </c>
      <c r="H1585" s="3" t="s">
        <v>4320</v>
      </c>
      <c r="I1585" s="25" t="s">
        <v>2754</v>
      </c>
    </row>
    <row r="1586" spans="4:9" x14ac:dyDescent="0.2">
      <c r="D1586" t="s">
        <v>1666</v>
      </c>
      <c r="G1586" s="3" t="str">
        <f t="shared" si="24"/>
        <v>8742</v>
      </c>
      <c r="H1586" s="3" t="s">
        <v>4321</v>
      </c>
      <c r="I1586" s="25" t="s">
        <v>2754</v>
      </c>
    </row>
    <row r="1587" spans="4:9" x14ac:dyDescent="0.2">
      <c r="D1587" t="s">
        <v>1667</v>
      </c>
      <c r="G1587" s="3" t="str">
        <f t="shared" si="24"/>
        <v>8750</v>
      </c>
      <c r="H1587" s="3" t="s">
        <v>4322</v>
      </c>
      <c r="I1587" s="25" t="s">
        <v>2754</v>
      </c>
    </row>
    <row r="1588" spans="4:9" x14ac:dyDescent="0.2">
      <c r="D1588" t="s">
        <v>1668</v>
      </c>
      <c r="G1588" s="3" t="str">
        <f t="shared" si="24"/>
        <v>8760</v>
      </c>
      <c r="H1588" s="3" t="s">
        <v>4323</v>
      </c>
      <c r="I1588" s="25" t="s">
        <v>2754</v>
      </c>
    </row>
    <row r="1589" spans="4:9" x14ac:dyDescent="0.2">
      <c r="D1589" t="s">
        <v>1669</v>
      </c>
      <c r="G1589" s="3" t="str">
        <f t="shared" si="24"/>
        <v>87A2</v>
      </c>
      <c r="H1589" s="3" t="s">
        <v>4324</v>
      </c>
      <c r="I1589" s="25" t="s">
        <v>2754</v>
      </c>
    </row>
    <row r="1590" spans="4:9" x14ac:dyDescent="0.2">
      <c r="D1590" t="s">
        <v>1670</v>
      </c>
      <c r="G1590" s="3" t="str">
        <f t="shared" si="24"/>
        <v>87A6</v>
      </c>
      <c r="H1590" s="3" t="s">
        <v>4325</v>
      </c>
      <c r="I1590" s="25" t="s">
        <v>2754</v>
      </c>
    </row>
    <row r="1591" spans="4:9" x14ac:dyDescent="0.2">
      <c r="D1591" t="s">
        <v>1671</v>
      </c>
      <c r="G1591" s="3" t="str">
        <f t="shared" si="24"/>
        <v>87C6</v>
      </c>
      <c r="H1591" s="3" t="s">
        <v>4326</v>
      </c>
      <c r="I1591" s="25" t="s">
        <v>2754</v>
      </c>
    </row>
    <row r="1592" spans="4:9" x14ac:dyDescent="0.2">
      <c r="D1592" t="s">
        <v>1672</v>
      </c>
      <c r="G1592" s="3" t="str">
        <f t="shared" si="24"/>
        <v>87FE</v>
      </c>
      <c r="H1592" s="3" t="s">
        <v>4327</v>
      </c>
      <c r="I1592" s="25" t="s">
        <v>2754</v>
      </c>
    </row>
    <row r="1593" spans="4:9" x14ac:dyDescent="0.2">
      <c r="D1593" t="s">
        <v>1673</v>
      </c>
      <c r="G1593" s="3" t="str">
        <f t="shared" si="24"/>
        <v>8816</v>
      </c>
      <c r="H1593" s="3" t="s">
        <v>4328</v>
      </c>
      <c r="I1593" s="25" t="s">
        <v>2754</v>
      </c>
    </row>
    <row r="1594" spans="4:9" x14ac:dyDescent="0.2">
      <c r="D1594" t="s">
        <v>1674</v>
      </c>
      <c r="G1594" s="3" t="str">
        <f t="shared" si="24"/>
        <v>8820</v>
      </c>
      <c r="H1594" s="3" t="s">
        <v>4329</v>
      </c>
      <c r="I1594" s="25" t="s">
        <v>2754</v>
      </c>
    </row>
    <row r="1595" spans="4:9" x14ac:dyDescent="0.2">
      <c r="D1595" t="s">
        <v>1675</v>
      </c>
      <c r="G1595" s="3" t="str">
        <f t="shared" si="24"/>
        <v>8836</v>
      </c>
      <c r="H1595" s="3" t="s">
        <v>4330</v>
      </c>
      <c r="I1595" s="25" t="s">
        <v>2754</v>
      </c>
    </row>
    <row r="1596" spans="4:9" x14ac:dyDescent="0.2">
      <c r="D1596" t="s">
        <v>1676</v>
      </c>
      <c r="G1596" s="3" t="str">
        <f t="shared" si="24"/>
        <v>8838</v>
      </c>
      <c r="H1596" s="3" t="s">
        <v>4331</v>
      </c>
      <c r="I1596" s="25" t="s">
        <v>2754</v>
      </c>
    </row>
    <row r="1597" spans="4:9" x14ac:dyDescent="0.2">
      <c r="D1597" t="s">
        <v>1677</v>
      </c>
      <c r="G1597" s="3" t="str">
        <f t="shared" si="24"/>
        <v>885E</v>
      </c>
      <c r="H1597" s="3" t="s">
        <v>4332</v>
      </c>
      <c r="I1597" s="25" t="s">
        <v>2754</v>
      </c>
    </row>
    <row r="1598" spans="4:9" x14ac:dyDescent="0.2">
      <c r="D1598" t="s">
        <v>1678</v>
      </c>
      <c r="G1598" s="3" t="str">
        <f t="shared" si="24"/>
        <v>8860</v>
      </c>
      <c r="H1598" s="3" t="s">
        <v>4333</v>
      </c>
      <c r="I1598" s="25" t="s">
        <v>2754</v>
      </c>
    </row>
    <row r="1599" spans="4:9" x14ac:dyDescent="0.2">
      <c r="D1599" t="s">
        <v>1679</v>
      </c>
      <c r="G1599" s="3" t="str">
        <f t="shared" si="24"/>
        <v>8862</v>
      </c>
      <c r="H1599" s="3" t="s">
        <v>4334</v>
      </c>
      <c r="I1599" s="25" t="s">
        <v>2754</v>
      </c>
    </row>
    <row r="1600" spans="4:9" x14ac:dyDescent="0.2">
      <c r="D1600" t="s">
        <v>1680</v>
      </c>
      <c r="G1600" s="3" t="str">
        <f t="shared" si="24"/>
        <v>8876</v>
      </c>
      <c r="H1600" s="3" t="s">
        <v>4335</v>
      </c>
      <c r="I1600" s="25" t="s">
        <v>2754</v>
      </c>
    </row>
    <row r="1601" spans="4:9" x14ac:dyDescent="0.2">
      <c r="D1601" t="s">
        <v>1681</v>
      </c>
      <c r="G1601" s="3" t="str">
        <f t="shared" si="24"/>
        <v>8878</v>
      </c>
      <c r="H1601" s="3" t="s">
        <v>4336</v>
      </c>
      <c r="I1601" s="25" t="s">
        <v>2754</v>
      </c>
    </row>
    <row r="1602" spans="4:9" x14ac:dyDescent="0.2">
      <c r="D1602" t="s">
        <v>1682</v>
      </c>
      <c r="G1602" s="3" t="str">
        <f t="shared" si="24"/>
        <v>8888</v>
      </c>
      <c r="H1602" s="3" t="s">
        <v>4337</v>
      </c>
      <c r="I1602" s="25" t="s">
        <v>2754</v>
      </c>
    </row>
    <row r="1603" spans="4:9" x14ac:dyDescent="0.2">
      <c r="D1603" t="s">
        <v>1683</v>
      </c>
      <c r="G1603" s="3" t="str">
        <f t="shared" si="24"/>
        <v>88A6</v>
      </c>
      <c r="H1603" s="3" t="s">
        <v>4338</v>
      </c>
      <c r="I1603" s="25" t="s">
        <v>2754</v>
      </c>
    </row>
    <row r="1604" spans="4:9" x14ac:dyDescent="0.2">
      <c r="D1604" t="s">
        <v>1684</v>
      </c>
      <c r="G1604" s="3" t="str">
        <f t="shared" si="24"/>
        <v>88AE</v>
      </c>
      <c r="H1604" s="3" t="s">
        <v>4339</v>
      </c>
      <c r="I1604" s="25" t="s">
        <v>2754</v>
      </c>
    </row>
    <row r="1605" spans="4:9" x14ac:dyDescent="0.2">
      <c r="D1605" t="s">
        <v>1685</v>
      </c>
      <c r="G1605" s="3" t="str">
        <f t="shared" si="24"/>
        <v>88C0</v>
      </c>
      <c r="H1605" s="3" t="s">
        <v>4340</v>
      </c>
      <c r="I1605" s="25" t="s">
        <v>2754</v>
      </c>
    </row>
    <row r="1606" spans="4:9" x14ac:dyDescent="0.2">
      <c r="D1606" t="s">
        <v>1686</v>
      </c>
      <c r="G1606" s="3" t="str">
        <f t="shared" si="24"/>
        <v>88EC</v>
      </c>
      <c r="H1606" s="3" t="s">
        <v>4341</v>
      </c>
      <c r="I1606" s="25" t="s">
        <v>2754</v>
      </c>
    </row>
    <row r="1607" spans="4:9" x14ac:dyDescent="0.2">
      <c r="D1607" t="s">
        <v>1687</v>
      </c>
      <c r="G1607" s="3" t="str">
        <f t="shared" si="24"/>
        <v>890A</v>
      </c>
      <c r="H1607" s="3" t="s">
        <v>4342</v>
      </c>
      <c r="I1607" s="25" t="s">
        <v>2754</v>
      </c>
    </row>
    <row r="1608" spans="4:9" x14ac:dyDescent="0.2">
      <c r="D1608" t="s">
        <v>1688</v>
      </c>
      <c r="G1608" s="3" t="str">
        <f t="shared" si="24"/>
        <v>893C</v>
      </c>
      <c r="H1608" s="3" t="s">
        <v>4343</v>
      </c>
      <c r="I1608" s="25" t="s">
        <v>2754</v>
      </c>
    </row>
    <row r="1609" spans="4:9" x14ac:dyDescent="0.2">
      <c r="D1609" t="s">
        <v>1689</v>
      </c>
      <c r="G1609" s="3" t="str">
        <f t="shared" si="24"/>
        <v>8968</v>
      </c>
      <c r="H1609" s="3" t="s">
        <v>4344</v>
      </c>
      <c r="I1609" s="25" t="s">
        <v>2754</v>
      </c>
    </row>
    <row r="1610" spans="4:9" x14ac:dyDescent="0.2">
      <c r="D1610" t="s">
        <v>1690</v>
      </c>
      <c r="G1610" s="3" t="str">
        <f t="shared" si="24"/>
        <v>898A</v>
      </c>
      <c r="H1610" s="3" t="s">
        <v>4345</v>
      </c>
      <c r="I1610" s="25" t="s">
        <v>2754</v>
      </c>
    </row>
    <row r="1611" spans="4:9" x14ac:dyDescent="0.2">
      <c r="D1611" t="s">
        <v>1691</v>
      </c>
      <c r="G1611" s="3" t="str">
        <f t="shared" ref="G1611:G1674" si="25">IF(H1611&lt;&gt;"",DEC2HEX(HEX2DEC(H1611)-932),"")</f>
        <v>898C</v>
      </c>
      <c r="H1611" s="3" t="s">
        <v>4346</v>
      </c>
      <c r="I1611" s="25" t="s">
        <v>2754</v>
      </c>
    </row>
    <row r="1612" spans="4:9" x14ac:dyDescent="0.2">
      <c r="D1612" t="s">
        <v>1692</v>
      </c>
      <c r="G1612" s="3" t="str">
        <f t="shared" si="25"/>
        <v>8994</v>
      </c>
      <c r="H1612" s="3" t="s">
        <v>4347</v>
      </c>
      <c r="I1612" s="25" t="s">
        <v>2754</v>
      </c>
    </row>
    <row r="1613" spans="4:9" x14ac:dyDescent="0.2">
      <c r="D1613" t="s">
        <v>1693</v>
      </c>
      <c r="G1613" s="3" t="str">
        <f t="shared" si="25"/>
        <v>8996</v>
      </c>
      <c r="H1613" s="3" t="s">
        <v>4348</v>
      </c>
      <c r="I1613" s="25" t="s">
        <v>2754</v>
      </c>
    </row>
    <row r="1614" spans="4:9" x14ac:dyDescent="0.2">
      <c r="D1614" t="s">
        <v>1694</v>
      </c>
      <c r="G1614" s="3" t="str">
        <f t="shared" si="25"/>
        <v>89AA</v>
      </c>
      <c r="H1614" s="3" t="s">
        <v>4349</v>
      </c>
      <c r="I1614" s="25" t="s">
        <v>2754</v>
      </c>
    </row>
    <row r="1615" spans="4:9" x14ac:dyDescent="0.2">
      <c r="D1615" t="s">
        <v>1695</v>
      </c>
      <c r="G1615" s="3" t="str">
        <f t="shared" si="25"/>
        <v>89AE</v>
      </c>
      <c r="H1615" s="3" t="s">
        <v>4350</v>
      </c>
      <c r="I1615" s="25" t="s">
        <v>2754</v>
      </c>
    </row>
    <row r="1616" spans="4:9" x14ac:dyDescent="0.2">
      <c r="D1616" t="s">
        <v>1696</v>
      </c>
      <c r="G1616" s="3" t="str">
        <f t="shared" si="25"/>
        <v>8A80</v>
      </c>
      <c r="H1616" s="3" t="s">
        <v>4351</v>
      </c>
      <c r="I1616" s="25" t="s">
        <v>2754</v>
      </c>
    </row>
    <row r="1617" spans="4:9" x14ac:dyDescent="0.2">
      <c r="D1617" t="s">
        <v>1697</v>
      </c>
      <c r="G1617" s="3" t="str">
        <f t="shared" si="25"/>
        <v>8AD4</v>
      </c>
      <c r="H1617" s="3" t="s">
        <v>4352</v>
      </c>
      <c r="I1617" s="25" t="s">
        <v>2754</v>
      </c>
    </row>
    <row r="1618" spans="4:9" x14ac:dyDescent="0.2">
      <c r="D1618" t="s">
        <v>1698</v>
      </c>
      <c r="G1618" s="3" t="str">
        <f t="shared" si="25"/>
        <v>8AE0</v>
      </c>
      <c r="H1618" s="3" t="s">
        <v>4353</v>
      </c>
      <c r="I1618" s="25" t="s">
        <v>2754</v>
      </c>
    </row>
    <row r="1619" spans="4:9" x14ac:dyDescent="0.2">
      <c r="D1619" t="s">
        <v>1699</v>
      </c>
      <c r="G1619" s="3" t="str">
        <f t="shared" si="25"/>
        <v>8AEA</v>
      </c>
      <c r="H1619" s="3" t="s">
        <v>4354</v>
      </c>
      <c r="I1619" s="25" t="s">
        <v>2754</v>
      </c>
    </row>
    <row r="1620" spans="4:9" x14ac:dyDescent="0.2">
      <c r="D1620" t="s">
        <v>1700</v>
      </c>
      <c r="G1620" s="3" t="str">
        <f t="shared" si="25"/>
        <v>8AF8</v>
      </c>
      <c r="H1620" s="3" t="s">
        <v>4355</v>
      </c>
      <c r="I1620" s="25" t="s">
        <v>2754</v>
      </c>
    </row>
    <row r="1621" spans="4:9" x14ac:dyDescent="0.2">
      <c r="D1621" t="s">
        <v>1701</v>
      </c>
      <c r="G1621" s="3" t="str">
        <f t="shared" si="25"/>
        <v>8B02</v>
      </c>
      <c r="H1621" s="3" t="s">
        <v>4356</v>
      </c>
      <c r="I1621" s="25" t="s">
        <v>2754</v>
      </c>
    </row>
    <row r="1622" spans="4:9" x14ac:dyDescent="0.2">
      <c r="D1622" t="s">
        <v>1702</v>
      </c>
      <c r="G1622" s="3" t="str">
        <f t="shared" si="25"/>
        <v>8B0A</v>
      </c>
      <c r="H1622" s="3" t="s">
        <v>4357</v>
      </c>
      <c r="I1622" s="25" t="s">
        <v>2754</v>
      </c>
    </row>
    <row r="1623" spans="4:9" x14ac:dyDescent="0.2">
      <c r="D1623" t="s">
        <v>1703</v>
      </c>
      <c r="G1623" s="3" t="str">
        <f t="shared" si="25"/>
        <v>8B16</v>
      </c>
      <c r="H1623" s="3" t="s">
        <v>4358</v>
      </c>
      <c r="I1623" s="25" t="s">
        <v>2754</v>
      </c>
    </row>
    <row r="1624" spans="4:9" x14ac:dyDescent="0.2">
      <c r="D1624" t="s">
        <v>1704</v>
      </c>
      <c r="G1624" s="3" t="str">
        <f t="shared" si="25"/>
        <v>8B1A</v>
      </c>
      <c r="H1624" s="3" t="s">
        <v>4359</v>
      </c>
      <c r="I1624" s="25" t="s">
        <v>2754</v>
      </c>
    </row>
    <row r="1625" spans="4:9" x14ac:dyDescent="0.2">
      <c r="D1625" t="s">
        <v>1705</v>
      </c>
      <c r="G1625" s="3" t="str">
        <f t="shared" si="25"/>
        <v>8B28</v>
      </c>
      <c r="H1625" s="3" t="s">
        <v>4360</v>
      </c>
      <c r="I1625" s="25" t="s">
        <v>2754</v>
      </c>
    </row>
    <row r="1626" spans="4:9" x14ac:dyDescent="0.2">
      <c r="D1626" t="s">
        <v>1706</v>
      </c>
      <c r="G1626" s="3" t="str">
        <f t="shared" si="25"/>
        <v>8B7C</v>
      </c>
      <c r="H1626" s="3" t="s">
        <v>4361</v>
      </c>
      <c r="I1626" s="25" t="s">
        <v>2754</v>
      </c>
    </row>
    <row r="1627" spans="4:9" x14ac:dyDescent="0.2">
      <c r="D1627" t="s">
        <v>1707</v>
      </c>
      <c r="G1627" s="3" t="str">
        <f t="shared" si="25"/>
        <v>8B88</v>
      </c>
      <c r="H1627" s="3" t="s">
        <v>4362</v>
      </c>
      <c r="I1627" s="25" t="s">
        <v>2754</v>
      </c>
    </row>
    <row r="1628" spans="4:9" x14ac:dyDescent="0.2">
      <c r="D1628" t="s">
        <v>1708</v>
      </c>
      <c r="G1628" s="3" t="str">
        <f t="shared" si="25"/>
        <v>8B90</v>
      </c>
      <c r="H1628" s="3" t="s">
        <v>4363</v>
      </c>
      <c r="I1628" s="25" t="s">
        <v>2754</v>
      </c>
    </row>
    <row r="1629" spans="4:9" x14ac:dyDescent="0.2">
      <c r="D1629" t="s">
        <v>1709</v>
      </c>
      <c r="G1629" s="3" t="str">
        <f t="shared" si="25"/>
        <v>8B92</v>
      </c>
      <c r="H1629" s="3" t="s">
        <v>4364</v>
      </c>
      <c r="I1629" s="25" t="s">
        <v>2754</v>
      </c>
    </row>
    <row r="1630" spans="4:9" x14ac:dyDescent="0.2">
      <c r="D1630" t="s">
        <v>1710</v>
      </c>
      <c r="G1630" s="3" t="str">
        <f t="shared" si="25"/>
        <v>8B9A</v>
      </c>
      <c r="H1630" s="3" t="s">
        <v>4365</v>
      </c>
      <c r="I1630" s="25" t="s">
        <v>2754</v>
      </c>
    </row>
    <row r="1631" spans="4:9" x14ac:dyDescent="0.2">
      <c r="D1631" t="s">
        <v>1711</v>
      </c>
      <c r="G1631" s="3" t="str">
        <f t="shared" si="25"/>
        <v>8BD6</v>
      </c>
      <c r="H1631" s="3" t="s">
        <v>4366</v>
      </c>
      <c r="I1631" s="25" t="s">
        <v>2754</v>
      </c>
    </row>
    <row r="1632" spans="4:9" x14ac:dyDescent="0.2">
      <c r="D1632" t="s">
        <v>1712</v>
      </c>
      <c r="G1632" s="3" t="str">
        <f t="shared" si="25"/>
        <v>8BDA</v>
      </c>
      <c r="H1632" s="3" t="s">
        <v>4367</v>
      </c>
      <c r="I1632" s="25" t="s">
        <v>2754</v>
      </c>
    </row>
    <row r="1633" spans="4:9" x14ac:dyDescent="0.2">
      <c r="D1633" t="s">
        <v>1713</v>
      </c>
      <c r="G1633" s="3" t="str">
        <f t="shared" si="25"/>
        <v>8BDE</v>
      </c>
      <c r="H1633" s="3" t="s">
        <v>4368</v>
      </c>
      <c r="I1633" s="25" t="s">
        <v>2754</v>
      </c>
    </row>
    <row r="1634" spans="4:9" x14ac:dyDescent="0.2">
      <c r="D1634" t="s">
        <v>1714</v>
      </c>
      <c r="G1634" s="3" t="str">
        <f t="shared" si="25"/>
        <v>8BEC</v>
      </c>
      <c r="H1634" s="3" t="s">
        <v>4369</v>
      </c>
      <c r="I1634" s="25" t="s">
        <v>2754</v>
      </c>
    </row>
    <row r="1635" spans="4:9" x14ac:dyDescent="0.2">
      <c r="D1635" t="s">
        <v>1715</v>
      </c>
      <c r="G1635" s="3" t="str">
        <f t="shared" si="25"/>
        <v>8BFC</v>
      </c>
      <c r="H1635" s="3" t="s">
        <v>4370</v>
      </c>
      <c r="I1635" s="25" t="s">
        <v>2754</v>
      </c>
    </row>
    <row r="1636" spans="4:9" x14ac:dyDescent="0.2">
      <c r="D1636" t="s">
        <v>1716</v>
      </c>
      <c r="G1636" s="3" t="str">
        <f t="shared" si="25"/>
        <v>8C04</v>
      </c>
      <c r="H1636" s="3" t="s">
        <v>4371</v>
      </c>
      <c r="I1636" s="25" t="s">
        <v>2754</v>
      </c>
    </row>
    <row r="1637" spans="4:9" x14ac:dyDescent="0.2">
      <c r="D1637" t="s">
        <v>1717</v>
      </c>
      <c r="G1637" s="3" t="str">
        <f t="shared" si="25"/>
        <v>8C0E</v>
      </c>
      <c r="H1637" s="3" t="s">
        <v>4372</v>
      </c>
      <c r="I1637" s="25" t="s">
        <v>2754</v>
      </c>
    </row>
    <row r="1638" spans="4:9" x14ac:dyDescent="0.2">
      <c r="D1638" t="s">
        <v>1718</v>
      </c>
      <c r="G1638" s="3" t="str">
        <f t="shared" si="25"/>
        <v>8C26</v>
      </c>
      <c r="H1638" s="3" t="s">
        <v>4373</v>
      </c>
      <c r="I1638" s="25" t="s">
        <v>2754</v>
      </c>
    </row>
    <row r="1639" spans="4:9" x14ac:dyDescent="0.2">
      <c r="D1639" t="s">
        <v>1719</v>
      </c>
      <c r="G1639" s="3" t="str">
        <f t="shared" si="25"/>
        <v>8C36</v>
      </c>
      <c r="H1639" s="3" t="s">
        <v>4374</v>
      </c>
      <c r="I1639" s="25" t="s">
        <v>2754</v>
      </c>
    </row>
    <row r="1640" spans="4:9" x14ac:dyDescent="0.2">
      <c r="D1640" t="s">
        <v>1720</v>
      </c>
      <c r="G1640" s="3" t="str">
        <f t="shared" si="25"/>
        <v>8C38</v>
      </c>
      <c r="H1640" s="3" t="s">
        <v>4375</v>
      </c>
      <c r="I1640" s="25" t="s">
        <v>2754</v>
      </c>
    </row>
    <row r="1641" spans="4:9" x14ac:dyDescent="0.2">
      <c r="D1641" t="s">
        <v>1721</v>
      </c>
      <c r="G1641" s="3" t="str">
        <f t="shared" si="25"/>
        <v>8C58</v>
      </c>
      <c r="H1641" s="3" t="s">
        <v>4376</v>
      </c>
      <c r="I1641" s="25" t="s">
        <v>2754</v>
      </c>
    </row>
    <row r="1642" spans="4:9" x14ac:dyDescent="0.2">
      <c r="D1642" t="s">
        <v>1722</v>
      </c>
      <c r="G1642" s="3" t="str">
        <f t="shared" si="25"/>
        <v>8C6A</v>
      </c>
      <c r="H1642" s="3" t="s">
        <v>4377</v>
      </c>
      <c r="I1642" s="25" t="s">
        <v>2754</v>
      </c>
    </row>
    <row r="1643" spans="4:9" x14ac:dyDescent="0.2">
      <c r="D1643" t="s">
        <v>1723</v>
      </c>
      <c r="G1643" s="3" t="str">
        <f t="shared" si="25"/>
        <v>8C9A</v>
      </c>
      <c r="H1643" s="3" t="s">
        <v>4378</v>
      </c>
      <c r="I1643" s="25" t="s">
        <v>2754</v>
      </c>
    </row>
    <row r="1644" spans="4:9" x14ac:dyDescent="0.2">
      <c r="D1644" t="s">
        <v>1724</v>
      </c>
      <c r="G1644" s="3" t="str">
        <f t="shared" si="25"/>
        <v>8CE8</v>
      </c>
      <c r="H1644" s="3" t="s">
        <v>4379</v>
      </c>
      <c r="I1644" s="25" t="s">
        <v>2754</v>
      </c>
    </row>
    <row r="1645" spans="4:9" x14ac:dyDescent="0.2">
      <c r="D1645" t="s">
        <v>1725</v>
      </c>
      <c r="G1645" s="3" t="str">
        <f t="shared" si="25"/>
        <v>8D1C</v>
      </c>
      <c r="H1645" s="3" t="s">
        <v>4380</v>
      </c>
      <c r="I1645" s="25" t="s">
        <v>2754</v>
      </c>
    </row>
    <row r="1646" spans="4:9" x14ac:dyDescent="0.2">
      <c r="D1646" t="s">
        <v>1726</v>
      </c>
      <c r="G1646" s="3" t="str">
        <f t="shared" si="25"/>
        <v>8D38</v>
      </c>
      <c r="H1646" s="3" t="s">
        <v>4381</v>
      </c>
      <c r="I1646" s="25" t="s">
        <v>2754</v>
      </c>
    </row>
    <row r="1647" spans="4:9" x14ac:dyDescent="0.2">
      <c r="D1647" t="s">
        <v>1727</v>
      </c>
      <c r="G1647" s="3" t="str">
        <f t="shared" si="25"/>
        <v>8D58</v>
      </c>
      <c r="H1647" s="3" t="s">
        <v>4382</v>
      </c>
      <c r="I1647" s="25" t="s">
        <v>2754</v>
      </c>
    </row>
    <row r="1648" spans="4:9" x14ac:dyDescent="0.2">
      <c r="D1648" t="s">
        <v>1728</v>
      </c>
      <c r="G1648" s="3" t="str">
        <f t="shared" si="25"/>
        <v>8D60</v>
      </c>
      <c r="H1648" s="3" t="s">
        <v>4383</v>
      </c>
      <c r="I1648" s="25" t="s">
        <v>2754</v>
      </c>
    </row>
    <row r="1649" spans="4:9" x14ac:dyDescent="0.2">
      <c r="D1649" t="s">
        <v>1729</v>
      </c>
      <c r="G1649" s="3" t="str">
        <f t="shared" si="25"/>
        <v>8D7C</v>
      </c>
      <c r="H1649" s="3" t="s">
        <v>4384</v>
      </c>
      <c r="I1649" s="25" t="s">
        <v>2754</v>
      </c>
    </row>
    <row r="1650" spans="4:9" x14ac:dyDescent="0.2">
      <c r="D1650" t="s">
        <v>1730</v>
      </c>
      <c r="G1650" s="3" t="str">
        <f t="shared" si="25"/>
        <v>8D90</v>
      </c>
      <c r="H1650" s="3" t="s">
        <v>4385</v>
      </c>
      <c r="I1650" s="25" t="s">
        <v>2754</v>
      </c>
    </row>
    <row r="1651" spans="4:9" x14ac:dyDescent="0.2">
      <c r="D1651" t="s">
        <v>1731</v>
      </c>
      <c r="G1651" s="3" t="str">
        <f t="shared" si="25"/>
        <v>8D9C</v>
      </c>
      <c r="H1651" s="3" t="s">
        <v>4386</v>
      </c>
      <c r="I1651" s="25" t="s">
        <v>2754</v>
      </c>
    </row>
    <row r="1652" spans="4:9" x14ac:dyDescent="0.2">
      <c r="D1652" t="s">
        <v>1732</v>
      </c>
      <c r="G1652" s="3" t="str">
        <f t="shared" si="25"/>
        <v>8DA0</v>
      </c>
      <c r="H1652" s="3" t="s">
        <v>4387</v>
      </c>
      <c r="I1652" s="25" t="s">
        <v>2754</v>
      </c>
    </row>
    <row r="1653" spans="4:9" x14ac:dyDescent="0.2">
      <c r="D1653" t="s">
        <v>1733</v>
      </c>
      <c r="G1653" s="3" t="str">
        <f t="shared" si="25"/>
        <v>8DCE</v>
      </c>
      <c r="H1653" s="3" t="s">
        <v>4388</v>
      </c>
      <c r="I1653" s="25" t="s">
        <v>2754</v>
      </c>
    </row>
    <row r="1654" spans="4:9" x14ac:dyDescent="0.2">
      <c r="D1654" t="s">
        <v>1734</v>
      </c>
      <c r="G1654" s="3" t="str">
        <f t="shared" si="25"/>
        <v>8DDA</v>
      </c>
      <c r="H1654" s="3" t="s">
        <v>4389</v>
      </c>
      <c r="I1654" s="25" t="s">
        <v>2754</v>
      </c>
    </row>
    <row r="1655" spans="4:9" x14ac:dyDescent="0.2">
      <c r="D1655" t="s">
        <v>1735</v>
      </c>
      <c r="G1655" s="3" t="str">
        <f t="shared" si="25"/>
        <v>8DDE</v>
      </c>
      <c r="H1655" s="3" t="s">
        <v>4390</v>
      </c>
      <c r="I1655" s="25" t="s">
        <v>2754</v>
      </c>
    </row>
    <row r="1656" spans="4:9" x14ac:dyDescent="0.2">
      <c r="D1656" t="s">
        <v>1736</v>
      </c>
      <c r="G1656" s="3" t="str">
        <f t="shared" si="25"/>
        <v>8DE2</v>
      </c>
      <c r="H1656" s="3" t="s">
        <v>4391</v>
      </c>
      <c r="I1656" s="25" t="s">
        <v>2754</v>
      </c>
    </row>
    <row r="1657" spans="4:9" x14ac:dyDescent="0.2">
      <c r="D1657" t="s">
        <v>1737</v>
      </c>
      <c r="G1657" s="3" t="str">
        <f t="shared" si="25"/>
        <v>8DF8</v>
      </c>
      <c r="H1657" s="3" t="s">
        <v>4392</v>
      </c>
      <c r="I1657" s="25" t="s">
        <v>2754</v>
      </c>
    </row>
    <row r="1658" spans="4:9" x14ac:dyDescent="0.2">
      <c r="D1658" t="s">
        <v>1738</v>
      </c>
      <c r="G1658" s="3" t="str">
        <f t="shared" si="25"/>
        <v>8DFC</v>
      </c>
      <c r="H1658" s="3" t="s">
        <v>4393</v>
      </c>
      <c r="I1658" s="25" t="s">
        <v>2754</v>
      </c>
    </row>
    <row r="1659" spans="4:9" x14ac:dyDescent="0.2">
      <c r="D1659" t="s">
        <v>1739</v>
      </c>
      <c r="G1659" s="3" t="str">
        <f t="shared" si="25"/>
        <v>8E1A</v>
      </c>
      <c r="H1659" s="3" t="s">
        <v>4394</v>
      </c>
      <c r="I1659" s="25" t="s">
        <v>2754</v>
      </c>
    </row>
    <row r="1660" spans="4:9" x14ac:dyDescent="0.2">
      <c r="D1660" t="s">
        <v>1740</v>
      </c>
      <c r="G1660" s="3" t="str">
        <f t="shared" si="25"/>
        <v>8E2C</v>
      </c>
      <c r="H1660" s="3" t="s">
        <v>4395</v>
      </c>
      <c r="I1660" s="25" t="s">
        <v>2754</v>
      </c>
    </row>
    <row r="1661" spans="4:9" x14ac:dyDescent="0.2">
      <c r="D1661" t="s">
        <v>1741</v>
      </c>
      <c r="G1661" s="3" t="str">
        <f t="shared" si="25"/>
        <v>8E50</v>
      </c>
      <c r="H1661" s="3" t="s">
        <v>4396</v>
      </c>
      <c r="I1661" s="25" t="s">
        <v>2754</v>
      </c>
    </row>
    <row r="1662" spans="4:9" x14ac:dyDescent="0.2">
      <c r="D1662" t="s">
        <v>1742</v>
      </c>
      <c r="G1662" s="3" t="str">
        <f t="shared" si="25"/>
        <v>8E58</v>
      </c>
      <c r="H1662" s="3" t="s">
        <v>4397</v>
      </c>
      <c r="I1662" s="25" t="s">
        <v>2754</v>
      </c>
    </row>
    <row r="1663" spans="4:9" x14ac:dyDescent="0.2">
      <c r="D1663" t="s">
        <v>1743</v>
      </c>
      <c r="G1663" s="3" t="str">
        <f t="shared" si="25"/>
        <v>8E84</v>
      </c>
      <c r="H1663" s="3" t="s">
        <v>4398</v>
      </c>
      <c r="I1663" s="25" t="s">
        <v>2754</v>
      </c>
    </row>
    <row r="1664" spans="4:9" x14ac:dyDescent="0.2">
      <c r="D1664" t="s">
        <v>1744</v>
      </c>
      <c r="G1664" s="3" t="str">
        <f t="shared" si="25"/>
        <v>8E88</v>
      </c>
      <c r="H1664" s="3" t="s">
        <v>4399</v>
      </c>
      <c r="I1664" s="25" t="s">
        <v>8479</v>
      </c>
    </row>
    <row r="1665" spans="4:9" x14ac:dyDescent="0.2">
      <c r="D1665" t="s">
        <v>1745</v>
      </c>
      <c r="G1665" s="3" t="str">
        <f t="shared" si="25"/>
        <v>8EA8</v>
      </c>
      <c r="H1665" s="3" t="s">
        <v>4400</v>
      </c>
      <c r="I1665" s="25" t="s">
        <v>2754</v>
      </c>
    </row>
    <row r="1666" spans="4:9" x14ac:dyDescent="0.2">
      <c r="D1666" t="s">
        <v>1746</v>
      </c>
      <c r="G1666" s="3" t="str">
        <f t="shared" si="25"/>
        <v>8EAC</v>
      </c>
      <c r="H1666" s="3" t="s">
        <v>4401</v>
      </c>
      <c r="I1666" s="25" t="s">
        <v>2754</v>
      </c>
    </row>
    <row r="1667" spans="4:9" x14ac:dyDescent="0.2">
      <c r="D1667" t="s">
        <v>1747</v>
      </c>
      <c r="G1667" s="3" t="str">
        <f t="shared" si="25"/>
        <v>8EB0</v>
      </c>
      <c r="H1667" s="3" t="s">
        <v>4402</v>
      </c>
      <c r="I1667" s="25" t="s">
        <v>2754</v>
      </c>
    </row>
    <row r="1668" spans="4:9" x14ac:dyDescent="0.2">
      <c r="D1668" t="s">
        <v>1748</v>
      </c>
      <c r="G1668" s="3" t="str">
        <f t="shared" si="25"/>
        <v>8EC4</v>
      </c>
      <c r="H1668" s="3" t="s">
        <v>4403</v>
      </c>
      <c r="I1668" s="25" t="s">
        <v>2754</v>
      </c>
    </row>
    <row r="1669" spans="4:9" x14ac:dyDescent="0.2">
      <c r="D1669" t="s">
        <v>1749</v>
      </c>
      <c r="G1669" s="3" t="str">
        <f t="shared" si="25"/>
        <v>8EC8</v>
      </c>
      <c r="H1669" s="3" t="s">
        <v>4404</v>
      </c>
      <c r="I1669" s="25" t="s">
        <v>2754</v>
      </c>
    </row>
    <row r="1670" spans="4:9" x14ac:dyDescent="0.2">
      <c r="D1670" t="s">
        <v>1750</v>
      </c>
      <c r="G1670" s="3" t="str">
        <f t="shared" si="25"/>
        <v>8ECE</v>
      </c>
      <c r="H1670" s="3" t="s">
        <v>4405</v>
      </c>
      <c r="I1670" s="25" t="s">
        <v>2754</v>
      </c>
    </row>
    <row r="1671" spans="4:9" x14ac:dyDescent="0.2">
      <c r="D1671" t="s">
        <v>1751</v>
      </c>
      <c r="G1671" s="3" t="str">
        <f t="shared" si="25"/>
        <v>8EE6</v>
      </c>
      <c r="H1671" s="3" t="s">
        <v>4406</v>
      </c>
      <c r="I1671" s="25" t="s">
        <v>2754</v>
      </c>
    </row>
    <row r="1672" spans="4:9" x14ac:dyDescent="0.2">
      <c r="D1672" t="s">
        <v>1752</v>
      </c>
      <c r="G1672" s="3" t="str">
        <f t="shared" si="25"/>
        <v>8F02</v>
      </c>
      <c r="H1672" s="3" t="s">
        <v>4407</v>
      </c>
      <c r="I1672" s="25" t="s">
        <v>2754</v>
      </c>
    </row>
    <row r="1673" spans="4:9" x14ac:dyDescent="0.2">
      <c r="D1673" t="s">
        <v>1753</v>
      </c>
      <c r="G1673" s="3" t="str">
        <f t="shared" si="25"/>
        <v>8F06</v>
      </c>
      <c r="H1673" s="3" t="s">
        <v>4408</v>
      </c>
      <c r="I1673" s="25" t="s">
        <v>2754</v>
      </c>
    </row>
    <row r="1674" spans="4:9" x14ac:dyDescent="0.2">
      <c r="D1674" t="s">
        <v>1754</v>
      </c>
      <c r="G1674" s="3" t="str">
        <f t="shared" si="25"/>
        <v>8F28</v>
      </c>
      <c r="H1674" s="3" t="s">
        <v>4409</v>
      </c>
      <c r="I1674" s="25" t="s">
        <v>2754</v>
      </c>
    </row>
    <row r="1675" spans="4:9" x14ac:dyDescent="0.2">
      <c r="D1675" t="s">
        <v>1755</v>
      </c>
      <c r="G1675" s="3" t="str">
        <f t="shared" ref="G1675:G1738" si="26">IF(H1675&lt;&gt;"",DEC2HEX(HEX2DEC(H1675)-932),"")</f>
        <v>8F38</v>
      </c>
      <c r="H1675" s="3" t="s">
        <v>4410</v>
      </c>
      <c r="I1675" s="25" t="s">
        <v>2754</v>
      </c>
    </row>
    <row r="1676" spans="4:9" x14ac:dyDescent="0.2">
      <c r="D1676" t="s">
        <v>1756</v>
      </c>
      <c r="G1676" s="3" t="str">
        <f t="shared" si="26"/>
        <v>8F4C</v>
      </c>
      <c r="H1676" s="3" t="s">
        <v>4411</v>
      </c>
      <c r="I1676" s="25" t="s">
        <v>2754</v>
      </c>
    </row>
    <row r="1677" spans="4:9" x14ac:dyDescent="0.2">
      <c r="D1677" t="s">
        <v>1757</v>
      </c>
      <c r="G1677" s="3" t="str">
        <f t="shared" si="26"/>
        <v>8F50</v>
      </c>
      <c r="H1677" s="3" t="s">
        <v>4412</v>
      </c>
      <c r="I1677" s="25" t="s">
        <v>2754</v>
      </c>
    </row>
    <row r="1678" spans="4:9" x14ac:dyDescent="0.2">
      <c r="D1678" t="s">
        <v>1758</v>
      </c>
      <c r="G1678" s="3" t="str">
        <f t="shared" si="26"/>
        <v>8F60</v>
      </c>
      <c r="H1678" s="3" t="s">
        <v>4413</v>
      </c>
      <c r="I1678" s="25" t="s">
        <v>2754</v>
      </c>
    </row>
    <row r="1679" spans="4:9" x14ac:dyDescent="0.2">
      <c r="D1679" t="s">
        <v>1759</v>
      </c>
      <c r="G1679" s="3" t="str">
        <f t="shared" si="26"/>
        <v>8F6E</v>
      </c>
      <c r="H1679" s="3" t="s">
        <v>4414</v>
      </c>
      <c r="I1679" s="25" t="s">
        <v>2754</v>
      </c>
    </row>
    <row r="1680" spans="4:9" x14ac:dyDescent="0.2">
      <c r="D1680" t="s">
        <v>1760</v>
      </c>
      <c r="G1680" s="3" t="str">
        <f t="shared" si="26"/>
        <v>8F7C</v>
      </c>
      <c r="H1680" s="3" t="s">
        <v>4415</v>
      </c>
      <c r="I1680" s="25" t="s">
        <v>2754</v>
      </c>
    </row>
    <row r="1681" spans="4:9" x14ac:dyDescent="0.2">
      <c r="D1681" t="s">
        <v>1761</v>
      </c>
      <c r="G1681" s="3" t="str">
        <f t="shared" si="26"/>
        <v>8FEE</v>
      </c>
      <c r="H1681" s="3" t="s">
        <v>4416</v>
      </c>
      <c r="I1681" s="25" t="s">
        <v>2754</v>
      </c>
    </row>
    <row r="1682" spans="4:9" x14ac:dyDescent="0.2">
      <c r="D1682" t="s">
        <v>1762</v>
      </c>
      <c r="G1682" s="3" t="str">
        <f t="shared" si="26"/>
        <v>9082</v>
      </c>
      <c r="H1682" s="3" t="s">
        <v>4417</v>
      </c>
      <c r="I1682" s="25" t="s">
        <v>2754</v>
      </c>
    </row>
    <row r="1683" spans="4:9" x14ac:dyDescent="0.2">
      <c r="D1683" t="s">
        <v>1763</v>
      </c>
      <c r="G1683" s="3" t="str">
        <f t="shared" si="26"/>
        <v>909E</v>
      </c>
      <c r="H1683" s="3" t="s">
        <v>4418</v>
      </c>
      <c r="I1683" s="25" t="s">
        <v>2754</v>
      </c>
    </row>
    <row r="1684" spans="4:9" x14ac:dyDescent="0.2">
      <c r="D1684" t="s">
        <v>1764</v>
      </c>
      <c r="G1684" s="3" t="str">
        <f t="shared" si="26"/>
        <v>90B6</v>
      </c>
      <c r="H1684" s="3" t="s">
        <v>4419</v>
      </c>
      <c r="I1684" s="25" t="s">
        <v>2754</v>
      </c>
    </row>
    <row r="1685" spans="4:9" x14ac:dyDescent="0.2">
      <c r="D1685" t="s">
        <v>1765</v>
      </c>
      <c r="G1685" s="3" t="str">
        <f t="shared" si="26"/>
        <v>90C2</v>
      </c>
      <c r="H1685" s="3" t="s">
        <v>4420</v>
      </c>
      <c r="I1685" s="25" t="s">
        <v>2754</v>
      </c>
    </row>
    <row r="1686" spans="4:9" x14ac:dyDescent="0.2">
      <c r="D1686" t="s">
        <v>1766</v>
      </c>
      <c r="G1686" s="3" t="str">
        <f t="shared" si="26"/>
        <v>90EC</v>
      </c>
      <c r="H1686" s="3" t="s">
        <v>4421</v>
      </c>
      <c r="I1686" s="25" t="s">
        <v>2754</v>
      </c>
    </row>
    <row r="1687" spans="4:9" x14ac:dyDescent="0.2">
      <c r="D1687" t="s">
        <v>1767</v>
      </c>
      <c r="G1687" s="3" t="str">
        <f t="shared" si="26"/>
        <v>90EE</v>
      </c>
      <c r="H1687" s="3" t="s">
        <v>4422</v>
      </c>
      <c r="I1687" s="25" t="s">
        <v>2754</v>
      </c>
    </row>
    <row r="1688" spans="4:9" x14ac:dyDescent="0.2">
      <c r="D1688" t="s">
        <v>1768</v>
      </c>
      <c r="G1688" s="3" t="str">
        <f t="shared" si="26"/>
        <v>90FE</v>
      </c>
      <c r="H1688" s="3" t="s">
        <v>4423</v>
      </c>
      <c r="I1688" s="25" t="s">
        <v>2754</v>
      </c>
    </row>
    <row r="1689" spans="4:9" x14ac:dyDescent="0.2">
      <c r="D1689" t="s">
        <v>1769</v>
      </c>
      <c r="G1689" s="3" t="str">
        <f t="shared" si="26"/>
        <v>910A</v>
      </c>
      <c r="H1689" s="3" t="s">
        <v>4424</v>
      </c>
      <c r="I1689" s="25" t="s">
        <v>2754</v>
      </c>
    </row>
    <row r="1690" spans="4:9" x14ac:dyDescent="0.2">
      <c r="D1690" t="s">
        <v>1770</v>
      </c>
      <c r="G1690" s="3" t="str">
        <f t="shared" si="26"/>
        <v>9128</v>
      </c>
      <c r="H1690" s="3" t="s">
        <v>4425</v>
      </c>
      <c r="I1690" s="25" t="s">
        <v>2754</v>
      </c>
    </row>
    <row r="1691" spans="4:9" x14ac:dyDescent="0.2">
      <c r="D1691" t="s">
        <v>1771</v>
      </c>
      <c r="G1691" s="3" t="str">
        <f t="shared" si="26"/>
        <v>912E</v>
      </c>
      <c r="H1691" s="3" t="s">
        <v>4426</v>
      </c>
      <c r="I1691" s="25" t="s">
        <v>2754</v>
      </c>
    </row>
    <row r="1692" spans="4:9" x14ac:dyDescent="0.2">
      <c r="D1692" t="s">
        <v>1772</v>
      </c>
      <c r="G1692" s="3" t="str">
        <f t="shared" si="26"/>
        <v>914C</v>
      </c>
      <c r="H1692" s="3" t="s">
        <v>4427</v>
      </c>
      <c r="I1692" s="25" t="s">
        <v>2754</v>
      </c>
    </row>
    <row r="1693" spans="4:9" x14ac:dyDescent="0.2">
      <c r="D1693" t="s">
        <v>1773</v>
      </c>
      <c r="G1693" s="3" t="str">
        <f t="shared" si="26"/>
        <v>9152</v>
      </c>
      <c r="H1693" s="3" t="s">
        <v>4428</v>
      </c>
      <c r="I1693" s="25" t="s">
        <v>2754</v>
      </c>
    </row>
    <row r="1694" spans="4:9" x14ac:dyDescent="0.2">
      <c r="D1694" t="s">
        <v>1774</v>
      </c>
      <c r="G1694" s="3" t="str">
        <f t="shared" si="26"/>
        <v>9170</v>
      </c>
      <c r="H1694" s="3" t="s">
        <v>4429</v>
      </c>
      <c r="I1694" s="25" t="s">
        <v>2754</v>
      </c>
    </row>
    <row r="1695" spans="4:9" x14ac:dyDescent="0.2">
      <c r="D1695" t="s">
        <v>1775</v>
      </c>
      <c r="G1695" s="3" t="str">
        <f t="shared" si="26"/>
        <v>9184</v>
      </c>
      <c r="H1695" s="3" t="s">
        <v>4430</v>
      </c>
      <c r="I1695" s="25" t="s">
        <v>2754</v>
      </c>
    </row>
    <row r="1696" spans="4:9" x14ac:dyDescent="0.2">
      <c r="D1696" t="s">
        <v>1776</v>
      </c>
      <c r="G1696" s="3" t="str">
        <f t="shared" si="26"/>
        <v>918C</v>
      </c>
      <c r="H1696" s="3" t="s">
        <v>4431</v>
      </c>
      <c r="I1696" s="25" t="s">
        <v>2754</v>
      </c>
    </row>
    <row r="1697" spans="4:9" x14ac:dyDescent="0.2">
      <c r="D1697" t="s">
        <v>1777</v>
      </c>
      <c r="G1697" s="3" t="str">
        <f t="shared" si="26"/>
        <v>91AA</v>
      </c>
      <c r="H1697" s="3" t="s">
        <v>4432</v>
      </c>
      <c r="I1697" s="25" t="s">
        <v>2754</v>
      </c>
    </row>
    <row r="1698" spans="4:9" x14ac:dyDescent="0.2">
      <c r="D1698" t="s">
        <v>1778</v>
      </c>
      <c r="G1698" s="3" t="str">
        <f t="shared" si="26"/>
        <v>91BE</v>
      </c>
      <c r="H1698" s="3" t="s">
        <v>4433</v>
      </c>
      <c r="I1698" s="25" t="s">
        <v>2754</v>
      </c>
    </row>
    <row r="1699" spans="4:9" x14ac:dyDescent="0.2">
      <c r="D1699" t="s">
        <v>1779</v>
      </c>
      <c r="G1699" s="3" t="str">
        <f t="shared" si="26"/>
        <v>91D2</v>
      </c>
      <c r="H1699" s="3" t="s">
        <v>4434</v>
      </c>
      <c r="I1699" s="25" t="s">
        <v>2754</v>
      </c>
    </row>
    <row r="1700" spans="4:9" x14ac:dyDescent="0.2">
      <c r="D1700" t="s">
        <v>1780</v>
      </c>
      <c r="G1700" s="3" t="str">
        <f t="shared" si="26"/>
        <v>91D8</v>
      </c>
      <c r="H1700" s="3" t="s">
        <v>4435</v>
      </c>
      <c r="I1700" s="25" t="s">
        <v>2754</v>
      </c>
    </row>
    <row r="1701" spans="4:9" x14ac:dyDescent="0.2">
      <c r="D1701" t="s">
        <v>1781</v>
      </c>
      <c r="G1701" s="3" t="str">
        <f t="shared" si="26"/>
        <v>9216</v>
      </c>
      <c r="H1701" s="3" t="s">
        <v>4436</v>
      </c>
      <c r="I1701" s="25" t="s">
        <v>2754</v>
      </c>
    </row>
    <row r="1702" spans="4:9" x14ac:dyDescent="0.2">
      <c r="D1702" t="s">
        <v>1782</v>
      </c>
      <c r="G1702" s="3" t="str">
        <f t="shared" si="26"/>
        <v>9238</v>
      </c>
      <c r="H1702" s="3" t="s">
        <v>4437</v>
      </c>
      <c r="I1702" s="25" t="s">
        <v>2754</v>
      </c>
    </row>
    <row r="1703" spans="4:9" x14ac:dyDescent="0.2">
      <c r="D1703" t="s">
        <v>1783</v>
      </c>
      <c r="G1703" s="3" t="str">
        <f t="shared" si="26"/>
        <v>9248</v>
      </c>
      <c r="H1703" s="3" t="s">
        <v>4438</v>
      </c>
      <c r="I1703" s="25" t="s">
        <v>2754</v>
      </c>
    </row>
    <row r="1704" spans="4:9" x14ac:dyDescent="0.2">
      <c r="D1704" t="s">
        <v>1784</v>
      </c>
      <c r="G1704" s="3" t="str">
        <f t="shared" si="26"/>
        <v>924E</v>
      </c>
      <c r="H1704" s="3" t="s">
        <v>4439</v>
      </c>
      <c r="I1704" s="25" t="s">
        <v>2754</v>
      </c>
    </row>
    <row r="1705" spans="4:9" x14ac:dyDescent="0.2">
      <c r="D1705" t="s">
        <v>1785</v>
      </c>
      <c r="G1705" s="3" t="str">
        <f t="shared" si="26"/>
        <v>9250</v>
      </c>
      <c r="H1705" s="3" t="s">
        <v>4440</v>
      </c>
      <c r="I1705" s="25" t="s">
        <v>2754</v>
      </c>
    </row>
    <row r="1706" spans="4:9" x14ac:dyDescent="0.2">
      <c r="D1706" t="s">
        <v>1786</v>
      </c>
      <c r="G1706" s="3" t="str">
        <f t="shared" si="26"/>
        <v>9276</v>
      </c>
      <c r="H1706" s="3" t="s">
        <v>4441</v>
      </c>
      <c r="I1706" s="25" t="s">
        <v>2754</v>
      </c>
    </row>
    <row r="1707" spans="4:9" x14ac:dyDescent="0.2">
      <c r="D1707" t="s">
        <v>1787</v>
      </c>
      <c r="G1707" s="3" t="str">
        <f t="shared" si="26"/>
        <v>927C</v>
      </c>
      <c r="H1707" s="3" t="s">
        <v>4442</v>
      </c>
      <c r="I1707" s="25" t="s">
        <v>2754</v>
      </c>
    </row>
    <row r="1708" spans="4:9" x14ac:dyDescent="0.2">
      <c r="D1708" t="s">
        <v>1788</v>
      </c>
      <c r="G1708" s="3" t="str">
        <f t="shared" si="26"/>
        <v>9292</v>
      </c>
      <c r="H1708" s="3" t="s">
        <v>4443</v>
      </c>
      <c r="I1708" s="25" t="s">
        <v>2754</v>
      </c>
    </row>
    <row r="1709" spans="4:9" x14ac:dyDescent="0.2">
      <c r="D1709" t="s">
        <v>1789</v>
      </c>
      <c r="G1709" s="3" t="str">
        <f t="shared" si="26"/>
        <v>9296</v>
      </c>
      <c r="H1709" s="3" t="s">
        <v>4444</v>
      </c>
      <c r="I1709" s="25" t="s">
        <v>2754</v>
      </c>
    </row>
    <row r="1710" spans="4:9" x14ac:dyDescent="0.2">
      <c r="D1710" t="s">
        <v>1790</v>
      </c>
      <c r="G1710" s="3" t="str">
        <f t="shared" si="26"/>
        <v>929C</v>
      </c>
      <c r="H1710" s="3" t="s">
        <v>4445</v>
      </c>
      <c r="I1710" s="25" t="s">
        <v>2754</v>
      </c>
    </row>
    <row r="1711" spans="4:9" x14ac:dyDescent="0.2">
      <c r="D1711" t="s">
        <v>1791</v>
      </c>
      <c r="G1711" s="3" t="str">
        <f t="shared" si="26"/>
        <v>92A4</v>
      </c>
      <c r="H1711" s="3" t="s">
        <v>4446</v>
      </c>
      <c r="I1711" s="25" t="s">
        <v>2754</v>
      </c>
    </row>
    <row r="1712" spans="4:9" x14ac:dyDescent="0.2">
      <c r="D1712" t="s">
        <v>1792</v>
      </c>
      <c r="G1712" s="3" t="str">
        <f t="shared" si="26"/>
        <v>92BA</v>
      </c>
      <c r="H1712" s="3" t="s">
        <v>4447</v>
      </c>
      <c r="I1712" s="25" t="s">
        <v>2754</v>
      </c>
    </row>
    <row r="1713" spans="4:9" x14ac:dyDescent="0.2">
      <c r="D1713" t="s">
        <v>1793</v>
      </c>
      <c r="G1713" s="3" t="str">
        <f t="shared" si="26"/>
        <v>92C2</v>
      </c>
      <c r="H1713" s="3" t="s">
        <v>4448</v>
      </c>
      <c r="I1713" s="25" t="s">
        <v>2754</v>
      </c>
    </row>
    <row r="1714" spans="4:9" x14ac:dyDescent="0.2">
      <c r="D1714" t="s">
        <v>1794</v>
      </c>
      <c r="G1714" s="3" t="str">
        <f t="shared" si="26"/>
        <v>92CA</v>
      </c>
      <c r="H1714" s="3" t="s">
        <v>4449</v>
      </c>
      <c r="I1714" s="25" t="s">
        <v>2754</v>
      </c>
    </row>
    <row r="1715" spans="4:9" x14ac:dyDescent="0.2">
      <c r="D1715" t="s">
        <v>1795</v>
      </c>
      <c r="G1715" s="3" t="str">
        <f t="shared" si="26"/>
        <v>92CE</v>
      </c>
      <c r="H1715" s="3" t="s">
        <v>4450</v>
      </c>
      <c r="I1715" s="25" t="s">
        <v>2754</v>
      </c>
    </row>
    <row r="1716" spans="4:9" x14ac:dyDescent="0.2">
      <c r="D1716" t="s">
        <v>1796</v>
      </c>
      <c r="G1716" s="3" t="str">
        <f t="shared" si="26"/>
        <v/>
      </c>
      <c r="H1716" s="3" t="s">
        <v>2754</v>
      </c>
      <c r="I1716" s="25" t="s">
        <v>1796</v>
      </c>
    </row>
    <row r="1717" spans="4:9" x14ac:dyDescent="0.2">
      <c r="D1717" t="s">
        <v>1797</v>
      </c>
      <c r="G1717" s="3" t="str">
        <f t="shared" si="26"/>
        <v>92EA</v>
      </c>
      <c r="H1717" s="3" t="s">
        <v>4451</v>
      </c>
      <c r="I1717" s="25" t="s">
        <v>6995</v>
      </c>
    </row>
    <row r="1718" spans="4:9" x14ac:dyDescent="0.2">
      <c r="D1718" t="s">
        <v>1798</v>
      </c>
      <c r="G1718" s="3" t="str">
        <f t="shared" si="26"/>
        <v>933C</v>
      </c>
      <c r="H1718" s="3" t="s">
        <v>4452</v>
      </c>
      <c r="I1718" s="25" t="s">
        <v>8028</v>
      </c>
    </row>
    <row r="1719" spans="4:9" x14ac:dyDescent="0.2">
      <c r="D1719" t="s">
        <v>1799</v>
      </c>
      <c r="G1719" s="3" t="str">
        <f t="shared" si="26"/>
        <v>934C</v>
      </c>
      <c r="H1719" s="3" t="s">
        <v>4453</v>
      </c>
      <c r="I1719" s="25" t="s">
        <v>8029</v>
      </c>
    </row>
    <row r="1720" spans="4:9" x14ac:dyDescent="0.2">
      <c r="D1720" t="s">
        <v>1800</v>
      </c>
      <c r="G1720" s="3" t="str">
        <f t="shared" si="26"/>
        <v>9364</v>
      </c>
      <c r="H1720" s="3" t="s">
        <v>4454</v>
      </c>
      <c r="I1720" s="25" t="s">
        <v>8030</v>
      </c>
    </row>
    <row r="1721" spans="4:9" s="10" customFormat="1" x14ac:dyDescent="0.2">
      <c r="D1721" s="10" t="s">
        <v>1801</v>
      </c>
      <c r="E1721" s="31"/>
      <c r="G1721" s="42" t="str">
        <f t="shared" si="26"/>
        <v>9366</v>
      </c>
      <c r="H1721" s="42" t="s">
        <v>4455</v>
      </c>
      <c r="I1721" s="10" t="s">
        <v>8477</v>
      </c>
    </row>
    <row r="1722" spans="4:9" x14ac:dyDescent="0.2">
      <c r="D1722" t="s">
        <v>1802</v>
      </c>
      <c r="G1722" s="3" t="str">
        <f t="shared" si="26"/>
        <v>937C</v>
      </c>
      <c r="H1722" s="3" t="s">
        <v>4456</v>
      </c>
    </row>
    <row r="1723" spans="4:9" x14ac:dyDescent="0.2">
      <c r="D1723" t="s">
        <v>1803</v>
      </c>
      <c r="G1723" s="3" t="str">
        <f t="shared" si="26"/>
        <v>937E</v>
      </c>
      <c r="H1723" s="3" t="s">
        <v>4457</v>
      </c>
      <c r="I1723" s="25" t="s">
        <v>8124</v>
      </c>
    </row>
    <row r="1724" spans="4:9" x14ac:dyDescent="0.2">
      <c r="D1724" t="s">
        <v>1804</v>
      </c>
      <c r="G1724" s="3" t="str">
        <f t="shared" si="26"/>
        <v>93B2</v>
      </c>
      <c r="H1724" s="3" t="s">
        <v>4458</v>
      </c>
      <c r="I1724" s="25" t="s">
        <v>2754</v>
      </c>
    </row>
    <row r="1725" spans="4:9" x14ac:dyDescent="0.2">
      <c r="D1725" t="s">
        <v>1805</v>
      </c>
      <c r="G1725" s="3" t="str">
        <f t="shared" si="26"/>
        <v>93BC</v>
      </c>
      <c r="H1725" s="3" t="s">
        <v>4459</v>
      </c>
      <c r="I1725" s="25" t="s">
        <v>2754</v>
      </c>
    </row>
    <row r="1726" spans="4:9" x14ac:dyDescent="0.2">
      <c r="D1726" t="s">
        <v>1806</v>
      </c>
      <c r="G1726" s="3" t="str">
        <f t="shared" si="26"/>
        <v>93C6</v>
      </c>
      <c r="H1726" s="3" t="s">
        <v>4460</v>
      </c>
      <c r="I1726" s="25" t="s">
        <v>2754</v>
      </c>
    </row>
    <row r="1727" spans="4:9" x14ac:dyDescent="0.2">
      <c r="D1727" t="s">
        <v>1807</v>
      </c>
      <c r="G1727" s="3" t="str">
        <f t="shared" si="26"/>
        <v>93DA</v>
      </c>
      <c r="H1727" s="3" t="s">
        <v>4461</v>
      </c>
      <c r="I1727" s="25" t="s">
        <v>2754</v>
      </c>
    </row>
    <row r="1728" spans="4:9" x14ac:dyDescent="0.2">
      <c r="D1728" t="s">
        <v>1808</v>
      </c>
      <c r="G1728" s="3" t="str">
        <f t="shared" si="26"/>
        <v>93E4</v>
      </c>
      <c r="H1728" s="3" t="s">
        <v>4462</v>
      </c>
      <c r="I1728" s="25" t="s">
        <v>2754</v>
      </c>
    </row>
    <row r="1729" spans="4:9" x14ac:dyDescent="0.2">
      <c r="D1729" t="s">
        <v>1809</v>
      </c>
      <c r="G1729" s="3" t="str">
        <f t="shared" si="26"/>
        <v>9422</v>
      </c>
      <c r="H1729" s="3" t="s">
        <v>4463</v>
      </c>
      <c r="I1729" s="25" t="s">
        <v>2754</v>
      </c>
    </row>
    <row r="1730" spans="4:9" x14ac:dyDescent="0.2">
      <c r="D1730" t="s">
        <v>1810</v>
      </c>
      <c r="G1730" s="3" t="str">
        <f t="shared" si="26"/>
        <v>9434</v>
      </c>
      <c r="H1730" s="3" t="s">
        <v>4464</v>
      </c>
      <c r="I1730" s="25" t="s">
        <v>2754</v>
      </c>
    </row>
    <row r="1731" spans="4:9" x14ac:dyDescent="0.2">
      <c r="D1731" t="s">
        <v>1811</v>
      </c>
      <c r="G1731" s="3" t="str">
        <f t="shared" si="26"/>
        <v>9436</v>
      </c>
      <c r="H1731" s="3" t="s">
        <v>4465</v>
      </c>
      <c r="I1731" s="25" t="s">
        <v>2754</v>
      </c>
    </row>
    <row r="1732" spans="4:9" x14ac:dyDescent="0.2">
      <c r="D1732" t="s">
        <v>1812</v>
      </c>
      <c r="G1732" s="3" t="str">
        <f t="shared" si="26"/>
        <v>9440</v>
      </c>
      <c r="H1732" s="3" t="s">
        <v>4466</v>
      </c>
      <c r="I1732" s="25" t="s">
        <v>2754</v>
      </c>
    </row>
    <row r="1733" spans="4:9" x14ac:dyDescent="0.2">
      <c r="D1733" t="s">
        <v>1813</v>
      </c>
      <c r="G1733" s="3" t="str">
        <f t="shared" si="26"/>
        <v>9444</v>
      </c>
      <c r="H1733" s="3" t="s">
        <v>4467</v>
      </c>
      <c r="I1733" s="25" t="s">
        <v>2754</v>
      </c>
    </row>
    <row r="1734" spans="4:9" x14ac:dyDescent="0.2">
      <c r="D1734" t="s">
        <v>1814</v>
      </c>
      <c r="G1734" s="3" t="str">
        <f t="shared" si="26"/>
        <v>9446</v>
      </c>
      <c r="H1734" s="3" t="s">
        <v>4468</v>
      </c>
      <c r="I1734" s="25" t="s">
        <v>2754</v>
      </c>
    </row>
    <row r="1735" spans="4:9" x14ac:dyDescent="0.2">
      <c r="D1735" t="s">
        <v>1815</v>
      </c>
      <c r="G1735" s="3" t="str">
        <f t="shared" si="26"/>
        <v>9448</v>
      </c>
      <c r="H1735" s="3" t="s">
        <v>4469</v>
      </c>
      <c r="I1735" s="25" t="s">
        <v>8121</v>
      </c>
    </row>
    <row r="1736" spans="4:9" x14ac:dyDescent="0.2">
      <c r="D1736" t="s">
        <v>1816</v>
      </c>
      <c r="G1736" s="3" t="str">
        <f t="shared" si="26"/>
        <v>947C</v>
      </c>
      <c r="H1736" s="3" t="s">
        <v>4470</v>
      </c>
      <c r="I1736" s="25" t="s">
        <v>2754</v>
      </c>
    </row>
    <row r="1737" spans="4:9" x14ac:dyDescent="0.2">
      <c r="D1737" t="s">
        <v>1817</v>
      </c>
      <c r="G1737" s="3" t="str">
        <f t="shared" si="26"/>
        <v>94C4</v>
      </c>
      <c r="H1737" s="3" t="s">
        <v>4471</v>
      </c>
      <c r="I1737" s="25" t="s">
        <v>2754</v>
      </c>
    </row>
    <row r="1738" spans="4:9" x14ac:dyDescent="0.2">
      <c r="D1738" t="s">
        <v>1818</v>
      </c>
      <c r="G1738" s="3" t="str">
        <f t="shared" si="26"/>
        <v>94D6</v>
      </c>
      <c r="H1738" s="3" t="s">
        <v>4472</v>
      </c>
      <c r="I1738" s="25" t="s">
        <v>2754</v>
      </c>
    </row>
    <row r="1739" spans="4:9" x14ac:dyDescent="0.2">
      <c r="D1739" t="s">
        <v>1819</v>
      </c>
      <c r="G1739" s="3" t="str">
        <f t="shared" ref="G1739:G1802" si="27">IF(H1739&lt;&gt;"",DEC2HEX(HEX2DEC(H1739)-932),"")</f>
        <v>94E4</v>
      </c>
      <c r="H1739" s="3" t="s">
        <v>4473</v>
      </c>
      <c r="I1739" s="25" t="s">
        <v>2754</v>
      </c>
    </row>
    <row r="1740" spans="4:9" x14ac:dyDescent="0.2">
      <c r="D1740" t="s">
        <v>1820</v>
      </c>
      <c r="G1740" s="3" t="str">
        <f t="shared" si="27"/>
        <v>94F2</v>
      </c>
      <c r="H1740" s="3" t="s">
        <v>4474</v>
      </c>
      <c r="I1740" s="25" t="s">
        <v>2754</v>
      </c>
    </row>
    <row r="1741" spans="4:9" x14ac:dyDescent="0.2">
      <c r="D1741" t="s">
        <v>1821</v>
      </c>
      <c r="G1741" s="3" t="str">
        <f t="shared" si="27"/>
        <v>94F8</v>
      </c>
      <c r="H1741" s="3" t="s">
        <v>4475</v>
      </c>
      <c r="I1741" s="25" t="s">
        <v>2754</v>
      </c>
    </row>
    <row r="1742" spans="4:9" x14ac:dyDescent="0.2">
      <c r="D1742" t="s">
        <v>1822</v>
      </c>
      <c r="G1742" s="3" t="str">
        <f t="shared" si="27"/>
        <v>9502</v>
      </c>
      <c r="H1742" s="3" t="s">
        <v>4476</v>
      </c>
      <c r="I1742" s="25" t="s">
        <v>2754</v>
      </c>
    </row>
    <row r="1743" spans="4:9" x14ac:dyDescent="0.2">
      <c r="D1743" t="s">
        <v>1823</v>
      </c>
      <c r="G1743" s="3" t="str">
        <f t="shared" si="27"/>
        <v>950A</v>
      </c>
      <c r="H1743" s="3" t="s">
        <v>4477</v>
      </c>
      <c r="I1743" s="25" t="s">
        <v>2754</v>
      </c>
    </row>
    <row r="1744" spans="4:9" x14ac:dyDescent="0.2">
      <c r="D1744" t="s">
        <v>1824</v>
      </c>
      <c r="G1744" s="3" t="str">
        <f t="shared" si="27"/>
        <v>9526</v>
      </c>
      <c r="H1744" s="3" t="s">
        <v>4478</v>
      </c>
      <c r="I1744" s="25" t="s">
        <v>2754</v>
      </c>
    </row>
    <row r="1745" spans="4:9" x14ac:dyDescent="0.2">
      <c r="D1745" t="s">
        <v>1825</v>
      </c>
      <c r="G1745" s="3" t="str">
        <f t="shared" si="27"/>
        <v>9528</v>
      </c>
      <c r="H1745" s="3" t="s">
        <v>4479</v>
      </c>
      <c r="I1745" s="25" t="s">
        <v>2754</v>
      </c>
    </row>
    <row r="1746" spans="4:9" x14ac:dyDescent="0.2">
      <c r="D1746" t="s">
        <v>1826</v>
      </c>
      <c r="G1746" s="3" t="str">
        <f t="shared" si="27"/>
        <v>952A</v>
      </c>
      <c r="H1746" s="3" t="s">
        <v>4480</v>
      </c>
      <c r="I1746" s="25" t="s">
        <v>8125</v>
      </c>
    </row>
    <row r="1747" spans="4:9" x14ac:dyDescent="0.2">
      <c r="D1747" t="s">
        <v>1827</v>
      </c>
      <c r="G1747" s="3" t="str">
        <f t="shared" si="27"/>
        <v>9568</v>
      </c>
      <c r="H1747" s="3" t="s">
        <v>4481</v>
      </c>
      <c r="I1747" s="25" t="s">
        <v>2754</v>
      </c>
    </row>
    <row r="1748" spans="4:9" x14ac:dyDescent="0.2">
      <c r="D1748" t="s">
        <v>1828</v>
      </c>
      <c r="G1748" s="3" t="str">
        <f t="shared" si="27"/>
        <v>9578</v>
      </c>
      <c r="H1748" s="3" t="s">
        <v>4482</v>
      </c>
      <c r="I1748" s="25" t="s">
        <v>2754</v>
      </c>
    </row>
    <row r="1749" spans="4:9" x14ac:dyDescent="0.2">
      <c r="D1749" t="s">
        <v>1829</v>
      </c>
      <c r="G1749" s="3" t="str">
        <f t="shared" si="27"/>
        <v>957C</v>
      </c>
      <c r="H1749" s="3" t="s">
        <v>4483</v>
      </c>
      <c r="I1749" s="25" t="s">
        <v>2754</v>
      </c>
    </row>
    <row r="1750" spans="4:9" x14ac:dyDescent="0.2">
      <c r="D1750" t="s">
        <v>1830</v>
      </c>
      <c r="G1750" s="3" t="str">
        <f t="shared" si="27"/>
        <v>9590</v>
      </c>
      <c r="H1750" s="3" t="s">
        <v>4484</v>
      </c>
      <c r="I1750" s="25" t="s">
        <v>2754</v>
      </c>
    </row>
    <row r="1751" spans="4:9" x14ac:dyDescent="0.2">
      <c r="D1751" t="s">
        <v>1831</v>
      </c>
      <c r="G1751" s="3" t="str">
        <f t="shared" si="27"/>
        <v>959E</v>
      </c>
      <c r="H1751" s="3" t="s">
        <v>4485</v>
      </c>
      <c r="I1751" s="25" t="s">
        <v>2754</v>
      </c>
    </row>
    <row r="1752" spans="4:9" x14ac:dyDescent="0.2">
      <c r="D1752" t="s">
        <v>1832</v>
      </c>
      <c r="G1752" s="3" t="str">
        <f t="shared" si="27"/>
        <v>95C6</v>
      </c>
      <c r="H1752" s="3" t="s">
        <v>4486</v>
      </c>
      <c r="I1752" s="25" t="s">
        <v>2754</v>
      </c>
    </row>
    <row r="1753" spans="4:9" x14ac:dyDescent="0.2">
      <c r="D1753" t="s">
        <v>1833</v>
      </c>
      <c r="G1753" s="3" t="str">
        <f t="shared" si="27"/>
        <v>95D8</v>
      </c>
      <c r="H1753" s="3" t="s">
        <v>4487</v>
      </c>
      <c r="I1753" s="25" t="s">
        <v>2754</v>
      </c>
    </row>
    <row r="1754" spans="4:9" x14ac:dyDescent="0.2">
      <c r="D1754" t="s">
        <v>1834</v>
      </c>
      <c r="G1754" s="3" t="str">
        <f t="shared" si="27"/>
        <v>95EC</v>
      </c>
      <c r="H1754" s="3" t="s">
        <v>4488</v>
      </c>
      <c r="I1754" s="25" t="s">
        <v>2754</v>
      </c>
    </row>
    <row r="1755" spans="4:9" x14ac:dyDescent="0.2">
      <c r="D1755" t="s">
        <v>1835</v>
      </c>
      <c r="G1755" s="3" t="str">
        <f t="shared" si="27"/>
        <v>95F6</v>
      </c>
      <c r="H1755" s="3" t="s">
        <v>4489</v>
      </c>
      <c r="I1755" s="25" t="s">
        <v>2754</v>
      </c>
    </row>
    <row r="1756" spans="4:9" x14ac:dyDescent="0.2">
      <c r="D1756" t="s">
        <v>1836</v>
      </c>
      <c r="G1756" s="3" t="str">
        <f t="shared" si="27"/>
        <v>9608</v>
      </c>
      <c r="H1756" s="3" t="s">
        <v>4490</v>
      </c>
      <c r="I1756" s="25" t="s">
        <v>2754</v>
      </c>
    </row>
    <row r="1757" spans="4:9" x14ac:dyDescent="0.2">
      <c r="D1757" t="s">
        <v>1837</v>
      </c>
      <c r="G1757" s="3" t="str">
        <f t="shared" si="27"/>
        <v>960C</v>
      </c>
      <c r="H1757" s="3" t="s">
        <v>4491</v>
      </c>
      <c r="I1757" s="25" t="s">
        <v>2754</v>
      </c>
    </row>
    <row r="1758" spans="4:9" x14ac:dyDescent="0.2">
      <c r="D1758" t="s">
        <v>1838</v>
      </c>
      <c r="G1758" s="3" t="str">
        <f t="shared" si="27"/>
        <v>9614</v>
      </c>
      <c r="H1758" s="3" t="s">
        <v>4492</v>
      </c>
      <c r="I1758" s="25" t="s">
        <v>2754</v>
      </c>
    </row>
    <row r="1759" spans="4:9" x14ac:dyDescent="0.2">
      <c r="D1759" t="s">
        <v>1839</v>
      </c>
      <c r="G1759" s="3" t="str">
        <f t="shared" si="27"/>
        <v>9646</v>
      </c>
      <c r="H1759" s="3" t="s">
        <v>4493</v>
      </c>
      <c r="I1759" s="25" t="s">
        <v>8126</v>
      </c>
    </row>
    <row r="1760" spans="4:9" x14ac:dyDescent="0.2">
      <c r="D1760" t="s">
        <v>1840</v>
      </c>
      <c r="G1760" s="3" t="str">
        <f t="shared" si="27"/>
        <v>9648</v>
      </c>
      <c r="H1760" s="3" t="s">
        <v>4494</v>
      </c>
      <c r="I1760" s="25" t="s">
        <v>8127</v>
      </c>
    </row>
    <row r="1761" spans="4:9" x14ac:dyDescent="0.2">
      <c r="D1761" t="s">
        <v>1841</v>
      </c>
      <c r="G1761" s="3" t="str">
        <f t="shared" si="27"/>
        <v>964A</v>
      </c>
      <c r="H1761" s="3" t="s">
        <v>4495</v>
      </c>
      <c r="I1761" s="25" t="s">
        <v>2754</v>
      </c>
    </row>
    <row r="1762" spans="4:9" x14ac:dyDescent="0.2">
      <c r="D1762" t="s">
        <v>1842</v>
      </c>
      <c r="G1762" s="3" t="str">
        <f t="shared" si="27"/>
        <v>964B</v>
      </c>
      <c r="H1762" s="3" t="s">
        <v>4496</v>
      </c>
      <c r="I1762" s="25" t="s">
        <v>2754</v>
      </c>
    </row>
    <row r="1763" spans="4:9" x14ac:dyDescent="0.2">
      <c r="D1763" t="s">
        <v>1843</v>
      </c>
      <c r="G1763" s="3" t="str">
        <f t="shared" si="27"/>
        <v/>
      </c>
      <c r="H1763" s="3" t="s">
        <v>2754</v>
      </c>
      <c r="I1763" s="25" t="s">
        <v>8219</v>
      </c>
    </row>
    <row r="1764" spans="4:9" x14ac:dyDescent="0.2">
      <c r="D1764" t="s">
        <v>1844</v>
      </c>
      <c r="G1764" s="3" t="str">
        <f t="shared" si="27"/>
        <v>966C</v>
      </c>
      <c r="H1764" s="3" t="s">
        <v>4497</v>
      </c>
      <c r="I1764" s="25" t="s">
        <v>2754</v>
      </c>
    </row>
    <row r="1765" spans="4:9" x14ac:dyDescent="0.2">
      <c r="D1765" t="s">
        <v>1845</v>
      </c>
      <c r="G1765" s="3" t="str">
        <f t="shared" si="27"/>
        <v>968E</v>
      </c>
      <c r="H1765" s="3" t="s">
        <v>4498</v>
      </c>
      <c r="I1765" s="25" t="s">
        <v>2754</v>
      </c>
    </row>
    <row r="1766" spans="4:9" x14ac:dyDescent="0.2">
      <c r="D1766" t="s">
        <v>1846</v>
      </c>
      <c r="G1766" s="3" t="str">
        <f t="shared" si="27"/>
        <v>96A0</v>
      </c>
      <c r="H1766" s="3" t="s">
        <v>4499</v>
      </c>
      <c r="I1766" s="25" t="s">
        <v>2754</v>
      </c>
    </row>
    <row r="1767" spans="4:9" x14ac:dyDescent="0.2">
      <c r="D1767" t="s">
        <v>1847</v>
      </c>
      <c r="G1767" s="3" t="str">
        <f t="shared" si="27"/>
        <v>96AE</v>
      </c>
      <c r="H1767" s="3" t="s">
        <v>4500</v>
      </c>
      <c r="I1767" s="25" t="s">
        <v>2754</v>
      </c>
    </row>
    <row r="1768" spans="4:9" x14ac:dyDescent="0.2">
      <c r="D1768" t="s">
        <v>1848</v>
      </c>
      <c r="G1768" s="3" t="str">
        <f t="shared" si="27"/>
        <v>96B6</v>
      </c>
      <c r="H1768" s="3" t="s">
        <v>4501</v>
      </c>
      <c r="I1768" s="25" t="s">
        <v>2754</v>
      </c>
    </row>
    <row r="1769" spans="4:9" x14ac:dyDescent="0.2">
      <c r="D1769" t="s">
        <v>1849</v>
      </c>
      <c r="G1769" s="3" t="str">
        <f t="shared" si="27"/>
        <v>96BE</v>
      </c>
      <c r="H1769" s="3" t="s">
        <v>4502</v>
      </c>
      <c r="I1769" s="25" t="s">
        <v>2754</v>
      </c>
    </row>
    <row r="1770" spans="4:9" x14ac:dyDescent="0.2">
      <c r="D1770" t="s">
        <v>1850</v>
      </c>
      <c r="G1770" s="3" t="str">
        <f t="shared" si="27"/>
        <v>96E8</v>
      </c>
      <c r="H1770" s="3" t="s">
        <v>4503</v>
      </c>
      <c r="I1770" s="25" t="s">
        <v>2754</v>
      </c>
    </row>
    <row r="1771" spans="4:9" x14ac:dyDescent="0.2">
      <c r="D1771" t="s">
        <v>1851</v>
      </c>
      <c r="G1771" s="3" t="str">
        <f t="shared" si="27"/>
        <v>96EC</v>
      </c>
      <c r="H1771" s="3" t="s">
        <v>4504</v>
      </c>
      <c r="I1771" s="25" t="s">
        <v>2754</v>
      </c>
    </row>
    <row r="1772" spans="4:9" x14ac:dyDescent="0.2">
      <c r="D1772" t="s">
        <v>1852</v>
      </c>
      <c r="G1772" s="3" t="str">
        <f t="shared" si="27"/>
        <v>96F4</v>
      </c>
      <c r="H1772" s="3" t="s">
        <v>4505</v>
      </c>
      <c r="I1772" s="25" t="s">
        <v>2754</v>
      </c>
    </row>
    <row r="1773" spans="4:9" x14ac:dyDescent="0.2">
      <c r="D1773" t="s">
        <v>1853</v>
      </c>
      <c r="G1773" s="3" t="str">
        <f t="shared" si="27"/>
        <v>96F6</v>
      </c>
      <c r="H1773" s="3" t="s">
        <v>4506</v>
      </c>
      <c r="I1773" s="25" t="s">
        <v>2754</v>
      </c>
    </row>
    <row r="1774" spans="4:9" x14ac:dyDescent="0.2">
      <c r="D1774" t="s">
        <v>1854</v>
      </c>
      <c r="G1774" s="3" t="str">
        <f t="shared" si="27"/>
        <v>9718</v>
      </c>
      <c r="H1774" s="3" t="s">
        <v>4507</v>
      </c>
      <c r="I1774" s="25" t="s">
        <v>2754</v>
      </c>
    </row>
    <row r="1775" spans="4:9" x14ac:dyDescent="0.2">
      <c r="D1775" t="s">
        <v>1855</v>
      </c>
      <c r="G1775" s="3" t="str">
        <f t="shared" si="27"/>
        <v>972C</v>
      </c>
      <c r="H1775" s="3" t="s">
        <v>4508</v>
      </c>
      <c r="I1775" s="25" t="s">
        <v>2754</v>
      </c>
    </row>
    <row r="1776" spans="4:9" x14ac:dyDescent="0.2">
      <c r="D1776" t="s">
        <v>1856</v>
      </c>
      <c r="G1776" s="3" t="str">
        <f t="shared" si="27"/>
        <v>9746</v>
      </c>
      <c r="H1776" s="3" t="s">
        <v>4509</v>
      </c>
      <c r="I1776" s="25" t="s">
        <v>2754</v>
      </c>
    </row>
    <row r="1777" spans="4:9" x14ac:dyDescent="0.2">
      <c r="D1777" t="s">
        <v>1857</v>
      </c>
      <c r="G1777" s="3" t="str">
        <f t="shared" si="27"/>
        <v>9748</v>
      </c>
      <c r="H1777" s="3" t="s">
        <v>4510</v>
      </c>
      <c r="I1777" s="25" t="s">
        <v>2754</v>
      </c>
    </row>
    <row r="1778" spans="4:9" x14ac:dyDescent="0.2">
      <c r="D1778" t="s">
        <v>1858</v>
      </c>
      <c r="G1778" s="3" t="str">
        <f t="shared" si="27"/>
        <v>9762</v>
      </c>
      <c r="H1778" s="3" t="s">
        <v>4511</v>
      </c>
      <c r="I1778" s="25" t="s">
        <v>2754</v>
      </c>
    </row>
    <row r="1779" spans="4:9" x14ac:dyDescent="0.2">
      <c r="D1779" t="s">
        <v>1859</v>
      </c>
      <c r="G1779" s="3" t="str">
        <f t="shared" si="27"/>
        <v>9766</v>
      </c>
      <c r="H1779" s="3" t="s">
        <v>4512</v>
      </c>
      <c r="I1779" s="25" t="s">
        <v>2754</v>
      </c>
    </row>
    <row r="1780" spans="4:9" x14ac:dyDescent="0.2">
      <c r="D1780" t="s">
        <v>1860</v>
      </c>
      <c r="G1780" s="3" t="str">
        <f t="shared" si="27"/>
        <v>976A</v>
      </c>
      <c r="H1780" s="3" t="s">
        <v>4513</v>
      </c>
      <c r="I1780" s="25" t="s">
        <v>2754</v>
      </c>
    </row>
    <row r="1781" spans="4:9" x14ac:dyDescent="0.2">
      <c r="D1781" t="s">
        <v>1861</v>
      </c>
      <c r="G1781" s="3" t="str">
        <f t="shared" si="27"/>
        <v>976E</v>
      </c>
      <c r="H1781" s="3" t="s">
        <v>4514</v>
      </c>
      <c r="I1781" s="25" t="s">
        <v>2754</v>
      </c>
    </row>
    <row r="1782" spans="4:9" x14ac:dyDescent="0.2">
      <c r="D1782" t="s">
        <v>1862</v>
      </c>
      <c r="G1782" s="3" t="str">
        <f t="shared" si="27"/>
        <v>97B0</v>
      </c>
      <c r="H1782" s="3" t="s">
        <v>4515</v>
      </c>
      <c r="I1782" s="25" t="s">
        <v>2754</v>
      </c>
    </row>
    <row r="1783" spans="4:9" x14ac:dyDescent="0.2">
      <c r="D1783" t="s">
        <v>1863</v>
      </c>
      <c r="G1783" s="3" t="str">
        <f t="shared" si="27"/>
        <v>97C0</v>
      </c>
      <c r="H1783" s="3" t="s">
        <v>4516</v>
      </c>
      <c r="I1783" s="25" t="s">
        <v>2754</v>
      </c>
    </row>
    <row r="1784" spans="4:9" x14ac:dyDescent="0.2">
      <c r="D1784" t="s">
        <v>1864</v>
      </c>
      <c r="G1784" s="3" t="str">
        <f t="shared" si="27"/>
        <v>97C8</v>
      </c>
      <c r="H1784" s="3" t="s">
        <v>4517</v>
      </c>
      <c r="I1784" s="25" t="s">
        <v>2754</v>
      </c>
    </row>
    <row r="1785" spans="4:9" x14ac:dyDescent="0.2">
      <c r="D1785" t="s">
        <v>1865</v>
      </c>
      <c r="G1785" s="3" t="str">
        <f t="shared" si="27"/>
        <v>97D0</v>
      </c>
      <c r="H1785" s="3" t="s">
        <v>4518</v>
      </c>
      <c r="I1785" s="25" t="s">
        <v>2754</v>
      </c>
    </row>
    <row r="1786" spans="4:9" x14ac:dyDescent="0.2">
      <c r="D1786" t="s">
        <v>1866</v>
      </c>
      <c r="G1786" s="3" t="str">
        <f t="shared" si="27"/>
        <v>97D6</v>
      </c>
      <c r="H1786" s="3" t="s">
        <v>4519</v>
      </c>
      <c r="I1786" s="25" t="s">
        <v>2754</v>
      </c>
    </row>
    <row r="1787" spans="4:9" x14ac:dyDescent="0.2">
      <c r="D1787" t="s">
        <v>1867</v>
      </c>
      <c r="G1787" s="3" t="str">
        <f t="shared" si="27"/>
        <v>97DA</v>
      </c>
      <c r="H1787" s="3" t="s">
        <v>4520</v>
      </c>
      <c r="I1787" s="25" t="s">
        <v>2754</v>
      </c>
    </row>
    <row r="1788" spans="4:9" x14ac:dyDescent="0.2">
      <c r="D1788" t="s">
        <v>1868</v>
      </c>
      <c r="G1788" s="3" t="str">
        <f t="shared" si="27"/>
        <v>97E2</v>
      </c>
      <c r="H1788" s="3" t="s">
        <v>4521</v>
      </c>
      <c r="I1788" s="25" t="s">
        <v>2754</v>
      </c>
    </row>
    <row r="1789" spans="4:9" x14ac:dyDescent="0.2">
      <c r="D1789" t="s">
        <v>1869</v>
      </c>
      <c r="G1789" s="3" t="str">
        <f t="shared" si="27"/>
        <v>97F0</v>
      </c>
      <c r="H1789" s="3" t="s">
        <v>4522</v>
      </c>
      <c r="I1789" s="25" t="s">
        <v>2754</v>
      </c>
    </row>
    <row r="1790" spans="4:9" x14ac:dyDescent="0.2">
      <c r="D1790" t="s">
        <v>1870</v>
      </c>
      <c r="G1790" s="3" t="str">
        <f t="shared" si="27"/>
        <v>97F8</v>
      </c>
      <c r="H1790" s="3" t="s">
        <v>4523</v>
      </c>
      <c r="I1790" s="25" t="s">
        <v>2754</v>
      </c>
    </row>
    <row r="1791" spans="4:9" x14ac:dyDescent="0.2">
      <c r="D1791" t="s">
        <v>1871</v>
      </c>
      <c r="G1791" s="3" t="str">
        <f t="shared" si="27"/>
        <v/>
      </c>
      <c r="H1791" s="3" t="s">
        <v>2754</v>
      </c>
      <c r="I1791" s="25" t="s">
        <v>1871</v>
      </c>
    </row>
    <row r="1792" spans="4:9" x14ac:dyDescent="0.2">
      <c r="D1792" t="s">
        <v>1872</v>
      </c>
      <c r="G1792" s="3" t="str">
        <f t="shared" si="27"/>
        <v/>
      </c>
      <c r="H1792" s="3" t="s">
        <v>2754</v>
      </c>
      <c r="I1792" s="25" t="s">
        <v>1872</v>
      </c>
    </row>
    <row r="1793" spans="4:9" x14ac:dyDescent="0.2">
      <c r="D1793" t="s">
        <v>1873</v>
      </c>
      <c r="G1793" s="3" t="str">
        <f t="shared" si="27"/>
        <v>98AC</v>
      </c>
      <c r="H1793" s="3" t="s">
        <v>4524</v>
      </c>
      <c r="I1793" s="25" t="s">
        <v>8119</v>
      </c>
    </row>
    <row r="1794" spans="4:9" x14ac:dyDescent="0.2">
      <c r="D1794" t="s">
        <v>1874</v>
      </c>
      <c r="G1794" s="3" t="str">
        <f t="shared" si="27"/>
        <v>98F0</v>
      </c>
      <c r="H1794" s="3" t="s">
        <v>4525</v>
      </c>
      <c r="I1794" s="25" t="s">
        <v>2754</v>
      </c>
    </row>
    <row r="1795" spans="4:9" x14ac:dyDescent="0.2">
      <c r="D1795" t="s">
        <v>1875</v>
      </c>
      <c r="G1795" s="3" t="str">
        <f t="shared" si="27"/>
        <v>98F4</v>
      </c>
      <c r="H1795" s="3" t="s">
        <v>4526</v>
      </c>
      <c r="I1795" s="25" t="s">
        <v>8120</v>
      </c>
    </row>
    <row r="1796" spans="4:9" x14ac:dyDescent="0.2">
      <c r="D1796" t="s">
        <v>1876</v>
      </c>
      <c r="G1796" s="3" t="str">
        <f t="shared" si="27"/>
        <v>993C</v>
      </c>
      <c r="H1796" s="3" t="s">
        <v>4527</v>
      </c>
      <c r="I1796" s="25" t="s">
        <v>8117</v>
      </c>
    </row>
    <row r="1797" spans="4:9" x14ac:dyDescent="0.2">
      <c r="D1797" t="s">
        <v>1877</v>
      </c>
      <c r="G1797" s="3" t="str">
        <f t="shared" si="27"/>
        <v>9984</v>
      </c>
      <c r="H1797" s="3" t="s">
        <v>4528</v>
      </c>
      <c r="I1797" s="25" t="s">
        <v>8118</v>
      </c>
    </row>
    <row r="1798" spans="4:9" x14ac:dyDescent="0.2">
      <c r="D1798" t="s">
        <v>1878</v>
      </c>
      <c r="G1798" s="3" t="str">
        <f t="shared" si="27"/>
        <v>99CC</v>
      </c>
      <c r="H1798" s="3" t="s">
        <v>4529</v>
      </c>
    </row>
    <row r="1799" spans="4:9" x14ac:dyDescent="0.2">
      <c r="D1799" t="s">
        <v>1879</v>
      </c>
      <c r="G1799" s="3" t="str">
        <f t="shared" si="27"/>
        <v>99E0</v>
      </c>
      <c r="H1799" s="3" t="s">
        <v>4530</v>
      </c>
    </row>
    <row r="1800" spans="4:9" x14ac:dyDescent="0.2">
      <c r="D1800" t="s">
        <v>1880</v>
      </c>
      <c r="G1800" s="3" t="str">
        <f t="shared" si="27"/>
        <v>9A28</v>
      </c>
      <c r="H1800" s="3" t="s">
        <v>4531</v>
      </c>
    </row>
    <row r="1801" spans="4:9" x14ac:dyDescent="0.2">
      <c r="D1801" t="s">
        <v>1881</v>
      </c>
      <c r="G1801" s="3" t="str">
        <f t="shared" si="27"/>
        <v>9A58</v>
      </c>
      <c r="H1801" s="3" t="s">
        <v>4532</v>
      </c>
      <c r="I1801" s="25" t="s">
        <v>2754</v>
      </c>
    </row>
    <row r="1802" spans="4:9" x14ac:dyDescent="0.2">
      <c r="D1802" t="s">
        <v>1882</v>
      </c>
      <c r="G1802" s="3" t="str">
        <f t="shared" si="27"/>
        <v>9A5A</v>
      </c>
      <c r="H1802" s="3" t="s">
        <v>4533</v>
      </c>
      <c r="I1802" s="25" t="s">
        <v>2754</v>
      </c>
    </row>
    <row r="1803" spans="4:9" x14ac:dyDescent="0.2">
      <c r="D1803" t="s">
        <v>1883</v>
      </c>
      <c r="G1803" s="3" t="str">
        <f t="shared" ref="G1803:G1866" si="28">IF(H1803&lt;&gt;"",DEC2HEX(HEX2DEC(H1803)-932),"")</f>
        <v>9A64</v>
      </c>
      <c r="H1803" s="3" t="s">
        <v>4534</v>
      </c>
      <c r="I1803" s="25" t="s">
        <v>2754</v>
      </c>
    </row>
    <row r="1804" spans="4:9" x14ac:dyDescent="0.2">
      <c r="D1804" t="s">
        <v>1884</v>
      </c>
      <c r="G1804" s="3" t="str">
        <f t="shared" si="28"/>
        <v>9A7E</v>
      </c>
      <c r="H1804" s="3" t="s">
        <v>4535</v>
      </c>
      <c r="I1804" s="25" t="s">
        <v>2754</v>
      </c>
    </row>
    <row r="1805" spans="4:9" x14ac:dyDescent="0.2">
      <c r="D1805" t="s">
        <v>1885</v>
      </c>
      <c r="G1805" s="3" t="str">
        <f t="shared" si="28"/>
        <v>9ABE</v>
      </c>
      <c r="H1805" s="3" t="s">
        <v>4536</v>
      </c>
      <c r="I1805" s="25" t="s">
        <v>2754</v>
      </c>
    </row>
    <row r="1806" spans="4:9" x14ac:dyDescent="0.2">
      <c r="D1806" t="s">
        <v>1886</v>
      </c>
      <c r="G1806" s="3" t="str">
        <f t="shared" si="28"/>
        <v>9ACE</v>
      </c>
      <c r="H1806" s="3" t="s">
        <v>4537</v>
      </c>
      <c r="I1806" s="25" t="s">
        <v>2754</v>
      </c>
    </row>
    <row r="1807" spans="4:9" x14ac:dyDescent="0.2">
      <c r="D1807" t="s">
        <v>1887</v>
      </c>
      <c r="G1807" s="3" t="str">
        <f t="shared" si="28"/>
        <v>9B00</v>
      </c>
      <c r="H1807" s="3" t="s">
        <v>4538</v>
      </c>
      <c r="I1807" s="25" t="s">
        <v>2754</v>
      </c>
    </row>
    <row r="1808" spans="4:9" x14ac:dyDescent="0.2">
      <c r="D1808" t="s">
        <v>1888</v>
      </c>
      <c r="G1808" s="3" t="str">
        <f t="shared" si="28"/>
        <v>9B5C</v>
      </c>
      <c r="H1808" s="3" t="s">
        <v>4539</v>
      </c>
      <c r="I1808" s="25" t="s">
        <v>2754</v>
      </c>
    </row>
    <row r="1809" spans="4:9" x14ac:dyDescent="0.2">
      <c r="D1809" t="s">
        <v>1889</v>
      </c>
      <c r="G1809" s="3" t="str">
        <f t="shared" si="28"/>
        <v>9BAA</v>
      </c>
      <c r="H1809" s="3" t="s">
        <v>4540</v>
      </c>
      <c r="I1809" s="25" t="s">
        <v>2754</v>
      </c>
    </row>
    <row r="1810" spans="4:9" x14ac:dyDescent="0.2">
      <c r="D1810" t="s">
        <v>1890</v>
      </c>
      <c r="G1810" s="3" t="str">
        <f t="shared" si="28"/>
        <v>9BC0</v>
      </c>
      <c r="H1810" s="3" t="s">
        <v>4541</v>
      </c>
      <c r="I1810" s="25" t="s">
        <v>2754</v>
      </c>
    </row>
    <row r="1811" spans="4:9" x14ac:dyDescent="0.2">
      <c r="D1811" t="s">
        <v>1891</v>
      </c>
      <c r="G1811" s="3" t="str">
        <f t="shared" si="28"/>
        <v>9BDC</v>
      </c>
      <c r="H1811" s="3" t="s">
        <v>4542</v>
      </c>
      <c r="I1811" s="25" t="s">
        <v>2754</v>
      </c>
    </row>
    <row r="1812" spans="4:9" x14ac:dyDescent="0.2">
      <c r="D1812" t="s">
        <v>1892</v>
      </c>
      <c r="G1812" s="3" t="str">
        <f t="shared" si="28"/>
        <v>9BE8</v>
      </c>
      <c r="H1812" s="3" t="s">
        <v>4543</v>
      </c>
      <c r="I1812" s="25" t="s">
        <v>2754</v>
      </c>
    </row>
    <row r="1813" spans="4:9" x14ac:dyDescent="0.2">
      <c r="D1813" t="s">
        <v>1893</v>
      </c>
      <c r="G1813" s="3" t="str">
        <f t="shared" si="28"/>
        <v>9BEC</v>
      </c>
      <c r="H1813" s="3" t="s">
        <v>4544</v>
      </c>
      <c r="I1813" s="25" t="s">
        <v>2754</v>
      </c>
    </row>
    <row r="1814" spans="4:9" x14ac:dyDescent="0.2">
      <c r="D1814" t="s">
        <v>1894</v>
      </c>
      <c r="G1814" s="3" t="str">
        <f t="shared" si="28"/>
        <v>9BF0</v>
      </c>
      <c r="H1814" s="3" t="s">
        <v>4545</v>
      </c>
      <c r="I1814" s="25" t="s">
        <v>2754</v>
      </c>
    </row>
    <row r="1815" spans="4:9" x14ac:dyDescent="0.2">
      <c r="D1815" t="s">
        <v>1895</v>
      </c>
      <c r="G1815" s="3" t="str">
        <f t="shared" si="28"/>
        <v>9C16</v>
      </c>
      <c r="H1815" s="3" t="s">
        <v>4546</v>
      </c>
      <c r="I1815" s="25" t="s">
        <v>2754</v>
      </c>
    </row>
    <row r="1816" spans="4:9" x14ac:dyDescent="0.2">
      <c r="D1816" t="s">
        <v>1896</v>
      </c>
      <c r="G1816" s="3" t="str">
        <f t="shared" si="28"/>
        <v>9C22</v>
      </c>
      <c r="H1816" s="3" t="s">
        <v>4547</v>
      </c>
      <c r="I1816" s="25" t="s">
        <v>2754</v>
      </c>
    </row>
    <row r="1817" spans="4:9" x14ac:dyDescent="0.2">
      <c r="D1817" t="s">
        <v>1897</v>
      </c>
      <c r="G1817" s="3" t="str">
        <f t="shared" si="28"/>
        <v>9C2E</v>
      </c>
      <c r="H1817" s="3" t="s">
        <v>4548</v>
      </c>
      <c r="I1817" s="25" t="s">
        <v>2754</v>
      </c>
    </row>
    <row r="1818" spans="4:9" x14ac:dyDescent="0.2">
      <c r="D1818" t="s">
        <v>1898</v>
      </c>
      <c r="G1818" s="3" t="str">
        <f t="shared" si="28"/>
        <v>9C3E</v>
      </c>
      <c r="H1818" s="3" t="s">
        <v>4549</v>
      </c>
      <c r="I1818" s="25" t="s">
        <v>2754</v>
      </c>
    </row>
    <row r="1819" spans="4:9" x14ac:dyDescent="0.2">
      <c r="D1819" t="s">
        <v>1899</v>
      </c>
      <c r="G1819" s="3" t="str">
        <f t="shared" si="28"/>
        <v>9C4A</v>
      </c>
      <c r="H1819" s="3" t="s">
        <v>4550</v>
      </c>
      <c r="I1819" s="25" t="s">
        <v>2754</v>
      </c>
    </row>
    <row r="1820" spans="4:9" x14ac:dyDescent="0.2">
      <c r="D1820" t="s">
        <v>1900</v>
      </c>
      <c r="G1820" s="3" t="str">
        <f t="shared" si="28"/>
        <v>9C74</v>
      </c>
      <c r="H1820" s="3" t="s">
        <v>4551</v>
      </c>
      <c r="I1820" s="25" t="s">
        <v>2754</v>
      </c>
    </row>
    <row r="1821" spans="4:9" x14ac:dyDescent="0.2">
      <c r="D1821" t="s">
        <v>1901</v>
      </c>
      <c r="G1821" s="3" t="str">
        <f t="shared" si="28"/>
        <v>9C8C</v>
      </c>
      <c r="H1821" s="3" t="s">
        <v>4552</v>
      </c>
      <c r="I1821" s="25" t="s">
        <v>2754</v>
      </c>
    </row>
    <row r="1822" spans="4:9" x14ac:dyDescent="0.2">
      <c r="D1822" t="s">
        <v>1902</v>
      </c>
      <c r="G1822" s="3" t="str">
        <f t="shared" si="28"/>
        <v>9C98</v>
      </c>
      <c r="H1822" s="3" t="s">
        <v>4553</v>
      </c>
      <c r="I1822" s="25" t="s">
        <v>2754</v>
      </c>
    </row>
    <row r="1823" spans="4:9" x14ac:dyDescent="0.2">
      <c r="D1823" t="s">
        <v>1903</v>
      </c>
      <c r="G1823" s="3" t="str">
        <f t="shared" si="28"/>
        <v>9CB2</v>
      </c>
      <c r="H1823" s="3" t="s">
        <v>4554</v>
      </c>
      <c r="I1823" s="25" t="s">
        <v>2754</v>
      </c>
    </row>
    <row r="1824" spans="4:9" x14ac:dyDescent="0.2">
      <c r="D1824" t="s">
        <v>1904</v>
      </c>
      <c r="G1824" s="3" t="str">
        <f t="shared" si="28"/>
        <v>9D14</v>
      </c>
      <c r="H1824" s="3" t="s">
        <v>4555</v>
      </c>
      <c r="I1824" s="25" t="s">
        <v>2754</v>
      </c>
    </row>
    <row r="1825" spans="4:9" x14ac:dyDescent="0.2">
      <c r="D1825" t="s">
        <v>1905</v>
      </c>
      <c r="G1825" s="3" t="str">
        <f t="shared" si="28"/>
        <v>9D84</v>
      </c>
      <c r="H1825" s="3" t="s">
        <v>4556</v>
      </c>
      <c r="I1825" s="25" t="s">
        <v>2754</v>
      </c>
    </row>
    <row r="1826" spans="4:9" x14ac:dyDescent="0.2">
      <c r="D1826" t="s">
        <v>1906</v>
      </c>
      <c r="G1826" s="3" t="str">
        <f t="shared" si="28"/>
        <v>9D86</v>
      </c>
      <c r="H1826" s="3" t="s">
        <v>4557</v>
      </c>
      <c r="I1826" s="25" t="s">
        <v>2754</v>
      </c>
    </row>
    <row r="1827" spans="4:9" x14ac:dyDescent="0.2">
      <c r="D1827" t="s">
        <v>1907</v>
      </c>
      <c r="G1827" s="3" t="str">
        <f t="shared" si="28"/>
        <v>9D8C</v>
      </c>
      <c r="H1827" s="3" t="s">
        <v>4558</v>
      </c>
      <c r="I1827" s="25" t="s">
        <v>2754</v>
      </c>
    </row>
    <row r="1828" spans="4:9" x14ac:dyDescent="0.2">
      <c r="D1828" t="s">
        <v>1908</v>
      </c>
      <c r="G1828" s="3" t="str">
        <f t="shared" si="28"/>
        <v>9D94</v>
      </c>
      <c r="H1828" s="3" t="s">
        <v>4559</v>
      </c>
      <c r="I1828" s="25" t="s">
        <v>2754</v>
      </c>
    </row>
    <row r="1829" spans="4:9" x14ac:dyDescent="0.2">
      <c r="D1829" t="s">
        <v>1909</v>
      </c>
      <c r="G1829" s="3" t="str">
        <f t="shared" si="28"/>
        <v>9D95</v>
      </c>
      <c r="H1829" s="3" t="s">
        <v>4560</v>
      </c>
      <c r="I1829" s="25" t="s">
        <v>2754</v>
      </c>
    </row>
    <row r="1830" spans="4:9" x14ac:dyDescent="0.2">
      <c r="D1830" t="s">
        <v>1910</v>
      </c>
      <c r="G1830" s="3" t="str">
        <f t="shared" si="28"/>
        <v>9D96</v>
      </c>
      <c r="H1830" s="3" t="s">
        <v>4561</v>
      </c>
      <c r="I1830" s="25" t="s">
        <v>2754</v>
      </c>
    </row>
    <row r="1831" spans="4:9" x14ac:dyDescent="0.2">
      <c r="D1831" t="s">
        <v>1911</v>
      </c>
      <c r="G1831" s="3" t="str">
        <f t="shared" si="28"/>
        <v>9D97</v>
      </c>
      <c r="H1831" s="3" t="s">
        <v>4562</v>
      </c>
      <c r="I1831" s="25" t="s">
        <v>2754</v>
      </c>
    </row>
    <row r="1832" spans="4:9" x14ac:dyDescent="0.2">
      <c r="D1832" t="s">
        <v>1912</v>
      </c>
      <c r="G1832" s="3" t="str">
        <f t="shared" si="28"/>
        <v>9DA4</v>
      </c>
      <c r="H1832" s="3" t="s">
        <v>4563</v>
      </c>
      <c r="I1832" s="25" t="s">
        <v>2754</v>
      </c>
    </row>
    <row r="1833" spans="4:9" x14ac:dyDescent="0.2">
      <c r="D1833" t="s">
        <v>1913</v>
      </c>
      <c r="G1833" s="3" t="str">
        <f t="shared" si="28"/>
        <v>9DB4</v>
      </c>
      <c r="H1833" s="3" t="s">
        <v>4564</v>
      </c>
      <c r="I1833" s="25" t="s">
        <v>2754</v>
      </c>
    </row>
    <row r="1834" spans="4:9" x14ac:dyDescent="0.2">
      <c r="D1834" t="s">
        <v>1914</v>
      </c>
      <c r="G1834" s="3" t="str">
        <f t="shared" si="28"/>
        <v>9DE8</v>
      </c>
      <c r="H1834" s="3" t="s">
        <v>4565</v>
      </c>
      <c r="I1834" s="25" t="s">
        <v>2754</v>
      </c>
    </row>
    <row r="1835" spans="4:9" x14ac:dyDescent="0.2">
      <c r="D1835" t="s">
        <v>1915</v>
      </c>
      <c r="G1835" s="3" t="str">
        <f t="shared" si="28"/>
        <v>9DEE</v>
      </c>
      <c r="H1835" s="3" t="s">
        <v>4566</v>
      </c>
      <c r="I1835" s="25" t="s">
        <v>2754</v>
      </c>
    </row>
    <row r="1836" spans="4:9" x14ac:dyDescent="0.2">
      <c r="D1836" t="s">
        <v>1916</v>
      </c>
      <c r="G1836" s="3" t="str">
        <f t="shared" si="28"/>
        <v>9E10</v>
      </c>
      <c r="H1836" s="3" t="s">
        <v>4567</v>
      </c>
      <c r="I1836" s="25" t="s">
        <v>2754</v>
      </c>
    </row>
    <row r="1837" spans="4:9" x14ac:dyDescent="0.2">
      <c r="D1837" t="s">
        <v>1917</v>
      </c>
      <c r="G1837" s="3" t="str">
        <f t="shared" si="28"/>
        <v>9E24</v>
      </c>
      <c r="H1837" s="3" t="s">
        <v>4568</v>
      </c>
      <c r="I1837" s="25" t="s">
        <v>2754</v>
      </c>
    </row>
    <row r="1838" spans="4:9" x14ac:dyDescent="0.2">
      <c r="D1838" t="s">
        <v>1918</v>
      </c>
      <c r="G1838" s="3" t="str">
        <f t="shared" si="28"/>
        <v>9E2C</v>
      </c>
      <c r="H1838" s="3" t="s">
        <v>4569</v>
      </c>
      <c r="I1838" s="25" t="s">
        <v>2754</v>
      </c>
    </row>
    <row r="1839" spans="4:9" x14ac:dyDescent="0.2">
      <c r="D1839" t="s">
        <v>1919</v>
      </c>
      <c r="G1839" s="3" t="str">
        <f t="shared" si="28"/>
        <v>9E3E</v>
      </c>
      <c r="H1839" s="3" t="s">
        <v>4570</v>
      </c>
      <c r="I1839" s="25" t="s">
        <v>2754</v>
      </c>
    </row>
    <row r="1840" spans="4:9" x14ac:dyDescent="0.2">
      <c r="D1840" t="s">
        <v>1920</v>
      </c>
      <c r="G1840" s="3" t="str">
        <f t="shared" si="28"/>
        <v>9E5A</v>
      </c>
      <c r="H1840" s="3" t="s">
        <v>4571</v>
      </c>
      <c r="I1840" s="25" t="s">
        <v>2754</v>
      </c>
    </row>
    <row r="1841" spans="4:9" x14ac:dyDescent="0.2">
      <c r="D1841" t="s">
        <v>1921</v>
      </c>
      <c r="G1841" s="3" t="str">
        <f t="shared" si="28"/>
        <v>9E66</v>
      </c>
      <c r="H1841" s="3" t="s">
        <v>4572</v>
      </c>
      <c r="I1841" s="25" t="s">
        <v>2754</v>
      </c>
    </row>
    <row r="1842" spans="4:9" x14ac:dyDescent="0.2">
      <c r="D1842" t="s">
        <v>1922</v>
      </c>
      <c r="G1842" s="3" t="str">
        <f t="shared" si="28"/>
        <v>9E6C</v>
      </c>
      <c r="H1842" s="3" t="s">
        <v>4573</v>
      </c>
      <c r="I1842" s="25" t="s">
        <v>2754</v>
      </c>
    </row>
    <row r="1843" spans="4:9" x14ac:dyDescent="0.2">
      <c r="D1843" t="s">
        <v>1923</v>
      </c>
      <c r="G1843" s="3" t="str">
        <f t="shared" si="28"/>
        <v>9EA0</v>
      </c>
      <c r="H1843" s="3" t="s">
        <v>4574</v>
      </c>
      <c r="I1843" s="25" t="s">
        <v>2754</v>
      </c>
    </row>
    <row r="1844" spans="4:9" x14ac:dyDescent="0.2">
      <c r="D1844" t="s">
        <v>1924</v>
      </c>
      <c r="G1844" s="3" t="str">
        <f t="shared" si="28"/>
        <v>9EAE</v>
      </c>
      <c r="H1844" s="3" t="s">
        <v>4575</v>
      </c>
      <c r="I1844" s="25" t="s">
        <v>2754</v>
      </c>
    </row>
    <row r="1845" spans="4:9" x14ac:dyDescent="0.2">
      <c r="D1845" t="s">
        <v>1925</v>
      </c>
      <c r="G1845" s="3" t="str">
        <f t="shared" si="28"/>
        <v>9EC2</v>
      </c>
      <c r="H1845" s="3" t="s">
        <v>4576</v>
      </c>
      <c r="I1845" s="25" t="s">
        <v>2754</v>
      </c>
    </row>
    <row r="1846" spans="4:9" x14ac:dyDescent="0.2">
      <c r="D1846" t="s">
        <v>1926</v>
      </c>
      <c r="G1846" s="3" t="str">
        <f t="shared" si="28"/>
        <v>9EDE</v>
      </c>
      <c r="H1846" s="3" t="s">
        <v>4577</v>
      </c>
      <c r="I1846" s="25" t="s">
        <v>2754</v>
      </c>
    </row>
    <row r="1847" spans="4:9" x14ac:dyDescent="0.2">
      <c r="D1847" t="s">
        <v>1927</v>
      </c>
      <c r="G1847" s="3" t="str">
        <f t="shared" si="28"/>
        <v>9EE0</v>
      </c>
      <c r="H1847" s="3" t="s">
        <v>4578</v>
      </c>
      <c r="I1847" s="25" t="s">
        <v>2754</v>
      </c>
    </row>
    <row r="1848" spans="4:9" x14ac:dyDescent="0.2">
      <c r="D1848" t="s">
        <v>1928</v>
      </c>
      <c r="G1848" s="3" t="str">
        <f t="shared" si="28"/>
        <v>9EE8</v>
      </c>
      <c r="H1848" s="3" t="s">
        <v>4579</v>
      </c>
      <c r="I1848" s="25" t="s">
        <v>2754</v>
      </c>
    </row>
    <row r="1849" spans="4:9" x14ac:dyDescent="0.2">
      <c r="D1849" t="s">
        <v>1929</v>
      </c>
      <c r="G1849" s="3" t="str">
        <f t="shared" si="28"/>
        <v>9F00</v>
      </c>
      <c r="H1849" s="3" t="s">
        <v>4580</v>
      </c>
      <c r="I1849" s="25" t="s">
        <v>2754</v>
      </c>
    </row>
    <row r="1850" spans="4:9" x14ac:dyDescent="0.2">
      <c r="D1850" t="s">
        <v>1930</v>
      </c>
      <c r="G1850" s="3" t="str">
        <f t="shared" si="28"/>
        <v>9F08</v>
      </c>
      <c r="H1850" s="3" t="s">
        <v>4581</v>
      </c>
      <c r="I1850" s="25" t="s">
        <v>2754</v>
      </c>
    </row>
    <row r="1851" spans="4:9" x14ac:dyDescent="0.2">
      <c r="D1851" t="s">
        <v>1931</v>
      </c>
      <c r="G1851" s="3" t="str">
        <f t="shared" si="28"/>
        <v>9F12</v>
      </c>
      <c r="H1851" s="3" t="s">
        <v>4582</v>
      </c>
      <c r="I1851" s="25" t="s">
        <v>2754</v>
      </c>
    </row>
    <row r="1852" spans="4:9" x14ac:dyDescent="0.2">
      <c r="D1852" t="s">
        <v>1932</v>
      </c>
      <c r="G1852" s="3" t="str">
        <f t="shared" si="28"/>
        <v>9F24</v>
      </c>
      <c r="H1852" s="3" t="s">
        <v>4583</v>
      </c>
      <c r="I1852" s="25" t="s">
        <v>2754</v>
      </c>
    </row>
    <row r="1853" spans="4:9" x14ac:dyDescent="0.2">
      <c r="D1853" t="s">
        <v>1933</v>
      </c>
      <c r="G1853" s="3" t="str">
        <f t="shared" si="28"/>
        <v>9F4E</v>
      </c>
      <c r="H1853" s="3" t="s">
        <v>4584</v>
      </c>
      <c r="I1853" s="25" t="s">
        <v>2754</v>
      </c>
    </row>
    <row r="1854" spans="4:9" x14ac:dyDescent="0.2">
      <c r="D1854" t="s">
        <v>1934</v>
      </c>
      <c r="G1854" s="3" t="str">
        <f t="shared" si="28"/>
        <v>9F8A</v>
      </c>
      <c r="H1854" s="3" t="s">
        <v>4585</v>
      </c>
      <c r="I1854" s="25" t="s">
        <v>2754</v>
      </c>
    </row>
    <row r="1855" spans="4:9" x14ac:dyDescent="0.2">
      <c r="D1855" t="s">
        <v>1935</v>
      </c>
      <c r="G1855" s="3" t="str">
        <f t="shared" si="28"/>
        <v>9F8C</v>
      </c>
      <c r="H1855" s="3" t="s">
        <v>4586</v>
      </c>
      <c r="I1855" s="25" t="s">
        <v>2754</v>
      </c>
    </row>
    <row r="1856" spans="4:9" x14ac:dyDescent="0.2">
      <c r="D1856" t="s">
        <v>1936</v>
      </c>
      <c r="G1856" s="3" t="str">
        <f t="shared" si="28"/>
        <v>9F94</v>
      </c>
      <c r="H1856" s="3" t="s">
        <v>4587</v>
      </c>
      <c r="I1856" s="25" t="s">
        <v>2754</v>
      </c>
    </row>
    <row r="1857" spans="4:9" x14ac:dyDescent="0.2">
      <c r="D1857" t="s">
        <v>1937</v>
      </c>
      <c r="G1857" s="3" t="str">
        <f t="shared" si="28"/>
        <v>9F96</v>
      </c>
      <c r="H1857" s="3" t="s">
        <v>4588</v>
      </c>
      <c r="I1857" s="25" t="s">
        <v>2754</v>
      </c>
    </row>
    <row r="1858" spans="4:9" x14ac:dyDescent="0.2">
      <c r="D1858" t="s">
        <v>1938</v>
      </c>
      <c r="G1858" s="3" t="str">
        <f t="shared" si="28"/>
        <v>9FBC</v>
      </c>
      <c r="H1858" s="3" t="s">
        <v>4589</v>
      </c>
      <c r="I1858" s="25" t="s">
        <v>2754</v>
      </c>
    </row>
    <row r="1859" spans="4:9" x14ac:dyDescent="0.2">
      <c r="D1859" t="s">
        <v>1939</v>
      </c>
      <c r="G1859" s="3" t="str">
        <f t="shared" si="28"/>
        <v>9FCA</v>
      </c>
      <c r="H1859" s="3" t="s">
        <v>4590</v>
      </c>
      <c r="I1859" s="25" t="s">
        <v>2754</v>
      </c>
    </row>
    <row r="1860" spans="4:9" x14ac:dyDescent="0.2">
      <c r="D1860" t="s">
        <v>1940</v>
      </c>
      <c r="G1860" s="3" t="str">
        <f t="shared" si="28"/>
        <v>9FCC</v>
      </c>
      <c r="H1860" s="3" t="s">
        <v>4591</v>
      </c>
      <c r="I1860" s="25" t="s">
        <v>2754</v>
      </c>
    </row>
    <row r="1861" spans="4:9" x14ac:dyDescent="0.2">
      <c r="D1861" t="s">
        <v>1941</v>
      </c>
      <c r="G1861" s="3" t="str">
        <f t="shared" si="28"/>
        <v>9FE0</v>
      </c>
      <c r="H1861" s="3" t="s">
        <v>4592</v>
      </c>
      <c r="I1861" s="25" t="s">
        <v>2754</v>
      </c>
    </row>
    <row r="1862" spans="4:9" x14ac:dyDescent="0.2">
      <c r="D1862" t="s">
        <v>1942</v>
      </c>
      <c r="G1862" s="3" t="str">
        <f t="shared" si="28"/>
        <v>9FEC</v>
      </c>
      <c r="H1862" s="3" t="s">
        <v>4593</v>
      </c>
      <c r="I1862" s="25" t="s">
        <v>2754</v>
      </c>
    </row>
    <row r="1863" spans="4:9" x14ac:dyDescent="0.2">
      <c r="D1863" t="s">
        <v>1943</v>
      </c>
      <c r="G1863" s="3" t="str">
        <f t="shared" si="28"/>
        <v>A000</v>
      </c>
      <c r="H1863" s="3" t="s">
        <v>4594</v>
      </c>
      <c r="I1863" s="25" t="s">
        <v>2754</v>
      </c>
    </row>
    <row r="1864" spans="4:9" x14ac:dyDescent="0.2">
      <c r="D1864" t="s">
        <v>1944</v>
      </c>
      <c r="G1864" s="3" t="str">
        <f t="shared" si="28"/>
        <v>A016</v>
      </c>
      <c r="H1864" s="3" t="s">
        <v>4595</v>
      </c>
      <c r="I1864" s="25" t="s">
        <v>2754</v>
      </c>
    </row>
    <row r="1865" spans="4:9" x14ac:dyDescent="0.2">
      <c r="D1865" t="s">
        <v>1945</v>
      </c>
      <c r="G1865" s="3" t="str">
        <f t="shared" si="28"/>
        <v>A028</v>
      </c>
      <c r="H1865" s="3" t="s">
        <v>4596</v>
      </c>
      <c r="I1865" s="25" t="s">
        <v>2754</v>
      </c>
    </row>
    <row r="1866" spans="4:9" x14ac:dyDescent="0.2">
      <c r="D1866" t="s">
        <v>1946</v>
      </c>
      <c r="G1866" s="3" t="str">
        <f t="shared" si="28"/>
        <v>A02C</v>
      </c>
      <c r="H1866" s="3" t="s">
        <v>4597</v>
      </c>
      <c r="I1866" s="25" t="s">
        <v>2754</v>
      </c>
    </row>
    <row r="1867" spans="4:9" x14ac:dyDescent="0.2">
      <c r="D1867" t="s">
        <v>1947</v>
      </c>
      <c r="G1867" s="3" t="str">
        <f t="shared" ref="G1867:G1930" si="29">IF(H1867&lt;&gt;"",DEC2HEX(HEX2DEC(H1867)-932),"")</f>
        <v>A036</v>
      </c>
      <c r="H1867" s="3" t="s">
        <v>4598</v>
      </c>
      <c r="I1867" s="25" t="s">
        <v>2754</v>
      </c>
    </row>
    <row r="1868" spans="4:9" x14ac:dyDescent="0.2">
      <c r="D1868" t="s">
        <v>1948</v>
      </c>
      <c r="G1868" s="3" t="str">
        <f t="shared" si="29"/>
        <v>A046</v>
      </c>
      <c r="H1868" s="3" t="s">
        <v>4599</v>
      </c>
      <c r="I1868" s="25" t="s">
        <v>2754</v>
      </c>
    </row>
    <row r="1869" spans="4:9" x14ac:dyDescent="0.2">
      <c r="D1869" t="s">
        <v>1949</v>
      </c>
      <c r="G1869" s="3" t="str">
        <f t="shared" si="29"/>
        <v>A066</v>
      </c>
      <c r="H1869" s="3" t="s">
        <v>4600</v>
      </c>
      <c r="I1869" s="25" t="s">
        <v>2754</v>
      </c>
    </row>
    <row r="1870" spans="4:9" x14ac:dyDescent="0.2">
      <c r="D1870" t="s">
        <v>1950</v>
      </c>
      <c r="G1870" s="3" t="str">
        <f t="shared" si="29"/>
        <v>A074</v>
      </c>
      <c r="H1870" s="3" t="s">
        <v>4601</v>
      </c>
      <c r="I1870" s="25" t="s">
        <v>2754</v>
      </c>
    </row>
    <row r="1871" spans="4:9" x14ac:dyDescent="0.2">
      <c r="D1871" t="s">
        <v>1951</v>
      </c>
      <c r="G1871" s="3" t="str">
        <f t="shared" si="29"/>
        <v>A076</v>
      </c>
      <c r="H1871" s="3" t="s">
        <v>4602</v>
      </c>
      <c r="I1871" s="25" t="s">
        <v>2754</v>
      </c>
    </row>
    <row r="1872" spans="4:9" x14ac:dyDescent="0.2">
      <c r="D1872" t="s">
        <v>1952</v>
      </c>
      <c r="G1872" s="3" t="str">
        <f t="shared" si="29"/>
        <v>A08E</v>
      </c>
      <c r="H1872" s="3" t="s">
        <v>4603</v>
      </c>
      <c r="I1872" s="25" t="s">
        <v>2754</v>
      </c>
    </row>
    <row r="1873" spans="4:9" x14ac:dyDescent="0.2">
      <c r="D1873" t="s">
        <v>1953</v>
      </c>
      <c r="G1873" s="3" t="str">
        <f t="shared" si="29"/>
        <v>A0A2</v>
      </c>
      <c r="H1873" s="3" t="s">
        <v>4604</v>
      </c>
      <c r="I1873" s="25" t="s">
        <v>2754</v>
      </c>
    </row>
    <row r="1874" spans="4:9" x14ac:dyDescent="0.2">
      <c r="D1874" t="s">
        <v>1954</v>
      </c>
      <c r="G1874" s="3" t="str">
        <f t="shared" si="29"/>
        <v>A0AC</v>
      </c>
      <c r="H1874" s="3" t="s">
        <v>4605</v>
      </c>
      <c r="I1874" s="25" t="s">
        <v>2754</v>
      </c>
    </row>
    <row r="1875" spans="4:9" x14ac:dyDescent="0.2">
      <c r="D1875" t="s">
        <v>1955</v>
      </c>
      <c r="G1875" s="3" t="str">
        <f t="shared" si="29"/>
        <v>A0AE</v>
      </c>
      <c r="H1875" s="3" t="s">
        <v>4606</v>
      </c>
      <c r="I1875" s="25" t="s">
        <v>2754</v>
      </c>
    </row>
    <row r="1876" spans="4:9" x14ac:dyDescent="0.2">
      <c r="D1876" t="s">
        <v>1956</v>
      </c>
      <c r="G1876" s="3" t="str">
        <f t="shared" si="29"/>
        <v>A0BE</v>
      </c>
      <c r="H1876" s="3" t="s">
        <v>4607</v>
      </c>
      <c r="I1876" s="25" t="s">
        <v>2754</v>
      </c>
    </row>
    <row r="1877" spans="4:9" x14ac:dyDescent="0.2">
      <c r="D1877" t="s">
        <v>1957</v>
      </c>
      <c r="G1877" s="3" t="str">
        <f t="shared" si="29"/>
        <v>A0C2</v>
      </c>
      <c r="H1877" s="3" t="s">
        <v>4608</v>
      </c>
      <c r="I1877" s="25" t="s">
        <v>2754</v>
      </c>
    </row>
    <row r="1878" spans="4:9" x14ac:dyDescent="0.2">
      <c r="D1878" t="s">
        <v>1958</v>
      </c>
      <c r="G1878" s="3" t="str">
        <f t="shared" si="29"/>
        <v>A0D5</v>
      </c>
      <c r="H1878" s="3" t="s">
        <v>4609</v>
      </c>
      <c r="I1878" s="25" t="s">
        <v>2754</v>
      </c>
    </row>
    <row r="1879" spans="4:9" x14ac:dyDescent="0.2">
      <c r="D1879" t="s">
        <v>1959</v>
      </c>
      <c r="G1879" s="3" t="str">
        <f t="shared" si="29"/>
        <v>A0DD</v>
      </c>
      <c r="H1879" s="3" t="s">
        <v>4610</v>
      </c>
      <c r="I1879" s="25" t="s">
        <v>2754</v>
      </c>
    </row>
    <row r="1880" spans="4:9" x14ac:dyDescent="0.2">
      <c r="D1880" t="s">
        <v>1960</v>
      </c>
      <c r="G1880" s="3" t="str">
        <f t="shared" si="29"/>
        <v>A0E2</v>
      </c>
      <c r="H1880" s="3" t="s">
        <v>4611</v>
      </c>
      <c r="I1880" s="25" t="s">
        <v>2754</v>
      </c>
    </row>
    <row r="1881" spans="4:9" x14ac:dyDescent="0.2">
      <c r="D1881" t="s">
        <v>1961</v>
      </c>
      <c r="G1881" s="3" t="str">
        <f t="shared" si="29"/>
        <v>A0EA</v>
      </c>
      <c r="H1881" s="3" t="s">
        <v>4612</v>
      </c>
      <c r="I1881" s="25" t="s">
        <v>2754</v>
      </c>
    </row>
    <row r="1882" spans="4:9" x14ac:dyDescent="0.2">
      <c r="D1882" t="s">
        <v>1962</v>
      </c>
      <c r="G1882" s="3" t="str">
        <f t="shared" si="29"/>
        <v>A14E</v>
      </c>
      <c r="H1882" s="3" t="s">
        <v>4613</v>
      </c>
      <c r="I1882" s="25" t="s">
        <v>2754</v>
      </c>
    </row>
    <row r="1883" spans="4:9" x14ac:dyDescent="0.2">
      <c r="D1883" t="s">
        <v>1963</v>
      </c>
      <c r="G1883" s="3" t="str">
        <f t="shared" si="29"/>
        <v>A1A0</v>
      </c>
      <c r="H1883" s="3" t="s">
        <v>4614</v>
      </c>
      <c r="I1883" s="25" t="s">
        <v>2754</v>
      </c>
    </row>
    <row r="1884" spans="4:9" x14ac:dyDescent="0.2">
      <c r="D1884" t="s">
        <v>1964</v>
      </c>
      <c r="G1884" s="3" t="str">
        <f t="shared" si="29"/>
        <v>A1AC</v>
      </c>
      <c r="H1884" s="3" t="s">
        <v>4615</v>
      </c>
      <c r="I1884" s="25" t="s">
        <v>2754</v>
      </c>
    </row>
    <row r="1885" spans="4:9" x14ac:dyDescent="0.2">
      <c r="D1885" t="s">
        <v>1965</v>
      </c>
      <c r="G1885" s="3" t="str">
        <f t="shared" si="29"/>
        <v>A1E2</v>
      </c>
      <c r="H1885" s="3" t="s">
        <v>4616</v>
      </c>
      <c r="I1885" s="25" t="s">
        <v>2754</v>
      </c>
    </row>
    <row r="1886" spans="4:9" x14ac:dyDescent="0.2">
      <c r="D1886" t="s">
        <v>1966</v>
      </c>
      <c r="G1886" s="3" t="str">
        <f t="shared" si="29"/>
        <v>A1E8</v>
      </c>
      <c r="H1886" s="3" t="s">
        <v>4617</v>
      </c>
      <c r="I1886" s="25" t="s">
        <v>2754</v>
      </c>
    </row>
    <row r="1887" spans="4:9" x14ac:dyDescent="0.2">
      <c r="D1887" t="s">
        <v>1967</v>
      </c>
      <c r="G1887" s="3" t="str">
        <f t="shared" si="29"/>
        <v>A234</v>
      </c>
      <c r="H1887" s="3" t="s">
        <v>4618</v>
      </c>
      <c r="I1887" s="25" t="s">
        <v>2754</v>
      </c>
    </row>
    <row r="1888" spans="4:9" x14ac:dyDescent="0.2">
      <c r="D1888" t="s">
        <v>1968</v>
      </c>
      <c r="G1888" s="3" t="str">
        <f t="shared" si="29"/>
        <v>A248</v>
      </c>
      <c r="H1888" s="3" t="s">
        <v>4619</v>
      </c>
      <c r="I1888" s="25" t="s">
        <v>2754</v>
      </c>
    </row>
    <row r="1889" spans="4:9" x14ac:dyDescent="0.2">
      <c r="D1889" t="s">
        <v>1969</v>
      </c>
      <c r="G1889" s="3" t="str">
        <f t="shared" si="29"/>
        <v>A2D0</v>
      </c>
      <c r="H1889" s="3" t="s">
        <v>4620</v>
      </c>
      <c r="I1889" s="25" t="s">
        <v>2754</v>
      </c>
    </row>
    <row r="1890" spans="4:9" x14ac:dyDescent="0.2">
      <c r="D1890" t="s">
        <v>1970</v>
      </c>
      <c r="G1890" s="3" t="str">
        <f t="shared" si="29"/>
        <v>A2D5</v>
      </c>
      <c r="H1890" s="3" t="s">
        <v>4621</v>
      </c>
      <c r="I1890" s="25" t="s">
        <v>2754</v>
      </c>
    </row>
    <row r="1891" spans="4:9" x14ac:dyDescent="0.2">
      <c r="D1891" t="s">
        <v>1971</v>
      </c>
      <c r="G1891" s="3" t="str">
        <f t="shared" si="29"/>
        <v>A2E8</v>
      </c>
      <c r="H1891" s="3" t="s">
        <v>4622</v>
      </c>
      <c r="I1891" s="25" t="s">
        <v>2754</v>
      </c>
    </row>
    <row r="1892" spans="4:9" x14ac:dyDescent="0.2">
      <c r="D1892" t="s">
        <v>1972</v>
      </c>
      <c r="G1892" s="3" t="str">
        <f t="shared" si="29"/>
        <v>A2F0</v>
      </c>
      <c r="H1892" s="3" t="s">
        <v>4623</v>
      </c>
      <c r="I1892" s="25" t="s">
        <v>2754</v>
      </c>
    </row>
    <row r="1893" spans="4:9" x14ac:dyDescent="0.2">
      <c r="D1893" t="s">
        <v>1973</v>
      </c>
      <c r="G1893" s="3" t="str">
        <f t="shared" si="29"/>
        <v>A2F6</v>
      </c>
      <c r="H1893" s="3" t="s">
        <v>4624</v>
      </c>
      <c r="I1893" s="25" t="s">
        <v>2754</v>
      </c>
    </row>
    <row r="1894" spans="4:9" x14ac:dyDescent="0.2">
      <c r="D1894" t="s">
        <v>1974</v>
      </c>
      <c r="G1894" s="3" t="str">
        <f t="shared" si="29"/>
        <v>A2F8</v>
      </c>
      <c r="H1894" s="3" t="s">
        <v>4625</v>
      </c>
      <c r="I1894" s="25" t="s">
        <v>2754</v>
      </c>
    </row>
    <row r="1895" spans="4:9" x14ac:dyDescent="0.2">
      <c r="D1895" t="s">
        <v>1975</v>
      </c>
      <c r="G1895" s="3" t="str">
        <f t="shared" si="29"/>
        <v>A358</v>
      </c>
      <c r="H1895" s="3" t="s">
        <v>4626</v>
      </c>
      <c r="I1895" s="25" t="s">
        <v>2754</v>
      </c>
    </row>
    <row r="1896" spans="4:9" x14ac:dyDescent="0.2">
      <c r="D1896" t="s">
        <v>1976</v>
      </c>
      <c r="G1896" s="3" t="str">
        <f t="shared" si="29"/>
        <v>A360</v>
      </c>
      <c r="H1896" s="3" t="s">
        <v>4627</v>
      </c>
      <c r="I1896" s="25" t="s">
        <v>2754</v>
      </c>
    </row>
    <row r="1897" spans="4:9" x14ac:dyDescent="0.2">
      <c r="D1897" t="s">
        <v>1977</v>
      </c>
      <c r="G1897" s="3" t="str">
        <f t="shared" si="29"/>
        <v>A362</v>
      </c>
      <c r="H1897" s="3" t="s">
        <v>4628</v>
      </c>
      <c r="I1897" s="25" t="s">
        <v>2754</v>
      </c>
    </row>
    <row r="1898" spans="4:9" x14ac:dyDescent="0.2">
      <c r="D1898" t="s">
        <v>1978</v>
      </c>
      <c r="G1898" s="3" t="str">
        <f t="shared" si="29"/>
        <v>A366</v>
      </c>
      <c r="H1898" s="3" t="s">
        <v>4629</v>
      </c>
      <c r="I1898" s="25" t="s">
        <v>2754</v>
      </c>
    </row>
    <row r="1899" spans="4:9" x14ac:dyDescent="0.2">
      <c r="D1899" t="s">
        <v>1979</v>
      </c>
      <c r="G1899" s="3" t="str">
        <f t="shared" si="29"/>
        <v>A36E</v>
      </c>
      <c r="H1899" s="3" t="s">
        <v>4630</v>
      </c>
      <c r="I1899" s="25" t="s">
        <v>2754</v>
      </c>
    </row>
    <row r="1900" spans="4:9" x14ac:dyDescent="0.2">
      <c r="D1900" t="s">
        <v>1980</v>
      </c>
      <c r="G1900" s="3" t="str">
        <f t="shared" si="29"/>
        <v>A376</v>
      </c>
      <c r="H1900" s="3" t="s">
        <v>4631</v>
      </c>
      <c r="I1900" s="25" t="s">
        <v>2754</v>
      </c>
    </row>
    <row r="1901" spans="4:9" x14ac:dyDescent="0.2">
      <c r="D1901" t="s">
        <v>1981</v>
      </c>
      <c r="G1901" s="3" t="str">
        <f t="shared" si="29"/>
        <v>A388</v>
      </c>
      <c r="H1901" s="3" t="s">
        <v>4632</v>
      </c>
      <c r="I1901" s="25" t="s">
        <v>2754</v>
      </c>
    </row>
    <row r="1902" spans="4:9" x14ac:dyDescent="0.2">
      <c r="D1902" t="s">
        <v>1982</v>
      </c>
      <c r="G1902" s="3" t="str">
        <f t="shared" si="29"/>
        <v>A38A</v>
      </c>
      <c r="H1902" s="3" t="s">
        <v>4633</v>
      </c>
      <c r="I1902" s="25" t="s">
        <v>2754</v>
      </c>
    </row>
    <row r="1903" spans="4:9" x14ac:dyDescent="0.2">
      <c r="D1903" t="s">
        <v>1983</v>
      </c>
      <c r="G1903" s="3" t="str">
        <f t="shared" si="29"/>
        <v>A3C4</v>
      </c>
      <c r="H1903" s="3" t="s">
        <v>4634</v>
      </c>
      <c r="I1903" s="25" t="s">
        <v>2754</v>
      </c>
    </row>
    <row r="1904" spans="4:9" x14ac:dyDescent="0.2">
      <c r="D1904" t="s">
        <v>1984</v>
      </c>
      <c r="G1904" s="3" t="str">
        <f t="shared" si="29"/>
        <v>A3E0</v>
      </c>
      <c r="H1904" s="3" t="s">
        <v>4635</v>
      </c>
      <c r="I1904" s="25" t="s">
        <v>2754</v>
      </c>
    </row>
    <row r="1905" spans="4:9" x14ac:dyDescent="0.2">
      <c r="D1905" t="s">
        <v>1985</v>
      </c>
      <c r="G1905" s="3" t="str">
        <f t="shared" si="29"/>
        <v>A416</v>
      </c>
      <c r="H1905" s="3" t="s">
        <v>4636</v>
      </c>
      <c r="I1905" s="25" t="s">
        <v>2754</v>
      </c>
    </row>
    <row r="1906" spans="4:9" x14ac:dyDescent="0.2">
      <c r="D1906" t="s">
        <v>1986</v>
      </c>
      <c r="G1906" s="3" t="str">
        <f t="shared" si="29"/>
        <v>A41C</v>
      </c>
      <c r="H1906" s="3" t="s">
        <v>4637</v>
      </c>
      <c r="I1906" s="25" t="s">
        <v>2754</v>
      </c>
    </row>
    <row r="1907" spans="4:9" x14ac:dyDescent="0.2">
      <c r="D1907" t="s">
        <v>1987</v>
      </c>
      <c r="G1907" s="3" t="str">
        <f t="shared" si="29"/>
        <v>A420</v>
      </c>
      <c r="H1907" s="3" t="s">
        <v>4638</v>
      </c>
      <c r="I1907" s="25" t="s">
        <v>2754</v>
      </c>
    </row>
    <row r="1908" spans="4:9" x14ac:dyDescent="0.2">
      <c r="D1908" t="s">
        <v>1988</v>
      </c>
      <c r="G1908" s="3" t="str">
        <f t="shared" si="29"/>
        <v>A442</v>
      </c>
      <c r="H1908" s="3" t="s">
        <v>4639</v>
      </c>
      <c r="I1908" s="25" t="s">
        <v>2754</v>
      </c>
    </row>
    <row r="1909" spans="4:9" x14ac:dyDescent="0.2">
      <c r="D1909" t="s">
        <v>1989</v>
      </c>
      <c r="G1909" s="3" t="str">
        <f t="shared" si="29"/>
        <v>A44C</v>
      </c>
      <c r="H1909" s="3" t="s">
        <v>4640</v>
      </c>
      <c r="I1909" s="25" t="s">
        <v>2754</v>
      </c>
    </row>
    <row r="1910" spans="4:9" x14ac:dyDescent="0.2">
      <c r="D1910" t="s">
        <v>1990</v>
      </c>
      <c r="G1910" s="3" t="str">
        <f t="shared" si="29"/>
        <v>A486</v>
      </c>
      <c r="H1910" s="3" t="s">
        <v>4641</v>
      </c>
      <c r="I1910" s="25" t="s">
        <v>2754</v>
      </c>
    </row>
    <row r="1911" spans="4:9" x14ac:dyDescent="0.2">
      <c r="D1911" t="s">
        <v>1991</v>
      </c>
      <c r="G1911" s="3" t="str">
        <f t="shared" si="29"/>
        <v>A48C</v>
      </c>
      <c r="H1911" s="3" t="s">
        <v>4642</v>
      </c>
      <c r="I1911" s="25" t="s">
        <v>2754</v>
      </c>
    </row>
    <row r="1912" spans="4:9" x14ac:dyDescent="0.2">
      <c r="D1912" t="s">
        <v>1992</v>
      </c>
      <c r="G1912" s="3" t="str">
        <f t="shared" si="29"/>
        <v>A4AC</v>
      </c>
      <c r="H1912" s="3" t="s">
        <v>4643</v>
      </c>
      <c r="I1912" s="25" t="s">
        <v>2754</v>
      </c>
    </row>
    <row r="1913" spans="4:9" x14ac:dyDescent="0.2">
      <c r="D1913" t="s">
        <v>1993</v>
      </c>
      <c r="G1913" s="3" t="str">
        <f t="shared" si="29"/>
        <v>A4B2</v>
      </c>
      <c r="H1913" s="3" t="s">
        <v>4644</v>
      </c>
      <c r="I1913" s="25" t="s">
        <v>2754</v>
      </c>
    </row>
    <row r="1914" spans="4:9" x14ac:dyDescent="0.2">
      <c r="D1914" t="s">
        <v>1994</v>
      </c>
      <c r="G1914" s="3" t="str">
        <f t="shared" si="29"/>
        <v>A4BA</v>
      </c>
      <c r="H1914" s="3" t="s">
        <v>4645</v>
      </c>
      <c r="I1914" s="25" t="s">
        <v>2754</v>
      </c>
    </row>
    <row r="1915" spans="4:9" x14ac:dyDescent="0.2">
      <c r="D1915" t="s">
        <v>1995</v>
      </c>
      <c r="G1915" s="3" t="str">
        <f t="shared" si="29"/>
        <v>A4CA</v>
      </c>
      <c r="H1915" s="3" t="s">
        <v>4646</v>
      </c>
      <c r="I1915" s="25" t="s">
        <v>2754</v>
      </c>
    </row>
    <row r="1916" spans="4:9" x14ac:dyDescent="0.2">
      <c r="D1916" t="s">
        <v>1996</v>
      </c>
      <c r="G1916" s="3" t="str">
        <f t="shared" si="29"/>
        <v>A4EA</v>
      </c>
      <c r="H1916" s="3" t="s">
        <v>4647</v>
      </c>
      <c r="I1916" s="25" t="s">
        <v>2754</v>
      </c>
    </row>
    <row r="1917" spans="4:9" x14ac:dyDescent="0.2">
      <c r="D1917" t="s">
        <v>1997</v>
      </c>
      <c r="G1917" s="3" t="str">
        <f t="shared" si="29"/>
        <v>A4F0</v>
      </c>
      <c r="H1917" s="3" t="s">
        <v>4648</v>
      </c>
      <c r="I1917" s="25" t="s">
        <v>2754</v>
      </c>
    </row>
    <row r="1918" spans="4:9" x14ac:dyDescent="0.2">
      <c r="D1918" t="s">
        <v>1998</v>
      </c>
      <c r="G1918" s="3" t="str">
        <f t="shared" si="29"/>
        <v>A502</v>
      </c>
      <c r="H1918" s="3" t="s">
        <v>4649</v>
      </c>
      <c r="I1918" s="25" t="s">
        <v>2754</v>
      </c>
    </row>
    <row r="1919" spans="4:9" x14ac:dyDescent="0.2">
      <c r="D1919" t="s">
        <v>1999</v>
      </c>
      <c r="G1919" s="3" t="str">
        <f t="shared" si="29"/>
        <v>A566</v>
      </c>
      <c r="H1919" s="3" t="s">
        <v>4650</v>
      </c>
      <c r="I1919" s="25" t="s">
        <v>2754</v>
      </c>
    </row>
    <row r="1920" spans="4:9" x14ac:dyDescent="0.2">
      <c r="D1920" t="s">
        <v>2000</v>
      </c>
      <c r="G1920" s="3" t="str">
        <f t="shared" si="29"/>
        <v>A572</v>
      </c>
      <c r="H1920" s="3" t="s">
        <v>4651</v>
      </c>
      <c r="I1920" s="25" t="s">
        <v>2754</v>
      </c>
    </row>
    <row r="1921" spans="4:9" x14ac:dyDescent="0.2">
      <c r="D1921" t="s">
        <v>2001</v>
      </c>
      <c r="G1921" s="3" t="str">
        <f t="shared" si="29"/>
        <v>A592</v>
      </c>
      <c r="H1921" s="3" t="s">
        <v>4652</v>
      </c>
      <c r="I1921" s="25" t="s">
        <v>2754</v>
      </c>
    </row>
    <row r="1922" spans="4:9" x14ac:dyDescent="0.2">
      <c r="D1922" t="s">
        <v>2002</v>
      </c>
      <c r="G1922" s="3" t="str">
        <f t="shared" si="29"/>
        <v>A594</v>
      </c>
      <c r="H1922" s="3" t="s">
        <v>4653</v>
      </c>
      <c r="I1922" s="25" t="s">
        <v>2754</v>
      </c>
    </row>
    <row r="1923" spans="4:9" x14ac:dyDescent="0.2">
      <c r="D1923" t="s">
        <v>2003</v>
      </c>
      <c r="G1923" s="3" t="str">
        <f t="shared" si="29"/>
        <v>A5DA</v>
      </c>
      <c r="H1923" s="3" t="s">
        <v>4654</v>
      </c>
      <c r="I1923" s="25" t="s">
        <v>2754</v>
      </c>
    </row>
    <row r="1924" spans="4:9" x14ac:dyDescent="0.2">
      <c r="D1924" t="s">
        <v>2004</v>
      </c>
      <c r="G1924" s="3" t="str">
        <f t="shared" si="29"/>
        <v>A5FE</v>
      </c>
      <c r="H1924" s="3" t="s">
        <v>4655</v>
      </c>
      <c r="I1924" s="25" t="s">
        <v>2754</v>
      </c>
    </row>
    <row r="1925" spans="4:9" x14ac:dyDescent="0.2">
      <c r="D1925" t="s">
        <v>2005</v>
      </c>
      <c r="G1925" s="3" t="str">
        <f t="shared" si="29"/>
        <v>A61E</v>
      </c>
      <c r="H1925" s="3" t="s">
        <v>4656</v>
      </c>
      <c r="I1925" s="25" t="s">
        <v>2754</v>
      </c>
    </row>
    <row r="1926" spans="4:9" x14ac:dyDescent="0.2">
      <c r="D1926" t="s">
        <v>2006</v>
      </c>
      <c r="G1926" s="3" t="str">
        <f t="shared" si="29"/>
        <v>A620</v>
      </c>
      <c r="H1926" s="3" t="s">
        <v>4657</v>
      </c>
      <c r="I1926" s="25" t="s">
        <v>2754</v>
      </c>
    </row>
    <row r="1927" spans="4:9" x14ac:dyDescent="0.2">
      <c r="D1927" t="s">
        <v>2007</v>
      </c>
      <c r="G1927" s="3" t="str">
        <f t="shared" si="29"/>
        <v>A624</v>
      </c>
      <c r="H1927" s="3" t="s">
        <v>4658</v>
      </c>
      <c r="I1927" s="25" t="s">
        <v>2754</v>
      </c>
    </row>
    <row r="1928" spans="4:9" x14ac:dyDescent="0.2">
      <c r="D1928" t="s">
        <v>2008</v>
      </c>
      <c r="G1928" s="3" t="str">
        <f t="shared" si="29"/>
        <v>A628</v>
      </c>
      <c r="H1928" s="3" t="s">
        <v>4659</v>
      </c>
      <c r="I1928" s="25" t="s">
        <v>2754</v>
      </c>
    </row>
    <row r="1929" spans="4:9" x14ac:dyDescent="0.2">
      <c r="D1929" t="s">
        <v>2009</v>
      </c>
      <c r="G1929" s="3" t="str">
        <f t="shared" si="29"/>
        <v>A62E</v>
      </c>
      <c r="H1929" s="3" t="s">
        <v>4660</v>
      </c>
      <c r="I1929" s="25" t="s">
        <v>2754</v>
      </c>
    </row>
    <row r="1930" spans="4:9" x14ac:dyDescent="0.2">
      <c r="D1930" t="s">
        <v>2010</v>
      </c>
      <c r="G1930" s="3" t="str">
        <f t="shared" si="29"/>
        <v>A634</v>
      </c>
      <c r="H1930" s="3" t="s">
        <v>4661</v>
      </c>
      <c r="I1930" s="25" t="s">
        <v>2754</v>
      </c>
    </row>
    <row r="1931" spans="4:9" x14ac:dyDescent="0.2">
      <c r="D1931" t="s">
        <v>2011</v>
      </c>
      <c r="G1931" s="3" t="str">
        <f t="shared" ref="G1931:G1994" si="30">IF(H1931&lt;&gt;"",DEC2HEX(HEX2DEC(H1931)-932),"")</f>
        <v>A640</v>
      </c>
      <c r="H1931" s="3" t="s">
        <v>4662</v>
      </c>
      <c r="I1931" s="25" t="s">
        <v>2754</v>
      </c>
    </row>
    <row r="1932" spans="4:9" x14ac:dyDescent="0.2">
      <c r="D1932" t="s">
        <v>2012</v>
      </c>
      <c r="G1932" s="3" t="str">
        <f t="shared" si="30"/>
        <v>A64C</v>
      </c>
      <c r="H1932" s="3" t="s">
        <v>4663</v>
      </c>
      <c r="I1932" s="25" t="s">
        <v>5394</v>
      </c>
    </row>
    <row r="1933" spans="4:9" x14ac:dyDescent="0.2">
      <c r="D1933" t="s">
        <v>2013</v>
      </c>
      <c r="G1933" s="3" t="str">
        <f t="shared" si="30"/>
        <v>A68A</v>
      </c>
      <c r="H1933" s="3" t="s">
        <v>4664</v>
      </c>
      <c r="I1933" s="25" t="s">
        <v>2754</v>
      </c>
    </row>
    <row r="1934" spans="4:9" x14ac:dyDescent="0.2">
      <c r="D1934" t="s">
        <v>2014</v>
      </c>
      <c r="G1934" s="3" t="str">
        <f t="shared" si="30"/>
        <v>A6DA</v>
      </c>
      <c r="H1934" s="3" t="s">
        <v>4665</v>
      </c>
      <c r="I1934" s="25" t="s">
        <v>2754</v>
      </c>
    </row>
    <row r="1935" spans="4:9" x14ac:dyDescent="0.2">
      <c r="D1935" t="s">
        <v>2015</v>
      </c>
      <c r="G1935" s="3" t="str">
        <f t="shared" si="30"/>
        <v>A6E0</v>
      </c>
      <c r="H1935" s="3" t="s">
        <v>4666</v>
      </c>
      <c r="I1935" s="25" t="s">
        <v>2754</v>
      </c>
    </row>
    <row r="1936" spans="4:9" x14ac:dyDescent="0.2">
      <c r="D1936" t="s">
        <v>2016</v>
      </c>
      <c r="G1936" s="3" t="str">
        <f t="shared" si="30"/>
        <v>A6F8</v>
      </c>
      <c r="H1936" s="3" t="s">
        <v>4667</v>
      </c>
      <c r="I1936" s="25" t="s">
        <v>2754</v>
      </c>
    </row>
    <row r="1937" spans="4:9" x14ac:dyDescent="0.2">
      <c r="D1937" t="s">
        <v>2017</v>
      </c>
      <c r="G1937" s="3" t="str">
        <f t="shared" si="30"/>
        <v>A710</v>
      </c>
      <c r="H1937" s="3" t="s">
        <v>4668</v>
      </c>
      <c r="I1937" s="25" t="s">
        <v>2754</v>
      </c>
    </row>
    <row r="1938" spans="4:9" x14ac:dyDescent="0.2">
      <c r="D1938" t="s">
        <v>2018</v>
      </c>
      <c r="G1938" s="3" t="str">
        <f t="shared" si="30"/>
        <v>A714</v>
      </c>
      <c r="H1938" s="3" t="s">
        <v>4669</v>
      </c>
      <c r="I1938" s="25" t="s">
        <v>2754</v>
      </c>
    </row>
    <row r="1939" spans="4:9" x14ac:dyDescent="0.2">
      <c r="D1939" t="s">
        <v>2019</v>
      </c>
      <c r="G1939" s="3" t="str">
        <f t="shared" si="30"/>
        <v>A724</v>
      </c>
      <c r="H1939" s="3" t="s">
        <v>4670</v>
      </c>
      <c r="I1939" s="25" t="s">
        <v>2754</v>
      </c>
    </row>
    <row r="1940" spans="4:9" x14ac:dyDescent="0.2">
      <c r="D1940" t="s">
        <v>2020</v>
      </c>
      <c r="G1940" s="3" t="str">
        <f t="shared" si="30"/>
        <v>A744</v>
      </c>
      <c r="H1940" s="3" t="s">
        <v>4671</v>
      </c>
      <c r="I1940" s="25" t="s">
        <v>5396</v>
      </c>
    </row>
    <row r="1941" spans="4:9" x14ac:dyDescent="0.2">
      <c r="D1941" t="s">
        <v>2021</v>
      </c>
      <c r="G1941" s="3" t="str">
        <f t="shared" si="30"/>
        <v>A770</v>
      </c>
      <c r="H1941" s="3" t="s">
        <v>4672</v>
      </c>
      <c r="I1941" s="25" t="s">
        <v>2754</v>
      </c>
    </row>
    <row r="1942" spans="4:9" x14ac:dyDescent="0.2">
      <c r="D1942" t="s">
        <v>2022</v>
      </c>
      <c r="G1942" s="3" t="str">
        <f t="shared" si="30"/>
        <v>A79A</v>
      </c>
      <c r="H1942" s="3" t="s">
        <v>4673</v>
      </c>
      <c r="I1942" s="25" t="s">
        <v>2754</v>
      </c>
    </row>
    <row r="1943" spans="4:9" x14ac:dyDescent="0.2">
      <c r="D1943" t="s">
        <v>2023</v>
      </c>
      <c r="G1943" s="3" t="str">
        <f t="shared" si="30"/>
        <v>A7C2</v>
      </c>
      <c r="H1943" s="3" t="s">
        <v>4674</v>
      </c>
      <c r="I1943" s="25" t="s">
        <v>2754</v>
      </c>
    </row>
    <row r="1944" spans="4:9" x14ac:dyDescent="0.2">
      <c r="D1944" t="s">
        <v>2024</v>
      </c>
      <c r="G1944" s="3" t="str">
        <f t="shared" si="30"/>
        <v>A7D0</v>
      </c>
      <c r="H1944" s="3" t="s">
        <v>4675</v>
      </c>
      <c r="I1944" s="25" t="s">
        <v>2754</v>
      </c>
    </row>
    <row r="1945" spans="4:9" x14ac:dyDescent="0.2">
      <c r="D1945" t="s">
        <v>2025</v>
      </c>
      <c r="G1945" s="3" t="str">
        <f t="shared" si="30"/>
        <v>A7DC</v>
      </c>
      <c r="H1945" s="3" t="s">
        <v>4676</v>
      </c>
      <c r="I1945" s="25" t="s">
        <v>2754</v>
      </c>
    </row>
    <row r="1946" spans="4:9" x14ac:dyDescent="0.2">
      <c r="D1946" t="s">
        <v>2026</v>
      </c>
      <c r="G1946" s="3" t="str">
        <f t="shared" si="30"/>
        <v>A814</v>
      </c>
      <c r="H1946" s="3" t="s">
        <v>4677</v>
      </c>
      <c r="I1946" s="25" t="s">
        <v>2754</v>
      </c>
    </row>
    <row r="1947" spans="4:9" x14ac:dyDescent="0.2">
      <c r="D1947" t="s">
        <v>2027</v>
      </c>
      <c r="G1947" s="3" t="str">
        <f t="shared" si="30"/>
        <v>A828</v>
      </c>
      <c r="H1947" s="3" t="s">
        <v>4678</v>
      </c>
      <c r="I1947" s="25" t="s">
        <v>2754</v>
      </c>
    </row>
    <row r="1948" spans="4:9" x14ac:dyDescent="0.2">
      <c r="D1948" t="s">
        <v>2028</v>
      </c>
      <c r="G1948" s="3" t="str">
        <f t="shared" si="30"/>
        <v/>
      </c>
      <c r="H1948" s="3" t="s">
        <v>2754</v>
      </c>
      <c r="I1948" s="25" t="s">
        <v>2028</v>
      </c>
    </row>
    <row r="1949" spans="4:9" x14ac:dyDescent="0.2">
      <c r="D1949" t="s">
        <v>2029</v>
      </c>
      <c r="G1949" s="3" t="str">
        <f t="shared" si="30"/>
        <v>A832</v>
      </c>
      <c r="H1949" s="3" t="s">
        <v>4679</v>
      </c>
      <c r="I1949" s="25" t="s">
        <v>2754</v>
      </c>
    </row>
    <row r="1950" spans="4:9" x14ac:dyDescent="0.2">
      <c r="D1950" t="s">
        <v>2030</v>
      </c>
      <c r="G1950" s="3" t="str">
        <f t="shared" si="30"/>
        <v>A83E</v>
      </c>
      <c r="H1950" s="3" t="s">
        <v>4680</v>
      </c>
      <c r="I1950" s="25" t="s">
        <v>2754</v>
      </c>
    </row>
    <row r="1951" spans="4:9" x14ac:dyDescent="0.2">
      <c r="D1951" t="s">
        <v>2031</v>
      </c>
      <c r="G1951" s="3" t="str">
        <f t="shared" si="30"/>
        <v>A842</v>
      </c>
      <c r="H1951" s="3" t="s">
        <v>4681</v>
      </c>
      <c r="I1951" s="25" t="s">
        <v>2754</v>
      </c>
    </row>
    <row r="1952" spans="4:9" x14ac:dyDescent="0.2">
      <c r="D1952" t="s">
        <v>2032</v>
      </c>
      <c r="G1952" s="3" t="str">
        <f t="shared" si="30"/>
        <v>A84E</v>
      </c>
      <c r="H1952" s="3" t="s">
        <v>4682</v>
      </c>
      <c r="I1952" s="25" t="s">
        <v>2754</v>
      </c>
    </row>
    <row r="1953" spans="4:9" x14ac:dyDescent="0.2">
      <c r="D1953" t="s">
        <v>2033</v>
      </c>
      <c r="G1953" s="3" t="str">
        <f t="shared" si="30"/>
        <v>A86E</v>
      </c>
      <c r="H1953" s="3" t="s">
        <v>4683</v>
      </c>
      <c r="I1953" s="25" t="s">
        <v>2754</v>
      </c>
    </row>
    <row r="1954" spans="4:9" x14ac:dyDescent="0.2">
      <c r="D1954" t="s">
        <v>2034</v>
      </c>
      <c r="G1954" s="3" t="str">
        <f t="shared" si="30"/>
        <v/>
      </c>
      <c r="H1954" s="3" t="s">
        <v>2754</v>
      </c>
      <c r="I1954" s="25" t="s">
        <v>5398</v>
      </c>
    </row>
    <row r="1955" spans="4:9" x14ac:dyDescent="0.2">
      <c r="D1955" t="s">
        <v>2035</v>
      </c>
      <c r="G1955" s="3" t="str">
        <f t="shared" si="30"/>
        <v>A8D2</v>
      </c>
      <c r="H1955" s="3" t="s">
        <v>4684</v>
      </c>
      <c r="I1955" s="25" t="s">
        <v>2034</v>
      </c>
    </row>
    <row r="1956" spans="4:9" x14ac:dyDescent="0.2">
      <c r="D1956" t="s">
        <v>2036</v>
      </c>
      <c r="G1956" s="3" t="str">
        <f t="shared" si="30"/>
        <v>A906</v>
      </c>
      <c r="H1956" s="3" t="s">
        <v>4685</v>
      </c>
      <c r="I1956" s="25" t="s">
        <v>2754</v>
      </c>
    </row>
    <row r="1957" spans="4:9" x14ac:dyDescent="0.2">
      <c r="D1957" t="s">
        <v>2037</v>
      </c>
      <c r="G1957" s="3" t="str">
        <f t="shared" si="30"/>
        <v>A912</v>
      </c>
      <c r="H1957" s="3" t="s">
        <v>4686</v>
      </c>
      <c r="I1957" s="25" t="s">
        <v>2754</v>
      </c>
    </row>
    <row r="1958" spans="4:9" x14ac:dyDescent="0.2">
      <c r="D1958" t="s">
        <v>2038</v>
      </c>
      <c r="G1958" s="3" t="str">
        <f t="shared" si="30"/>
        <v>A91C</v>
      </c>
      <c r="H1958" s="3" t="s">
        <v>4687</v>
      </c>
      <c r="I1958" s="25" t="s">
        <v>2754</v>
      </c>
    </row>
    <row r="1959" spans="4:9" x14ac:dyDescent="0.2">
      <c r="D1959" t="s">
        <v>2039</v>
      </c>
      <c r="G1959" s="3" t="str">
        <f t="shared" si="30"/>
        <v>A932</v>
      </c>
      <c r="H1959" s="3" t="s">
        <v>4688</v>
      </c>
      <c r="I1959" s="25" t="s">
        <v>2754</v>
      </c>
    </row>
    <row r="1960" spans="4:9" x14ac:dyDescent="0.2">
      <c r="D1960" t="s">
        <v>2040</v>
      </c>
      <c r="G1960" s="3" t="str">
        <f t="shared" si="30"/>
        <v>A956</v>
      </c>
      <c r="H1960" s="3" t="s">
        <v>4689</v>
      </c>
      <c r="I1960" s="25" t="s">
        <v>2754</v>
      </c>
    </row>
    <row r="1961" spans="4:9" x14ac:dyDescent="0.2">
      <c r="D1961" t="s">
        <v>2041</v>
      </c>
      <c r="G1961" s="3" t="str">
        <f t="shared" si="30"/>
        <v>A96E</v>
      </c>
      <c r="H1961" s="3" t="s">
        <v>4690</v>
      </c>
      <c r="I1961" s="25" t="s">
        <v>5400</v>
      </c>
    </row>
    <row r="1962" spans="4:9" x14ac:dyDescent="0.2">
      <c r="D1962" t="s">
        <v>2042</v>
      </c>
      <c r="G1962" s="3" t="str">
        <f t="shared" si="30"/>
        <v/>
      </c>
      <c r="H1962" s="3" t="s">
        <v>2754</v>
      </c>
      <c r="I1962" s="25" t="s">
        <v>2042</v>
      </c>
    </row>
    <row r="1963" spans="4:9" x14ac:dyDescent="0.2">
      <c r="D1963" t="s">
        <v>2043</v>
      </c>
      <c r="G1963" s="3" t="str">
        <f t="shared" si="30"/>
        <v>A99C</v>
      </c>
      <c r="H1963" s="3" t="s">
        <v>4691</v>
      </c>
      <c r="I1963" s="25" t="s">
        <v>2754</v>
      </c>
    </row>
    <row r="1964" spans="4:9" x14ac:dyDescent="0.2">
      <c r="D1964" t="s">
        <v>2044</v>
      </c>
      <c r="G1964" s="3" t="str">
        <f t="shared" si="30"/>
        <v>A9A6</v>
      </c>
      <c r="H1964" s="3" t="s">
        <v>4692</v>
      </c>
      <c r="I1964" s="25" t="s">
        <v>2754</v>
      </c>
    </row>
    <row r="1965" spans="4:9" x14ac:dyDescent="0.2">
      <c r="D1965" t="s">
        <v>2045</v>
      </c>
      <c r="G1965" s="3" t="str">
        <f t="shared" si="30"/>
        <v>A9EC</v>
      </c>
      <c r="H1965" s="3" t="s">
        <v>4693</v>
      </c>
      <c r="I1965" s="25" t="s">
        <v>2754</v>
      </c>
    </row>
    <row r="1966" spans="4:9" x14ac:dyDescent="0.2">
      <c r="D1966" t="s">
        <v>2046</v>
      </c>
      <c r="G1966" s="3" t="str">
        <f t="shared" si="30"/>
        <v>A9EE</v>
      </c>
      <c r="H1966" s="3" t="s">
        <v>4694</v>
      </c>
      <c r="I1966" s="25" t="s">
        <v>2754</v>
      </c>
    </row>
    <row r="1967" spans="4:9" x14ac:dyDescent="0.2">
      <c r="D1967" t="s">
        <v>2047</v>
      </c>
      <c r="G1967" s="3" t="str">
        <f t="shared" si="30"/>
        <v>A9F0</v>
      </c>
      <c r="H1967" s="3" t="s">
        <v>4695</v>
      </c>
      <c r="I1967" s="25" t="s">
        <v>2754</v>
      </c>
    </row>
    <row r="1968" spans="4:9" x14ac:dyDescent="0.2">
      <c r="D1968" t="s">
        <v>2048</v>
      </c>
      <c r="G1968" s="3" t="str">
        <f t="shared" si="30"/>
        <v>A9F1</v>
      </c>
      <c r="H1968" s="3" t="s">
        <v>4696</v>
      </c>
      <c r="I1968" s="25" t="s">
        <v>2754</v>
      </c>
    </row>
    <row r="1969" spans="4:9" x14ac:dyDescent="0.2">
      <c r="D1969" t="s">
        <v>2049</v>
      </c>
      <c r="G1969" s="3" t="str">
        <f t="shared" si="30"/>
        <v>A9F4</v>
      </c>
      <c r="H1969" s="3" t="s">
        <v>4697</v>
      </c>
      <c r="I1969" s="25" t="s">
        <v>2754</v>
      </c>
    </row>
    <row r="1970" spans="4:9" x14ac:dyDescent="0.2">
      <c r="D1970" t="s">
        <v>2050</v>
      </c>
      <c r="G1970" s="3" t="str">
        <f t="shared" si="30"/>
        <v>A9F6</v>
      </c>
      <c r="H1970" s="3" t="s">
        <v>4698</v>
      </c>
      <c r="I1970" s="25" t="s">
        <v>2754</v>
      </c>
    </row>
    <row r="1971" spans="4:9" x14ac:dyDescent="0.2">
      <c r="D1971" t="s">
        <v>2051</v>
      </c>
      <c r="G1971" s="3" t="str">
        <f t="shared" si="30"/>
        <v>A9FA</v>
      </c>
      <c r="H1971" s="3" t="s">
        <v>4699</v>
      </c>
      <c r="I1971" s="25" t="s">
        <v>2754</v>
      </c>
    </row>
    <row r="1972" spans="4:9" x14ac:dyDescent="0.2">
      <c r="D1972" t="s">
        <v>2052</v>
      </c>
      <c r="G1972" s="3" t="str">
        <f t="shared" si="30"/>
        <v>A9FE</v>
      </c>
      <c r="H1972" s="3" t="s">
        <v>4700</v>
      </c>
      <c r="I1972" s="25" t="s">
        <v>2754</v>
      </c>
    </row>
    <row r="1973" spans="4:9" x14ac:dyDescent="0.2">
      <c r="D1973" t="s">
        <v>2053</v>
      </c>
      <c r="G1973" s="3" t="str">
        <f t="shared" si="30"/>
        <v>AA00</v>
      </c>
      <c r="H1973" s="3" t="s">
        <v>4701</v>
      </c>
      <c r="I1973" s="25" t="s">
        <v>2754</v>
      </c>
    </row>
    <row r="1974" spans="4:9" x14ac:dyDescent="0.2">
      <c r="D1974" t="s">
        <v>2054</v>
      </c>
      <c r="G1974" s="3" t="str">
        <f t="shared" si="30"/>
        <v>AA12</v>
      </c>
      <c r="H1974" s="3" t="s">
        <v>4702</v>
      </c>
      <c r="I1974" s="25" t="s">
        <v>2754</v>
      </c>
    </row>
    <row r="1975" spans="4:9" x14ac:dyDescent="0.2">
      <c r="D1975" t="s">
        <v>2055</v>
      </c>
      <c r="G1975" s="3" t="str">
        <f t="shared" si="30"/>
        <v>AA38</v>
      </c>
      <c r="H1975" s="3" t="s">
        <v>4703</v>
      </c>
      <c r="I1975" s="25" t="s">
        <v>2754</v>
      </c>
    </row>
    <row r="1976" spans="4:9" x14ac:dyDescent="0.2">
      <c r="D1976" t="s">
        <v>2056</v>
      </c>
      <c r="G1976" s="3" t="str">
        <f t="shared" si="30"/>
        <v>AA4C</v>
      </c>
      <c r="H1976" s="3" t="s">
        <v>4704</v>
      </c>
      <c r="I1976" s="25" t="s">
        <v>2754</v>
      </c>
    </row>
    <row r="1977" spans="4:9" x14ac:dyDescent="0.2">
      <c r="D1977" t="s">
        <v>2057</v>
      </c>
      <c r="G1977" s="3" t="str">
        <f t="shared" si="30"/>
        <v>AA50</v>
      </c>
      <c r="H1977" s="3" t="s">
        <v>4705</v>
      </c>
      <c r="I1977" s="25" t="s">
        <v>2754</v>
      </c>
    </row>
    <row r="1978" spans="4:9" x14ac:dyDescent="0.2">
      <c r="D1978" t="s">
        <v>2058</v>
      </c>
      <c r="G1978" s="3" t="str">
        <f t="shared" si="30"/>
        <v>AA58</v>
      </c>
      <c r="H1978" s="3" t="s">
        <v>4706</v>
      </c>
      <c r="I1978" s="25" t="s">
        <v>2754</v>
      </c>
    </row>
    <row r="1979" spans="4:9" x14ac:dyDescent="0.2">
      <c r="D1979" t="s">
        <v>2059</v>
      </c>
      <c r="G1979" s="3" t="str">
        <f t="shared" si="30"/>
        <v>AA5C</v>
      </c>
      <c r="H1979" s="3" t="s">
        <v>4707</v>
      </c>
      <c r="I1979" s="25" t="s">
        <v>2754</v>
      </c>
    </row>
    <row r="1980" spans="4:9" x14ac:dyDescent="0.2">
      <c r="D1980" t="s">
        <v>2060</v>
      </c>
      <c r="G1980" s="3" t="str">
        <f t="shared" si="30"/>
        <v>AA72</v>
      </c>
      <c r="H1980" s="3" t="s">
        <v>4708</v>
      </c>
      <c r="I1980" s="25" t="s">
        <v>2754</v>
      </c>
    </row>
    <row r="1981" spans="4:9" x14ac:dyDescent="0.2">
      <c r="D1981" t="s">
        <v>2061</v>
      </c>
      <c r="G1981" s="3" t="str">
        <f t="shared" si="30"/>
        <v>AA86</v>
      </c>
      <c r="H1981" s="3" t="s">
        <v>4709</v>
      </c>
      <c r="I1981" s="25" t="s">
        <v>2754</v>
      </c>
    </row>
    <row r="1982" spans="4:9" x14ac:dyDescent="0.2">
      <c r="D1982" t="s">
        <v>2062</v>
      </c>
      <c r="G1982" s="3" t="str">
        <f t="shared" si="30"/>
        <v>AA9C</v>
      </c>
      <c r="H1982" s="3" t="s">
        <v>4710</v>
      </c>
      <c r="I1982" s="25" t="s">
        <v>2754</v>
      </c>
    </row>
    <row r="1983" spans="4:9" x14ac:dyDescent="0.2">
      <c r="D1983" t="s">
        <v>2063</v>
      </c>
      <c r="G1983" s="3" t="str">
        <f t="shared" si="30"/>
        <v>AA9E</v>
      </c>
      <c r="H1983" s="3" t="s">
        <v>4711</v>
      </c>
      <c r="I1983" s="25" t="s">
        <v>2754</v>
      </c>
    </row>
    <row r="1984" spans="4:9" x14ac:dyDescent="0.2">
      <c r="D1984" t="s">
        <v>2064</v>
      </c>
      <c r="G1984" s="3" t="str">
        <f t="shared" si="30"/>
        <v>AAA2</v>
      </c>
      <c r="H1984" s="3" t="s">
        <v>4712</v>
      </c>
      <c r="I1984" s="25" t="s">
        <v>2754</v>
      </c>
    </row>
    <row r="1985" spans="4:9" x14ac:dyDescent="0.2">
      <c r="D1985" t="s">
        <v>2065</v>
      </c>
      <c r="G1985" s="3" t="str">
        <f t="shared" si="30"/>
        <v>AAA4</v>
      </c>
      <c r="H1985" s="3" t="s">
        <v>4713</v>
      </c>
      <c r="I1985" s="25" t="s">
        <v>2754</v>
      </c>
    </row>
    <row r="1986" spans="4:9" x14ac:dyDescent="0.2">
      <c r="D1986" t="s">
        <v>2066</v>
      </c>
      <c r="G1986" s="3" t="str">
        <f t="shared" si="30"/>
        <v>AAC6</v>
      </c>
      <c r="H1986" s="3" t="s">
        <v>4714</v>
      </c>
      <c r="I1986" s="25" t="s">
        <v>2754</v>
      </c>
    </row>
    <row r="1987" spans="4:9" x14ac:dyDescent="0.2">
      <c r="D1987" t="s">
        <v>2067</v>
      </c>
      <c r="G1987" s="3" t="str">
        <f t="shared" si="30"/>
        <v>AACE</v>
      </c>
      <c r="H1987" s="3" t="s">
        <v>4715</v>
      </c>
      <c r="I1987" s="25" t="s">
        <v>2754</v>
      </c>
    </row>
    <row r="1988" spans="4:9" x14ac:dyDescent="0.2">
      <c r="D1988" t="s">
        <v>2068</v>
      </c>
      <c r="G1988" s="3" t="str">
        <f t="shared" si="30"/>
        <v>AAD0</v>
      </c>
      <c r="H1988" s="3" t="s">
        <v>4716</v>
      </c>
      <c r="I1988" s="25" t="s">
        <v>2754</v>
      </c>
    </row>
    <row r="1989" spans="4:9" x14ac:dyDescent="0.2">
      <c r="D1989" t="s">
        <v>2069</v>
      </c>
      <c r="G1989" s="3" t="str">
        <f t="shared" si="30"/>
        <v>AAD2</v>
      </c>
      <c r="H1989" s="3" t="s">
        <v>4717</v>
      </c>
      <c r="I1989" s="25" t="s">
        <v>2754</v>
      </c>
    </row>
    <row r="1990" spans="4:9" x14ac:dyDescent="0.2">
      <c r="D1990" t="s">
        <v>2070</v>
      </c>
      <c r="G1990" s="3" t="str">
        <f t="shared" si="30"/>
        <v>AAD4</v>
      </c>
      <c r="H1990" s="3" t="s">
        <v>4718</v>
      </c>
      <c r="I1990" s="25" t="s">
        <v>2754</v>
      </c>
    </row>
    <row r="1991" spans="4:9" x14ac:dyDescent="0.2">
      <c r="D1991" t="s">
        <v>2071</v>
      </c>
      <c r="G1991" s="3" t="str">
        <f t="shared" si="30"/>
        <v>AAF0</v>
      </c>
      <c r="H1991" s="3" t="s">
        <v>4719</v>
      </c>
      <c r="I1991" s="25" t="s">
        <v>2754</v>
      </c>
    </row>
    <row r="1992" spans="4:9" x14ac:dyDescent="0.2">
      <c r="D1992" t="s">
        <v>2072</v>
      </c>
      <c r="G1992" s="3" t="str">
        <f t="shared" si="30"/>
        <v>AAF8</v>
      </c>
      <c r="H1992" s="3" t="s">
        <v>4720</v>
      </c>
      <c r="I1992" s="25" t="s">
        <v>2754</v>
      </c>
    </row>
    <row r="1993" spans="4:9" x14ac:dyDescent="0.2">
      <c r="D1993" t="s">
        <v>2073</v>
      </c>
      <c r="G1993" s="3" t="str">
        <f t="shared" si="30"/>
        <v>AAFA</v>
      </c>
      <c r="H1993" s="3" t="s">
        <v>4721</v>
      </c>
      <c r="I1993" s="25" t="s">
        <v>2754</v>
      </c>
    </row>
    <row r="1994" spans="4:9" x14ac:dyDescent="0.2">
      <c r="D1994" t="s">
        <v>2074</v>
      </c>
      <c r="G1994" s="3" t="str">
        <f t="shared" si="30"/>
        <v>AB1A</v>
      </c>
      <c r="H1994" s="3" t="s">
        <v>4722</v>
      </c>
      <c r="I1994" s="25" t="s">
        <v>2754</v>
      </c>
    </row>
    <row r="1995" spans="4:9" x14ac:dyDescent="0.2">
      <c r="D1995" t="s">
        <v>2075</v>
      </c>
      <c r="G1995" s="3" t="str">
        <f t="shared" ref="G1995:G2058" si="31">IF(H1995&lt;&gt;"",DEC2HEX(HEX2DEC(H1995)-932),"")</f>
        <v>AB20</v>
      </c>
      <c r="H1995" s="3" t="s">
        <v>4723</v>
      </c>
      <c r="I1995" s="25" t="s">
        <v>2754</v>
      </c>
    </row>
    <row r="1996" spans="4:9" x14ac:dyDescent="0.2">
      <c r="D1996" t="s">
        <v>2076</v>
      </c>
      <c r="G1996" s="3" t="str">
        <f t="shared" si="31"/>
        <v>AB24</v>
      </c>
      <c r="H1996" s="3" t="s">
        <v>4724</v>
      </c>
      <c r="I1996" s="25" t="s">
        <v>2754</v>
      </c>
    </row>
    <row r="1997" spans="4:9" x14ac:dyDescent="0.2">
      <c r="D1997" t="s">
        <v>2077</v>
      </c>
      <c r="G1997" s="3" t="str">
        <f t="shared" si="31"/>
        <v>AB26</v>
      </c>
      <c r="H1997" s="3" t="s">
        <v>4725</v>
      </c>
      <c r="I1997" s="25" t="s">
        <v>2754</v>
      </c>
    </row>
    <row r="1998" spans="4:9" x14ac:dyDescent="0.2">
      <c r="D1998" t="s">
        <v>2078</v>
      </c>
      <c r="G1998" s="3" t="str">
        <f t="shared" si="31"/>
        <v>AB28</v>
      </c>
      <c r="H1998" s="3" t="s">
        <v>4726</v>
      </c>
      <c r="I1998" s="25" t="s">
        <v>2754</v>
      </c>
    </row>
    <row r="1999" spans="4:9" x14ac:dyDescent="0.2">
      <c r="D1999" t="s">
        <v>2079</v>
      </c>
      <c r="G1999" s="3" t="str">
        <f t="shared" si="31"/>
        <v>AB46</v>
      </c>
      <c r="H1999" s="3" t="s">
        <v>4727</v>
      </c>
      <c r="I1999" s="25" t="s">
        <v>2754</v>
      </c>
    </row>
    <row r="2000" spans="4:9" x14ac:dyDescent="0.2">
      <c r="D2000" t="s">
        <v>2080</v>
      </c>
      <c r="G2000" s="3" t="str">
        <f t="shared" si="31"/>
        <v>AB68</v>
      </c>
      <c r="H2000" s="3" t="s">
        <v>4728</v>
      </c>
      <c r="I2000" s="25" t="s">
        <v>2754</v>
      </c>
    </row>
    <row r="2001" spans="4:9" x14ac:dyDescent="0.2">
      <c r="D2001" t="s">
        <v>2081</v>
      </c>
      <c r="G2001" s="3" t="str">
        <f t="shared" si="31"/>
        <v>AB6A</v>
      </c>
      <c r="H2001" s="3" t="s">
        <v>4729</v>
      </c>
      <c r="I2001" s="25" t="s">
        <v>2754</v>
      </c>
    </row>
    <row r="2002" spans="4:9" x14ac:dyDescent="0.2">
      <c r="D2002" t="s">
        <v>2082</v>
      </c>
      <c r="G2002" s="3" t="str">
        <f t="shared" si="31"/>
        <v>AB7A</v>
      </c>
      <c r="H2002" s="3" t="s">
        <v>4730</v>
      </c>
      <c r="I2002" s="25" t="s">
        <v>2754</v>
      </c>
    </row>
    <row r="2003" spans="4:9" x14ac:dyDescent="0.2">
      <c r="D2003" t="s">
        <v>2083</v>
      </c>
      <c r="G2003" s="3" t="str">
        <f t="shared" si="31"/>
        <v>ABC8</v>
      </c>
      <c r="H2003" s="3" t="s">
        <v>4731</v>
      </c>
      <c r="I2003" s="25" t="s">
        <v>2754</v>
      </c>
    </row>
    <row r="2004" spans="4:9" x14ac:dyDescent="0.2">
      <c r="D2004" t="s">
        <v>2084</v>
      </c>
      <c r="G2004" s="3" t="str">
        <f t="shared" si="31"/>
        <v>ABC9</v>
      </c>
      <c r="H2004" s="3" t="s">
        <v>4732</v>
      </c>
      <c r="I2004" s="25" t="s">
        <v>2754</v>
      </c>
    </row>
    <row r="2005" spans="4:9" x14ac:dyDescent="0.2">
      <c r="D2005" t="s">
        <v>2085</v>
      </c>
      <c r="G2005" s="3" t="str">
        <f t="shared" si="31"/>
        <v>ABD0</v>
      </c>
      <c r="H2005" s="3" t="s">
        <v>4733</v>
      </c>
      <c r="I2005" s="25" t="s">
        <v>2754</v>
      </c>
    </row>
    <row r="2006" spans="4:9" x14ac:dyDescent="0.2">
      <c r="D2006" t="s">
        <v>2086</v>
      </c>
      <c r="G2006" s="3" t="str">
        <f t="shared" si="31"/>
        <v>ABDC</v>
      </c>
      <c r="H2006" s="3" t="s">
        <v>4734</v>
      </c>
      <c r="I2006" s="25" t="s">
        <v>2754</v>
      </c>
    </row>
    <row r="2007" spans="4:9" x14ac:dyDescent="0.2">
      <c r="D2007" t="s">
        <v>2087</v>
      </c>
      <c r="G2007" s="3" t="str">
        <f t="shared" si="31"/>
        <v>ABE4</v>
      </c>
      <c r="H2007" s="3" t="s">
        <v>4735</v>
      </c>
      <c r="I2007" s="25" t="s">
        <v>2754</v>
      </c>
    </row>
    <row r="2008" spans="4:9" x14ac:dyDescent="0.2">
      <c r="D2008" t="s">
        <v>2088</v>
      </c>
      <c r="G2008" s="3" t="str">
        <f t="shared" si="31"/>
        <v>ABEA</v>
      </c>
      <c r="H2008" s="3" t="s">
        <v>4736</v>
      </c>
      <c r="I2008" s="25" t="s">
        <v>2754</v>
      </c>
    </row>
    <row r="2009" spans="4:9" x14ac:dyDescent="0.2">
      <c r="D2009" t="s">
        <v>2089</v>
      </c>
      <c r="G2009" s="3" t="str">
        <f t="shared" si="31"/>
        <v>ABEE</v>
      </c>
      <c r="H2009" s="3" t="s">
        <v>4737</v>
      </c>
      <c r="I2009" s="25" t="s">
        <v>2754</v>
      </c>
    </row>
    <row r="2010" spans="4:9" x14ac:dyDescent="0.2">
      <c r="D2010" t="s">
        <v>2090</v>
      </c>
      <c r="G2010" s="3" t="str">
        <f t="shared" si="31"/>
        <v>ABF2</v>
      </c>
      <c r="H2010" s="3" t="s">
        <v>4738</v>
      </c>
      <c r="I2010" s="25" t="s">
        <v>2754</v>
      </c>
    </row>
    <row r="2011" spans="4:9" x14ac:dyDescent="0.2">
      <c r="D2011" t="s">
        <v>2091</v>
      </c>
      <c r="G2011" s="3" t="str">
        <f t="shared" si="31"/>
        <v>ABFA</v>
      </c>
      <c r="H2011" s="3" t="s">
        <v>4739</v>
      </c>
      <c r="I2011" s="25" t="s">
        <v>2754</v>
      </c>
    </row>
    <row r="2012" spans="4:9" x14ac:dyDescent="0.2">
      <c r="D2012" t="s">
        <v>2092</v>
      </c>
      <c r="G2012" s="3" t="str">
        <f t="shared" si="31"/>
        <v/>
      </c>
      <c r="H2012" s="3" t="s">
        <v>2754</v>
      </c>
      <c r="I2012" s="25" t="s">
        <v>2092</v>
      </c>
    </row>
    <row r="2013" spans="4:9" x14ac:dyDescent="0.2">
      <c r="D2013" t="s">
        <v>2093</v>
      </c>
      <c r="G2013" s="3" t="str">
        <f t="shared" si="31"/>
        <v>AC06</v>
      </c>
      <c r="H2013" s="3" t="s">
        <v>4740</v>
      </c>
      <c r="I2013" s="25" t="s">
        <v>5397</v>
      </c>
    </row>
    <row r="2014" spans="4:9" x14ac:dyDescent="0.2">
      <c r="D2014" t="s">
        <v>2094</v>
      </c>
      <c r="G2014" s="3" t="str">
        <f t="shared" si="31"/>
        <v>AC20</v>
      </c>
      <c r="H2014" s="3" t="s">
        <v>4741</v>
      </c>
      <c r="I2014" s="25" t="s">
        <v>2754</v>
      </c>
    </row>
    <row r="2015" spans="4:9" x14ac:dyDescent="0.2">
      <c r="D2015" t="s">
        <v>2095</v>
      </c>
      <c r="G2015" s="3" t="str">
        <f t="shared" si="31"/>
        <v>AC28</v>
      </c>
      <c r="H2015" s="3" t="s">
        <v>4742</v>
      </c>
      <c r="I2015" s="25" t="s">
        <v>2754</v>
      </c>
    </row>
    <row r="2016" spans="4:9" x14ac:dyDescent="0.2">
      <c r="D2016" t="s">
        <v>2096</v>
      </c>
      <c r="G2016" s="3" t="str">
        <f t="shared" si="31"/>
        <v>AC2C</v>
      </c>
      <c r="H2016" s="3" t="s">
        <v>4743</v>
      </c>
      <c r="I2016" s="25" t="s">
        <v>2754</v>
      </c>
    </row>
    <row r="2017" spans="4:9" x14ac:dyDescent="0.2">
      <c r="D2017" t="s">
        <v>2097</v>
      </c>
      <c r="G2017" s="3" t="str">
        <f t="shared" si="31"/>
        <v>AC30</v>
      </c>
      <c r="H2017" s="3" t="s">
        <v>4744</v>
      </c>
      <c r="I2017" s="25" t="s">
        <v>2754</v>
      </c>
    </row>
    <row r="2018" spans="4:9" x14ac:dyDescent="0.2">
      <c r="D2018" t="s">
        <v>2098</v>
      </c>
      <c r="G2018" s="3" t="str">
        <f t="shared" si="31"/>
        <v>AC50</v>
      </c>
      <c r="H2018" s="3" t="s">
        <v>4745</v>
      </c>
      <c r="I2018" s="25" t="s">
        <v>2754</v>
      </c>
    </row>
    <row r="2019" spans="4:9" x14ac:dyDescent="0.2">
      <c r="D2019" t="s">
        <v>2099</v>
      </c>
      <c r="G2019" s="3" t="str">
        <f t="shared" si="31"/>
        <v>AC68</v>
      </c>
      <c r="H2019" s="3" t="s">
        <v>4746</v>
      </c>
      <c r="I2019" s="25" t="s">
        <v>2754</v>
      </c>
    </row>
    <row r="2020" spans="4:9" x14ac:dyDescent="0.2">
      <c r="D2020" t="s">
        <v>2100</v>
      </c>
      <c r="G2020" s="3" t="str">
        <f t="shared" si="31"/>
        <v>AC6C</v>
      </c>
      <c r="H2020" s="3" t="s">
        <v>4747</v>
      </c>
      <c r="I2020" s="25" t="s">
        <v>2754</v>
      </c>
    </row>
    <row r="2021" spans="4:9" x14ac:dyDescent="0.2">
      <c r="D2021" t="s">
        <v>2101</v>
      </c>
      <c r="G2021" s="3" t="str">
        <f t="shared" si="31"/>
        <v>AC70</v>
      </c>
      <c r="H2021" s="3" t="s">
        <v>4748</v>
      </c>
      <c r="I2021" s="25" t="s">
        <v>2754</v>
      </c>
    </row>
    <row r="2022" spans="4:9" x14ac:dyDescent="0.2">
      <c r="D2022" t="s">
        <v>2102</v>
      </c>
      <c r="G2022" s="3" t="str">
        <f t="shared" si="31"/>
        <v>AC74</v>
      </c>
      <c r="H2022" s="3" t="s">
        <v>4749</v>
      </c>
      <c r="I2022" s="25" t="s">
        <v>2754</v>
      </c>
    </row>
    <row r="2023" spans="4:9" x14ac:dyDescent="0.2">
      <c r="D2023" t="s">
        <v>2103</v>
      </c>
      <c r="G2023" s="3" t="str">
        <f t="shared" si="31"/>
        <v>AC96</v>
      </c>
      <c r="H2023" s="3" t="s">
        <v>4750</v>
      </c>
      <c r="I2023" s="25" t="s">
        <v>2754</v>
      </c>
    </row>
    <row r="2024" spans="4:9" x14ac:dyDescent="0.2">
      <c r="D2024" t="s">
        <v>2104</v>
      </c>
      <c r="G2024" s="3" t="str">
        <f t="shared" si="31"/>
        <v>AC98</v>
      </c>
      <c r="H2024" s="3" t="s">
        <v>4751</v>
      </c>
      <c r="I2024" s="25" t="s">
        <v>2754</v>
      </c>
    </row>
    <row r="2025" spans="4:9" x14ac:dyDescent="0.2">
      <c r="D2025" t="s">
        <v>2105</v>
      </c>
      <c r="G2025" s="3" t="str">
        <f t="shared" si="31"/>
        <v>AC9A</v>
      </c>
      <c r="H2025" s="3" t="s">
        <v>4752</v>
      </c>
      <c r="I2025" s="25" t="s">
        <v>2754</v>
      </c>
    </row>
    <row r="2026" spans="4:9" x14ac:dyDescent="0.2">
      <c r="D2026" t="s">
        <v>2106</v>
      </c>
      <c r="G2026" s="3" t="str">
        <f t="shared" si="31"/>
        <v>ACBC</v>
      </c>
      <c r="H2026" s="3" t="s">
        <v>4753</v>
      </c>
      <c r="I2026" s="25" t="s">
        <v>2754</v>
      </c>
    </row>
    <row r="2027" spans="4:9" x14ac:dyDescent="0.2">
      <c r="D2027" t="s">
        <v>2107</v>
      </c>
      <c r="G2027" s="3" t="str">
        <f t="shared" si="31"/>
        <v>ACCC</v>
      </c>
      <c r="H2027" s="3" t="s">
        <v>4754</v>
      </c>
      <c r="I2027" s="25" t="s">
        <v>2754</v>
      </c>
    </row>
    <row r="2028" spans="4:9" x14ac:dyDescent="0.2">
      <c r="D2028" t="s">
        <v>2108</v>
      </c>
      <c r="G2028" s="3" t="str">
        <f t="shared" si="31"/>
        <v>ACD2</v>
      </c>
      <c r="H2028" s="3" t="s">
        <v>4755</v>
      </c>
      <c r="I2028" s="25" t="s">
        <v>2754</v>
      </c>
    </row>
    <row r="2029" spans="4:9" x14ac:dyDescent="0.2">
      <c r="D2029" t="s">
        <v>2109</v>
      </c>
      <c r="G2029" s="3" t="str">
        <f t="shared" si="31"/>
        <v>ACD8</v>
      </c>
      <c r="H2029" s="3" t="s">
        <v>4756</v>
      </c>
      <c r="I2029" s="25" t="s">
        <v>2754</v>
      </c>
    </row>
    <row r="2030" spans="4:9" x14ac:dyDescent="0.2">
      <c r="D2030" t="s">
        <v>2110</v>
      </c>
      <c r="G2030" s="3" t="str">
        <f t="shared" si="31"/>
        <v>ACDE</v>
      </c>
      <c r="H2030" s="3" t="s">
        <v>4757</v>
      </c>
      <c r="I2030" s="25" t="s">
        <v>2754</v>
      </c>
    </row>
    <row r="2031" spans="4:9" x14ac:dyDescent="0.2">
      <c r="D2031" t="s">
        <v>2111</v>
      </c>
      <c r="G2031" s="3" t="str">
        <f t="shared" si="31"/>
        <v>ACE2</v>
      </c>
      <c r="H2031" s="3" t="s">
        <v>4758</v>
      </c>
      <c r="I2031" s="25" t="s">
        <v>2754</v>
      </c>
    </row>
    <row r="2032" spans="4:9" x14ac:dyDescent="0.2">
      <c r="D2032" t="s">
        <v>2112</v>
      </c>
      <c r="G2032" s="3" t="str">
        <f t="shared" si="31"/>
        <v>AD28</v>
      </c>
      <c r="H2032" s="3" t="s">
        <v>4759</v>
      </c>
      <c r="I2032" s="25" t="s">
        <v>2754</v>
      </c>
    </row>
    <row r="2033" spans="4:9" x14ac:dyDescent="0.2">
      <c r="D2033" t="s">
        <v>2113</v>
      </c>
      <c r="G2033" s="3" t="str">
        <f t="shared" si="31"/>
        <v>AD2A</v>
      </c>
      <c r="H2033" s="3" t="s">
        <v>4760</v>
      </c>
      <c r="I2033" s="25" t="s">
        <v>2754</v>
      </c>
    </row>
    <row r="2034" spans="4:9" x14ac:dyDescent="0.2">
      <c r="D2034" t="s">
        <v>2114</v>
      </c>
      <c r="G2034" s="3" t="str">
        <f t="shared" si="31"/>
        <v>AD3A</v>
      </c>
      <c r="H2034" s="3" t="s">
        <v>4761</v>
      </c>
      <c r="I2034" s="25" t="s">
        <v>2754</v>
      </c>
    </row>
    <row r="2035" spans="4:9" x14ac:dyDescent="0.2">
      <c r="D2035" t="s">
        <v>2115</v>
      </c>
      <c r="G2035" s="3" t="str">
        <f t="shared" si="31"/>
        <v>AD64</v>
      </c>
      <c r="H2035" s="3" t="s">
        <v>4762</v>
      </c>
      <c r="I2035" s="25" t="s">
        <v>2754</v>
      </c>
    </row>
    <row r="2036" spans="4:9" x14ac:dyDescent="0.2">
      <c r="D2036" t="s">
        <v>2116</v>
      </c>
      <c r="G2036" s="3" t="str">
        <f t="shared" si="31"/>
        <v>AD66</v>
      </c>
      <c r="H2036" s="3" t="s">
        <v>4763</v>
      </c>
      <c r="I2036" s="25" t="s">
        <v>2754</v>
      </c>
    </row>
    <row r="2037" spans="4:9" x14ac:dyDescent="0.2">
      <c r="D2037" t="s">
        <v>2117</v>
      </c>
      <c r="G2037" s="3" t="str">
        <f t="shared" si="31"/>
        <v>AD68</v>
      </c>
      <c r="H2037" s="3" t="s">
        <v>4764</v>
      </c>
      <c r="I2037" s="25" t="s">
        <v>2754</v>
      </c>
    </row>
    <row r="2038" spans="4:9" x14ac:dyDescent="0.2">
      <c r="D2038" t="s">
        <v>2118</v>
      </c>
      <c r="G2038" s="3" t="str">
        <f t="shared" si="31"/>
        <v>AD74</v>
      </c>
      <c r="H2038" s="3" t="s">
        <v>4765</v>
      </c>
      <c r="I2038" s="25" t="s">
        <v>2754</v>
      </c>
    </row>
    <row r="2039" spans="4:9" x14ac:dyDescent="0.2">
      <c r="D2039" t="s">
        <v>2119</v>
      </c>
      <c r="G2039" s="3" t="str">
        <f t="shared" si="31"/>
        <v>AD7C</v>
      </c>
      <c r="H2039" s="3" t="s">
        <v>4766</v>
      </c>
      <c r="I2039" s="25" t="s">
        <v>2754</v>
      </c>
    </row>
    <row r="2040" spans="4:9" x14ac:dyDescent="0.2">
      <c r="D2040" t="s">
        <v>2120</v>
      </c>
      <c r="G2040" s="3" t="str">
        <f t="shared" si="31"/>
        <v>AD9C</v>
      </c>
      <c r="H2040" s="3" t="s">
        <v>4767</v>
      </c>
      <c r="I2040" s="25" t="s">
        <v>2754</v>
      </c>
    </row>
    <row r="2041" spans="4:9" x14ac:dyDescent="0.2">
      <c r="D2041" t="s">
        <v>2121</v>
      </c>
      <c r="G2041" s="3" t="str">
        <f t="shared" si="31"/>
        <v>ADA4</v>
      </c>
      <c r="H2041" s="3" t="s">
        <v>4768</v>
      </c>
      <c r="I2041" s="25" t="s">
        <v>5402</v>
      </c>
    </row>
    <row r="2042" spans="4:9" x14ac:dyDescent="0.2">
      <c r="D2042" t="s">
        <v>2122</v>
      </c>
      <c r="G2042" s="3" t="str">
        <f t="shared" si="31"/>
        <v>ADB0</v>
      </c>
      <c r="H2042" s="3" t="s">
        <v>4769</v>
      </c>
      <c r="I2042" s="25" t="s">
        <v>2754</v>
      </c>
    </row>
    <row r="2043" spans="4:9" x14ac:dyDescent="0.2">
      <c r="D2043" t="s">
        <v>2123</v>
      </c>
      <c r="G2043" s="3" t="str">
        <f t="shared" si="31"/>
        <v>ADB8</v>
      </c>
      <c r="H2043" s="3" t="s">
        <v>4770</v>
      </c>
      <c r="I2043" s="25" t="s">
        <v>2754</v>
      </c>
    </row>
    <row r="2044" spans="4:9" x14ac:dyDescent="0.2">
      <c r="D2044" t="s">
        <v>2124</v>
      </c>
      <c r="G2044" s="3" t="str">
        <f t="shared" si="31"/>
        <v>ADC0</v>
      </c>
      <c r="H2044" s="3" t="s">
        <v>4771</v>
      </c>
      <c r="I2044" s="25" t="s">
        <v>5401</v>
      </c>
    </row>
    <row r="2045" spans="4:9" x14ac:dyDescent="0.2">
      <c r="D2045" t="s">
        <v>2125</v>
      </c>
      <c r="G2045" s="3" t="str">
        <f t="shared" si="31"/>
        <v>ADCA</v>
      </c>
      <c r="H2045" s="3" t="s">
        <v>4772</v>
      </c>
      <c r="I2045" s="25" t="s">
        <v>2754</v>
      </c>
    </row>
    <row r="2046" spans="4:9" x14ac:dyDescent="0.2">
      <c r="D2046" t="s">
        <v>2126</v>
      </c>
      <c r="G2046" s="3" t="str">
        <f t="shared" si="31"/>
        <v>ADF0</v>
      </c>
      <c r="H2046" s="3" t="s">
        <v>4773</v>
      </c>
      <c r="I2046" s="25" t="s">
        <v>2754</v>
      </c>
    </row>
    <row r="2047" spans="4:9" x14ac:dyDescent="0.2">
      <c r="D2047" t="s">
        <v>2127</v>
      </c>
      <c r="G2047" s="3" t="str">
        <f t="shared" si="31"/>
        <v>AE0E</v>
      </c>
      <c r="H2047" s="3" t="s">
        <v>4774</v>
      </c>
      <c r="I2047" s="25" t="s">
        <v>2754</v>
      </c>
    </row>
    <row r="2048" spans="4:9" x14ac:dyDescent="0.2">
      <c r="D2048" t="s">
        <v>2128</v>
      </c>
      <c r="G2048" s="3" t="str">
        <f t="shared" si="31"/>
        <v>AE10</v>
      </c>
      <c r="H2048" s="3" t="s">
        <v>4775</v>
      </c>
      <c r="I2048" s="25" t="s">
        <v>2754</v>
      </c>
    </row>
    <row r="2049" spans="4:9" x14ac:dyDescent="0.2">
      <c r="D2049" t="s">
        <v>2129</v>
      </c>
      <c r="G2049" s="3" t="str">
        <f t="shared" si="31"/>
        <v/>
      </c>
      <c r="H2049" s="3" t="s">
        <v>2754</v>
      </c>
      <c r="I2049" s="25" t="s">
        <v>2129</v>
      </c>
    </row>
    <row r="2050" spans="4:9" x14ac:dyDescent="0.2">
      <c r="D2050" t="s">
        <v>2130</v>
      </c>
      <c r="G2050" s="3" t="str">
        <f t="shared" si="31"/>
        <v>AE22</v>
      </c>
      <c r="H2050" s="3" t="s">
        <v>4776</v>
      </c>
      <c r="I2050" s="25" t="s">
        <v>2754</v>
      </c>
    </row>
    <row r="2051" spans="4:9" x14ac:dyDescent="0.2">
      <c r="D2051" t="s">
        <v>2131</v>
      </c>
      <c r="G2051" s="3" t="str">
        <f t="shared" si="31"/>
        <v>AE44</v>
      </c>
      <c r="H2051" s="3" t="s">
        <v>4777</v>
      </c>
      <c r="I2051" s="25" t="s">
        <v>2754</v>
      </c>
    </row>
    <row r="2052" spans="4:9" x14ac:dyDescent="0.2">
      <c r="D2052" t="s">
        <v>2132</v>
      </c>
      <c r="G2052" s="3" t="str">
        <f t="shared" si="31"/>
        <v>AE54</v>
      </c>
      <c r="H2052" s="3" t="s">
        <v>4778</v>
      </c>
      <c r="I2052" s="25" t="s">
        <v>2754</v>
      </c>
    </row>
    <row r="2053" spans="4:9" x14ac:dyDescent="0.2">
      <c r="D2053" t="s">
        <v>2133</v>
      </c>
      <c r="G2053" s="3" t="str">
        <f t="shared" si="31"/>
        <v>AE5C</v>
      </c>
      <c r="H2053" s="3" t="s">
        <v>4779</v>
      </c>
      <c r="I2053" s="25" t="s">
        <v>2754</v>
      </c>
    </row>
    <row r="2054" spans="4:9" x14ac:dyDescent="0.2">
      <c r="D2054" t="s">
        <v>2134</v>
      </c>
      <c r="G2054" s="3" t="str">
        <f t="shared" si="31"/>
        <v>AE84</v>
      </c>
      <c r="H2054" s="3" t="s">
        <v>4780</v>
      </c>
      <c r="I2054" s="25" t="s">
        <v>2754</v>
      </c>
    </row>
    <row r="2055" spans="4:9" x14ac:dyDescent="0.2">
      <c r="D2055" t="s">
        <v>2135</v>
      </c>
      <c r="G2055" s="3" t="str">
        <f t="shared" si="31"/>
        <v>AE8C</v>
      </c>
      <c r="H2055" s="3" t="s">
        <v>4781</v>
      </c>
      <c r="I2055" s="25" t="s">
        <v>2754</v>
      </c>
    </row>
    <row r="2056" spans="4:9" x14ac:dyDescent="0.2">
      <c r="D2056" t="s">
        <v>2136</v>
      </c>
      <c r="G2056" s="3" t="str">
        <f t="shared" si="31"/>
        <v>AE98</v>
      </c>
      <c r="H2056" s="3" t="s">
        <v>4782</v>
      </c>
      <c r="I2056" s="25" t="s">
        <v>2754</v>
      </c>
    </row>
    <row r="2057" spans="4:9" x14ac:dyDescent="0.2">
      <c r="D2057" t="s">
        <v>2137</v>
      </c>
      <c r="G2057" s="3" t="str">
        <f t="shared" si="31"/>
        <v>AEA4</v>
      </c>
      <c r="H2057" s="3" t="s">
        <v>4783</v>
      </c>
      <c r="I2057" s="25" t="s">
        <v>2754</v>
      </c>
    </row>
    <row r="2058" spans="4:9" x14ac:dyDescent="0.2">
      <c r="D2058" t="s">
        <v>2138</v>
      </c>
      <c r="G2058" s="3" t="str">
        <f t="shared" si="31"/>
        <v>AEB0</v>
      </c>
      <c r="H2058" s="3" t="s">
        <v>4784</v>
      </c>
      <c r="I2058" s="25" t="s">
        <v>2754</v>
      </c>
    </row>
    <row r="2059" spans="4:9" x14ac:dyDescent="0.2">
      <c r="D2059" t="s">
        <v>2139</v>
      </c>
      <c r="G2059" s="3" t="str">
        <f t="shared" ref="G2059:G2122" si="32">IF(H2059&lt;&gt;"",DEC2HEX(HEX2DEC(H2059)-932),"")</f>
        <v>AEC8</v>
      </c>
      <c r="H2059" s="3" t="s">
        <v>4785</v>
      </c>
      <c r="I2059" s="25" t="s">
        <v>2754</v>
      </c>
    </row>
    <row r="2060" spans="4:9" x14ac:dyDescent="0.2">
      <c r="D2060" t="s">
        <v>2140</v>
      </c>
      <c r="G2060" s="3" t="str">
        <f t="shared" si="32"/>
        <v>AED7</v>
      </c>
      <c r="H2060" s="3" t="s">
        <v>4786</v>
      </c>
      <c r="I2060" s="25" t="s">
        <v>2754</v>
      </c>
    </row>
    <row r="2061" spans="4:9" x14ac:dyDescent="0.2">
      <c r="D2061" t="s">
        <v>2141</v>
      </c>
      <c r="G2061" s="3" t="str">
        <f t="shared" si="32"/>
        <v>AEDB</v>
      </c>
      <c r="H2061" s="3" t="s">
        <v>4787</v>
      </c>
      <c r="I2061" s="25" t="s">
        <v>2754</v>
      </c>
    </row>
    <row r="2062" spans="4:9" x14ac:dyDescent="0.2">
      <c r="D2062" t="s">
        <v>2142</v>
      </c>
      <c r="G2062" s="3" t="str">
        <f t="shared" si="32"/>
        <v>AEEA</v>
      </c>
      <c r="H2062" s="3" t="s">
        <v>4788</v>
      </c>
      <c r="I2062" s="25" t="s">
        <v>2754</v>
      </c>
    </row>
    <row r="2063" spans="4:9" x14ac:dyDescent="0.2">
      <c r="D2063" t="s">
        <v>2143</v>
      </c>
      <c r="G2063" s="3" t="str">
        <f t="shared" si="32"/>
        <v>AEFC</v>
      </c>
      <c r="H2063" s="3" t="s">
        <v>4789</v>
      </c>
      <c r="I2063" s="25" t="s">
        <v>2754</v>
      </c>
    </row>
    <row r="2064" spans="4:9" x14ac:dyDescent="0.2">
      <c r="D2064" t="s">
        <v>2144</v>
      </c>
      <c r="G2064" s="3" t="str">
        <f t="shared" si="32"/>
        <v>AF40</v>
      </c>
      <c r="H2064" s="3" t="s">
        <v>4790</v>
      </c>
      <c r="I2064" s="25" t="s">
        <v>2754</v>
      </c>
    </row>
    <row r="2065" spans="4:9" x14ac:dyDescent="0.2">
      <c r="D2065" t="s">
        <v>2145</v>
      </c>
      <c r="G2065" s="3" t="str">
        <f t="shared" si="32"/>
        <v>AF42</v>
      </c>
      <c r="H2065" s="3" t="s">
        <v>4791</v>
      </c>
      <c r="I2065" s="25" t="s">
        <v>2754</v>
      </c>
    </row>
    <row r="2066" spans="4:9" x14ac:dyDescent="0.2">
      <c r="D2066" t="s">
        <v>2146</v>
      </c>
      <c r="G2066" s="3" t="str">
        <f t="shared" si="32"/>
        <v>AF48</v>
      </c>
      <c r="H2066" s="3" t="s">
        <v>4792</v>
      </c>
      <c r="I2066" s="25" t="s">
        <v>2754</v>
      </c>
    </row>
    <row r="2067" spans="4:9" x14ac:dyDescent="0.2">
      <c r="D2067" t="s">
        <v>2147</v>
      </c>
      <c r="G2067" s="3" t="str">
        <f t="shared" si="32"/>
        <v>AF66</v>
      </c>
      <c r="H2067" s="3" t="s">
        <v>4793</v>
      </c>
      <c r="I2067" s="25" t="s">
        <v>2754</v>
      </c>
    </row>
    <row r="2068" spans="4:9" x14ac:dyDescent="0.2">
      <c r="D2068" t="s">
        <v>2148</v>
      </c>
      <c r="G2068" s="3" t="str">
        <f t="shared" si="32"/>
        <v>AF7E</v>
      </c>
      <c r="H2068" s="3" t="s">
        <v>4794</v>
      </c>
      <c r="I2068" s="25" t="s">
        <v>5399</v>
      </c>
    </row>
    <row r="2069" spans="4:9" x14ac:dyDescent="0.2">
      <c r="D2069" t="s">
        <v>2149</v>
      </c>
      <c r="G2069" s="3" t="str">
        <f t="shared" si="32"/>
        <v>AF90</v>
      </c>
      <c r="H2069" s="3" t="s">
        <v>4795</v>
      </c>
      <c r="I2069" s="25" t="s">
        <v>2754</v>
      </c>
    </row>
    <row r="2070" spans="4:9" x14ac:dyDescent="0.2">
      <c r="D2070" t="s">
        <v>2150</v>
      </c>
      <c r="G2070" s="3" t="str">
        <f t="shared" si="32"/>
        <v/>
      </c>
      <c r="H2070" s="3" t="s">
        <v>2754</v>
      </c>
      <c r="I2070" s="25" t="s">
        <v>2150</v>
      </c>
    </row>
    <row r="2071" spans="4:9" x14ac:dyDescent="0.2">
      <c r="D2071" t="s">
        <v>2151</v>
      </c>
      <c r="G2071" s="3" t="str">
        <f t="shared" si="32"/>
        <v>AFAA</v>
      </c>
      <c r="H2071" s="3" t="s">
        <v>4796</v>
      </c>
      <c r="I2071" s="25" t="s">
        <v>2754</v>
      </c>
    </row>
    <row r="2072" spans="4:9" x14ac:dyDescent="0.2">
      <c r="D2072" t="s">
        <v>2152</v>
      </c>
      <c r="G2072" s="3" t="str">
        <f t="shared" si="32"/>
        <v>AFCA</v>
      </c>
      <c r="H2072" s="3" t="s">
        <v>4797</v>
      </c>
      <c r="I2072" s="25" t="s">
        <v>2754</v>
      </c>
    </row>
    <row r="2073" spans="4:9" x14ac:dyDescent="0.2">
      <c r="D2073" t="s">
        <v>2153</v>
      </c>
      <c r="G2073" s="3" t="str">
        <f t="shared" si="32"/>
        <v>AFD0</v>
      </c>
      <c r="H2073" s="3" t="s">
        <v>4798</v>
      </c>
      <c r="I2073" s="25" t="s">
        <v>5403</v>
      </c>
    </row>
    <row r="2074" spans="4:9" x14ac:dyDescent="0.2">
      <c r="D2074" t="s">
        <v>2154</v>
      </c>
      <c r="G2074" s="3" t="str">
        <f t="shared" si="32"/>
        <v>AFE2</v>
      </c>
      <c r="H2074" s="3" t="s">
        <v>4799</v>
      </c>
      <c r="I2074" s="25" t="s">
        <v>2754</v>
      </c>
    </row>
    <row r="2075" spans="4:9" x14ac:dyDescent="0.2">
      <c r="D2075" t="s">
        <v>2155</v>
      </c>
      <c r="G2075" s="3" t="str">
        <f t="shared" si="32"/>
        <v>AFF8</v>
      </c>
      <c r="H2075" s="3" t="s">
        <v>4800</v>
      </c>
      <c r="I2075" s="25" t="s">
        <v>2754</v>
      </c>
    </row>
    <row r="2076" spans="4:9" x14ac:dyDescent="0.2">
      <c r="D2076" t="s">
        <v>2156</v>
      </c>
      <c r="G2076" s="3" t="str">
        <f t="shared" si="32"/>
        <v>B01A</v>
      </c>
      <c r="H2076" s="3" t="s">
        <v>4801</v>
      </c>
      <c r="I2076" s="25" t="s">
        <v>2754</v>
      </c>
    </row>
    <row r="2077" spans="4:9" x14ac:dyDescent="0.2">
      <c r="D2077" t="s">
        <v>2157</v>
      </c>
      <c r="G2077" s="3" t="str">
        <f t="shared" si="32"/>
        <v>B036</v>
      </c>
      <c r="H2077" s="3" t="s">
        <v>4802</v>
      </c>
      <c r="I2077" s="25" t="s">
        <v>2754</v>
      </c>
    </row>
    <row r="2078" spans="4:9" x14ac:dyDescent="0.2">
      <c r="D2078" t="s">
        <v>2158</v>
      </c>
      <c r="G2078" s="3" t="str">
        <f t="shared" si="32"/>
        <v>B05A</v>
      </c>
      <c r="H2078" s="3" t="s">
        <v>4803</v>
      </c>
      <c r="I2078" s="25" t="s">
        <v>2754</v>
      </c>
    </row>
    <row r="2079" spans="4:9" x14ac:dyDescent="0.2">
      <c r="D2079" t="s">
        <v>2159</v>
      </c>
      <c r="G2079" s="3" t="str">
        <f t="shared" si="32"/>
        <v>B070</v>
      </c>
      <c r="H2079" s="3" t="s">
        <v>4804</v>
      </c>
      <c r="I2079" s="25" t="s">
        <v>2754</v>
      </c>
    </row>
    <row r="2080" spans="4:9" x14ac:dyDescent="0.2">
      <c r="D2080" t="s">
        <v>2160</v>
      </c>
      <c r="G2080" s="3" t="str">
        <f t="shared" si="32"/>
        <v>B094</v>
      </c>
      <c r="H2080" s="3" t="s">
        <v>4805</v>
      </c>
      <c r="I2080" s="25" t="s">
        <v>2754</v>
      </c>
    </row>
    <row r="2081" spans="4:9" x14ac:dyDescent="0.2">
      <c r="D2081" t="s">
        <v>2161</v>
      </c>
      <c r="G2081" s="3" t="str">
        <f t="shared" si="32"/>
        <v>B09A</v>
      </c>
      <c r="H2081" s="3" t="s">
        <v>4806</v>
      </c>
      <c r="I2081" s="25" t="s">
        <v>2754</v>
      </c>
    </row>
    <row r="2082" spans="4:9" x14ac:dyDescent="0.2">
      <c r="D2082" t="s">
        <v>2162</v>
      </c>
      <c r="G2082" s="3" t="str">
        <f t="shared" si="32"/>
        <v>B0A0</v>
      </c>
      <c r="H2082" s="3" t="s">
        <v>4807</v>
      </c>
      <c r="I2082" s="25" t="s">
        <v>2754</v>
      </c>
    </row>
    <row r="2083" spans="4:9" x14ac:dyDescent="0.2">
      <c r="D2083" t="s">
        <v>2163</v>
      </c>
      <c r="G2083" s="3" t="str">
        <f t="shared" si="32"/>
        <v>B0AC</v>
      </c>
      <c r="H2083" s="3" t="s">
        <v>4808</v>
      </c>
      <c r="I2083" s="25" t="s">
        <v>2754</v>
      </c>
    </row>
    <row r="2084" spans="4:9" x14ac:dyDescent="0.2">
      <c r="D2084" t="s">
        <v>2164</v>
      </c>
      <c r="G2084" s="3" t="str">
        <f t="shared" si="32"/>
        <v>B0B0</v>
      </c>
      <c r="H2084" s="3" t="s">
        <v>4809</v>
      </c>
      <c r="I2084" s="25" t="s">
        <v>2754</v>
      </c>
    </row>
    <row r="2085" spans="4:9" x14ac:dyDescent="0.2">
      <c r="D2085" t="s">
        <v>2165</v>
      </c>
      <c r="G2085" s="3" t="str">
        <f t="shared" si="32"/>
        <v>B114</v>
      </c>
      <c r="H2085" s="3" t="s">
        <v>4810</v>
      </c>
      <c r="I2085" s="25" t="s">
        <v>2754</v>
      </c>
    </row>
    <row r="2086" spans="4:9" x14ac:dyDescent="0.2">
      <c r="D2086" t="s">
        <v>2166</v>
      </c>
      <c r="G2086" s="3" t="str">
        <f t="shared" si="32"/>
        <v>B16E</v>
      </c>
      <c r="H2086" s="3" t="s">
        <v>4811</v>
      </c>
      <c r="I2086" s="25" t="s">
        <v>2754</v>
      </c>
    </row>
    <row r="2087" spans="4:9" x14ac:dyDescent="0.2">
      <c r="D2087" t="s">
        <v>2167</v>
      </c>
      <c r="G2087" s="3" t="str">
        <f t="shared" si="32"/>
        <v>B176</v>
      </c>
      <c r="H2087" s="3" t="s">
        <v>4812</v>
      </c>
      <c r="I2087" s="25" t="s">
        <v>2754</v>
      </c>
    </row>
    <row r="2088" spans="4:9" x14ac:dyDescent="0.2">
      <c r="D2088" t="s">
        <v>2168</v>
      </c>
      <c r="G2088" s="3" t="str">
        <f t="shared" si="32"/>
        <v>B190</v>
      </c>
      <c r="H2088" s="3" t="s">
        <v>4813</v>
      </c>
      <c r="I2088" s="25" t="s">
        <v>2754</v>
      </c>
    </row>
    <row r="2089" spans="4:9" x14ac:dyDescent="0.2">
      <c r="D2089" t="s">
        <v>2169</v>
      </c>
      <c r="G2089" s="3" t="str">
        <f t="shared" si="32"/>
        <v>B194</v>
      </c>
      <c r="H2089" s="3" t="s">
        <v>4814</v>
      </c>
      <c r="I2089" s="25" t="s">
        <v>2754</v>
      </c>
    </row>
    <row r="2090" spans="4:9" x14ac:dyDescent="0.2">
      <c r="D2090" t="s">
        <v>2170</v>
      </c>
      <c r="G2090" s="3" t="str">
        <f t="shared" si="32"/>
        <v>B198</v>
      </c>
      <c r="H2090" s="3" t="s">
        <v>4815</v>
      </c>
      <c r="I2090" s="25" t="s">
        <v>2754</v>
      </c>
    </row>
    <row r="2091" spans="4:9" x14ac:dyDescent="0.2">
      <c r="D2091" t="s">
        <v>2171</v>
      </c>
      <c r="G2091" s="3" t="str">
        <f t="shared" si="32"/>
        <v>B1A2</v>
      </c>
      <c r="H2091" s="3" t="s">
        <v>4816</v>
      </c>
      <c r="I2091" s="25" t="s">
        <v>5393</v>
      </c>
    </row>
    <row r="2092" spans="4:9" x14ac:dyDescent="0.2">
      <c r="D2092" t="s">
        <v>2172</v>
      </c>
      <c r="G2092" s="3" t="str">
        <f t="shared" si="32"/>
        <v>B1B6</v>
      </c>
      <c r="H2092" s="3" t="s">
        <v>4817</v>
      </c>
    </row>
    <row r="2093" spans="4:9" x14ac:dyDescent="0.2">
      <c r="D2093" t="s">
        <v>2173</v>
      </c>
      <c r="G2093" s="3" t="str">
        <f t="shared" si="32"/>
        <v>B1E6</v>
      </c>
      <c r="H2093" s="3" t="s">
        <v>4818</v>
      </c>
      <c r="I2093" s="25" t="s">
        <v>2754</v>
      </c>
    </row>
    <row r="2094" spans="4:9" x14ac:dyDescent="0.2">
      <c r="D2094" t="s">
        <v>2174</v>
      </c>
      <c r="G2094" s="3" t="str">
        <f t="shared" si="32"/>
        <v>B1F2</v>
      </c>
      <c r="H2094" s="3" t="s">
        <v>4819</v>
      </c>
      <c r="I2094" s="25" t="s">
        <v>5395</v>
      </c>
    </row>
    <row r="2095" spans="4:9" x14ac:dyDescent="0.2">
      <c r="D2095" t="s">
        <v>2175</v>
      </c>
      <c r="G2095" s="3" t="str">
        <f t="shared" si="32"/>
        <v>B20C</v>
      </c>
      <c r="H2095" s="3" t="s">
        <v>4820</v>
      </c>
      <c r="I2095" s="25" t="s">
        <v>2754</v>
      </c>
    </row>
    <row r="2096" spans="4:9" x14ac:dyDescent="0.2">
      <c r="D2096" t="s">
        <v>2176</v>
      </c>
      <c r="G2096" s="3" t="str">
        <f t="shared" si="32"/>
        <v>B252</v>
      </c>
      <c r="H2096" s="3" t="s">
        <v>4821</v>
      </c>
      <c r="I2096" s="25" t="s">
        <v>2754</v>
      </c>
    </row>
    <row r="2097" spans="4:9" x14ac:dyDescent="0.2">
      <c r="D2097" t="s">
        <v>2177</v>
      </c>
      <c r="G2097" s="3" t="str">
        <f t="shared" si="32"/>
        <v/>
      </c>
      <c r="H2097" s="3" t="s">
        <v>2754</v>
      </c>
      <c r="I2097" s="25" t="s">
        <v>2177</v>
      </c>
    </row>
    <row r="2098" spans="4:9" x14ac:dyDescent="0.2">
      <c r="D2098" t="s">
        <v>2178</v>
      </c>
      <c r="G2098" s="3" t="str">
        <f t="shared" si="32"/>
        <v>B2B2</v>
      </c>
      <c r="H2098" s="3" t="s">
        <v>4822</v>
      </c>
      <c r="I2098" s="25" t="s">
        <v>2754</v>
      </c>
    </row>
    <row r="2099" spans="4:9" x14ac:dyDescent="0.2">
      <c r="D2099" t="s">
        <v>2179</v>
      </c>
      <c r="G2099" s="3" t="str">
        <f t="shared" si="32"/>
        <v>B2C0</v>
      </c>
      <c r="H2099" s="3" t="s">
        <v>4823</v>
      </c>
      <c r="I2099" s="25" t="s">
        <v>2754</v>
      </c>
    </row>
    <row r="2100" spans="4:9" x14ac:dyDescent="0.2">
      <c r="D2100" t="s">
        <v>2180</v>
      </c>
      <c r="G2100" s="3" t="str">
        <f t="shared" si="32"/>
        <v>B2D2</v>
      </c>
      <c r="H2100" s="3" t="s">
        <v>4824</v>
      </c>
      <c r="I2100" s="25" t="s">
        <v>2754</v>
      </c>
    </row>
    <row r="2101" spans="4:9" x14ac:dyDescent="0.2">
      <c r="D2101" t="s">
        <v>2181</v>
      </c>
      <c r="G2101" s="3" t="str">
        <f t="shared" si="32"/>
        <v>B2FA</v>
      </c>
      <c r="H2101" s="3" t="s">
        <v>4825</v>
      </c>
      <c r="I2101" s="25" t="s">
        <v>2754</v>
      </c>
    </row>
    <row r="2102" spans="4:9" x14ac:dyDescent="0.2">
      <c r="D2102" t="s">
        <v>2182</v>
      </c>
      <c r="G2102" s="3" t="str">
        <f t="shared" si="32"/>
        <v>B340</v>
      </c>
      <c r="H2102" s="3" t="s">
        <v>4826</v>
      </c>
      <c r="I2102" s="25" t="s">
        <v>2754</v>
      </c>
    </row>
    <row r="2103" spans="4:9" x14ac:dyDescent="0.2">
      <c r="D2103" t="s">
        <v>2183</v>
      </c>
      <c r="G2103" s="3" t="str">
        <f t="shared" si="32"/>
        <v>B342</v>
      </c>
      <c r="H2103" s="3" t="s">
        <v>4827</v>
      </c>
      <c r="I2103" s="25" t="s">
        <v>2754</v>
      </c>
    </row>
    <row r="2104" spans="4:9" x14ac:dyDescent="0.2">
      <c r="D2104" t="s">
        <v>2184</v>
      </c>
      <c r="G2104" s="3" t="str">
        <f t="shared" si="32"/>
        <v>B358</v>
      </c>
      <c r="H2104" s="3" t="s">
        <v>4828</v>
      </c>
      <c r="I2104" s="25" t="s">
        <v>2754</v>
      </c>
    </row>
    <row r="2105" spans="4:9" x14ac:dyDescent="0.2">
      <c r="D2105" t="s">
        <v>2185</v>
      </c>
      <c r="G2105" s="3" t="str">
        <f t="shared" si="32"/>
        <v/>
      </c>
      <c r="H2105" s="3" t="s">
        <v>2754</v>
      </c>
      <c r="I2105" s="25" t="s">
        <v>2185</v>
      </c>
    </row>
    <row r="2106" spans="4:9" x14ac:dyDescent="0.2">
      <c r="D2106" t="s">
        <v>2186</v>
      </c>
      <c r="G2106" s="3" t="str">
        <f t="shared" si="32"/>
        <v>B43A</v>
      </c>
      <c r="H2106" s="3" t="s">
        <v>4829</v>
      </c>
      <c r="I2106" s="25" t="s">
        <v>2754</v>
      </c>
    </row>
    <row r="2107" spans="4:9" x14ac:dyDescent="0.2">
      <c r="D2107" t="s">
        <v>2187</v>
      </c>
      <c r="G2107" s="3" t="str">
        <f t="shared" si="32"/>
        <v>B43C</v>
      </c>
      <c r="H2107" s="3" t="s">
        <v>4830</v>
      </c>
      <c r="I2107" s="25" t="s">
        <v>2754</v>
      </c>
    </row>
    <row r="2108" spans="4:9" x14ac:dyDescent="0.2">
      <c r="D2108" t="s">
        <v>2188</v>
      </c>
      <c r="G2108" s="3" t="str">
        <f t="shared" si="32"/>
        <v>B44E</v>
      </c>
      <c r="H2108" s="3" t="s">
        <v>4831</v>
      </c>
      <c r="I2108" s="25" t="s">
        <v>2754</v>
      </c>
    </row>
    <row r="2109" spans="4:9" x14ac:dyDescent="0.2">
      <c r="D2109" t="s">
        <v>2189</v>
      </c>
      <c r="G2109" s="3" t="str">
        <f t="shared" si="32"/>
        <v>B462</v>
      </c>
      <c r="H2109" s="3" t="s">
        <v>4832</v>
      </c>
      <c r="I2109" s="25" t="s">
        <v>2754</v>
      </c>
    </row>
    <row r="2110" spans="4:9" x14ac:dyDescent="0.2">
      <c r="D2110" t="s">
        <v>2190</v>
      </c>
      <c r="G2110" s="3" t="str">
        <f t="shared" si="32"/>
        <v>B48C</v>
      </c>
      <c r="H2110" s="3" t="s">
        <v>4833</v>
      </c>
      <c r="I2110" s="25" t="s">
        <v>2754</v>
      </c>
    </row>
    <row r="2111" spans="4:9" x14ac:dyDescent="0.2">
      <c r="D2111" t="s">
        <v>2191</v>
      </c>
      <c r="G2111" s="3" t="str">
        <f t="shared" si="32"/>
        <v>B494</v>
      </c>
      <c r="H2111" s="3" t="s">
        <v>4834</v>
      </c>
      <c r="I2111" s="25" t="s">
        <v>2754</v>
      </c>
    </row>
    <row r="2112" spans="4:9" x14ac:dyDescent="0.2">
      <c r="D2112" t="s">
        <v>2192</v>
      </c>
      <c r="G2112" s="3" t="str">
        <f t="shared" si="32"/>
        <v>B4A6</v>
      </c>
      <c r="H2112" s="3" t="s">
        <v>4835</v>
      </c>
      <c r="I2112" s="25" t="s">
        <v>2754</v>
      </c>
    </row>
    <row r="2113" spans="4:9" x14ac:dyDescent="0.2">
      <c r="D2113" t="s">
        <v>2193</v>
      </c>
      <c r="G2113" s="3" t="str">
        <f t="shared" si="32"/>
        <v>B4DE</v>
      </c>
      <c r="H2113" s="3" t="s">
        <v>4836</v>
      </c>
      <c r="I2113" s="25" t="s">
        <v>2754</v>
      </c>
    </row>
    <row r="2114" spans="4:9" x14ac:dyDescent="0.2">
      <c r="D2114" t="s">
        <v>2194</v>
      </c>
      <c r="G2114" s="3" t="str">
        <f t="shared" si="32"/>
        <v>B4E2</v>
      </c>
      <c r="H2114" s="3" t="s">
        <v>4837</v>
      </c>
      <c r="I2114" s="25" t="s">
        <v>2754</v>
      </c>
    </row>
    <row r="2115" spans="4:9" x14ac:dyDescent="0.2">
      <c r="D2115" t="s">
        <v>2195</v>
      </c>
      <c r="G2115" s="3" t="str">
        <f t="shared" si="32"/>
        <v>B4EE</v>
      </c>
      <c r="H2115" s="3" t="s">
        <v>4838</v>
      </c>
      <c r="I2115" s="25" t="s">
        <v>2754</v>
      </c>
    </row>
    <row r="2116" spans="4:9" x14ac:dyDescent="0.2">
      <c r="D2116" t="s">
        <v>2196</v>
      </c>
      <c r="G2116" s="3" t="str">
        <f t="shared" si="32"/>
        <v>B518</v>
      </c>
      <c r="H2116" s="3" t="s">
        <v>4839</v>
      </c>
      <c r="I2116" s="25" t="s">
        <v>2754</v>
      </c>
    </row>
    <row r="2117" spans="4:9" x14ac:dyDescent="0.2">
      <c r="D2117" t="s">
        <v>2197</v>
      </c>
      <c r="G2117" s="3" t="str">
        <f t="shared" si="32"/>
        <v>B540</v>
      </c>
      <c r="H2117" s="3" t="s">
        <v>4840</v>
      </c>
      <c r="I2117" s="25" t="s">
        <v>2754</v>
      </c>
    </row>
    <row r="2118" spans="4:9" x14ac:dyDescent="0.2">
      <c r="D2118" t="s">
        <v>2198</v>
      </c>
      <c r="G2118" s="3" t="str">
        <f t="shared" si="32"/>
        <v>B55A</v>
      </c>
      <c r="H2118" s="3" t="s">
        <v>4841</v>
      </c>
      <c r="I2118" s="25" t="s">
        <v>2754</v>
      </c>
    </row>
    <row r="2119" spans="4:9" x14ac:dyDescent="0.2">
      <c r="D2119" t="s">
        <v>2199</v>
      </c>
      <c r="G2119" s="3" t="str">
        <f t="shared" si="32"/>
        <v>B55C</v>
      </c>
      <c r="H2119" s="3" t="s">
        <v>4842</v>
      </c>
      <c r="I2119" s="25" t="s">
        <v>2754</v>
      </c>
    </row>
    <row r="2120" spans="4:9" x14ac:dyDescent="0.2">
      <c r="D2120" t="s">
        <v>2200</v>
      </c>
      <c r="G2120" s="3" t="str">
        <f t="shared" si="32"/>
        <v>B586</v>
      </c>
      <c r="H2120" s="3" t="s">
        <v>4843</v>
      </c>
      <c r="I2120" s="25" t="s">
        <v>2754</v>
      </c>
    </row>
    <row r="2121" spans="4:9" x14ac:dyDescent="0.2">
      <c r="D2121" t="s">
        <v>2201</v>
      </c>
      <c r="G2121" s="3" t="str">
        <f t="shared" si="32"/>
        <v>B5A4</v>
      </c>
      <c r="H2121" s="3" t="s">
        <v>4844</v>
      </c>
      <c r="I2121" s="25" t="s">
        <v>2754</v>
      </c>
    </row>
    <row r="2122" spans="4:9" x14ac:dyDescent="0.2">
      <c r="D2122" t="s">
        <v>2202</v>
      </c>
      <c r="G2122" s="3" t="str">
        <f t="shared" si="32"/>
        <v>B5A8</v>
      </c>
      <c r="H2122" s="3" t="s">
        <v>4845</v>
      </c>
      <c r="I2122" s="25" t="s">
        <v>2754</v>
      </c>
    </row>
    <row r="2123" spans="4:9" x14ac:dyDescent="0.2">
      <c r="D2123" t="s">
        <v>2203</v>
      </c>
      <c r="G2123" s="3" t="str">
        <f t="shared" ref="G2123:G2186" si="33">IF(H2123&lt;&gt;"",DEC2HEX(HEX2DEC(H2123)-932),"")</f>
        <v>B5C4</v>
      </c>
      <c r="H2123" s="3" t="s">
        <v>4846</v>
      </c>
      <c r="I2123" s="25" t="s">
        <v>2754</v>
      </c>
    </row>
    <row r="2124" spans="4:9" x14ac:dyDescent="0.2">
      <c r="D2124" t="s">
        <v>2204</v>
      </c>
      <c r="G2124" s="3" t="str">
        <f t="shared" si="33"/>
        <v>B5D6</v>
      </c>
      <c r="H2124" s="3" t="s">
        <v>4847</v>
      </c>
      <c r="I2124" s="25" t="s">
        <v>2754</v>
      </c>
    </row>
    <row r="2125" spans="4:9" x14ac:dyDescent="0.2">
      <c r="D2125" t="s">
        <v>2205</v>
      </c>
      <c r="G2125" s="3" t="str">
        <f t="shared" si="33"/>
        <v>B5DA</v>
      </c>
      <c r="H2125" s="3" t="s">
        <v>4848</v>
      </c>
      <c r="I2125" s="25" t="s">
        <v>2754</v>
      </c>
    </row>
    <row r="2126" spans="4:9" x14ac:dyDescent="0.2">
      <c r="D2126" t="s">
        <v>2206</v>
      </c>
      <c r="G2126" s="3" t="str">
        <f t="shared" si="33"/>
        <v>B622</v>
      </c>
      <c r="H2126" s="3" t="s">
        <v>4849</v>
      </c>
      <c r="I2126" s="25" t="s">
        <v>2754</v>
      </c>
    </row>
    <row r="2127" spans="4:9" x14ac:dyDescent="0.2">
      <c r="D2127" t="s">
        <v>2207</v>
      </c>
      <c r="G2127" s="3" t="str">
        <f t="shared" si="33"/>
        <v>B63E</v>
      </c>
      <c r="H2127" s="3" t="s">
        <v>4850</v>
      </c>
      <c r="I2127" s="25" t="s">
        <v>2754</v>
      </c>
    </row>
    <row r="2128" spans="4:9" x14ac:dyDescent="0.2">
      <c r="D2128" t="s">
        <v>2208</v>
      </c>
      <c r="G2128" s="3" t="str">
        <f t="shared" si="33"/>
        <v>B652</v>
      </c>
      <c r="H2128" s="3" t="s">
        <v>4851</v>
      </c>
      <c r="I2128" s="25" t="s">
        <v>2754</v>
      </c>
    </row>
    <row r="2129" spans="4:9" x14ac:dyDescent="0.2">
      <c r="D2129" t="s">
        <v>2209</v>
      </c>
      <c r="G2129" s="3" t="str">
        <f t="shared" si="33"/>
        <v>B656</v>
      </c>
      <c r="H2129" s="3" t="s">
        <v>4852</v>
      </c>
      <c r="I2129" s="25" t="s">
        <v>2754</v>
      </c>
    </row>
    <row r="2130" spans="4:9" x14ac:dyDescent="0.2">
      <c r="D2130" t="s">
        <v>2210</v>
      </c>
      <c r="G2130" s="3" t="str">
        <f t="shared" si="33"/>
        <v>B65A</v>
      </c>
      <c r="H2130" s="3" t="s">
        <v>4853</v>
      </c>
      <c r="I2130" s="25" t="s">
        <v>2754</v>
      </c>
    </row>
    <row r="2131" spans="4:9" x14ac:dyDescent="0.2">
      <c r="D2131" t="s">
        <v>2211</v>
      </c>
      <c r="G2131" s="3" t="str">
        <f t="shared" si="33"/>
        <v>B66A</v>
      </c>
      <c r="H2131" s="3" t="s">
        <v>4854</v>
      </c>
      <c r="I2131" s="25" t="s">
        <v>2754</v>
      </c>
    </row>
    <row r="2132" spans="4:9" x14ac:dyDescent="0.2">
      <c r="D2132" t="s">
        <v>2212</v>
      </c>
      <c r="G2132" s="3" t="str">
        <f t="shared" si="33"/>
        <v>B67A</v>
      </c>
      <c r="H2132" s="3" t="s">
        <v>4855</v>
      </c>
      <c r="I2132" s="25" t="s">
        <v>2754</v>
      </c>
    </row>
    <row r="2133" spans="4:9" x14ac:dyDescent="0.2">
      <c r="D2133" t="s">
        <v>2213</v>
      </c>
      <c r="G2133" s="3" t="str">
        <f t="shared" si="33"/>
        <v>B680</v>
      </c>
      <c r="H2133" s="3" t="s">
        <v>4856</v>
      </c>
      <c r="I2133" s="25" t="s">
        <v>2754</v>
      </c>
    </row>
    <row r="2134" spans="4:9" x14ac:dyDescent="0.2">
      <c r="D2134" t="s">
        <v>2214</v>
      </c>
      <c r="G2134" s="3" t="str">
        <f t="shared" si="33"/>
        <v>B684</v>
      </c>
      <c r="H2134" s="3" t="s">
        <v>4857</v>
      </c>
      <c r="I2134" s="25" t="s">
        <v>2754</v>
      </c>
    </row>
    <row r="2135" spans="4:9" x14ac:dyDescent="0.2">
      <c r="D2135" t="s">
        <v>2215</v>
      </c>
      <c r="G2135" s="3" t="str">
        <f t="shared" si="33"/>
        <v>B6D4</v>
      </c>
      <c r="H2135" s="3" t="s">
        <v>4858</v>
      </c>
      <c r="I2135" s="25" t="s">
        <v>2754</v>
      </c>
    </row>
    <row r="2136" spans="4:9" x14ac:dyDescent="0.2">
      <c r="D2136" t="s">
        <v>2216</v>
      </c>
      <c r="G2136" s="3" t="str">
        <f t="shared" si="33"/>
        <v>B6F0</v>
      </c>
      <c r="H2136" s="3" t="s">
        <v>4859</v>
      </c>
      <c r="I2136" s="25" t="s">
        <v>2754</v>
      </c>
    </row>
    <row r="2137" spans="4:9" x14ac:dyDescent="0.2">
      <c r="D2137" t="s">
        <v>2217</v>
      </c>
      <c r="G2137" s="3" t="str">
        <f t="shared" si="33"/>
        <v>B730</v>
      </c>
      <c r="H2137" s="3" t="s">
        <v>4860</v>
      </c>
      <c r="I2137" s="25" t="s">
        <v>2754</v>
      </c>
    </row>
    <row r="2138" spans="4:9" x14ac:dyDescent="0.2">
      <c r="D2138" t="s">
        <v>2218</v>
      </c>
      <c r="G2138" s="3" t="str">
        <f t="shared" si="33"/>
        <v>B73C</v>
      </c>
      <c r="H2138" s="3" t="s">
        <v>4861</v>
      </c>
      <c r="I2138" s="25" t="s">
        <v>2754</v>
      </c>
    </row>
    <row r="2139" spans="4:9" x14ac:dyDescent="0.2">
      <c r="D2139" t="s">
        <v>2219</v>
      </c>
      <c r="G2139" s="3" t="str">
        <f t="shared" si="33"/>
        <v>B74C</v>
      </c>
      <c r="H2139" s="3" t="s">
        <v>4862</v>
      </c>
      <c r="I2139" s="25" t="s">
        <v>2754</v>
      </c>
    </row>
    <row r="2140" spans="4:9" x14ac:dyDescent="0.2">
      <c r="D2140" t="s">
        <v>2220</v>
      </c>
      <c r="G2140" s="3" t="str">
        <f t="shared" si="33"/>
        <v>B76A</v>
      </c>
      <c r="H2140" s="3" t="s">
        <v>4863</v>
      </c>
      <c r="I2140" s="25" t="s">
        <v>2754</v>
      </c>
    </row>
    <row r="2141" spans="4:9" x14ac:dyDescent="0.2">
      <c r="D2141" t="s">
        <v>2221</v>
      </c>
      <c r="G2141" s="3" t="str">
        <f t="shared" si="33"/>
        <v>B77A</v>
      </c>
      <c r="H2141" s="3" t="s">
        <v>4864</v>
      </c>
      <c r="I2141" s="25" t="s">
        <v>2754</v>
      </c>
    </row>
    <row r="2142" spans="4:9" x14ac:dyDescent="0.2">
      <c r="D2142" t="s">
        <v>2222</v>
      </c>
      <c r="G2142" s="3" t="str">
        <f t="shared" si="33"/>
        <v>B79A</v>
      </c>
      <c r="H2142" s="3" t="s">
        <v>4865</v>
      </c>
      <c r="I2142" s="25" t="s">
        <v>2754</v>
      </c>
    </row>
    <row r="2143" spans="4:9" x14ac:dyDescent="0.2">
      <c r="D2143" t="s">
        <v>2223</v>
      </c>
      <c r="G2143" s="3" t="str">
        <f t="shared" si="33"/>
        <v>B7AA</v>
      </c>
      <c r="H2143" s="3" t="s">
        <v>4866</v>
      </c>
      <c r="I2143" s="25" t="s">
        <v>2754</v>
      </c>
    </row>
    <row r="2144" spans="4:9" x14ac:dyDescent="0.2">
      <c r="D2144" t="s">
        <v>2224</v>
      </c>
      <c r="G2144" s="3" t="str">
        <f t="shared" si="33"/>
        <v>B7C2</v>
      </c>
      <c r="H2144" s="3" t="s">
        <v>4867</v>
      </c>
      <c r="I2144" s="25" t="s">
        <v>2754</v>
      </c>
    </row>
    <row r="2145" spans="4:9" x14ac:dyDescent="0.2">
      <c r="D2145" t="s">
        <v>2225</v>
      </c>
      <c r="G2145" s="3" t="str">
        <f t="shared" si="33"/>
        <v>B7E6</v>
      </c>
      <c r="H2145" s="3" t="s">
        <v>4868</v>
      </c>
      <c r="I2145" s="25" t="s">
        <v>2754</v>
      </c>
    </row>
    <row r="2146" spans="4:9" x14ac:dyDescent="0.2">
      <c r="D2146" t="s">
        <v>2226</v>
      </c>
      <c r="G2146" s="3" t="str">
        <f t="shared" si="33"/>
        <v>B7EC</v>
      </c>
      <c r="H2146" s="3" t="s">
        <v>4869</v>
      </c>
      <c r="I2146" s="25" t="s">
        <v>2754</v>
      </c>
    </row>
    <row r="2147" spans="4:9" x14ac:dyDescent="0.2">
      <c r="D2147" t="s">
        <v>2227</v>
      </c>
      <c r="G2147" s="3" t="str">
        <f t="shared" si="33"/>
        <v>B806</v>
      </c>
      <c r="H2147" s="3" t="s">
        <v>4870</v>
      </c>
      <c r="I2147" s="25" t="s">
        <v>2754</v>
      </c>
    </row>
    <row r="2148" spans="4:9" x14ac:dyDescent="0.2">
      <c r="D2148" t="s">
        <v>2228</v>
      </c>
      <c r="G2148" s="3" t="str">
        <f t="shared" si="33"/>
        <v>B818</v>
      </c>
      <c r="H2148" s="3" t="s">
        <v>4871</v>
      </c>
      <c r="I2148" s="25" t="s">
        <v>2754</v>
      </c>
    </row>
    <row r="2149" spans="4:9" x14ac:dyDescent="0.2">
      <c r="D2149" t="s">
        <v>2229</v>
      </c>
      <c r="G2149" s="3" t="str">
        <f t="shared" si="33"/>
        <v>B820</v>
      </c>
      <c r="H2149" s="3" t="s">
        <v>4872</v>
      </c>
      <c r="I2149" s="25" t="s">
        <v>2754</v>
      </c>
    </row>
    <row r="2150" spans="4:9" x14ac:dyDescent="0.2">
      <c r="D2150" t="s">
        <v>2230</v>
      </c>
      <c r="G2150" s="3" t="str">
        <f t="shared" si="33"/>
        <v>B826</v>
      </c>
      <c r="H2150" s="3" t="s">
        <v>4873</v>
      </c>
      <c r="I2150" s="25" t="s">
        <v>2754</v>
      </c>
    </row>
    <row r="2151" spans="4:9" x14ac:dyDescent="0.2">
      <c r="D2151" t="s">
        <v>2231</v>
      </c>
      <c r="G2151" s="3" t="str">
        <f t="shared" si="33"/>
        <v>B834</v>
      </c>
      <c r="H2151" s="3" t="s">
        <v>4874</v>
      </c>
      <c r="I2151" s="25" t="s">
        <v>2754</v>
      </c>
    </row>
    <row r="2152" spans="4:9" x14ac:dyDescent="0.2">
      <c r="D2152" t="s">
        <v>2232</v>
      </c>
      <c r="G2152" s="3" t="str">
        <f t="shared" si="33"/>
        <v>B856</v>
      </c>
      <c r="H2152" s="3" t="s">
        <v>4875</v>
      </c>
      <c r="I2152" s="25" t="s">
        <v>2754</v>
      </c>
    </row>
    <row r="2153" spans="4:9" x14ac:dyDescent="0.2">
      <c r="D2153" t="s">
        <v>2233</v>
      </c>
      <c r="G2153" s="3" t="str">
        <f t="shared" si="33"/>
        <v>B858</v>
      </c>
      <c r="H2153" s="3" t="s">
        <v>4876</v>
      </c>
      <c r="I2153" s="25" t="s">
        <v>2754</v>
      </c>
    </row>
    <row r="2154" spans="4:9" x14ac:dyDescent="0.2">
      <c r="D2154" t="s">
        <v>2234</v>
      </c>
      <c r="G2154" s="3" t="str">
        <f t="shared" si="33"/>
        <v>B85E</v>
      </c>
      <c r="H2154" s="3" t="s">
        <v>4877</v>
      </c>
      <c r="I2154" s="25" t="s">
        <v>2754</v>
      </c>
    </row>
    <row r="2155" spans="4:9" x14ac:dyDescent="0.2">
      <c r="D2155" t="s">
        <v>2235</v>
      </c>
      <c r="G2155" s="3" t="str">
        <f t="shared" si="33"/>
        <v>B882</v>
      </c>
      <c r="H2155" s="3" t="s">
        <v>4878</v>
      </c>
      <c r="I2155" s="25" t="s">
        <v>2754</v>
      </c>
    </row>
    <row r="2156" spans="4:9" x14ac:dyDescent="0.2">
      <c r="D2156" t="s">
        <v>2236</v>
      </c>
      <c r="G2156" s="3" t="str">
        <f t="shared" si="33"/>
        <v>B896</v>
      </c>
      <c r="H2156" s="3" t="s">
        <v>4879</v>
      </c>
      <c r="I2156" s="25" t="s">
        <v>2754</v>
      </c>
    </row>
    <row r="2157" spans="4:9" x14ac:dyDescent="0.2">
      <c r="D2157" t="s">
        <v>2237</v>
      </c>
      <c r="G2157" s="3" t="str">
        <f t="shared" si="33"/>
        <v>B8AE</v>
      </c>
      <c r="H2157" s="3" t="s">
        <v>4880</v>
      </c>
      <c r="I2157" s="25" t="s">
        <v>2754</v>
      </c>
    </row>
    <row r="2158" spans="4:9" x14ac:dyDescent="0.2">
      <c r="D2158" t="s">
        <v>2238</v>
      </c>
      <c r="G2158" s="3" t="str">
        <f t="shared" si="33"/>
        <v>B8E4</v>
      </c>
      <c r="H2158" s="3" t="s">
        <v>4881</v>
      </c>
      <c r="I2158" s="25" t="s">
        <v>2754</v>
      </c>
    </row>
    <row r="2159" spans="4:9" x14ac:dyDescent="0.2">
      <c r="D2159" t="s">
        <v>2239</v>
      </c>
      <c r="G2159" s="3" t="str">
        <f t="shared" si="33"/>
        <v>B8E8</v>
      </c>
      <c r="H2159" s="3" t="s">
        <v>4882</v>
      </c>
      <c r="I2159" s="25" t="s">
        <v>2754</v>
      </c>
    </row>
    <row r="2160" spans="4:9" x14ac:dyDescent="0.2">
      <c r="D2160" t="s">
        <v>2240</v>
      </c>
      <c r="G2160" s="3" t="str">
        <f t="shared" si="33"/>
        <v>B8F4</v>
      </c>
      <c r="H2160" s="3" t="s">
        <v>4883</v>
      </c>
      <c r="I2160" s="25" t="s">
        <v>2754</v>
      </c>
    </row>
    <row r="2161" spans="4:9" x14ac:dyDescent="0.2">
      <c r="D2161" t="s">
        <v>2241</v>
      </c>
      <c r="G2161" s="3" t="str">
        <f t="shared" si="33"/>
        <v>B8FC</v>
      </c>
      <c r="H2161" s="3" t="s">
        <v>4884</v>
      </c>
      <c r="I2161" s="25" t="s">
        <v>2754</v>
      </c>
    </row>
    <row r="2162" spans="4:9" x14ac:dyDescent="0.2">
      <c r="D2162" t="s">
        <v>2242</v>
      </c>
      <c r="G2162" s="3" t="str">
        <f t="shared" si="33"/>
        <v>B906</v>
      </c>
      <c r="H2162" s="3" t="s">
        <v>4885</v>
      </c>
      <c r="I2162" s="25" t="s">
        <v>2754</v>
      </c>
    </row>
    <row r="2163" spans="4:9" x14ac:dyDescent="0.2">
      <c r="D2163" t="s">
        <v>2243</v>
      </c>
      <c r="G2163" s="3" t="str">
        <f t="shared" si="33"/>
        <v>B94A</v>
      </c>
      <c r="H2163" s="3" t="s">
        <v>4886</v>
      </c>
      <c r="I2163" s="25" t="s">
        <v>2754</v>
      </c>
    </row>
    <row r="2164" spans="4:9" x14ac:dyDescent="0.2">
      <c r="D2164" t="s">
        <v>2244</v>
      </c>
      <c r="G2164" s="3" t="str">
        <f t="shared" si="33"/>
        <v>B94E</v>
      </c>
      <c r="H2164" s="3" t="s">
        <v>4887</v>
      </c>
      <c r="I2164" s="25" t="s">
        <v>2754</v>
      </c>
    </row>
    <row r="2165" spans="4:9" x14ac:dyDescent="0.2">
      <c r="D2165" t="s">
        <v>2245</v>
      </c>
      <c r="G2165" s="3" t="str">
        <f t="shared" si="33"/>
        <v>B950</v>
      </c>
      <c r="H2165" s="3" t="s">
        <v>4888</v>
      </c>
      <c r="I2165" s="25" t="s">
        <v>2754</v>
      </c>
    </row>
    <row r="2166" spans="4:9" x14ac:dyDescent="0.2">
      <c r="D2166" t="s">
        <v>2246</v>
      </c>
      <c r="G2166" s="3" t="str">
        <f t="shared" si="33"/>
        <v>B958</v>
      </c>
      <c r="H2166" s="3" t="s">
        <v>4889</v>
      </c>
      <c r="I2166" s="25" t="s">
        <v>2754</v>
      </c>
    </row>
    <row r="2167" spans="4:9" x14ac:dyDescent="0.2">
      <c r="D2167" t="s">
        <v>2247</v>
      </c>
      <c r="G2167" s="3" t="str">
        <f t="shared" si="33"/>
        <v>B960</v>
      </c>
      <c r="H2167" s="3" t="s">
        <v>4890</v>
      </c>
      <c r="I2167" s="25" t="s">
        <v>2754</v>
      </c>
    </row>
    <row r="2168" spans="4:9" x14ac:dyDescent="0.2">
      <c r="D2168" t="s">
        <v>2248</v>
      </c>
      <c r="G2168" s="3" t="str">
        <f t="shared" si="33"/>
        <v>B98A</v>
      </c>
      <c r="H2168" s="3" t="s">
        <v>4891</v>
      </c>
      <c r="I2168" s="25" t="s">
        <v>2754</v>
      </c>
    </row>
    <row r="2169" spans="4:9" x14ac:dyDescent="0.2">
      <c r="D2169" t="s">
        <v>2249</v>
      </c>
      <c r="G2169" s="3" t="str">
        <f t="shared" si="33"/>
        <v>B994</v>
      </c>
      <c r="H2169" s="3" t="s">
        <v>4892</v>
      </c>
      <c r="I2169" s="25" t="s">
        <v>2754</v>
      </c>
    </row>
    <row r="2170" spans="4:9" x14ac:dyDescent="0.2">
      <c r="D2170" t="s">
        <v>2250</v>
      </c>
      <c r="G2170" s="3" t="str">
        <f t="shared" si="33"/>
        <v>B9A4</v>
      </c>
      <c r="H2170" s="3" t="s">
        <v>4893</v>
      </c>
      <c r="I2170" s="25" t="s">
        <v>2754</v>
      </c>
    </row>
    <row r="2171" spans="4:9" x14ac:dyDescent="0.2">
      <c r="D2171" t="s">
        <v>2251</v>
      </c>
      <c r="G2171" s="3" t="str">
        <f t="shared" si="33"/>
        <v>B9E6</v>
      </c>
      <c r="H2171" s="3" t="s">
        <v>4894</v>
      </c>
      <c r="I2171" s="25" t="s">
        <v>2754</v>
      </c>
    </row>
    <row r="2172" spans="4:9" x14ac:dyDescent="0.2">
      <c r="D2172" t="s">
        <v>2252</v>
      </c>
      <c r="G2172" s="3" t="str">
        <f t="shared" si="33"/>
        <v>B9EA</v>
      </c>
      <c r="H2172" s="3" t="s">
        <v>4895</v>
      </c>
      <c r="I2172" s="25" t="s">
        <v>2754</v>
      </c>
    </row>
    <row r="2173" spans="4:9" x14ac:dyDescent="0.2">
      <c r="D2173" t="s">
        <v>2253</v>
      </c>
      <c r="G2173" s="3" t="str">
        <f t="shared" si="33"/>
        <v>BA00</v>
      </c>
      <c r="H2173" s="3" t="s">
        <v>4896</v>
      </c>
      <c r="I2173" s="25" t="s">
        <v>2754</v>
      </c>
    </row>
    <row r="2174" spans="4:9" x14ac:dyDescent="0.2">
      <c r="D2174" t="s">
        <v>2254</v>
      </c>
      <c r="G2174" s="3" t="str">
        <f t="shared" si="33"/>
        <v>BA10</v>
      </c>
      <c r="H2174" s="3" t="s">
        <v>4897</v>
      </c>
      <c r="I2174" s="25" t="s">
        <v>2754</v>
      </c>
    </row>
    <row r="2175" spans="4:9" x14ac:dyDescent="0.2">
      <c r="D2175" t="s">
        <v>2255</v>
      </c>
      <c r="G2175" s="3" t="str">
        <f t="shared" si="33"/>
        <v>BA34</v>
      </c>
      <c r="H2175" s="3" t="s">
        <v>4898</v>
      </c>
      <c r="I2175" s="25" t="s">
        <v>2754</v>
      </c>
    </row>
    <row r="2176" spans="4:9" x14ac:dyDescent="0.2">
      <c r="D2176" t="s">
        <v>2256</v>
      </c>
      <c r="G2176" s="3" t="str">
        <f t="shared" si="33"/>
        <v>BA46</v>
      </c>
      <c r="H2176" s="3" t="s">
        <v>4899</v>
      </c>
      <c r="I2176" s="25" t="s">
        <v>2754</v>
      </c>
    </row>
    <row r="2177" spans="4:9" x14ac:dyDescent="0.2">
      <c r="D2177" t="s">
        <v>2257</v>
      </c>
      <c r="G2177" s="3" t="str">
        <f t="shared" si="33"/>
        <v>BAA4</v>
      </c>
      <c r="H2177" s="3" t="s">
        <v>4900</v>
      </c>
      <c r="I2177" s="25" t="s">
        <v>2754</v>
      </c>
    </row>
    <row r="2178" spans="4:9" x14ac:dyDescent="0.2">
      <c r="D2178" t="s">
        <v>2258</v>
      </c>
      <c r="G2178" s="3" t="str">
        <f t="shared" si="33"/>
        <v>BAA8</v>
      </c>
      <c r="H2178" s="3" t="s">
        <v>4901</v>
      </c>
      <c r="I2178" s="25" t="s">
        <v>2754</v>
      </c>
    </row>
    <row r="2179" spans="4:9" x14ac:dyDescent="0.2">
      <c r="D2179" t="s">
        <v>2259</v>
      </c>
      <c r="G2179" s="3" t="str">
        <f t="shared" si="33"/>
        <v>BAC2</v>
      </c>
      <c r="H2179" s="3" t="s">
        <v>4902</v>
      </c>
      <c r="I2179" s="25" t="s">
        <v>2754</v>
      </c>
    </row>
    <row r="2180" spans="4:9" x14ac:dyDescent="0.2">
      <c r="D2180" t="s">
        <v>2260</v>
      </c>
      <c r="G2180" s="3" t="str">
        <f t="shared" si="33"/>
        <v>BAE6</v>
      </c>
      <c r="H2180" s="3" t="s">
        <v>4903</v>
      </c>
      <c r="I2180" s="25" t="s">
        <v>2754</v>
      </c>
    </row>
    <row r="2181" spans="4:9" x14ac:dyDescent="0.2">
      <c r="D2181" t="s">
        <v>2261</v>
      </c>
      <c r="G2181" s="3" t="str">
        <f t="shared" si="33"/>
        <v>BAFC</v>
      </c>
      <c r="H2181" s="3" t="s">
        <v>4904</v>
      </c>
      <c r="I2181" s="25" t="s">
        <v>2754</v>
      </c>
    </row>
    <row r="2182" spans="4:9" x14ac:dyDescent="0.2">
      <c r="D2182" t="s">
        <v>2262</v>
      </c>
      <c r="G2182" s="3" t="str">
        <f t="shared" si="33"/>
        <v>BB0E</v>
      </c>
      <c r="H2182" s="3" t="s">
        <v>4905</v>
      </c>
      <c r="I2182" s="25" t="s">
        <v>2754</v>
      </c>
    </row>
    <row r="2183" spans="4:9" x14ac:dyDescent="0.2">
      <c r="D2183" t="s">
        <v>2263</v>
      </c>
      <c r="G2183" s="3" t="str">
        <f t="shared" si="33"/>
        <v>BB1C</v>
      </c>
      <c r="H2183" s="3" t="s">
        <v>4906</v>
      </c>
      <c r="I2183" s="25" t="s">
        <v>2754</v>
      </c>
    </row>
    <row r="2184" spans="4:9" x14ac:dyDescent="0.2">
      <c r="D2184" t="s">
        <v>2264</v>
      </c>
      <c r="G2184" s="3" t="str">
        <f t="shared" si="33"/>
        <v>BB28</v>
      </c>
      <c r="H2184" s="3" t="s">
        <v>4907</v>
      </c>
      <c r="I2184" s="25" t="s">
        <v>2754</v>
      </c>
    </row>
    <row r="2185" spans="4:9" x14ac:dyDescent="0.2">
      <c r="D2185" t="s">
        <v>2265</v>
      </c>
      <c r="G2185" s="3" t="str">
        <f t="shared" si="33"/>
        <v>BB2E</v>
      </c>
      <c r="H2185" s="3" t="s">
        <v>4908</v>
      </c>
      <c r="I2185" s="25" t="s">
        <v>2754</v>
      </c>
    </row>
    <row r="2186" spans="4:9" x14ac:dyDescent="0.2">
      <c r="D2186" t="s">
        <v>2266</v>
      </c>
      <c r="G2186" s="3" t="str">
        <f t="shared" si="33"/>
        <v>BB54</v>
      </c>
      <c r="H2186" s="3" t="s">
        <v>4909</v>
      </c>
      <c r="I2186" s="25" t="s">
        <v>2754</v>
      </c>
    </row>
    <row r="2187" spans="4:9" x14ac:dyDescent="0.2">
      <c r="D2187" t="s">
        <v>2267</v>
      </c>
      <c r="G2187" s="3" t="str">
        <f t="shared" ref="G2187:G2250" si="34">IF(H2187&lt;&gt;"",DEC2HEX(HEX2DEC(H2187)-932),"")</f>
        <v>BB56</v>
      </c>
      <c r="H2187" s="3" t="s">
        <v>4910</v>
      </c>
      <c r="I2187" s="25" t="s">
        <v>2754</v>
      </c>
    </row>
    <row r="2188" spans="4:9" x14ac:dyDescent="0.2">
      <c r="D2188" t="s">
        <v>2268</v>
      </c>
      <c r="G2188" s="3" t="str">
        <f t="shared" si="34"/>
        <v>BB66</v>
      </c>
      <c r="H2188" s="3" t="s">
        <v>4911</v>
      </c>
      <c r="I2188" s="25" t="s">
        <v>2754</v>
      </c>
    </row>
    <row r="2189" spans="4:9" x14ac:dyDescent="0.2">
      <c r="D2189" t="s">
        <v>2269</v>
      </c>
      <c r="G2189" s="3" t="str">
        <f t="shared" si="34"/>
        <v>BB7E</v>
      </c>
      <c r="H2189" s="3" t="s">
        <v>4912</v>
      </c>
      <c r="I2189" s="25" t="s">
        <v>2754</v>
      </c>
    </row>
    <row r="2190" spans="4:9" x14ac:dyDescent="0.2">
      <c r="D2190" t="s">
        <v>2270</v>
      </c>
      <c r="G2190" s="3" t="str">
        <f t="shared" si="34"/>
        <v>BBC6</v>
      </c>
      <c r="H2190" s="3" t="s">
        <v>4913</v>
      </c>
      <c r="I2190" s="25" t="s">
        <v>2754</v>
      </c>
    </row>
    <row r="2191" spans="4:9" x14ac:dyDescent="0.2">
      <c r="D2191" t="s">
        <v>2271</v>
      </c>
      <c r="G2191" s="3" t="str">
        <f t="shared" si="34"/>
        <v>BBE0</v>
      </c>
      <c r="H2191" s="3" t="s">
        <v>4914</v>
      </c>
      <c r="I2191" s="25" t="s">
        <v>2754</v>
      </c>
    </row>
    <row r="2192" spans="4:9" x14ac:dyDescent="0.2">
      <c r="D2192" t="s">
        <v>2272</v>
      </c>
      <c r="G2192" s="3" t="str">
        <f t="shared" si="34"/>
        <v>BC14</v>
      </c>
      <c r="H2192" s="3" t="s">
        <v>4915</v>
      </c>
      <c r="I2192" s="25" t="s">
        <v>2754</v>
      </c>
    </row>
    <row r="2193" spans="4:9" x14ac:dyDescent="0.2">
      <c r="D2193" t="s">
        <v>2273</v>
      </c>
      <c r="G2193" s="3" t="str">
        <f t="shared" si="34"/>
        <v>BC2E</v>
      </c>
      <c r="H2193" s="3" t="s">
        <v>4916</v>
      </c>
      <c r="I2193" s="25" t="s">
        <v>2754</v>
      </c>
    </row>
    <row r="2194" spans="4:9" x14ac:dyDescent="0.2">
      <c r="D2194" t="s">
        <v>2274</v>
      </c>
      <c r="G2194" s="3" t="str">
        <f t="shared" si="34"/>
        <v>BC5E</v>
      </c>
      <c r="H2194" s="3" t="s">
        <v>4917</v>
      </c>
      <c r="I2194" s="25" t="s">
        <v>2754</v>
      </c>
    </row>
    <row r="2195" spans="4:9" x14ac:dyDescent="0.2">
      <c r="D2195" t="s">
        <v>2275</v>
      </c>
      <c r="G2195" s="3" t="str">
        <f t="shared" si="34"/>
        <v>BC60</v>
      </c>
      <c r="H2195" s="3" t="s">
        <v>4918</v>
      </c>
      <c r="I2195" s="25" t="s">
        <v>2754</v>
      </c>
    </row>
    <row r="2196" spans="4:9" x14ac:dyDescent="0.2">
      <c r="D2196" t="s">
        <v>2276</v>
      </c>
      <c r="G2196" s="3" t="str">
        <f t="shared" si="34"/>
        <v>BC8C</v>
      </c>
      <c r="H2196" s="3" t="s">
        <v>4919</v>
      </c>
      <c r="I2196" s="25" t="s">
        <v>2754</v>
      </c>
    </row>
    <row r="2197" spans="4:9" x14ac:dyDescent="0.2">
      <c r="D2197" t="s">
        <v>2277</v>
      </c>
      <c r="G2197" s="3" t="str">
        <f t="shared" si="34"/>
        <v>BC96</v>
      </c>
      <c r="H2197" s="3" t="s">
        <v>4920</v>
      </c>
      <c r="I2197" s="25" t="s">
        <v>2754</v>
      </c>
    </row>
    <row r="2198" spans="4:9" x14ac:dyDescent="0.2">
      <c r="D2198" t="s">
        <v>2278</v>
      </c>
      <c r="G2198" s="3" t="str">
        <f t="shared" si="34"/>
        <v>BCB6</v>
      </c>
      <c r="H2198" s="3" t="s">
        <v>4921</v>
      </c>
      <c r="I2198" s="25" t="s">
        <v>2754</v>
      </c>
    </row>
    <row r="2199" spans="4:9" x14ac:dyDescent="0.2">
      <c r="D2199" t="s">
        <v>2279</v>
      </c>
      <c r="G2199" s="3" t="str">
        <f t="shared" si="34"/>
        <v>BCB8</v>
      </c>
      <c r="H2199" s="3" t="s">
        <v>4922</v>
      </c>
      <c r="I2199" s="25" t="s">
        <v>2754</v>
      </c>
    </row>
    <row r="2200" spans="4:9" x14ac:dyDescent="0.2">
      <c r="D2200" t="s">
        <v>2280</v>
      </c>
      <c r="G2200" s="3" t="str">
        <f t="shared" si="34"/>
        <v>BCBE</v>
      </c>
      <c r="H2200" s="3" t="s">
        <v>4923</v>
      </c>
      <c r="I2200" s="25" t="s">
        <v>2754</v>
      </c>
    </row>
    <row r="2201" spans="4:9" x14ac:dyDescent="0.2">
      <c r="D2201" t="s">
        <v>2281</v>
      </c>
      <c r="G2201" s="3" t="str">
        <f t="shared" si="34"/>
        <v>BCC6</v>
      </c>
      <c r="H2201" s="3" t="s">
        <v>4924</v>
      </c>
      <c r="I2201" s="25" t="s">
        <v>2754</v>
      </c>
    </row>
    <row r="2202" spans="4:9" x14ac:dyDescent="0.2">
      <c r="D2202" t="s">
        <v>2282</v>
      </c>
      <c r="G2202" s="3" t="str">
        <f t="shared" si="34"/>
        <v>BCD2</v>
      </c>
      <c r="H2202" s="3" t="s">
        <v>4925</v>
      </c>
      <c r="I2202" s="25" t="s">
        <v>2754</v>
      </c>
    </row>
    <row r="2203" spans="4:9" x14ac:dyDescent="0.2">
      <c r="D2203" t="s">
        <v>2283</v>
      </c>
      <c r="G2203" s="3" t="str">
        <f t="shared" si="34"/>
        <v>BCE0</v>
      </c>
      <c r="H2203" s="3" t="s">
        <v>4926</v>
      </c>
      <c r="I2203" s="25" t="s">
        <v>2754</v>
      </c>
    </row>
    <row r="2204" spans="4:9" x14ac:dyDescent="0.2">
      <c r="D2204" t="s">
        <v>2284</v>
      </c>
      <c r="G2204" s="3" t="str">
        <f t="shared" si="34"/>
        <v>BCF6</v>
      </c>
      <c r="H2204" s="3" t="s">
        <v>4927</v>
      </c>
      <c r="I2204" s="25" t="s">
        <v>2754</v>
      </c>
    </row>
    <row r="2205" spans="4:9" x14ac:dyDescent="0.2">
      <c r="D2205" t="s">
        <v>2285</v>
      </c>
      <c r="G2205" s="3" t="str">
        <f t="shared" si="34"/>
        <v>BD16</v>
      </c>
      <c r="H2205" s="3" t="s">
        <v>4928</v>
      </c>
      <c r="I2205" s="25" t="s">
        <v>2754</v>
      </c>
    </row>
    <row r="2206" spans="4:9" x14ac:dyDescent="0.2">
      <c r="D2206" t="s">
        <v>2286</v>
      </c>
      <c r="G2206" s="3" t="str">
        <f t="shared" si="34"/>
        <v>BD36</v>
      </c>
      <c r="H2206" s="3" t="s">
        <v>4929</v>
      </c>
      <c r="I2206" s="25" t="s">
        <v>2754</v>
      </c>
    </row>
    <row r="2207" spans="4:9" x14ac:dyDescent="0.2">
      <c r="D2207" t="s">
        <v>2287</v>
      </c>
      <c r="G2207" s="3" t="str">
        <f t="shared" si="34"/>
        <v>BD56</v>
      </c>
      <c r="H2207" s="3" t="s">
        <v>4930</v>
      </c>
      <c r="I2207" s="25" t="s">
        <v>2754</v>
      </c>
    </row>
    <row r="2208" spans="4:9" x14ac:dyDescent="0.2">
      <c r="D2208" t="s">
        <v>2288</v>
      </c>
      <c r="G2208" s="3" t="str">
        <f t="shared" si="34"/>
        <v>BD76</v>
      </c>
      <c r="H2208" s="3" t="s">
        <v>4931</v>
      </c>
      <c r="I2208" s="25" t="s">
        <v>2754</v>
      </c>
    </row>
    <row r="2209" spans="4:9" x14ac:dyDescent="0.2">
      <c r="D2209" t="s">
        <v>2289</v>
      </c>
      <c r="G2209" s="3" t="str">
        <f t="shared" si="34"/>
        <v>BD96</v>
      </c>
      <c r="H2209" s="3" t="s">
        <v>4932</v>
      </c>
      <c r="I2209" s="25" t="s">
        <v>2754</v>
      </c>
    </row>
    <row r="2210" spans="4:9" x14ac:dyDescent="0.2">
      <c r="D2210" t="s">
        <v>2290</v>
      </c>
      <c r="G2210" s="3" t="str">
        <f t="shared" si="34"/>
        <v>BDAC</v>
      </c>
      <c r="H2210" s="3" t="s">
        <v>4933</v>
      </c>
      <c r="I2210" s="25" t="s">
        <v>2754</v>
      </c>
    </row>
    <row r="2211" spans="4:9" x14ac:dyDescent="0.2">
      <c r="D2211" t="s">
        <v>2291</v>
      </c>
      <c r="G2211" s="3" t="str">
        <f t="shared" si="34"/>
        <v>BDC8</v>
      </c>
      <c r="H2211" s="3" t="s">
        <v>4934</v>
      </c>
      <c r="I2211" s="25" t="s">
        <v>2754</v>
      </c>
    </row>
    <row r="2212" spans="4:9" x14ac:dyDescent="0.2">
      <c r="D2212" t="s">
        <v>2292</v>
      </c>
      <c r="G2212" s="3" t="str">
        <f t="shared" si="34"/>
        <v>BDD0</v>
      </c>
      <c r="H2212" s="3" t="s">
        <v>4935</v>
      </c>
      <c r="I2212" s="25" t="s">
        <v>2754</v>
      </c>
    </row>
    <row r="2213" spans="4:9" x14ac:dyDescent="0.2">
      <c r="D2213" t="s">
        <v>2293</v>
      </c>
      <c r="G2213" s="3" t="str">
        <f t="shared" si="34"/>
        <v>BE04</v>
      </c>
      <c r="H2213" s="3" t="s">
        <v>4936</v>
      </c>
      <c r="I2213" s="25" t="s">
        <v>2754</v>
      </c>
    </row>
    <row r="2214" spans="4:9" x14ac:dyDescent="0.2">
      <c r="D2214" t="s">
        <v>2294</v>
      </c>
      <c r="G2214" s="3" t="str">
        <f t="shared" si="34"/>
        <v>BE32</v>
      </c>
      <c r="H2214" s="3" t="s">
        <v>4937</v>
      </c>
      <c r="I2214" s="25" t="s">
        <v>2754</v>
      </c>
    </row>
    <row r="2215" spans="4:9" x14ac:dyDescent="0.2">
      <c r="D2215" t="s">
        <v>2295</v>
      </c>
      <c r="G2215" s="3" t="str">
        <f t="shared" si="34"/>
        <v>BE42</v>
      </c>
      <c r="H2215" s="3" t="s">
        <v>4938</v>
      </c>
      <c r="I2215" s="25" t="s">
        <v>2754</v>
      </c>
    </row>
    <row r="2216" spans="4:9" x14ac:dyDescent="0.2">
      <c r="D2216" t="s">
        <v>2296</v>
      </c>
      <c r="G2216" s="3" t="str">
        <f t="shared" si="34"/>
        <v>BE62</v>
      </c>
      <c r="H2216" s="3" t="s">
        <v>4939</v>
      </c>
      <c r="I2216" s="25" t="s">
        <v>2754</v>
      </c>
    </row>
    <row r="2217" spans="4:9" x14ac:dyDescent="0.2">
      <c r="D2217" t="s">
        <v>2297</v>
      </c>
      <c r="G2217" s="3" t="str">
        <f t="shared" si="34"/>
        <v>BE66</v>
      </c>
      <c r="H2217" s="3" t="s">
        <v>4940</v>
      </c>
      <c r="I2217" s="25" t="s">
        <v>2754</v>
      </c>
    </row>
    <row r="2218" spans="4:9" x14ac:dyDescent="0.2">
      <c r="D2218" t="s">
        <v>2298</v>
      </c>
      <c r="G2218" s="3" t="str">
        <f t="shared" si="34"/>
        <v>BE76</v>
      </c>
      <c r="H2218" s="3" t="s">
        <v>4941</v>
      </c>
      <c r="I2218" s="25" t="s">
        <v>2754</v>
      </c>
    </row>
    <row r="2219" spans="4:9" x14ac:dyDescent="0.2">
      <c r="D2219" t="s">
        <v>2299</v>
      </c>
      <c r="G2219" s="3" t="str">
        <f t="shared" si="34"/>
        <v>BEA2</v>
      </c>
      <c r="H2219" s="3" t="s">
        <v>4942</v>
      </c>
      <c r="I2219" s="25" t="s">
        <v>2754</v>
      </c>
    </row>
    <row r="2220" spans="4:9" x14ac:dyDescent="0.2">
      <c r="D2220" t="s">
        <v>2300</v>
      </c>
      <c r="G2220" s="3" t="str">
        <f t="shared" si="34"/>
        <v>BEBE</v>
      </c>
      <c r="H2220" s="3" t="s">
        <v>4943</v>
      </c>
      <c r="I2220" s="25" t="s">
        <v>2754</v>
      </c>
    </row>
    <row r="2221" spans="4:9" x14ac:dyDescent="0.2">
      <c r="D2221" t="s">
        <v>2301</v>
      </c>
      <c r="G2221" s="3" t="str">
        <f t="shared" si="34"/>
        <v>BEC0</v>
      </c>
      <c r="H2221" s="3" t="s">
        <v>4944</v>
      </c>
      <c r="I2221" s="25" t="s">
        <v>2754</v>
      </c>
    </row>
    <row r="2222" spans="4:9" x14ac:dyDescent="0.2">
      <c r="D2222" t="s">
        <v>2302</v>
      </c>
      <c r="G2222" s="3" t="str">
        <f t="shared" si="34"/>
        <v>BECA</v>
      </c>
      <c r="H2222" s="3" t="s">
        <v>4945</v>
      </c>
      <c r="I2222" s="25" t="s">
        <v>2754</v>
      </c>
    </row>
    <row r="2223" spans="4:9" x14ac:dyDescent="0.2">
      <c r="D2223" t="s">
        <v>2303</v>
      </c>
      <c r="G2223" s="3" t="str">
        <f t="shared" si="34"/>
        <v>BF00</v>
      </c>
      <c r="H2223" s="3" t="s">
        <v>4946</v>
      </c>
      <c r="I2223" s="25" t="s">
        <v>2754</v>
      </c>
    </row>
    <row r="2224" spans="4:9" x14ac:dyDescent="0.2">
      <c r="D2224" t="s">
        <v>2304</v>
      </c>
      <c r="G2224" s="3" t="str">
        <f t="shared" si="34"/>
        <v>BF02</v>
      </c>
      <c r="H2224" s="3" t="s">
        <v>4947</v>
      </c>
      <c r="I2224" s="25" t="s">
        <v>2754</v>
      </c>
    </row>
    <row r="2225" spans="4:9" x14ac:dyDescent="0.2">
      <c r="D2225" t="s">
        <v>2305</v>
      </c>
      <c r="G2225" s="3" t="str">
        <f t="shared" si="34"/>
        <v>BF1E</v>
      </c>
      <c r="H2225" s="3" t="s">
        <v>4948</v>
      </c>
      <c r="I2225" s="25" t="s">
        <v>2754</v>
      </c>
    </row>
    <row r="2226" spans="4:9" x14ac:dyDescent="0.2">
      <c r="D2226" t="s">
        <v>2306</v>
      </c>
      <c r="G2226" s="3" t="str">
        <f t="shared" si="34"/>
        <v>BF20</v>
      </c>
      <c r="H2226" s="3" t="s">
        <v>4949</v>
      </c>
      <c r="I2226" s="25" t="s">
        <v>2754</v>
      </c>
    </row>
    <row r="2227" spans="4:9" x14ac:dyDescent="0.2">
      <c r="D2227" t="s">
        <v>2307</v>
      </c>
      <c r="G2227" s="3" t="str">
        <f t="shared" si="34"/>
        <v>BF2E</v>
      </c>
      <c r="H2227" s="3" t="s">
        <v>4950</v>
      </c>
      <c r="I2227" s="25" t="s">
        <v>2754</v>
      </c>
    </row>
    <row r="2228" spans="4:9" x14ac:dyDescent="0.2">
      <c r="D2228" t="s">
        <v>2308</v>
      </c>
      <c r="G2228" s="3" t="str">
        <f t="shared" si="34"/>
        <v>BF4A</v>
      </c>
      <c r="H2228" s="3" t="s">
        <v>4951</v>
      </c>
      <c r="I2228" s="25" t="s">
        <v>2754</v>
      </c>
    </row>
    <row r="2229" spans="4:9" x14ac:dyDescent="0.2">
      <c r="D2229" t="s">
        <v>2309</v>
      </c>
      <c r="G2229" s="3" t="str">
        <f t="shared" si="34"/>
        <v>BF66</v>
      </c>
      <c r="H2229" s="3" t="s">
        <v>4952</v>
      </c>
      <c r="I2229" s="25" t="s">
        <v>2754</v>
      </c>
    </row>
    <row r="2230" spans="4:9" x14ac:dyDescent="0.2">
      <c r="D2230" t="s">
        <v>2310</v>
      </c>
      <c r="G2230" s="3" t="str">
        <f t="shared" si="34"/>
        <v>BF78</v>
      </c>
      <c r="H2230" s="3" t="s">
        <v>4953</v>
      </c>
      <c r="I2230" s="25" t="s">
        <v>2754</v>
      </c>
    </row>
    <row r="2231" spans="4:9" x14ac:dyDescent="0.2">
      <c r="D2231" t="s">
        <v>2311</v>
      </c>
      <c r="G2231" s="3" t="str">
        <f t="shared" si="34"/>
        <v>BFB0</v>
      </c>
      <c r="H2231" s="3" t="s">
        <v>4954</v>
      </c>
      <c r="I2231" s="25" t="s">
        <v>2754</v>
      </c>
    </row>
    <row r="2232" spans="4:9" x14ac:dyDescent="0.2">
      <c r="D2232" t="s">
        <v>2312</v>
      </c>
      <c r="G2232" s="3" t="str">
        <f t="shared" si="34"/>
        <v>BFB2</v>
      </c>
      <c r="H2232" s="3" t="s">
        <v>4955</v>
      </c>
      <c r="I2232" s="25" t="s">
        <v>2754</v>
      </c>
    </row>
    <row r="2233" spans="4:9" x14ac:dyDescent="0.2">
      <c r="D2233" t="s">
        <v>2313</v>
      </c>
      <c r="G2233" s="3" t="str">
        <f t="shared" si="34"/>
        <v>BFB4</v>
      </c>
      <c r="H2233" s="3" t="s">
        <v>4956</v>
      </c>
      <c r="I2233" s="25" t="s">
        <v>2754</v>
      </c>
    </row>
    <row r="2234" spans="4:9" x14ac:dyDescent="0.2">
      <c r="D2234" t="s">
        <v>2314</v>
      </c>
      <c r="G2234" s="3" t="str">
        <f t="shared" si="34"/>
        <v>BFB6</v>
      </c>
      <c r="H2234" s="3" t="s">
        <v>4957</v>
      </c>
      <c r="I2234" s="25" t="s">
        <v>2754</v>
      </c>
    </row>
    <row r="2235" spans="4:9" x14ac:dyDescent="0.2">
      <c r="D2235" t="s">
        <v>2315</v>
      </c>
      <c r="G2235" s="3" t="str">
        <f t="shared" si="34"/>
        <v>BFD2</v>
      </c>
      <c r="H2235" s="3" t="s">
        <v>4958</v>
      </c>
      <c r="I2235" s="25" t="s">
        <v>2754</v>
      </c>
    </row>
    <row r="2236" spans="4:9" x14ac:dyDescent="0.2">
      <c r="D2236" t="s">
        <v>2316</v>
      </c>
      <c r="G2236" s="3" t="str">
        <f t="shared" si="34"/>
        <v>BFEC</v>
      </c>
      <c r="H2236" s="3" t="s">
        <v>4959</v>
      </c>
      <c r="I2236" s="25" t="s">
        <v>2754</v>
      </c>
    </row>
    <row r="2237" spans="4:9" x14ac:dyDescent="0.2">
      <c r="D2237" t="s">
        <v>2317</v>
      </c>
      <c r="G2237" s="3" t="str">
        <f t="shared" si="34"/>
        <v>C00C</v>
      </c>
      <c r="H2237" s="3" t="s">
        <v>4960</v>
      </c>
      <c r="I2237" s="25" t="s">
        <v>2754</v>
      </c>
    </row>
    <row r="2238" spans="4:9" x14ac:dyDescent="0.2">
      <c r="D2238" t="s">
        <v>2318</v>
      </c>
      <c r="G2238" s="3" t="str">
        <f t="shared" si="34"/>
        <v>C00E</v>
      </c>
      <c r="H2238" s="3" t="s">
        <v>4961</v>
      </c>
      <c r="I2238" s="25" t="s">
        <v>2754</v>
      </c>
    </row>
    <row r="2239" spans="4:9" x14ac:dyDescent="0.2">
      <c r="D2239" t="s">
        <v>2319</v>
      </c>
      <c r="G2239" s="3" t="str">
        <f t="shared" si="34"/>
        <v>C046</v>
      </c>
      <c r="H2239" s="3" t="s">
        <v>4962</v>
      </c>
      <c r="I2239" s="25" t="s">
        <v>2754</v>
      </c>
    </row>
    <row r="2240" spans="4:9" x14ac:dyDescent="0.2">
      <c r="D2240" t="s">
        <v>2320</v>
      </c>
      <c r="G2240" s="3" t="str">
        <f t="shared" si="34"/>
        <v>C04A</v>
      </c>
      <c r="H2240" s="3" t="s">
        <v>4963</v>
      </c>
      <c r="I2240" s="25" t="s">
        <v>2754</v>
      </c>
    </row>
    <row r="2241" spans="4:9" x14ac:dyDescent="0.2">
      <c r="D2241" t="s">
        <v>2321</v>
      </c>
      <c r="G2241" s="3" t="str">
        <f t="shared" si="34"/>
        <v>C052</v>
      </c>
      <c r="H2241" s="3" t="s">
        <v>4964</v>
      </c>
      <c r="I2241" s="25" t="s">
        <v>2754</v>
      </c>
    </row>
    <row r="2242" spans="4:9" x14ac:dyDescent="0.2">
      <c r="D2242" t="s">
        <v>2322</v>
      </c>
      <c r="G2242" s="3" t="str">
        <f t="shared" si="34"/>
        <v>C062</v>
      </c>
      <c r="H2242" s="3" t="s">
        <v>4965</v>
      </c>
      <c r="I2242" s="25" t="s">
        <v>2754</v>
      </c>
    </row>
    <row r="2243" spans="4:9" x14ac:dyDescent="0.2">
      <c r="D2243" t="s">
        <v>2323</v>
      </c>
      <c r="G2243" s="3" t="str">
        <f t="shared" si="34"/>
        <v>C0BC</v>
      </c>
      <c r="H2243" s="3" t="s">
        <v>4966</v>
      </c>
      <c r="I2243" s="25" t="s">
        <v>2754</v>
      </c>
    </row>
    <row r="2244" spans="4:9" x14ac:dyDescent="0.2">
      <c r="D2244" t="s">
        <v>2324</v>
      </c>
      <c r="G2244" s="3" t="str">
        <f t="shared" si="34"/>
        <v>C0BE</v>
      </c>
      <c r="H2244" s="3" t="s">
        <v>4967</v>
      </c>
      <c r="I2244" s="25" t="s">
        <v>2754</v>
      </c>
    </row>
    <row r="2245" spans="4:9" x14ac:dyDescent="0.2">
      <c r="D2245" t="s">
        <v>2325</v>
      </c>
      <c r="G2245" s="3" t="str">
        <f t="shared" si="34"/>
        <v>C0C2</v>
      </c>
      <c r="H2245" s="3" t="s">
        <v>4968</v>
      </c>
      <c r="I2245" s="25" t="s">
        <v>2754</v>
      </c>
    </row>
    <row r="2246" spans="4:9" x14ac:dyDescent="0.2">
      <c r="D2246" t="s">
        <v>2326</v>
      </c>
      <c r="G2246" s="3" t="str">
        <f t="shared" si="34"/>
        <v>C0D8</v>
      </c>
      <c r="H2246" s="3" t="s">
        <v>4969</v>
      </c>
      <c r="I2246" s="25" t="s">
        <v>2754</v>
      </c>
    </row>
    <row r="2247" spans="4:9" x14ac:dyDescent="0.2">
      <c r="D2247" t="s">
        <v>2327</v>
      </c>
      <c r="G2247" s="3" t="str">
        <f t="shared" si="34"/>
        <v>C122</v>
      </c>
      <c r="H2247" s="3" t="s">
        <v>4970</v>
      </c>
      <c r="I2247" s="25" t="s">
        <v>2754</v>
      </c>
    </row>
    <row r="2248" spans="4:9" x14ac:dyDescent="0.2">
      <c r="D2248" t="s">
        <v>2328</v>
      </c>
      <c r="G2248" s="3" t="str">
        <f t="shared" si="34"/>
        <v>C124</v>
      </c>
      <c r="H2248" s="3" t="s">
        <v>4971</v>
      </c>
      <c r="I2248" s="25" t="s">
        <v>2754</v>
      </c>
    </row>
    <row r="2249" spans="4:9" x14ac:dyDescent="0.2">
      <c r="D2249" t="s">
        <v>2329</v>
      </c>
      <c r="G2249" s="3" t="str">
        <f t="shared" si="34"/>
        <v>C13C</v>
      </c>
      <c r="H2249" s="3" t="s">
        <v>4972</v>
      </c>
      <c r="I2249" s="25" t="s">
        <v>2754</v>
      </c>
    </row>
    <row r="2250" spans="4:9" x14ac:dyDescent="0.2">
      <c r="D2250" t="s">
        <v>2330</v>
      </c>
      <c r="G2250" s="3" t="str">
        <f t="shared" si="34"/>
        <v>C158</v>
      </c>
      <c r="H2250" s="3" t="s">
        <v>4973</v>
      </c>
      <c r="I2250" s="25" t="s">
        <v>2754</v>
      </c>
    </row>
    <row r="2251" spans="4:9" x14ac:dyDescent="0.2">
      <c r="D2251" t="s">
        <v>2331</v>
      </c>
      <c r="G2251" s="3" t="str">
        <f t="shared" ref="G2251:G2314" si="35">IF(H2251&lt;&gt;"",DEC2HEX(HEX2DEC(H2251)-932),"")</f>
        <v>C172</v>
      </c>
      <c r="H2251" s="3" t="s">
        <v>4974</v>
      </c>
      <c r="I2251" s="25" t="s">
        <v>2754</v>
      </c>
    </row>
    <row r="2252" spans="4:9" x14ac:dyDescent="0.2">
      <c r="D2252" t="s">
        <v>2332</v>
      </c>
      <c r="G2252" s="3" t="str">
        <f t="shared" si="35"/>
        <v>C194</v>
      </c>
      <c r="H2252" s="3" t="s">
        <v>4975</v>
      </c>
      <c r="I2252" s="25" t="s">
        <v>2754</v>
      </c>
    </row>
    <row r="2253" spans="4:9" x14ac:dyDescent="0.2">
      <c r="D2253" t="s">
        <v>2333</v>
      </c>
      <c r="G2253" s="3" t="str">
        <f t="shared" si="35"/>
        <v>C196</v>
      </c>
      <c r="H2253" s="3" t="s">
        <v>4976</v>
      </c>
      <c r="I2253" s="25" t="s">
        <v>2754</v>
      </c>
    </row>
    <row r="2254" spans="4:9" x14ac:dyDescent="0.2">
      <c r="D2254" t="s">
        <v>2334</v>
      </c>
      <c r="G2254" s="3" t="str">
        <f t="shared" si="35"/>
        <v>C1E0</v>
      </c>
      <c r="H2254" s="3" t="s">
        <v>4977</v>
      </c>
      <c r="I2254" s="25" t="s">
        <v>2754</v>
      </c>
    </row>
    <row r="2255" spans="4:9" x14ac:dyDescent="0.2">
      <c r="D2255" t="s">
        <v>2335</v>
      </c>
      <c r="G2255" s="3" t="str">
        <f t="shared" si="35"/>
        <v>C1E4</v>
      </c>
      <c r="H2255" s="3" t="s">
        <v>4978</v>
      </c>
      <c r="I2255" s="25" t="s">
        <v>2754</v>
      </c>
    </row>
    <row r="2256" spans="4:9" x14ac:dyDescent="0.2">
      <c r="D2256" t="s">
        <v>2336</v>
      </c>
      <c r="G2256" s="3" t="str">
        <f t="shared" si="35"/>
        <v>C1EC</v>
      </c>
      <c r="H2256" s="3" t="s">
        <v>4979</v>
      </c>
      <c r="I2256" s="25" t="s">
        <v>2754</v>
      </c>
    </row>
    <row r="2257" spans="4:9" x14ac:dyDescent="0.2">
      <c r="D2257" t="s">
        <v>2337</v>
      </c>
      <c r="G2257" s="3" t="str">
        <f t="shared" si="35"/>
        <v>C1FC</v>
      </c>
      <c r="H2257" s="3" t="s">
        <v>4980</v>
      </c>
      <c r="I2257" s="25" t="s">
        <v>2754</v>
      </c>
    </row>
    <row r="2258" spans="4:9" x14ac:dyDescent="0.2">
      <c r="D2258" t="s">
        <v>2338</v>
      </c>
      <c r="G2258" s="3" t="str">
        <f t="shared" si="35"/>
        <v>C260</v>
      </c>
      <c r="H2258" s="3" t="s">
        <v>4981</v>
      </c>
      <c r="I2258" s="25" t="s">
        <v>2754</v>
      </c>
    </row>
    <row r="2259" spans="4:9" x14ac:dyDescent="0.2">
      <c r="D2259" t="s">
        <v>2339</v>
      </c>
      <c r="G2259" s="3" t="str">
        <f t="shared" si="35"/>
        <v>C264</v>
      </c>
      <c r="H2259" s="3" t="s">
        <v>4982</v>
      </c>
      <c r="I2259" s="25" t="s">
        <v>2754</v>
      </c>
    </row>
    <row r="2260" spans="4:9" x14ac:dyDescent="0.2">
      <c r="D2260" t="s">
        <v>2340</v>
      </c>
      <c r="G2260" s="3" t="str">
        <f t="shared" si="35"/>
        <v>C284</v>
      </c>
      <c r="H2260" s="3" t="s">
        <v>4983</v>
      </c>
      <c r="I2260" s="25" t="s">
        <v>2754</v>
      </c>
    </row>
    <row r="2261" spans="4:9" x14ac:dyDescent="0.2">
      <c r="D2261" t="s">
        <v>2341</v>
      </c>
      <c r="G2261" s="3" t="str">
        <f t="shared" si="35"/>
        <v>C2CE</v>
      </c>
      <c r="H2261" s="3" t="s">
        <v>4984</v>
      </c>
      <c r="I2261" s="25" t="s">
        <v>2754</v>
      </c>
    </row>
    <row r="2262" spans="4:9" x14ac:dyDescent="0.2">
      <c r="D2262" t="s">
        <v>2342</v>
      </c>
      <c r="G2262" s="3" t="str">
        <f t="shared" si="35"/>
        <v>C2D0</v>
      </c>
      <c r="H2262" s="3" t="s">
        <v>4985</v>
      </c>
      <c r="I2262" s="25" t="s">
        <v>2754</v>
      </c>
    </row>
    <row r="2263" spans="4:9" x14ac:dyDescent="0.2">
      <c r="D2263" t="s">
        <v>2343</v>
      </c>
      <c r="G2263" s="3" t="str">
        <f t="shared" si="35"/>
        <v>C2E6</v>
      </c>
      <c r="H2263" s="3" t="s">
        <v>4986</v>
      </c>
      <c r="I2263" s="25" t="s">
        <v>2754</v>
      </c>
    </row>
    <row r="2264" spans="4:9" x14ac:dyDescent="0.2">
      <c r="D2264" t="s">
        <v>2344</v>
      </c>
      <c r="G2264" s="3" t="str">
        <f t="shared" si="35"/>
        <v>C2FE</v>
      </c>
      <c r="H2264" s="3" t="s">
        <v>4987</v>
      </c>
      <c r="I2264" s="25" t="s">
        <v>2754</v>
      </c>
    </row>
    <row r="2265" spans="4:9" x14ac:dyDescent="0.2">
      <c r="D2265" t="s">
        <v>2345</v>
      </c>
      <c r="G2265" s="3" t="str">
        <f t="shared" si="35"/>
        <v>C300</v>
      </c>
      <c r="H2265" s="3" t="s">
        <v>4988</v>
      </c>
      <c r="I2265" s="25" t="s">
        <v>2754</v>
      </c>
    </row>
    <row r="2266" spans="4:9" x14ac:dyDescent="0.2">
      <c r="D2266" t="s">
        <v>2346</v>
      </c>
      <c r="G2266" s="3" t="str">
        <f t="shared" si="35"/>
        <v>C31C</v>
      </c>
      <c r="H2266" s="3" t="s">
        <v>4989</v>
      </c>
      <c r="I2266" s="25" t="s">
        <v>2754</v>
      </c>
    </row>
    <row r="2267" spans="4:9" x14ac:dyDescent="0.2">
      <c r="D2267" t="s">
        <v>2347</v>
      </c>
      <c r="G2267" s="3" t="str">
        <f t="shared" si="35"/>
        <v>C320</v>
      </c>
      <c r="H2267" s="3" t="s">
        <v>4990</v>
      </c>
      <c r="I2267" s="25" t="s">
        <v>2754</v>
      </c>
    </row>
    <row r="2268" spans="4:9" x14ac:dyDescent="0.2">
      <c r="D2268" t="s">
        <v>2348</v>
      </c>
      <c r="G2268" s="3" t="str">
        <f t="shared" si="35"/>
        <v>C356</v>
      </c>
      <c r="H2268" s="3" t="s">
        <v>4991</v>
      </c>
      <c r="I2268" s="25" t="s">
        <v>2754</v>
      </c>
    </row>
    <row r="2269" spans="4:9" x14ac:dyDescent="0.2">
      <c r="D2269" t="s">
        <v>2349</v>
      </c>
      <c r="G2269" s="3" t="str">
        <f t="shared" si="35"/>
        <v>C370</v>
      </c>
      <c r="H2269" s="3" t="s">
        <v>4992</v>
      </c>
      <c r="I2269" s="25" t="s">
        <v>2754</v>
      </c>
    </row>
    <row r="2270" spans="4:9" x14ac:dyDescent="0.2">
      <c r="D2270" t="s">
        <v>2350</v>
      </c>
      <c r="G2270" s="3" t="str">
        <f t="shared" si="35"/>
        <v>C372</v>
      </c>
      <c r="H2270" s="3" t="s">
        <v>4993</v>
      </c>
      <c r="I2270" s="25" t="s">
        <v>2754</v>
      </c>
    </row>
    <row r="2271" spans="4:9" x14ac:dyDescent="0.2">
      <c r="D2271" t="s">
        <v>2351</v>
      </c>
      <c r="G2271" s="3" t="str">
        <f t="shared" si="35"/>
        <v>C3A0</v>
      </c>
      <c r="H2271" s="3" t="s">
        <v>4994</v>
      </c>
      <c r="I2271" s="25" t="s">
        <v>2754</v>
      </c>
    </row>
    <row r="2272" spans="4:9" x14ac:dyDescent="0.2">
      <c r="D2272" t="s">
        <v>2352</v>
      </c>
      <c r="G2272" s="3" t="str">
        <f t="shared" si="35"/>
        <v>C480</v>
      </c>
      <c r="H2272" s="3" t="s">
        <v>4995</v>
      </c>
      <c r="I2272" s="25" t="s">
        <v>2754</v>
      </c>
    </row>
    <row r="2273" spans="4:9" x14ac:dyDescent="0.2">
      <c r="D2273" t="s">
        <v>2353</v>
      </c>
      <c r="G2273" s="3" t="str">
        <f t="shared" si="35"/>
        <v>C4CC</v>
      </c>
      <c r="H2273" s="3" t="s">
        <v>4996</v>
      </c>
      <c r="I2273" s="25" t="s">
        <v>2754</v>
      </c>
    </row>
    <row r="2274" spans="4:9" x14ac:dyDescent="0.2">
      <c r="D2274" t="s">
        <v>2354</v>
      </c>
      <c r="G2274" s="3" t="str">
        <f t="shared" si="35"/>
        <v>C4D0</v>
      </c>
      <c r="H2274" s="3" t="s">
        <v>4997</v>
      </c>
      <c r="I2274" s="25" t="s">
        <v>2754</v>
      </c>
    </row>
    <row r="2275" spans="4:9" x14ac:dyDescent="0.2">
      <c r="D2275" t="s">
        <v>2355</v>
      </c>
      <c r="G2275" s="3" t="str">
        <f t="shared" si="35"/>
        <v>C4E4</v>
      </c>
      <c r="H2275" s="3" t="s">
        <v>4998</v>
      </c>
      <c r="I2275" s="25" t="s">
        <v>2754</v>
      </c>
    </row>
    <row r="2276" spans="4:9" x14ac:dyDescent="0.2">
      <c r="D2276" t="s">
        <v>2356</v>
      </c>
      <c r="G2276" s="3" t="str">
        <f t="shared" si="35"/>
        <v>C530</v>
      </c>
      <c r="H2276" s="3" t="s">
        <v>4999</v>
      </c>
      <c r="I2276" s="25" t="s">
        <v>2754</v>
      </c>
    </row>
    <row r="2277" spans="4:9" x14ac:dyDescent="0.2">
      <c r="D2277" t="s">
        <v>2357</v>
      </c>
      <c r="G2277" s="3" t="str">
        <f t="shared" si="35"/>
        <v>C5A0</v>
      </c>
      <c r="H2277" s="3" t="s">
        <v>5000</v>
      </c>
      <c r="I2277" s="25" t="s">
        <v>2754</v>
      </c>
    </row>
    <row r="2278" spans="4:9" x14ac:dyDescent="0.2">
      <c r="D2278" t="s">
        <v>2358</v>
      </c>
      <c r="G2278" s="3" t="str">
        <f t="shared" si="35"/>
        <v>C610</v>
      </c>
      <c r="H2278" s="3" t="s">
        <v>5001</v>
      </c>
      <c r="I2278" s="25" t="s">
        <v>2754</v>
      </c>
    </row>
    <row r="2279" spans="4:9" x14ac:dyDescent="0.2">
      <c r="D2279" t="s">
        <v>2359</v>
      </c>
      <c r="G2279" s="3" t="str">
        <f t="shared" si="35"/>
        <v>C684</v>
      </c>
      <c r="H2279" s="3" t="s">
        <v>5002</v>
      </c>
      <c r="I2279" s="25" t="s">
        <v>2754</v>
      </c>
    </row>
    <row r="2280" spans="4:9" x14ac:dyDescent="0.2">
      <c r="D2280" t="s">
        <v>2360</v>
      </c>
      <c r="G2280" s="3" t="str">
        <f t="shared" si="35"/>
        <v>C6F8</v>
      </c>
      <c r="H2280" s="3" t="s">
        <v>5003</v>
      </c>
      <c r="I2280" s="25" t="s">
        <v>2754</v>
      </c>
    </row>
    <row r="2281" spans="4:9" x14ac:dyDescent="0.2">
      <c r="D2281" t="s">
        <v>2361</v>
      </c>
      <c r="G2281" s="3" t="str">
        <f t="shared" si="35"/>
        <v>C740</v>
      </c>
      <c r="H2281" s="3" t="s">
        <v>5004</v>
      </c>
      <c r="I2281" s="25" t="s">
        <v>2754</v>
      </c>
    </row>
    <row r="2282" spans="4:9" x14ac:dyDescent="0.2">
      <c r="D2282" t="s">
        <v>2362</v>
      </c>
      <c r="G2282" s="3" t="str">
        <f t="shared" si="35"/>
        <v>C790</v>
      </c>
      <c r="H2282" s="3" t="s">
        <v>5005</v>
      </c>
      <c r="I2282" s="25" t="s">
        <v>2754</v>
      </c>
    </row>
    <row r="2283" spans="4:9" x14ac:dyDescent="0.2">
      <c r="D2283" t="s">
        <v>2363</v>
      </c>
      <c r="G2283" s="3" t="str">
        <f t="shared" si="35"/>
        <v>C7D8</v>
      </c>
      <c r="H2283" s="3" t="s">
        <v>5006</v>
      </c>
      <c r="I2283" s="25" t="s">
        <v>2754</v>
      </c>
    </row>
    <row r="2284" spans="4:9" x14ac:dyDescent="0.2">
      <c r="D2284" t="s">
        <v>2364</v>
      </c>
      <c r="G2284" s="3" t="str">
        <f t="shared" si="35"/>
        <v>C848</v>
      </c>
      <c r="H2284" s="3" t="s">
        <v>5007</v>
      </c>
      <c r="I2284" s="25" t="s">
        <v>2754</v>
      </c>
    </row>
    <row r="2285" spans="4:9" x14ac:dyDescent="0.2">
      <c r="D2285" t="s">
        <v>2365</v>
      </c>
      <c r="G2285" s="3" t="str">
        <f t="shared" si="35"/>
        <v>C8B8</v>
      </c>
      <c r="H2285" s="3" t="s">
        <v>5008</v>
      </c>
      <c r="I2285" s="25" t="s">
        <v>2754</v>
      </c>
    </row>
    <row r="2286" spans="4:9" x14ac:dyDescent="0.2">
      <c r="D2286" t="s">
        <v>2366</v>
      </c>
      <c r="G2286" s="3" t="str">
        <f t="shared" si="35"/>
        <v>C928</v>
      </c>
      <c r="H2286" s="3" t="s">
        <v>5009</v>
      </c>
      <c r="I2286" s="25" t="s">
        <v>2754</v>
      </c>
    </row>
    <row r="2287" spans="4:9" x14ac:dyDescent="0.2">
      <c r="D2287" t="s">
        <v>2367</v>
      </c>
      <c r="G2287" s="3" t="str">
        <f t="shared" si="35"/>
        <v>C998</v>
      </c>
      <c r="H2287" s="3" t="s">
        <v>5010</v>
      </c>
      <c r="I2287" s="25" t="s">
        <v>2754</v>
      </c>
    </row>
    <row r="2288" spans="4:9" x14ac:dyDescent="0.2">
      <c r="D2288" t="s">
        <v>2368</v>
      </c>
      <c r="G2288" s="3" t="str">
        <f t="shared" si="35"/>
        <v>CA08</v>
      </c>
      <c r="H2288" s="3" t="s">
        <v>5011</v>
      </c>
      <c r="I2288" s="25" t="s">
        <v>2754</v>
      </c>
    </row>
    <row r="2289" spans="4:9" x14ac:dyDescent="0.2">
      <c r="D2289" t="s">
        <v>2369</v>
      </c>
      <c r="G2289" s="3" t="str">
        <f t="shared" si="35"/>
        <v>CA54</v>
      </c>
      <c r="H2289" s="3" t="s">
        <v>5012</v>
      </c>
      <c r="I2289" s="25" t="s">
        <v>2754</v>
      </c>
    </row>
    <row r="2290" spans="4:9" x14ac:dyDescent="0.2">
      <c r="D2290" t="s">
        <v>2370</v>
      </c>
      <c r="G2290" s="3" t="str">
        <f t="shared" si="35"/>
        <v>CAA0</v>
      </c>
      <c r="H2290" s="3" t="s">
        <v>5013</v>
      </c>
      <c r="I2290" s="25" t="s">
        <v>2754</v>
      </c>
    </row>
    <row r="2291" spans="4:9" x14ac:dyDescent="0.2">
      <c r="D2291" t="s">
        <v>2371</v>
      </c>
      <c r="G2291" s="3" t="str">
        <f t="shared" si="35"/>
        <v>CB10</v>
      </c>
      <c r="H2291" s="3" t="s">
        <v>5014</v>
      </c>
      <c r="I2291" s="25" t="s">
        <v>8308</v>
      </c>
    </row>
    <row r="2292" spans="4:9" x14ac:dyDescent="0.2">
      <c r="D2292" t="s">
        <v>2372</v>
      </c>
      <c r="G2292" s="3" t="str">
        <f t="shared" si="35"/>
        <v>CB34</v>
      </c>
      <c r="H2292" s="3" t="s">
        <v>5015</v>
      </c>
      <c r="I2292" s="25" t="s">
        <v>2754</v>
      </c>
    </row>
    <row r="2293" spans="4:9" x14ac:dyDescent="0.2">
      <c r="D2293" t="s">
        <v>2373</v>
      </c>
      <c r="G2293" s="3" t="str">
        <f t="shared" si="35"/>
        <v>CB42</v>
      </c>
      <c r="H2293" s="3" t="s">
        <v>5016</v>
      </c>
      <c r="I2293" s="25" t="s">
        <v>2754</v>
      </c>
    </row>
    <row r="2294" spans="4:9" x14ac:dyDescent="0.2">
      <c r="D2294" t="s">
        <v>2374</v>
      </c>
      <c r="G2294" s="3" t="str">
        <f t="shared" si="35"/>
        <v>CB4A</v>
      </c>
      <c r="H2294" s="3" t="s">
        <v>5017</v>
      </c>
      <c r="I2294" s="25" t="s">
        <v>2754</v>
      </c>
    </row>
    <row r="2295" spans="4:9" x14ac:dyDescent="0.2">
      <c r="D2295" t="s">
        <v>2375</v>
      </c>
      <c r="G2295" s="3" t="str">
        <f t="shared" si="35"/>
        <v>CB60</v>
      </c>
      <c r="H2295" s="3" t="s">
        <v>5018</v>
      </c>
      <c r="I2295" s="25" t="s">
        <v>2754</v>
      </c>
    </row>
    <row r="2296" spans="4:9" x14ac:dyDescent="0.2">
      <c r="D2296" t="s">
        <v>2376</v>
      </c>
      <c r="G2296" s="3" t="str">
        <f t="shared" si="35"/>
        <v>CBA8</v>
      </c>
      <c r="H2296" s="3" t="s">
        <v>5019</v>
      </c>
      <c r="I2296" s="25" t="s">
        <v>2754</v>
      </c>
    </row>
    <row r="2297" spans="4:9" x14ac:dyDescent="0.2">
      <c r="D2297" t="s">
        <v>2377</v>
      </c>
      <c r="G2297" s="3" t="str">
        <f t="shared" si="35"/>
        <v>CBC4</v>
      </c>
      <c r="H2297" s="3" t="s">
        <v>5020</v>
      </c>
      <c r="I2297" s="25" t="s">
        <v>2754</v>
      </c>
    </row>
    <row r="2298" spans="4:9" x14ac:dyDescent="0.2">
      <c r="D2298" t="s">
        <v>2378</v>
      </c>
      <c r="G2298" s="3" t="str">
        <f t="shared" si="35"/>
        <v>CBCE</v>
      </c>
      <c r="H2298" s="3" t="s">
        <v>5021</v>
      </c>
      <c r="I2298" s="25" t="s">
        <v>2754</v>
      </c>
    </row>
    <row r="2299" spans="4:9" x14ac:dyDescent="0.2">
      <c r="D2299" t="s">
        <v>2379</v>
      </c>
      <c r="G2299" s="3" t="str">
        <f t="shared" si="35"/>
        <v>CBF0</v>
      </c>
      <c r="H2299" s="3" t="s">
        <v>5022</v>
      </c>
      <c r="I2299" s="25" t="s">
        <v>2754</v>
      </c>
    </row>
    <row r="2300" spans="4:9" x14ac:dyDescent="0.2">
      <c r="D2300" t="s">
        <v>2380</v>
      </c>
      <c r="G2300" s="3" t="str">
        <f t="shared" si="35"/>
        <v>CC06</v>
      </c>
      <c r="H2300" s="3" t="s">
        <v>5023</v>
      </c>
      <c r="I2300" s="25" t="s">
        <v>2754</v>
      </c>
    </row>
    <row r="2301" spans="4:9" x14ac:dyDescent="0.2">
      <c r="D2301" t="s">
        <v>2381</v>
      </c>
      <c r="G2301" s="3" t="str">
        <f t="shared" si="35"/>
        <v>CC5C</v>
      </c>
      <c r="H2301" s="3" t="s">
        <v>5024</v>
      </c>
      <c r="I2301" s="25" t="s">
        <v>2754</v>
      </c>
    </row>
    <row r="2302" spans="4:9" x14ac:dyDescent="0.2">
      <c r="D2302" t="s">
        <v>2382</v>
      </c>
      <c r="G2302" s="3" t="str">
        <f t="shared" si="35"/>
        <v>CC5E</v>
      </c>
      <c r="H2302" s="3" t="s">
        <v>5025</v>
      </c>
      <c r="I2302" s="25" t="s">
        <v>2754</v>
      </c>
    </row>
    <row r="2303" spans="4:9" x14ac:dyDescent="0.2">
      <c r="D2303" t="s">
        <v>2383</v>
      </c>
      <c r="G2303" s="3" t="str">
        <f t="shared" si="35"/>
        <v>CC92</v>
      </c>
      <c r="H2303" s="3" t="s">
        <v>5026</v>
      </c>
      <c r="I2303" s="25" t="s">
        <v>2754</v>
      </c>
    </row>
    <row r="2304" spans="4:9" x14ac:dyDescent="0.2">
      <c r="D2304" t="s">
        <v>2384</v>
      </c>
      <c r="G2304" s="3" t="str">
        <f t="shared" si="35"/>
        <v>CCA8</v>
      </c>
      <c r="H2304" s="3" t="s">
        <v>5027</v>
      </c>
      <c r="I2304" s="25" t="s">
        <v>2754</v>
      </c>
    </row>
    <row r="2305" spans="4:9" x14ac:dyDescent="0.2">
      <c r="D2305" t="s">
        <v>2385</v>
      </c>
      <c r="G2305" s="3" t="str">
        <f t="shared" si="35"/>
        <v>CCAC</v>
      </c>
      <c r="H2305" s="3" t="s">
        <v>5028</v>
      </c>
      <c r="I2305" s="25" t="s">
        <v>2754</v>
      </c>
    </row>
    <row r="2306" spans="4:9" x14ac:dyDescent="0.2">
      <c r="D2306" t="s">
        <v>2386</v>
      </c>
      <c r="G2306" s="3" t="str">
        <f t="shared" si="35"/>
        <v>CCE8</v>
      </c>
      <c r="H2306" s="3" t="s">
        <v>5029</v>
      </c>
      <c r="I2306" s="25" t="s">
        <v>2754</v>
      </c>
    </row>
    <row r="2307" spans="4:9" x14ac:dyDescent="0.2">
      <c r="D2307" t="s">
        <v>2387</v>
      </c>
      <c r="G2307" s="3" t="str">
        <f t="shared" si="35"/>
        <v>CD02</v>
      </c>
      <c r="H2307" s="3" t="s">
        <v>5030</v>
      </c>
      <c r="I2307" s="25" t="s">
        <v>2754</v>
      </c>
    </row>
    <row r="2308" spans="4:9" x14ac:dyDescent="0.2">
      <c r="D2308" t="s">
        <v>2388</v>
      </c>
      <c r="G2308" s="3" t="str">
        <f t="shared" si="35"/>
        <v>CD18</v>
      </c>
      <c r="H2308" s="3" t="s">
        <v>5031</v>
      </c>
      <c r="I2308" s="25" t="s">
        <v>2754</v>
      </c>
    </row>
    <row r="2309" spans="4:9" x14ac:dyDescent="0.2">
      <c r="D2309" t="s">
        <v>2389</v>
      </c>
      <c r="G2309" s="3" t="str">
        <f t="shared" si="35"/>
        <v>CD1C</v>
      </c>
      <c r="H2309" s="3" t="s">
        <v>5032</v>
      </c>
      <c r="I2309" s="25" t="s">
        <v>2754</v>
      </c>
    </row>
    <row r="2310" spans="4:9" x14ac:dyDescent="0.2">
      <c r="D2310" t="s">
        <v>2390</v>
      </c>
      <c r="E2310" s="32"/>
      <c r="G2310" s="3" t="str">
        <f t="shared" si="35"/>
        <v>CD50</v>
      </c>
      <c r="H2310" s="3" t="s">
        <v>5033</v>
      </c>
      <c r="I2310" s="25" t="s">
        <v>2754</v>
      </c>
    </row>
    <row r="2311" spans="4:9" x14ac:dyDescent="0.2">
      <c r="D2311" t="s">
        <v>2391</v>
      </c>
      <c r="E2311" s="32"/>
      <c r="G2311" s="3" t="str">
        <f t="shared" si="35"/>
        <v>CD66</v>
      </c>
      <c r="H2311" s="3" t="s">
        <v>5034</v>
      </c>
      <c r="I2311" s="25" t="s">
        <v>2754</v>
      </c>
    </row>
    <row r="2312" spans="4:9" x14ac:dyDescent="0.2">
      <c r="D2312" t="s">
        <v>2392</v>
      </c>
      <c r="E2312" s="32"/>
      <c r="G2312" s="3" t="str">
        <f t="shared" si="35"/>
        <v>CD74</v>
      </c>
      <c r="H2312" s="3" t="s">
        <v>5035</v>
      </c>
      <c r="I2312" s="25" t="s">
        <v>2754</v>
      </c>
    </row>
    <row r="2313" spans="4:9" x14ac:dyDescent="0.2">
      <c r="D2313" t="s">
        <v>2393</v>
      </c>
      <c r="E2313" s="32"/>
      <c r="G2313" s="3" t="str">
        <f t="shared" si="35"/>
        <v>CDB2</v>
      </c>
      <c r="H2313" s="3" t="s">
        <v>5036</v>
      </c>
      <c r="I2313" s="25" t="s">
        <v>2754</v>
      </c>
    </row>
    <row r="2314" spans="4:9" x14ac:dyDescent="0.2">
      <c r="D2314" t="s">
        <v>2394</v>
      </c>
      <c r="G2314" s="3" t="str">
        <f t="shared" si="35"/>
        <v>CDBE</v>
      </c>
      <c r="H2314" s="3" t="s">
        <v>5037</v>
      </c>
      <c r="I2314" s="25" t="s">
        <v>2754</v>
      </c>
    </row>
    <row r="2315" spans="4:9" x14ac:dyDescent="0.2">
      <c r="D2315" t="s">
        <v>2395</v>
      </c>
      <c r="E2315" s="32"/>
      <c r="G2315" s="3" t="str">
        <f t="shared" ref="G2315:G2378" si="36">IF(H2315&lt;&gt;"",DEC2HEX(HEX2DEC(H2315)-932),"")</f>
        <v>CDFE</v>
      </c>
      <c r="H2315" s="3" t="s">
        <v>5038</v>
      </c>
      <c r="I2315" s="25" t="s">
        <v>2754</v>
      </c>
    </row>
    <row r="2316" spans="4:9" x14ac:dyDescent="0.2">
      <c r="D2316" t="s">
        <v>2396</v>
      </c>
      <c r="E2316" s="32"/>
      <c r="G2316" s="3" t="str">
        <f t="shared" si="36"/>
        <v>CE08</v>
      </c>
      <c r="H2316" s="3" t="s">
        <v>5039</v>
      </c>
      <c r="I2316" s="25" t="s">
        <v>2754</v>
      </c>
    </row>
    <row r="2317" spans="4:9" x14ac:dyDescent="0.2">
      <c r="D2317" t="s">
        <v>2397</v>
      </c>
      <c r="E2317" s="32"/>
      <c r="G2317" s="3" t="str">
        <f t="shared" si="36"/>
        <v>CE2A</v>
      </c>
      <c r="H2317" s="3" t="s">
        <v>5040</v>
      </c>
      <c r="I2317" s="25" t="s">
        <v>2754</v>
      </c>
    </row>
    <row r="2318" spans="4:9" x14ac:dyDescent="0.2">
      <c r="D2318" t="s">
        <v>2398</v>
      </c>
      <c r="E2318" s="32"/>
      <c r="G2318" s="3" t="str">
        <f t="shared" si="36"/>
        <v>CE32</v>
      </c>
      <c r="H2318" s="3" t="s">
        <v>5041</v>
      </c>
      <c r="I2318" s="25" t="s">
        <v>2754</v>
      </c>
    </row>
    <row r="2319" spans="4:9" x14ac:dyDescent="0.2">
      <c r="D2319" t="s">
        <v>2399</v>
      </c>
      <c r="E2319" s="32"/>
      <c r="G2319" s="3" t="str">
        <f t="shared" si="36"/>
        <v>CE46</v>
      </c>
      <c r="H2319" s="3" t="s">
        <v>5042</v>
      </c>
      <c r="I2319" s="25" t="s">
        <v>2754</v>
      </c>
    </row>
    <row r="2320" spans="4:9" x14ac:dyDescent="0.2">
      <c r="D2320" t="s">
        <v>2400</v>
      </c>
      <c r="E2320" s="32"/>
      <c r="G2320" s="3" t="str">
        <f t="shared" si="36"/>
        <v>CE5A</v>
      </c>
      <c r="H2320" s="3" t="s">
        <v>5043</v>
      </c>
      <c r="I2320" s="25" t="s">
        <v>2754</v>
      </c>
    </row>
    <row r="2321" spans="4:9" x14ac:dyDescent="0.2">
      <c r="D2321" t="s">
        <v>2401</v>
      </c>
      <c r="E2321" s="32"/>
      <c r="G2321" s="3" t="str">
        <f t="shared" si="36"/>
        <v>CE8C</v>
      </c>
      <c r="H2321" s="3" t="s">
        <v>5044</v>
      </c>
      <c r="I2321" s="25" t="s">
        <v>2754</v>
      </c>
    </row>
    <row r="2322" spans="4:9" x14ac:dyDescent="0.2">
      <c r="D2322" t="s">
        <v>2402</v>
      </c>
      <c r="E2322" s="32"/>
      <c r="G2322" s="3" t="str">
        <f t="shared" si="36"/>
        <v>CE90</v>
      </c>
      <c r="H2322" s="3" t="s">
        <v>5045</v>
      </c>
      <c r="I2322" s="25" t="s">
        <v>2754</v>
      </c>
    </row>
    <row r="2323" spans="4:9" x14ac:dyDescent="0.2">
      <c r="D2323" t="s">
        <v>2403</v>
      </c>
      <c r="G2323" s="3" t="str">
        <f t="shared" si="36"/>
        <v>CE92</v>
      </c>
      <c r="H2323" s="3" t="s">
        <v>5046</v>
      </c>
      <c r="I2323" s="25" t="s">
        <v>2754</v>
      </c>
    </row>
    <row r="2324" spans="4:9" x14ac:dyDescent="0.2">
      <c r="D2324" t="s">
        <v>2404</v>
      </c>
      <c r="G2324" s="3" t="str">
        <f t="shared" si="36"/>
        <v>CEE2</v>
      </c>
      <c r="H2324" s="3" t="s">
        <v>5047</v>
      </c>
      <c r="I2324" s="25" t="s">
        <v>2754</v>
      </c>
    </row>
    <row r="2325" spans="4:9" x14ac:dyDescent="0.2">
      <c r="D2325" t="s">
        <v>2405</v>
      </c>
      <c r="G2325" s="3" t="str">
        <f t="shared" si="36"/>
        <v>CEFE</v>
      </c>
      <c r="H2325" s="3" t="s">
        <v>5048</v>
      </c>
      <c r="I2325" s="25" t="s">
        <v>2754</v>
      </c>
    </row>
    <row r="2326" spans="4:9" x14ac:dyDescent="0.2">
      <c r="D2326" t="s">
        <v>2406</v>
      </c>
      <c r="E2326" s="32"/>
      <c r="G2326" s="3" t="str">
        <f t="shared" si="36"/>
        <v>CF1A</v>
      </c>
      <c r="H2326" s="3" t="s">
        <v>5049</v>
      </c>
      <c r="I2326" s="25" t="s">
        <v>2754</v>
      </c>
    </row>
    <row r="2327" spans="4:9" x14ac:dyDescent="0.2">
      <c r="D2327" t="s">
        <v>2407</v>
      </c>
      <c r="E2327" s="32"/>
      <c r="G2327" s="3" t="str">
        <f t="shared" si="36"/>
        <v>CF3A</v>
      </c>
      <c r="H2327" s="3" t="s">
        <v>5050</v>
      </c>
      <c r="I2327" s="25" t="s">
        <v>2754</v>
      </c>
    </row>
    <row r="2328" spans="4:9" x14ac:dyDescent="0.2">
      <c r="D2328" t="s">
        <v>2408</v>
      </c>
      <c r="G2328" s="3" t="str">
        <f t="shared" si="36"/>
        <v>CF60</v>
      </c>
      <c r="H2328" s="3" t="s">
        <v>5051</v>
      </c>
      <c r="I2328" s="25" t="s">
        <v>2754</v>
      </c>
    </row>
    <row r="2329" spans="4:9" x14ac:dyDescent="0.2">
      <c r="D2329" t="s">
        <v>2409</v>
      </c>
      <c r="G2329" s="3" t="str">
        <f t="shared" si="36"/>
        <v>CF80</v>
      </c>
      <c r="H2329" s="3" t="s">
        <v>5052</v>
      </c>
      <c r="I2329" s="25" t="s">
        <v>2754</v>
      </c>
    </row>
    <row r="2330" spans="4:9" x14ac:dyDescent="0.2">
      <c r="D2330" t="s">
        <v>2410</v>
      </c>
      <c r="G2330" s="3" t="str">
        <f t="shared" si="36"/>
        <v>CF84</v>
      </c>
      <c r="H2330" s="3" t="s">
        <v>5053</v>
      </c>
      <c r="I2330" s="25" t="s">
        <v>2754</v>
      </c>
    </row>
    <row r="2331" spans="4:9" x14ac:dyDescent="0.2">
      <c r="D2331" t="s">
        <v>2411</v>
      </c>
      <c r="G2331" s="3" t="str">
        <f t="shared" si="36"/>
        <v>CF8A</v>
      </c>
      <c r="H2331" s="3" t="s">
        <v>5054</v>
      </c>
      <c r="I2331" s="25" t="s">
        <v>2754</v>
      </c>
    </row>
    <row r="2332" spans="4:9" x14ac:dyDescent="0.2">
      <c r="D2332" t="s">
        <v>2412</v>
      </c>
      <c r="G2332" s="3" t="str">
        <f t="shared" si="36"/>
        <v>CF9C</v>
      </c>
      <c r="H2332" s="3" t="s">
        <v>5055</v>
      </c>
      <c r="I2332" s="25" t="s">
        <v>2754</v>
      </c>
    </row>
    <row r="2333" spans="4:9" x14ac:dyDescent="0.2">
      <c r="D2333" t="s">
        <v>2413</v>
      </c>
      <c r="G2333" s="3" t="str">
        <f t="shared" si="36"/>
        <v>CF9E</v>
      </c>
      <c r="H2333" s="3" t="s">
        <v>5056</v>
      </c>
      <c r="I2333" s="25" t="s">
        <v>2754</v>
      </c>
    </row>
    <row r="2334" spans="4:9" x14ac:dyDescent="0.2">
      <c r="D2334" t="s">
        <v>2414</v>
      </c>
      <c r="G2334" s="3" t="str">
        <f t="shared" si="36"/>
        <v>CFAA</v>
      </c>
      <c r="H2334" s="3" t="s">
        <v>5057</v>
      </c>
      <c r="I2334" s="25" t="s">
        <v>2754</v>
      </c>
    </row>
    <row r="2335" spans="4:9" x14ac:dyDescent="0.2">
      <c r="D2335" t="s">
        <v>2415</v>
      </c>
      <c r="G2335" s="3" t="str">
        <f t="shared" si="36"/>
        <v>CFB6</v>
      </c>
      <c r="H2335" s="3" t="s">
        <v>5058</v>
      </c>
      <c r="I2335" s="25" t="s">
        <v>2754</v>
      </c>
    </row>
    <row r="2336" spans="4:9" x14ac:dyDescent="0.2">
      <c r="D2336" t="s">
        <v>2416</v>
      </c>
      <c r="G2336" s="3" t="str">
        <f t="shared" si="36"/>
        <v>CFE2</v>
      </c>
      <c r="H2336" s="3" t="s">
        <v>5059</v>
      </c>
      <c r="I2336" s="25" t="s">
        <v>2754</v>
      </c>
    </row>
    <row r="2337" spans="4:9" x14ac:dyDescent="0.2">
      <c r="D2337" t="s">
        <v>2417</v>
      </c>
      <c r="G2337" s="3" t="str">
        <f t="shared" si="36"/>
        <v>CFF6</v>
      </c>
      <c r="H2337" s="3" t="s">
        <v>5060</v>
      </c>
      <c r="I2337" s="25" t="s">
        <v>2754</v>
      </c>
    </row>
    <row r="2338" spans="4:9" x14ac:dyDescent="0.2">
      <c r="D2338" t="s">
        <v>2418</v>
      </c>
      <c r="G2338" s="3" t="str">
        <f t="shared" si="36"/>
        <v>D01C</v>
      </c>
      <c r="H2338" s="3" t="s">
        <v>5061</v>
      </c>
      <c r="I2338" s="25" t="s">
        <v>2754</v>
      </c>
    </row>
    <row r="2339" spans="4:9" x14ac:dyDescent="0.2">
      <c r="D2339" t="s">
        <v>2419</v>
      </c>
      <c r="G2339" s="3" t="str">
        <f t="shared" si="36"/>
        <v>D036</v>
      </c>
      <c r="H2339" s="3" t="s">
        <v>5062</v>
      </c>
      <c r="I2339" s="25" t="s">
        <v>2754</v>
      </c>
    </row>
    <row r="2340" spans="4:9" x14ac:dyDescent="0.2">
      <c r="D2340" t="s">
        <v>2420</v>
      </c>
      <c r="G2340" s="3" t="str">
        <f t="shared" si="36"/>
        <v>D039</v>
      </c>
      <c r="H2340" s="3" t="s">
        <v>5063</v>
      </c>
      <c r="I2340" s="25" t="s">
        <v>2754</v>
      </c>
    </row>
    <row r="2341" spans="4:9" x14ac:dyDescent="0.2">
      <c r="D2341" t="s">
        <v>2421</v>
      </c>
      <c r="G2341" s="3" t="str">
        <f t="shared" si="36"/>
        <v>D03A</v>
      </c>
      <c r="H2341" s="3" t="s">
        <v>5064</v>
      </c>
      <c r="I2341" s="25" t="s">
        <v>2754</v>
      </c>
    </row>
    <row r="2342" spans="4:9" x14ac:dyDescent="0.2">
      <c r="D2342" t="s">
        <v>2422</v>
      </c>
      <c r="G2342" s="3" t="str">
        <f t="shared" si="36"/>
        <v>D04A</v>
      </c>
      <c r="H2342" s="3" t="s">
        <v>5065</v>
      </c>
      <c r="I2342" s="25" t="s">
        <v>2754</v>
      </c>
    </row>
    <row r="2343" spans="4:9" x14ac:dyDescent="0.2">
      <c r="D2343" t="s">
        <v>2423</v>
      </c>
      <c r="G2343" s="3" t="str">
        <f t="shared" si="36"/>
        <v>D05A</v>
      </c>
      <c r="H2343" s="3" t="s">
        <v>5066</v>
      </c>
      <c r="I2343" s="25" t="s">
        <v>2754</v>
      </c>
    </row>
    <row r="2344" spans="4:9" x14ac:dyDescent="0.2">
      <c r="D2344" t="s">
        <v>2424</v>
      </c>
      <c r="G2344" s="3" t="str">
        <f t="shared" si="36"/>
        <v>D06C</v>
      </c>
      <c r="H2344" s="3" t="s">
        <v>5067</v>
      </c>
      <c r="I2344" s="25" t="s">
        <v>2754</v>
      </c>
    </row>
    <row r="2345" spans="4:9" x14ac:dyDescent="0.2">
      <c r="D2345" t="s">
        <v>2425</v>
      </c>
      <c r="G2345" s="3" t="str">
        <f t="shared" si="36"/>
        <v>D078</v>
      </c>
      <c r="H2345" s="3" t="s">
        <v>5068</v>
      </c>
      <c r="I2345" s="25" t="s">
        <v>2754</v>
      </c>
    </row>
    <row r="2346" spans="4:9" x14ac:dyDescent="0.2">
      <c r="D2346" t="s">
        <v>2426</v>
      </c>
      <c r="E2346" s="32"/>
      <c r="G2346" s="3" t="str">
        <f t="shared" si="36"/>
        <v>D0A6</v>
      </c>
      <c r="H2346" s="3" t="s">
        <v>5069</v>
      </c>
      <c r="I2346" s="25" t="s">
        <v>2754</v>
      </c>
    </row>
    <row r="2347" spans="4:9" x14ac:dyDescent="0.2">
      <c r="D2347" t="s">
        <v>2427</v>
      </c>
      <c r="E2347" s="32"/>
      <c r="G2347" s="3" t="str">
        <f t="shared" si="36"/>
        <v>D0C8</v>
      </c>
      <c r="H2347" s="3" t="s">
        <v>5070</v>
      </c>
      <c r="I2347" s="25" t="s">
        <v>2754</v>
      </c>
    </row>
    <row r="2348" spans="4:9" x14ac:dyDescent="0.2">
      <c r="D2348" t="s">
        <v>2428</v>
      </c>
      <c r="G2348" s="3" t="str">
        <f t="shared" si="36"/>
        <v>D0F8</v>
      </c>
      <c r="H2348" s="3" t="s">
        <v>5071</v>
      </c>
      <c r="I2348" s="25" t="s">
        <v>2754</v>
      </c>
    </row>
    <row r="2349" spans="4:9" x14ac:dyDescent="0.2">
      <c r="D2349" t="s">
        <v>2429</v>
      </c>
      <c r="G2349" s="3" t="str">
        <f t="shared" si="36"/>
        <v>D116</v>
      </c>
      <c r="H2349" s="3" t="s">
        <v>5072</v>
      </c>
      <c r="I2349" s="25" t="s">
        <v>2754</v>
      </c>
    </row>
    <row r="2350" spans="4:9" x14ac:dyDescent="0.2">
      <c r="D2350" t="s">
        <v>2430</v>
      </c>
      <c r="E2350" s="32"/>
      <c r="G2350" s="3" t="str">
        <f t="shared" si="36"/>
        <v>D122</v>
      </c>
      <c r="H2350" s="3" t="s">
        <v>5073</v>
      </c>
      <c r="I2350" s="25" t="s">
        <v>2754</v>
      </c>
    </row>
    <row r="2351" spans="4:9" x14ac:dyDescent="0.2">
      <c r="D2351" t="s">
        <v>2431</v>
      </c>
      <c r="E2351" s="32"/>
      <c r="G2351" s="3" t="str">
        <f t="shared" si="36"/>
        <v>D12A</v>
      </c>
      <c r="H2351" s="3" t="s">
        <v>5074</v>
      </c>
      <c r="I2351" s="25" t="s">
        <v>2754</v>
      </c>
    </row>
    <row r="2352" spans="4:9" x14ac:dyDescent="0.2">
      <c r="D2352" t="s">
        <v>2432</v>
      </c>
      <c r="E2352" s="32"/>
      <c r="G2352" s="3" t="str">
        <f t="shared" si="36"/>
        <v>D150</v>
      </c>
      <c r="H2352" s="3" t="s">
        <v>5075</v>
      </c>
      <c r="I2352" s="25" t="s">
        <v>2754</v>
      </c>
    </row>
    <row r="2353" spans="4:9" x14ac:dyDescent="0.2">
      <c r="D2353" t="s">
        <v>2433</v>
      </c>
      <c r="G2353" s="3" t="str">
        <f t="shared" si="36"/>
        <v>D15C</v>
      </c>
      <c r="H2353" s="3" t="s">
        <v>5076</v>
      </c>
      <c r="I2353" s="25" t="s">
        <v>2754</v>
      </c>
    </row>
    <row r="2354" spans="4:9" x14ac:dyDescent="0.2">
      <c r="D2354" t="s">
        <v>2434</v>
      </c>
      <c r="E2354" s="32"/>
      <c r="G2354" s="3" t="str">
        <f t="shared" si="36"/>
        <v>D160</v>
      </c>
      <c r="H2354" s="3" t="s">
        <v>5077</v>
      </c>
      <c r="I2354" s="25" t="s">
        <v>2754</v>
      </c>
    </row>
    <row r="2355" spans="4:9" x14ac:dyDescent="0.2">
      <c r="D2355" t="s">
        <v>2435</v>
      </c>
      <c r="E2355" s="32"/>
      <c r="G2355" s="3" t="str">
        <f t="shared" si="36"/>
        <v>D166</v>
      </c>
      <c r="H2355" s="3" t="s">
        <v>5078</v>
      </c>
      <c r="I2355" s="25" t="s">
        <v>2754</v>
      </c>
    </row>
    <row r="2356" spans="4:9" x14ac:dyDescent="0.2">
      <c r="D2356" t="s">
        <v>2436</v>
      </c>
      <c r="E2356" s="32"/>
      <c r="G2356" s="3" t="str">
        <f t="shared" si="36"/>
        <v>D16E</v>
      </c>
      <c r="H2356" s="3" t="s">
        <v>5079</v>
      </c>
      <c r="I2356" s="25" t="s">
        <v>2754</v>
      </c>
    </row>
    <row r="2357" spans="4:9" x14ac:dyDescent="0.2">
      <c r="D2357" t="s">
        <v>2437</v>
      </c>
      <c r="E2357" s="32"/>
      <c r="G2357" s="3" t="str">
        <f t="shared" si="36"/>
        <v>D178</v>
      </c>
      <c r="H2357" s="3" t="s">
        <v>5080</v>
      </c>
      <c r="I2357" s="25" t="s">
        <v>2754</v>
      </c>
    </row>
    <row r="2358" spans="4:9" x14ac:dyDescent="0.2">
      <c r="D2358" t="s">
        <v>2438</v>
      </c>
      <c r="E2358" s="32"/>
      <c r="G2358" s="3" t="str">
        <f t="shared" si="36"/>
        <v>D1E8</v>
      </c>
      <c r="H2358" s="3" t="s">
        <v>5081</v>
      </c>
      <c r="I2358" s="25" t="s">
        <v>2754</v>
      </c>
    </row>
    <row r="2359" spans="4:9" x14ac:dyDescent="0.2">
      <c r="D2359" t="s">
        <v>2439</v>
      </c>
      <c r="E2359" s="32"/>
      <c r="G2359" s="3" t="str">
        <f t="shared" si="36"/>
        <v>D268</v>
      </c>
      <c r="H2359" s="3" t="s">
        <v>5082</v>
      </c>
      <c r="I2359" s="25" t="s">
        <v>2754</v>
      </c>
    </row>
    <row r="2360" spans="4:9" x14ac:dyDescent="0.2">
      <c r="D2360" t="s">
        <v>2440</v>
      </c>
      <c r="E2360" s="32"/>
      <c r="G2360" s="3" t="str">
        <f t="shared" si="36"/>
        <v>D26E</v>
      </c>
      <c r="H2360" s="3" t="s">
        <v>5083</v>
      </c>
      <c r="I2360" s="25" t="s">
        <v>2754</v>
      </c>
    </row>
    <row r="2361" spans="4:9" x14ac:dyDescent="0.2">
      <c r="D2361" t="s">
        <v>2441</v>
      </c>
      <c r="E2361" s="32"/>
      <c r="G2361" s="3" t="str">
        <f t="shared" si="36"/>
        <v>D288</v>
      </c>
      <c r="H2361" s="3" t="s">
        <v>5084</v>
      </c>
      <c r="I2361" s="25" t="s">
        <v>2754</v>
      </c>
    </row>
    <row r="2362" spans="4:9" x14ac:dyDescent="0.2">
      <c r="D2362" t="s">
        <v>2442</v>
      </c>
      <c r="E2362" s="32"/>
      <c r="G2362" s="3" t="str">
        <f t="shared" si="36"/>
        <v>D2AE</v>
      </c>
      <c r="H2362" s="3" t="s">
        <v>5085</v>
      </c>
      <c r="I2362" s="25" t="s">
        <v>2754</v>
      </c>
    </row>
    <row r="2363" spans="4:9" x14ac:dyDescent="0.2">
      <c r="D2363" t="s">
        <v>2443</v>
      </c>
      <c r="E2363" s="32"/>
      <c r="G2363" s="3" t="str">
        <f t="shared" si="36"/>
        <v>D2C6</v>
      </c>
      <c r="H2363" s="3" t="s">
        <v>5086</v>
      </c>
      <c r="I2363" s="25" t="s">
        <v>2754</v>
      </c>
    </row>
    <row r="2364" spans="4:9" x14ac:dyDescent="0.2">
      <c r="D2364" t="s">
        <v>2444</v>
      </c>
      <c r="E2364" s="32"/>
      <c r="G2364" s="3" t="str">
        <f t="shared" si="36"/>
        <v>D2EC</v>
      </c>
      <c r="H2364" s="3" t="s">
        <v>5087</v>
      </c>
      <c r="I2364" s="25" t="s">
        <v>2754</v>
      </c>
    </row>
    <row r="2365" spans="4:9" x14ac:dyDescent="0.2">
      <c r="D2365" t="s">
        <v>2445</v>
      </c>
      <c r="G2365" s="3" t="str">
        <f t="shared" si="36"/>
        <v>D304</v>
      </c>
      <c r="H2365" s="3" t="s">
        <v>5088</v>
      </c>
      <c r="I2365" s="25" t="s">
        <v>2754</v>
      </c>
    </row>
    <row r="2366" spans="4:9" x14ac:dyDescent="0.2">
      <c r="D2366" t="s">
        <v>2446</v>
      </c>
      <c r="G2366" s="3" t="str">
        <f t="shared" si="36"/>
        <v>D306</v>
      </c>
      <c r="H2366" s="3" t="s">
        <v>5089</v>
      </c>
      <c r="I2366" s="25" t="s">
        <v>2754</v>
      </c>
    </row>
    <row r="2367" spans="4:9" x14ac:dyDescent="0.2">
      <c r="D2367" t="s">
        <v>2447</v>
      </c>
      <c r="E2367" s="32"/>
      <c r="G2367" s="3" t="str">
        <f t="shared" si="36"/>
        <v>D312</v>
      </c>
      <c r="H2367" s="3" t="s">
        <v>5090</v>
      </c>
      <c r="I2367" s="25" t="s">
        <v>2754</v>
      </c>
    </row>
    <row r="2368" spans="4:9" x14ac:dyDescent="0.2">
      <c r="D2368" t="s">
        <v>2448</v>
      </c>
      <c r="E2368" s="32"/>
      <c r="G2368" s="3" t="str">
        <f t="shared" si="36"/>
        <v>D324</v>
      </c>
      <c r="H2368" s="3" t="s">
        <v>5091</v>
      </c>
      <c r="I2368" s="25" t="s">
        <v>2754</v>
      </c>
    </row>
    <row r="2369" spans="4:9" x14ac:dyDescent="0.2">
      <c r="D2369" t="s">
        <v>2449</v>
      </c>
      <c r="E2369" s="32"/>
      <c r="G2369" s="3" t="str">
        <f t="shared" si="36"/>
        <v>D388</v>
      </c>
      <c r="H2369" s="3" t="s">
        <v>5092</v>
      </c>
      <c r="I2369" s="25" t="s">
        <v>2754</v>
      </c>
    </row>
    <row r="2370" spans="4:9" x14ac:dyDescent="0.2">
      <c r="D2370" t="s">
        <v>2450</v>
      </c>
      <c r="E2370" s="32"/>
      <c r="G2370" s="3" t="str">
        <f t="shared" si="36"/>
        <v>D39A</v>
      </c>
      <c r="H2370" s="3" t="s">
        <v>5093</v>
      </c>
      <c r="I2370" s="25" t="s">
        <v>2754</v>
      </c>
    </row>
    <row r="2371" spans="4:9" x14ac:dyDescent="0.2">
      <c r="D2371" t="s">
        <v>2451</v>
      </c>
      <c r="G2371" s="3" t="str">
        <f t="shared" si="36"/>
        <v>D3C2</v>
      </c>
      <c r="H2371" s="3" t="s">
        <v>5094</v>
      </c>
      <c r="I2371" s="25" t="s">
        <v>2754</v>
      </c>
    </row>
    <row r="2372" spans="4:9" x14ac:dyDescent="0.2">
      <c r="D2372" t="s">
        <v>2452</v>
      </c>
      <c r="G2372" s="3" t="str">
        <f t="shared" si="36"/>
        <v>D3CE</v>
      </c>
      <c r="H2372" s="3" t="s">
        <v>5095</v>
      </c>
      <c r="I2372" s="25" t="s">
        <v>2754</v>
      </c>
    </row>
    <row r="2373" spans="4:9" x14ac:dyDescent="0.2">
      <c r="D2373" t="s">
        <v>2453</v>
      </c>
      <c r="G2373" s="3" t="str">
        <f t="shared" si="36"/>
        <v>D476</v>
      </c>
      <c r="H2373" s="3" t="s">
        <v>5096</v>
      </c>
      <c r="I2373" s="25" t="s">
        <v>2754</v>
      </c>
    </row>
    <row r="2374" spans="4:9" x14ac:dyDescent="0.2">
      <c r="D2374" t="s">
        <v>2454</v>
      </c>
      <c r="G2374" s="3" t="str">
        <f t="shared" si="36"/>
        <v>D478</v>
      </c>
      <c r="H2374" s="3" t="s">
        <v>5097</v>
      </c>
      <c r="I2374" s="25" t="s">
        <v>2754</v>
      </c>
    </row>
    <row r="2375" spans="4:9" x14ac:dyDescent="0.2">
      <c r="D2375" t="s">
        <v>2455</v>
      </c>
      <c r="G2375" s="3" t="str">
        <f t="shared" si="36"/>
        <v>D47A</v>
      </c>
      <c r="H2375" s="3" t="s">
        <v>5098</v>
      </c>
      <c r="I2375" s="25" t="s">
        <v>2754</v>
      </c>
    </row>
    <row r="2376" spans="4:9" x14ac:dyDescent="0.2">
      <c r="D2376" t="s">
        <v>2456</v>
      </c>
      <c r="G2376" s="3" t="str">
        <f t="shared" si="36"/>
        <v>D47E</v>
      </c>
      <c r="H2376" s="3" t="s">
        <v>5099</v>
      </c>
      <c r="I2376" s="25" t="s">
        <v>2754</v>
      </c>
    </row>
    <row r="2377" spans="4:9" x14ac:dyDescent="0.2">
      <c r="D2377" t="s">
        <v>2457</v>
      </c>
      <c r="G2377" s="3" t="str">
        <f t="shared" si="36"/>
        <v>D48E</v>
      </c>
      <c r="H2377" s="3" t="s">
        <v>5100</v>
      </c>
      <c r="I2377" s="25" t="s">
        <v>2754</v>
      </c>
    </row>
    <row r="2378" spans="4:9" x14ac:dyDescent="0.2">
      <c r="D2378" t="s">
        <v>2458</v>
      </c>
      <c r="G2378" s="3" t="str">
        <f t="shared" si="36"/>
        <v>D4D6</v>
      </c>
      <c r="H2378" s="3" t="s">
        <v>5101</v>
      </c>
      <c r="I2378" s="25" t="s">
        <v>2754</v>
      </c>
    </row>
    <row r="2379" spans="4:9" x14ac:dyDescent="0.2">
      <c r="D2379" t="s">
        <v>2459</v>
      </c>
      <c r="G2379" s="3" t="str">
        <f t="shared" ref="G2379:G2442" si="37">IF(H2379&lt;&gt;"",DEC2HEX(HEX2DEC(H2379)-932),"")</f>
        <v>D50C</v>
      </c>
      <c r="H2379" s="3" t="s">
        <v>5102</v>
      </c>
      <c r="I2379" s="25" t="s">
        <v>2754</v>
      </c>
    </row>
    <row r="2380" spans="4:9" x14ac:dyDescent="0.2">
      <c r="D2380" t="s">
        <v>2460</v>
      </c>
      <c r="G2380" s="3" t="str">
        <f t="shared" si="37"/>
        <v>D50E</v>
      </c>
      <c r="H2380" s="3" t="s">
        <v>5103</v>
      </c>
      <c r="I2380" s="25" t="s">
        <v>2754</v>
      </c>
    </row>
    <row r="2381" spans="4:9" x14ac:dyDescent="0.2">
      <c r="D2381" t="s">
        <v>2461</v>
      </c>
      <c r="E2381" s="32"/>
      <c r="G2381" s="3" t="str">
        <f t="shared" si="37"/>
        <v>D52E</v>
      </c>
      <c r="H2381" s="3" t="s">
        <v>5104</v>
      </c>
      <c r="I2381" s="25" t="s">
        <v>2754</v>
      </c>
    </row>
    <row r="2382" spans="4:9" x14ac:dyDescent="0.2">
      <c r="D2382" t="s">
        <v>2462</v>
      </c>
      <c r="E2382" s="32"/>
      <c r="G2382" s="3" t="str">
        <f t="shared" si="37"/>
        <v>D536</v>
      </c>
      <c r="H2382" s="3" t="s">
        <v>5105</v>
      </c>
      <c r="I2382" s="25" t="s">
        <v>2754</v>
      </c>
    </row>
    <row r="2383" spans="4:9" x14ac:dyDescent="0.2">
      <c r="D2383" t="s">
        <v>2463</v>
      </c>
      <c r="E2383" s="32"/>
      <c r="G2383" s="3" t="str">
        <f t="shared" si="37"/>
        <v>D552</v>
      </c>
      <c r="H2383" s="3" t="s">
        <v>5106</v>
      </c>
      <c r="I2383" s="25" t="s">
        <v>2754</v>
      </c>
    </row>
    <row r="2384" spans="4:9" x14ac:dyDescent="0.2">
      <c r="D2384" t="s">
        <v>2464</v>
      </c>
      <c r="E2384" s="32"/>
      <c r="G2384" s="3" t="str">
        <f t="shared" si="37"/>
        <v>D564</v>
      </c>
      <c r="H2384" s="3" t="s">
        <v>5107</v>
      </c>
      <c r="I2384" s="25" t="s">
        <v>2754</v>
      </c>
    </row>
    <row r="2385" spans="4:9" x14ac:dyDescent="0.2">
      <c r="D2385" t="s">
        <v>2465</v>
      </c>
      <c r="E2385" s="32"/>
      <c r="G2385" s="3" t="str">
        <f t="shared" si="37"/>
        <v>D56E</v>
      </c>
      <c r="H2385" s="3" t="s">
        <v>5108</v>
      </c>
      <c r="I2385" s="25" t="s">
        <v>2754</v>
      </c>
    </row>
    <row r="2386" spans="4:9" x14ac:dyDescent="0.2">
      <c r="D2386" t="s">
        <v>2466</v>
      </c>
      <c r="E2386" s="32"/>
      <c r="G2386" s="3" t="str">
        <f t="shared" si="37"/>
        <v>D57C</v>
      </c>
      <c r="H2386" s="3" t="s">
        <v>5109</v>
      </c>
      <c r="I2386" s="25" t="s">
        <v>2754</v>
      </c>
    </row>
    <row r="2387" spans="4:9" x14ac:dyDescent="0.2">
      <c r="D2387" t="s">
        <v>2467</v>
      </c>
      <c r="E2387" s="32"/>
      <c r="G2387" s="3" t="str">
        <f t="shared" si="37"/>
        <v>D582</v>
      </c>
      <c r="H2387" s="3" t="s">
        <v>5110</v>
      </c>
      <c r="I2387" s="25" t="s">
        <v>2754</v>
      </c>
    </row>
    <row r="2388" spans="4:9" x14ac:dyDescent="0.2">
      <c r="D2388" t="s">
        <v>2468</v>
      </c>
      <c r="E2388" s="32"/>
      <c r="G2388" s="3" t="str">
        <f t="shared" si="37"/>
        <v>D5C8</v>
      </c>
      <c r="H2388" s="3" t="s">
        <v>5111</v>
      </c>
      <c r="I2388" s="25" t="s">
        <v>2754</v>
      </c>
    </row>
    <row r="2389" spans="4:9" x14ac:dyDescent="0.2">
      <c r="D2389" t="s">
        <v>2469</v>
      </c>
      <c r="E2389" s="32"/>
      <c r="G2389" s="3" t="str">
        <f t="shared" si="37"/>
        <v>D610</v>
      </c>
      <c r="H2389" s="3" t="s">
        <v>5112</v>
      </c>
      <c r="I2389" s="25" t="s">
        <v>2754</v>
      </c>
    </row>
    <row r="2390" spans="4:9" x14ac:dyDescent="0.2">
      <c r="D2390" t="s">
        <v>2470</v>
      </c>
      <c r="E2390" s="32"/>
      <c r="G2390" s="3" t="str">
        <f t="shared" si="37"/>
        <v>D632</v>
      </c>
      <c r="H2390" s="3" t="s">
        <v>5113</v>
      </c>
      <c r="I2390" s="25" t="s">
        <v>2754</v>
      </c>
    </row>
    <row r="2391" spans="4:9" x14ac:dyDescent="0.2">
      <c r="D2391" t="s">
        <v>2471</v>
      </c>
      <c r="E2391" s="32"/>
      <c r="G2391" s="3" t="str">
        <f t="shared" si="37"/>
        <v>D636</v>
      </c>
      <c r="H2391" s="3" t="s">
        <v>5114</v>
      </c>
      <c r="I2391" s="25" t="s">
        <v>2754</v>
      </c>
    </row>
    <row r="2392" spans="4:9" x14ac:dyDescent="0.2">
      <c r="D2392" t="s">
        <v>2472</v>
      </c>
      <c r="E2392" s="32"/>
      <c r="G2392" s="3" t="str">
        <f t="shared" si="37"/>
        <v>D650</v>
      </c>
      <c r="H2392" s="3" t="s">
        <v>5115</v>
      </c>
      <c r="I2392" s="25" t="s">
        <v>2754</v>
      </c>
    </row>
    <row r="2393" spans="4:9" x14ac:dyDescent="0.2">
      <c r="D2393" t="s">
        <v>2473</v>
      </c>
      <c r="E2393" s="32"/>
      <c r="G2393" s="3" t="str">
        <f t="shared" si="37"/>
        <v>D65A</v>
      </c>
      <c r="H2393" s="3" t="s">
        <v>5116</v>
      </c>
      <c r="I2393" s="25" t="s">
        <v>2754</v>
      </c>
    </row>
    <row r="2394" spans="4:9" x14ac:dyDescent="0.2">
      <c r="D2394" t="s">
        <v>2474</v>
      </c>
      <c r="E2394" s="32"/>
      <c r="G2394" s="3" t="str">
        <f t="shared" si="37"/>
        <v>D65E</v>
      </c>
      <c r="H2394" s="3" t="s">
        <v>5117</v>
      </c>
      <c r="I2394" s="25" t="s">
        <v>2754</v>
      </c>
    </row>
    <row r="2395" spans="4:9" x14ac:dyDescent="0.2">
      <c r="D2395" t="s">
        <v>2475</v>
      </c>
      <c r="E2395" s="32"/>
      <c r="G2395" s="3" t="str">
        <f t="shared" si="37"/>
        <v>D668</v>
      </c>
      <c r="H2395" s="3" t="s">
        <v>5118</v>
      </c>
      <c r="I2395" s="25" t="s">
        <v>2754</v>
      </c>
    </row>
    <row r="2396" spans="4:9" x14ac:dyDescent="0.2">
      <c r="D2396" t="s">
        <v>2476</v>
      </c>
      <c r="E2396" s="32"/>
      <c r="G2396" s="3" t="str">
        <f t="shared" si="37"/>
        <v>D66A</v>
      </c>
      <c r="H2396" s="3" t="s">
        <v>5119</v>
      </c>
      <c r="I2396" s="25" t="s">
        <v>2754</v>
      </c>
    </row>
    <row r="2397" spans="4:9" x14ac:dyDescent="0.2">
      <c r="D2397" t="s">
        <v>2477</v>
      </c>
      <c r="G2397" s="3" t="str">
        <f t="shared" si="37"/>
        <v>D674</v>
      </c>
      <c r="H2397" s="3" t="s">
        <v>5120</v>
      </c>
      <c r="I2397" s="25" t="s">
        <v>2754</v>
      </c>
    </row>
    <row r="2398" spans="4:9" x14ac:dyDescent="0.2">
      <c r="D2398" t="s">
        <v>2478</v>
      </c>
      <c r="E2398" s="32"/>
      <c r="G2398" s="3" t="str">
        <f t="shared" si="37"/>
        <v>D67C</v>
      </c>
      <c r="H2398" s="3" t="s">
        <v>5121</v>
      </c>
      <c r="I2398" s="25" t="s">
        <v>2754</v>
      </c>
    </row>
    <row r="2399" spans="4:9" x14ac:dyDescent="0.2">
      <c r="D2399" t="s">
        <v>2479</v>
      </c>
      <c r="G2399" s="3" t="str">
        <f t="shared" si="37"/>
        <v>D69E</v>
      </c>
      <c r="H2399" s="3" t="s">
        <v>5122</v>
      </c>
      <c r="I2399" s="25" t="s">
        <v>2754</v>
      </c>
    </row>
    <row r="2400" spans="4:9" x14ac:dyDescent="0.2">
      <c r="D2400" t="s">
        <v>2480</v>
      </c>
      <c r="G2400" s="3" t="str">
        <f t="shared" si="37"/>
        <v>D6B8</v>
      </c>
      <c r="H2400" s="3" t="s">
        <v>5123</v>
      </c>
      <c r="I2400" s="25" t="s">
        <v>2754</v>
      </c>
    </row>
    <row r="2401" spans="4:9" x14ac:dyDescent="0.2">
      <c r="D2401" t="s">
        <v>2481</v>
      </c>
      <c r="G2401" s="3" t="str">
        <f t="shared" si="37"/>
        <v>D6C4</v>
      </c>
      <c r="H2401" s="3" t="s">
        <v>5124</v>
      </c>
      <c r="I2401" s="25" t="s">
        <v>2754</v>
      </c>
    </row>
    <row r="2402" spans="4:9" x14ac:dyDescent="0.2">
      <c r="D2402" t="s">
        <v>2482</v>
      </c>
      <c r="G2402" s="3" t="str">
        <f t="shared" si="37"/>
        <v>D6CA</v>
      </c>
      <c r="H2402" s="3" t="s">
        <v>5125</v>
      </c>
      <c r="I2402" s="25" t="s">
        <v>2754</v>
      </c>
    </row>
    <row r="2403" spans="4:9" x14ac:dyDescent="0.2">
      <c r="D2403" t="s">
        <v>2483</v>
      </c>
      <c r="G2403" s="3" t="str">
        <f t="shared" si="37"/>
        <v>D6CC</v>
      </c>
      <c r="H2403" s="3" t="s">
        <v>5126</v>
      </c>
      <c r="I2403" s="25" t="s">
        <v>2754</v>
      </c>
    </row>
    <row r="2404" spans="4:9" x14ac:dyDescent="0.2">
      <c r="D2404" t="s">
        <v>2484</v>
      </c>
      <c r="G2404" s="3" t="str">
        <f t="shared" si="37"/>
        <v>D6D6</v>
      </c>
      <c r="H2404" s="3" t="s">
        <v>5127</v>
      </c>
      <c r="I2404" s="25" t="s">
        <v>2754</v>
      </c>
    </row>
    <row r="2405" spans="4:9" x14ac:dyDescent="0.2">
      <c r="D2405" t="s">
        <v>2485</v>
      </c>
      <c r="G2405" s="3" t="str">
        <f t="shared" si="37"/>
        <v>D702</v>
      </c>
      <c r="H2405" s="3" t="s">
        <v>5128</v>
      </c>
      <c r="I2405" s="25" t="s">
        <v>2754</v>
      </c>
    </row>
    <row r="2406" spans="4:9" x14ac:dyDescent="0.2">
      <c r="D2406" t="s">
        <v>2486</v>
      </c>
      <c r="G2406" s="3" t="str">
        <f t="shared" si="37"/>
        <v>D70C</v>
      </c>
      <c r="H2406" s="3" t="s">
        <v>5129</v>
      </c>
      <c r="I2406" s="25" t="s">
        <v>2754</v>
      </c>
    </row>
    <row r="2407" spans="4:9" x14ac:dyDescent="0.2">
      <c r="D2407" t="s">
        <v>2487</v>
      </c>
      <c r="E2407" s="32"/>
      <c r="G2407" s="3" t="str">
        <f t="shared" si="37"/>
        <v>D712</v>
      </c>
      <c r="H2407" s="3" t="s">
        <v>5130</v>
      </c>
      <c r="I2407" s="25" t="s">
        <v>2754</v>
      </c>
    </row>
    <row r="2408" spans="4:9" x14ac:dyDescent="0.2">
      <c r="D2408" t="s">
        <v>2488</v>
      </c>
      <c r="G2408" s="3" t="str">
        <f t="shared" si="37"/>
        <v>D734</v>
      </c>
      <c r="H2408" s="3" t="s">
        <v>5131</v>
      </c>
      <c r="I2408" s="25" t="s">
        <v>2754</v>
      </c>
    </row>
    <row r="2409" spans="4:9" x14ac:dyDescent="0.2">
      <c r="D2409" t="s">
        <v>2489</v>
      </c>
      <c r="G2409" s="3" t="str">
        <f t="shared" si="37"/>
        <v>D73C</v>
      </c>
      <c r="H2409" s="3" t="s">
        <v>5132</v>
      </c>
      <c r="I2409" s="25" t="s">
        <v>2754</v>
      </c>
    </row>
    <row r="2410" spans="4:9" x14ac:dyDescent="0.2">
      <c r="D2410" t="s">
        <v>2490</v>
      </c>
      <c r="G2410" s="3" t="str">
        <f t="shared" si="37"/>
        <v>D744</v>
      </c>
      <c r="H2410" s="3" t="s">
        <v>5133</v>
      </c>
      <c r="I2410" s="25" t="s">
        <v>2754</v>
      </c>
    </row>
    <row r="2411" spans="4:9" x14ac:dyDescent="0.2">
      <c r="D2411" t="s">
        <v>2491</v>
      </c>
      <c r="G2411" s="3" t="str">
        <f t="shared" si="37"/>
        <v>D762</v>
      </c>
      <c r="H2411" s="3" t="s">
        <v>5134</v>
      </c>
      <c r="I2411" s="25" t="s">
        <v>2754</v>
      </c>
    </row>
    <row r="2412" spans="4:9" x14ac:dyDescent="0.2">
      <c r="D2412" t="s">
        <v>2492</v>
      </c>
      <c r="G2412" s="3" t="str">
        <f t="shared" si="37"/>
        <v>D764</v>
      </c>
      <c r="H2412" s="3" t="s">
        <v>5135</v>
      </c>
      <c r="I2412" s="25" t="s">
        <v>2754</v>
      </c>
    </row>
    <row r="2413" spans="4:9" x14ac:dyDescent="0.2">
      <c r="D2413" t="s">
        <v>2493</v>
      </c>
      <c r="G2413" s="3" t="str">
        <f t="shared" si="37"/>
        <v>D774</v>
      </c>
      <c r="H2413" s="3" t="s">
        <v>5136</v>
      </c>
      <c r="I2413" s="25" t="s">
        <v>7730</v>
      </c>
    </row>
    <row r="2414" spans="4:9" x14ac:dyDescent="0.2">
      <c r="D2414" t="s">
        <v>2494</v>
      </c>
      <c r="G2414" s="3" t="str">
        <f t="shared" si="37"/>
        <v>D77C</v>
      </c>
      <c r="H2414" s="3" t="s">
        <v>5137</v>
      </c>
      <c r="I2414" s="25" t="s">
        <v>2754</v>
      </c>
    </row>
    <row r="2415" spans="4:9" x14ac:dyDescent="0.2">
      <c r="D2415" t="s">
        <v>2495</v>
      </c>
      <c r="G2415" s="3" t="str">
        <f t="shared" si="37"/>
        <v>D7DC</v>
      </c>
      <c r="H2415" s="3" t="s">
        <v>5138</v>
      </c>
      <c r="I2415" s="25" t="s">
        <v>2754</v>
      </c>
    </row>
    <row r="2416" spans="4:9" x14ac:dyDescent="0.2">
      <c r="D2416" t="s">
        <v>2496</v>
      </c>
      <c r="G2416" s="3" t="str">
        <f t="shared" si="37"/>
        <v/>
      </c>
      <c r="H2416" s="3" t="s">
        <v>2754</v>
      </c>
      <c r="I2416" s="25" t="s">
        <v>2496</v>
      </c>
    </row>
    <row r="2417" spans="4:9" x14ac:dyDescent="0.2">
      <c r="D2417" t="s">
        <v>2497</v>
      </c>
      <c r="G2417" s="3" t="str">
        <f t="shared" si="37"/>
        <v>D7E8</v>
      </c>
      <c r="H2417" s="3" t="s">
        <v>5139</v>
      </c>
      <c r="I2417" s="25" t="s">
        <v>2754</v>
      </c>
    </row>
    <row r="2418" spans="4:9" x14ac:dyDescent="0.2">
      <c r="D2418" t="s">
        <v>2498</v>
      </c>
      <c r="G2418" s="3" t="str">
        <f t="shared" si="37"/>
        <v>D80C</v>
      </c>
      <c r="H2418" s="3" t="s">
        <v>5140</v>
      </c>
      <c r="I2418" s="25" t="s">
        <v>2754</v>
      </c>
    </row>
    <row r="2419" spans="4:9" x14ac:dyDescent="0.2">
      <c r="D2419" t="s">
        <v>2499</v>
      </c>
      <c r="G2419" s="3" t="str">
        <f t="shared" si="37"/>
        <v>D8F8</v>
      </c>
      <c r="H2419" s="3" t="s">
        <v>5141</v>
      </c>
      <c r="I2419" s="25" t="s">
        <v>2754</v>
      </c>
    </row>
    <row r="2420" spans="4:9" x14ac:dyDescent="0.2">
      <c r="D2420" t="s">
        <v>2500</v>
      </c>
      <c r="G2420" s="3" t="str">
        <f t="shared" si="37"/>
        <v>D90A</v>
      </c>
      <c r="H2420" s="3" t="s">
        <v>5142</v>
      </c>
      <c r="I2420" s="25" t="s">
        <v>2754</v>
      </c>
    </row>
    <row r="2421" spans="4:9" x14ac:dyDescent="0.2">
      <c r="D2421" t="s">
        <v>2501</v>
      </c>
      <c r="G2421" s="3" t="str">
        <f t="shared" si="37"/>
        <v>D91E</v>
      </c>
      <c r="H2421" s="3" t="s">
        <v>5143</v>
      </c>
      <c r="I2421" s="25" t="s">
        <v>2754</v>
      </c>
    </row>
    <row r="2422" spans="4:9" x14ac:dyDescent="0.2">
      <c r="D2422" t="s">
        <v>2502</v>
      </c>
      <c r="G2422" s="3" t="str">
        <f t="shared" si="37"/>
        <v>DD32</v>
      </c>
      <c r="H2422" s="3" t="s">
        <v>5144</v>
      </c>
      <c r="I2422" s="25" t="s">
        <v>2754</v>
      </c>
    </row>
    <row r="2423" spans="4:9" x14ac:dyDescent="0.2">
      <c r="D2423" t="s">
        <v>2503</v>
      </c>
      <c r="G2423" s="3" t="str">
        <f t="shared" si="37"/>
        <v>DD3E</v>
      </c>
      <c r="H2423" s="3" t="s">
        <v>5145</v>
      </c>
      <c r="I2423" s="25" t="s">
        <v>2754</v>
      </c>
    </row>
    <row r="2424" spans="4:9" x14ac:dyDescent="0.2">
      <c r="D2424" t="s">
        <v>2504</v>
      </c>
      <c r="G2424" s="3" t="str">
        <f t="shared" si="37"/>
        <v>DD64</v>
      </c>
      <c r="H2424" s="3" t="s">
        <v>5146</v>
      </c>
      <c r="I2424" s="25" t="s">
        <v>2754</v>
      </c>
    </row>
    <row r="2425" spans="4:9" x14ac:dyDescent="0.2">
      <c r="D2425" t="s">
        <v>2505</v>
      </c>
      <c r="G2425" s="3" t="str">
        <f t="shared" si="37"/>
        <v>DD74</v>
      </c>
      <c r="H2425" s="3" t="s">
        <v>5147</v>
      </c>
      <c r="I2425" s="25" t="s">
        <v>2754</v>
      </c>
    </row>
    <row r="2426" spans="4:9" x14ac:dyDescent="0.2">
      <c r="D2426" t="s">
        <v>2506</v>
      </c>
      <c r="G2426" s="3" t="str">
        <f t="shared" si="37"/>
        <v>DD7C</v>
      </c>
      <c r="H2426" s="3" t="s">
        <v>5148</v>
      </c>
      <c r="I2426" s="25" t="s">
        <v>2754</v>
      </c>
    </row>
    <row r="2427" spans="4:9" x14ac:dyDescent="0.2">
      <c r="D2427" t="s">
        <v>2507</v>
      </c>
      <c r="G2427" s="3" t="str">
        <f t="shared" si="37"/>
        <v>DDBC</v>
      </c>
      <c r="H2427" s="3" t="s">
        <v>5149</v>
      </c>
      <c r="I2427" s="25" t="s">
        <v>2754</v>
      </c>
    </row>
    <row r="2428" spans="4:9" x14ac:dyDescent="0.2">
      <c r="D2428" t="s">
        <v>2508</v>
      </c>
      <c r="G2428" s="3" t="str">
        <f t="shared" si="37"/>
        <v>DDF4</v>
      </c>
      <c r="H2428" s="3" t="s">
        <v>5150</v>
      </c>
      <c r="I2428" s="25" t="s">
        <v>2754</v>
      </c>
    </row>
    <row r="2429" spans="4:9" x14ac:dyDescent="0.2">
      <c r="D2429" t="s">
        <v>2509</v>
      </c>
      <c r="G2429" s="3" t="str">
        <f t="shared" si="37"/>
        <v>DE06</v>
      </c>
      <c r="H2429" s="3" t="s">
        <v>5151</v>
      </c>
      <c r="I2429" s="25" t="s">
        <v>2754</v>
      </c>
    </row>
    <row r="2430" spans="4:9" x14ac:dyDescent="0.2">
      <c r="D2430" t="s">
        <v>2510</v>
      </c>
      <c r="G2430" s="3" t="str">
        <f t="shared" si="37"/>
        <v>DE20</v>
      </c>
      <c r="H2430" s="3" t="s">
        <v>5152</v>
      </c>
      <c r="I2430" s="25" t="s">
        <v>2754</v>
      </c>
    </row>
    <row r="2431" spans="4:9" x14ac:dyDescent="0.2">
      <c r="D2431" t="s">
        <v>2511</v>
      </c>
      <c r="G2431" s="3" t="str">
        <f t="shared" si="37"/>
        <v>DE2C</v>
      </c>
      <c r="H2431" s="3" t="s">
        <v>5153</v>
      </c>
      <c r="I2431" s="25" t="s">
        <v>2754</v>
      </c>
    </row>
    <row r="2432" spans="4:9" x14ac:dyDescent="0.2">
      <c r="D2432" t="s">
        <v>2512</v>
      </c>
      <c r="E2432" s="29"/>
      <c r="G2432" s="3" t="str">
        <f t="shared" si="37"/>
        <v>DE34</v>
      </c>
      <c r="H2432" s="3" t="s">
        <v>5154</v>
      </c>
      <c r="I2432" s="25" t="s">
        <v>2754</v>
      </c>
    </row>
    <row r="2433" spans="4:9" x14ac:dyDescent="0.2">
      <c r="D2433" t="s">
        <v>2513</v>
      </c>
      <c r="E2433" s="29"/>
      <c r="G2433" s="3" t="str">
        <f t="shared" si="37"/>
        <v>DE40</v>
      </c>
      <c r="H2433" s="3" t="s">
        <v>5155</v>
      </c>
      <c r="I2433" s="25" t="s">
        <v>2754</v>
      </c>
    </row>
    <row r="2434" spans="4:9" x14ac:dyDescent="0.2">
      <c r="D2434" t="s">
        <v>2514</v>
      </c>
      <c r="G2434" s="3" t="str">
        <f t="shared" si="37"/>
        <v>DE4C</v>
      </c>
      <c r="H2434" s="3" t="s">
        <v>5156</v>
      </c>
      <c r="I2434" s="25" t="s">
        <v>2754</v>
      </c>
    </row>
    <row r="2435" spans="4:9" x14ac:dyDescent="0.2">
      <c r="D2435" t="s">
        <v>2515</v>
      </c>
      <c r="G2435" s="3" t="str">
        <f t="shared" si="37"/>
        <v>DE64</v>
      </c>
      <c r="H2435" s="3" t="s">
        <v>5157</v>
      </c>
      <c r="I2435" s="25" t="s">
        <v>2754</v>
      </c>
    </row>
    <row r="2436" spans="4:9" x14ac:dyDescent="0.2">
      <c r="D2436" t="s">
        <v>2516</v>
      </c>
      <c r="E2436" s="29"/>
      <c r="G2436" s="3" t="str">
        <f t="shared" si="37"/>
        <v>DE70</v>
      </c>
      <c r="H2436" s="3" t="s">
        <v>5158</v>
      </c>
      <c r="I2436" s="25" t="s">
        <v>2754</v>
      </c>
    </row>
    <row r="2437" spans="4:9" x14ac:dyDescent="0.2">
      <c r="D2437" t="s">
        <v>2517</v>
      </c>
      <c r="G2437" s="3" t="str">
        <f t="shared" si="37"/>
        <v>DE78</v>
      </c>
      <c r="H2437" s="3" t="s">
        <v>5159</v>
      </c>
      <c r="I2437" s="25" t="s">
        <v>2754</v>
      </c>
    </row>
    <row r="2438" spans="4:9" x14ac:dyDescent="0.2">
      <c r="D2438" t="s">
        <v>2518</v>
      </c>
      <c r="G2438" s="3" t="str">
        <f t="shared" si="37"/>
        <v>DEDA</v>
      </c>
      <c r="H2438" s="3" t="s">
        <v>5160</v>
      </c>
      <c r="I2438" s="25" t="s">
        <v>2754</v>
      </c>
    </row>
    <row r="2439" spans="4:9" x14ac:dyDescent="0.2">
      <c r="D2439" t="s">
        <v>2519</v>
      </c>
      <c r="G2439" s="3" t="str">
        <f t="shared" si="37"/>
        <v>DEE0</v>
      </c>
      <c r="H2439" s="3" t="s">
        <v>5161</v>
      </c>
      <c r="I2439" s="25" t="s">
        <v>2754</v>
      </c>
    </row>
    <row r="2440" spans="4:9" x14ac:dyDescent="0.2">
      <c r="D2440" t="s">
        <v>2520</v>
      </c>
      <c r="G2440" s="3" t="str">
        <f t="shared" si="37"/>
        <v>DEE6</v>
      </c>
      <c r="H2440" s="3" t="s">
        <v>5162</v>
      </c>
      <c r="I2440" s="25" t="s">
        <v>2754</v>
      </c>
    </row>
    <row r="2441" spans="4:9" x14ac:dyDescent="0.2">
      <c r="D2441" t="s">
        <v>2521</v>
      </c>
      <c r="G2441" s="3" t="str">
        <f t="shared" si="37"/>
        <v>DEF0</v>
      </c>
      <c r="H2441" s="3" t="s">
        <v>5163</v>
      </c>
      <c r="I2441" s="25" t="s">
        <v>2754</v>
      </c>
    </row>
    <row r="2442" spans="4:9" x14ac:dyDescent="0.2">
      <c r="D2442" t="s">
        <v>2522</v>
      </c>
      <c r="G2442" s="3" t="str">
        <f t="shared" si="37"/>
        <v>DF0A</v>
      </c>
      <c r="H2442" s="3" t="s">
        <v>5164</v>
      </c>
      <c r="I2442" s="25" t="s">
        <v>2754</v>
      </c>
    </row>
    <row r="2443" spans="4:9" x14ac:dyDescent="0.2">
      <c r="D2443" t="s">
        <v>2523</v>
      </c>
      <c r="G2443" s="3" t="str">
        <f t="shared" ref="G2443:G2506" si="38">IF(H2443&lt;&gt;"",DEC2HEX(HEX2DEC(H2443)-932),"")</f>
        <v>DF0E</v>
      </c>
      <c r="H2443" s="3" t="s">
        <v>5165</v>
      </c>
      <c r="I2443" s="25" t="s">
        <v>2754</v>
      </c>
    </row>
    <row r="2444" spans="4:9" x14ac:dyDescent="0.2">
      <c r="D2444" t="s">
        <v>2524</v>
      </c>
      <c r="G2444" s="3" t="str">
        <f t="shared" si="38"/>
        <v>DF16</v>
      </c>
      <c r="H2444" s="3" t="s">
        <v>5166</v>
      </c>
      <c r="I2444" s="25" t="s">
        <v>2754</v>
      </c>
    </row>
    <row r="2445" spans="4:9" x14ac:dyDescent="0.2">
      <c r="D2445" t="s">
        <v>2525</v>
      </c>
      <c r="G2445" s="3" t="str">
        <f t="shared" si="38"/>
        <v>DF18</v>
      </c>
      <c r="H2445" s="3" t="s">
        <v>5167</v>
      </c>
      <c r="I2445" s="25" t="s">
        <v>2754</v>
      </c>
    </row>
    <row r="2446" spans="4:9" x14ac:dyDescent="0.2">
      <c r="D2446" t="s">
        <v>2526</v>
      </c>
      <c r="G2446" s="3" t="str">
        <f t="shared" si="38"/>
        <v>DF1C</v>
      </c>
      <c r="H2446" s="3" t="s">
        <v>5168</v>
      </c>
      <c r="I2446" s="25" t="s">
        <v>2754</v>
      </c>
    </row>
    <row r="2447" spans="4:9" x14ac:dyDescent="0.2">
      <c r="D2447" t="s">
        <v>2527</v>
      </c>
      <c r="G2447" s="3" t="str">
        <f t="shared" si="38"/>
        <v>DF28</v>
      </c>
      <c r="H2447" s="3" t="s">
        <v>5169</v>
      </c>
      <c r="I2447" s="25" t="s">
        <v>2754</v>
      </c>
    </row>
    <row r="2448" spans="4:9" x14ac:dyDescent="0.2">
      <c r="D2448" t="s">
        <v>2528</v>
      </c>
      <c r="G2448" s="3" t="str">
        <f t="shared" si="38"/>
        <v>DF3E</v>
      </c>
      <c r="H2448" s="3" t="s">
        <v>5170</v>
      </c>
      <c r="I2448" s="25" t="s">
        <v>2754</v>
      </c>
    </row>
    <row r="2449" spans="4:9" x14ac:dyDescent="0.2">
      <c r="D2449" t="s">
        <v>2529</v>
      </c>
      <c r="G2449" s="3" t="str">
        <f t="shared" si="38"/>
        <v>DF46</v>
      </c>
      <c r="H2449" s="3" t="s">
        <v>5171</v>
      </c>
      <c r="I2449" s="25" t="s">
        <v>2754</v>
      </c>
    </row>
    <row r="2450" spans="4:9" x14ac:dyDescent="0.2">
      <c r="D2450" t="s">
        <v>2530</v>
      </c>
      <c r="G2450" s="3" t="str">
        <f t="shared" si="38"/>
        <v>DF4E</v>
      </c>
      <c r="H2450" s="3" t="s">
        <v>5172</v>
      </c>
      <c r="I2450" s="25" t="s">
        <v>2754</v>
      </c>
    </row>
    <row r="2451" spans="4:9" x14ac:dyDescent="0.2">
      <c r="D2451" t="s">
        <v>2531</v>
      </c>
      <c r="G2451" s="3" t="str">
        <f t="shared" si="38"/>
        <v>DF70</v>
      </c>
      <c r="H2451" s="3" t="s">
        <v>5173</v>
      </c>
      <c r="I2451" s="25" t="s">
        <v>2754</v>
      </c>
    </row>
    <row r="2452" spans="4:9" x14ac:dyDescent="0.2">
      <c r="D2452" t="s">
        <v>2532</v>
      </c>
      <c r="G2452" s="3" t="str">
        <f t="shared" si="38"/>
        <v>DF8A</v>
      </c>
      <c r="H2452" s="3" t="s">
        <v>5174</v>
      </c>
      <c r="I2452" s="25" t="s">
        <v>2754</v>
      </c>
    </row>
    <row r="2453" spans="4:9" x14ac:dyDescent="0.2">
      <c r="D2453" t="s">
        <v>2533</v>
      </c>
      <c r="G2453" s="3" t="str">
        <f t="shared" si="38"/>
        <v>DF96</v>
      </c>
      <c r="H2453" s="3" t="s">
        <v>5175</v>
      </c>
      <c r="I2453" s="25" t="s">
        <v>2754</v>
      </c>
    </row>
    <row r="2454" spans="4:9" x14ac:dyDescent="0.2">
      <c r="D2454" t="s">
        <v>2534</v>
      </c>
      <c r="G2454" s="3" t="str">
        <f t="shared" si="38"/>
        <v>DF9C</v>
      </c>
      <c r="H2454" s="3" t="s">
        <v>5176</v>
      </c>
      <c r="I2454" s="25" t="s">
        <v>2754</v>
      </c>
    </row>
    <row r="2455" spans="4:9" x14ac:dyDescent="0.2">
      <c r="D2455" t="s">
        <v>2535</v>
      </c>
      <c r="G2455" s="3" t="str">
        <f t="shared" si="38"/>
        <v>DF9E</v>
      </c>
      <c r="H2455" s="3" t="s">
        <v>5177</v>
      </c>
      <c r="I2455" s="25" t="s">
        <v>2754</v>
      </c>
    </row>
    <row r="2456" spans="4:9" x14ac:dyDescent="0.2">
      <c r="D2456" t="s">
        <v>2536</v>
      </c>
      <c r="G2456" s="3" t="str">
        <f t="shared" si="38"/>
        <v>DFA6</v>
      </c>
      <c r="H2456" s="3" t="s">
        <v>5178</v>
      </c>
      <c r="I2456" s="25" t="s">
        <v>2754</v>
      </c>
    </row>
    <row r="2457" spans="4:9" x14ac:dyDescent="0.2">
      <c r="D2457" t="s">
        <v>2537</v>
      </c>
      <c r="G2457" s="3" t="str">
        <f t="shared" si="38"/>
        <v>DFB2</v>
      </c>
      <c r="H2457" s="3" t="s">
        <v>5179</v>
      </c>
      <c r="I2457" s="25" t="s">
        <v>2754</v>
      </c>
    </row>
    <row r="2458" spans="4:9" x14ac:dyDescent="0.2">
      <c r="D2458" t="s">
        <v>2538</v>
      </c>
      <c r="G2458" s="3" t="str">
        <f t="shared" si="38"/>
        <v>DFC0</v>
      </c>
      <c r="H2458" s="3" t="s">
        <v>5180</v>
      </c>
      <c r="I2458" s="25" t="s">
        <v>2754</v>
      </c>
    </row>
    <row r="2459" spans="4:9" x14ac:dyDescent="0.2">
      <c r="D2459" t="s">
        <v>2539</v>
      </c>
      <c r="G2459" s="3" t="str">
        <f t="shared" si="38"/>
        <v>DFDE</v>
      </c>
      <c r="H2459" s="3" t="s">
        <v>5181</v>
      </c>
      <c r="I2459" s="25" t="s">
        <v>2754</v>
      </c>
    </row>
    <row r="2460" spans="4:9" x14ac:dyDescent="0.2">
      <c r="D2460" t="s">
        <v>2540</v>
      </c>
      <c r="G2460" s="3" t="str">
        <f t="shared" si="38"/>
        <v>DFE4</v>
      </c>
      <c r="H2460" s="3" t="s">
        <v>5182</v>
      </c>
      <c r="I2460" s="25" t="s">
        <v>2754</v>
      </c>
    </row>
    <row r="2461" spans="4:9" x14ac:dyDescent="0.2">
      <c r="D2461" t="s">
        <v>2541</v>
      </c>
      <c r="G2461" s="3" t="str">
        <f t="shared" si="38"/>
        <v>DFEC</v>
      </c>
      <c r="H2461" s="3" t="s">
        <v>5183</v>
      </c>
      <c r="I2461" s="25" t="s">
        <v>2754</v>
      </c>
    </row>
    <row r="2462" spans="4:9" x14ac:dyDescent="0.2">
      <c r="D2462" t="s">
        <v>2542</v>
      </c>
      <c r="G2462" s="3" t="str">
        <f t="shared" si="38"/>
        <v>E002</v>
      </c>
      <c r="H2462" s="3" t="s">
        <v>5184</v>
      </c>
      <c r="I2462" s="25" t="s">
        <v>2754</v>
      </c>
    </row>
    <row r="2463" spans="4:9" x14ac:dyDescent="0.2">
      <c r="D2463" t="s">
        <v>2543</v>
      </c>
      <c r="G2463" s="3" t="str">
        <f t="shared" si="38"/>
        <v>E014</v>
      </c>
      <c r="H2463" s="3" t="s">
        <v>5185</v>
      </c>
      <c r="I2463" s="25" t="s">
        <v>2754</v>
      </c>
    </row>
    <row r="2464" spans="4:9" x14ac:dyDescent="0.2">
      <c r="D2464" t="s">
        <v>2544</v>
      </c>
      <c r="G2464" s="3" t="str">
        <f t="shared" si="38"/>
        <v>E020</v>
      </c>
      <c r="H2464" s="3" t="s">
        <v>5186</v>
      </c>
      <c r="I2464" s="25" t="s">
        <v>2754</v>
      </c>
    </row>
    <row r="2465" spans="4:9" x14ac:dyDescent="0.2">
      <c r="D2465" t="s">
        <v>2545</v>
      </c>
      <c r="G2465" s="3" t="str">
        <f t="shared" si="38"/>
        <v>E02A</v>
      </c>
      <c r="H2465" s="3" t="s">
        <v>5187</v>
      </c>
      <c r="I2465" s="25" t="s">
        <v>2754</v>
      </c>
    </row>
    <row r="2466" spans="4:9" x14ac:dyDescent="0.2">
      <c r="D2466" t="s">
        <v>2546</v>
      </c>
      <c r="G2466" s="3" t="str">
        <f t="shared" si="38"/>
        <v>E038</v>
      </c>
      <c r="H2466" s="3" t="s">
        <v>5188</v>
      </c>
      <c r="I2466" s="25" t="s">
        <v>2754</v>
      </c>
    </row>
    <row r="2467" spans="4:9" x14ac:dyDescent="0.2">
      <c r="D2467" t="s">
        <v>2547</v>
      </c>
      <c r="G2467" s="3" t="str">
        <f t="shared" si="38"/>
        <v>E056</v>
      </c>
      <c r="H2467" s="3" t="s">
        <v>5189</v>
      </c>
      <c r="I2467" s="25" t="s">
        <v>2754</v>
      </c>
    </row>
    <row r="2468" spans="4:9" x14ac:dyDescent="0.2">
      <c r="D2468" t="s">
        <v>2548</v>
      </c>
      <c r="G2468" s="3" t="str">
        <f t="shared" si="38"/>
        <v>E057</v>
      </c>
      <c r="H2468" s="3" t="s">
        <v>5190</v>
      </c>
      <c r="I2468" s="25" t="s">
        <v>2754</v>
      </c>
    </row>
    <row r="2469" spans="4:9" x14ac:dyDescent="0.2">
      <c r="D2469" t="s">
        <v>2549</v>
      </c>
      <c r="G2469" s="3" t="str">
        <f t="shared" si="38"/>
        <v>E058</v>
      </c>
      <c r="H2469" s="3" t="s">
        <v>5191</v>
      </c>
      <c r="I2469" s="25" t="s">
        <v>2754</v>
      </c>
    </row>
    <row r="2470" spans="4:9" x14ac:dyDescent="0.2">
      <c r="D2470" t="s">
        <v>2550</v>
      </c>
      <c r="G2470" s="3" t="str">
        <f t="shared" si="38"/>
        <v>E059</v>
      </c>
      <c r="H2470" s="3" t="s">
        <v>5192</v>
      </c>
      <c r="I2470" s="25" t="s">
        <v>2754</v>
      </c>
    </row>
    <row r="2471" spans="4:9" x14ac:dyDescent="0.2">
      <c r="D2471" t="s">
        <v>2551</v>
      </c>
      <c r="G2471" s="3" t="str">
        <f t="shared" si="38"/>
        <v>E05A</v>
      </c>
      <c r="H2471" s="3" t="s">
        <v>5193</v>
      </c>
      <c r="I2471" s="25" t="s">
        <v>2754</v>
      </c>
    </row>
    <row r="2472" spans="4:9" x14ac:dyDescent="0.2">
      <c r="D2472" t="s">
        <v>2552</v>
      </c>
      <c r="G2472" s="3" t="str">
        <f t="shared" si="38"/>
        <v>E072</v>
      </c>
      <c r="H2472" s="3" t="s">
        <v>5194</v>
      </c>
      <c r="I2472" s="25" t="s">
        <v>2754</v>
      </c>
    </row>
    <row r="2473" spans="4:9" x14ac:dyDescent="0.2">
      <c r="D2473" t="s">
        <v>2553</v>
      </c>
      <c r="G2473" s="3" t="str">
        <f t="shared" si="38"/>
        <v>E0B4</v>
      </c>
      <c r="H2473" s="3" t="s">
        <v>5195</v>
      </c>
      <c r="I2473" s="25" t="s">
        <v>2754</v>
      </c>
    </row>
    <row r="2474" spans="4:9" x14ac:dyDescent="0.2">
      <c r="D2474" t="s">
        <v>2554</v>
      </c>
      <c r="G2474" s="3" t="str">
        <f t="shared" si="38"/>
        <v>E0DC</v>
      </c>
      <c r="H2474" s="3" t="s">
        <v>5196</v>
      </c>
      <c r="I2474" s="25" t="s">
        <v>2754</v>
      </c>
    </row>
    <row r="2475" spans="4:9" x14ac:dyDescent="0.2">
      <c r="D2475" t="s">
        <v>2555</v>
      </c>
      <c r="G2475" s="3" t="str">
        <f t="shared" si="38"/>
        <v>E10C</v>
      </c>
      <c r="H2475" s="3" t="s">
        <v>5197</v>
      </c>
      <c r="I2475" s="25" t="s">
        <v>2754</v>
      </c>
    </row>
    <row r="2476" spans="4:9" x14ac:dyDescent="0.2">
      <c r="D2476" t="s">
        <v>2556</v>
      </c>
      <c r="G2476" s="3" t="str">
        <f t="shared" si="38"/>
        <v>E144</v>
      </c>
      <c r="H2476" s="3" t="s">
        <v>5198</v>
      </c>
      <c r="I2476" s="25" t="s">
        <v>2754</v>
      </c>
    </row>
    <row r="2477" spans="4:9" x14ac:dyDescent="0.2">
      <c r="D2477" t="s">
        <v>2557</v>
      </c>
      <c r="G2477" s="3" t="str">
        <f t="shared" si="38"/>
        <v>E194</v>
      </c>
      <c r="H2477" s="3" t="s">
        <v>5199</v>
      </c>
      <c r="I2477" s="25" t="s">
        <v>2754</v>
      </c>
    </row>
    <row r="2478" spans="4:9" x14ac:dyDescent="0.2">
      <c r="D2478" t="s">
        <v>2558</v>
      </c>
      <c r="G2478" s="3" t="str">
        <f t="shared" si="38"/>
        <v>E1A4</v>
      </c>
      <c r="H2478" s="3" t="s">
        <v>5200</v>
      </c>
      <c r="I2478" s="25" t="s">
        <v>2754</v>
      </c>
    </row>
    <row r="2479" spans="4:9" x14ac:dyDescent="0.2">
      <c r="D2479" t="s">
        <v>2559</v>
      </c>
      <c r="G2479" s="3" t="str">
        <f t="shared" si="38"/>
        <v>E200</v>
      </c>
      <c r="H2479" s="3" t="s">
        <v>5201</v>
      </c>
      <c r="I2479" s="25" t="s">
        <v>2754</v>
      </c>
    </row>
    <row r="2480" spans="4:9" x14ac:dyDescent="0.2">
      <c r="D2480" t="s">
        <v>2560</v>
      </c>
      <c r="G2480" s="3" t="str">
        <f t="shared" si="38"/>
        <v>E230</v>
      </c>
      <c r="H2480" s="3" t="s">
        <v>5202</v>
      </c>
      <c r="I2480" s="25" t="s">
        <v>2754</v>
      </c>
    </row>
    <row r="2481" spans="4:9" x14ac:dyDescent="0.2">
      <c r="D2481" t="s">
        <v>2561</v>
      </c>
      <c r="G2481" s="3" t="str">
        <f t="shared" si="38"/>
        <v>E26A</v>
      </c>
      <c r="H2481" s="3" t="s">
        <v>5203</v>
      </c>
      <c r="I2481" s="25" t="s">
        <v>2754</v>
      </c>
    </row>
    <row r="2482" spans="4:9" x14ac:dyDescent="0.2">
      <c r="D2482" t="s">
        <v>2562</v>
      </c>
      <c r="G2482" s="3" t="str">
        <f t="shared" si="38"/>
        <v>E2A8</v>
      </c>
      <c r="H2482" s="3" t="s">
        <v>5204</v>
      </c>
      <c r="I2482" s="25" t="s">
        <v>2754</v>
      </c>
    </row>
    <row r="2483" spans="4:9" x14ac:dyDescent="0.2">
      <c r="D2483" t="s">
        <v>2563</v>
      </c>
      <c r="G2483" s="3" t="str">
        <f t="shared" si="38"/>
        <v>E2B0</v>
      </c>
      <c r="H2483" s="3" t="s">
        <v>5205</v>
      </c>
      <c r="I2483" s="25" t="s">
        <v>2754</v>
      </c>
    </row>
    <row r="2484" spans="4:9" x14ac:dyDescent="0.2">
      <c r="D2484" t="s">
        <v>2564</v>
      </c>
      <c r="G2484" s="3" t="str">
        <f t="shared" si="38"/>
        <v>E308</v>
      </c>
      <c r="H2484" s="3" t="s">
        <v>5206</v>
      </c>
      <c r="I2484" s="25" t="s">
        <v>2754</v>
      </c>
    </row>
    <row r="2485" spans="4:9" x14ac:dyDescent="0.2">
      <c r="D2485" t="s">
        <v>2565</v>
      </c>
      <c r="G2485" s="3" t="str">
        <f t="shared" si="38"/>
        <v>E30E</v>
      </c>
      <c r="H2485" s="3" t="s">
        <v>5207</v>
      </c>
      <c r="I2485" s="25" t="s">
        <v>2754</v>
      </c>
    </row>
    <row r="2486" spans="4:9" x14ac:dyDescent="0.2">
      <c r="D2486" t="s">
        <v>2566</v>
      </c>
      <c r="G2486" s="3" t="str">
        <f t="shared" si="38"/>
        <v>E32A</v>
      </c>
      <c r="H2486" s="3" t="s">
        <v>5208</v>
      </c>
      <c r="I2486" s="25" t="s">
        <v>2754</v>
      </c>
    </row>
    <row r="2487" spans="4:9" x14ac:dyDescent="0.2">
      <c r="D2487" t="s">
        <v>2567</v>
      </c>
      <c r="G2487" s="3" t="str">
        <f t="shared" si="38"/>
        <v>E340</v>
      </c>
      <c r="H2487" s="3" t="s">
        <v>5209</v>
      </c>
      <c r="I2487" s="25" t="s">
        <v>2754</v>
      </c>
    </row>
    <row r="2488" spans="4:9" x14ac:dyDescent="0.2">
      <c r="D2488" t="s">
        <v>2568</v>
      </c>
      <c r="G2488" s="3" t="str">
        <f t="shared" si="38"/>
        <v>E34E</v>
      </c>
      <c r="H2488" s="3" t="s">
        <v>5210</v>
      </c>
      <c r="I2488" s="25" t="s">
        <v>2754</v>
      </c>
    </row>
    <row r="2489" spans="4:9" x14ac:dyDescent="0.2">
      <c r="D2489" t="s">
        <v>2569</v>
      </c>
      <c r="G2489" s="3" t="str">
        <f t="shared" si="38"/>
        <v>E354</v>
      </c>
      <c r="H2489" s="3" t="s">
        <v>5211</v>
      </c>
      <c r="I2489" s="25" t="s">
        <v>2754</v>
      </c>
    </row>
    <row r="2490" spans="4:9" x14ac:dyDescent="0.2">
      <c r="D2490" t="s">
        <v>2570</v>
      </c>
      <c r="G2490" s="3" t="str">
        <f t="shared" si="38"/>
        <v>E36A</v>
      </c>
      <c r="H2490" s="3" t="s">
        <v>5212</v>
      </c>
      <c r="I2490" s="25" t="s">
        <v>2754</v>
      </c>
    </row>
    <row r="2491" spans="4:9" x14ac:dyDescent="0.2">
      <c r="D2491" t="s">
        <v>2571</v>
      </c>
      <c r="G2491" s="3" t="str">
        <f t="shared" si="38"/>
        <v>E37A</v>
      </c>
      <c r="H2491" s="3" t="s">
        <v>5213</v>
      </c>
      <c r="I2491" s="25" t="s">
        <v>2754</v>
      </c>
    </row>
    <row r="2492" spans="4:9" x14ac:dyDescent="0.2">
      <c r="D2492" t="s">
        <v>2572</v>
      </c>
      <c r="G2492" s="3" t="str">
        <f t="shared" si="38"/>
        <v>E380</v>
      </c>
      <c r="H2492" s="3" t="s">
        <v>5214</v>
      </c>
      <c r="I2492" s="25" t="s">
        <v>2754</v>
      </c>
    </row>
    <row r="2493" spans="4:9" x14ac:dyDescent="0.2">
      <c r="D2493" t="s">
        <v>2573</v>
      </c>
      <c r="G2493" s="3" t="str">
        <f t="shared" si="38"/>
        <v>E390</v>
      </c>
      <c r="H2493" s="3" t="s">
        <v>5215</v>
      </c>
      <c r="I2493" s="25" t="s">
        <v>2754</v>
      </c>
    </row>
    <row r="2494" spans="4:9" x14ac:dyDescent="0.2">
      <c r="D2494" t="s">
        <v>2574</v>
      </c>
      <c r="G2494" s="3" t="str">
        <f t="shared" si="38"/>
        <v>E94A</v>
      </c>
      <c r="H2494" s="3" t="s">
        <v>5216</v>
      </c>
      <c r="I2494" s="25" t="s">
        <v>9224</v>
      </c>
    </row>
    <row r="2495" spans="4:9" x14ac:dyDescent="0.2">
      <c r="D2495" t="s">
        <v>2575</v>
      </c>
      <c r="G2495" s="3" t="str">
        <f t="shared" si="38"/>
        <v>EBA6</v>
      </c>
      <c r="H2495" s="3" t="s">
        <v>5217</v>
      </c>
      <c r="I2495" s="25" t="s">
        <v>8339</v>
      </c>
    </row>
    <row r="2496" spans="4:9" x14ac:dyDescent="0.2">
      <c r="D2496" t="s">
        <v>2576</v>
      </c>
      <c r="G2496" s="3" t="str">
        <f t="shared" si="38"/>
        <v>EBA7</v>
      </c>
      <c r="H2496" s="3" t="s">
        <v>5218</v>
      </c>
      <c r="I2496" s="10" t="s">
        <v>9225</v>
      </c>
    </row>
    <row r="2497" spans="4:11" x14ac:dyDescent="0.2">
      <c r="D2497" t="s">
        <v>2577</v>
      </c>
      <c r="G2497" s="3" t="str">
        <f t="shared" si="38"/>
        <v>EBA8</v>
      </c>
      <c r="H2497" s="3" t="s">
        <v>5219</v>
      </c>
      <c r="I2497" s="10" t="s">
        <v>9226</v>
      </c>
    </row>
    <row r="2498" spans="4:11" x14ac:dyDescent="0.2">
      <c r="D2498" t="s">
        <v>2578</v>
      </c>
      <c r="G2498" s="3" t="str">
        <f t="shared" si="38"/>
        <v>ED5E</v>
      </c>
      <c r="H2498" s="3" t="s">
        <v>5220</v>
      </c>
      <c r="I2498" s="25" t="s">
        <v>9027</v>
      </c>
    </row>
    <row r="2499" spans="4:11" x14ac:dyDescent="0.2">
      <c r="D2499" t="s">
        <v>2579</v>
      </c>
      <c r="G2499" s="3" t="str">
        <f t="shared" si="38"/>
        <v>EDCC</v>
      </c>
      <c r="H2499" s="3" t="s">
        <v>5221</v>
      </c>
      <c r="I2499" s="25" t="s">
        <v>9026</v>
      </c>
    </row>
    <row r="2500" spans="4:11" x14ac:dyDescent="0.2">
      <c r="D2500" t="s">
        <v>2580</v>
      </c>
      <c r="G2500" s="3" t="str">
        <f t="shared" si="38"/>
        <v>EE54</v>
      </c>
      <c r="H2500" s="3" t="s">
        <v>5222</v>
      </c>
      <c r="I2500" s="25" t="s">
        <v>9023</v>
      </c>
      <c r="K2500" s="21" t="s">
        <v>9227</v>
      </c>
    </row>
    <row r="2501" spans="4:11" x14ac:dyDescent="0.2">
      <c r="D2501" t="s">
        <v>2581</v>
      </c>
      <c r="G2501" s="3" t="str">
        <f t="shared" si="38"/>
        <v>EEC2</v>
      </c>
      <c r="H2501" s="3" t="s">
        <v>5223</v>
      </c>
      <c r="I2501" s="25" t="s">
        <v>9025</v>
      </c>
    </row>
    <row r="2502" spans="4:11" x14ac:dyDescent="0.2">
      <c r="D2502" t="s">
        <v>2582</v>
      </c>
      <c r="G2502" s="3" t="str">
        <f t="shared" si="38"/>
        <v>EF82</v>
      </c>
      <c r="H2502" s="3" t="s">
        <v>5224</v>
      </c>
      <c r="I2502" s="25" t="s">
        <v>9024</v>
      </c>
    </row>
    <row r="2503" spans="4:11" x14ac:dyDescent="0.2">
      <c r="D2503" t="s">
        <v>2583</v>
      </c>
      <c r="G2503" s="3" t="str">
        <f t="shared" si="38"/>
        <v>F090</v>
      </c>
      <c r="H2503" s="3" t="s">
        <v>5225</v>
      </c>
      <c r="I2503" s="25" t="s">
        <v>2754</v>
      </c>
    </row>
    <row r="2504" spans="4:11" x14ac:dyDescent="0.2">
      <c r="D2504" t="s">
        <v>2584</v>
      </c>
      <c r="G2504" s="3" t="str">
        <f t="shared" si="38"/>
        <v>F0A0</v>
      </c>
      <c r="H2504" s="3" t="s">
        <v>5226</v>
      </c>
      <c r="I2504" s="25" t="s">
        <v>2754</v>
      </c>
    </row>
    <row r="2505" spans="4:11" x14ac:dyDescent="0.2">
      <c r="D2505" t="s">
        <v>2585</v>
      </c>
      <c r="G2505" s="3" t="str">
        <f t="shared" si="38"/>
        <v>F0B8</v>
      </c>
      <c r="H2505" s="3" t="s">
        <v>5227</v>
      </c>
      <c r="I2505" s="25" t="s">
        <v>2754</v>
      </c>
    </row>
    <row r="2506" spans="4:11" x14ac:dyDescent="0.2">
      <c r="D2506" t="s">
        <v>2586</v>
      </c>
      <c r="G2506" s="3" t="str">
        <f t="shared" si="38"/>
        <v>F0CC</v>
      </c>
      <c r="H2506" s="3" t="s">
        <v>5228</v>
      </c>
      <c r="I2506" s="25" t="s">
        <v>2754</v>
      </c>
    </row>
    <row r="2507" spans="4:11" x14ac:dyDescent="0.2">
      <c r="D2507" t="s">
        <v>2587</v>
      </c>
      <c r="G2507" s="3" t="str">
        <f t="shared" ref="G2507:G2570" si="39">IF(H2507&lt;&gt;"",DEC2HEX(HEX2DEC(H2507)-932),"")</f>
        <v>F0DD</v>
      </c>
      <c r="H2507" s="3" t="s">
        <v>5229</v>
      </c>
      <c r="I2507" s="25" t="s">
        <v>2754</v>
      </c>
    </row>
    <row r="2508" spans="4:11" x14ac:dyDescent="0.2">
      <c r="D2508" t="s">
        <v>2588</v>
      </c>
      <c r="G2508" s="3" t="str">
        <f t="shared" si="39"/>
        <v>F0EE</v>
      </c>
      <c r="H2508" s="3" t="s">
        <v>5230</v>
      </c>
      <c r="I2508" s="25" t="s">
        <v>2754</v>
      </c>
    </row>
    <row r="2509" spans="4:11" x14ac:dyDescent="0.2">
      <c r="D2509" t="s">
        <v>2589</v>
      </c>
      <c r="G2509" s="3" t="str">
        <f t="shared" si="39"/>
        <v>F104</v>
      </c>
      <c r="H2509" s="3" t="s">
        <v>5231</v>
      </c>
      <c r="I2509" s="25" t="s">
        <v>2754</v>
      </c>
    </row>
    <row r="2510" spans="4:11" x14ac:dyDescent="0.2">
      <c r="D2510" t="s">
        <v>2590</v>
      </c>
      <c r="G2510" s="3" t="str">
        <f t="shared" si="39"/>
        <v>F11A</v>
      </c>
      <c r="H2510" s="3" t="s">
        <v>5232</v>
      </c>
      <c r="I2510" s="25" t="s">
        <v>2754</v>
      </c>
    </row>
    <row r="2511" spans="4:11" x14ac:dyDescent="0.2">
      <c r="D2511" t="s">
        <v>2591</v>
      </c>
      <c r="G2511" s="3" t="str">
        <f t="shared" si="39"/>
        <v>F12A</v>
      </c>
      <c r="H2511" s="3" t="s">
        <v>5233</v>
      </c>
      <c r="I2511" s="25" t="s">
        <v>2754</v>
      </c>
    </row>
    <row r="2512" spans="4:11" x14ac:dyDescent="0.2">
      <c r="D2512" t="s">
        <v>2592</v>
      </c>
      <c r="G2512" s="3" t="str">
        <f t="shared" si="39"/>
        <v>F1B2</v>
      </c>
      <c r="H2512" s="3" t="s">
        <v>5234</v>
      </c>
      <c r="I2512" s="25" t="s">
        <v>2754</v>
      </c>
    </row>
    <row r="2513" spans="4:9" x14ac:dyDescent="0.2">
      <c r="D2513" t="s">
        <v>2593</v>
      </c>
      <c r="G2513" s="3" t="str">
        <f t="shared" si="39"/>
        <v>F1E2</v>
      </c>
      <c r="H2513" s="3" t="s">
        <v>5235</v>
      </c>
      <c r="I2513" s="25" t="s">
        <v>7834</v>
      </c>
    </row>
    <row r="2514" spans="4:9" x14ac:dyDescent="0.2">
      <c r="D2514" t="s">
        <v>2594</v>
      </c>
      <c r="G2514" s="3" t="str">
        <f t="shared" si="39"/>
        <v>F1F7</v>
      </c>
      <c r="H2514" s="3" t="s">
        <v>5236</v>
      </c>
      <c r="I2514" s="10" t="s">
        <v>9161</v>
      </c>
    </row>
    <row r="2515" spans="4:9" x14ac:dyDescent="0.2">
      <c r="D2515" t="s">
        <v>2595</v>
      </c>
      <c r="G2515" s="3" t="str">
        <f t="shared" si="39"/>
        <v>F5E2</v>
      </c>
      <c r="H2515" s="3" t="s">
        <v>5237</v>
      </c>
      <c r="I2515" s="10"/>
    </row>
    <row r="2516" spans="4:9" x14ac:dyDescent="0.2">
      <c r="D2516" t="s">
        <v>2596</v>
      </c>
      <c r="G2516" s="3" t="str">
        <f t="shared" si="39"/>
        <v>F5E4</v>
      </c>
      <c r="H2516" s="3" t="s">
        <v>5238</v>
      </c>
      <c r="I2516" s="25" t="s">
        <v>2754</v>
      </c>
    </row>
    <row r="2517" spans="4:9" x14ac:dyDescent="0.2">
      <c r="D2517" t="s">
        <v>2597</v>
      </c>
      <c r="G2517" s="3" t="str">
        <f t="shared" si="39"/>
        <v>F5E5</v>
      </c>
      <c r="H2517" s="3" t="s">
        <v>5239</v>
      </c>
      <c r="I2517" s="25" t="s">
        <v>2754</v>
      </c>
    </row>
    <row r="2518" spans="4:9" x14ac:dyDescent="0.2">
      <c r="D2518" t="s">
        <v>2598</v>
      </c>
      <c r="G2518" s="3" t="str">
        <f t="shared" si="39"/>
        <v>F5E6</v>
      </c>
      <c r="H2518" s="3" t="s">
        <v>5240</v>
      </c>
      <c r="I2518" s="25" t="s">
        <v>2754</v>
      </c>
    </row>
    <row r="2519" spans="4:9" x14ac:dyDescent="0.2">
      <c r="D2519" t="s">
        <v>2599</v>
      </c>
      <c r="G2519" s="3" t="str">
        <f t="shared" si="39"/>
        <v>F5E7</v>
      </c>
      <c r="H2519" s="3" t="s">
        <v>5241</v>
      </c>
      <c r="I2519" s="25" t="s">
        <v>2754</v>
      </c>
    </row>
    <row r="2520" spans="4:9" x14ac:dyDescent="0.2">
      <c r="D2520" t="s">
        <v>2600</v>
      </c>
      <c r="G2520" s="3" t="str">
        <f t="shared" si="39"/>
        <v>F5E8</v>
      </c>
      <c r="H2520" s="3" t="s">
        <v>5242</v>
      </c>
      <c r="I2520" s="25" t="s">
        <v>7845</v>
      </c>
    </row>
    <row r="2521" spans="4:9" x14ac:dyDescent="0.2">
      <c r="D2521" t="s">
        <v>2601</v>
      </c>
      <c r="G2521" s="3" t="str">
        <f t="shared" si="39"/>
        <v>F5EA</v>
      </c>
      <c r="H2521" s="3" t="s">
        <v>5243</v>
      </c>
      <c r="I2521" s="25" t="s">
        <v>2754</v>
      </c>
    </row>
    <row r="2522" spans="4:9" x14ac:dyDescent="0.2">
      <c r="D2522" t="s">
        <v>2602</v>
      </c>
      <c r="G2522" s="3" t="str">
        <f t="shared" si="39"/>
        <v>F5EE</v>
      </c>
      <c r="H2522" s="3" t="s">
        <v>5244</v>
      </c>
      <c r="I2522" s="25" t="s">
        <v>2754</v>
      </c>
    </row>
    <row r="2523" spans="4:9" x14ac:dyDescent="0.2">
      <c r="D2523" t="s">
        <v>2603</v>
      </c>
      <c r="G2523" s="3" t="str">
        <f t="shared" si="39"/>
        <v>F5F0</v>
      </c>
      <c r="H2523" s="3" t="s">
        <v>5245</v>
      </c>
      <c r="I2523" s="25" t="s">
        <v>2754</v>
      </c>
    </row>
    <row r="2524" spans="4:9" x14ac:dyDescent="0.2">
      <c r="D2524" t="s">
        <v>2604</v>
      </c>
      <c r="G2524" s="3" t="str">
        <f t="shared" si="39"/>
        <v>F5F4</v>
      </c>
      <c r="H2524" s="3" t="s">
        <v>5246</v>
      </c>
      <c r="I2524" s="25" t="s">
        <v>2754</v>
      </c>
    </row>
    <row r="2525" spans="4:9" x14ac:dyDescent="0.2">
      <c r="D2525" t="s">
        <v>2605</v>
      </c>
      <c r="G2525" s="3" t="str">
        <f t="shared" si="39"/>
        <v>F5F5</v>
      </c>
      <c r="H2525" s="3" t="s">
        <v>5247</v>
      </c>
      <c r="I2525" s="25" t="s">
        <v>2754</v>
      </c>
    </row>
    <row r="2526" spans="4:9" x14ac:dyDescent="0.2">
      <c r="D2526" t="s">
        <v>2606</v>
      </c>
      <c r="G2526" s="3" t="str">
        <f t="shared" si="39"/>
        <v>F5F6</v>
      </c>
      <c r="H2526" s="3" t="s">
        <v>5248</v>
      </c>
      <c r="I2526" s="25" t="s">
        <v>2754</v>
      </c>
    </row>
    <row r="2527" spans="4:9" x14ac:dyDescent="0.2">
      <c r="D2527" t="s">
        <v>2607</v>
      </c>
      <c r="G2527" s="3" t="str">
        <f t="shared" si="39"/>
        <v>F5F7</v>
      </c>
      <c r="H2527" s="3" t="s">
        <v>5249</v>
      </c>
      <c r="I2527" s="25" t="s">
        <v>2754</v>
      </c>
    </row>
    <row r="2528" spans="4:9" x14ac:dyDescent="0.2">
      <c r="D2528" t="s">
        <v>2608</v>
      </c>
      <c r="G2528" s="3" t="str">
        <f t="shared" si="39"/>
        <v>F5F8</v>
      </c>
      <c r="H2528" s="3" t="s">
        <v>5250</v>
      </c>
      <c r="I2528" s="25" t="s">
        <v>2754</v>
      </c>
    </row>
    <row r="2529" spans="4:9" x14ac:dyDescent="0.2">
      <c r="D2529" t="s">
        <v>2609</v>
      </c>
      <c r="G2529" s="3" t="str">
        <f t="shared" si="39"/>
        <v>F608</v>
      </c>
      <c r="H2529" s="3" t="s">
        <v>5251</v>
      </c>
      <c r="I2529" s="25" t="s">
        <v>2754</v>
      </c>
    </row>
    <row r="2530" spans="4:9" x14ac:dyDescent="0.2">
      <c r="D2530" t="s">
        <v>2610</v>
      </c>
      <c r="G2530" s="3" t="str">
        <f t="shared" si="39"/>
        <v>F618</v>
      </c>
      <c r="H2530" s="3" t="s">
        <v>5252</v>
      </c>
      <c r="I2530" s="25" t="s">
        <v>2754</v>
      </c>
    </row>
    <row r="2531" spans="4:9" x14ac:dyDescent="0.2">
      <c r="D2531" t="s">
        <v>2611</v>
      </c>
      <c r="G2531" s="3" t="str">
        <f t="shared" si="39"/>
        <v>F628</v>
      </c>
      <c r="H2531" s="3" t="s">
        <v>5253</v>
      </c>
      <c r="I2531" s="25" t="s">
        <v>2754</v>
      </c>
    </row>
    <row r="2532" spans="4:9" x14ac:dyDescent="0.2">
      <c r="D2532" t="s">
        <v>2612</v>
      </c>
      <c r="G2532" s="3" t="str">
        <f t="shared" si="39"/>
        <v>F629</v>
      </c>
      <c r="H2532" s="3" t="s">
        <v>5254</v>
      </c>
      <c r="I2532" s="25" t="s">
        <v>2754</v>
      </c>
    </row>
    <row r="2533" spans="4:9" x14ac:dyDescent="0.2">
      <c r="D2533" t="s">
        <v>2613</v>
      </c>
      <c r="G2533" s="3" t="str">
        <f t="shared" si="39"/>
        <v>F62A</v>
      </c>
      <c r="H2533" s="3" t="s">
        <v>5255</v>
      </c>
      <c r="I2533" s="25" t="s">
        <v>2754</v>
      </c>
    </row>
    <row r="2534" spans="4:9" x14ac:dyDescent="0.2">
      <c r="D2534" t="s">
        <v>2614</v>
      </c>
      <c r="G2534" s="3" t="str">
        <f t="shared" si="39"/>
        <v>F62B</v>
      </c>
      <c r="H2534" s="3" t="s">
        <v>5256</v>
      </c>
      <c r="I2534" s="25" t="s">
        <v>2754</v>
      </c>
    </row>
    <row r="2535" spans="4:9" x14ac:dyDescent="0.2">
      <c r="D2535" t="s">
        <v>2615</v>
      </c>
      <c r="G2535" s="3" t="str">
        <f t="shared" si="39"/>
        <v>F62E</v>
      </c>
      <c r="H2535" s="3" t="s">
        <v>5257</v>
      </c>
      <c r="I2535" s="25" t="s">
        <v>2754</v>
      </c>
    </row>
    <row r="2536" spans="4:9" x14ac:dyDescent="0.2">
      <c r="D2536" t="s">
        <v>2616</v>
      </c>
      <c r="G2536" s="3" t="str">
        <f t="shared" si="39"/>
        <v>F630</v>
      </c>
      <c r="H2536" s="3" t="s">
        <v>5258</v>
      </c>
      <c r="I2536" s="25" t="s">
        <v>2754</v>
      </c>
    </row>
    <row r="2537" spans="4:9" x14ac:dyDescent="0.2">
      <c r="D2537" t="s">
        <v>2617</v>
      </c>
      <c r="G2537" s="3" t="str">
        <f t="shared" si="39"/>
        <v>F634</v>
      </c>
      <c r="H2537" s="3" t="s">
        <v>5259</v>
      </c>
      <c r="I2537" s="25" t="s">
        <v>7862</v>
      </c>
    </row>
    <row r="2538" spans="4:9" x14ac:dyDescent="0.2">
      <c r="D2538" t="s">
        <v>2618</v>
      </c>
      <c r="G2538" s="3" t="str">
        <f t="shared" si="39"/>
        <v>F635</v>
      </c>
      <c r="H2538" s="3" t="s">
        <v>5260</v>
      </c>
      <c r="I2538" s="25" t="s">
        <v>2754</v>
      </c>
    </row>
    <row r="2539" spans="4:9" x14ac:dyDescent="0.2">
      <c r="D2539" t="s">
        <v>2619</v>
      </c>
      <c r="G2539" s="3" t="str">
        <f t="shared" si="39"/>
        <v>F64C</v>
      </c>
      <c r="H2539" s="3" t="s">
        <v>5261</v>
      </c>
      <c r="I2539" s="25" t="s">
        <v>2754</v>
      </c>
    </row>
    <row r="2540" spans="4:9" x14ac:dyDescent="0.2">
      <c r="D2540" t="s">
        <v>2620</v>
      </c>
      <c r="G2540" s="3" t="str">
        <f t="shared" si="39"/>
        <v>F650</v>
      </c>
      <c r="H2540" s="3" t="s">
        <v>5262</v>
      </c>
      <c r="I2540" s="25" t="s">
        <v>2754</v>
      </c>
    </row>
    <row r="2541" spans="4:9" x14ac:dyDescent="0.2">
      <c r="D2541" t="s">
        <v>2621</v>
      </c>
      <c r="G2541" s="3" t="str">
        <f t="shared" si="39"/>
        <v>F656</v>
      </c>
      <c r="H2541" s="3" t="s">
        <v>5263</v>
      </c>
      <c r="I2541" s="25" t="s">
        <v>2754</v>
      </c>
    </row>
    <row r="2542" spans="4:9" x14ac:dyDescent="0.2">
      <c r="D2542" t="s">
        <v>2622</v>
      </c>
      <c r="G2542" s="3" t="str">
        <f t="shared" si="39"/>
        <v>F669</v>
      </c>
      <c r="H2542" s="3" t="s">
        <v>5264</v>
      </c>
      <c r="I2542" s="25" t="s">
        <v>2754</v>
      </c>
    </row>
    <row r="2543" spans="4:9" x14ac:dyDescent="0.2">
      <c r="D2543" t="s">
        <v>2623</v>
      </c>
      <c r="G2543" s="3" t="str">
        <f t="shared" si="39"/>
        <v>F68A</v>
      </c>
      <c r="H2543" s="3" t="s">
        <v>5265</v>
      </c>
      <c r="I2543" s="25" t="s">
        <v>2754</v>
      </c>
    </row>
    <row r="2544" spans="4:9" x14ac:dyDescent="0.2">
      <c r="D2544" t="s">
        <v>2624</v>
      </c>
      <c r="G2544" s="3" t="str">
        <f t="shared" si="39"/>
        <v>F68D</v>
      </c>
      <c r="H2544" s="3" t="s">
        <v>5266</v>
      </c>
      <c r="I2544" s="25" t="s">
        <v>2754</v>
      </c>
    </row>
    <row r="2545" spans="4:11" x14ac:dyDescent="0.2">
      <c r="D2545" t="s">
        <v>2625</v>
      </c>
      <c r="G2545" s="3" t="str">
        <f t="shared" si="39"/>
        <v>F68E</v>
      </c>
      <c r="H2545" s="3" t="s">
        <v>5267</v>
      </c>
      <c r="I2545" s="25" t="s">
        <v>2754</v>
      </c>
    </row>
    <row r="2546" spans="4:11" x14ac:dyDescent="0.2">
      <c r="D2546" t="s">
        <v>2626</v>
      </c>
      <c r="G2546" s="3" t="str">
        <f t="shared" si="39"/>
        <v>F696</v>
      </c>
      <c r="H2546" s="3" t="s">
        <v>5268</v>
      </c>
      <c r="I2546" s="25" t="s">
        <v>7881</v>
      </c>
    </row>
    <row r="2547" spans="4:11" x14ac:dyDescent="0.2">
      <c r="D2547" t="s">
        <v>2627</v>
      </c>
      <c r="G2547" s="3" t="str">
        <f t="shared" si="39"/>
        <v>F697</v>
      </c>
      <c r="H2547" s="3" t="s">
        <v>5269</v>
      </c>
      <c r="I2547" s="25" t="s">
        <v>2754</v>
      </c>
    </row>
    <row r="2548" spans="4:11" x14ac:dyDescent="0.2">
      <c r="D2548" t="s">
        <v>2628</v>
      </c>
      <c r="G2548" s="3" t="str">
        <f t="shared" si="39"/>
        <v>F698</v>
      </c>
      <c r="H2548" s="3" t="s">
        <v>5270</v>
      </c>
      <c r="I2548" s="25" t="s">
        <v>2754</v>
      </c>
    </row>
    <row r="2549" spans="4:11" x14ac:dyDescent="0.2">
      <c r="D2549" t="s">
        <v>2629</v>
      </c>
      <c r="G2549" s="3" t="str">
        <f t="shared" si="39"/>
        <v>F6AE</v>
      </c>
      <c r="H2549" s="3" t="s">
        <v>5271</v>
      </c>
      <c r="I2549" s="25" t="s">
        <v>2754</v>
      </c>
    </row>
    <row r="2550" spans="4:11" x14ac:dyDescent="0.2">
      <c r="D2550" t="s">
        <v>2630</v>
      </c>
      <c r="G2550" s="3" t="str">
        <f t="shared" si="39"/>
        <v>F6B2</v>
      </c>
      <c r="H2550" s="3" t="s">
        <v>5272</v>
      </c>
      <c r="I2550" s="25" t="s">
        <v>2754</v>
      </c>
    </row>
    <row r="2551" spans="4:11" x14ac:dyDescent="0.2">
      <c r="D2551" t="s">
        <v>2631</v>
      </c>
      <c r="G2551" s="3" t="str">
        <f t="shared" si="39"/>
        <v>F6B8</v>
      </c>
      <c r="H2551" s="3" t="s">
        <v>5273</v>
      </c>
      <c r="I2551" s="25" t="s">
        <v>2754</v>
      </c>
    </row>
    <row r="2552" spans="4:11" x14ac:dyDescent="0.2">
      <c r="D2552" t="s">
        <v>2632</v>
      </c>
      <c r="G2552" s="3" t="str">
        <f t="shared" si="39"/>
        <v>F6CB</v>
      </c>
      <c r="H2552" s="3" t="s">
        <v>5274</v>
      </c>
      <c r="I2552" s="25" t="s">
        <v>2754</v>
      </c>
    </row>
    <row r="2553" spans="4:11" x14ac:dyDescent="0.2">
      <c r="D2553" t="s">
        <v>2633</v>
      </c>
      <c r="G2553" s="3" t="str">
        <f t="shared" si="39"/>
        <v>F6EC</v>
      </c>
      <c r="H2553" s="3" t="s">
        <v>5275</v>
      </c>
      <c r="I2553" s="25" t="s">
        <v>2754</v>
      </c>
    </row>
    <row r="2554" spans="4:11" x14ac:dyDescent="0.2">
      <c r="D2554" t="s">
        <v>2634</v>
      </c>
      <c r="G2554" s="3" t="str">
        <f t="shared" si="39"/>
        <v>F6EF</v>
      </c>
      <c r="H2554" s="3" t="s">
        <v>5276</v>
      </c>
      <c r="I2554" s="25" t="s">
        <v>2754</v>
      </c>
    </row>
    <row r="2555" spans="4:11" x14ac:dyDescent="0.2">
      <c r="D2555" t="s">
        <v>2635</v>
      </c>
      <c r="G2555" s="3" t="str">
        <f t="shared" si="39"/>
        <v>F6F0</v>
      </c>
      <c r="H2555" s="3" t="s">
        <v>5277</v>
      </c>
      <c r="I2555" s="25" t="s">
        <v>2754</v>
      </c>
    </row>
    <row r="2556" spans="4:11" x14ac:dyDescent="0.2">
      <c r="D2556" t="s">
        <v>2636</v>
      </c>
      <c r="G2556" s="3" t="str">
        <f t="shared" si="39"/>
        <v/>
      </c>
      <c r="H2556" s="3" t="s">
        <v>2754</v>
      </c>
      <c r="I2556" s="25" t="s">
        <v>7896</v>
      </c>
      <c r="J2556" s="37" t="s">
        <v>9564</v>
      </c>
    </row>
    <row r="2557" spans="4:11" x14ac:dyDescent="0.2">
      <c r="D2557" t="s">
        <v>2637</v>
      </c>
      <c r="G2557" s="3" t="str">
        <f t="shared" si="39"/>
        <v>F730</v>
      </c>
      <c r="H2557" s="3" t="s">
        <v>5278</v>
      </c>
      <c r="I2557" s="25" t="s">
        <v>9563</v>
      </c>
      <c r="K2557" t="s">
        <v>8027</v>
      </c>
    </row>
    <row r="2558" spans="4:11" x14ac:dyDescent="0.2">
      <c r="D2558" t="s">
        <v>2638</v>
      </c>
      <c r="G2558" s="3" t="str">
        <f t="shared" si="39"/>
        <v/>
      </c>
      <c r="H2558" s="3" t="s">
        <v>2754</v>
      </c>
      <c r="I2558" s="25" t="s">
        <v>7897</v>
      </c>
      <c r="J2558" s="37" t="s">
        <v>9566</v>
      </c>
    </row>
    <row r="2559" spans="4:11" x14ac:dyDescent="0.2">
      <c r="D2559" t="s">
        <v>2639</v>
      </c>
      <c r="G2559" s="3" t="str">
        <f t="shared" si="39"/>
        <v/>
      </c>
      <c r="H2559" s="3" t="s">
        <v>2754</v>
      </c>
      <c r="I2559" s="25" t="s">
        <v>7900</v>
      </c>
      <c r="J2559" s="37" t="s">
        <v>9565</v>
      </c>
    </row>
    <row r="2560" spans="4:11" x14ac:dyDescent="0.2">
      <c r="D2560" t="s">
        <v>2640</v>
      </c>
      <c r="G2560" s="3" t="str">
        <f t="shared" si="39"/>
        <v/>
      </c>
      <c r="H2560" s="3" t="s">
        <v>2754</v>
      </c>
      <c r="I2560" s="25" t="s">
        <v>7901</v>
      </c>
      <c r="J2560" s="37" t="s">
        <v>9567</v>
      </c>
    </row>
    <row r="2561" spans="4:10" x14ac:dyDescent="0.2">
      <c r="D2561" t="s">
        <v>2641</v>
      </c>
      <c r="G2561" s="3" t="str">
        <f t="shared" si="39"/>
        <v/>
      </c>
      <c r="H2561" s="3" t="s">
        <v>2754</v>
      </c>
      <c r="I2561" s="25" t="s">
        <v>7902</v>
      </c>
      <c r="J2561" s="37" t="s">
        <v>9568</v>
      </c>
    </row>
    <row r="2562" spans="4:10" x14ac:dyDescent="0.2">
      <c r="D2562" t="s">
        <v>2642</v>
      </c>
      <c r="G2562" s="3" t="str">
        <f t="shared" si="39"/>
        <v/>
      </c>
      <c r="H2562" s="3" t="s">
        <v>2754</v>
      </c>
      <c r="I2562" s="25" t="s">
        <v>7903</v>
      </c>
      <c r="J2562" s="37" t="s">
        <v>9569</v>
      </c>
    </row>
    <row r="2563" spans="4:10" x14ac:dyDescent="0.2">
      <c r="D2563" t="s">
        <v>2643</v>
      </c>
      <c r="G2563" s="3" t="str">
        <f t="shared" si="39"/>
        <v/>
      </c>
      <c r="H2563" s="3" t="s">
        <v>2754</v>
      </c>
      <c r="I2563" s="25" t="s">
        <v>7904</v>
      </c>
      <c r="J2563" s="37" t="s">
        <v>9570</v>
      </c>
    </row>
    <row r="2564" spans="4:10" x14ac:dyDescent="0.2">
      <c r="D2564" t="s">
        <v>2644</v>
      </c>
      <c r="G2564" s="3" t="str">
        <f t="shared" si="39"/>
        <v/>
      </c>
      <c r="H2564" s="3" t="s">
        <v>2754</v>
      </c>
      <c r="I2564" s="25" t="s">
        <v>7905</v>
      </c>
      <c r="J2564" s="37" t="s">
        <v>9571</v>
      </c>
    </row>
    <row r="2565" spans="4:10" x14ac:dyDescent="0.2">
      <c r="D2565" t="s">
        <v>2645</v>
      </c>
      <c r="G2565" s="3" t="str">
        <f t="shared" si="39"/>
        <v>14700</v>
      </c>
      <c r="H2565" s="3" t="s">
        <v>5279</v>
      </c>
      <c r="I2565" s="25" t="s">
        <v>2754</v>
      </c>
    </row>
    <row r="2566" spans="4:10" x14ac:dyDescent="0.2">
      <c r="D2566" t="s">
        <v>2646</v>
      </c>
      <c r="G2566" s="3" t="str">
        <f t="shared" si="39"/>
        <v>14780</v>
      </c>
      <c r="H2566" s="3" t="s">
        <v>5280</v>
      </c>
      <c r="I2566" s="25" t="s">
        <v>2754</v>
      </c>
    </row>
    <row r="2567" spans="4:10" x14ac:dyDescent="0.2">
      <c r="D2567" t="s">
        <v>2647</v>
      </c>
      <c r="G2567" s="3" t="str">
        <f t="shared" si="39"/>
        <v>14800</v>
      </c>
      <c r="H2567" s="3" t="s">
        <v>5281</v>
      </c>
      <c r="I2567" s="25" t="s">
        <v>2754</v>
      </c>
    </row>
    <row r="2568" spans="4:10" x14ac:dyDescent="0.2">
      <c r="D2568" t="s">
        <v>2648</v>
      </c>
      <c r="G2568" s="3" t="str">
        <f t="shared" si="39"/>
        <v>14900</v>
      </c>
      <c r="H2568" s="3" t="s">
        <v>5282</v>
      </c>
      <c r="I2568" s="25" t="s">
        <v>2754</v>
      </c>
    </row>
    <row r="2569" spans="4:10" x14ac:dyDescent="0.2">
      <c r="D2569" t="s">
        <v>2649</v>
      </c>
      <c r="G2569" s="3" t="str">
        <f t="shared" si="39"/>
        <v>14A42</v>
      </c>
      <c r="H2569" s="3" t="s">
        <v>5283</v>
      </c>
      <c r="I2569" s="25" t="s">
        <v>2754</v>
      </c>
    </row>
    <row r="2570" spans="4:10" x14ac:dyDescent="0.2">
      <c r="D2570" t="s">
        <v>2650</v>
      </c>
      <c r="G2570" s="3" t="str">
        <f t="shared" si="39"/>
        <v>14B00</v>
      </c>
      <c r="H2570" s="3" t="s">
        <v>5284</v>
      </c>
      <c r="I2570" s="25" t="s">
        <v>2754</v>
      </c>
    </row>
    <row r="2571" spans="4:10" x14ac:dyDescent="0.2">
      <c r="D2571" t="s">
        <v>2651</v>
      </c>
      <c r="G2571" s="3" t="str">
        <f t="shared" ref="G2571:G2634" si="40">IF(H2571&lt;&gt;"",DEC2HEX(HEX2DEC(H2571)-932),"")</f>
        <v>14B20</v>
      </c>
      <c r="H2571" s="3" t="s">
        <v>5285</v>
      </c>
      <c r="I2571" s="25" t="s">
        <v>2754</v>
      </c>
    </row>
    <row r="2572" spans="4:10" x14ac:dyDescent="0.2">
      <c r="D2572" t="s">
        <v>2652</v>
      </c>
      <c r="G2572" s="3" t="str">
        <f t="shared" si="40"/>
        <v>14B30</v>
      </c>
      <c r="H2572" s="3" t="s">
        <v>5286</v>
      </c>
      <c r="I2572" s="25" t="s">
        <v>2754</v>
      </c>
    </row>
    <row r="2573" spans="4:10" x14ac:dyDescent="0.2">
      <c r="D2573" t="s">
        <v>2653</v>
      </c>
      <c r="G2573" s="3" t="str">
        <f t="shared" si="40"/>
        <v>14B42</v>
      </c>
      <c r="H2573" s="3" t="s">
        <v>5287</v>
      </c>
      <c r="I2573" s="25" t="s">
        <v>7917</v>
      </c>
    </row>
    <row r="2574" spans="4:10" x14ac:dyDescent="0.2">
      <c r="D2574" t="s">
        <v>2654</v>
      </c>
      <c r="G2574" s="3" t="str">
        <f t="shared" si="40"/>
        <v>15342</v>
      </c>
      <c r="H2574" s="3" t="s">
        <v>5288</v>
      </c>
      <c r="I2574" s="25" t="s">
        <v>2754</v>
      </c>
    </row>
    <row r="2575" spans="4:10" x14ac:dyDescent="0.2">
      <c r="D2575" t="s">
        <v>2655</v>
      </c>
      <c r="G2575" s="3" t="str">
        <f t="shared" si="40"/>
        <v/>
      </c>
      <c r="H2575" s="3" t="s">
        <v>2754</v>
      </c>
      <c r="I2575" s="25" t="s">
        <v>2655</v>
      </c>
    </row>
    <row r="2576" spans="4:10" x14ac:dyDescent="0.2">
      <c r="D2576" t="s">
        <v>2656</v>
      </c>
      <c r="G2576" s="3" t="str">
        <f t="shared" si="40"/>
        <v>15354</v>
      </c>
      <c r="H2576" s="3" t="s">
        <v>5289</v>
      </c>
      <c r="I2576" s="25" t="s">
        <v>2754</v>
      </c>
    </row>
    <row r="2577" spans="4:10" x14ac:dyDescent="0.2">
      <c r="D2577" t="s">
        <v>2657</v>
      </c>
      <c r="G2577" s="3" t="str">
        <f t="shared" si="40"/>
        <v>153BA</v>
      </c>
      <c r="H2577" s="3" t="s">
        <v>5290</v>
      </c>
      <c r="I2577" s="25" t="s">
        <v>2754</v>
      </c>
    </row>
    <row r="2578" spans="4:10" x14ac:dyDescent="0.2">
      <c r="D2578" t="s">
        <v>2658</v>
      </c>
      <c r="G2578" s="3" t="str">
        <f t="shared" si="40"/>
        <v>154BC</v>
      </c>
      <c r="H2578" s="3" t="s">
        <v>5291</v>
      </c>
      <c r="I2578" s="25" t="s">
        <v>2754</v>
      </c>
    </row>
    <row r="2579" spans="4:10" x14ac:dyDescent="0.2">
      <c r="D2579" t="s">
        <v>2659</v>
      </c>
      <c r="G2579" s="3" t="str">
        <f t="shared" si="40"/>
        <v/>
      </c>
      <c r="H2579" s="3" t="s">
        <v>2754</v>
      </c>
      <c r="I2579" s="25" t="s">
        <v>7924</v>
      </c>
      <c r="J2579" s="37" t="s">
        <v>9204</v>
      </c>
    </row>
    <row r="2580" spans="4:10" x14ac:dyDescent="0.2">
      <c r="D2580" t="s">
        <v>2660</v>
      </c>
      <c r="G2580" s="3" t="str">
        <f t="shared" si="40"/>
        <v/>
      </c>
      <c r="H2580" s="3" t="s">
        <v>2754</v>
      </c>
      <c r="I2580" s="25" t="s">
        <v>2660</v>
      </c>
      <c r="J2580" s="37" t="s">
        <v>9557</v>
      </c>
    </row>
    <row r="2581" spans="4:10" x14ac:dyDescent="0.2">
      <c r="D2581" t="s">
        <v>2661</v>
      </c>
      <c r="G2581" s="3" t="str">
        <f t="shared" si="40"/>
        <v/>
      </c>
      <c r="H2581" s="3" t="s">
        <v>2754</v>
      </c>
      <c r="I2581" s="25" t="s">
        <v>2661</v>
      </c>
      <c r="J2581" s="37" t="s">
        <v>9558</v>
      </c>
    </row>
    <row r="2582" spans="4:10" x14ac:dyDescent="0.2">
      <c r="D2582" t="s">
        <v>2662</v>
      </c>
      <c r="G2582" s="3" t="str">
        <f t="shared" si="40"/>
        <v/>
      </c>
      <c r="H2582" s="3" t="s">
        <v>2754</v>
      </c>
      <c r="I2582" s="25" t="s">
        <v>2662</v>
      </c>
      <c r="J2582" s="37" t="s">
        <v>9559</v>
      </c>
    </row>
    <row r="2583" spans="4:10" x14ac:dyDescent="0.2">
      <c r="D2583" t="s">
        <v>2663</v>
      </c>
      <c r="G2583" s="3" t="str">
        <f t="shared" si="40"/>
        <v/>
      </c>
      <c r="H2583" s="3" t="s">
        <v>2754</v>
      </c>
      <c r="I2583" s="25" t="s">
        <v>2663</v>
      </c>
      <c r="J2583" s="37" t="s">
        <v>9560</v>
      </c>
    </row>
    <row r="2584" spans="4:10" x14ac:dyDescent="0.2">
      <c r="D2584" t="s">
        <v>2664</v>
      </c>
      <c r="G2584" s="3" t="str">
        <f t="shared" si="40"/>
        <v>161C4</v>
      </c>
      <c r="H2584" s="3" t="s">
        <v>5292</v>
      </c>
      <c r="I2584" s="25" t="s">
        <v>8298</v>
      </c>
    </row>
    <row r="2585" spans="4:10" x14ac:dyDescent="0.2">
      <c r="D2585" t="s">
        <v>2665</v>
      </c>
      <c r="G2585" s="3" t="str">
        <f t="shared" si="40"/>
        <v>1622E</v>
      </c>
      <c r="H2585" s="3" t="s">
        <v>5293</v>
      </c>
      <c r="I2585" s="25" t="s">
        <v>8299</v>
      </c>
    </row>
    <row r="2586" spans="4:10" x14ac:dyDescent="0.2">
      <c r="D2586" t="s">
        <v>2666</v>
      </c>
      <c r="G2586" s="3" t="str">
        <f t="shared" si="40"/>
        <v>16231</v>
      </c>
      <c r="H2586" s="3" t="s">
        <v>5294</v>
      </c>
      <c r="I2586" s="25" t="s">
        <v>9203</v>
      </c>
    </row>
    <row r="2587" spans="4:10" x14ac:dyDescent="0.2">
      <c r="D2587" t="s">
        <v>2667</v>
      </c>
      <c r="G2587" s="3" t="str">
        <f t="shared" si="40"/>
        <v>162AE</v>
      </c>
      <c r="H2587" s="3" t="s">
        <v>5295</v>
      </c>
      <c r="I2587" s="25" t="s">
        <v>2754</v>
      </c>
    </row>
    <row r="2588" spans="4:10" x14ac:dyDescent="0.2">
      <c r="D2588" t="s">
        <v>2668</v>
      </c>
      <c r="G2588" s="3" t="str">
        <f t="shared" si="40"/>
        <v>163DE</v>
      </c>
      <c r="H2588" s="3" t="s">
        <v>5296</v>
      </c>
      <c r="I2588" s="25" t="s">
        <v>2754</v>
      </c>
    </row>
    <row r="2589" spans="4:10" x14ac:dyDescent="0.2">
      <c r="D2589" t="s">
        <v>2669</v>
      </c>
      <c r="G2589" s="3" t="str">
        <f t="shared" si="40"/>
        <v>163E6</v>
      </c>
      <c r="H2589" s="3" t="s">
        <v>5297</v>
      </c>
      <c r="I2589" s="25" t="s">
        <v>2754</v>
      </c>
    </row>
    <row r="2590" spans="4:10" x14ac:dyDescent="0.2">
      <c r="D2590" t="s">
        <v>2670</v>
      </c>
      <c r="G2590" s="3" t="str">
        <f t="shared" si="40"/>
        <v>163EE</v>
      </c>
      <c r="H2590" s="3" t="s">
        <v>5298</v>
      </c>
      <c r="I2590" s="25" t="s">
        <v>2754</v>
      </c>
    </row>
    <row r="2591" spans="4:10" x14ac:dyDescent="0.2">
      <c r="D2591" t="s">
        <v>2671</v>
      </c>
      <c r="G2591" s="3" t="str">
        <f t="shared" si="40"/>
        <v>1651E</v>
      </c>
      <c r="H2591" s="3" t="s">
        <v>5299</v>
      </c>
      <c r="I2591" s="25" t="s">
        <v>2754</v>
      </c>
    </row>
    <row r="2592" spans="4:10" x14ac:dyDescent="0.2">
      <c r="D2592" t="s">
        <v>2672</v>
      </c>
      <c r="G2592" s="3" t="str">
        <f t="shared" si="40"/>
        <v>16526</v>
      </c>
      <c r="H2592" s="3" t="s">
        <v>5300</v>
      </c>
      <c r="I2592" s="25" t="s">
        <v>2754</v>
      </c>
    </row>
    <row r="2593" spans="4:9" x14ac:dyDescent="0.2">
      <c r="D2593" t="s">
        <v>2673</v>
      </c>
      <c r="G2593" s="3" t="str">
        <f t="shared" si="40"/>
        <v>1652E</v>
      </c>
      <c r="H2593" s="3" t="s">
        <v>5301</v>
      </c>
      <c r="I2593" s="25" t="s">
        <v>2754</v>
      </c>
    </row>
    <row r="2594" spans="4:9" x14ac:dyDescent="0.2">
      <c r="D2594" t="s">
        <v>2674</v>
      </c>
      <c r="G2594" s="3" t="str">
        <f t="shared" si="40"/>
        <v>16588</v>
      </c>
      <c r="H2594" s="3" t="s">
        <v>5302</v>
      </c>
      <c r="I2594" s="25" t="s">
        <v>2754</v>
      </c>
    </row>
    <row r="2595" spans="4:9" x14ac:dyDescent="0.2">
      <c r="D2595" t="s">
        <v>2675</v>
      </c>
      <c r="G2595" s="3" t="str">
        <f t="shared" si="40"/>
        <v>165C0</v>
      </c>
      <c r="H2595" s="3" t="s">
        <v>5303</v>
      </c>
      <c r="I2595" s="25" t="s">
        <v>2754</v>
      </c>
    </row>
    <row r="2596" spans="4:9" x14ac:dyDescent="0.2">
      <c r="D2596" t="s">
        <v>2676</v>
      </c>
      <c r="G2596" s="3" t="str">
        <f t="shared" si="40"/>
        <v>165D6</v>
      </c>
      <c r="H2596" s="3" t="s">
        <v>5304</v>
      </c>
      <c r="I2596" s="25" t="s">
        <v>2754</v>
      </c>
    </row>
    <row r="2597" spans="4:9" x14ac:dyDescent="0.2">
      <c r="D2597" t="s">
        <v>2677</v>
      </c>
      <c r="G2597" s="3" t="str">
        <f t="shared" si="40"/>
        <v>165FA</v>
      </c>
      <c r="H2597" s="3" t="s">
        <v>5305</v>
      </c>
      <c r="I2597" s="25" t="s">
        <v>2754</v>
      </c>
    </row>
    <row r="2598" spans="4:9" x14ac:dyDescent="0.2">
      <c r="D2598" t="s">
        <v>2678</v>
      </c>
      <c r="G2598" s="3" t="str">
        <f t="shared" si="40"/>
        <v>1661A</v>
      </c>
      <c r="H2598" s="3" t="s">
        <v>5306</v>
      </c>
      <c r="I2598" s="25" t="s">
        <v>2754</v>
      </c>
    </row>
    <row r="2599" spans="4:9" x14ac:dyDescent="0.2">
      <c r="D2599" t="s">
        <v>2679</v>
      </c>
      <c r="G2599" s="3" t="str">
        <f t="shared" si="40"/>
        <v>1663A</v>
      </c>
      <c r="H2599" s="3" t="s">
        <v>5307</v>
      </c>
      <c r="I2599" s="25" t="s">
        <v>2754</v>
      </c>
    </row>
    <row r="2600" spans="4:9" x14ac:dyDescent="0.2">
      <c r="D2600" t="s">
        <v>2680</v>
      </c>
      <c r="G2600" s="3" t="str">
        <f t="shared" si="40"/>
        <v>1665A</v>
      </c>
      <c r="H2600" s="3" t="s">
        <v>5308</v>
      </c>
      <c r="I2600" s="25" t="s">
        <v>2754</v>
      </c>
    </row>
    <row r="2601" spans="4:9" x14ac:dyDescent="0.2">
      <c r="D2601" t="s">
        <v>2681</v>
      </c>
      <c r="E2601" s="29"/>
      <c r="G2601" s="3" t="str">
        <f t="shared" si="40"/>
        <v>1667A</v>
      </c>
      <c r="H2601" s="3" t="s">
        <v>5309</v>
      </c>
      <c r="I2601" s="25" t="s">
        <v>2754</v>
      </c>
    </row>
    <row r="2602" spans="4:9" x14ac:dyDescent="0.2">
      <c r="D2602" t="s">
        <v>2682</v>
      </c>
      <c r="E2602" s="29"/>
      <c r="G2602" s="3" t="str">
        <f t="shared" si="40"/>
        <v>1669C</v>
      </c>
      <c r="H2602" s="3" t="s">
        <v>5310</v>
      </c>
      <c r="I2602" s="25" t="s">
        <v>2754</v>
      </c>
    </row>
    <row r="2603" spans="4:9" x14ac:dyDescent="0.2">
      <c r="D2603" t="s">
        <v>2683</v>
      </c>
      <c r="E2603" s="29"/>
      <c r="G2603" s="3" t="str">
        <f t="shared" si="40"/>
        <v>166BE</v>
      </c>
      <c r="H2603" s="3" t="s">
        <v>5311</v>
      </c>
      <c r="I2603" s="25" t="s">
        <v>2754</v>
      </c>
    </row>
    <row r="2604" spans="4:9" x14ac:dyDescent="0.2">
      <c r="D2604" t="s">
        <v>2684</v>
      </c>
      <c r="E2604" s="29"/>
      <c r="G2604" s="3" t="str">
        <f t="shared" si="40"/>
        <v>166D8</v>
      </c>
      <c r="H2604" s="3" t="s">
        <v>5312</v>
      </c>
      <c r="I2604" s="25" t="s">
        <v>2754</v>
      </c>
    </row>
    <row r="2605" spans="4:9" x14ac:dyDescent="0.2">
      <c r="D2605" t="s">
        <v>2685</v>
      </c>
      <c r="E2605" s="29"/>
      <c r="G2605" s="3" t="str">
        <f t="shared" si="40"/>
        <v>166F8</v>
      </c>
      <c r="H2605" s="3" t="s">
        <v>5313</v>
      </c>
      <c r="I2605" s="25" t="s">
        <v>2754</v>
      </c>
    </row>
    <row r="2606" spans="4:9" x14ac:dyDescent="0.2">
      <c r="D2606" t="s">
        <v>2686</v>
      </c>
      <c r="E2606" s="29"/>
      <c r="G2606" s="3" t="str">
        <f t="shared" si="40"/>
        <v>16710</v>
      </c>
      <c r="H2606" s="3" t="s">
        <v>5314</v>
      </c>
      <c r="I2606" s="25" t="s">
        <v>2754</v>
      </c>
    </row>
    <row r="2607" spans="4:9" x14ac:dyDescent="0.2">
      <c r="D2607" t="s">
        <v>2687</v>
      </c>
      <c r="E2607" s="29"/>
      <c r="G2607" s="3" t="str">
        <f t="shared" si="40"/>
        <v>16728</v>
      </c>
      <c r="H2607" s="3" t="s">
        <v>5315</v>
      </c>
      <c r="I2607" s="25" t="s">
        <v>2754</v>
      </c>
    </row>
    <row r="2608" spans="4:9" x14ac:dyDescent="0.2">
      <c r="D2608" t="s">
        <v>2688</v>
      </c>
      <c r="E2608" s="29"/>
      <c r="G2608" s="3" t="str">
        <f t="shared" si="40"/>
        <v>169A8</v>
      </c>
      <c r="H2608" s="3" t="s">
        <v>5316</v>
      </c>
      <c r="I2608" s="25" t="s">
        <v>2754</v>
      </c>
    </row>
    <row r="2609" spans="4:10" x14ac:dyDescent="0.2">
      <c r="D2609" t="s">
        <v>2689</v>
      </c>
      <c r="E2609" s="29"/>
      <c r="G2609" s="3" t="str">
        <f t="shared" si="40"/>
        <v>16D68</v>
      </c>
      <c r="H2609" s="3" t="s">
        <v>5317</v>
      </c>
      <c r="I2609" s="25" t="s">
        <v>2754</v>
      </c>
    </row>
    <row r="2610" spans="4:10" x14ac:dyDescent="0.2">
      <c r="D2610" t="s">
        <v>2690</v>
      </c>
      <c r="E2610" s="29"/>
      <c r="G2610" s="3" t="str">
        <f t="shared" si="40"/>
        <v>16FF8</v>
      </c>
      <c r="H2610" s="3" t="s">
        <v>5318</v>
      </c>
      <c r="I2610" s="25" t="s">
        <v>2754</v>
      </c>
    </row>
    <row r="2611" spans="4:10" x14ac:dyDescent="0.2">
      <c r="D2611" t="s">
        <v>2691</v>
      </c>
      <c r="E2611" s="29"/>
      <c r="G2611" s="3" t="str">
        <f t="shared" si="40"/>
        <v>17138</v>
      </c>
      <c r="H2611" s="3" t="s">
        <v>5319</v>
      </c>
      <c r="I2611" s="25" t="s">
        <v>2754</v>
      </c>
    </row>
    <row r="2612" spans="4:10" x14ac:dyDescent="0.2">
      <c r="D2612" t="s">
        <v>2692</v>
      </c>
      <c r="E2612" s="29"/>
      <c r="G2612" s="3" t="str">
        <f t="shared" si="40"/>
        <v>175AE</v>
      </c>
      <c r="H2612" s="3" t="s">
        <v>5320</v>
      </c>
      <c r="I2612" s="25" t="s">
        <v>2754</v>
      </c>
    </row>
    <row r="2613" spans="4:10" x14ac:dyDescent="0.2">
      <c r="D2613" t="s">
        <v>2693</v>
      </c>
      <c r="E2613" s="29"/>
      <c r="G2613" s="3" t="str">
        <f t="shared" si="40"/>
        <v>17694</v>
      </c>
      <c r="H2613" s="3" t="s">
        <v>5321</v>
      </c>
      <c r="I2613" s="44" t="s">
        <v>9131</v>
      </c>
      <c r="J2613" s="41" t="s">
        <v>9221</v>
      </c>
    </row>
    <row r="2614" spans="4:10" x14ac:dyDescent="0.2">
      <c r="D2614" t="s">
        <v>2694</v>
      </c>
      <c r="G2614" s="3" t="str">
        <f t="shared" si="40"/>
        <v>1BFC4</v>
      </c>
      <c r="H2614" s="3" t="s">
        <v>5322</v>
      </c>
      <c r="I2614" s="43" t="s">
        <v>9144</v>
      </c>
      <c r="J2614" s="41" t="s">
        <v>9181</v>
      </c>
    </row>
    <row r="2615" spans="4:10" x14ac:dyDescent="0.2">
      <c r="D2615" t="s">
        <v>2695</v>
      </c>
      <c r="G2615" s="3" t="str">
        <f t="shared" si="40"/>
        <v>208F4</v>
      </c>
      <c r="H2615" s="3" t="s">
        <v>5323</v>
      </c>
      <c r="I2615" s="43" t="s">
        <v>9145</v>
      </c>
      <c r="J2615" s="41" t="s">
        <v>9182</v>
      </c>
    </row>
    <row r="2616" spans="4:10" x14ac:dyDescent="0.2">
      <c r="D2616" t="s">
        <v>2696</v>
      </c>
      <c r="G2616" s="3" t="str">
        <f t="shared" si="40"/>
        <v>21AD4</v>
      </c>
      <c r="H2616" s="3" t="s">
        <v>5324</v>
      </c>
      <c r="I2616" s="43" t="s">
        <v>9133</v>
      </c>
      <c r="J2616" s="41" t="s">
        <v>9183</v>
      </c>
    </row>
    <row r="2617" spans="4:10" x14ac:dyDescent="0.2">
      <c r="D2617" t="s">
        <v>2697</v>
      </c>
      <c r="G2617" s="3" t="str">
        <f t="shared" si="40"/>
        <v>2231C</v>
      </c>
      <c r="H2617" s="3" t="s">
        <v>5325</v>
      </c>
      <c r="I2617" s="43" t="s">
        <v>9137</v>
      </c>
      <c r="J2617" s="41" t="s">
        <v>9184</v>
      </c>
    </row>
    <row r="2618" spans="4:10" x14ac:dyDescent="0.2">
      <c r="D2618" t="s">
        <v>2698</v>
      </c>
      <c r="G2618" s="3" t="str">
        <f t="shared" si="40"/>
        <v>232EC</v>
      </c>
      <c r="H2618" s="3" t="s">
        <v>5326</v>
      </c>
      <c r="I2618" s="43" t="s">
        <v>9136</v>
      </c>
      <c r="J2618" s="41" t="s">
        <v>9185</v>
      </c>
    </row>
    <row r="2619" spans="4:10" x14ac:dyDescent="0.2">
      <c r="D2619" t="s">
        <v>2699</v>
      </c>
      <c r="G2619" s="3" t="str">
        <f t="shared" si="40"/>
        <v>24B2C</v>
      </c>
      <c r="H2619" s="3" t="s">
        <v>5327</v>
      </c>
      <c r="I2619" s="43" t="s">
        <v>9135</v>
      </c>
      <c r="J2619" s="41" t="s">
        <v>9186</v>
      </c>
    </row>
    <row r="2620" spans="4:10" x14ac:dyDescent="0.2">
      <c r="D2620" t="s">
        <v>2700</v>
      </c>
      <c r="G2620" s="3" t="str">
        <f t="shared" si="40"/>
        <v>24DE4</v>
      </c>
      <c r="H2620" s="3" t="s">
        <v>5328</v>
      </c>
      <c r="I2620" s="43" t="s">
        <v>9134</v>
      </c>
      <c r="J2620" s="41" t="s">
        <v>9187</v>
      </c>
    </row>
    <row r="2621" spans="4:10" x14ac:dyDescent="0.2">
      <c r="D2621" t="s">
        <v>2701</v>
      </c>
      <c r="G2621" s="3" t="str">
        <f t="shared" si="40"/>
        <v>2526C</v>
      </c>
      <c r="H2621" s="3" t="s">
        <v>5329</v>
      </c>
      <c r="I2621" s="43" t="s">
        <v>8523</v>
      </c>
      <c r="J2621" s="41" t="s">
        <v>9188</v>
      </c>
    </row>
    <row r="2622" spans="4:10" x14ac:dyDescent="0.2">
      <c r="D2622" t="s">
        <v>2702</v>
      </c>
      <c r="G2622" s="3" t="str">
        <f t="shared" si="40"/>
        <v>25CE4</v>
      </c>
      <c r="H2622" s="3" t="s">
        <v>5330</v>
      </c>
      <c r="I2622" s="43" t="s">
        <v>8522</v>
      </c>
      <c r="J2622" s="41" t="s">
        <v>9189</v>
      </c>
    </row>
    <row r="2623" spans="4:10" x14ac:dyDescent="0.2">
      <c r="D2623" t="s">
        <v>2703</v>
      </c>
      <c r="G2623" s="3" t="str">
        <f t="shared" si="40"/>
        <v>2717C</v>
      </c>
      <c r="H2623" s="3" t="s">
        <v>5331</v>
      </c>
      <c r="I2623" s="43" t="s">
        <v>9140</v>
      </c>
      <c r="J2623" s="41" t="s">
        <v>9190</v>
      </c>
    </row>
    <row r="2624" spans="4:10" x14ac:dyDescent="0.2">
      <c r="D2624" t="s">
        <v>2704</v>
      </c>
      <c r="G2624" s="3" t="str">
        <f t="shared" si="40"/>
        <v>29024</v>
      </c>
      <c r="H2624" s="3" t="s">
        <v>5332</v>
      </c>
      <c r="I2624" s="43" t="s">
        <v>9139</v>
      </c>
      <c r="J2624" s="41" t="s">
        <v>9191</v>
      </c>
    </row>
    <row r="2625" spans="4:10" x14ac:dyDescent="0.2">
      <c r="D2625" t="s">
        <v>2705</v>
      </c>
      <c r="G2625" s="3" t="str">
        <f t="shared" si="40"/>
        <v>29CA4</v>
      </c>
      <c r="H2625" s="3" t="s">
        <v>5333</v>
      </c>
      <c r="I2625" s="43" t="s">
        <v>9142</v>
      </c>
      <c r="J2625" s="41" t="s">
        <v>9192</v>
      </c>
    </row>
    <row r="2626" spans="4:10" x14ac:dyDescent="0.2">
      <c r="D2626" t="s">
        <v>2706</v>
      </c>
      <c r="G2626" s="3" t="str">
        <f t="shared" si="40"/>
        <v>2B80C</v>
      </c>
      <c r="H2626" s="3" t="s">
        <v>5334</v>
      </c>
      <c r="I2626" s="43" t="s">
        <v>9143</v>
      </c>
      <c r="J2626" s="41" t="s">
        <v>9193</v>
      </c>
    </row>
    <row r="2627" spans="4:10" x14ac:dyDescent="0.2">
      <c r="D2627" t="s">
        <v>2707</v>
      </c>
      <c r="G2627" s="3" t="str">
        <f t="shared" si="40"/>
        <v>2CC94</v>
      </c>
      <c r="H2627" s="3" t="s">
        <v>5335</v>
      </c>
      <c r="I2627" s="43" t="s">
        <v>9141</v>
      </c>
      <c r="J2627" s="47" t="s">
        <v>9194</v>
      </c>
    </row>
    <row r="2628" spans="4:10" x14ac:dyDescent="0.2">
      <c r="D2628" t="s">
        <v>2708</v>
      </c>
      <c r="G2628" s="3" t="str">
        <f t="shared" si="40"/>
        <v>2E11C</v>
      </c>
      <c r="H2628" s="3" t="s">
        <v>5336</v>
      </c>
      <c r="I2628" s="43" t="s">
        <v>9146</v>
      </c>
      <c r="J2628" s="48" t="s">
        <v>9205</v>
      </c>
    </row>
    <row r="2629" spans="4:10" x14ac:dyDescent="0.2">
      <c r="D2629" t="s">
        <v>2709</v>
      </c>
      <c r="G2629" s="3" t="str">
        <f t="shared" si="40"/>
        <v>2E364</v>
      </c>
      <c r="H2629" s="3" t="s">
        <v>5337</v>
      </c>
      <c r="I2629" s="43" t="s">
        <v>9147</v>
      </c>
      <c r="J2629" s="48" t="s">
        <v>9206</v>
      </c>
    </row>
    <row r="2630" spans="4:10" x14ac:dyDescent="0.2">
      <c r="D2630" t="s">
        <v>2710</v>
      </c>
      <c r="G2630" s="3" t="str">
        <f t="shared" si="40"/>
        <v>2E5AC</v>
      </c>
      <c r="H2630" s="3" t="s">
        <v>5338</v>
      </c>
      <c r="I2630" s="43" t="s">
        <v>9132</v>
      </c>
      <c r="J2630" s="48" t="s">
        <v>9207</v>
      </c>
    </row>
    <row r="2631" spans="4:10" x14ac:dyDescent="0.2">
      <c r="D2631" t="s">
        <v>2711</v>
      </c>
      <c r="G2631" s="3" t="str">
        <f t="shared" si="40"/>
        <v>2E764</v>
      </c>
      <c r="H2631" s="3" t="s">
        <v>5339</v>
      </c>
      <c r="I2631" s="43" t="s">
        <v>8101</v>
      </c>
      <c r="J2631" s="47" t="s">
        <v>9195</v>
      </c>
    </row>
    <row r="2632" spans="4:10" x14ac:dyDescent="0.2">
      <c r="D2632" t="s">
        <v>2712</v>
      </c>
      <c r="G2632" s="3" t="str">
        <f t="shared" si="40"/>
        <v>2F5A4</v>
      </c>
      <c r="H2632" s="3" t="s">
        <v>5340</v>
      </c>
      <c r="I2632" s="43" t="s">
        <v>8102</v>
      </c>
      <c r="J2632" s="47" t="s">
        <v>9196</v>
      </c>
    </row>
    <row r="2633" spans="4:10" x14ac:dyDescent="0.2">
      <c r="D2633" t="s">
        <v>2713</v>
      </c>
      <c r="G2633" s="3" t="str">
        <f t="shared" si="40"/>
        <v>30DBC</v>
      </c>
      <c r="H2633" s="3" t="s">
        <v>5341</v>
      </c>
      <c r="I2633" s="43" t="s">
        <v>8103</v>
      </c>
      <c r="J2633" s="47" t="s">
        <v>9197</v>
      </c>
    </row>
    <row r="2634" spans="4:10" x14ac:dyDescent="0.2">
      <c r="D2634" t="s">
        <v>2714</v>
      </c>
      <c r="G2634" s="3" t="str">
        <f t="shared" si="40"/>
        <v>31074</v>
      </c>
      <c r="H2634" s="3" t="s">
        <v>5342</v>
      </c>
      <c r="I2634" s="44" t="s">
        <v>8104</v>
      </c>
      <c r="J2634" s="47" t="s">
        <v>9198</v>
      </c>
    </row>
    <row r="2635" spans="4:10" x14ac:dyDescent="0.2">
      <c r="D2635" t="s">
        <v>2715</v>
      </c>
      <c r="G2635" s="3" t="str">
        <f t="shared" ref="G2635:G2676" si="41">IF(H2635&lt;&gt;"",DEC2HEX(HEX2DEC(H2635)-932),"")</f>
        <v>3180C</v>
      </c>
      <c r="H2635" s="3" t="s">
        <v>5343</v>
      </c>
      <c r="I2635" s="44" t="s">
        <v>9165</v>
      </c>
      <c r="J2635" s="47" t="s">
        <v>9199</v>
      </c>
    </row>
    <row r="2636" spans="4:10" x14ac:dyDescent="0.2">
      <c r="D2636" t="s">
        <v>2716</v>
      </c>
      <c r="G2636" s="3" t="str">
        <f t="shared" si="41"/>
        <v/>
      </c>
      <c r="H2636" s="3" t="s">
        <v>2754</v>
      </c>
      <c r="I2636" s="25" t="s">
        <v>7983</v>
      </c>
      <c r="J2636" s="10"/>
    </row>
    <row r="2637" spans="4:10" x14ac:dyDescent="0.2">
      <c r="D2637" t="s">
        <v>2717</v>
      </c>
      <c r="G2637" s="3" t="str">
        <f t="shared" si="41"/>
        <v>31A8C</v>
      </c>
      <c r="H2637" s="3" t="s">
        <v>5344</v>
      </c>
      <c r="I2637" s="25" t="s">
        <v>8478</v>
      </c>
      <c r="J2637" s="10"/>
    </row>
    <row r="2638" spans="4:10" x14ac:dyDescent="0.2">
      <c r="D2638" t="s">
        <v>2718</v>
      </c>
      <c r="G2638" s="3" t="str">
        <f t="shared" si="41"/>
        <v>31A90</v>
      </c>
      <c r="H2638" s="3" t="s">
        <v>5345</v>
      </c>
      <c r="I2638" s="25" t="s">
        <v>2754</v>
      </c>
      <c r="J2638" s="10"/>
    </row>
    <row r="2639" spans="4:10" x14ac:dyDescent="0.2">
      <c r="D2639" t="s">
        <v>2719</v>
      </c>
      <c r="G2639" s="3" t="str">
        <f t="shared" si="41"/>
        <v>3E73C</v>
      </c>
      <c r="H2639" s="3" t="s">
        <v>5346</v>
      </c>
      <c r="I2639" s="25" t="s">
        <v>7988</v>
      </c>
      <c r="J2639" s="41" t="str">
        <f t="shared" ref="J2639" si="42">SUBSTITUTE(I2639,"_GFX_","bext-gfx/")</f>
        <v>bext-gfx/Avatars</v>
      </c>
    </row>
    <row r="2640" spans="4:10" x14ac:dyDescent="0.2">
      <c r="D2640" t="s">
        <v>2720</v>
      </c>
      <c r="G2640" s="3" t="str">
        <f t="shared" si="41"/>
        <v>4053C</v>
      </c>
      <c r="H2640" s="3" t="s">
        <v>5347</v>
      </c>
      <c r="I2640" s="25" t="s">
        <v>7989</v>
      </c>
      <c r="J2640" s="41" t="s">
        <v>9208</v>
      </c>
    </row>
    <row r="2641" spans="4:11" x14ac:dyDescent="0.2">
      <c r="D2641" t="s">
        <v>2721</v>
      </c>
      <c r="G2641" s="3" t="str">
        <f t="shared" si="41"/>
        <v>4153C</v>
      </c>
      <c r="H2641" s="3" t="s">
        <v>5348</v>
      </c>
      <c r="I2641" s="25" t="s">
        <v>7990</v>
      </c>
      <c r="J2641" s="41" t="s">
        <v>9209</v>
      </c>
    </row>
    <row r="2642" spans="4:11" x14ac:dyDescent="0.2">
      <c r="D2642" t="s">
        <v>2722</v>
      </c>
      <c r="G2642" s="3" t="str">
        <f t="shared" si="41"/>
        <v>4158C</v>
      </c>
      <c r="H2642" s="3" t="s">
        <v>5349</v>
      </c>
      <c r="I2642" s="25" t="s">
        <v>7991</v>
      </c>
      <c r="J2642" s="41" t="s">
        <v>9210</v>
      </c>
    </row>
    <row r="2643" spans="4:11" x14ac:dyDescent="0.2">
      <c r="D2643" t="s">
        <v>2723</v>
      </c>
      <c r="G2643" s="3" t="str">
        <f t="shared" si="41"/>
        <v>4161C</v>
      </c>
      <c r="H2643" s="3" t="s">
        <v>5350</v>
      </c>
      <c r="I2643" s="25" t="s">
        <v>7992</v>
      </c>
      <c r="J2643" s="41" t="s">
        <v>9211</v>
      </c>
    </row>
    <row r="2644" spans="4:11" x14ac:dyDescent="0.2">
      <c r="D2644" t="s">
        <v>2724</v>
      </c>
      <c r="G2644" s="3" t="str">
        <f t="shared" si="41"/>
        <v>418DC</v>
      </c>
      <c r="H2644" s="3" t="s">
        <v>5351</v>
      </c>
      <c r="I2644" s="44" t="s">
        <v>7993</v>
      </c>
      <c r="J2644" s="41" t="s">
        <v>9212</v>
      </c>
    </row>
    <row r="2645" spans="4:11" x14ac:dyDescent="0.2">
      <c r="D2645" t="s">
        <v>2725</v>
      </c>
      <c r="G2645" s="3" t="str">
        <f t="shared" si="41"/>
        <v>41A24</v>
      </c>
      <c r="H2645" s="3" t="s">
        <v>5352</v>
      </c>
      <c r="I2645" s="44" t="s">
        <v>7994</v>
      </c>
      <c r="J2645" s="41" t="s">
        <v>9213</v>
      </c>
    </row>
    <row r="2646" spans="4:11" x14ac:dyDescent="0.2">
      <c r="D2646" t="s">
        <v>2726</v>
      </c>
      <c r="G2646" s="3" t="str">
        <f t="shared" si="41"/>
        <v>430DC</v>
      </c>
      <c r="H2646" s="3" t="s">
        <v>5353</v>
      </c>
      <c r="I2646" s="44" t="s">
        <v>7995</v>
      </c>
      <c r="J2646" s="41" t="s">
        <v>9214</v>
      </c>
    </row>
    <row r="2647" spans="4:11" x14ac:dyDescent="0.2">
      <c r="D2647" t="s">
        <v>2727</v>
      </c>
      <c r="G2647" s="3" t="str">
        <f t="shared" si="41"/>
        <v>444C4</v>
      </c>
      <c r="H2647" s="3" t="s">
        <v>5354</v>
      </c>
      <c r="I2647" s="44" t="s">
        <v>7996</v>
      </c>
      <c r="J2647" s="41" t="s">
        <v>9215</v>
      </c>
    </row>
    <row r="2648" spans="4:11" x14ac:dyDescent="0.2">
      <c r="D2648" t="s">
        <v>2728</v>
      </c>
      <c r="G2648" s="3" t="str">
        <f t="shared" si="41"/>
        <v>4491C</v>
      </c>
      <c r="H2648" s="3" t="s">
        <v>5355</v>
      </c>
      <c r="I2648" s="44" t="s">
        <v>7997</v>
      </c>
      <c r="J2648" s="41" t="s">
        <v>9216</v>
      </c>
    </row>
    <row r="2649" spans="4:11" x14ac:dyDescent="0.2">
      <c r="D2649" t="s">
        <v>2729</v>
      </c>
      <c r="G2649" s="3" t="str">
        <f t="shared" si="41"/>
        <v>44C6C</v>
      </c>
      <c r="H2649" s="3" t="s">
        <v>5356</v>
      </c>
      <c r="I2649" s="25" t="s">
        <v>7998</v>
      </c>
      <c r="J2649" s="10"/>
    </row>
    <row r="2650" spans="4:11" x14ac:dyDescent="0.2">
      <c r="D2650" t="s">
        <v>2730</v>
      </c>
      <c r="G2650" s="3" t="str">
        <f t="shared" si="41"/>
        <v>4536C</v>
      </c>
      <c r="H2650" s="3" t="s">
        <v>5357</v>
      </c>
      <c r="I2650" s="44" t="s">
        <v>7999</v>
      </c>
      <c r="J2650" s="48" t="s">
        <v>9222</v>
      </c>
    </row>
    <row r="2651" spans="4:11" x14ac:dyDescent="0.2">
      <c r="D2651" t="s">
        <v>9561</v>
      </c>
      <c r="H2651" s="3"/>
      <c r="I2651" s="44" t="s">
        <v>8293</v>
      </c>
      <c r="J2651" s="41" t="s">
        <v>9562</v>
      </c>
    </row>
    <row r="2652" spans="4:11" x14ac:dyDescent="0.2">
      <c r="D2652" t="s">
        <v>2731</v>
      </c>
      <c r="G2652" s="3" t="str">
        <f t="shared" si="41"/>
        <v>4910E</v>
      </c>
      <c r="H2652" s="3" t="s">
        <v>5358</v>
      </c>
      <c r="I2652" s="25" t="s">
        <v>8000</v>
      </c>
      <c r="J2652" s="41" t="s">
        <v>9163</v>
      </c>
    </row>
    <row r="2653" spans="4:11" x14ac:dyDescent="0.2">
      <c r="D2653" t="s">
        <v>2732</v>
      </c>
      <c r="G2653" s="3" t="str">
        <f t="shared" si="41"/>
        <v>4CD0E</v>
      </c>
      <c r="H2653" s="3" t="s">
        <v>5359</v>
      </c>
      <c r="I2653" s="25" t="s">
        <v>9033</v>
      </c>
      <c r="K2653" s="21" t="str">
        <f>DEC2HEX(HEX2DEC(H2653)-HEX2DEC(H$2652))</f>
        <v>3C00</v>
      </c>
    </row>
    <row r="2654" spans="4:11" x14ac:dyDescent="0.2">
      <c r="D2654" t="s">
        <v>2733</v>
      </c>
      <c r="G2654" s="3" t="str">
        <f t="shared" si="41"/>
        <v>4CD3E</v>
      </c>
      <c r="H2654" s="3" t="s">
        <v>5360</v>
      </c>
      <c r="I2654" s="25" t="s">
        <v>9034</v>
      </c>
      <c r="K2654" s="21" t="str">
        <f t="shared" ref="K2654:K2665" si="43">DEC2HEX(HEX2DEC(H2654)-HEX2DEC(H$2652))</f>
        <v>3C30</v>
      </c>
    </row>
    <row r="2655" spans="4:11" x14ac:dyDescent="0.2">
      <c r="D2655" t="s">
        <v>2734</v>
      </c>
      <c r="G2655" s="3" t="str">
        <f t="shared" si="41"/>
        <v>4CD6E</v>
      </c>
      <c r="H2655" s="3" t="s">
        <v>5361</v>
      </c>
      <c r="I2655" s="25" t="s">
        <v>9035</v>
      </c>
      <c r="K2655" s="21" t="str">
        <f t="shared" si="43"/>
        <v>3C60</v>
      </c>
    </row>
    <row r="2656" spans="4:11" x14ac:dyDescent="0.2">
      <c r="D2656" t="s">
        <v>2735</v>
      </c>
      <c r="G2656" s="3" t="str">
        <f t="shared" si="41"/>
        <v>4D20E</v>
      </c>
      <c r="H2656" s="3" t="s">
        <v>5362</v>
      </c>
      <c r="I2656" s="25" t="s">
        <v>9036</v>
      </c>
      <c r="K2656" s="21" t="str">
        <f t="shared" si="43"/>
        <v>4100</v>
      </c>
    </row>
    <row r="2657" spans="3:11" x14ac:dyDescent="0.2">
      <c r="D2657" t="s">
        <v>2736</v>
      </c>
      <c r="G2657" s="3" t="str">
        <f t="shared" si="41"/>
        <v>4D23E</v>
      </c>
      <c r="H2657" s="3" t="s">
        <v>5363</v>
      </c>
      <c r="I2657" s="25" t="s">
        <v>9037</v>
      </c>
      <c r="K2657" s="21" t="str">
        <f t="shared" si="43"/>
        <v>4130</v>
      </c>
    </row>
    <row r="2658" spans="3:11" x14ac:dyDescent="0.2">
      <c r="D2658" t="s">
        <v>2737</v>
      </c>
      <c r="G2658" s="3" t="str">
        <f t="shared" si="41"/>
        <v>4E17E</v>
      </c>
      <c r="H2658" s="3" t="s">
        <v>5364</v>
      </c>
      <c r="I2658" s="25" t="s">
        <v>9038</v>
      </c>
      <c r="K2658" s="21" t="str">
        <f t="shared" si="43"/>
        <v>5070</v>
      </c>
    </row>
    <row r="2659" spans="3:11" x14ac:dyDescent="0.2">
      <c r="D2659" t="s">
        <v>2738</v>
      </c>
      <c r="G2659" s="3" t="str">
        <f t="shared" si="41"/>
        <v>4F60E</v>
      </c>
      <c r="H2659" s="3" t="s">
        <v>5365</v>
      </c>
      <c r="I2659" s="25" t="s">
        <v>9039</v>
      </c>
      <c r="K2659" s="21" t="str">
        <f t="shared" si="43"/>
        <v>6500</v>
      </c>
    </row>
    <row r="2660" spans="3:11" x14ac:dyDescent="0.2">
      <c r="D2660" t="s">
        <v>2739</v>
      </c>
      <c r="G2660" s="3" t="str">
        <f t="shared" si="41"/>
        <v>4F616</v>
      </c>
      <c r="H2660" s="3" t="s">
        <v>5366</v>
      </c>
      <c r="I2660" s="25" t="s">
        <v>9040</v>
      </c>
      <c r="K2660" s="21" t="str">
        <f t="shared" si="43"/>
        <v>6508</v>
      </c>
    </row>
    <row r="2661" spans="3:11" x14ac:dyDescent="0.2">
      <c r="D2661" t="s">
        <v>2740</v>
      </c>
      <c r="G2661" s="3" t="str">
        <f t="shared" si="41"/>
        <v>4F8CE</v>
      </c>
      <c r="H2661" s="3" t="s">
        <v>5367</v>
      </c>
      <c r="I2661" s="25" t="s">
        <v>9041</v>
      </c>
      <c r="K2661" s="21" t="str">
        <f t="shared" si="43"/>
        <v>67C0</v>
      </c>
    </row>
    <row r="2662" spans="3:11" x14ac:dyDescent="0.2">
      <c r="D2662" t="s">
        <v>2741</v>
      </c>
      <c r="G2662" s="3" t="str">
        <f t="shared" si="41"/>
        <v>4F8EE</v>
      </c>
      <c r="H2662" s="3" t="s">
        <v>5368</v>
      </c>
      <c r="I2662" s="25" t="s">
        <v>9042</v>
      </c>
      <c r="K2662" s="21" t="str">
        <f t="shared" si="43"/>
        <v>67E0</v>
      </c>
    </row>
    <row r="2663" spans="3:11" x14ac:dyDescent="0.2">
      <c r="D2663" t="s">
        <v>2742</v>
      </c>
      <c r="G2663" s="3" t="str">
        <f t="shared" si="41"/>
        <v>4FB6E</v>
      </c>
      <c r="H2663" s="3" t="s">
        <v>5369</v>
      </c>
      <c r="I2663" s="25" t="s">
        <v>9043</v>
      </c>
      <c r="K2663" s="21" t="str">
        <f t="shared" si="43"/>
        <v>6A60</v>
      </c>
    </row>
    <row r="2664" spans="3:11" x14ac:dyDescent="0.2">
      <c r="D2664" t="s">
        <v>2743</v>
      </c>
      <c r="G2664" s="3" t="str">
        <f t="shared" si="41"/>
        <v>5068E</v>
      </c>
      <c r="H2664" s="3" t="s">
        <v>5370</v>
      </c>
      <c r="I2664" s="25" t="s">
        <v>9044</v>
      </c>
      <c r="K2664" s="21" t="str">
        <f t="shared" si="43"/>
        <v>7580</v>
      </c>
    </row>
    <row r="2665" spans="3:11" x14ac:dyDescent="0.2">
      <c r="D2665" t="s">
        <v>2744</v>
      </c>
      <c r="G2665" s="3" t="str">
        <f t="shared" si="41"/>
        <v>50796</v>
      </c>
      <c r="H2665" s="3" t="s">
        <v>5371</v>
      </c>
      <c r="I2665" s="25" t="s">
        <v>9045</v>
      </c>
      <c r="K2665" s="21" t="str">
        <f t="shared" si="43"/>
        <v>7688</v>
      </c>
    </row>
    <row r="2666" spans="3:11" x14ac:dyDescent="0.2">
      <c r="C2666" t="s">
        <v>9122</v>
      </c>
      <c r="D2666" t="s">
        <v>2745</v>
      </c>
      <c r="G2666" s="3" t="str">
        <f t="shared" si="41"/>
        <v>50E2E</v>
      </c>
      <c r="H2666" s="3" t="s">
        <v>5372</v>
      </c>
      <c r="I2666" s="25" t="s">
        <v>9156</v>
      </c>
      <c r="J2666" s="41" t="s">
        <v>9217</v>
      </c>
    </row>
    <row r="2667" spans="3:11" x14ac:dyDescent="0.2">
      <c r="C2667" t="s">
        <v>9122</v>
      </c>
      <c r="D2667" t="s">
        <v>2746</v>
      </c>
      <c r="G2667" s="3" t="str">
        <f t="shared" si="41"/>
        <v>510CE</v>
      </c>
      <c r="H2667" s="3" t="s">
        <v>5373</v>
      </c>
      <c r="I2667" s="25" t="s">
        <v>9157</v>
      </c>
      <c r="J2667" s="41" t="s">
        <v>9218</v>
      </c>
    </row>
    <row r="2668" spans="3:11" x14ac:dyDescent="0.2">
      <c r="C2668" t="s">
        <v>9122</v>
      </c>
      <c r="D2668" t="s">
        <v>2747</v>
      </c>
      <c r="G2668" s="3" t="str">
        <f t="shared" si="41"/>
        <v>5130E</v>
      </c>
      <c r="H2668" s="3" t="s">
        <v>5374</v>
      </c>
      <c r="I2668" s="25" t="s">
        <v>9158</v>
      </c>
      <c r="J2668" s="41" t="s">
        <v>9219</v>
      </c>
    </row>
    <row r="2669" spans="3:11" x14ac:dyDescent="0.2">
      <c r="C2669" t="s">
        <v>9122</v>
      </c>
      <c r="D2669" t="s">
        <v>2748</v>
      </c>
      <c r="G2669" s="3" t="str">
        <f t="shared" si="41"/>
        <v>514F6</v>
      </c>
      <c r="H2669" s="3" t="s">
        <v>5375</v>
      </c>
      <c r="I2669" s="25" t="s">
        <v>9162</v>
      </c>
      <c r="J2669" s="41" t="s">
        <v>9220</v>
      </c>
    </row>
    <row r="2670" spans="3:11" x14ac:dyDescent="0.2">
      <c r="D2670" t="s">
        <v>2749</v>
      </c>
      <c r="G2670" s="3" t="str">
        <f t="shared" si="41"/>
        <v>516DE</v>
      </c>
      <c r="H2670" s="3" t="s">
        <v>5376</v>
      </c>
      <c r="I2670" s="25" t="s">
        <v>8014</v>
      </c>
      <c r="J2670" s="39" t="s">
        <v>8515</v>
      </c>
    </row>
    <row r="2671" spans="3:11" x14ac:dyDescent="0.2">
      <c r="D2671" t="s">
        <v>8015</v>
      </c>
      <c r="H2671" s="3"/>
      <c r="I2671" s="25" t="s">
        <v>8015</v>
      </c>
      <c r="J2671" s="39" t="s">
        <v>8516</v>
      </c>
    </row>
    <row r="2672" spans="3:11" x14ac:dyDescent="0.2">
      <c r="D2672" t="s">
        <v>8016</v>
      </c>
      <c r="H2672" s="3"/>
      <c r="I2672" s="25" t="s">
        <v>8016</v>
      </c>
      <c r="J2672" s="39" t="s">
        <v>8517</v>
      </c>
    </row>
    <row r="2673" spans="4:10" x14ac:dyDescent="0.2">
      <c r="D2673" t="s">
        <v>8017</v>
      </c>
      <c r="H2673" s="3"/>
      <c r="I2673" s="25" t="s">
        <v>8017</v>
      </c>
      <c r="J2673" s="39" t="s">
        <v>8518</v>
      </c>
    </row>
    <row r="2674" spans="4:10" x14ac:dyDescent="0.2">
      <c r="D2674" t="s">
        <v>8018</v>
      </c>
      <c r="H2674" s="3"/>
      <c r="I2674" s="25" t="s">
        <v>8018</v>
      </c>
      <c r="J2674" s="39" t="s">
        <v>8519</v>
      </c>
    </row>
    <row r="2675" spans="4:10" x14ac:dyDescent="0.2">
      <c r="D2675" t="s">
        <v>2750</v>
      </c>
      <c r="G2675" s="3" t="str">
        <f t="shared" si="41"/>
        <v>55AE4</v>
      </c>
      <c r="H2675" s="3" t="s">
        <v>5377</v>
      </c>
      <c r="I2675" s="25" t="s">
        <v>8235</v>
      </c>
      <c r="J2675" s="39" t="s">
        <v>9092</v>
      </c>
    </row>
    <row r="2676" spans="4:10" x14ac:dyDescent="0.2">
      <c r="D2676" t="s">
        <v>2751</v>
      </c>
      <c r="G2676" s="3" t="str">
        <f t="shared" si="41"/>
        <v>55ECC</v>
      </c>
      <c r="H2676" s="3" t="s">
        <v>5378</v>
      </c>
      <c r="I2676" s="25" t="s">
        <v>8236</v>
      </c>
      <c r="J2676" s="39" t="s">
        <v>9093</v>
      </c>
    </row>
    <row r="2677" spans="4:10" x14ac:dyDescent="0.2">
      <c r="D2677" t="s">
        <v>6764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8271</v>
      </c>
    </row>
    <row r="3" spans="1:18" x14ac:dyDescent="0.2">
      <c r="A3" s="5" t="s">
        <v>8280</v>
      </c>
      <c r="B3" s="5" t="s">
        <v>8279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8272</v>
      </c>
      <c r="N3" s="5" t="s">
        <v>8273</v>
      </c>
      <c r="O3" s="5" t="s">
        <v>8274</v>
      </c>
      <c r="P3" s="5" t="s">
        <v>8275</v>
      </c>
      <c r="Q3" s="5" t="s">
        <v>8276</v>
      </c>
      <c r="R3" s="5" t="s">
        <v>8277</v>
      </c>
    </row>
    <row r="4" spans="1:18" x14ac:dyDescent="0.2">
      <c r="E4" t="s">
        <v>8278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8538</v>
      </c>
      <c r="H2" s="5" t="s">
        <v>8539</v>
      </c>
    </row>
    <row r="3" spans="2:8" x14ac:dyDescent="0.2">
      <c r="B3" t="s">
        <v>8537</v>
      </c>
      <c r="E3">
        <f>HEX2DEC(LEFT(RIGHT(B3,6),5))</f>
        <v>313090</v>
      </c>
      <c r="F3">
        <f>E3-$E$3</f>
        <v>0</v>
      </c>
    </row>
    <row r="4" spans="2:8" x14ac:dyDescent="0.2">
      <c r="B4" t="s">
        <v>8524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8525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8526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8527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8528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8529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8530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8531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8532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8536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8533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8534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8535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8541</v>
      </c>
      <c r="C1" t="s">
        <v>8646</v>
      </c>
      <c r="D1" t="str">
        <f>DEC2HEX(55*2)</f>
        <v>6E</v>
      </c>
      <c r="E1" t="s">
        <v>8607</v>
      </c>
      <c r="I1" t="s">
        <v>8647</v>
      </c>
      <c r="K1" t="s">
        <v>8646</v>
      </c>
      <c r="M1" t="s">
        <v>8722</v>
      </c>
      <c r="Q1" t="s">
        <v>8787</v>
      </c>
      <c r="R1" t="str">
        <f>DEC2HEX(COUNTA(S:S)/2)</f>
        <v>43</v>
      </c>
      <c r="U1" t="s">
        <v>9022</v>
      </c>
    </row>
    <row r="2" spans="1:21" x14ac:dyDescent="0.2">
      <c r="B2" t="s">
        <v>8542</v>
      </c>
      <c r="C2" t="s">
        <v>8543</v>
      </c>
      <c r="D2" t="s">
        <v>8544</v>
      </c>
      <c r="F2" t="s">
        <v>8542</v>
      </c>
      <c r="G2" t="s">
        <v>8608</v>
      </c>
      <c r="H2" t="s">
        <v>8609</v>
      </c>
      <c r="J2" t="s">
        <v>8542</v>
      </c>
      <c r="K2" t="s">
        <v>8563</v>
      </c>
      <c r="L2" t="s">
        <v>8564</v>
      </c>
      <c r="N2" t="s">
        <v>8542</v>
      </c>
      <c r="O2" t="s">
        <v>8723</v>
      </c>
      <c r="P2" t="s">
        <v>8724</v>
      </c>
      <c r="R2" t="s">
        <v>8542</v>
      </c>
      <c r="S2" t="s">
        <v>8563</v>
      </c>
      <c r="T2" t="s">
        <v>8564</v>
      </c>
      <c r="U2">
        <f>27*5</f>
        <v>135</v>
      </c>
    </row>
    <row r="3" spans="1:21" x14ac:dyDescent="0.2">
      <c r="B3" t="s">
        <v>8542</v>
      </c>
      <c r="C3" t="s">
        <v>8545</v>
      </c>
      <c r="D3" t="s">
        <v>8546</v>
      </c>
      <c r="F3" t="s">
        <v>8542</v>
      </c>
      <c r="G3" t="s">
        <v>8610</v>
      </c>
      <c r="H3" t="s">
        <v>8611</v>
      </c>
      <c r="J3" t="s">
        <v>8542</v>
      </c>
      <c r="K3" t="s">
        <v>8648</v>
      </c>
      <c r="L3" t="s">
        <v>8649</v>
      </c>
      <c r="N3" t="s">
        <v>8542</v>
      </c>
      <c r="O3" t="s">
        <v>8725</v>
      </c>
      <c r="P3" t="s">
        <v>8726</v>
      </c>
      <c r="R3" t="s">
        <v>8542</v>
      </c>
      <c r="S3" t="s">
        <v>8788</v>
      </c>
      <c r="T3" t="s">
        <v>8789</v>
      </c>
      <c r="U3">
        <f>COUNTA(S:S)</f>
        <v>135</v>
      </c>
    </row>
    <row r="4" spans="1:21" x14ac:dyDescent="0.2">
      <c r="B4" t="s">
        <v>8542</v>
      </c>
      <c r="C4" t="s">
        <v>8547</v>
      </c>
      <c r="D4" t="s">
        <v>8548</v>
      </c>
      <c r="F4" t="s">
        <v>8542</v>
      </c>
      <c r="G4" t="s">
        <v>8612</v>
      </c>
      <c r="H4" t="s">
        <v>8613</v>
      </c>
      <c r="J4" t="s">
        <v>8542</v>
      </c>
      <c r="K4" t="s">
        <v>8650</v>
      </c>
      <c r="L4" t="s">
        <v>8651</v>
      </c>
      <c r="N4" t="s">
        <v>8542</v>
      </c>
      <c r="O4" t="s">
        <v>8723</v>
      </c>
      <c r="P4" t="s">
        <v>8724</v>
      </c>
      <c r="R4" t="s">
        <v>8542</v>
      </c>
      <c r="S4" t="s">
        <v>8790</v>
      </c>
      <c r="T4" t="s">
        <v>8791</v>
      </c>
    </row>
    <row r="5" spans="1:21" x14ac:dyDescent="0.2">
      <c r="B5" t="s">
        <v>8542</v>
      </c>
      <c r="C5" t="s">
        <v>8549</v>
      </c>
      <c r="D5" t="s">
        <v>8550</v>
      </c>
      <c r="F5" t="s">
        <v>8542</v>
      </c>
      <c r="G5" t="s">
        <v>8614</v>
      </c>
      <c r="H5" t="s">
        <v>8615</v>
      </c>
      <c r="J5" t="s">
        <v>8542</v>
      </c>
      <c r="K5" t="s">
        <v>8563</v>
      </c>
      <c r="L5" t="s">
        <v>8564</v>
      </c>
      <c r="N5" t="s">
        <v>8542</v>
      </c>
      <c r="O5" t="s">
        <v>8727</v>
      </c>
      <c r="P5" t="s">
        <v>8728</v>
      </c>
      <c r="R5" t="s">
        <v>8542</v>
      </c>
      <c r="S5" t="s">
        <v>8792</v>
      </c>
      <c r="T5" t="s">
        <v>8793</v>
      </c>
    </row>
    <row r="6" spans="1:21" x14ac:dyDescent="0.2">
      <c r="B6" t="s">
        <v>8542</v>
      </c>
      <c r="C6" t="s">
        <v>8551</v>
      </c>
      <c r="D6" t="s">
        <v>8552</v>
      </c>
      <c r="F6" t="s">
        <v>8542</v>
      </c>
      <c r="G6" t="s">
        <v>8616</v>
      </c>
      <c r="H6" t="s">
        <v>8617</v>
      </c>
      <c r="J6" t="s">
        <v>8542</v>
      </c>
      <c r="K6" t="s">
        <v>8563</v>
      </c>
      <c r="L6" t="s">
        <v>8564</v>
      </c>
      <c r="N6" t="s">
        <v>8542</v>
      </c>
      <c r="O6" t="s">
        <v>8723</v>
      </c>
      <c r="P6" t="s">
        <v>8724</v>
      </c>
      <c r="R6" t="s">
        <v>8542</v>
      </c>
      <c r="S6" t="s">
        <v>8794</v>
      </c>
      <c r="T6" t="s">
        <v>8795</v>
      </c>
    </row>
    <row r="7" spans="1:21" x14ac:dyDescent="0.2">
      <c r="B7" t="s">
        <v>8542</v>
      </c>
      <c r="C7" t="s">
        <v>8553</v>
      </c>
      <c r="D7" t="s">
        <v>8554</v>
      </c>
      <c r="F7" t="s">
        <v>8542</v>
      </c>
      <c r="G7" t="s">
        <v>8614</v>
      </c>
      <c r="H7" t="s">
        <v>8615</v>
      </c>
      <c r="J7" t="s">
        <v>8542</v>
      </c>
      <c r="K7" t="s">
        <v>8563</v>
      </c>
      <c r="L7" t="s">
        <v>8564</v>
      </c>
      <c r="N7" t="s">
        <v>8542</v>
      </c>
      <c r="O7" t="s">
        <v>8608</v>
      </c>
      <c r="P7" t="s">
        <v>8609</v>
      </c>
      <c r="R7" t="s">
        <v>8542</v>
      </c>
      <c r="S7" t="s">
        <v>8796</v>
      </c>
      <c r="T7" t="s">
        <v>8797</v>
      </c>
    </row>
    <row r="8" spans="1:21" x14ac:dyDescent="0.2">
      <c r="B8" t="s">
        <v>8542</v>
      </c>
      <c r="C8" t="s">
        <v>8555</v>
      </c>
      <c r="D8" t="s">
        <v>8556</v>
      </c>
      <c r="F8" t="s">
        <v>8542</v>
      </c>
      <c r="G8" t="s">
        <v>8616</v>
      </c>
      <c r="H8" t="s">
        <v>8617</v>
      </c>
      <c r="J8" t="s">
        <v>8542</v>
      </c>
      <c r="K8" t="s">
        <v>8563</v>
      </c>
      <c r="L8" t="s">
        <v>8564</v>
      </c>
      <c r="N8" t="s">
        <v>8542</v>
      </c>
      <c r="O8" t="s">
        <v>8723</v>
      </c>
      <c r="P8" t="s">
        <v>8724</v>
      </c>
      <c r="R8" t="s">
        <v>8542</v>
      </c>
      <c r="S8" t="s">
        <v>8798</v>
      </c>
      <c r="T8" t="s">
        <v>8799</v>
      </c>
    </row>
    <row r="9" spans="1:21" x14ac:dyDescent="0.2">
      <c r="B9" t="s">
        <v>8542</v>
      </c>
      <c r="C9" t="s">
        <v>8557</v>
      </c>
      <c r="D9" t="s">
        <v>8558</v>
      </c>
      <c r="F9" t="s">
        <v>8542</v>
      </c>
      <c r="G9" t="s">
        <v>8618</v>
      </c>
      <c r="H9" t="s">
        <v>8619</v>
      </c>
      <c r="J9" t="s">
        <v>8542</v>
      </c>
      <c r="K9" t="s">
        <v>8563</v>
      </c>
      <c r="L9" t="s">
        <v>8564</v>
      </c>
      <c r="N9" t="s">
        <v>8542</v>
      </c>
      <c r="O9" t="s">
        <v>8729</v>
      </c>
      <c r="P9" t="s">
        <v>8730</v>
      </c>
      <c r="R9" t="s">
        <v>8542</v>
      </c>
      <c r="S9" t="s">
        <v>8800</v>
      </c>
      <c r="T9" t="s">
        <v>8801</v>
      </c>
    </row>
    <row r="10" spans="1:21" x14ac:dyDescent="0.2">
      <c r="B10" t="s">
        <v>8542</v>
      </c>
      <c r="C10" t="s">
        <v>8557</v>
      </c>
      <c r="D10" t="s">
        <v>8558</v>
      </c>
      <c r="F10" t="s">
        <v>8542</v>
      </c>
      <c r="G10" t="s">
        <v>8620</v>
      </c>
      <c r="H10" t="s">
        <v>8621</v>
      </c>
      <c r="J10" t="s">
        <v>8542</v>
      </c>
      <c r="K10" t="s">
        <v>8563</v>
      </c>
      <c r="L10" t="s">
        <v>8564</v>
      </c>
      <c r="N10" t="s">
        <v>8542</v>
      </c>
      <c r="O10" t="s">
        <v>8723</v>
      </c>
      <c r="P10" t="s">
        <v>8724</v>
      </c>
      <c r="R10" t="s">
        <v>8542</v>
      </c>
      <c r="S10" t="s">
        <v>8802</v>
      </c>
      <c r="T10" t="s">
        <v>8803</v>
      </c>
    </row>
    <row r="11" spans="1:21" x14ac:dyDescent="0.2">
      <c r="B11" t="s">
        <v>8542</v>
      </c>
      <c r="C11" t="s">
        <v>8557</v>
      </c>
      <c r="D11" t="s">
        <v>8558</v>
      </c>
      <c r="F11" t="s">
        <v>8542</v>
      </c>
      <c r="G11" t="s">
        <v>8614</v>
      </c>
      <c r="H11" t="s">
        <v>8615</v>
      </c>
      <c r="J11" t="s">
        <v>8542</v>
      </c>
      <c r="K11" t="s">
        <v>8563</v>
      </c>
      <c r="L11" t="s">
        <v>8564</v>
      </c>
      <c r="N11" t="s">
        <v>8542</v>
      </c>
      <c r="O11" t="s">
        <v>8595</v>
      </c>
      <c r="P11" t="s">
        <v>8596</v>
      </c>
      <c r="R11" t="s">
        <v>8542</v>
      </c>
      <c r="S11" t="s">
        <v>8804</v>
      </c>
      <c r="T11" t="s">
        <v>8805</v>
      </c>
    </row>
    <row r="12" spans="1:21" x14ac:dyDescent="0.2">
      <c r="B12" t="s">
        <v>8542</v>
      </c>
      <c r="C12" t="s">
        <v>8559</v>
      </c>
      <c r="D12" t="s">
        <v>8560</v>
      </c>
      <c r="F12" t="s">
        <v>8542</v>
      </c>
      <c r="G12" t="s">
        <v>8622</v>
      </c>
      <c r="H12" t="s">
        <v>8623</v>
      </c>
      <c r="J12" t="s">
        <v>8542</v>
      </c>
      <c r="K12" t="s">
        <v>8652</v>
      </c>
      <c r="L12" t="s">
        <v>8653</v>
      </c>
      <c r="N12" t="s">
        <v>8542</v>
      </c>
      <c r="O12" t="s">
        <v>8723</v>
      </c>
      <c r="P12" t="s">
        <v>8724</v>
      </c>
      <c r="R12" t="s">
        <v>8542</v>
      </c>
      <c r="S12" t="s">
        <v>8806</v>
      </c>
      <c r="T12" t="s">
        <v>8807</v>
      </c>
    </row>
    <row r="13" spans="1:21" x14ac:dyDescent="0.2">
      <c r="B13" t="s">
        <v>8542</v>
      </c>
      <c r="C13" t="s">
        <v>8561</v>
      </c>
      <c r="D13" t="s">
        <v>8562</v>
      </c>
      <c r="F13" t="s">
        <v>8542</v>
      </c>
      <c r="G13" t="s">
        <v>8616</v>
      </c>
      <c r="H13" t="s">
        <v>8617</v>
      </c>
      <c r="J13" t="s">
        <v>8542</v>
      </c>
      <c r="K13" t="s">
        <v>8654</v>
      </c>
      <c r="L13" t="s">
        <v>8655</v>
      </c>
      <c r="N13" t="s">
        <v>8542</v>
      </c>
      <c r="O13" t="s">
        <v>8704</v>
      </c>
      <c r="P13" t="s">
        <v>8705</v>
      </c>
      <c r="R13" t="s">
        <v>8542</v>
      </c>
      <c r="S13" t="s">
        <v>8808</v>
      </c>
      <c r="T13" t="s">
        <v>8809</v>
      </c>
    </row>
    <row r="14" spans="1:21" x14ac:dyDescent="0.2">
      <c r="B14" t="s">
        <v>8542</v>
      </c>
      <c r="C14" t="s">
        <v>8563</v>
      </c>
      <c r="D14" t="s">
        <v>8564</v>
      </c>
      <c r="F14" t="s">
        <v>8542</v>
      </c>
      <c r="G14" t="s">
        <v>8612</v>
      </c>
      <c r="H14" t="s">
        <v>8613</v>
      </c>
      <c r="J14" t="s">
        <v>8542</v>
      </c>
      <c r="K14" t="s">
        <v>8656</v>
      </c>
      <c r="L14" t="s">
        <v>8657</v>
      </c>
      <c r="N14" t="s">
        <v>8542</v>
      </c>
      <c r="O14" t="s">
        <v>8723</v>
      </c>
      <c r="P14" t="s">
        <v>8724</v>
      </c>
      <c r="R14" t="s">
        <v>8542</v>
      </c>
      <c r="S14" t="s">
        <v>8810</v>
      </c>
      <c r="T14" t="s">
        <v>8811</v>
      </c>
    </row>
    <row r="15" spans="1:21" x14ac:dyDescent="0.2">
      <c r="B15" t="s">
        <v>8542</v>
      </c>
      <c r="C15" t="s">
        <v>8565</v>
      </c>
      <c r="D15" t="s">
        <v>8566</v>
      </c>
      <c r="F15" t="s">
        <v>8542</v>
      </c>
      <c r="G15" t="s">
        <v>8614</v>
      </c>
      <c r="H15" t="s">
        <v>8615</v>
      </c>
      <c r="J15" t="s">
        <v>8542</v>
      </c>
      <c r="K15" t="s">
        <v>8658</v>
      </c>
      <c r="L15" t="s">
        <v>8659</v>
      </c>
      <c r="N15" t="s">
        <v>8542</v>
      </c>
      <c r="O15" t="s">
        <v>8731</v>
      </c>
      <c r="P15" t="s">
        <v>8732</v>
      </c>
      <c r="R15" t="s">
        <v>8542</v>
      </c>
      <c r="S15" t="s">
        <v>8812</v>
      </c>
      <c r="T15" t="s">
        <v>8813</v>
      </c>
    </row>
    <row r="16" spans="1:21" x14ac:dyDescent="0.2">
      <c r="B16" t="s">
        <v>8542</v>
      </c>
      <c r="C16" t="s">
        <v>8567</v>
      </c>
      <c r="D16" t="s">
        <v>8568</v>
      </c>
      <c r="F16" t="s">
        <v>8542</v>
      </c>
      <c r="G16" t="s">
        <v>8616</v>
      </c>
      <c r="H16" t="s">
        <v>8617</v>
      </c>
      <c r="J16" t="s">
        <v>8542</v>
      </c>
      <c r="K16" t="s">
        <v>8660</v>
      </c>
      <c r="L16" t="s">
        <v>8661</v>
      </c>
      <c r="N16" t="s">
        <v>8542</v>
      </c>
      <c r="O16" t="s">
        <v>8723</v>
      </c>
      <c r="P16" t="s">
        <v>8724</v>
      </c>
      <c r="R16" t="s">
        <v>8542</v>
      </c>
      <c r="S16" t="s">
        <v>8814</v>
      </c>
      <c r="T16" t="s">
        <v>8815</v>
      </c>
    </row>
    <row r="17" spans="2:20" x14ac:dyDescent="0.2">
      <c r="B17" t="s">
        <v>8542</v>
      </c>
      <c r="C17" t="s">
        <v>8567</v>
      </c>
      <c r="D17" t="s">
        <v>8568</v>
      </c>
      <c r="F17" t="s">
        <v>8542</v>
      </c>
      <c r="G17" t="s">
        <v>8595</v>
      </c>
      <c r="H17" t="s">
        <v>8596</v>
      </c>
      <c r="J17" t="s">
        <v>8542</v>
      </c>
      <c r="K17" t="s">
        <v>8662</v>
      </c>
      <c r="L17" t="s">
        <v>8663</v>
      </c>
      <c r="N17" t="s">
        <v>8542</v>
      </c>
      <c r="O17" t="s">
        <v>8733</v>
      </c>
      <c r="P17" t="s">
        <v>8734</v>
      </c>
      <c r="R17" t="s">
        <v>8542</v>
      </c>
      <c r="S17" t="s">
        <v>8816</v>
      </c>
      <c r="T17" t="s">
        <v>8817</v>
      </c>
    </row>
    <row r="18" spans="2:20" x14ac:dyDescent="0.2">
      <c r="B18" t="s">
        <v>8542</v>
      </c>
      <c r="C18" t="s">
        <v>8567</v>
      </c>
      <c r="D18" t="s">
        <v>8568</v>
      </c>
      <c r="F18" t="s">
        <v>8542</v>
      </c>
      <c r="G18" t="s">
        <v>8624</v>
      </c>
      <c r="H18" t="s">
        <v>8625</v>
      </c>
      <c r="J18" t="s">
        <v>8542</v>
      </c>
      <c r="K18" t="s">
        <v>8664</v>
      </c>
      <c r="L18" t="s">
        <v>8665</v>
      </c>
      <c r="N18" t="s">
        <v>8542</v>
      </c>
      <c r="O18" t="s">
        <v>8723</v>
      </c>
      <c r="P18" t="s">
        <v>8724</v>
      </c>
      <c r="R18" t="s">
        <v>8542</v>
      </c>
      <c r="S18" t="s">
        <v>8818</v>
      </c>
      <c r="T18" t="s">
        <v>8819</v>
      </c>
    </row>
    <row r="19" spans="2:20" x14ac:dyDescent="0.2">
      <c r="B19" t="s">
        <v>8542</v>
      </c>
      <c r="C19" t="s">
        <v>8567</v>
      </c>
      <c r="D19" t="s">
        <v>8568</v>
      </c>
      <c r="F19" t="s">
        <v>8542</v>
      </c>
      <c r="G19" t="s">
        <v>8551</v>
      </c>
      <c r="H19" t="s">
        <v>8552</v>
      </c>
      <c r="J19" t="s">
        <v>8542</v>
      </c>
      <c r="K19" t="s">
        <v>8666</v>
      </c>
      <c r="L19" t="s">
        <v>8667</v>
      </c>
      <c r="N19" t="s">
        <v>8542</v>
      </c>
      <c r="O19" t="s">
        <v>8735</v>
      </c>
      <c r="P19" t="s">
        <v>8736</v>
      </c>
      <c r="R19" t="s">
        <v>8542</v>
      </c>
      <c r="S19" t="s">
        <v>8820</v>
      </c>
      <c r="T19" t="s">
        <v>8821</v>
      </c>
    </row>
    <row r="20" spans="2:20" x14ac:dyDescent="0.2">
      <c r="B20" t="s">
        <v>8542</v>
      </c>
      <c r="C20" t="s">
        <v>8569</v>
      </c>
      <c r="D20" t="s">
        <v>8570</v>
      </c>
      <c r="F20" t="s">
        <v>8542</v>
      </c>
      <c r="G20" t="s">
        <v>8616</v>
      </c>
      <c r="H20" t="s">
        <v>8617</v>
      </c>
      <c r="J20" t="s">
        <v>8542</v>
      </c>
      <c r="K20" t="s">
        <v>8668</v>
      </c>
      <c r="L20" t="s">
        <v>8669</v>
      </c>
      <c r="N20" t="s">
        <v>8542</v>
      </c>
      <c r="O20" t="s">
        <v>8723</v>
      </c>
      <c r="P20" t="s">
        <v>8724</v>
      </c>
      <c r="R20" t="s">
        <v>8542</v>
      </c>
      <c r="S20" t="s">
        <v>8822</v>
      </c>
      <c r="T20" t="s">
        <v>8823</v>
      </c>
    </row>
    <row r="21" spans="2:20" x14ac:dyDescent="0.2">
      <c r="B21" t="s">
        <v>8542</v>
      </c>
      <c r="C21" t="s">
        <v>8571</v>
      </c>
      <c r="D21" t="s">
        <v>8572</v>
      </c>
      <c r="F21" t="s">
        <v>8542</v>
      </c>
      <c r="G21" t="s">
        <v>8616</v>
      </c>
      <c r="H21" t="s">
        <v>8617</v>
      </c>
      <c r="J21" t="s">
        <v>8542</v>
      </c>
      <c r="K21" t="s">
        <v>8670</v>
      </c>
      <c r="L21" t="s">
        <v>8671</v>
      </c>
      <c r="N21" t="s">
        <v>8542</v>
      </c>
      <c r="O21" t="s">
        <v>8725</v>
      </c>
      <c r="P21" t="s">
        <v>8726</v>
      </c>
      <c r="R21" t="s">
        <v>8542</v>
      </c>
      <c r="S21" t="s">
        <v>8824</v>
      </c>
      <c r="T21" t="s">
        <v>8825</v>
      </c>
    </row>
    <row r="22" spans="2:20" x14ac:dyDescent="0.2">
      <c r="B22" t="s">
        <v>8542</v>
      </c>
      <c r="C22" t="s">
        <v>8573</v>
      </c>
      <c r="D22" t="s">
        <v>8574</v>
      </c>
      <c r="F22" t="s">
        <v>8542</v>
      </c>
      <c r="G22" t="s">
        <v>8616</v>
      </c>
      <c r="H22" t="s">
        <v>8617</v>
      </c>
      <c r="J22" t="s">
        <v>8542</v>
      </c>
      <c r="K22" t="s">
        <v>8672</v>
      </c>
      <c r="L22" t="s">
        <v>8673</v>
      </c>
      <c r="N22" t="s">
        <v>8542</v>
      </c>
      <c r="O22" t="s">
        <v>8723</v>
      </c>
      <c r="P22" t="s">
        <v>8724</v>
      </c>
      <c r="R22" t="s">
        <v>8542</v>
      </c>
      <c r="S22" t="s">
        <v>8826</v>
      </c>
      <c r="T22" t="s">
        <v>8827</v>
      </c>
    </row>
    <row r="23" spans="2:20" x14ac:dyDescent="0.2">
      <c r="B23" t="s">
        <v>8542</v>
      </c>
      <c r="C23" t="s">
        <v>8575</v>
      </c>
      <c r="D23" t="s">
        <v>8576</v>
      </c>
      <c r="F23" t="s">
        <v>8542</v>
      </c>
      <c r="G23" t="s">
        <v>8616</v>
      </c>
      <c r="H23" t="s">
        <v>8617</v>
      </c>
      <c r="J23" t="s">
        <v>8542</v>
      </c>
      <c r="K23" t="s">
        <v>8674</v>
      </c>
      <c r="L23" t="s">
        <v>8675</v>
      </c>
      <c r="N23" t="s">
        <v>8542</v>
      </c>
      <c r="O23" t="s">
        <v>8737</v>
      </c>
      <c r="P23" t="s">
        <v>8738</v>
      </c>
      <c r="R23" t="s">
        <v>8542</v>
      </c>
      <c r="S23" t="s">
        <v>8828</v>
      </c>
      <c r="T23" t="s">
        <v>8829</v>
      </c>
    </row>
    <row r="24" spans="2:20" x14ac:dyDescent="0.2">
      <c r="B24" t="s">
        <v>8542</v>
      </c>
      <c r="C24" t="s">
        <v>8577</v>
      </c>
      <c r="D24" t="s">
        <v>8578</v>
      </c>
      <c r="F24" t="s">
        <v>8542</v>
      </c>
      <c r="G24" t="s">
        <v>8626</v>
      </c>
      <c r="H24" t="s">
        <v>8627</v>
      </c>
      <c r="J24" t="s">
        <v>8542</v>
      </c>
      <c r="K24" t="s">
        <v>8676</v>
      </c>
      <c r="L24" t="s">
        <v>8677</v>
      </c>
      <c r="N24" t="s">
        <v>8542</v>
      </c>
      <c r="O24" t="s">
        <v>8723</v>
      </c>
      <c r="P24" t="s">
        <v>8724</v>
      </c>
      <c r="R24" t="s">
        <v>8542</v>
      </c>
      <c r="S24" t="s">
        <v>8830</v>
      </c>
      <c r="T24" t="s">
        <v>8831</v>
      </c>
    </row>
    <row r="25" spans="2:20" x14ac:dyDescent="0.2">
      <c r="B25" t="s">
        <v>8542</v>
      </c>
      <c r="C25" t="s">
        <v>8577</v>
      </c>
      <c r="D25" t="s">
        <v>8578</v>
      </c>
      <c r="F25" t="s">
        <v>8542</v>
      </c>
      <c r="G25" t="s">
        <v>8624</v>
      </c>
      <c r="H25" t="s">
        <v>8625</v>
      </c>
      <c r="J25" t="s">
        <v>8542</v>
      </c>
      <c r="K25" t="s">
        <v>8678</v>
      </c>
      <c r="L25" t="s">
        <v>8679</v>
      </c>
      <c r="N25" t="s">
        <v>8542</v>
      </c>
      <c r="O25" t="s">
        <v>8739</v>
      </c>
      <c r="P25" t="s">
        <v>8740</v>
      </c>
      <c r="R25" t="s">
        <v>8542</v>
      </c>
      <c r="S25" t="s">
        <v>8832</v>
      </c>
      <c r="T25" t="s">
        <v>8833</v>
      </c>
    </row>
    <row r="26" spans="2:20" x14ac:dyDescent="0.2">
      <c r="B26" t="s">
        <v>8542</v>
      </c>
      <c r="C26" t="s">
        <v>8579</v>
      </c>
      <c r="D26" t="s">
        <v>8580</v>
      </c>
      <c r="F26" t="s">
        <v>8542</v>
      </c>
      <c r="G26" t="s">
        <v>8614</v>
      </c>
      <c r="H26" t="s">
        <v>8615</v>
      </c>
      <c r="J26" t="s">
        <v>8542</v>
      </c>
      <c r="K26" t="s">
        <v>8680</v>
      </c>
      <c r="L26" t="s">
        <v>8681</v>
      </c>
      <c r="N26" t="s">
        <v>8542</v>
      </c>
      <c r="O26" t="s">
        <v>8723</v>
      </c>
      <c r="P26" t="s">
        <v>8724</v>
      </c>
      <c r="R26" t="s">
        <v>8542</v>
      </c>
      <c r="S26" t="s">
        <v>8834</v>
      </c>
      <c r="T26" t="s">
        <v>8835</v>
      </c>
    </row>
    <row r="27" spans="2:20" x14ac:dyDescent="0.2">
      <c r="B27" t="s">
        <v>8542</v>
      </c>
      <c r="C27" t="s">
        <v>8581</v>
      </c>
      <c r="D27" t="s">
        <v>8582</v>
      </c>
      <c r="F27" t="s">
        <v>8542</v>
      </c>
      <c r="G27" t="s">
        <v>8624</v>
      </c>
      <c r="H27" t="s">
        <v>8625</v>
      </c>
      <c r="J27" t="s">
        <v>8542</v>
      </c>
      <c r="K27" t="s">
        <v>8682</v>
      </c>
      <c r="L27" t="s">
        <v>8683</v>
      </c>
      <c r="N27" t="s">
        <v>8542</v>
      </c>
      <c r="O27" t="s">
        <v>8603</v>
      </c>
      <c r="P27" t="s">
        <v>8604</v>
      </c>
      <c r="R27" t="s">
        <v>8542</v>
      </c>
      <c r="S27" t="s">
        <v>8836</v>
      </c>
      <c r="T27" t="s">
        <v>8837</v>
      </c>
    </row>
    <row r="28" spans="2:20" x14ac:dyDescent="0.2">
      <c r="B28" t="s">
        <v>8542</v>
      </c>
      <c r="C28" t="s">
        <v>8581</v>
      </c>
      <c r="D28" t="s">
        <v>8582</v>
      </c>
      <c r="F28" t="s">
        <v>8542</v>
      </c>
      <c r="G28" t="s">
        <v>8622</v>
      </c>
      <c r="H28" t="s">
        <v>8623</v>
      </c>
      <c r="J28" t="s">
        <v>8542</v>
      </c>
      <c r="K28" t="s">
        <v>8684</v>
      </c>
      <c r="L28" t="s">
        <v>8685</v>
      </c>
      <c r="N28" t="s">
        <v>8542</v>
      </c>
      <c r="O28" t="s">
        <v>8723</v>
      </c>
      <c r="P28" t="s">
        <v>8724</v>
      </c>
      <c r="R28" t="s">
        <v>8542</v>
      </c>
      <c r="S28" t="s">
        <v>8838</v>
      </c>
      <c r="T28" t="s">
        <v>8839</v>
      </c>
    </row>
    <row r="29" spans="2:20" x14ac:dyDescent="0.2">
      <c r="B29" t="s">
        <v>8542</v>
      </c>
      <c r="C29" t="s">
        <v>8581</v>
      </c>
      <c r="D29" t="s">
        <v>8582</v>
      </c>
      <c r="F29" t="s">
        <v>8542</v>
      </c>
      <c r="G29" t="s">
        <v>8626</v>
      </c>
      <c r="H29" t="s">
        <v>8627</v>
      </c>
      <c r="J29" t="s">
        <v>8542</v>
      </c>
      <c r="K29" t="s">
        <v>8686</v>
      </c>
      <c r="L29" t="s">
        <v>8687</v>
      </c>
      <c r="N29" t="s">
        <v>8542</v>
      </c>
      <c r="O29" t="s">
        <v>8710</v>
      </c>
      <c r="P29" t="s">
        <v>8711</v>
      </c>
      <c r="R29" t="s">
        <v>8542</v>
      </c>
      <c r="S29" t="s">
        <v>8840</v>
      </c>
      <c r="T29" t="s">
        <v>8841</v>
      </c>
    </row>
    <row r="30" spans="2:20" x14ac:dyDescent="0.2">
      <c r="B30" t="s">
        <v>8542</v>
      </c>
      <c r="C30" t="s">
        <v>8583</v>
      </c>
      <c r="D30" t="s">
        <v>8584</v>
      </c>
      <c r="F30" t="s">
        <v>8542</v>
      </c>
      <c r="G30" t="s">
        <v>8624</v>
      </c>
      <c r="H30" t="s">
        <v>8625</v>
      </c>
      <c r="J30" t="s">
        <v>8542</v>
      </c>
      <c r="K30" t="s">
        <v>8688</v>
      </c>
      <c r="L30" t="s">
        <v>8689</v>
      </c>
      <c r="N30" t="s">
        <v>8542</v>
      </c>
      <c r="O30" t="s">
        <v>8723</v>
      </c>
      <c r="P30" t="s">
        <v>8724</v>
      </c>
      <c r="R30" t="s">
        <v>8542</v>
      </c>
      <c r="S30" t="s">
        <v>8842</v>
      </c>
      <c r="T30" t="s">
        <v>8843</v>
      </c>
    </row>
    <row r="31" spans="2:20" x14ac:dyDescent="0.2">
      <c r="B31" t="s">
        <v>8542</v>
      </c>
      <c r="C31" t="s">
        <v>8583</v>
      </c>
      <c r="D31" t="s">
        <v>8584</v>
      </c>
      <c r="F31" t="s">
        <v>8542</v>
      </c>
      <c r="G31" t="s">
        <v>8614</v>
      </c>
      <c r="H31" t="s">
        <v>8615</v>
      </c>
      <c r="J31" t="s">
        <v>8542</v>
      </c>
      <c r="K31" t="s">
        <v>8690</v>
      </c>
      <c r="L31" t="s">
        <v>8691</v>
      </c>
      <c r="N31" t="s">
        <v>8542</v>
      </c>
      <c r="O31" t="s">
        <v>8741</v>
      </c>
      <c r="P31" t="s">
        <v>8742</v>
      </c>
      <c r="R31" t="s">
        <v>8542</v>
      </c>
      <c r="S31" t="s">
        <v>8844</v>
      </c>
      <c r="T31" t="s">
        <v>8845</v>
      </c>
    </row>
    <row r="32" spans="2:20" x14ac:dyDescent="0.2">
      <c r="B32" t="s">
        <v>8542</v>
      </c>
      <c r="C32" t="s">
        <v>8585</v>
      </c>
      <c r="D32" t="s">
        <v>8586</v>
      </c>
      <c r="F32" t="s">
        <v>8542</v>
      </c>
      <c r="G32" t="s">
        <v>8610</v>
      </c>
      <c r="H32" t="s">
        <v>8611</v>
      </c>
      <c r="J32" t="s">
        <v>8542</v>
      </c>
      <c r="K32" t="s">
        <v>8692</v>
      </c>
      <c r="L32" t="s">
        <v>8693</v>
      </c>
      <c r="N32" t="s">
        <v>8542</v>
      </c>
      <c r="O32" t="s">
        <v>8723</v>
      </c>
      <c r="P32" t="s">
        <v>8724</v>
      </c>
      <c r="R32" t="s">
        <v>8542</v>
      </c>
      <c r="S32" t="s">
        <v>8846</v>
      </c>
      <c r="T32" t="s">
        <v>8847</v>
      </c>
    </row>
    <row r="33" spans="2:20" x14ac:dyDescent="0.2">
      <c r="B33" t="s">
        <v>8542</v>
      </c>
      <c r="C33" t="s">
        <v>8587</v>
      </c>
      <c r="D33" t="s">
        <v>8588</v>
      </c>
      <c r="F33" t="s">
        <v>8542</v>
      </c>
      <c r="G33" t="s">
        <v>8616</v>
      </c>
      <c r="H33" t="s">
        <v>8617</v>
      </c>
      <c r="J33" t="s">
        <v>8542</v>
      </c>
      <c r="K33" t="s">
        <v>8694</v>
      </c>
      <c r="L33" t="s">
        <v>8695</v>
      </c>
      <c r="N33" t="s">
        <v>8542</v>
      </c>
      <c r="O33" t="s">
        <v>8743</v>
      </c>
      <c r="P33" t="s">
        <v>8744</v>
      </c>
      <c r="R33" t="s">
        <v>8542</v>
      </c>
      <c r="S33" t="s">
        <v>8848</v>
      </c>
      <c r="T33" t="s">
        <v>8849</v>
      </c>
    </row>
    <row r="34" spans="2:20" x14ac:dyDescent="0.2">
      <c r="B34" t="s">
        <v>8542</v>
      </c>
      <c r="C34" t="s">
        <v>8589</v>
      </c>
      <c r="D34" t="s">
        <v>8590</v>
      </c>
      <c r="F34" t="s">
        <v>8542</v>
      </c>
      <c r="G34" t="s">
        <v>8628</v>
      </c>
      <c r="H34" t="s">
        <v>8629</v>
      </c>
      <c r="J34" t="s">
        <v>8542</v>
      </c>
      <c r="K34" t="s">
        <v>8696</v>
      </c>
      <c r="L34" t="s">
        <v>8697</v>
      </c>
      <c r="N34" t="s">
        <v>8542</v>
      </c>
      <c r="O34" t="s">
        <v>8723</v>
      </c>
      <c r="P34" t="s">
        <v>8724</v>
      </c>
      <c r="R34" t="s">
        <v>8542</v>
      </c>
      <c r="S34" t="s">
        <v>8850</v>
      </c>
      <c r="T34" t="s">
        <v>8851</v>
      </c>
    </row>
    <row r="35" spans="2:20" x14ac:dyDescent="0.2">
      <c r="B35" t="s">
        <v>8542</v>
      </c>
      <c r="C35" t="s">
        <v>8589</v>
      </c>
      <c r="D35" t="s">
        <v>8590</v>
      </c>
      <c r="F35" t="s">
        <v>8542</v>
      </c>
      <c r="G35" t="s">
        <v>8622</v>
      </c>
      <c r="H35" t="s">
        <v>8623</v>
      </c>
      <c r="J35" t="s">
        <v>8542</v>
      </c>
      <c r="K35" t="s">
        <v>8698</v>
      </c>
      <c r="L35" t="s">
        <v>8699</v>
      </c>
      <c r="N35" t="s">
        <v>8542</v>
      </c>
      <c r="O35" t="s">
        <v>8638</v>
      </c>
      <c r="P35" t="s">
        <v>8639</v>
      </c>
      <c r="R35" t="s">
        <v>8542</v>
      </c>
      <c r="S35" t="s">
        <v>8852</v>
      </c>
      <c r="T35" t="s">
        <v>8853</v>
      </c>
    </row>
    <row r="36" spans="2:20" x14ac:dyDescent="0.2">
      <c r="B36" t="s">
        <v>8542</v>
      </c>
      <c r="C36" t="s">
        <v>8589</v>
      </c>
      <c r="D36" t="s">
        <v>8590</v>
      </c>
      <c r="F36" t="s">
        <v>8542</v>
      </c>
      <c r="G36" t="s">
        <v>8616</v>
      </c>
      <c r="H36" t="s">
        <v>8617</v>
      </c>
      <c r="J36" t="s">
        <v>8542</v>
      </c>
      <c r="K36" t="s">
        <v>8700</v>
      </c>
      <c r="L36" t="s">
        <v>8701</v>
      </c>
      <c r="N36" t="s">
        <v>8542</v>
      </c>
      <c r="O36" t="s">
        <v>8723</v>
      </c>
      <c r="P36" t="s">
        <v>8724</v>
      </c>
      <c r="R36" t="s">
        <v>8542</v>
      </c>
      <c r="S36" t="s">
        <v>8854</v>
      </c>
      <c r="T36" t="s">
        <v>8855</v>
      </c>
    </row>
    <row r="37" spans="2:20" x14ac:dyDescent="0.2">
      <c r="B37" t="s">
        <v>8542</v>
      </c>
      <c r="C37" t="s">
        <v>8589</v>
      </c>
      <c r="D37" t="s">
        <v>8590</v>
      </c>
      <c r="F37" t="s">
        <v>8542</v>
      </c>
      <c r="G37" t="s">
        <v>8630</v>
      </c>
      <c r="H37" t="s">
        <v>8631</v>
      </c>
      <c r="J37" t="s">
        <v>8542</v>
      </c>
      <c r="K37" t="s">
        <v>8684</v>
      </c>
      <c r="L37" t="s">
        <v>8685</v>
      </c>
      <c r="N37" t="s">
        <v>8542</v>
      </c>
      <c r="O37" t="s">
        <v>8745</v>
      </c>
      <c r="P37" t="s">
        <v>8746</v>
      </c>
      <c r="R37" t="s">
        <v>8542</v>
      </c>
      <c r="S37" t="s">
        <v>8656</v>
      </c>
      <c r="T37" t="s">
        <v>8657</v>
      </c>
    </row>
    <row r="38" spans="2:20" x14ac:dyDescent="0.2">
      <c r="B38" t="s">
        <v>8542</v>
      </c>
      <c r="C38" t="s">
        <v>8589</v>
      </c>
      <c r="D38" t="s">
        <v>8590</v>
      </c>
      <c r="F38" t="s">
        <v>8542</v>
      </c>
      <c r="G38" t="s">
        <v>8632</v>
      </c>
      <c r="H38" t="s">
        <v>8633</v>
      </c>
      <c r="J38" t="s">
        <v>8542</v>
      </c>
      <c r="K38" t="s">
        <v>8698</v>
      </c>
      <c r="L38" t="s">
        <v>8699</v>
      </c>
      <c r="N38" t="s">
        <v>8542</v>
      </c>
      <c r="O38" t="s">
        <v>8723</v>
      </c>
      <c r="P38" t="s">
        <v>8724</v>
      </c>
      <c r="R38" t="s">
        <v>8542</v>
      </c>
      <c r="S38" t="s">
        <v>8856</v>
      </c>
      <c r="T38" t="s">
        <v>8857</v>
      </c>
    </row>
    <row r="39" spans="2:20" x14ac:dyDescent="0.2">
      <c r="B39" t="s">
        <v>8542</v>
      </c>
      <c r="C39" t="s">
        <v>8589</v>
      </c>
      <c r="D39" t="s">
        <v>8590</v>
      </c>
      <c r="F39" t="s">
        <v>8542</v>
      </c>
      <c r="G39" t="s">
        <v>8634</v>
      </c>
      <c r="H39" t="s">
        <v>8635</v>
      </c>
      <c r="J39" t="s">
        <v>8542</v>
      </c>
      <c r="K39" t="s">
        <v>8696</v>
      </c>
      <c r="L39" t="s">
        <v>8697</v>
      </c>
      <c r="N39" t="s">
        <v>8542</v>
      </c>
      <c r="O39" t="s">
        <v>8747</v>
      </c>
      <c r="P39" t="s">
        <v>8748</v>
      </c>
      <c r="R39" t="s">
        <v>8542</v>
      </c>
      <c r="S39" t="s">
        <v>8858</v>
      </c>
      <c r="T39" t="s">
        <v>8859</v>
      </c>
    </row>
    <row r="40" spans="2:20" x14ac:dyDescent="0.2">
      <c r="B40" t="s">
        <v>8542</v>
      </c>
      <c r="C40" t="s">
        <v>8589</v>
      </c>
      <c r="D40" t="s">
        <v>8590</v>
      </c>
      <c r="F40" t="s">
        <v>8542</v>
      </c>
      <c r="G40" t="s">
        <v>8622</v>
      </c>
      <c r="H40" t="s">
        <v>8623</v>
      </c>
      <c r="J40" t="s">
        <v>8542</v>
      </c>
      <c r="K40" t="s">
        <v>8684</v>
      </c>
      <c r="L40" t="s">
        <v>8685</v>
      </c>
      <c r="N40" t="s">
        <v>8542</v>
      </c>
      <c r="O40" t="s">
        <v>8723</v>
      </c>
      <c r="P40" t="s">
        <v>8724</v>
      </c>
      <c r="R40" t="s">
        <v>8542</v>
      </c>
      <c r="S40" t="s">
        <v>8860</v>
      </c>
      <c r="T40" t="s">
        <v>8861</v>
      </c>
    </row>
    <row r="41" spans="2:20" x14ac:dyDescent="0.2">
      <c r="B41" t="s">
        <v>8542</v>
      </c>
      <c r="C41" t="s">
        <v>8589</v>
      </c>
      <c r="D41" t="s">
        <v>8590</v>
      </c>
      <c r="F41" t="s">
        <v>8542</v>
      </c>
      <c r="G41" t="s">
        <v>8616</v>
      </c>
      <c r="H41" t="s">
        <v>8617</v>
      </c>
      <c r="J41" t="s">
        <v>8542</v>
      </c>
      <c r="K41" t="s">
        <v>8700</v>
      </c>
      <c r="L41" t="s">
        <v>8701</v>
      </c>
      <c r="N41" t="s">
        <v>8542</v>
      </c>
      <c r="O41" t="s">
        <v>8749</v>
      </c>
      <c r="P41" t="s">
        <v>8750</v>
      </c>
      <c r="R41" t="s">
        <v>8542</v>
      </c>
      <c r="S41" t="s">
        <v>8862</v>
      </c>
      <c r="T41" t="s">
        <v>8863</v>
      </c>
    </row>
    <row r="42" spans="2:20" x14ac:dyDescent="0.2">
      <c r="B42" t="s">
        <v>8542</v>
      </c>
      <c r="C42" t="s">
        <v>8591</v>
      </c>
      <c r="D42" t="s">
        <v>8592</v>
      </c>
      <c r="F42" t="s">
        <v>8542</v>
      </c>
      <c r="G42" t="s">
        <v>8630</v>
      </c>
      <c r="H42" t="s">
        <v>8631</v>
      </c>
      <c r="J42" t="s">
        <v>8542</v>
      </c>
      <c r="K42" t="s">
        <v>8702</v>
      </c>
      <c r="L42" t="s">
        <v>8703</v>
      </c>
      <c r="N42" t="s">
        <v>8542</v>
      </c>
      <c r="O42" t="s">
        <v>8723</v>
      </c>
      <c r="P42" t="s">
        <v>8724</v>
      </c>
      <c r="R42" t="s">
        <v>8542</v>
      </c>
      <c r="S42" t="s">
        <v>8864</v>
      </c>
      <c r="T42" t="s">
        <v>8865</v>
      </c>
    </row>
    <row r="43" spans="2:20" x14ac:dyDescent="0.2">
      <c r="B43" t="s">
        <v>8542</v>
      </c>
      <c r="C43" t="s">
        <v>8591</v>
      </c>
      <c r="D43" t="s">
        <v>8592</v>
      </c>
      <c r="F43" t="s">
        <v>8542</v>
      </c>
      <c r="G43" t="s">
        <v>8632</v>
      </c>
      <c r="H43" t="s">
        <v>8633</v>
      </c>
      <c r="J43" t="s">
        <v>8542</v>
      </c>
      <c r="K43" t="s">
        <v>8704</v>
      </c>
      <c r="L43" t="s">
        <v>8705</v>
      </c>
      <c r="N43" t="s">
        <v>8542</v>
      </c>
      <c r="O43" t="s">
        <v>8608</v>
      </c>
      <c r="P43" t="s">
        <v>8609</v>
      </c>
      <c r="R43" t="s">
        <v>8542</v>
      </c>
      <c r="S43" t="s">
        <v>8866</v>
      </c>
      <c r="T43" t="s">
        <v>8867</v>
      </c>
    </row>
    <row r="44" spans="2:20" x14ac:dyDescent="0.2">
      <c r="B44" t="s">
        <v>8542</v>
      </c>
      <c r="C44" t="s">
        <v>8591</v>
      </c>
      <c r="D44" t="s">
        <v>8592</v>
      </c>
      <c r="F44" t="s">
        <v>8542</v>
      </c>
      <c r="G44" t="s">
        <v>8618</v>
      </c>
      <c r="H44" t="s">
        <v>8619</v>
      </c>
      <c r="J44" t="s">
        <v>8542</v>
      </c>
      <c r="K44" t="s">
        <v>8706</v>
      </c>
      <c r="L44" t="s">
        <v>8707</v>
      </c>
      <c r="N44" t="s">
        <v>8542</v>
      </c>
      <c r="O44" t="s">
        <v>8723</v>
      </c>
      <c r="P44" t="s">
        <v>8724</v>
      </c>
      <c r="R44" t="s">
        <v>8542</v>
      </c>
      <c r="S44" t="s">
        <v>8868</v>
      </c>
      <c r="T44" t="s">
        <v>8869</v>
      </c>
    </row>
    <row r="45" spans="2:20" x14ac:dyDescent="0.2">
      <c r="B45" t="s">
        <v>8542</v>
      </c>
      <c r="C45" t="s">
        <v>8593</v>
      </c>
      <c r="D45" t="s">
        <v>8594</v>
      </c>
      <c r="F45" t="s">
        <v>8542</v>
      </c>
      <c r="G45" t="s">
        <v>8551</v>
      </c>
      <c r="H45" t="s">
        <v>8552</v>
      </c>
      <c r="J45" t="s">
        <v>8542</v>
      </c>
      <c r="K45" t="s">
        <v>8708</v>
      </c>
      <c r="L45" t="s">
        <v>8709</v>
      </c>
      <c r="N45" t="s">
        <v>8542</v>
      </c>
      <c r="O45" t="s">
        <v>8751</v>
      </c>
      <c r="P45" t="s">
        <v>8752</v>
      </c>
      <c r="R45" t="s">
        <v>8542</v>
      </c>
      <c r="S45" t="s">
        <v>8870</v>
      </c>
      <c r="T45" t="s">
        <v>8871</v>
      </c>
    </row>
    <row r="46" spans="2:20" x14ac:dyDescent="0.2">
      <c r="B46" t="s">
        <v>8542</v>
      </c>
      <c r="C46" t="s">
        <v>8595</v>
      </c>
      <c r="D46" t="s">
        <v>8596</v>
      </c>
      <c r="F46" t="s">
        <v>8542</v>
      </c>
      <c r="G46" t="s">
        <v>8616</v>
      </c>
      <c r="H46" t="s">
        <v>8617</v>
      </c>
      <c r="J46" t="s">
        <v>8542</v>
      </c>
      <c r="K46" t="s">
        <v>8710</v>
      </c>
      <c r="L46" t="s">
        <v>8711</v>
      </c>
      <c r="N46" t="s">
        <v>8542</v>
      </c>
      <c r="O46" t="s">
        <v>8723</v>
      </c>
      <c r="P46" t="s">
        <v>8724</v>
      </c>
      <c r="R46" t="s">
        <v>8542</v>
      </c>
      <c r="S46" t="s">
        <v>8872</v>
      </c>
      <c r="T46" t="s">
        <v>8873</v>
      </c>
    </row>
    <row r="47" spans="2:20" x14ac:dyDescent="0.2">
      <c r="B47" t="s">
        <v>8542</v>
      </c>
      <c r="C47" t="s">
        <v>8595</v>
      </c>
      <c r="D47" t="s">
        <v>8596</v>
      </c>
      <c r="F47" t="s">
        <v>8542</v>
      </c>
      <c r="G47" t="s">
        <v>8555</v>
      </c>
      <c r="H47" t="s">
        <v>8556</v>
      </c>
      <c r="J47" t="s">
        <v>8542</v>
      </c>
      <c r="K47" t="s">
        <v>8712</v>
      </c>
      <c r="L47" t="s">
        <v>8713</v>
      </c>
      <c r="N47" t="s">
        <v>8542</v>
      </c>
      <c r="O47" t="s">
        <v>8753</v>
      </c>
      <c r="P47" t="s">
        <v>8754</v>
      </c>
      <c r="R47" t="s">
        <v>8542</v>
      </c>
      <c r="S47" t="s">
        <v>8874</v>
      </c>
      <c r="T47" t="s">
        <v>8875</v>
      </c>
    </row>
    <row r="48" spans="2:20" x14ac:dyDescent="0.2">
      <c r="B48" t="s">
        <v>8542</v>
      </c>
      <c r="C48" t="s">
        <v>8597</v>
      </c>
      <c r="D48" t="s">
        <v>8598</v>
      </c>
      <c r="F48" t="s">
        <v>8542</v>
      </c>
      <c r="G48" t="s">
        <v>8551</v>
      </c>
      <c r="H48" t="s">
        <v>8552</v>
      </c>
      <c r="J48" t="s">
        <v>8542</v>
      </c>
      <c r="K48" t="s">
        <v>8714</v>
      </c>
      <c r="L48" t="s">
        <v>8715</v>
      </c>
      <c r="N48" t="s">
        <v>8542</v>
      </c>
      <c r="O48" t="s">
        <v>8723</v>
      </c>
      <c r="P48" t="s">
        <v>8724</v>
      </c>
      <c r="R48" t="s">
        <v>8542</v>
      </c>
      <c r="S48" t="s">
        <v>8876</v>
      </c>
      <c r="T48" t="s">
        <v>8877</v>
      </c>
    </row>
    <row r="49" spans="2:20" x14ac:dyDescent="0.2">
      <c r="B49" t="s">
        <v>8542</v>
      </c>
      <c r="C49" t="s">
        <v>8599</v>
      </c>
      <c r="D49" t="s">
        <v>8600</v>
      </c>
      <c r="F49" t="s">
        <v>8542</v>
      </c>
      <c r="G49" t="s">
        <v>8634</v>
      </c>
      <c r="H49" t="s">
        <v>8635</v>
      </c>
      <c r="J49" t="s">
        <v>8542</v>
      </c>
      <c r="K49" t="s">
        <v>8563</v>
      </c>
      <c r="L49" t="s">
        <v>8564</v>
      </c>
      <c r="N49" t="s">
        <v>8542</v>
      </c>
      <c r="O49" t="s">
        <v>8755</v>
      </c>
      <c r="P49" t="s">
        <v>8756</v>
      </c>
      <c r="R49" t="s">
        <v>8542</v>
      </c>
      <c r="S49" t="s">
        <v>8878</v>
      </c>
      <c r="T49" t="s">
        <v>8879</v>
      </c>
    </row>
    <row r="50" spans="2:20" x14ac:dyDescent="0.2">
      <c r="B50" t="s">
        <v>8542</v>
      </c>
      <c r="C50" t="s">
        <v>8601</v>
      </c>
      <c r="D50" t="s">
        <v>8602</v>
      </c>
      <c r="F50" t="s">
        <v>8542</v>
      </c>
      <c r="G50" t="s">
        <v>8620</v>
      </c>
      <c r="H50" t="s">
        <v>8621</v>
      </c>
      <c r="J50" t="s">
        <v>8542</v>
      </c>
      <c r="K50" t="s">
        <v>8696</v>
      </c>
      <c r="L50" t="s">
        <v>8697</v>
      </c>
      <c r="N50" t="s">
        <v>8542</v>
      </c>
      <c r="O50" t="s">
        <v>8723</v>
      </c>
      <c r="P50" t="s">
        <v>8724</v>
      </c>
      <c r="R50" t="s">
        <v>8542</v>
      </c>
      <c r="S50" t="s">
        <v>8880</v>
      </c>
      <c r="T50" t="s">
        <v>8881</v>
      </c>
    </row>
    <row r="51" spans="2:20" x14ac:dyDescent="0.2">
      <c r="B51" t="s">
        <v>8542</v>
      </c>
      <c r="C51" t="s">
        <v>8601</v>
      </c>
      <c r="D51" t="s">
        <v>8602</v>
      </c>
      <c r="F51" t="s">
        <v>8542</v>
      </c>
      <c r="G51" t="s">
        <v>8632</v>
      </c>
      <c r="H51" t="s">
        <v>8633</v>
      </c>
      <c r="J51" t="s">
        <v>8542</v>
      </c>
      <c r="K51" t="s">
        <v>8698</v>
      </c>
      <c r="L51" t="s">
        <v>8699</v>
      </c>
      <c r="N51" t="s">
        <v>8542</v>
      </c>
      <c r="O51" t="s">
        <v>8757</v>
      </c>
      <c r="P51" t="s">
        <v>8758</v>
      </c>
      <c r="R51" t="s">
        <v>8542</v>
      </c>
      <c r="S51" t="s">
        <v>8882</v>
      </c>
      <c r="T51" t="s">
        <v>8883</v>
      </c>
    </row>
    <row r="52" spans="2:20" x14ac:dyDescent="0.2">
      <c r="B52" t="s">
        <v>8542</v>
      </c>
      <c r="C52" t="s">
        <v>8601</v>
      </c>
      <c r="D52" t="s">
        <v>8602</v>
      </c>
      <c r="F52" t="s">
        <v>8542</v>
      </c>
      <c r="G52" t="s">
        <v>8636</v>
      </c>
      <c r="H52" t="s">
        <v>8637</v>
      </c>
      <c r="J52" t="s">
        <v>8542</v>
      </c>
      <c r="K52" t="s">
        <v>8716</v>
      </c>
      <c r="L52" t="s">
        <v>8717</v>
      </c>
      <c r="N52" t="s">
        <v>8542</v>
      </c>
      <c r="O52" t="s">
        <v>8723</v>
      </c>
      <c r="P52" t="s">
        <v>8724</v>
      </c>
      <c r="R52" t="s">
        <v>8542</v>
      </c>
      <c r="S52" t="s">
        <v>8884</v>
      </c>
      <c r="T52" t="s">
        <v>8885</v>
      </c>
    </row>
    <row r="53" spans="2:20" x14ac:dyDescent="0.2">
      <c r="B53" t="s">
        <v>8542</v>
      </c>
      <c r="C53" t="s">
        <v>8601</v>
      </c>
      <c r="D53" t="s">
        <v>8602</v>
      </c>
      <c r="F53" t="s">
        <v>8542</v>
      </c>
      <c r="G53" t="s">
        <v>8620</v>
      </c>
      <c r="H53" t="s">
        <v>8621</v>
      </c>
      <c r="J53" t="s">
        <v>8542</v>
      </c>
      <c r="K53" t="s">
        <v>8718</v>
      </c>
      <c r="L53" t="s">
        <v>8719</v>
      </c>
      <c r="N53" t="s">
        <v>8542</v>
      </c>
      <c r="O53" t="s">
        <v>8759</v>
      </c>
      <c r="P53" t="s">
        <v>8760</v>
      </c>
      <c r="R53" t="s">
        <v>8542</v>
      </c>
      <c r="S53" t="s">
        <v>8886</v>
      </c>
      <c r="T53" t="s">
        <v>8887</v>
      </c>
    </row>
    <row r="54" spans="2:20" x14ac:dyDescent="0.2">
      <c r="B54" t="s">
        <v>8542</v>
      </c>
      <c r="C54" t="s">
        <v>8603</v>
      </c>
      <c r="D54" t="s">
        <v>8604</v>
      </c>
      <c r="F54" t="s">
        <v>8542</v>
      </c>
      <c r="G54" t="s">
        <v>8638</v>
      </c>
      <c r="H54" t="s">
        <v>8639</v>
      </c>
      <c r="J54" t="s">
        <v>8542</v>
      </c>
      <c r="K54" t="s">
        <v>8720</v>
      </c>
      <c r="L54" t="s">
        <v>8721</v>
      </c>
      <c r="N54" t="s">
        <v>8542</v>
      </c>
      <c r="O54" t="s">
        <v>8723</v>
      </c>
      <c r="P54" t="s">
        <v>8724</v>
      </c>
      <c r="R54" t="s">
        <v>8542</v>
      </c>
      <c r="S54" t="s">
        <v>8888</v>
      </c>
      <c r="T54" t="s">
        <v>8889</v>
      </c>
    </row>
    <row r="55" spans="2:20" x14ac:dyDescent="0.2">
      <c r="B55" t="s">
        <v>8542</v>
      </c>
      <c r="C55" t="s">
        <v>8603</v>
      </c>
      <c r="D55" t="s">
        <v>8604</v>
      </c>
      <c r="F55" t="s">
        <v>8542</v>
      </c>
      <c r="G55" t="s">
        <v>8551</v>
      </c>
      <c r="H55" t="s">
        <v>8552</v>
      </c>
      <c r="J55" t="s">
        <v>8542</v>
      </c>
      <c r="K55" t="s">
        <v>8710</v>
      </c>
      <c r="L55" t="s">
        <v>8711</v>
      </c>
      <c r="N55" t="s">
        <v>8542</v>
      </c>
      <c r="O55" t="s">
        <v>8761</v>
      </c>
      <c r="P55" t="s">
        <v>8762</v>
      </c>
      <c r="R55" t="s">
        <v>8542</v>
      </c>
      <c r="S55" t="s">
        <v>8890</v>
      </c>
      <c r="T55" t="s">
        <v>8891</v>
      </c>
    </row>
    <row r="56" spans="2:20" x14ac:dyDescent="0.2">
      <c r="B56" t="s">
        <v>8542</v>
      </c>
      <c r="C56" t="s">
        <v>8605</v>
      </c>
      <c r="D56" t="s">
        <v>8606</v>
      </c>
      <c r="F56" t="s">
        <v>8542</v>
      </c>
      <c r="G56" t="s">
        <v>8640</v>
      </c>
      <c r="H56" t="s">
        <v>8641</v>
      </c>
      <c r="J56" t="s">
        <v>8542</v>
      </c>
      <c r="K56" t="s">
        <v>8561</v>
      </c>
      <c r="L56" t="s">
        <v>8562</v>
      </c>
      <c r="N56" t="s">
        <v>8542</v>
      </c>
      <c r="O56" t="s">
        <v>8654</v>
      </c>
      <c r="P56" t="s">
        <v>8655</v>
      </c>
      <c r="R56" t="s">
        <v>8542</v>
      </c>
      <c r="S56" t="s">
        <v>8892</v>
      </c>
      <c r="T56" t="s">
        <v>8893</v>
      </c>
    </row>
    <row r="57" spans="2:20" x14ac:dyDescent="0.2">
      <c r="F57" t="s">
        <v>8542</v>
      </c>
      <c r="G57" t="s">
        <v>8616</v>
      </c>
      <c r="H57" t="s">
        <v>8617</v>
      </c>
      <c r="N57" t="s">
        <v>8542</v>
      </c>
      <c r="O57" t="s">
        <v>8745</v>
      </c>
      <c r="P57" t="s">
        <v>8746</v>
      </c>
      <c r="R57" t="s">
        <v>8542</v>
      </c>
      <c r="S57" t="s">
        <v>8894</v>
      </c>
      <c r="T57" t="s">
        <v>8895</v>
      </c>
    </row>
    <row r="58" spans="2:20" x14ac:dyDescent="0.2">
      <c r="F58" t="s">
        <v>8542</v>
      </c>
      <c r="G58" t="s">
        <v>8616</v>
      </c>
      <c r="H58" t="s">
        <v>8617</v>
      </c>
      <c r="N58" t="s">
        <v>8542</v>
      </c>
      <c r="O58" t="s">
        <v>8654</v>
      </c>
      <c r="P58" t="s">
        <v>8655</v>
      </c>
      <c r="R58" t="s">
        <v>8542</v>
      </c>
      <c r="S58" t="s">
        <v>8896</v>
      </c>
      <c r="T58" t="s">
        <v>8897</v>
      </c>
    </row>
    <row r="59" spans="2:20" x14ac:dyDescent="0.2">
      <c r="F59" t="s">
        <v>8542</v>
      </c>
      <c r="G59" t="s">
        <v>8616</v>
      </c>
      <c r="H59" t="s">
        <v>8617</v>
      </c>
      <c r="N59" t="s">
        <v>8542</v>
      </c>
      <c r="O59" t="s">
        <v>8763</v>
      </c>
      <c r="P59" t="s">
        <v>8764</v>
      </c>
      <c r="R59" t="s">
        <v>8542</v>
      </c>
      <c r="S59" t="s">
        <v>8898</v>
      </c>
      <c r="T59" t="s">
        <v>8899</v>
      </c>
    </row>
    <row r="60" spans="2:20" x14ac:dyDescent="0.2">
      <c r="C60" t="str">
        <f>DEC2HEX(55)</f>
        <v>37</v>
      </c>
      <c r="F60" t="s">
        <v>8542</v>
      </c>
      <c r="G60" t="s">
        <v>8616</v>
      </c>
      <c r="H60" t="s">
        <v>8617</v>
      </c>
      <c r="N60" t="s">
        <v>8542</v>
      </c>
      <c r="O60" t="s">
        <v>8654</v>
      </c>
      <c r="P60" t="s">
        <v>8655</v>
      </c>
      <c r="R60" t="s">
        <v>8542</v>
      </c>
      <c r="S60" t="s">
        <v>8900</v>
      </c>
      <c r="T60" t="s">
        <v>8901</v>
      </c>
    </row>
    <row r="61" spans="2:20" x14ac:dyDescent="0.2">
      <c r="F61" t="s">
        <v>8542</v>
      </c>
      <c r="G61" t="s">
        <v>8616</v>
      </c>
      <c r="H61" t="s">
        <v>8617</v>
      </c>
      <c r="N61" t="s">
        <v>8542</v>
      </c>
      <c r="O61" t="s">
        <v>8765</v>
      </c>
      <c r="P61" t="s">
        <v>8766</v>
      </c>
      <c r="R61" t="s">
        <v>8542</v>
      </c>
      <c r="S61" t="s">
        <v>8902</v>
      </c>
      <c r="T61" t="s">
        <v>8903</v>
      </c>
    </row>
    <row r="62" spans="2:20" x14ac:dyDescent="0.2">
      <c r="F62" t="s">
        <v>8542</v>
      </c>
      <c r="G62" t="s">
        <v>8551</v>
      </c>
      <c r="H62" t="s">
        <v>8552</v>
      </c>
      <c r="N62" t="s">
        <v>8542</v>
      </c>
      <c r="O62" t="s">
        <v>8654</v>
      </c>
      <c r="P62" t="s">
        <v>8655</v>
      </c>
      <c r="R62" t="s">
        <v>8542</v>
      </c>
      <c r="S62" t="s">
        <v>8904</v>
      </c>
      <c r="T62" t="s">
        <v>8905</v>
      </c>
    </row>
    <row r="63" spans="2:20" x14ac:dyDescent="0.2">
      <c r="F63" t="s">
        <v>8542</v>
      </c>
      <c r="G63" t="s">
        <v>8632</v>
      </c>
      <c r="H63" t="s">
        <v>8633</v>
      </c>
      <c r="N63" t="s">
        <v>8542</v>
      </c>
      <c r="O63" t="s">
        <v>8731</v>
      </c>
      <c r="P63" t="s">
        <v>8732</v>
      </c>
      <c r="R63" t="s">
        <v>8542</v>
      </c>
      <c r="S63" t="s">
        <v>8906</v>
      </c>
      <c r="T63" t="s">
        <v>8907</v>
      </c>
    </row>
    <row r="64" spans="2:20" x14ac:dyDescent="0.2">
      <c r="F64" t="s">
        <v>8542</v>
      </c>
      <c r="G64" t="s">
        <v>8626</v>
      </c>
      <c r="H64" t="s">
        <v>8627</v>
      </c>
      <c r="N64" t="s">
        <v>8542</v>
      </c>
      <c r="O64" t="s">
        <v>8654</v>
      </c>
      <c r="P64" t="s">
        <v>8655</v>
      </c>
      <c r="R64" t="s">
        <v>8542</v>
      </c>
      <c r="S64" t="s">
        <v>8908</v>
      </c>
      <c r="T64" t="s">
        <v>8909</v>
      </c>
    </row>
    <row r="65" spans="6:20" x14ac:dyDescent="0.2">
      <c r="F65" t="s">
        <v>8542</v>
      </c>
      <c r="G65" t="s">
        <v>8642</v>
      </c>
      <c r="H65" t="s">
        <v>8643</v>
      </c>
      <c r="N65" t="s">
        <v>8542</v>
      </c>
      <c r="O65" t="s">
        <v>8767</v>
      </c>
      <c r="P65" t="s">
        <v>8768</v>
      </c>
      <c r="R65" t="s">
        <v>8542</v>
      </c>
      <c r="S65" t="s">
        <v>8561</v>
      </c>
      <c r="T65" t="s">
        <v>8562</v>
      </c>
    </row>
    <row r="66" spans="6:20" x14ac:dyDescent="0.2">
      <c r="F66" t="s">
        <v>8542</v>
      </c>
      <c r="G66" t="s">
        <v>8610</v>
      </c>
      <c r="H66" t="s">
        <v>8611</v>
      </c>
      <c r="N66" t="s">
        <v>8542</v>
      </c>
      <c r="O66" t="s">
        <v>8769</v>
      </c>
      <c r="P66" t="s">
        <v>8770</v>
      </c>
      <c r="R66" t="s">
        <v>8542</v>
      </c>
      <c r="S66" t="s">
        <v>8910</v>
      </c>
      <c r="T66" t="s">
        <v>8911</v>
      </c>
    </row>
    <row r="67" spans="6:20" x14ac:dyDescent="0.2">
      <c r="F67" t="s">
        <v>8542</v>
      </c>
      <c r="G67" t="s">
        <v>8624</v>
      </c>
      <c r="H67" t="s">
        <v>8625</v>
      </c>
      <c r="N67" t="s">
        <v>8542</v>
      </c>
      <c r="O67" t="s">
        <v>8745</v>
      </c>
      <c r="P67" t="s">
        <v>8746</v>
      </c>
      <c r="R67" t="s">
        <v>8542</v>
      </c>
      <c r="S67" t="s">
        <v>8912</v>
      </c>
      <c r="T67" t="s">
        <v>8913</v>
      </c>
    </row>
    <row r="68" spans="6:20" x14ac:dyDescent="0.2">
      <c r="F68" t="s">
        <v>8542</v>
      </c>
      <c r="G68" t="s">
        <v>8622</v>
      </c>
      <c r="H68" t="s">
        <v>8623</v>
      </c>
      <c r="N68" t="s">
        <v>8542</v>
      </c>
      <c r="O68" t="s">
        <v>8771</v>
      </c>
      <c r="P68" t="s">
        <v>8772</v>
      </c>
      <c r="R68" t="s">
        <v>8542</v>
      </c>
      <c r="S68" t="s">
        <v>8914</v>
      </c>
      <c r="T68" t="s">
        <v>8915</v>
      </c>
    </row>
    <row r="69" spans="6:20" x14ac:dyDescent="0.2">
      <c r="F69" t="s">
        <v>8542</v>
      </c>
      <c r="G69" t="s">
        <v>8644</v>
      </c>
      <c r="H69" t="s">
        <v>8645</v>
      </c>
      <c r="N69" t="s">
        <v>8542</v>
      </c>
      <c r="O69" t="s">
        <v>8731</v>
      </c>
      <c r="P69" t="s">
        <v>8732</v>
      </c>
      <c r="R69" t="s">
        <v>8542</v>
      </c>
      <c r="S69" t="s">
        <v>8916</v>
      </c>
      <c r="T69" t="s">
        <v>8917</v>
      </c>
    </row>
    <row r="70" spans="6:20" x14ac:dyDescent="0.2">
      <c r="N70" t="s">
        <v>8542</v>
      </c>
      <c r="O70" t="s">
        <v>8628</v>
      </c>
      <c r="P70" t="s">
        <v>8629</v>
      </c>
      <c r="R70" t="s">
        <v>8542</v>
      </c>
      <c r="S70" t="s">
        <v>8918</v>
      </c>
      <c r="T70" t="s">
        <v>8919</v>
      </c>
    </row>
    <row r="71" spans="6:20" x14ac:dyDescent="0.2">
      <c r="N71" t="s">
        <v>8542</v>
      </c>
      <c r="O71" t="s">
        <v>8765</v>
      </c>
      <c r="P71" t="s">
        <v>8766</v>
      </c>
      <c r="R71" t="s">
        <v>8542</v>
      </c>
      <c r="S71" t="s">
        <v>8920</v>
      </c>
      <c r="T71" t="s">
        <v>8921</v>
      </c>
    </row>
    <row r="72" spans="6:20" x14ac:dyDescent="0.2">
      <c r="N72" t="s">
        <v>8542</v>
      </c>
      <c r="O72" t="s">
        <v>8773</v>
      </c>
      <c r="P72" t="s">
        <v>8774</v>
      </c>
      <c r="R72" t="s">
        <v>8542</v>
      </c>
      <c r="S72" t="s">
        <v>8922</v>
      </c>
      <c r="T72" t="s">
        <v>8923</v>
      </c>
    </row>
    <row r="73" spans="6:20" x14ac:dyDescent="0.2">
      <c r="N73" t="s">
        <v>8542</v>
      </c>
      <c r="O73" t="s">
        <v>8755</v>
      </c>
      <c r="P73" t="s">
        <v>8756</v>
      </c>
      <c r="R73" t="s">
        <v>8542</v>
      </c>
      <c r="S73" t="s">
        <v>8924</v>
      </c>
      <c r="T73" t="s">
        <v>8925</v>
      </c>
    </row>
    <row r="74" spans="6:20" x14ac:dyDescent="0.2">
      <c r="N74" t="s">
        <v>8542</v>
      </c>
      <c r="O74" t="s">
        <v>8773</v>
      </c>
      <c r="P74" t="s">
        <v>8774</v>
      </c>
      <c r="R74" t="s">
        <v>8542</v>
      </c>
      <c r="S74" t="s">
        <v>8926</v>
      </c>
      <c r="T74" t="s">
        <v>8927</v>
      </c>
    </row>
    <row r="75" spans="6:20" x14ac:dyDescent="0.2">
      <c r="N75" t="s">
        <v>8542</v>
      </c>
      <c r="O75" t="s">
        <v>8775</v>
      </c>
      <c r="P75" t="s">
        <v>8776</v>
      </c>
      <c r="R75" t="s">
        <v>8542</v>
      </c>
      <c r="S75" t="s">
        <v>8928</v>
      </c>
      <c r="T75" t="s">
        <v>8929</v>
      </c>
    </row>
    <row r="76" spans="6:20" x14ac:dyDescent="0.2">
      <c r="N76" t="s">
        <v>8542</v>
      </c>
      <c r="O76" t="s">
        <v>8777</v>
      </c>
      <c r="P76" t="s">
        <v>8778</v>
      </c>
      <c r="R76" t="s">
        <v>8542</v>
      </c>
      <c r="S76" t="s">
        <v>8930</v>
      </c>
      <c r="T76" t="s">
        <v>8931</v>
      </c>
    </row>
    <row r="77" spans="6:20" x14ac:dyDescent="0.2">
      <c r="N77" t="s">
        <v>8542</v>
      </c>
      <c r="O77" t="s">
        <v>8759</v>
      </c>
      <c r="P77" t="s">
        <v>8760</v>
      </c>
      <c r="R77" t="s">
        <v>8542</v>
      </c>
      <c r="S77" t="s">
        <v>8932</v>
      </c>
      <c r="T77" t="s">
        <v>8933</v>
      </c>
    </row>
    <row r="78" spans="6:20" x14ac:dyDescent="0.2">
      <c r="N78" t="s">
        <v>8542</v>
      </c>
      <c r="O78" t="s">
        <v>8777</v>
      </c>
      <c r="P78" t="s">
        <v>8778</v>
      </c>
      <c r="R78" t="s">
        <v>8542</v>
      </c>
      <c r="S78" t="s">
        <v>8934</v>
      </c>
      <c r="T78" t="s">
        <v>8935</v>
      </c>
    </row>
    <row r="79" spans="6:20" x14ac:dyDescent="0.2">
      <c r="N79" t="s">
        <v>8542</v>
      </c>
      <c r="O79" t="s">
        <v>8767</v>
      </c>
      <c r="P79" t="s">
        <v>8768</v>
      </c>
      <c r="R79" t="s">
        <v>8542</v>
      </c>
      <c r="S79" t="s">
        <v>8936</v>
      </c>
      <c r="T79" t="s">
        <v>8937</v>
      </c>
    </row>
    <row r="80" spans="6:20" x14ac:dyDescent="0.2">
      <c r="N80" t="s">
        <v>8542</v>
      </c>
      <c r="O80" t="s">
        <v>8779</v>
      </c>
      <c r="P80" t="s">
        <v>8780</v>
      </c>
      <c r="R80" t="s">
        <v>8542</v>
      </c>
      <c r="S80" t="s">
        <v>8938</v>
      </c>
      <c r="T80" t="s">
        <v>8939</v>
      </c>
    </row>
    <row r="81" spans="14:20" x14ac:dyDescent="0.2">
      <c r="N81" t="s">
        <v>8542</v>
      </c>
      <c r="O81" t="s">
        <v>8781</v>
      </c>
      <c r="P81" t="s">
        <v>8782</v>
      </c>
      <c r="R81" t="s">
        <v>8542</v>
      </c>
      <c r="S81" t="s">
        <v>8940</v>
      </c>
      <c r="T81" t="s">
        <v>8941</v>
      </c>
    </row>
    <row r="82" spans="14:20" x14ac:dyDescent="0.2">
      <c r="N82" t="s">
        <v>8542</v>
      </c>
      <c r="O82" t="s">
        <v>8783</v>
      </c>
      <c r="P82" t="s">
        <v>8784</v>
      </c>
      <c r="R82" t="s">
        <v>8542</v>
      </c>
      <c r="S82" t="s">
        <v>8942</v>
      </c>
      <c r="T82" t="s">
        <v>8943</v>
      </c>
    </row>
    <row r="83" spans="14:20" x14ac:dyDescent="0.2">
      <c r="N83" t="s">
        <v>8542</v>
      </c>
      <c r="O83" t="s">
        <v>8755</v>
      </c>
      <c r="P83" t="s">
        <v>8756</v>
      </c>
      <c r="R83" t="s">
        <v>8542</v>
      </c>
      <c r="S83" t="s">
        <v>8944</v>
      </c>
      <c r="T83" t="s">
        <v>8945</v>
      </c>
    </row>
    <row r="84" spans="14:20" x14ac:dyDescent="0.2">
      <c r="N84" t="s">
        <v>8542</v>
      </c>
      <c r="O84" t="s">
        <v>8622</v>
      </c>
      <c r="P84" t="s">
        <v>8623</v>
      </c>
      <c r="R84" t="s">
        <v>8542</v>
      </c>
      <c r="S84" t="s">
        <v>8946</v>
      </c>
      <c r="T84" t="s">
        <v>8947</v>
      </c>
    </row>
    <row r="85" spans="14:20" x14ac:dyDescent="0.2">
      <c r="N85" t="s">
        <v>8542</v>
      </c>
      <c r="O85" t="s">
        <v>8745</v>
      </c>
      <c r="P85" t="s">
        <v>8746</v>
      </c>
      <c r="R85" t="s">
        <v>8542</v>
      </c>
      <c r="S85" t="s">
        <v>8948</v>
      </c>
      <c r="T85" t="s">
        <v>8949</v>
      </c>
    </row>
    <row r="86" spans="14:20" x14ac:dyDescent="0.2">
      <c r="N86" t="s">
        <v>8542</v>
      </c>
      <c r="O86" t="s">
        <v>8785</v>
      </c>
      <c r="P86" t="s">
        <v>8786</v>
      </c>
      <c r="R86" t="s">
        <v>8542</v>
      </c>
      <c r="S86" t="s">
        <v>8950</v>
      </c>
      <c r="T86" t="s">
        <v>8951</v>
      </c>
    </row>
    <row r="87" spans="14:20" x14ac:dyDescent="0.2">
      <c r="N87" t="s">
        <v>8542</v>
      </c>
      <c r="O87" t="s">
        <v>8745</v>
      </c>
      <c r="P87" t="s">
        <v>8746</v>
      </c>
      <c r="R87" t="s">
        <v>8542</v>
      </c>
      <c r="S87" t="s">
        <v>8706</v>
      </c>
      <c r="T87" t="s">
        <v>8707</v>
      </c>
    </row>
    <row r="88" spans="14:20" x14ac:dyDescent="0.2">
      <c r="R88" t="s">
        <v>8542</v>
      </c>
      <c r="S88" t="s">
        <v>8952</v>
      </c>
      <c r="T88" t="s">
        <v>8953</v>
      </c>
    </row>
    <row r="89" spans="14:20" x14ac:dyDescent="0.2">
      <c r="R89" t="s">
        <v>8542</v>
      </c>
      <c r="S89" t="s">
        <v>8954</v>
      </c>
      <c r="T89" t="s">
        <v>8955</v>
      </c>
    </row>
    <row r="90" spans="14:20" x14ac:dyDescent="0.2">
      <c r="R90" t="s">
        <v>8542</v>
      </c>
      <c r="S90" t="s">
        <v>8956</v>
      </c>
      <c r="T90" t="s">
        <v>8957</v>
      </c>
    </row>
    <row r="91" spans="14:20" x14ac:dyDescent="0.2">
      <c r="R91" t="s">
        <v>8542</v>
      </c>
      <c r="S91" t="s">
        <v>8958</v>
      </c>
      <c r="T91" t="s">
        <v>8959</v>
      </c>
    </row>
    <row r="92" spans="14:20" x14ac:dyDescent="0.2">
      <c r="R92" t="s">
        <v>8542</v>
      </c>
      <c r="S92" t="s">
        <v>8563</v>
      </c>
      <c r="T92" t="s">
        <v>8564</v>
      </c>
    </row>
    <row r="93" spans="14:20" x14ac:dyDescent="0.2">
      <c r="R93" t="s">
        <v>8542</v>
      </c>
      <c r="S93" t="s">
        <v>8960</v>
      </c>
      <c r="T93" t="s">
        <v>8961</v>
      </c>
    </row>
    <row r="94" spans="14:20" x14ac:dyDescent="0.2">
      <c r="R94" t="s">
        <v>8542</v>
      </c>
      <c r="S94" t="s">
        <v>8962</v>
      </c>
      <c r="T94" t="s">
        <v>8963</v>
      </c>
    </row>
    <row r="95" spans="14:20" x14ac:dyDescent="0.2">
      <c r="R95" t="s">
        <v>8542</v>
      </c>
      <c r="S95" t="s">
        <v>8798</v>
      </c>
      <c r="T95" t="s">
        <v>8799</v>
      </c>
    </row>
    <row r="96" spans="14:20" x14ac:dyDescent="0.2">
      <c r="R96" t="s">
        <v>8542</v>
      </c>
      <c r="S96" t="s">
        <v>8964</v>
      </c>
      <c r="T96" t="s">
        <v>8965</v>
      </c>
    </row>
    <row r="97" spans="18:20" x14ac:dyDescent="0.2">
      <c r="R97" t="s">
        <v>8542</v>
      </c>
      <c r="S97" t="s">
        <v>8966</v>
      </c>
      <c r="T97" t="s">
        <v>8967</v>
      </c>
    </row>
    <row r="98" spans="18:20" x14ac:dyDescent="0.2">
      <c r="R98" t="s">
        <v>8542</v>
      </c>
      <c r="S98" t="s">
        <v>8810</v>
      </c>
      <c r="T98" t="s">
        <v>8811</v>
      </c>
    </row>
    <row r="99" spans="18:20" x14ac:dyDescent="0.2">
      <c r="R99" t="s">
        <v>8542</v>
      </c>
      <c r="S99" t="s">
        <v>8968</v>
      </c>
      <c r="T99" t="s">
        <v>8969</v>
      </c>
    </row>
    <row r="100" spans="18:20" x14ac:dyDescent="0.2">
      <c r="R100" t="s">
        <v>8542</v>
      </c>
      <c r="S100" t="s">
        <v>8820</v>
      </c>
      <c r="T100" t="s">
        <v>8821</v>
      </c>
    </row>
    <row r="101" spans="18:20" x14ac:dyDescent="0.2">
      <c r="R101" t="s">
        <v>8542</v>
      </c>
      <c r="S101" t="s">
        <v>8822</v>
      </c>
      <c r="T101" t="s">
        <v>8823</v>
      </c>
    </row>
    <row r="102" spans="18:20" x14ac:dyDescent="0.2">
      <c r="R102" t="s">
        <v>8542</v>
      </c>
      <c r="S102" t="s">
        <v>8970</v>
      </c>
      <c r="T102" t="s">
        <v>8971</v>
      </c>
    </row>
    <row r="103" spans="18:20" x14ac:dyDescent="0.2">
      <c r="R103" t="s">
        <v>8542</v>
      </c>
      <c r="S103" t="s">
        <v>8832</v>
      </c>
      <c r="T103" t="s">
        <v>8833</v>
      </c>
    </row>
    <row r="104" spans="18:20" x14ac:dyDescent="0.2">
      <c r="R104" t="s">
        <v>8542</v>
      </c>
      <c r="S104" t="s">
        <v>8972</v>
      </c>
      <c r="T104" t="s">
        <v>8973</v>
      </c>
    </row>
    <row r="105" spans="18:20" x14ac:dyDescent="0.2">
      <c r="R105" t="s">
        <v>8542</v>
      </c>
      <c r="S105" t="s">
        <v>8974</v>
      </c>
      <c r="T105" t="s">
        <v>8975</v>
      </c>
    </row>
    <row r="106" spans="18:20" x14ac:dyDescent="0.2">
      <c r="R106" t="s">
        <v>8542</v>
      </c>
      <c r="S106" t="s">
        <v>8976</v>
      </c>
      <c r="T106" t="s">
        <v>8977</v>
      </c>
    </row>
    <row r="107" spans="18:20" x14ac:dyDescent="0.2">
      <c r="R107" t="s">
        <v>8542</v>
      </c>
      <c r="S107" t="s">
        <v>8978</v>
      </c>
      <c r="T107" t="s">
        <v>8979</v>
      </c>
    </row>
    <row r="108" spans="18:20" x14ac:dyDescent="0.2">
      <c r="R108" t="s">
        <v>8542</v>
      </c>
      <c r="S108" t="s">
        <v>8980</v>
      </c>
      <c r="T108" t="s">
        <v>8981</v>
      </c>
    </row>
    <row r="109" spans="18:20" x14ac:dyDescent="0.2">
      <c r="R109" t="s">
        <v>8542</v>
      </c>
      <c r="S109" t="s">
        <v>8854</v>
      </c>
      <c r="T109" t="s">
        <v>8855</v>
      </c>
    </row>
    <row r="110" spans="18:20" x14ac:dyDescent="0.2">
      <c r="R110" t="s">
        <v>8542</v>
      </c>
      <c r="S110" t="s">
        <v>8856</v>
      </c>
      <c r="T110" t="s">
        <v>8857</v>
      </c>
    </row>
    <row r="111" spans="18:20" x14ac:dyDescent="0.2">
      <c r="R111" t="s">
        <v>8542</v>
      </c>
      <c r="S111" t="s">
        <v>8982</v>
      </c>
      <c r="T111" t="s">
        <v>8983</v>
      </c>
    </row>
    <row r="112" spans="18:20" x14ac:dyDescent="0.2">
      <c r="R112" t="s">
        <v>8542</v>
      </c>
      <c r="S112" t="s">
        <v>8984</v>
      </c>
      <c r="T112" t="s">
        <v>8985</v>
      </c>
    </row>
    <row r="113" spans="18:20" x14ac:dyDescent="0.2">
      <c r="R113" t="s">
        <v>8542</v>
      </c>
      <c r="S113" t="s">
        <v>8986</v>
      </c>
      <c r="T113" t="s">
        <v>8987</v>
      </c>
    </row>
    <row r="114" spans="18:20" x14ac:dyDescent="0.2">
      <c r="R114" t="s">
        <v>8542</v>
      </c>
      <c r="S114" t="s">
        <v>8988</v>
      </c>
      <c r="T114" t="s">
        <v>8989</v>
      </c>
    </row>
    <row r="115" spans="18:20" x14ac:dyDescent="0.2">
      <c r="R115" t="s">
        <v>8542</v>
      </c>
      <c r="S115" t="s">
        <v>8990</v>
      </c>
      <c r="T115" t="s">
        <v>8991</v>
      </c>
    </row>
    <row r="116" spans="18:20" x14ac:dyDescent="0.2">
      <c r="R116" t="s">
        <v>8542</v>
      </c>
      <c r="S116" t="s">
        <v>8992</v>
      </c>
      <c r="T116" t="s">
        <v>8993</v>
      </c>
    </row>
    <row r="117" spans="18:20" x14ac:dyDescent="0.2">
      <c r="R117" t="s">
        <v>8542</v>
      </c>
      <c r="S117" t="s">
        <v>8994</v>
      </c>
      <c r="T117" t="s">
        <v>8995</v>
      </c>
    </row>
    <row r="118" spans="18:20" x14ac:dyDescent="0.2">
      <c r="R118" t="s">
        <v>8542</v>
      </c>
      <c r="S118" t="s">
        <v>8996</v>
      </c>
      <c r="T118" t="s">
        <v>8997</v>
      </c>
    </row>
    <row r="119" spans="18:20" x14ac:dyDescent="0.2">
      <c r="R119" t="s">
        <v>8542</v>
      </c>
      <c r="S119" t="s">
        <v>8998</v>
      </c>
      <c r="T119" t="s">
        <v>8999</v>
      </c>
    </row>
    <row r="120" spans="18:20" x14ac:dyDescent="0.2">
      <c r="R120" t="s">
        <v>8542</v>
      </c>
      <c r="S120" t="s">
        <v>9000</v>
      </c>
      <c r="T120" t="s">
        <v>9001</v>
      </c>
    </row>
    <row r="121" spans="18:20" x14ac:dyDescent="0.2">
      <c r="R121" t="s">
        <v>8542</v>
      </c>
      <c r="S121" t="s">
        <v>8882</v>
      </c>
      <c r="T121" t="s">
        <v>8883</v>
      </c>
    </row>
    <row r="122" spans="18:20" x14ac:dyDescent="0.2">
      <c r="R122" t="s">
        <v>8542</v>
      </c>
      <c r="S122" t="s">
        <v>8884</v>
      </c>
      <c r="T122" t="s">
        <v>8885</v>
      </c>
    </row>
    <row r="123" spans="18:20" x14ac:dyDescent="0.2">
      <c r="R123" t="s">
        <v>8542</v>
      </c>
      <c r="S123" t="s">
        <v>9002</v>
      </c>
      <c r="T123" t="s">
        <v>9003</v>
      </c>
    </row>
    <row r="124" spans="18:20" x14ac:dyDescent="0.2">
      <c r="R124" t="s">
        <v>8542</v>
      </c>
      <c r="S124" t="s">
        <v>9004</v>
      </c>
      <c r="T124" t="s">
        <v>9005</v>
      </c>
    </row>
    <row r="125" spans="18:20" x14ac:dyDescent="0.2">
      <c r="R125" t="s">
        <v>8542</v>
      </c>
      <c r="S125" t="s">
        <v>9006</v>
      </c>
      <c r="T125" t="s">
        <v>9007</v>
      </c>
    </row>
    <row r="126" spans="18:20" x14ac:dyDescent="0.2">
      <c r="R126" t="s">
        <v>8542</v>
      </c>
      <c r="S126" t="s">
        <v>9008</v>
      </c>
      <c r="T126" t="s">
        <v>9009</v>
      </c>
    </row>
    <row r="127" spans="18:20" x14ac:dyDescent="0.2">
      <c r="R127" t="s">
        <v>8542</v>
      </c>
      <c r="S127" t="s">
        <v>8595</v>
      </c>
      <c r="T127" t="s">
        <v>8596</v>
      </c>
    </row>
    <row r="128" spans="18:20" x14ac:dyDescent="0.2">
      <c r="R128" t="s">
        <v>8542</v>
      </c>
      <c r="S128" t="s">
        <v>8904</v>
      </c>
      <c r="T128" t="s">
        <v>8905</v>
      </c>
    </row>
    <row r="129" spans="18:20" x14ac:dyDescent="0.2">
      <c r="R129" t="s">
        <v>8542</v>
      </c>
      <c r="S129" t="s">
        <v>9010</v>
      </c>
      <c r="T129" t="s">
        <v>9011</v>
      </c>
    </row>
    <row r="130" spans="18:20" x14ac:dyDescent="0.2">
      <c r="R130" t="s">
        <v>8542</v>
      </c>
      <c r="S130" t="s">
        <v>9012</v>
      </c>
      <c r="T130" t="s">
        <v>9013</v>
      </c>
    </row>
    <row r="131" spans="18:20" x14ac:dyDescent="0.2">
      <c r="R131" t="s">
        <v>8542</v>
      </c>
      <c r="S131" t="s">
        <v>9014</v>
      </c>
      <c r="T131" t="s">
        <v>9015</v>
      </c>
    </row>
    <row r="132" spans="18:20" x14ac:dyDescent="0.2">
      <c r="R132" t="s">
        <v>8542</v>
      </c>
      <c r="S132" t="s">
        <v>8924</v>
      </c>
      <c r="T132" t="s">
        <v>8925</v>
      </c>
    </row>
    <row r="133" spans="18:20" x14ac:dyDescent="0.2">
      <c r="R133" t="s">
        <v>8542</v>
      </c>
      <c r="S133" t="s">
        <v>8930</v>
      </c>
      <c r="T133" t="s">
        <v>8931</v>
      </c>
    </row>
    <row r="134" spans="18:20" x14ac:dyDescent="0.2">
      <c r="R134" t="s">
        <v>8542</v>
      </c>
      <c r="S134" t="s">
        <v>9016</v>
      </c>
      <c r="T134" t="s">
        <v>9017</v>
      </c>
    </row>
    <row r="135" spans="18:20" x14ac:dyDescent="0.2">
      <c r="R135" t="s">
        <v>8542</v>
      </c>
      <c r="S135" t="s">
        <v>9018</v>
      </c>
      <c r="T135" t="s">
        <v>9019</v>
      </c>
    </row>
    <row r="136" spans="18:20" x14ac:dyDescent="0.2">
      <c r="R136" t="s">
        <v>8542</v>
      </c>
      <c r="S136" t="s">
        <v>9020</v>
      </c>
      <c r="T136" t="s">
        <v>9021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6BB5-6276-A940-976F-961BB1A54A70}">
  <sheetPr codeName="Sheet8"/>
  <dimension ref="A1:H121"/>
  <sheetViews>
    <sheetView workbookViewId="0">
      <selection activeCell="H2" sqref="H2"/>
    </sheetView>
  </sheetViews>
  <sheetFormatPr baseColWidth="10" defaultRowHeight="29" customHeight="1" x14ac:dyDescent="0.2"/>
  <cols>
    <col min="1" max="1" width="10.83203125" style="50"/>
    <col min="2" max="2" width="27.33203125" style="49" customWidth="1"/>
    <col min="3" max="4" width="21.33203125" style="49" customWidth="1"/>
    <col min="5" max="5" width="25.33203125" style="49" customWidth="1"/>
    <col min="6" max="7" width="10.83203125" style="49"/>
    <col min="8" max="8" width="22.1640625" style="49" customWidth="1"/>
    <col min="9" max="16384" width="10.83203125" style="49"/>
  </cols>
  <sheetData>
    <row r="1" spans="1:8" s="51" customFormat="1" ht="29" customHeight="1" x14ac:dyDescent="0.2">
      <c r="A1" s="50" t="s">
        <v>9228</v>
      </c>
      <c r="B1" s="51" t="s">
        <v>9382</v>
      </c>
      <c r="E1" s="51" t="s">
        <v>9381</v>
      </c>
      <c r="H1" t="str">
        <f>"|"&amp; TEXT(A1,"00") &amp; "| **"&amp;B1&amp;"** |"&amp;"| **"&amp;E1&amp;"** |"</f>
        <v>|ICONS| **BLOODWYCH ICON** || **BEXT ICON** |</v>
      </c>
    </row>
    <row r="2" spans="1:8" ht="29" customHeight="1" x14ac:dyDescent="0.2">
      <c r="A2" s="52">
        <v>0</v>
      </c>
      <c r="B2" s="49" t="s">
        <v>9229</v>
      </c>
      <c r="E2" s="49" t="s">
        <v>9229</v>
      </c>
      <c r="H2" t="str">
        <f>"|"&amp;TEXT(A2,"00")&amp;"|"&amp;B2&amp;"|"&amp;"![](http://www.djcresswell.com/bloodwych/icons/"&amp;TEXT(C2,"000")&amp;".gif)|"&amp;E2&amp;"|"&amp;"![](http://www.djcresswell.com/bloodwych/icons/"&amp;TEXT(F2,"000")&amp;".gif)|"</f>
        <v>|00|Bag|![](http://www.djcresswell.com/bloodwych/icons/000.gif)|Bag|![](http://www.djcresswell.com/bloodwych/icons/000.gif)|</v>
      </c>
    </row>
    <row r="3" spans="1:8" ht="29" customHeight="1" x14ac:dyDescent="0.2">
      <c r="A3" s="52">
        <v>1</v>
      </c>
      <c r="B3" s="49" t="s">
        <v>9230</v>
      </c>
      <c r="C3" s="49">
        <v>1</v>
      </c>
      <c r="E3" s="49" t="s">
        <v>9230</v>
      </c>
      <c r="F3" s="49">
        <v>1</v>
      </c>
      <c r="H3" t="str">
        <f t="shared" ref="H3:H66" si="0">"|"&amp;TEXT(A3,"00")&amp;"|"&amp;B3&amp;"|"&amp;"![](http://www.djcresswell.com/bloodwych/icons/"&amp;TEXT(C3,"000")&amp;".gif)|"&amp;E3&amp;"|"&amp;"![](http://www.djcresswell.com/bloodwych/icons/"&amp;TEXT(F3,"000")&amp;".gif)|"</f>
        <v>|01|Coin|![](http://www.djcresswell.com/bloodwych/icons/001.gif)|Coin|![](http://www.djcresswell.com/bloodwych/icons/001.gif)|</v>
      </c>
    </row>
    <row r="4" spans="1:8" ht="29" customHeight="1" x14ac:dyDescent="0.2">
      <c r="A4" s="52">
        <v>2</v>
      </c>
      <c r="B4" s="49" t="s">
        <v>9231</v>
      </c>
      <c r="C4" s="49">
        <v>2</v>
      </c>
      <c r="E4" s="49" t="s">
        <v>9231</v>
      </c>
      <c r="F4" s="49">
        <v>2</v>
      </c>
      <c r="H4" t="str">
        <f t="shared" si="0"/>
        <v>|02|Common Key|![](http://www.djcresswell.com/bloodwych/icons/002.gif)|Common Key|![](http://www.djcresswell.com/bloodwych/icons/002.gif)|</v>
      </c>
    </row>
    <row r="5" spans="1:8" ht="29" customHeight="1" x14ac:dyDescent="0.2">
      <c r="A5" s="52">
        <v>3</v>
      </c>
      <c r="B5" s="49" t="s">
        <v>9232</v>
      </c>
      <c r="C5" s="49">
        <v>3</v>
      </c>
      <c r="E5" s="49" t="s">
        <v>9232</v>
      </c>
      <c r="F5" s="49">
        <v>3</v>
      </c>
      <c r="H5" t="str">
        <f t="shared" si="0"/>
        <v>|03|Arrow|![](http://www.djcresswell.com/bloodwych/icons/003.gif)|Arrow|![](http://www.djcresswell.com/bloodwych/icons/003.gif)|</v>
      </c>
    </row>
    <row r="6" spans="1:8" ht="29" customHeight="1" x14ac:dyDescent="0.2">
      <c r="A6" s="52">
        <v>4</v>
      </c>
      <c r="B6" s="49" t="s">
        <v>9233</v>
      </c>
      <c r="C6" s="49">
        <v>4</v>
      </c>
      <c r="E6" s="49" t="s">
        <v>9233</v>
      </c>
      <c r="F6" s="49">
        <v>5</v>
      </c>
      <c r="H6" t="str">
        <f t="shared" si="0"/>
        <v>|04|Elf Arrow|![](http://www.djcresswell.com/bloodwych/icons/004.gif)|Elf Arrow|![](http://www.djcresswell.com/bloodwych/icons/005.gif)|</v>
      </c>
    </row>
    <row r="7" spans="1:8" ht="29" customHeight="1" x14ac:dyDescent="0.2">
      <c r="A7" s="52">
        <v>5</v>
      </c>
      <c r="B7" s="49" t="s">
        <v>9234</v>
      </c>
      <c r="C7" s="49">
        <v>105</v>
      </c>
      <c r="E7" s="49" t="s">
        <v>9234</v>
      </c>
      <c r="F7" s="49">
        <v>105</v>
      </c>
      <c r="H7" t="str">
        <f t="shared" si="0"/>
        <v>|05|Grey Gem [Unused]|![](http://www.djcresswell.com/bloodwych/icons/105.gif)|Grey Gem [Unused]|![](http://www.djcresswell.com/bloodwych/icons/105.gif)|</v>
      </c>
    </row>
    <row r="8" spans="1:8" ht="29" customHeight="1" x14ac:dyDescent="0.2">
      <c r="A8" s="52">
        <v>6</v>
      </c>
      <c r="B8" s="49" t="s">
        <v>9235</v>
      </c>
      <c r="C8" s="56">
        <v>101</v>
      </c>
      <c r="E8" s="49" t="s">
        <v>9235</v>
      </c>
      <c r="F8" s="56">
        <v>101</v>
      </c>
      <c r="H8" t="str">
        <f t="shared" si="0"/>
        <v>|06|Serp Crystal|![](http://www.djcresswell.com/bloodwych/icons/101.gif)|Serp Crystal|![](http://www.djcresswell.com/bloodwych/icons/101.gif)|</v>
      </c>
    </row>
    <row r="9" spans="1:8" ht="29" customHeight="1" x14ac:dyDescent="0.2">
      <c r="A9" s="52">
        <v>7</v>
      </c>
      <c r="B9" s="49" t="s">
        <v>9236</v>
      </c>
      <c r="C9" s="56">
        <v>102</v>
      </c>
      <c r="E9" s="49" t="s">
        <v>9236</v>
      </c>
      <c r="F9" s="56">
        <v>102</v>
      </c>
      <c r="H9" t="str">
        <f t="shared" si="0"/>
        <v>|07|Chaos Crystal|![](http://www.djcresswell.com/bloodwych/icons/102.gif)|Chaos Crystal|![](http://www.djcresswell.com/bloodwych/icons/102.gif)|</v>
      </c>
    </row>
    <row r="10" spans="1:8" ht="29" customHeight="1" x14ac:dyDescent="0.2">
      <c r="A10" s="52">
        <v>8</v>
      </c>
      <c r="B10" s="49" t="s">
        <v>9237</v>
      </c>
      <c r="C10" s="56">
        <v>103</v>
      </c>
      <c r="E10" s="49" t="s">
        <v>9237</v>
      </c>
      <c r="F10" s="56">
        <v>103</v>
      </c>
      <c r="H10" t="str">
        <f t="shared" si="0"/>
        <v>|08|Dragon Crystal|![](http://www.djcresswell.com/bloodwych/icons/103.gif)|Dragon Crystal|![](http://www.djcresswell.com/bloodwych/icons/103.gif)|</v>
      </c>
    </row>
    <row r="11" spans="1:8" ht="29" customHeight="1" x14ac:dyDescent="0.2">
      <c r="A11" s="52">
        <v>9</v>
      </c>
      <c r="B11" s="49" t="s">
        <v>9238</v>
      </c>
      <c r="C11" s="56">
        <v>104</v>
      </c>
      <c r="E11" s="49" t="s">
        <v>9238</v>
      </c>
      <c r="F11" s="56">
        <v>104</v>
      </c>
      <c r="H11" t="str">
        <f t="shared" si="0"/>
        <v>|09|Moon Crystal|![](http://www.djcresswell.com/bloodwych/icons/104.gif)|Moon Crystal|![](http://www.djcresswell.com/bloodwych/icons/104.gif)|</v>
      </c>
    </row>
    <row r="12" spans="1:8" ht="29" customHeight="1" x14ac:dyDescent="0.2">
      <c r="A12" s="50" t="s">
        <v>9239</v>
      </c>
      <c r="B12" s="49" t="s">
        <v>9240</v>
      </c>
      <c r="E12" s="49" t="s">
        <v>9240</v>
      </c>
      <c r="H12" t="str">
        <f t="shared" si="0"/>
        <v>|0A|Ring (Dull)|![](http://www.djcresswell.com/bloodwych/icons/000.gif)|Ring (Dull)|![](http://www.djcresswell.com/bloodwych/icons/000.gif)|</v>
      </c>
    </row>
    <row r="13" spans="1:8" ht="29" customHeight="1" x14ac:dyDescent="0.2">
      <c r="A13" s="50" t="s">
        <v>9241</v>
      </c>
      <c r="B13" s="49" t="s">
        <v>9242</v>
      </c>
      <c r="E13" s="49" t="s">
        <v>9242</v>
      </c>
      <c r="H13" t="str">
        <f t="shared" si="0"/>
        <v>|0B|Potion|![](http://www.djcresswell.com/bloodwych/icons/000.gif)|Potion|![](http://www.djcresswell.com/bloodwych/icons/000.gif)|</v>
      </c>
    </row>
    <row r="14" spans="1:8" ht="29" customHeight="1" x14ac:dyDescent="0.2">
      <c r="A14" s="50" t="s">
        <v>9243</v>
      </c>
      <c r="B14" s="49" t="s">
        <v>9244</v>
      </c>
      <c r="E14" s="49" t="s">
        <v>9244</v>
      </c>
      <c r="H14" t="str">
        <f t="shared" si="0"/>
        <v>|0C|Key|![](http://www.djcresswell.com/bloodwych/icons/000.gif)|Key|![](http://www.djcresswell.com/bloodwych/icons/000.gif)|</v>
      </c>
    </row>
    <row r="15" spans="1:8" ht="29" customHeight="1" x14ac:dyDescent="0.2">
      <c r="A15" s="50" t="s">
        <v>9245</v>
      </c>
      <c r="B15" s="49" t="s">
        <v>9246</v>
      </c>
      <c r="E15" s="49" t="s">
        <v>9246</v>
      </c>
      <c r="H15" t="str">
        <f t="shared" si="0"/>
        <v>|0D|Staff|![](http://www.djcresswell.com/bloodwych/icons/000.gif)|Staff|![](http://www.djcresswell.com/bloodwych/icons/000.gif)|</v>
      </c>
    </row>
    <row r="16" spans="1:8" ht="29" customHeight="1" x14ac:dyDescent="0.2">
      <c r="A16" s="50" t="s">
        <v>9247</v>
      </c>
      <c r="B16" s="49" t="s">
        <v>9248</v>
      </c>
      <c r="E16" s="49" t="s">
        <v>9248</v>
      </c>
      <c r="H16" t="str">
        <f t="shared" si="0"/>
        <v>|0E|Wand|![](http://www.djcresswell.com/bloodwych/icons/000.gif)|Wand|![](http://www.djcresswell.com/bloodwych/icons/000.gif)|</v>
      </c>
    </row>
    <row r="17" spans="1:8" ht="29" customHeight="1" x14ac:dyDescent="0.2">
      <c r="A17" s="50" t="s">
        <v>9249</v>
      </c>
      <c r="B17" s="49" t="s">
        <v>9350</v>
      </c>
      <c r="E17" s="49" t="s">
        <v>9384</v>
      </c>
      <c r="H17" t="str">
        <f t="shared" si="0"/>
        <v>|0F|Rune Shield (Original)|![](http://www.djcresswell.com/bloodwych/icons/000.gif)|Rune Shield (New)|![](http://www.djcresswell.com/bloodwych/icons/000.gif)|</v>
      </c>
    </row>
    <row r="18" spans="1:8" ht="29" customHeight="1" x14ac:dyDescent="0.2">
      <c r="A18" s="50">
        <v>10</v>
      </c>
      <c r="B18" s="49" t="s">
        <v>9250</v>
      </c>
      <c r="E18" s="49" t="s">
        <v>9250</v>
      </c>
      <c r="H18" t="str">
        <f t="shared" si="0"/>
        <v>|10|Leather Buckler|![](http://www.djcresswell.com/bloodwych/icons/000.gif)|Leather Buckler|![](http://www.djcresswell.com/bloodwych/icons/000.gif)|</v>
      </c>
    </row>
    <row r="19" spans="1:8" ht="29" customHeight="1" x14ac:dyDescent="0.2">
      <c r="A19" s="50">
        <v>11</v>
      </c>
      <c r="B19" s="49" t="s">
        <v>9251</v>
      </c>
      <c r="E19" s="49" t="s">
        <v>9251</v>
      </c>
      <c r="H19" t="str">
        <f t="shared" si="0"/>
        <v>|11|Shield|![](http://www.djcresswell.com/bloodwych/icons/000.gif)|Shield|![](http://www.djcresswell.com/bloodwych/icons/000.gif)|</v>
      </c>
    </row>
    <row r="20" spans="1:8" ht="29" customHeight="1" x14ac:dyDescent="0.2">
      <c r="A20" s="50">
        <v>12</v>
      </c>
      <c r="B20" s="49" t="s">
        <v>9357</v>
      </c>
      <c r="E20" s="49" t="s">
        <v>9252</v>
      </c>
      <c r="H20" t="str">
        <f t="shared" si="0"/>
        <v>|12|Large Shield|![](http://www.djcresswell.com/bloodwych/icons/000.gif)|War Shield|![](http://www.djcresswell.com/bloodwych/icons/000.gif)|</v>
      </c>
    </row>
    <row r="21" spans="1:8" ht="29" customHeight="1" x14ac:dyDescent="0.2">
      <c r="A21" s="50">
        <v>13</v>
      </c>
      <c r="B21" s="49" t="s">
        <v>9385</v>
      </c>
      <c r="E21" s="49" t="s">
        <v>9253</v>
      </c>
      <c r="H21" t="str">
        <f t="shared" si="0"/>
        <v>|13|Moon Scale|![](http://www.djcresswell.com/bloodwych/icons/000.gif)|Demon Scale|![](http://www.djcresswell.com/bloodwych/icons/000.gif)|</v>
      </c>
    </row>
    <row r="22" spans="1:8" ht="29" customHeight="1" x14ac:dyDescent="0.2">
      <c r="A22" s="50">
        <v>14</v>
      </c>
      <c r="B22" s="49" t="s">
        <v>9252</v>
      </c>
      <c r="E22" s="49" t="s">
        <v>9254</v>
      </c>
      <c r="H22" t="str">
        <f t="shared" si="0"/>
        <v>|14|War Shield|![](http://www.djcresswell.com/bloodwych/icons/000.gif)|Chromatic Plate|![](http://www.djcresswell.com/bloodwych/icons/000.gif)|</v>
      </c>
    </row>
    <row r="23" spans="1:8" ht="29" customHeight="1" x14ac:dyDescent="0.2">
      <c r="A23" s="52">
        <v>15</v>
      </c>
      <c r="B23" s="49" t="s">
        <v>9359</v>
      </c>
      <c r="E23" s="49" t="s">
        <v>9383</v>
      </c>
      <c r="H23" t="str">
        <f t="shared" si="0"/>
        <v>|15|Dragon Scale|![](http://www.djcresswell.com/bloodwych/icons/000.gif)|Soul Plate|![](http://www.djcresswell.com/bloodwych/icons/000.gif)|</v>
      </c>
    </row>
    <row r="24" spans="1:8" ht="29" customHeight="1" x14ac:dyDescent="0.2">
      <c r="A24" s="52">
        <v>16</v>
      </c>
      <c r="B24" s="49" t="s">
        <v>9255</v>
      </c>
      <c r="E24" s="49" t="s">
        <v>9255</v>
      </c>
      <c r="H24" t="str">
        <f t="shared" si="0"/>
        <v>|16|Leather Armour|![](http://www.djcresswell.com/bloodwych/icons/000.gif)|Leather Armour|![](http://www.djcresswell.com/bloodwych/icons/000.gif)|</v>
      </c>
    </row>
    <row r="25" spans="1:8" ht="29" customHeight="1" x14ac:dyDescent="0.2">
      <c r="A25" s="52">
        <v>17</v>
      </c>
      <c r="B25" s="49" t="s">
        <v>9256</v>
      </c>
      <c r="E25" s="49" t="s">
        <v>9256</v>
      </c>
      <c r="H25" t="str">
        <f t="shared" si="0"/>
        <v>|17|Chain Armour |![](http://www.djcresswell.com/bloodwych/icons/000.gif)|Chain Armour |![](http://www.djcresswell.com/bloodwych/icons/000.gif)|</v>
      </c>
    </row>
    <row r="26" spans="1:8" ht="29" customHeight="1" x14ac:dyDescent="0.2">
      <c r="A26" s="52">
        <v>18</v>
      </c>
      <c r="B26" s="49" t="s">
        <v>9257</v>
      </c>
      <c r="E26" s="49" t="s">
        <v>9257</v>
      </c>
      <c r="H26" t="str">
        <f t="shared" si="0"/>
        <v>|18|Plate Armour|![](http://www.djcresswell.com/bloodwych/icons/000.gif)|Plate Armour|![](http://www.djcresswell.com/bloodwych/icons/000.gif)|</v>
      </c>
    </row>
    <row r="27" spans="1:8" ht="29" customHeight="1" x14ac:dyDescent="0.2">
      <c r="A27" s="52">
        <v>19</v>
      </c>
      <c r="B27" s="49" t="s">
        <v>9258</v>
      </c>
      <c r="E27" s="49" t="s">
        <v>9258</v>
      </c>
      <c r="H27" t="str">
        <f t="shared" si="0"/>
        <v>|19|Permit|![](http://www.djcresswell.com/bloodwych/icons/000.gif)|Permit|![](http://www.djcresswell.com/bloodwych/icons/000.gif)|</v>
      </c>
    </row>
    <row r="28" spans="1:8" ht="29" customHeight="1" x14ac:dyDescent="0.2">
      <c r="A28" s="52" t="s">
        <v>9259</v>
      </c>
      <c r="B28" s="49" t="s">
        <v>9260</v>
      </c>
      <c r="E28" s="49" t="s">
        <v>9260</v>
      </c>
      <c r="H28" t="str">
        <f t="shared" si="0"/>
        <v>|1A|Glove Left|![](http://www.djcresswell.com/bloodwych/icons/000.gif)|Glove Left|![](http://www.djcresswell.com/bloodwych/icons/000.gif)|</v>
      </c>
    </row>
    <row r="29" spans="1:8" ht="29" customHeight="1" x14ac:dyDescent="0.2">
      <c r="A29" s="52" t="s">
        <v>9261</v>
      </c>
      <c r="B29" s="49" t="s">
        <v>9262</v>
      </c>
      <c r="E29" s="49" t="s">
        <v>9262</v>
      </c>
      <c r="H29" t="str">
        <f t="shared" si="0"/>
        <v>|1B|Glove Right|![](http://www.djcresswell.com/bloodwych/icons/000.gif)|Glove Right|![](http://www.djcresswell.com/bloodwych/icons/000.gif)|</v>
      </c>
    </row>
    <row r="30" spans="1:8" ht="29" customHeight="1" x14ac:dyDescent="0.2">
      <c r="A30" s="52" t="s">
        <v>5380</v>
      </c>
      <c r="B30" s="49" t="s">
        <v>9263</v>
      </c>
      <c r="E30" s="49" t="s">
        <v>9263</v>
      </c>
      <c r="H30" t="str">
        <f t="shared" si="0"/>
        <v>|1C|Dagger|![](http://www.djcresswell.com/bloodwych/icons/000.gif)|Dagger|![](http://www.djcresswell.com/bloodwych/icons/000.gif)|</v>
      </c>
    </row>
    <row r="31" spans="1:8" ht="29" customHeight="1" x14ac:dyDescent="0.2">
      <c r="A31" s="52" t="s">
        <v>9264</v>
      </c>
      <c r="B31" s="49" t="s">
        <v>9265</v>
      </c>
      <c r="E31" s="49" t="s">
        <v>9265</v>
      </c>
      <c r="H31" t="str">
        <f t="shared" si="0"/>
        <v>|1D|Ring (Bright)|![](http://www.djcresswell.com/bloodwych/icons/000.gif)|Ring (Bright)|![](http://www.djcresswell.com/bloodwych/icons/000.gif)|</v>
      </c>
    </row>
    <row r="32" spans="1:8" ht="29" customHeight="1" x14ac:dyDescent="0.2">
      <c r="A32" s="52" t="s">
        <v>9266</v>
      </c>
      <c r="B32" s="49" t="s">
        <v>9267</v>
      </c>
      <c r="E32" s="49" t="s">
        <v>9267</v>
      </c>
      <c r="H32" t="str">
        <f t="shared" si="0"/>
        <v>|1E|Stealth Blade|![](http://www.djcresswell.com/bloodwych/icons/000.gif)|Stealth Blade|![](http://www.djcresswell.com/bloodwych/icons/000.gif)|</v>
      </c>
    </row>
    <row r="33" spans="1:8" ht="29" customHeight="1" x14ac:dyDescent="0.2">
      <c r="A33" s="50" t="s">
        <v>9268</v>
      </c>
      <c r="B33" s="49" t="s">
        <v>9269</v>
      </c>
      <c r="E33" s="49" t="s">
        <v>9269</v>
      </c>
      <c r="H33" t="str">
        <f t="shared" si="0"/>
        <v>|1F|Bluish Gem|![](http://www.djcresswell.com/bloodwych/icons/000.gif)|Bluish Gem|![](http://www.djcresswell.com/bloodwych/icons/000.gif)|</v>
      </c>
    </row>
    <row r="34" spans="1:8" ht="29" customHeight="1" x14ac:dyDescent="0.2">
      <c r="A34" s="50">
        <v>20</v>
      </c>
      <c r="B34" s="49" t="s">
        <v>9270</v>
      </c>
      <c r="E34" s="49" t="s">
        <v>9270</v>
      </c>
      <c r="H34" t="str">
        <f t="shared" si="0"/>
        <v>|20|Brown Gem [Unused]|![](http://www.djcresswell.com/bloodwych/icons/000.gif)|Brown Gem [Unused]|![](http://www.djcresswell.com/bloodwych/icons/000.gif)|</v>
      </c>
    </row>
    <row r="35" spans="1:8" ht="29" customHeight="1" x14ac:dyDescent="0.2">
      <c r="A35" s="50">
        <v>21</v>
      </c>
      <c r="B35" s="49" t="s">
        <v>9271</v>
      </c>
      <c r="E35" s="49" t="s">
        <v>9271</v>
      </c>
      <c r="H35" t="str">
        <f t="shared" si="0"/>
        <v>|21|Tan Gem|![](http://www.djcresswell.com/bloodwych/icons/000.gif)|Tan Gem|![](http://www.djcresswell.com/bloodwych/icons/000.gif)|</v>
      </c>
    </row>
    <row r="36" spans="1:8" ht="29" customHeight="1" x14ac:dyDescent="0.2">
      <c r="A36" s="50">
        <v>22</v>
      </c>
      <c r="B36" s="49" t="s">
        <v>9339</v>
      </c>
      <c r="E36" s="49" t="s">
        <v>9272</v>
      </c>
      <c r="H36" t="str">
        <f t="shared" si="0"/>
        <v>|22|Short Sword|![](http://www.djcresswell.com/bloodwych/icons/000.gif)|Sword|![](http://www.djcresswell.com/bloodwych/icons/000.gif)|</v>
      </c>
    </row>
    <row r="37" spans="1:8" ht="29" customHeight="1" x14ac:dyDescent="0.2">
      <c r="A37" s="50">
        <v>23</v>
      </c>
      <c r="B37" s="49" t="s">
        <v>9272</v>
      </c>
      <c r="E37" s="49" t="s">
        <v>9273</v>
      </c>
      <c r="H37" t="str">
        <f t="shared" si="0"/>
        <v>|23|Sword|![](http://www.djcresswell.com/bloodwych/icons/000.gif)|Fleshbane|![](http://www.djcresswell.com/bloodwych/icons/000.gif)|</v>
      </c>
    </row>
    <row r="38" spans="1:8" ht="29" customHeight="1" x14ac:dyDescent="0.2">
      <c r="A38" s="50">
        <v>24</v>
      </c>
      <c r="B38" s="49" t="s">
        <v>9273</v>
      </c>
      <c r="E38" s="49" t="s">
        <v>9274</v>
      </c>
      <c r="H38" t="str">
        <f t="shared" si="0"/>
        <v>|24|Fleshbane|![](http://www.djcresswell.com/bloodwych/icons/000.gif)|Rune Sword|![](http://www.djcresswell.com/bloodwych/icons/000.gif)|</v>
      </c>
    </row>
    <row r="39" spans="1:8" ht="29" customHeight="1" x14ac:dyDescent="0.2">
      <c r="A39" s="50">
        <v>25</v>
      </c>
      <c r="B39" s="49" t="s">
        <v>9341</v>
      </c>
      <c r="E39" s="49" t="s">
        <v>9275</v>
      </c>
      <c r="H39" t="str">
        <f t="shared" si="0"/>
        <v>|25|Demon Blade|![](http://www.djcresswell.com/bloodwych/icons/000.gif)|Soul Sucker|![](http://www.djcresswell.com/bloodwych/icons/000.gif)|</v>
      </c>
    </row>
    <row r="40" spans="1:8" ht="29" customHeight="1" x14ac:dyDescent="0.2">
      <c r="A40" s="50">
        <v>26</v>
      </c>
      <c r="B40" s="49" t="s">
        <v>9276</v>
      </c>
      <c r="E40" s="49" t="s">
        <v>9276</v>
      </c>
      <c r="H40" t="str">
        <f t="shared" si="0"/>
        <v>|26|Ace of Swords|![](http://www.djcresswell.com/bloodwych/icons/000.gif)|Ace of Swords|![](http://www.djcresswell.com/bloodwych/icons/000.gif)|</v>
      </c>
    </row>
    <row r="41" spans="1:8" ht="29" customHeight="1" x14ac:dyDescent="0.2">
      <c r="A41" s="50">
        <v>27</v>
      </c>
      <c r="B41" s="49" t="s">
        <v>9277</v>
      </c>
      <c r="E41" s="49" t="s">
        <v>9277</v>
      </c>
      <c r="H41" t="str">
        <f t="shared" si="0"/>
        <v>|27|Axe|![](http://www.djcresswell.com/bloodwych/icons/000.gif)|Axe|![](http://www.djcresswell.com/bloodwych/icons/000.gif)|</v>
      </c>
    </row>
    <row r="42" spans="1:8" ht="29" customHeight="1" x14ac:dyDescent="0.2">
      <c r="A42" s="50">
        <v>28</v>
      </c>
      <c r="B42" s="49" t="s">
        <v>9345</v>
      </c>
      <c r="E42" s="49" t="s">
        <v>9278</v>
      </c>
      <c r="H42" t="str">
        <f t="shared" si="0"/>
        <v>|28|Troll's Axe|![](http://www.djcresswell.com/bloodwych/icons/000.gif)|Ogre's Axe|![](http://www.djcresswell.com/bloodwych/icons/000.gif)|</v>
      </c>
    </row>
    <row r="43" spans="1:8" ht="29" customHeight="1" x14ac:dyDescent="0.2">
      <c r="A43" s="50">
        <v>29</v>
      </c>
      <c r="B43" s="49" t="s">
        <v>9347</v>
      </c>
      <c r="E43" s="49" t="s">
        <v>9279</v>
      </c>
      <c r="H43" t="str">
        <f t="shared" si="0"/>
        <v>|29|Deathbringer|![](http://www.djcresswell.com/bloodwych/icons/000.gif)|Grey Axe|![](http://www.djcresswell.com/bloodwych/icons/000.gif)|</v>
      </c>
    </row>
    <row r="44" spans="1:8" ht="29" customHeight="1" x14ac:dyDescent="0.2">
      <c r="A44" s="50" t="s">
        <v>9280</v>
      </c>
      <c r="B44" s="49" t="s">
        <v>9348</v>
      </c>
      <c r="E44" s="49" t="s">
        <v>9281</v>
      </c>
      <c r="H44" t="str">
        <f t="shared" si="0"/>
        <v>|2A|Brainbiter|![](http://www.djcresswell.com/bloodwych/icons/000.gif)|Dragon Axe|![](http://www.djcresswell.com/bloodwych/icons/000.gif)|</v>
      </c>
    </row>
    <row r="45" spans="1:8" ht="29" customHeight="1" x14ac:dyDescent="0.2">
      <c r="A45" s="50" t="s">
        <v>9282</v>
      </c>
      <c r="B45" s="49" t="s">
        <v>9283</v>
      </c>
      <c r="E45" s="49" t="s">
        <v>9283</v>
      </c>
      <c r="H45" t="str">
        <f t="shared" si="0"/>
        <v>|2B|Bow|![](http://www.djcresswell.com/bloodwych/icons/000.gif)|Bow|![](http://www.djcresswell.com/bloodwych/icons/000.gif)|</v>
      </c>
    </row>
    <row r="46" spans="1:8" ht="29" customHeight="1" x14ac:dyDescent="0.2">
      <c r="A46" s="50" t="s">
        <v>9284</v>
      </c>
      <c r="B46" s="49" t="s">
        <v>9285</v>
      </c>
      <c r="E46" s="49" t="s">
        <v>9285</v>
      </c>
      <c r="H46" t="str">
        <f t="shared" si="0"/>
        <v>|2C|Crossbow|![](http://www.djcresswell.com/bloodwych/icons/000.gif)|Crossbow|![](http://www.djcresswell.com/bloodwych/icons/000.gif)|</v>
      </c>
    </row>
    <row r="47" spans="1:8" ht="29" customHeight="1" x14ac:dyDescent="0.2">
      <c r="A47" s="50" t="s">
        <v>9286</v>
      </c>
      <c r="B47" s="49" t="s">
        <v>9287</v>
      </c>
      <c r="E47" s="49" t="s">
        <v>9287</v>
      </c>
      <c r="H47" t="str">
        <f t="shared" si="0"/>
        <v>|2D|1/3 Apple|![](http://www.djcresswell.com/bloodwych/icons/000.gif)|1/3 Apple|![](http://www.djcresswell.com/bloodwych/icons/000.gif)|</v>
      </c>
    </row>
    <row r="48" spans="1:8" ht="29" customHeight="1" x14ac:dyDescent="0.2">
      <c r="A48" s="50" t="s">
        <v>9288</v>
      </c>
      <c r="B48" s="49" t="s">
        <v>9289</v>
      </c>
      <c r="E48" s="49" t="s">
        <v>9289</v>
      </c>
      <c r="H48" t="str">
        <f t="shared" si="0"/>
        <v>|2E|2/3 Apple|![](http://www.djcresswell.com/bloodwych/icons/000.gif)|2/3 Apple|![](http://www.djcresswell.com/bloodwych/icons/000.gif)|</v>
      </c>
    </row>
    <row r="49" spans="1:8" ht="29" customHeight="1" x14ac:dyDescent="0.2">
      <c r="A49" s="50" t="s">
        <v>9290</v>
      </c>
      <c r="B49" s="49" t="s">
        <v>9291</v>
      </c>
      <c r="E49" s="49" t="s">
        <v>9291</v>
      </c>
      <c r="H49" t="str">
        <f t="shared" si="0"/>
        <v>|2F|Full Apple|![](http://www.djcresswell.com/bloodwych/icons/000.gif)|Full Apple|![](http://www.djcresswell.com/bloodwych/icons/000.gif)|</v>
      </c>
    </row>
    <row r="50" spans="1:8" ht="29" customHeight="1" x14ac:dyDescent="0.2">
      <c r="A50" s="50">
        <v>30</v>
      </c>
      <c r="B50" s="49" t="s">
        <v>9292</v>
      </c>
      <c r="E50" s="49" t="s">
        <v>9292</v>
      </c>
      <c r="H50" t="str">
        <f t="shared" si="0"/>
        <v>|30|1/3 Biscuit|![](http://www.djcresswell.com/bloodwych/icons/000.gif)|1/3 Biscuit|![](http://www.djcresswell.com/bloodwych/icons/000.gif)|</v>
      </c>
    </row>
    <row r="51" spans="1:8" ht="29" customHeight="1" x14ac:dyDescent="0.2">
      <c r="A51" s="50">
        <v>31</v>
      </c>
      <c r="B51" s="49" t="s">
        <v>9293</v>
      </c>
      <c r="E51" s="49" t="s">
        <v>9293</v>
      </c>
      <c r="H51" t="str">
        <f t="shared" si="0"/>
        <v>|31|2/3 Biscuit|![](http://www.djcresswell.com/bloodwych/icons/000.gif)|2/3 Biscuit|![](http://www.djcresswell.com/bloodwych/icons/000.gif)|</v>
      </c>
    </row>
    <row r="52" spans="1:8" ht="29" customHeight="1" x14ac:dyDescent="0.2">
      <c r="A52" s="50">
        <v>32</v>
      </c>
      <c r="B52" s="49" t="s">
        <v>9294</v>
      </c>
      <c r="E52" s="49" t="s">
        <v>9294</v>
      </c>
      <c r="H52" t="str">
        <f t="shared" si="0"/>
        <v>|32|Full Biscuit|![](http://www.djcresswell.com/bloodwych/icons/000.gif)|Full Biscuit|![](http://www.djcresswell.com/bloodwych/icons/000.gif)|</v>
      </c>
    </row>
    <row r="53" spans="1:8" ht="29" customHeight="1" x14ac:dyDescent="0.2">
      <c r="A53" s="50">
        <v>33</v>
      </c>
      <c r="B53" s="49" t="s">
        <v>9295</v>
      </c>
      <c r="E53" s="49" t="s">
        <v>9295</v>
      </c>
      <c r="H53" t="str">
        <f t="shared" si="0"/>
        <v>|33|1/3 Chicken|![](http://www.djcresswell.com/bloodwych/icons/000.gif)|1/3 Chicken|![](http://www.djcresswell.com/bloodwych/icons/000.gif)|</v>
      </c>
    </row>
    <row r="54" spans="1:8" ht="29" customHeight="1" x14ac:dyDescent="0.2">
      <c r="A54" s="50">
        <v>34</v>
      </c>
      <c r="B54" s="49" t="s">
        <v>9296</v>
      </c>
      <c r="E54" s="49" t="s">
        <v>9296</v>
      </c>
      <c r="H54" t="str">
        <f t="shared" si="0"/>
        <v>|34|2/3 Chicken|![](http://www.djcresswell.com/bloodwych/icons/000.gif)|2/3 Chicken|![](http://www.djcresswell.com/bloodwych/icons/000.gif)|</v>
      </c>
    </row>
    <row r="55" spans="1:8" ht="29" customHeight="1" x14ac:dyDescent="0.2">
      <c r="A55" s="50">
        <v>35</v>
      </c>
      <c r="B55" s="49" t="s">
        <v>9297</v>
      </c>
      <c r="E55" s="49" t="s">
        <v>9297</v>
      </c>
      <c r="H55" t="str">
        <f t="shared" si="0"/>
        <v>|35|Full Chicken|![](http://www.djcresswell.com/bloodwych/icons/000.gif)|Full Chicken|![](http://www.djcresswell.com/bloodwych/icons/000.gif)|</v>
      </c>
    </row>
    <row r="56" spans="1:8" ht="29" customHeight="1" x14ac:dyDescent="0.2">
      <c r="A56" s="50">
        <v>36</v>
      </c>
      <c r="B56" s="49" t="s">
        <v>9298</v>
      </c>
      <c r="E56" s="49" t="s">
        <v>9298</v>
      </c>
      <c r="H56" t="str">
        <f t="shared" si="0"/>
        <v>|36|N'egg|![](http://www.djcresswell.com/bloodwych/icons/000.gif)|N'egg|![](http://www.djcresswell.com/bloodwych/icons/000.gif)|</v>
      </c>
    </row>
    <row r="57" spans="1:8" ht="29" customHeight="1" x14ac:dyDescent="0.2">
      <c r="A57" s="50">
        <v>37</v>
      </c>
      <c r="B57" s="49" t="s">
        <v>9299</v>
      </c>
      <c r="E57" s="49" t="s">
        <v>9299</v>
      </c>
      <c r="H57" t="str">
        <f t="shared" si="0"/>
        <v>|37|1/3 Liquid|![](http://www.djcresswell.com/bloodwych/icons/000.gif)|1/3 Liquid|![](http://www.djcresswell.com/bloodwych/icons/000.gif)|</v>
      </c>
    </row>
    <row r="58" spans="1:8" ht="29" customHeight="1" x14ac:dyDescent="0.2">
      <c r="A58" s="50">
        <v>38</v>
      </c>
      <c r="B58" s="49" t="s">
        <v>9300</v>
      </c>
      <c r="E58" s="49" t="s">
        <v>9300</v>
      </c>
      <c r="H58" t="str">
        <f t="shared" si="0"/>
        <v>|38|2/3 Liquid|![](http://www.djcresswell.com/bloodwych/icons/000.gif)|2/3 Liquid|![](http://www.djcresswell.com/bloodwych/icons/000.gif)|</v>
      </c>
    </row>
    <row r="59" spans="1:8" ht="29" customHeight="1" x14ac:dyDescent="0.2">
      <c r="A59" s="50">
        <v>39</v>
      </c>
      <c r="B59" s="49" t="s">
        <v>9301</v>
      </c>
      <c r="E59" s="49" t="s">
        <v>9301</v>
      </c>
      <c r="H59" t="str">
        <f t="shared" si="0"/>
        <v>|39|Full Liquid|![](http://www.djcresswell.com/bloodwych/icons/000.gif)|Full Liquid|![](http://www.djcresswell.com/bloodwych/icons/000.gif)|</v>
      </c>
    </row>
    <row r="60" spans="1:8" ht="29" customHeight="1" x14ac:dyDescent="0.2">
      <c r="A60" s="50" t="s">
        <v>9302</v>
      </c>
      <c r="B60" s="49" t="s">
        <v>9303</v>
      </c>
      <c r="E60" s="49" t="s">
        <v>9303</v>
      </c>
      <c r="H60" t="str">
        <f t="shared" si="0"/>
        <v>|3A|Corpse|![](http://www.djcresswell.com/bloodwych/icons/000.gif)|Corpse|![](http://www.djcresswell.com/bloodwych/icons/000.gif)|</v>
      </c>
    </row>
    <row r="61" spans="1:8" ht="29" customHeight="1" x14ac:dyDescent="0.2">
      <c r="A61" s="50" t="s">
        <v>9304</v>
      </c>
      <c r="B61" s="49" t="s">
        <v>9305</v>
      </c>
      <c r="E61" s="49" t="s">
        <v>9305</v>
      </c>
      <c r="H61" t="str">
        <f t="shared" si="0"/>
        <v>|3B|Blank|![](http://www.djcresswell.com/bloodwych/icons/000.gif)|Blank|![](http://www.djcresswell.com/bloodwych/icons/000.gif)|</v>
      </c>
    </row>
    <row r="62" spans="1:8" ht="29" customHeight="1" x14ac:dyDescent="0.2">
      <c r="A62" s="50" t="s">
        <v>9306</v>
      </c>
      <c r="B62" s="49" t="s">
        <v>9307</v>
      </c>
      <c r="E62" s="49" t="s">
        <v>9307</v>
      </c>
      <c r="H62" t="str">
        <f t="shared" si="0"/>
        <v>|3C|Magic Armour|![](http://www.djcresswell.com/bloodwych/icons/000.gif)|Magic Armour|![](http://www.djcresswell.com/bloodwych/icons/000.gif)|</v>
      </c>
    </row>
    <row r="63" spans="1:8" ht="29" customHeight="1" x14ac:dyDescent="0.2">
      <c r="A63" s="50" t="s">
        <v>9308</v>
      </c>
      <c r="B63" s="49" t="s">
        <v>9309</v>
      </c>
      <c r="E63" s="49" t="s">
        <v>9309</v>
      </c>
      <c r="H63" t="str">
        <f t="shared" si="0"/>
        <v>|3D|Magic Deflect|![](http://www.djcresswell.com/bloodwych/icons/000.gif)|Magic Deflect|![](http://www.djcresswell.com/bloodwych/icons/000.gif)|</v>
      </c>
    </row>
    <row r="64" spans="1:8" ht="29" customHeight="1" x14ac:dyDescent="0.2">
      <c r="A64" s="50" t="s">
        <v>9310</v>
      </c>
      <c r="B64" s="49" t="s">
        <v>9311</v>
      </c>
      <c r="E64" s="49" t="s">
        <v>9311</v>
      </c>
      <c r="H64" t="str">
        <f t="shared" si="0"/>
        <v>|3E|Magic Strength|![](http://www.djcresswell.com/bloodwych/icons/000.gif)|Magic Strength|![](http://www.djcresswell.com/bloodwych/icons/000.gif)|</v>
      </c>
    </row>
    <row r="65" spans="1:8" ht="29" customHeight="1" x14ac:dyDescent="0.2">
      <c r="A65" s="50" t="s">
        <v>9312</v>
      </c>
      <c r="B65" s="49" t="s">
        <v>9313</v>
      </c>
      <c r="E65" s="49" t="s">
        <v>9313</v>
      </c>
      <c r="H65" t="str">
        <f t="shared" si="0"/>
        <v>|3F|Magic Vanish|![](http://www.djcresswell.com/bloodwych/icons/000.gif)|Magic Vanish|![](http://www.djcresswell.com/bloodwych/icons/000.gif)|</v>
      </c>
    </row>
    <row r="66" spans="1:8" ht="29" customHeight="1" x14ac:dyDescent="0.2">
      <c r="A66" s="50">
        <v>40</v>
      </c>
      <c r="B66" s="49" t="s">
        <v>9314</v>
      </c>
      <c r="E66" s="49" t="s">
        <v>9314</v>
      </c>
      <c r="H66" t="str">
        <f t="shared" si="0"/>
        <v>|40|Compass North|![](http://www.djcresswell.com/bloodwych/icons/000.gif)|Compass North|![](http://www.djcresswell.com/bloodwych/icons/000.gif)|</v>
      </c>
    </row>
    <row r="67" spans="1:8" ht="29" customHeight="1" x14ac:dyDescent="0.2">
      <c r="A67" s="50">
        <v>41</v>
      </c>
      <c r="B67" s="49" t="s">
        <v>9315</v>
      </c>
      <c r="E67" s="49" t="s">
        <v>9315</v>
      </c>
      <c r="H67" t="str">
        <f t="shared" ref="H67:H121" si="1">"|"&amp;TEXT(A67,"00")&amp;"|"&amp;B67&amp;"|"&amp;"![](http://www.djcresswell.com/bloodwych/icons/"&amp;TEXT(C67,"000")&amp;".gif)|"&amp;E67&amp;"|"&amp;"![](http://www.djcresswell.com/bloodwych/icons/"&amp;TEXT(F67,"000")&amp;".gif)|"</f>
        <v>|41|Compass East|![](http://www.djcresswell.com/bloodwych/icons/000.gif)|Compass East|![](http://www.djcresswell.com/bloodwych/icons/000.gif)|</v>
      </c>
    </row>
    <row r="68" spans="1:8" ht="29" customHeight="1" x14ac:dyDescent="0.2">
      <c r="A68" s="50">
        <v>42</v>
      </c>
      <c r="B68" s="49" t="s">
        <v>9316</v>
      </c>
      <c r="E68" s="49" t="s">
        <v>9316</v>
      </c>
      <c r="H68" t="str">
        <f t="shared" si="1"/>
        <v>|42|Compass South|![](http://www.djcresswell.com/bloodwych/icons/000.gif)|Compass South|![](http://www.djcresswell.com/bloodwych/icons/000.gif)|</v>
      </c>
    </row>
    <row r="69" spans="1:8" ht="29" customHeight="1" x14ac:dyDescent="0.2">
      <c r="A69" s="50">
        <v>43</v>
      </c>
      <c r="B69" s="49" t="s">
        <v>9317</v>
      </c>
      <c r="E69" s="49" t="s">
        <v>9317</v>
      </c>
      <c r="H69" t="str">
        <f t="shared" si="1"/>
        <v>|43|Compass West|![](http://www.djcresswell.com/bloodwych/icons/000.gif)|Compass West|![](http://www.djcresswell.com/bloodwych/icons/000.gif)|</v>
      </c>
    </row>
    <row r="70" spans="1:8" ht="29" customHeight="1" x14ac:dyDescent="0.2">
      <c r="A70" s="50">
        <v>44</v>
      </c>
      <c r="B70" s="49" t="s">
        <v>9318</v>
      </c>
      <c r="E70" s="49" t="s">
        <v>9318</v>
      </c>
      <c r="H70" t="str">
        <f t="shared" si="1"/>
        <v>|44|Magic Levitate|![](http://www.djcresswell.com/bloodwych/icons/000.gif)|Magic Levitate|![](http://www.djcresswell.com/bloodwych/icons/000.gif)|</v>
      </c>
    </row>
    <row r="71" spans="1:8" ht="29" customHeight="1" x14ac:dyDescent="0.2">
      <c r="A71" s="50">
        <v>45</v>
      </c>
      <c r="B71" s="49" t="s">
        <v>9319</v>
      </c>
      <c r="E71" s="49" t="s">
        <v>9319</v>
      </c>
      <c r="H71" t="str">
        <f t="shared" si="1"/>
        <v>|45|Magic Antimage|![](http://www.djcresswell.com/bloodwych/icons/000.gif)|Magic Antimage|![](http://www.djcresswell.com/bloodwych/icons/000.gif)|</v>
      </c>
    </row>
    <row r="72" spans="1:8" ht="29" customHeight="1" x14ac:dyDescent="0.2">
      <c r="A72" s="50">
        <v>46</v>
      </c>
      <c r="B72" s="49" t="s">
        <v>9320</v>
      </c>
      <c r="E72" s="49" t="s">
        <v>9320</v>
      </c>
      <c r="H72" t="str">
        <f t="shared" si="1"/>
        <v>|46|Magic Trueview|![](http://www.djcresswell.com/bloodwych/icons/000.gif)|Magic Trueview|![](http://www.djcresswell.com/bloodwych/icons/000.gif)|</v>
      </c>
    </row>
    <row r="73" spans="1:8" ht="29" customHeight="1" x14ac:dyDescent="0.2">
      <c r="A73" s="50">
        <v>47</v>
      </c>
      <c r="B73" s="49" t="s">
        <v>9386</v>
      </c>
      <c r="E73" s="49" t="s">
        <v>9305</v>
      </c>
      <c r="H73" t="str">
        <f t="shared" si="1"/>
        <v>|47|Flame [Unused]|![](http://www.djcresswell.com/bloodwych/icons/000.gif)|Blank|![](http://www.djcresswell.com/bloodwych/icons/000.gif)|</v>
      </c>
    </row>
    <row r="74" spans="1:8" ht="29" customHeight="1" x14ac:dyDescent="0.2">
      <c r="A74" s="50">
        <v>48</v>
      </c>
      <c r="B74" s="49" t="s">
        <v>9321</v>
      </c>
      <c r="E74" s="49" t="s">
        <v>9321</v>
      </c>
      <c r="H74" t="str">
        <f t="shared" si="1"/>
        <v>|48|Backwards Gloves|![](http://www.djcresswell.com/bloodwych/icons/000.gif)|Backwards Gloves|![](http://www.djcresswell.com/bloodwych/icons/000.gif)|</v>
      </c>
    </row>
    <row r="75" spans="1:8" ht="29" customHeight="1" x14ac:dyDescent="0.2">
      <c r="A75" s="50">
        <v>49</v>
      </c>
      <c r="B75" s="49" t="s">
        <v>9305</v>
      </c>
      <c r="E75" s="49" t="s">
        <v>9305</v>
      </c>
      <c r="H75" t="str">
        <f t="shared" si="1"/>
        <v>|49|Blank|![](http://www.djcresswell.com/bloodwych/icons/000.gif)|Blank|![](http://www.djcresswell.com/bloodwych/icons/000.gif)|</v>
      </c>
    </row>
    <row r="76" spans="1:8" ht="29" customHeight="1" x14ac:dyDescent="0.2">
      <c r="A76" s="50" t="s">
        <v>9322</v>
      </c>
      <c r="B76" s="49" t="s">
        <v>9323</v>
      </c>
      <c r="E76" s="49" t="s">
        <v>9323</v>
      </c>
      <c r="H76" t="str">
        <f t="shared" si="1"/>
        <v>|4A|Surround Square|![](http://www.djcresswell.com/bloodwych/icons/000.gif)|Surround Square|![](http://www.djcresswell.com/bloodwych/icons/000.gif)|</v>
      </c>
    </row>
    <row r="77" spans="1:8" ht="29" customHeight="1" x14ac:dyDescent="0.2">
      <c r="A77" s="50" t="s">
        <v>9324</v>
      </c>
      <c r="B77" s="49" t="s">
        <v>9325</v>
      </c>
      <c r="E77" s="49" t="s">
        <v>9325</v>
      </c>
      <c r="H77" t="str">
        <f t="shared" si="1"/>
        <v>|4B|Warrior Icon (Spade)|![](http://www.djcresswell.com/bloodwych/icons/000.gif)|Warrior Icon (Spade)|![](http://www.djcresswell.com/bloodwych/icons/000.gif)|</v>
      </c>
    </row>
    <row r="78" spans="1:8" ht="29" customHeight="1" x14ac:dyDescent="0.2">
      <c r="A78" s="50" t="s">
        <v>9326</v>
      </c>
      <c r="B78" s="49" t="s">
        <v>9327</v>
      </c>
      <c r="E78" s="49" t="s">
        <v>9327</v>
      </c>
      <c r="H78" t="str">
        <f t="shared" si="1"/>
        <v>|4C |Wizard Icon (Club)|![](http://www.djcresswell.com/bloodwych/icons/000.gif)|Wizard Icon (Club)|![](http://www.djcresswell.com/bloodwych/icons/000.gif)|</v>
      </c>
    </row>
    <row r="79" spans="1:8" ht="29" customHeight="1" x14ac:dyDescent="0.2">
      <c r="A79" s="50" t="s">
        <v>9328</v>
      </c>
      <c r="B79" s="49" t="s">
        <v>9329</v>
      </c>
      <c r="E79" s="49" t="s">
        <v>9329</v>
      </c>
      <c r="H79" t="str">
        <f t="shared" si="1"/>
        <v>|4D|Adventurer Icon (Heart)|![](http://www.djcresswell.com/bloodwych/icons/000.gif)|Adventurer Icon (Heart)|![](http://www.djcresswell.com/bloodwych/icons/000.gif)|</v>
      </c>
    </row>
    <row r="80" spans="1:8" ht="29" customHeight="1" x14ac:dyDescent="0.2">
      <c r="A80" s="50" t="s">
        <v>9330</v>
      </c>
      <c r="B80" s="49" t="s">
        <v>9331</v>
      </c>
      <c r="E80" s="49" t="s">
        <v>9331</v>
      </c>
      <c r="H80" t="str">
        <f t="shared" si="1"/>
        <v>|4E|Cutpurse Icon (Diamond)|![](http://www.djcresswell.com/bloodwych/icons/000.gif)|Cutpurse Icon (Diamond)|![](http://www.djcresswell.com/bloodwych/icons/000.gif)|</v>
      </c>
    </row>
    <row r="81" spans="1:8" ht="29" customHeight="1" x14ac:dyDescent="0.2">
      <c r="A81" s="50" t="s">
        <v>9332</v>
      </c>
      <c r="B81" s="49" t="s">
        <v>9333</v>
      </c>
      <c r="E81" s="49" t="s">
        <v>9333</v>
      </c>
      <c r="H81" t="str">
        <f t="shared" si="1"/>
        <v>|4F|Spell Star (Blank)|![](http://www.djcresswell.com/bloodwych/icons/000.gif)|Spell Star (Blank)|![](http://www.djcresswell.com/bloodwych/icons/000.gif)|</v>
      </c>
    </row>
    <row r="82" spans="1:8" ht="29" customHeight="1" x14ac:dyDescent="0.2">
      <c r="A82" s="50">
        <v>50</v>
      </c>
      <c r="B82" s="49" t="s">
        <v>9334</v>
      </c>
      <c r="E82" s="49" t="s">
        <v>9334</v>
      </c>
      <c r="H82" t="str">
        <f t="shared" si="1"/>
        <v>|50|Spell Star (Serpent)|![](http://www.djcresswell.com/bloodwych/icons/000.gif)|Spell Star (Serpent)|![](http://www.djcresswell.com/bloodwych/icons/000.gif)|</v>
      </c>
    </row>
    <row r="83" spans="1:8" ht="29" customHeight="1" x14ac:dyDescent="0.2">
      <c r="A83" s="50">
        <v>51</v>
      </c>
      <c r="B83" s="49" t="s">
        <v>9335</v>
      </c>
      <c r="E83" s="49" t="s">
        <v>9335</v>
      </c>
      <c r="H83" t="str">
        <f t="shared" si="1"/>
        <v>|51|Spell Star (Chaos)|![](http://www.djcresswell.com/bloodwych/icons/000.gif)|Spell Star (Chaos)|![](http://www.djcresswell.com/bloodwych/icons/000.gif)|</v>
      </c>
    </row>
    <row r="84" spans="1:8" ht="29" customHeight="1" x14ac:dyDescent="0.2">
      <c r="A84" s="50">
        <v>52</v>
      </c>
      <c r="B84" s="49" t="s">
        <v>9336</v>
      </c>
      <c r="E84" s="49" t="s">
        <v>9336</v>
      </c>
      <c r="H84" t="str">
        <f t="shared" si="1"/>
        <v>|52|Spell Star (Dragon)|![](http://www.djcresswell.com/bloodwych/icons/000.gif)|Spell Star (Dragon)|![](http://www.djcresswell.com/bloodwych/icons/000.gif)|</v>
      </c>
    </row>
    <row r="85" spans="1:8" ht="29" customHeight="1" x14ac:dyDescent="0.2">
      <c r="A85" s="50">
        <v>53</v>
      </c>
      <c r="B85" s="49" t="s">
        <v>9337</v>
      </c>
      <c r="E85" s="49" t="s">
        <v>9337</v>
      </c>
      <c r="H85" t="str">
        <f t="shared" si="1"/>
        <v>|53|Spell Star (Moon)|![](http://www.djcresswell.com/bloodwych/icons/000.gif)|Spell Star (Moon)|![](http://www.djcresswell.com/bloodwych/icons/000.gif)|</v>
      </c>
    </row>
    <row r="86" spans="1:8" ht="29" customHeight="1" x14ac:dyDescent="0.2">
      <c r="A86" s="50">
        <v>54</v>
      </c>
      <c r="B86" s="49" t="s">
        <v>9338</v>
      </c>
      <c r="E86" s="49" t="s">
        <v>9338</v>
      </c>
      <c r="H86" t="str">
        <f t="shared" si="1"/>
        <v>|54|Spell Star (Ancient)|![](http://www.djcresswell.com/bloodwych/icons/000.gif)|Spell Star (Ancient)|![](http://www.djcresswell.com/bloodwych/icons/000.gif)|</v>
      </c>
    </row>
    <row r="87" spans="1:8" ht="29" customHeight="1" x14ac:dyDescent="0.2">
      <c r="A87" s="50">
        <v>55</v>
      </c>
      <c r="B87" s="49" t="s">
        <v>9305</v>
      </c>
      <c r="E87" s="49" t="s">
        <v>9339</v>
      </c>
      <c r="H87" t="str">
        <f t="shared" si="1"/>
        <v>|55|Blank|![](http://www.djcresswell.com/bloodwych/icons/000.gif)|Short Sword|![](http://www.djcresswell.com/bloodwych/icons/000.gif)|</v>
      </c>
    </row>
    <row r="88" spans="1:8" ht="29" customHeight="1" x14ac:dyDescent="0.2">
      <c r="A88" s="50">
        <v>56</v>
      </c>
      <c r="B88" s="49" t="s">
        <v>9305</v>
      </c>
      <c r="E88" s="49" t="s">
        <v>9340</v>
      </c>
      <c r="H88" t="str">
        <f t="shared" si="1"/>
        <v>|56|Blank|![](http://www.djcresswell.com/bloodwych/icons/000.gif)|Cutlass [Unused]|![](http://www.djcresswell.com/bloodwych/icons/000.gif)|</v>
      </c>
    </row>
    <row r="89" spans="1:8" ht="29" customHeight="1" x14ac:dyDescent="0.2">
      <c r="A89" s="50">
        <v>57</v>
      </c>
      <c r="B89" s="49" t="s">
        <v>9305</v>
      </c>
      <c r="E89" s="49" t="s">
        <v>9341</v>
      </c>
      <c r="H89" t="str">
        <f t="shared" si="1"/>
        <v>|57|Blank|![](http://www.djcresswell.com/bloodwych/icons/000.gif)|Demon Blade|![](http://www.djcresswell.com/bloodwych/icons/000.gif)|</v>
      </c>
    </row>
    <row r="90" spans="1:8" ht="29" customHeight="1" x14ac:dyDescent="0.2">
      <c r="A90" s="50">
        <v>58</v>
      </c>
      <c r="B90" s="49" t="s">
        <v>9305</v>
      </c>
      <c r="E90" s="49" t="s">
        <v>9342</v>
      </c>
      <c r="H90" t="str">
        <f t="shared" si="1"/>
        <v>|58|Blank|![](http://www.djcresswell.com/bloodwych/icons/000.gif)|Ace of Swords II|![](http://www.djcresswell.com/bloodwych/icons/000.gif)|</v>
      </c>
    </row>
    <row r="91" spans="1:8" ht="29" customHeight="1" x14ac:dyDescent="0.2">
      <c r="A91" s="50">
        <v>59</v>
      </c>
      <c r="B91" s="49" t="s">
        <v>9305</v>
      </c>
      <c r="E91" s="49" t="s">
        <v>9343</v>
      </c>
      <c r="H91" t="str">
        <f t="shared" si="1"/>
        <v>|59|Blank|![](http://www.djcresswell.com/bloodwych/icons/000.gif)|Axe II|![](http://www.djcresswell.com/bloodwych/icons/000.gif)|</v>
      </c>
    </row>
    <row r="92" spans="1:8" ht="29" customHeight="1" x14ac:dyDescent="0.2">
      <c r="A92" s="50" t="s">
        <v>9344</v>
      </c>
      <c r="B92" s="49" t="s">
        <v>9305</v>
      </c>
      <c r="E92" s="49" t="s">
        <v>9345</v>
      </c>
      <c r="H92" t="str">
        <f t="shared" si="1"/>
        <v>|5A|Blank|![](http://www.djcresswell.com/bloodwych/icons/000.gif)|Troll's Axe|![](http://www.djcresswell.com/bloodwych/icons/000.gif)|</v>
      </c>
    </row>
    <row r="93" spans="1:8" ht="29" customHeight="1" x14ac:dyDescent="0.2">
      <c r="A93" s="50" t="s">
        <v>9346</v>
      </c>
      <c r="B93" s="49" t="s">
        <v>9305</v>
      </c>
      <c r="E93" s="49" t="s">
        <v>9347</v>
      </c>
      <c r="H93" t="str">
        <f t="shared" si="1"/>
        <v>|5B|Blank|![](http://www.djcresswell.com/bloodwych/icons/000.gif)|Deathbringer|![](http://www.djcresswell.com/bloodwych/icons/000.gif)|</v>
      </c>
    </row>
    <row r="94" spans="1:8" ht="29" customHeight="1" x14ac:dyDescent="0.2">
      <c r="A94" s="50" t="s">
        <v>5384</v>
      </c>
      <c r="B94" s="49" t="s">
        <v>9305</v>
      </c>
      <c r="E94" s="49" t="s">
        <v>9348</v>
      </c>
      <c r="H94" t="str">
        <f t="shared" si="1"/>
        <v>|5C|Blank|![](http://www.djcresswell.com/bloodwych/icons/000.gif)|Brainbiter|![](http://www.djcresswell.com/bloodwych/icons/000.gif)|</v>
      </c>
    </row>
    <row r="95" spans="1:8" ht="29" customHeight="1" x14ac:dyDescent="0.2">
      <c r="A95" s="50" t="s">
        <v>9349</v>
      </c>
      <c r="B95" s="49" t="s">
        <v>9305</v>
      </c>
      <c r="E95" s="49" t="s">
        <v>9350</v>
      </c>
      <c r="H95" t="str">
        <f t="shared" si="1"/>
        <v>|5D|Blank|![](http://www.djcresswell.com/bloodwych/icons/000.gif)|Rune Shield (Original)|![](http://www.djcresswell.com/bloodwych/icons/000.gif)|</v>
      </c>
    </row>
    <row r="96" spans="1:8" ht="29" customHeight="1" x14ac:dyDescent="0.2">
      <c r="A96" s="50" t="s">
        <v>9351</v>
      </c>
      <c r="B96" s="49" t="s">
        <v>9305</v>
      </c>
      <c r="E96" s="49" t="s">
        <v>9305</v>
      </c>
      <c r="H96" t="str">
        <f t="shared" si="1"/>
        <v>|5E|Blank|![](http://www.djcresswell.com/bloodwych/icons/000.gif)|Blank|![](http://www.djcresswell.com/bloodwych/icons/000.gif)|</v>
      </c>
    </row>
    <row r="97" spans="1:8" ht="29" customHeight="1" x14ac:dyDescent="0.2">
      <c r="A97" s="50" t="s">
        <v>9352</v>
      </c>
      <c r="B97" s="49" t="s">
        <v>9305</v>
      </c>
      <c r="E97" s="49" t="s">
        <v>9353</v>
      </c>
      <c r="H97" t="str">
        <f t="shared" si="1"/>
        <v>|5F|Blank|![](http://www.djcresswell.com/bloodwych/icons/000.gif)|Blue Arrows [Unused]|![](http://www.djcresswell.com/bloodwych/icons/000.gif)|</v>
      </c>
    </row>
    <row r="98" spans="1:8" ht="29" customHeight="1" x14ac:dyDescent="0.2">
      <c r="A98" s="50">
        <v>60</v>
      </c>
      <c r="B98" s="49" t="s">
        <v>9354</v>
      </c>
      <c r="E98" s="49" t="s">
        <v>9354</v>
      </c>
      <c r="H98" t="str">
        <f t="shared" si="1"/>
        <v>|60|Book of Skulls|![](http://www.djcresswell.com/bloodwych/icons/000.gif)|Book of Skulls|![](http://www.djcresswell.com/bloodwych/icons/000.gif)|</v>
      </c>
    </row>
    <row r="99" spans="1:8" ht="29" customHeight="1" x14ac:dyDescent="0.2">
      <c r="A99" s="50">
        <v>61</v>
      </c>
      <c r="B99" s="49" t="s">
        <v>9355</v>
      </c>
      <c r="E99" s="49" t="s">
        <v>9355</v>
      </c>
      <c r="H99" t="str">
        <f t="shared" si="1"/>
        <v>|61|Scroll|![](http://www.djcresswell.com/bloodwych/icons/000.gif)|Scroll|![](http://www.djcresswell.com/bloodwych/icons/000.gif)|</v>
      </c>
    </row>
    <row r="100" spans="1:8" ht="29" customHeight="1" x14ac:dyDescent="0.2">
      <c r="A100" s="50">
        <v>62</v>
      </c>
      <c r="B100" s="49" t="s">
        <v>9229</v>
      </c>
      <c r="E100" s="49" t="s">
        <v>9229</v>
      </c>
      <c r="H100" t="str">
        <f t="shared" si="1"/>
        <v>|62|Bag|![](http://www.djcresswell.com/bloodwych/icons/000.gif)|Bag|![](http://www.djcresswell.com/bloodwych/icons/000.gif)|</v>
      </c>
    </row>
    <row r="101" spans="1:8" ht="29" customHeight="1" x14ac:dyDescent="0.2">
      <c r="A101" s="50">
        <v>63</v>
      </c>
      <c r="B101" s="49" t="s">
        <v>9356</v>
      </c>
      <c r="E101" s="49" t="s">
        <v>9356</v>
      </c>
      <c r="H101" t="str">
        <f t="shared" si="1"/>
        <v>|63|Door|![](http://www.djcresswell.com/bloodwych/icons/000.gif)|Door|![](http://www.djcresswell.com/bloodwych/icons/000.gif)|</v>
      </c>
    </row>
    <row r="102" spans="1:8" ht="29" customHeight="1" x14ac:dyDescent="0.2">
      <c r="A102" s="50">
        <v>64</v>
      </c>
      <c r="B102" s="49" t="s">
        <v>9357</v>
      </c>
      <c r="E102" s="49" t="s">
        <v>9357</v>
      </c>
      <c r="H102" t="str">
        <f t="shared" si="1"/>
        <v>|64|Large Shield|![](http://www.djcresswell.com/bloodwych/icons/000.gif)|Large Shield|![](http://www.djcresswell.com/bloodwych/icons/000.gif)|</v>
      </c>
    </row>
    <row r="103" spans="1:8" ht="29" customHeight="1" x14ac:dyDescent="0.2">
      <c r="A103" s="50">
        <v>65</v>
      </c>
      <c r="B103" s="49" t="s">
        <v>9358</v>
      </c>
      <c r="E103" s="49" t="s">
        <v>9358</v>
      </c>
      <c r="H103" t="str">
        <f t="shared" si="1"/>
        <v>|65|Moon Shield|![](http://www.djcresswell.com/bloodwych/icons/000.gif)|Moon Shield|![](http://www.djcresswell.com/bloodwych/icons/000.gif)|</v>
      </c>
    </row>
    <row r="104" spans="1:8" ht="29" customHeight="1" x14ac:dyDescent="0.2">
      <c r="A104" s="50">
        <v>66</v>
      </c>
      <c r="B104" s="49" t="s">
        <v>9359</v>
      </c>
      <c r="E104" s="49" t="s">
        <v>9359</v>
      </c>
      <c r="H104" t="str">
        <f t="shared" si="1"/>
        <v>|66|Dragon Scale|![](http://www.djcresswell.com/bloodwych/icons/000.gif)|Dragon Scale|![](http://www.djcresswell.com/bloodwych/icons/000.gif)|</v>
      </c>
    </row>
    <row r="105" spans="1:8" ht="29" customHeight="1" x14ac:dyDescent="0.2">
      <c r="A105" s="50">
        <v>67</v>
      </c>
      <c r="B105" s="49" t="s">
        <v>9305</v>
      </c>
      <c r="E105" s="49" t="s">
        <v>9305</v>
      </c>
      <c r="H105" t="str">
        <f t="shared" si="1"/>
        <v>|67|Blank|![](http://www.djcresswell.com/bloodwych/icons/000.gif)|Blank|![](http://www.djcresswell.com/bloodwych/icons/000.gif)|</v>
      </c>
    </row>
    <row r="106" spans="1:8" ht="29" customHeight="1" x14ac:dyDescent="0.2">
      <c r="A106" s="50">
        <v>68</v>
      </c>
      <c r="B106" s="49" t="s">
        <v>9360</v>
      </c>
      <c r="E106" s="49" t="s">
        <v>9360</v>
      </c>
      <c r="H106" t="str">
        <f t="shared" si="1"/>
        <v>|68|Spellbook Embellishment (1)|![](http://www.djcresswell.com/bloodwych/icons/000.gif)|Spellbook Embellishment (1)|![](http://www.djcresswell.com/bloodwych/icons/000.gif)|</v>
      </c>
    </row>
    <row r="107" spans="1:8" ht="29" customHeight="1" x14ac:dyDescent="0.2">
      <c r="A107" s="50">
        <v>69</v>
      </c>
      <c r="B107" s="49" t="s">
        <v>9361</v>
      </c>
      <c r="E107" s="49" t="s">
        <v>9361</v>
      </c>
      <c r="H107" t="str">
        <f t="shared" si="1"/>
        <v>|69|Spellbook Embellishment (2)|![](http://www.djcresswell.com/bloodwych/icons/000.gif)|Spellbook Embellishment (2)|![](http://www.djcresswell.com/bloodwych/icons/000.gif)|</v>
      </c>
    </row>
    <row r="108" spans="1:8" ht="29" customHeight="1" x14ac:dyDescent="0.2">
      <c r="A108" s="50" t="s">
        <v>9362</v>
      </c>
      <c r="B108" s="49" t="s">
        <v>9363</v>
      </c>
      <c r="E108" s="49" t="s">
        <v>9363</v>
      </c>
      <c r="H108" t="str">
        <f t="shared" si="1"/>
        <v>|6A|Spellbook Embellishment (3)|![](http://www.djcresswell.com/bloodwych/icons/000.gif)|Spellbook Embellishment (3)|![](http://www.djcresswell.com/bloodwych/icons/000.gif)|</v>
      </c>
    </row>
    <row r="109" spans="1:8" ht="29" customHeight="1" x14ac:dyDescent="0.2">
      <c r="A109" s="50" t="s">
        <v>9364</v>
      </c>
      <c r="B109" s="49" t="s">
        <v>9365</v>
      </c>
      <c r="E109" s="49" t="s">
        <v>9365</v>
      </c>
      <c r="H109" t="str">
        <f t="shared" si="1"/>
        <v>|6B|Spellbook Embellishment (4)|![](http://www.djcresswell.com/bloodwych/icons/000.gif)|Spellbook Embellishment (4)|![](http://www.djcresswell.com/bloodwych/icons/000.gif)|</v>
      </c>
    </row>
    <row r="110" spans="1:8" ht="29" customHeight="1" x14ac:dyDescent="0.2">
      <c r="A110" s="50" t="s">
        <v>9366</v>
      </c>
      <c r="B110" s="49" t="s">
        <v>9367</v>
      </c>
      <c r="E110" s="49" t="s">
        <v>9367</v>
      </c>
      <c r="H110" t="str">
        <f t="shared" si="1"/>
        <v>|6C|Inventory (Left Hand)|![](http://www.djcresswell.com/bloodwych/icons/000.gif)|Inventory (Left Hand)|![](http://www.djcresswell.com/bloodwych/icons/000.gif)|</v>
      </c>
    </row>
    <row r="111" spans="1:8" ht="29" customHeight="1" x14ac:dyDescent="0.2">
      <c r="A111" s="50" t="s">
        <v>9368</v>
      </c>
      <c r="B111" s="49" t="s">
        <v>9369</v>
      </c>
      <c r="E111" s="49" t="s">
        <v>9369</v>
      </c>
      <c r="H111" t="str">
        <f t="shared" si="1"/>
        <v>|6D|Inventory (Right Hand)|![](http://www.djcresswell.com/bloodwych/icons/000.gif)|Inventory (Right Hand)|![](http://www.djcresswell.com/bloodwych/icons/000.gif)|</v>
      </c>
    </row>
    <row r="112" spans="1:8" ht="29" customHeight="1" x14ac:dyDescent="0.2">
      <c r="A112" s="50" t="s">
        <v>9370</v>
      </c>
      <c r="B112" s="49" t="s">
        <v>9371</v>
      </c>
      <c r="E112" s="49" t="s">
        <v>9371</v>
      </c>
      <c r="H112" t="str">
        <f t="shared" si="1"/>
        <v>|6E|Inventory (Armour)|![](http://www.djcresswell.com/bloodwych/icons/000.gif)|Inventory (Armour)|![](http://www.djcresswell.com/bloodwych/icons/000.gif)|</v>
      </c>
    </row>
    <row r="113" spans="1:8" ht="29" customHeight="1" x14ac:dyDescent="0.2">
      <c r="A113" s="50" t="s">
        <v>9372</v>
      </c>
      <c r="B113" s="49" t="s">
        <v>9373</v>
      </c>
      <c r="E113" s="49" t="s">
        <v>9373</v>
      </c>
      <c r="H113" t="str">
        <f t="shared" si="1"/>
        <v>|6F|Inventory (Large Shield)|![](http://www.djcresswell.com/bloodwych/icons/000.gif)|Inventory (Large Shield)|![](http://www.djcresswell.com/bloodwych/icons/000.gif)|</v>
      </c>
    </row>
    <row r="114" spans="1:8" ht="29" customHeight="1" x14ac:dyDescent="0.2">
      <c r="A114" s="50">
        <v>70</v>
      </c>
      <c r="B114" s="49" t="s">
        <v>9374</v>
      </c>
      <c r="E114" s="49" t="s">
        <v>9374</v>
      </c>
      <c r="H114" t="str">
        <f t="shared" si="1"/>
        <v>|70|Inventory (Small Shield)|![](http://www.djcresswell.com/bloodwych/icons/000.gif)|Inventory (Small Shield)|![](http://www.djcresswell.com/bloodwych/icons/000.gif)|</v>
      </c>
    </row>
    <row r="115" spans="1:8" ht="29" customHeight="1" x14ac:dyDescent="0.2">
      <c r="A115" s="50">
        <v>71</v>
      </c>
      <c r="B115" s="49" t="s">
        <v>9375</v>
      </c>
      <c r="E115" s="49" t="s">
        <v>9375</v>
      </c>
      <c r="H115" t="str">
        <f t="shared" si="1"/>
        <v>|71|Icon (Pause)|![](http://www.djcresswell.com/bloodwych/icons/000.gif)|Icon (Pause)|![](http://www.djcresswell.com/bloodwych/icons/000.gif)|</v>
      </c>
    </row>
    <row r="116" spans="1:8" ht="29" customHeight="1" x14ac:dyDescent="0.2">
      <c r="A116" s="50">
        <v>72</v>
      </c>
      <c r="B116" s="49" t="s">
        <v>9376</v>
      </c>
      <c r="E116" s="49" t="s">
        <v>9376</v>
      </c>
      <c r="H116" t="str">
        <f t="shared" si="1"/>
        <v>|72|Icon (Save)|![](http://www.djcresswell.com/bloodwych/icons/000.gif)|Icon (Save)|![](http://www.djcresswell.com/bloodwych/icons/000.gif)|</v>
      </c>
    </row>
    <row r="117" spans="1:8" ht="29" customHeight="1" x14ac:dyDescent="0.2">
      <c r="A117" s="50">
        <v>73</v>
      </c>
      <c r="B117" s="49" t="s">
        <v>9377</v>
      </c>
      <c r="E117" s="49" t="s">
        <v>9377</v>
      </c>
      <c r="H117" t="str">
        <f t="shared" si="1"/>
        <v>|73|Icon (Sleep)|![](http://www.djcresswell.com/bloodwych/icons/000.gif)|Icon (Sleep)|![](http://www.djcresswell.com/bloodwych/icons/000.gif)|</v>
      </c>
    </row>
    <row r="118" spans="1:8" ht="29" customHeight="1" x14ac:dyDescent="0.2">
      <c r="A118" s="50">
        <v>74</v>
      </c>
      <c r="B118" s="49" t="s">
        <v>9378</v>
      </c>
      <c r="E118" s="49" t="s">
        <v>9378</v>
      </c>
      <c r="H118" t="str">
        <f t="shared" si="1"/>
        <v>|74|Icon (Next Page)|![](http://www.djcresswell.com/bloodwych/icons/000.gif)|Icon (Next Page)|![](http://www.djcresswell.com/bloodwych/icons/000.gif)|</v>
      </c>
    </row>
    <row r="119" spans="1:8" ht="29" customHeight="1" x14ac:dyDescent="0.2">
      <c r="A119" s="50">
        <v>75</v>
      </c>
      <c r="B119" s="49" t="s">
        <v>9379</v>
      </c>
      <c r="E119" s="49" t="s">
        <v>9379</v>
      </c>
      <c r="H119" t="str">
        <f t="shared" si="1"/>
        <v>|75|Icon (Communications 1)|![](http://www.djcresswell.com/bloodwych/icons/000.gif)|Icon (Communications 1)|![](http://www.djcresswell.com/bloodwych/icons/000.gif)|</v>
      </c>
    </row>
    <row r="120" spans="1:8" ht="29" customHeight="1" x14ac:dyDescent="0.2">
      <c r="A120" s="50">
        <v>76</v>
      </c>
      <c r="B120" s="49" t="s">
        <v>9380</v>
      </c>
      <c r="E120" s="49" t="s">
        <v>9380</v>
      </c>
      <c r="H120" t="str">
        <f t="shared" si="1"/>
        <v>|76|Icon (Communications 2)|![](http://www.djcresswell.com/bloodwych/icons/000.gif)|Icon (Communications 2)|![](http://www.djcresswell.com/bloodwych/icons/000.gif)|</v>
      </c>
    </row>
    <row r="121" spans="1:8" ht="29" customHeight="1" x14ac:dyDescent="0.2">
      <c r="A121" s="50">
        <v>77</v>
      </c>
      <c r="B121" s="49" t="s">
        <v>9305</v>
      </c>
      <c r="E121" s="49" t="s">
        <v>9305</v>
      </c>
      <c r="H121" t="str">
        <f t="shared" si="1"/>
        <v>|77|Blank|![](http://www.djcresswell.com/bloodwych/icons/000.gif)|Blank|![](http://www.djcresswell.com/bloodwych/icons/000.gif)|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C509-9BE6-BA42-9DC0-120E72214E10}">
  <sheetPr codeName="Sheet9"/>
  <dimension ref="A1:O218"/>
  <sheetViews>
    <sheetView topLeftCell="D1" zoomScale="96" workbookViewId="0">
      <selection activeCell="H4" activeCellId="1" sqref="H6:H110 H4"/>
    </sheetView>
  </sheetViews>
  <sheetFormatPr baseColWidth="10" defaultRowHeight="28" customHeight="1" x14ac:dyDescent="0.2"/>
  <cols>
    <col min="1" max="1" width="16.5" customWidth="1"/>
    <col min="2" max="2" width="21" style="1" customWidth="1"/>
    <col min="3" max="4" width="18" customWidth="1"/>
    <col min="5" max="5" width="21" style="1" customWidth="1"/>
    <col min="8" max="8" width="128.83203125" customWidth="1"/>
    <col min="12" max="12" width="41.5" customWidth="1"/>
    <col min="13" max="13" width="31.5" customWidth="1"/>
  </cols>
  <sheetData>
    <row r="1" spans="1:15" ht="28" customHeight="1" x14ac:dyDescent="0.2">
      <c r="A1" s="54" t="s">
        <v>9423</v>
      </c>
      <c r="B1" s="15" t="s">
        <v>9424</v>
      </c>
      <c r="C1" s="4" t="s">
        <v>9479</v>
      </c>
      <c r="E1" s="15" t="s">
        <v>9470</v>
      </c>
      <c r="F1" s="4" t="s">
        <v>9479</v>
      </c>
      <c r="H1" t="str">
        <f>"|"&amp; TEXT(A1,"00") &amp; "| **"&amp;B1&amp;"** |"&amp;"| **"&amp;E1&amp;"** |"</f>
        <v>|OBJECT| **BLOODWYCH OBJECT** || **BEXT OBJECT** |</v>
      </c>
      <c r="I1" t="s">
        <v>9478</v>
      </c>
      <c r="O1" s="57"/>
    </row>
    <row r="2" spans="1:15" ht="28" customHeight="1" x14ac:dyDescent="0.2">
      <c r="A2" s="52">
        <v>1</v>
      </c>
      <c r="B2" s="55" t="s">
        <v>9387</v>
      </c>
      <c r="C2" s="56">
        <v>1</v>
      </c>
      <c r="E2" s="53" t="s">
        <v>9387</v>
      </c>
      <c r="F2" s="56">
        <v>1</v>
      </c>
      <c r="H2" t="str">
        <f>"|"&amp;TEXT(A2,"00")&amp;"|"&amp;B2&amp;"|"&amp;"![](http://www.djcresswell.com/bloodwych/icons/"&amp;TEXT(C2,"000")&amp;".png)|"&amp;E2&amp;"|"&amp;"![](http://www.djcresswell.com/bloodwych/icons/"&amp;TEXT(F2,"000")&amp;".png)|"</f>
        <v>|01|Coinage|![](http://www.djcresswell.com/bloodwych/icons/001.png)|Coinage|![](http://www.djcresswell.com/bloodwych/icons/001.png)|</v>
      </c>
      <c r="M2" s="57" t="s">
        <v>9481</v>
      </c>
    </row>
    <row r="3" spans="1:15" ht="28" customHeight="1" x14ac:dyDescent="0.2">
      <c r="A3" s="52">
        <v>2</v>
      </c>
      <c r="B3" s="55" t="s">
        <v>9388</v>
      </c>
      <c r="C3" s="56">
        <v>2</v>
      </c>
      <c r="E3" s="53" t="s">
        <v>9388</v>
      </c>
      <c r="F3" s="56">
        <v>2</v>
      </c>
      <c r="H3" t="str">
        <f t="shared" ref="H3:H66" si="0">"|"&amp;TEXT(A3,"00")&amp;"|"&amp;B3&amp;"|"&amp;"![](http://www.djcresswell.com/bloodwych/icons/"&amp;TEXT(C3,"000")&amp;".png)|"&amp;E3&amp;"|"&amp;"![](http://www.djcresswell.com/bloodwych/icons/"&amp;TEXT(F3,"000")&amp;".png)|"</f>
        <v>|02|Common Keys|![](http://www.djcresswell.com/bloodwych/icons/002.png)|Common Keys|![](http://www.djcresswell.com/bloodwych/icons/002.png)|</v>
      </c>
      <c r="M3" t="s">
        <v>9482</v>
      </c>
    </row>
    <row r="4" spans="1:15" ht="28" customHeight="1" x14ac:dyDescent="0.2">
      <c r="A4" s="52">
        <v>3</v>
      </c>
      <c r="B4" s="55" t="s">
        <v>9389</v>
      </c>
      <c r="C4" s="56">
        <v>3</v>
      </c>
      <c r="E4" s="53" t="s">
        <v>9389</v>
      </c>
      <c r="F4" s="56">
        <v>3</v>
      </c>
      <c r="H4" t="str">
        <f t="shared" si="0"/>
        <v>|03|Arrows|![](http://www.djcresswell.com/bloodwych/icons/003.png)|Arrows|![](http://www.djcresswell.com/bloodwych/icons/003.png)|</v>
      </c>
    </row>
    <row r="5" spans="1:15" ht="28" customHeight="1" x14ac:dyDescent="0.2">
      <c r="A5" s="52">
        <v>4</v>
      </c>
      <c r="B5" s="55" t="s">
        <v>9233</v>
      </c>
      <c r="C5" s="56">
        <v>4</v>
      </c>
      <c r="E5" s="53" t="s">
        <v>9233</v>
      </c>
      <c r="F5" s="56">
        <v>4</v>
      </c>
      <c r="H5" t="str">
        <f t="shared" si="0"/>
        <v>|04|Elf Arrow|![](http://www.djcresswell.com/bloodwych/icons/004.png)|Elf Arrow|![](http://www.djcresswell.com/bloodwych/icons/004.png)|</v>
      </c>
      <c r="K5" s="56">
        <v>1</v>
      </c>
      <c r="L5" t="str">
        <f>"amgif "&amp;TEXT(K5,"000")&amp;".iff "  &amp;TEXT(K5,"000")&amp;".gif"</f>
        <v>amgif 001.iff 001.gif</v>
      </c>
      <c r="M5" t="str">
        <f t="shared" ref="M5:M68" si="1">"magick convert " &amp; Path &amp; TEXT(K5,"000")&amp;".gif -crop 18x18+0+0 -scale 200% " &amp; Path&amp;TEXT(K5,"000")&amp;".png" &amp;CHAR(10)</f>
        <v xml:space="preserve">magick convert 001.gif -crop 18x18+0+0 -scale 200% 001.png
</v>
      </c>
    </row>
    <row r="6" spans="1:15" ht="28" customHeight="1" x14ac:dyDescent="0.2">
      <c r="A6" s="52">
        <v>5</v>
      </c>
      <c r="B6" s="55" t="s">
        <v>9287</v>
      </c>
      <c r="C6" s="56">
        <v>5</v>
      </c>
      <c r="E6" s="53" t="s">
        <v>9287</v>
      </c>
      <c r="F6" s="56">
        <v>5</v>
      </c>
      <c r="H6" t="str">
        <f t="shared" si="0"/>
        <v>|05|1/3 Apple|![](http://www.djcresswell.com/bloodwych/icons/005.png)|1/3 Apple|![](http://www.djcresswell.com/bloodwych/icons/005.png)|</v>
      </c>
      <c r="K6" s="56">
        <v>2</v>
      </c>
      <c r="L6" t="str">
        <f t="shared" ref="L6:L69" si="2">"amgif "&amp;TEXT(K6,"000")&amp;".iff "  &amp;TEXT(K6,"000")&amp;".gif "</f>
        <v xml:space="preserve">amgif 002.iff 002.gif </v>
      </c>
      <c r="M6" t="str">
        <f t="shared" si="1"/>
        <v xml:space="preserve">magick convert 002.gif -crop 18x18+0+0 -scale 200% 002.png
</v>
      </c>
    </row>
    <row r="7" spans="1:15" ht="28" customHeight="1" x14ac:dyDescent="0.2">
      <c r="A7" s="52">
        <v>6</v>
      </c>
      <c r="B7" s="55" t="s">
        <v>9289</v>
      </c>
      <c r="C7" s="56">
        <v>6</v>
      </c>
      <c r="E7" s="53" t="s">
        <v>9289</v>
      </c>
      <c r="F7" s="56">
        <v>6</v>
      </c>
      <c r="H7" t="str">
        <f t="shared" si="0"/>
        <v>|06|2/3 Apple|![](http://www.djcresswell.com/bloodwych/icons/006.png)|2/3 Apple|![](http://www.djcresswell.com/bloodwych/icons/006.png)|</v>
      </c>
      <c r="K7" s="56">
        <v>3</v>
      </c>
      <c r="L7" t="str">
        <f t="shared" si="2"/>
        <v xml:space="preserve">amgif 003.iff 003.gif </v>
      </c>
      <c r="M7" t="str">
        <f t="shared" si="1"/>
        <v xml:space="preserve">magick convert 003.gif -crop 18x18+0+0 -scale 200% 003.png
</v>
      </c>
    </row>
    <row r="8" spans="1:15" ht="28" customHeight="1" x14ac:dyDescent="0.2">
      <c r="A8" s="52">
        <v>7</v>
      </c>
      <c r="B8" s="55" t="s">
        <v>9390</v>
      </c>
      <c r="C8" s="56">
        <v>7</v>
      </c>
      <c r="E8" s="53" t="s">
        <v>9390</v>
      </c>
      <c r="F8" s="56">
        <v>7</v>
      </c>
      <c r="H8" t="str">
        <f t="shared" si="0"/>
        <v>|07|Apple|![](http://www.djcresswell.com/bloodwych/icons/007.png)|Apple|![](http://www.djcresswell.com/bloodwych/icons/007.png)|</v>
      </c>
      <c r="K8" s="56">
        <v>4</v>
      </c>
      <c r="L8" t="str">
        <f t="shared" si="2"/>
        <v xml:space="preserve">amgif 004.iff 004.gif </v>
      </c>
      <c r="M8" t="str">
        <f t="shared" si="1"/>
        <v xml:space="preserve">magick convert 004.gif -crop 18x18+0+0 -scale 200% 004.png
</v>
      </c>
    </row>
    <row r="9" spans="1:15" ht="28" customHeight="1" x14ac:dyDescent="0.2">
      <c r="A9" s="52">
        <v>8</v>
      </c>
      <c r="B9" s="55" t="s">
        <v>9292</v>
      </c>
      <c r="C9" s="56">
        <v>8</v>
      </c>
      <c r="E9" s="53" t="s">
        <v>9292</v>
      </c>
      <c r="F9" s="56">
        <v>8</v>
      </c>
      <c r="H9" t="str">
        <f t="shared" si="0"/>
        <v>|08|1/3 Biscuit|![](http://www.djcresswell.com/bloodwych/icons/008.png)|1/3 Biscuit|![](http://www.djcresswell.com/bloodwych/icons/008.png)|</v>
      </c>
      <c r="K9" s="56">
        <v>5</v>
      </c>
      <c r="L9" t="str">
        <f t="shared" si="2"/>
        <v xml:space="preserve">amgif 005.iff 005.gif </v>
      </c>
      <c r="M9" t="str">
        <f t="shared" si="1"/>
        <v xml:space="preserve">magick convert 005.gif -crop 18x18+0+0 -scale 200% 005.png
</v>
      </c>
    </row>
    <row r="10" spans="1:15" ht="28" customHeight="1" x14ac:dyDescent="0.2">
      <c r="A10" s="52">
        <v>9</v>
      </c>
      <c r="B10" s="55" t="s">
        <v>9293</v>
      </c>
      <c r="C10" s="56">
        <v>9</v>
      </c>
      <c r="E10" s="53" t="s">
        <v>9293</v>
      </c>
      <c r="F10" s="56">
        <v>9</v>
      </c>
      <c r="H10" t="str">
        <f t="shared" si="0"/>
        <v>|09|2/3 Biscuit|![](http://www.djcresswell.com/bloodwych/icons/009.png)|2/3 Biscuit|![](http://www.djcresswell.com/bloodwych/icons/009.png)|</v>
      </c>
      <c r="K10" s="56">
        <v>6</v>
      </c>
      <c r="L10" t="str">
        <f t="shared" si="2"/>
        <v xml:space="preserve">amgif 006.iff 006.gif </v>
      </c>
      <c r="M10" t="str">
        <f t="shared" si="1"/>
        <v xml:space="preserve">magick convert 006.gif -crop 18x18+0+0 -scale 200% 006.png
</v>
      </c>
    </row>
    <row r="11" spans="1:15" ht="28" customHeight="1" x14ac:dyDescent="0.2">
      <c r="A11" s="52" t="s">
        <v>9239</v>
      </c>
      <c r="B11" s="55" t="s">
        <v>9391</v>
      </c>
      <c r="C11" s="56">
        <v>10</v>
      </c>
      <c r="E11" s="53" t="s">
        <v>9391</v>
      </c>
      <c r="F11" s="56">
        <v>10</v>
      </c>
      <c r="H11" t="str">
        <f t="shared" si="0"/>
        <v>|0A|Biscuit|![](http://www.djcresswell.com/bloodwych/icons/010.png)|Biscuit|![](http://www.djcresswell.com/bloodwych/icons/010.png)|</v>
      </c>
      <c r="K11" s="56">
        <v>7</v>
      </c>
      <c r="L11" t="str">
        <f t="shared" si="2"/>
        <v xml:space="preserve">amgif 007.iff 007.gif </v>
      </c>
      <c r="M11" t="str">
        <f t="shared" si="1"/>
        <v xml:space="preserve">magick convert 007.gif -crop 18x18+0+0 -scale 200% 007.png
</v>
      </c>
    </row>
    <row r="12" spans="1:15" ht="28" customHeight="1" x14ac:dyDescent="0.2">
      <c r="A12" s="52" t="s">
        <v>9241</v>
      </c>
      <c r="B12" s="55" t="s">
        <v>9295</v>
      </c>
      <c r="C12" s="56">
        <v>11</v>
      </c>
      <c r="E12" s="53" t="s">
        <v>9295</v>
      </c>
      <c r="F12" s="56">
        <v>11</v>
      </c>
      <c r="H12" t="str">
        <f t="shared" si="0"/>
        <v>|0B|1/3 Chicken|![](http://www.djcresswell.com/bloodwych/icons/011.png)|1/3 Chicken|![](http://www.djcresswell.com/bloodwych/icons/011.png)|</v>
      </c>
      <c r="K12" s="56">
        <v>8</v>
      </c>
      <c r="L12" t="str">
        <f t="shared" si="2"/>
        <v xml:space="preserve">amgif 008.iff 008.gif </v>
      </c>
      <c r="M12" t="str">
        <f t="shared" si="1"/>
        <v xml:space="preserve">magick convert 008.gif -crop 18x18+0+0 -scale 200% 008.png
</v>
      </c>
    </row>
    <row r="13" spans="1:15" ht="28" customHeight="1" x14ac:dyDescent="0.2">
      <c r="A13" s="52" t="s">
        <v>9243</v>
      </c>
      <c r="B13" s="55" t="s">
        <v>9296</v>
      </c>
      <c r="C13" s="56">
        <v>12</v>
      </c>
      <c r="E13" s="53" t="s">
        <v>9296</v>
      </c>
      <c r="F13" s="56">
        <v>12</v>
      </c>
      <c r="H13" t="str">
        <f t="shared" si="0"/>
        <v>|0C|2/3 Chicken|![](http://www.djcresswell.com/bloodwych/icons/012.png)|2/3 Chicken|![](http://www.djcresswell.com/bloodwych/icons/012.png)|</v>
      </c>
      <c r="K13" s="56">
        <v>9</v>
      </c>
      <c r="L13" t="str">
        <f t="shared" si="2"/>
        <v xml:space="preserve">amgif 009.iff 009.gif </v>
      </c>
      <c r="M13" t="str">
        <f t="shared" si="1"/>
        <v xml:space="preserve">magick convert 009.gif -crop 18x18+0+0 -scale 200% 009.png
</v>
      </c>
    </row>
    <row r="14" spans="1:15" ht="28" customHeight="1" x14ac:dyDescent="0.2">
      <c r="A14" s="52" t="s">
        <v>9245</v>
      </c>
      <c r="B14" s="55" t="s">
        <v>9392</v>
      </c>
      <c r="C14" s="56">
        <v>13</v>
      </c>
      <c r="E14" s="53" t="s">
        <v>9392</v>
      </c>
      <c r="F14" s="56">
        <v>13</v>
      </c>
      <c r="H14" t="str">
        <f t="shared" si="0"/>
        <v>|0D|Chicken|![](http://www.djcresswell.com/bloodwych/icons/013.png)|Chicken|![](http://www.djcresswell.com/bloodwych/icons/013.png)|</v>
      </c>
      <c r="K14" s="56">
        <v>10</v>
      </c>
      <c r="L14" t="str">
        <f t="shared" si="2"/>
        <v xml:space="preserve">amgif 010.iff 010.gif </v>
      </c>
      <c r="M14" t="str">
        <f t="shared" si="1"/>
        <v xml:space="preserve">magick convert 010.gif -crop 18x18+0+0 -scale 200% 010.png
</v>
      </c>
    </row>
    <row r="15" spans="1:15" ht="28" customHeight="1" x14ac:dyDescent="0.2">
      <c r="A15" s="52" t="s">
        <v>9247</v>
      </c>
      <c r="B15" s="55" t="s">
        <v>9393</v>
      </c>
      <c r="C15" s="56">
        <v>14</v>
      </c>
      <c r="E15" s="53" t="s">
        <v>9393</v>
      </c>
      <c r="F15" s="56">
        <v>14</v>
      </c>
      <c r="H15" t="str">
        <f t="shared" si="0"/>
        <v>|0E|1/3 Mead|![](http://www.djcresswell.com/bloodwych/icons/014.png)|1/3 Mead|![](http://www.djcresswell.com/bloodwych/icons/014.png)|</v>
      </c>
      <c r="K15" s="56">
        <v>11</v>
      </c>
      <c r="L15" t="str">
        <f t="shared" si="2"/>
        <v xml:space="preserve">amgif 011.iff 011.gif </v>
      </c>
      <c r="M15" t="str">
        <f t="shared" si="1"/>
        <v xml:space="preserve">magick convert 011.gif -crop 18x18+0+0 -scale 200% 011.png
</v>
      </c>
    </row>
    <row r="16" spans="1:15" ht="28" customHeight="1" x14ac:dyDescent="0.2">
      <c r="A16" s="52" t="s">
        <v>9249</v>
      </c>
      <c r="B16" s="55" t="s">
        <v>9394</v>
      </c>
      <c r="C16" s="56">
        <v>15</v>
      </c>
      <c r="E16" s="53" t="s">
        <v>9394</v>
      </c>
      <c r="F16" s="56">
        <v>15</v>
      </c>
      <c r="H16" t="str">
        <f t="shared" si="0"/>
        <v>|0F|2/3 Mead|![](http://www.djcresswell.com/bloodwych/icons/015.png)|2/3 Mead|![](http://www.djcresswell.com/bloodwych/icons/015.png)|</v>
      </c>
      <c r="K16" s="56">
        <v>12</v>
      </c>
      <c r="L16" t="str">
        <f t="shared" si="2"/>
        <v xml:space="preserve">amgif 012.iff 012.gif </v>
      </c>
      <c r="M16" t="str">
        <f t="shared" si="1"/>
        <v xml:space="preserve">magick convert 012.gif -crop 18x18+0+0 -scale 200% 012.png
</v>
      </c>
    </row>
    <row r="17" spans="1:13" ht="28" customHeight="1" x14ac:dyDescent="0.2">
      <c r="A17" s="52">
        <v>10</v>
      </c>
      <c r="B17" s="55" t="s">
        <v>9395</v>
      </c>
      <c r="C17" s="56">
        <v>16</v>
      </c>
      <c r="E17" s="53" t="s">
        <v>9395</v>
      </c>
      <c r="F17" s="56">
        <v>16</v>
      </c>
      <c r="H17" t="str">
        <f t="shared" si="0"/>
        <v>|10|Mead|![](http://www.djcresswell.com/bloodwych/icons/016.png)|Mead|![](http://www.djcresswell.com/bloodwych/icons/016.png)|</v>
      </c>
      <c r="K17" s="56">
        <v>13</v>
      </c>
      <c r="L17" t="str">
        <f t="shared" si="2"/>
        <v xml:space="preserve">amgif 013.iff 013.gif </v>
      </c>
      <c r="M17" t="str">
        <f t="shared" si="1"/>
        <v xml:space="preserve">magick convert 013.gif -crop 18x18+0+0 -scale 200% 013.png
</v>
      </c>
    </row>
    <row r="18" spans="1:13" ht="28" customHeight="1" x14ac:dyDescent="0.2">
      <c r="A18" s="52">
        <v>11</v>
      </c>
      <c r="B18" s="55" t="s">
        <v>9396</v>
      </c>
      <c r="C18" s="56">
        <v>17</v>
      </c>
      <c r="E18" s="53" t="s">
        <v>9396</v>
      </c>
      <c r="F18" s="56">
        <v>17</v>
      </c>
      <c r="H18" t="str">
        <f t="shared" si="0"/>
        <v>|11|1/3 Water|![](http://www.djcresswell.com/bloodwych/icons/017.png)|1/3 Water|![](http://www.djcresswell.com/bloodwych/icons/017.png)|</v>
      </c>
      <c r="K18" s="56">
        <v>14</v>
      </c>
      <c r="L18" t="str">
        <f t="shared" si="2"/>
        <v xml:space="preserve">amgif 014.iff 014.gif </v>
      </c>
      <c r="M18" t="str">
        <f t="shared" si="1"/>
        <v xml:space="preserve">magick convert 014.gif -crop 18x18+0+0 -scale 200% 014.png
</v>
      </c>
    </row>
    <row r="19" spans="1:13" ht="28" customHeight="1" x14ac:dyDescent="0.2">
      <c r="A19" s="52">
        <v>12</v>
      </c>
      <c r="B19" s="55" t="s">
        <v>9397</v>
      </c>
      <c r="C19" s="56">
        <v>18</v>
      </c>
      <c r="E19" s="53" t="s">
        <v>9397</v>
      </c>
      <c r="F19" s="56">
        <v>18</v>
      </c>
      <c r="H19" t="str">
        <f t="shared" si="0"/>
        <v>|12|2/3 Water|![](http://www.djcresswell.com/bloodwych/icons/018.png)|2/3 Water|![](http://www.djcresswell.com/bloodwych/icons/018.png)|</v>
      </c>
      <c r="K19" s="56">
        <v>15</v>
      </c>
      <c r="L19" t="str">
        <f t="shared" si="2"/>
        <v xml:space="preserve">amgif 015.iff 015.gif </v>
      </c>
      <c r="M19" t="str">
        <f t="shared" si="1"/>
        <v xml:space="preserve">magick convert 015.gif -crop 18x18+0+0 -scale 200% 015.png
</v>
      </c>
    </row>
    <row r="20" spans="1:13" ht="28" customHeight="1" x14ac:dyDescent="0.2">
      <c r="A20" s="52">
        <v>13</v>
      </c>
      <c r="B20" s="55" t="s">
        <v>9398</v>
      </c>
      <c r="C20" s="56">
        <v>19</v>
      </c>
      <c r="E20" s="53" t="s">
        <v>9398</v>
      </c>
      <c r="F20" s="56">
        <v>19</v>
      </c>
      <c r="H20" t="str">
        <f t="shared" si="0"/>
        <v>|13|Water|![](http://www.djcresswell.com/bloodwych/icons/019.png)|Water|![](http://www.djcresswell.com/bloodwych/icons/019.png)|</v>
      </c>
      <c r="K20" s="56">
        <v>16</v>
      </c>
      <c r="L20" t="str">
        <f t="shared" si="2"/>
        <v xml:space="preserve">amgif 016.iff 016.gif </v>
      </c>
      <c r="M20" t="str">
        <f t="shared" si="1"/>
        <v xml:space="preserve">magick convert 016.gif -crop 18x18+0+0 -scale 200% 016.png
</v>
      </c>
    </row>
    <row r="21" spans="1:13" ht="28" customHeight="1" x14ac:dyDescent="0.2">
      <c r="A21" s="52">
        <v>14</v>
      </c>
      <c r="B21" s="55" t="s">
        <v>9399</v>
      </c>
      <c r="C21" s="56">
        <v>20</v>
      </c>
      <c r="E21" s="53" t="s">
        <v>9399</v>
      </c>
      <c r="F21" s="56">
        <v>20</v>
      </c>
      <c r="H21" t="str">
        <f t="shared" si="0"/>
        <v>|14|N’egg (Green)|![](http://www.djcresswell.com/bloodwych/icons/020.png)|N’egg (Green)|![](http://www.djcresswell.com/bloodwych/icons/020.png)|</v>
      </c>
      <c r="K21" s="56">
        <v>17</v>
      </c>
      <c r="L21" t="str">
        <f t="shared" si="2"/>
        <v xml:space="preserve">amgif 017.iff 017.gif </v>
      </c>
      <c r="M21" t="str">
        <f t="shared" si="1"/>
        <v xml:space="preserve">magick convert 017.gif -crop 18x18+0+0 -scale 200% 017.png
</v>
      </c>
    </row>
    <row r="22" spans="1:13" ht="28" customHeight="1" x14ac:dyDescent="0.2">
      <c r="A22" s="52">
        <v>15</v>
      </c>
      <c r="B22" s="55" t="s">
        <v>9400</v>
      </c>
      <c r="C22" s="56">
        <v>21</v>
      </c>
      <c r="E22" s="53" t="s">
        <v>9400</v>
      </c>
      <c r="F22" s="56">
        <v>21</v>
      </c>
      <c r="H22" t="str">
        <f t="shared" si="0"/>
        <v>|15|N’egg (Blue)|![](http://www.djcresswell.com/bloodwych/icons/021.png)|N’egg (Blue)|![](http://www.djcresswell.com/bloodwych/icons/021.png)|</v>
      </c>
      <c r="K22" s="56">
        <v>18</v>
      </c>
      <c r="L22" t="str">
        <f t="shared" si="2"/>
        <v xml:space="preserve">amgif 018.iff 018.gif </v>
      </c>
      <c r="M22" t="str">
        <f t="shared" si="1"/>
        <v xml:space="preserve">magick convert 018.gif -crop 18x18+0+0 -scale 200% 018.png
</v>
      </c>
    </row>
    <row r="23" spans="1:13" ht="28" customHeight="1" x14ac:dyDescent="0.2">
      <c r="A23" s="52">
        <v>16</v>
      </c>
      <c r="B23" s="55" t="s">
        <v>9401</v>
      </c>
      <c r="C23" s="56">
        <v>22</v>
      </c>
      <c r="E23" s="53" t="s">
        <v>9401</v>
      </c>
      <c r="F23" s="56">
        <v>22</v>
      </c>
      <c r="H23" t="str">
        <f t="shared" si="0"/>
        <v>|16|N’egg (Red/Green)|![](http://www.djcresswell.com/bloodwych/icons/022.png)|N’egg (Red/Green)|![](http://www.djcresswell.com/bloodwych/icons/022.png)|</v>
      </c>
      <c r="K23" s="56">
        <v>19</v>
      </c>
      <c r="L23" t="str">
        <f t="shared" si="2"/>
        <v xml:space="preserve">amgif 019.iff 019.gif </v>
      </c>
      <c r="M23" t="str">
        <f t="shared" si="1"/>
        <v xml:space="preserve">magick convert 019.gif -crop 18x18+0+0 -scale 200% 019.png
</v>
      </c>
    </row>
    <row r="24" spans="1:13" ht="28" customHeight="1" x14ac:dyDescent="0.2">
      <c r="A24" s="52">
        <v>17</v>
      </c>
      <c r="B24" s="55" t="s">
        <v>9402</v>
      </c>
      <c r="C24" s="56">
        <v>23</v>
      </c>
      <c r="E24" s="53" t="s">
        <v>9402</v>
      </c>
      <c r="F24" s="56">
        <v>23</v>
      </c>
      <c r="H24" t="str">
        <f t="shared" si="0"/>
        <v>|17|Serpent Slime|![](http://www.djcresswell.com/bloodwych/icons/023.png)|Serpent Slime|![](http://www.djcresswell.com/bloodwych/icons/023.png)|</v>
      </c>
      <c r="K24" s="56">
        <v>20</v>
      </c>
      <c r="L24" t="str">
        <f t="shared" si="2"/>
        <v xml:space="preserve">amgif 020.iff 020.gif </v>
      </c>
      <c r="M24" t="str">
        <f t="shared" si="1"/>
        <v xml:space="preserve">magick convert 020.gif -crop 18x18+0+0 -scale 200% 020.png
</v>
      </c>
    </row>
    <row r="25" spans="1:13" ht="28" customHeight="1" x14ac:dyDescent="0.2">
      <c r="A25" s="52">
        <v>18</v>
      </c>
      <c r="B25" s="55" t="s">
        <v>9403</v>
      </c>
      <c r="C25" s="56">
        <v>24</v>
      </c>
      <c r="E25" s="53" t="s">
        <v>9403</v>
      </c>
      <c r="F25" s="56">
        <v>24</v>
      </c>
      <c r="H25" t="str">
        <f t="shared" si="0"/>
        <v>|18|Brimstone Broth|![](http://www.djcresswell.com/bloodwych/icons/024.png)|Brimstone Broth|![](http://www.djcresswell.com/bloodwych/icons/024.png)|</v>
      </c>
      <c r="K25" s="56">
        <v>21</v>
      </c>
      <c r="L25" t="str">
        <f t="shared" si="2"/>
        <v xml:space="preserve">amgif 021.iff 021.gif </v>
      </c>
      <c r="M25" t="str">
        <f t="shared" si="1"/>
        <v xml:space="preserve">magick convert 021.gif -crop 18x18+0+0 -scale 200% 021.png
</v>
      </c>
    </row>
    <row r="26" spans="1:13" ht="28" customHeight="1" x14ac:dyDescent="0.2">
      <c r="A26" s="52">
        <v>19</v>
      </c>
      <c r="B26" s="55" t="s">
        <v>9404</v>
      </c>
      <c r="C26" s="56">
        <v>25</v>
      </c>
      <c r="E26" s="53" t="s">
        <v>9404</v>
      </c>
      <c r="F26" s="56">
        <v>25</v>
      </c>
      <c r="H26" t="str">
        <f t="shared" si="0"/>
        <v>|19|Dragon Ale|![](http://www.djcresswell.com/bloodwych/icons/025.png)|Dragon Ale|![](http://www.djcresswell.com/bloodwych/icons/025.png)|</v>
      </c>
      <c r="K26" s="56">
        <v>22</v>
      </c>
      <c r="L26" t="str">
        <f t="shared" si="2"/>
        <v xml:space="preserve">amgif 022.iff 022.gif </v>
      </c>
      <c r="M26" t="str">
        <f t="shared" si="1"/>
        <v xml:space="preserve">magick convert 022.gif -crop 18x18+0+0 -scale 200% 022.png
</v>
      </c>
    </row>
    <row r="27" spans="1:13" ht="28" customHeight="1" x14ac:dyDescent="0.2">
      <c r="A27" s="52" t="s">
        <v>9259</v>
      </c>
      <c r="B27" s="55" t="s">
        <v>9405</v>
      </c>
      <c r="C27" s="56">
        <v>26</v>
      </c>
      <c r="E27" s="53" t="s">
        <v>9405</v>
      </c>
      <c r="F27" s="56">
        <v>26</v>
      </c>
      <c r="H27" t="str">
        <f t="shared" si="0"/>
        <v>|1A|Moon Elixir|![](http://www.djcresswell.com/bloodwych/icons/026.png)|Moon Elixir|![](http://www.djcresswell.com/bloodwych/icons/026.png)|</v>
      </c>
      <c r="K27" s="56">
        <v>23</v>
      </c>
      <c r="L27" t="str">
        <f t="shared" si="2"/>
        <v xml:space="preserve">amgif 023.iff 023.gif </v>
      </c>
      <c r="M27" t="str">
        <f t="shared" si="1"/>
        <v xml:space="preserve">magick convert 023.gif -crop 18x18+0+0 -scale 200% 023.png
</v>
      </c>
    </row>
    <row r="28" spans="1:13" ht="28" customHeight="1" x14ac:dyDescent="0.2">
      <c r="A28" s="52" t="s">
        <v>9261</v>
      </c>
      <c r="B28" s="55" t="s">
        <v>9255</v>
      </c>
      <c r="C28" s="56">
        <v>27</v>
      </c>
      <c r="E28" s="53" t="s">
        <v>9255</v>
      </c>
      <c r="F28" s="56">
        <v>27</v>
      </c>
      <c r="H28" t="str">
        <f t="shared" si="0"/>
        <v>|1B|Leather Armour|![](http://www.djcresswell.com/bloodwych/icons/027.png)|Leather Armour|![](http://www.djcresswell.com/bloodwych/icons/027.png)|</v>
      </c>
      <c r="K28" s="56">
        <v>24</v>
      </c>
      <c r="L28" t="str">
        <f t="shared" si="2"/>
        <v xml:space="preserve">amgif 024.iff 024.gif </v>
      </c>
      <c r="M28" t="str">
        <f t="shared" si="1"/>
        <v xml:space="preserve">magick convert 024.gif -crop 18x18+0+0 -scale 200% 024.png
</v>
      </c>
    </row>
    <row r="29" spans="1:13" ht="28" customHeight="1" x14ac:dyDescent="0.2">
      <c r="A29" s="52" t="s">
        <v>5380</v>
      </c>
      <c r="B29" s="55" t="s">
        <v>9406</v>
      </c>
      <c r="C29" s="56">
        <v>28</v>
      </c>
      <c r="E29" s="53" t="s">
        <v>9406</v>
      </c>
      <c r="F29" s="56">
        <v>28</v>
      </c>
      <c r="H29" t="str">
        <f t="shared" si="0"/>
        <v>|1C|Chain Mail|![](http://www.djcresswell.com/bloodwych/icons/028.png)|Chain Mail|![](http://www.djcresswell.com/bloodwych/icons/028.png)|</v>
      </c>
      <c r="K29" s="56">
        <v>25</v>
      </c>
      <c r="L29" t="str">
        <f t="shared" si="2"/>
        <v xml:space="preserve">amgif 025.iff 025.gif </v>
      </c>
      <c r="M29" t="str">
        <f t="shared" si="1"/>
        <v xml:space="preserve">magick convert 025.gif -crop 18x18+0+0 -scale 200% 025.png
</v>
      </c>
    </row>
    <row r="30" spans="1:13" ht="28" customHeight="1" x14ac:dyDescent="0.2">
      <c r="A30" s="52" t="s">
        <v>9264</v>
      </c>
      <c r="B30" s="55" t="s">
        <v>9407</v>
      </c>
      <c r="C30" s="56">
        <v>29</v>
      </c>
      <c r="E30" s="53" t="s">
        <v>9407</v>
      </c>
      <c r="F30" s="56">
        <v>29</v>
      </c>
      <c r="H30" t="str">
        <f t="shared" si="0"/>
        <v>|1D|Plate Mail|![](http://www.djcresswell.com/bloodwych/icons/029.png)|Plate Mail|![](http://www.djcresswell.com/bloodwych/icons/029.png)|</v>
      </c>
      <c r="K30" s="56">
        <v>26</v>
      </c>
      <c r="L30" t="str">
        <f t="shared" si="2"/>
        <v xml:space="preserve">amgif 026.iff 026.gif </v>
      </c>
      <c r="M30" t="str">
        <f t="shared" si="1"/>
        <v xml:space="preserve">magick convert 026.gif -crop 18x18+0+0 -scale 200% 026.png
</v>
      </c>
    </row>
    <row r="31" spans="1:13" ht="28" customHeight="1" x14ac:dyDescent="0.2">
      <c r="A31" s="52" t="s">
        <v>9266</v>
      </c>
      <c r="B31" s="55" t="s">
        <v>9408</v>
      </c>
      <c r="C31" s="56">
        <v>30</v>
      </c>
      <c r="E31" s="53" t="s">
        <v>9408</v>
      </c>
      <c r="F31" s="56">
        <v>30</v>
      </c>
      <c r="H31" t="str">
        <f t="shared" si="0"/>
        <v>|1E|Mithril Chain|![](http://www.djcresswell.com/bloodwych/icons/030.png)|Mithril Chain|![](http://www.djcresswell.com/bloodwych/icons/030.png)|</v>
      </c>
      <c r="K31" s="56">
        <v>27</v>
      </c>
      <c r="L31" t="str">
        <f t="shared" si="2"/>
        <v xml:space="preserve">amgif 027.iff 027.gif </v>
      </c>
      <c r="M31" t="str">
        <f t="shared" si="1"/>
        <v xml:space="preserve">magick convert 027.gif -crop 18x18+0+0 -scale 200% 027.png
</v>
      </c>
    </row>
    <row r="32" spans="1:13" ht="28" customHeight="1" x14ac:dyDescent="0.2">
      <c r="A32" s="52" t="s">
        <v>9268</v>
      </c>
      <c r="B32" s="55" t="s">
        <v>9409</v>
      </c>
      <c r="C32" s="56">
        <v>31</v>
      </c>
      <c r="E32" s="53" t="s">
        <v>9409</v>
      </c>
      <c r="F32" s="56">
        <v>31</v>
      </c>
      <c r="H32" t="str">
        <f t="shared" si="0"/>
        <v>|1F|Mithril Plate|![](http://www.djcresswell.com/bloodwych/icons/031.png)|Mithril Plate|![](http://www.djcresswell.com/bloodwych/icons/031.png)|</v>
      </c>
      <c r="K32" s="56">
        <v>28</v>
      </c>
      <c r="L32" t="str">
        <f t="shared" si="2"/>
        <v xml:space="preserve">amgif 028.iff 028.gif </v>
      </c>
      <c r="M32" t="str">
        <f t="shared" si="1"/>
        <v xml:space="preserve">magick convert 028.gif -crop 18x18+0+0 -scale 200% 028.png
</v>
      </c>
    </row>
    <row r="33" spans="1:13" ht="28" customHeight="1" x14ac:dyDescent="0.2">
      <c r="A33" s="52">
        <v>20</v>
      </c>
      <c r="B33" s="55" t="s">
        <v>9410</v>
      </c>
      <c r="C33" s="56">
        <v>32</v>
      </c>
      <c r="E33" s="53" t="s">
        <v>9410</v>
      </c>
      <c r="F33" s="56">
        <v>32</v>
      </c>
      <c r="H33" t="str">
        <f t="shared" si="0"/>
        <v>|20|Adamant Chain|![](http://www.djcresswell.com/bloodwych/icons/032.png)|Adamant Chain|![](http://www.djcresswell.com/bloodwych/icons/032.png)|</v>
      </c>
      <c r="K33" s="56">
        <v>29</v>
      </c>
      <c r="L33" t="str">
        <f t="shared" si="2"/>
        <v xml:space="preserve">amgif 029.iff 029.gif </v>
      </c>
      <c r="M33" t="str">
        <f t="shared" si="1"/>
        <v xml:space="preserve">magick convert 029.gif -crop 18x18+0+0 -scale 200% 029.png
</v>
      </c>
    </row>
    <row r="34" spans="1:13" ht="28" customHeight="1" x14ac:dyDescent="0.2">
      <c r="A34" s="52">
        <v>21</v>
      </c>
      <c r="B34" s="55" t="s">
        <v>9411</v>
      </c>
      <c r="C34" s="56">
        <v>33</v>
      </c>
      <c r="E34" s="53" t="s">
        <v>9411</v>
      </c>
      <c r="F34" s="56">
        <v>33</v>
      </c>
      <c r="H34" t="str">
        <f t="shared" si="0"/>
        <v>|21|Adamant Plate|![](http://www.djcresswell.com/bloodwych/icons/033.png)|Adamant Plate|![](http://www.djcresswell.com/bloodwych/icons/033.png)|</v>
      </c>
      <c r="K34" s="56">
        <v>30</v>
      </c>
      <c r="L34" t="str">
        <f t="shared" si="2"/>
        <v xml:space="preserve">amgif 030.iff 030.gif </v>
      </c>
      <c r="M34" t="str">
        <f t="shared" si="1"/>
        <v xml:space="preserve">magick convert 030.gif -crop 18x18+0+0 -scale 200% 030.png
</v>
      </c>
    </row>
    <row r="35" spans="1:13" ht="28" customHeight="1" x14ac:dyDescent="0.2">
      <c r="A35" s="52">
        <v>22</v>
      </c>
      <c r="B35" s="55" t="s">
        <v>9412</v>
      </c>
      <c r="C35" s="56">
        <v>34</v>
      </c>
      <c r="E35" s="53" t="s">
        <v>9412</v>
      </c>
      <c r="F35" s="56">
        <v>34</v>
      </c>
      <c r="H35" t="str">
        <f t="shared" si="0"/>
        <v>|22|Crystal Chain|![](http://www.djcresswell.com/bloodwych/icons/034.png)|Crystal Chain|![](http://www.djcresswell.com/bloodwych/icons/034.png)|</v>
      </c>
      <c r="K35" s="56">
        <v>31</v>
      </c>
      <c r="L35" t="str">
        <f t="shared" si="2"/>
        <v xml:space="preserve">amgif 031.iff 031.gif </v>
      </c>
      <c r="M35" t="str">
        <f t="shared" si="1"/>
        <v xml:space="preserve">magick convert 031.gif -crop 18x18+0+0 -scale 200% 031.png
</v>
      </c>
    </row>
    <row r="36" spans="1:13" ht="28" customHeight="1" x14ac:dyDescent="0.2">
      <c r="A36" s="52">
        <v>23</v>
      </c>
      <c r="B36" s="55" t="s">
        <v>9413</v>
      </c>
      <c r="C36" s="56">
        <v>35</v>
      </c>
      <c r="E36" s="53" t="s">
        <v>9413</v>
      </c>
      <c r="F36" s="56">
        <v>35</v>
      </c>
      <c r="H36" t="str">
        <f t="shared" si="0"/>
        <v>|23|Crystal Plate|![](http://www.djcresswell.com/bloodwych/icons/035.png)|Crystal Plate|![](http://www.djcresswell.com/bloodwych/icons/035.png)|</v>
      </c>
      <c r="K36" s="56">
        <v>32</v>
      </c>
      <c r="L36" t="str">
        <f t="shared" si="2"/>
        <v xml:space="preserve">amgif 032.iff 032.gif </v>
      </c>
      <c r="M36" t="str">
        <f t="shared" si="1"/>
        <v xml:space="preserve">magick convert 032.gif -crop 18x18+0+0 -scale 200% 032.png
</v>
      </c>
    </row>
    <row r="37" spans="1:13" ht="28" customHeight="1" x14ac:dyDescent="0.2">
      <c r="A37" s="52">
        <v>24</v>
      </c>
      <c r="B37" s="55" t="s">
        <v>9414</v>
      </c>
      <c r="C37" s="56">
        <v>36</v>
      </c>
      <c r="E37" s="53" t="s">
        <v>9471</v>
      </c>
      <c r="F37" s="56">
        <v>39</v>
      </c>
      <c r="H37" t="str">
        <f t="shared" si="0"/>
        <v>|24|Leather Shield|![](http://www.djcresswell.com/bloodwych/icons/036.png)|Rune Shield (Red)|![](http://www.djcresswell.com/bloodwych/icons/039.png)|</v>
      </c>
      <c r="K37" s="56">
        <v>33</v>
      </c>
      <c r="L37" t="str">
        <f t="shared" si="2"/>
        <v xml:space="preserve">amgif 033.iff 033.gif </v>
      </c>
      <c r="M37" t="str">
        <f t="shared" si="1"/>
        <v xml:space="preserve">magick convert 033.gif -crop 18x18+0+0 -scale 200% 033.png
</v>
      </c>
    </row>
    <row r="38" spans="1:13" ht="28" customHeight="1" x14ac:dyDescent="0.2">
      <c r="A38" s="52">
        <v>25</v>
      </c>
      <c r="B38" s="55" t="s">
        <v>9480</v>
      </c>
      <c r="C38" s="56">
        <v>37</v>
      </c>
      <c r="E38" s="53" t="s">
        <v>9472</v>
      </c>
      <c r="F38" s="56">
        <v>40</v>
      </c>
      <c r="H38" t="str">
        <f t="shared" si="0"/>
        <v>|25|Buckler|![](http://www.djcresswell.com/bloodwych/icons/037.png)|Rune Shield (Green)|![](http://www.djcresswell.com/bloodwych/icons/040.png)|</v>
      </c>
      <c r="K38" s="56">
        <v>34</v>
      </c>
      <c r="L38" t="str">
        <f t="shared" si="2"/>
        <v xml:space="preserve">amgif 034.iff 034.gif </v>
      </c>
      <c r="M38" t="str">
        <f t="shared" si="1"/>
        <v xml:space="preserve">magick convert 034.gif -crop 18x18+0+0 -scale 200% 034.png
</v>
      </c>
    </row>
    <row r="39" spans="1:13" ht="28" customHeight="1" x14ac:dyDescent="0.2">
      <c r="A39" s="52">
        <v>26</v>
      </c>
      <c r="B39" s="55" t="s">
        <v>9415</v>
      </c>
      <c r="C39" s="56">
        <v>38</v>
      </c>
      <c r="E39" s="53" t="s">
        <v>9473</v>
      </c>
      <c r="F39" s="56">
        <v>41</v>
      </c>
      <c r="H39" t="str">
        <f t="shared" si="0"/>
        <v>|26|Rune Shield (Classic)|![](http://www.djcresswell.com/bloodwych/icons/038.png)|Rune Shield (Black)|![](http://www.djcresswell.com/bloodwych/icons/041.png)|</v>
      </c>
      <c r="K39" s="56">
        <v>35</v>
      </c>
      <c r="L39" t="str">
        <f t="shared" si="2"/>
        <v xml:space="preserve">amgif 035.iff 035.gif </v>
      </c>
      <c r="M39" t="str">
        <f t="shared" si="1"/>
        <v xml:space="preserve">magick convert 035.gif -crop 18x18+0+0 -scale 200% 035.png
</v>
      </c>
    </row>
    <row r="40" spans="1:13" ht="28" customHeight="1" x14ac:dyDescent="0.2">
      <c r="A40" s="52">
        <v>27</v>
      </c>
      <c r="B40" s="55" t="s">
        <v>9357</v>
      </c>
      <c r="C40" s="56">
        <v>42</v>
      </c>
      <c r="E40" s="53" t="s">
        <v>9252</v>
      </c>
      <c r="F40" s="56">
        <v>45</v>
      </c>
      <c r="H40" t="str">
        <f t="shared" si="0"/>
        <v>|27|Large Shield|![](http://www.djcresswell.com/bloodwych/icons/042.png)|War Shield|![](http://www.djcresswell.com/bloodwych/icons/045.png)|</v>
      </c>
      <c r="K40" s="56">
        <v>36</v>
      </c>
      <c r="L40" t="str">
        <f t="shared" si="2"/>
        <v xml:space="preserve">amgif 036.iff 036.gif </v>
      </c>
      <c r="M40" t="str">
        <f t="shared" si="1"/>
        <v xml:space="preserve">magick convert 036.gif -crop 18x18+0+0 -scale 200% 036.png
</v>
      </c>
    </row>
    <row r="41" spans="1:13" ht="28" customHeight="1" x14ac:dyDescent="0.2">
      <c r="A41" s="52">
        <v>28</v>
      </c>
      <c r="B41" s="55" t="s">
        <v>9358</v>
      </c>
      <c r="C41" s="56">
        <v>43</v>
      </c>
      <c r="E41" s="53" t="s">
        <v>9253</v>
      </c>
      <c r="F41" s="56">
        <v>46</v>
      </c>
      <c r="H41" t="str">
        <f t="shared" si="0"/>
        <v>|28|Moon Shield|![](http://www.djcresswell.com/bloodwych/icons/043.png)|Demon Scale|![](http://www.djcresswell.com/bloodwych/icons/046.png)|</v>
      </c>
      <c r="K41" s="56">
        <v>37</v>
      </c>
      <c r="L41" t="str">
        <f t="shared" si="2"/>
        <v xml:space="preserve">amgif 037.iff 037.gif </v>
      </c>
      <c r="M41" t="str">
        <f t="shared" si="1"/>
        <v xml:space="preserve">magick convert 037.gif -crop 18x18+0+0 -scale 200% 037.png
</v>
      </c>
    </row>
    <row r="42" spans="1:13" ht="28" customHeight="1" x14ac:dyDescent="0.2">
      <c r="A42" s="52">
        <v>29</v>
      </c>
      <c r="B42" s="55" t="s">
        <v>9359</v>
      </c>
      <c r="C42" s="56">
        <v>44</v>
      </c>
      <c r="E42" s="53" t="s">
        <v>9474</v>
      </c>
      <c r="F42" s="56">
        <v>47</v>
      </c>
      <c r="H42" t="str">
        <f t="shared" si="0"/>
        <v>|29|Dragon Scale|![](http://www.djcresswell.com/bloodwych/icons/044.png)|Battle Soul|![](http://www.djcresswell.com/bloodwych/icons/047.png)|</v>
      </c>
      <c r="K42" s="56">
        <v>38</v>
      </c>
      <c r="L42" t="str">
        <f t="shared" si="2"/>
        <v xml:space="preserve">amgif 038.iff 038.gif </v>
      </c>
      <c r="M42" t="str">
        <f t="shared" si="1"/>
        <v xml:space="preserve">magick convert 038.gif -crop 18x18+0+0 -scale 200% 038.png
</v>
      </c>
    </row>
    <row r="43" spans="1:13" ht="28" customHeight="1" x14ac:dyDescent="0.2">
      <c r="A43" s="52" t="s">
        <v>9280</v>
      </c>
      <c r="B43" s="55" t="s">
        <v>9252</v>
      </c>
      <c r="C43" s="56">
        <v>45</v>
      </c>
      <c r="E43" s="53" t="s">
        <v>9254</v>
      </c>
      <c r="F43" s="56">
        <v>48</v>
      </c>
      <c r="H43" t="str">
        <f t="shared" si="0"/>
        <v>|2A|War Shield|![](http://www.djcresswell.com/bloodwych/icons/045.png)|Chromatic Plate|![](http://www.djcresswell.com/bloodwych/icons/048.png)|</v>
      </c>
      <c r="K43" s="56">
        <v>39</v>
      </c>
      <c r="L43" t="str">
        <f t="shared" si="2"/>
        <v xml:space="preserve">amgif 039.iff 039.gif </v>
      </c>
      <c r="M43" t="str">
        <f t="shared" si="1"/>
        <v xml:space="preserve">magick convert 039.gif -crop 18x18+0+0 -scale 200% 039.png
</v>
      </c>
    </row>
    <row r="44" spans="1:13" ht="28" customHeight="1" x14ac:dyDescent="0.2">
      <c r="A44" s="52" t="s">
        <v>9282</v>
      </c>
      <c r="B44" s="55" t="s">
        <v>9416</v>
      </c>
      <c r="C44" s="56">
        <v>49</v>
      </c>
      <c r="E44" s="53" t="s">
        <v>9416</v>
      </c>
      <c r="F44" s="56">
        <v>49</v>
      </c>
      <c r="H44" t="str">
        <f t="shared" si="0"/>
        <v>|2B|Chaos Gloves|![](http://www.djcresswell.com/bloodwych/icons/049.png)|Chaos Gloves|![](http://www.djcresswell.com/bloodwych/icons/049.png)|</v>
      </c>
      <c r="K44" s="56">
        <v>40</v>
      </c>
      <c r="L44" t="str">
        <f t="shared" si="2"/>
        <v xml:space="preserve">amgif 040.iff 040.gif </v>
      </c>
      <c r="M44" t="str">
        <f t="shared" si="1"/>
        <v xml:space="preserve">magick convert 040.gif -crop 18x18+0+0 -scale 200% 040.png
</v>
      </c>
    </row>
    <row r="45" spans="1:13" ht="28" customHeight="1" x14ac:dyDescent="0.2">
      <c r="A45" s="52" t="s">
        <v>9284</v>
      </c>
      <c r="B45" s="55" t="s">
        <v>9417</v>
      </c>
      <c r="C45" s="56">
        <v>51</v>
      </c>
      <c r="E45" s="53" t="s">
        <v>9417</v>
      </c>
      <c r="F45" s="56">
        <v>51</v>
      </c>
      <c r="H45" t="str">
        <f t="shared" si="0"/>
        <v>|2C|Battle Gloves|![](http://www.djcresswell.com/bloodwych/icons/051.png)|Battle Gloves|![](http://www.djcresswell.com/bloodwych/icons/051.png)|</v>
      </c>
      <c r="K45" s="56">
        <v>41</v>
      </c>
      <c r="L45" t="str">
        <f t="shared" si="2"/>
        <v xml:space="preserve">amgif 041.iff 041.gif </v>
      </c>
      <c r="M45" t="str">
        <f t="shared" si="1"/>
        <v xml:space="preserve">magick convert 041.gif -crop 18x18+0+0 -scale 200% 041.png
</v>
      </c>
    </row>
    <row r="46" spans="1:13" ht="28" customHeight="1" x14ac:dyDescent="0.2">
      <c r="A46" s="52" t="s">
        <v>9286</v>
      </c>
      <c r="B46" s="55" t="s">
        <v>9418</v>
      </c>
      <c r="C46" s="56">
        <v>53</v>
      </c>
      <c r="E46" s="53" t="s">
        <v>9418</v>
      </c>
      <c r="F46" s="56">
        <v>53</v>
      </c>
      <c r="H46" t="str">
        <f t="shared" si="0"/>
        <v>|2D|Mithril Gloves|![](http://www.djcresswell.com/bloodwych/icons/053.png)|Mithril Gloves|![](http://www.djcresswell.com/bloodwych/icons/053.png)|</v>
      </c>
      <c r="K46" s="56">
        <v>42</v>
      </c>
      <c r="L46" t="str">
        <f t="shared" si="2"/>
        <v xml:space="preserve">amgif 042.iff 042.gif </v>
      </c>
      <c r="M46" t="str">
        <f t="shared" si="1"/>
        <v xml:space="preserve">magick convert 042.gif -crop 18x18+0+0 -scale 200% 042.png
</v>
      </c>
    </row>
    <row r="47" spans="1:13" ht="28" customHeight="1" x14ac:dyDescent="0.2">
      <c r="A47" s="52" t="s">
        <v>9288</v>
      </c>
      <c r="B47" s="55" t="s">
        <v>9419</v>
      </c>
      <c r="C47" s="56">
        <v>55</v>
      </c>
      <c r="E47" s="53" t="s">
        <v>9419</v>
      </c>
      <c r="F47" s="56">
        <v>55</v>
      </c>
      <c r="H47" t="str">
        <f t="shared" si="0"/>
        <v>|2E|Adamant Gloves|![](http://www.djcresswell.com/bloodwych/icons/055.png)|Adamant Gloves|![](http://www.djcresswell.com/bloodwych/icons/055.png)|</v>
      </c>
      <c r="K47" s="56">
        <v>43</v>
      </c>
      <c r="L47" t="str">
        <f t="shared" si="2"/>
        <v xml:space="preserve">amgif 043.iff 043.gif </v>
      </c>
      <c r="M47" t="str">
        <f t="shared" si="1"/>
        <v xml:space="preserve">magick convert 043.gif -crop 18x18+0+0 -scale 200% 043.png
</v>
      </c>
    </row>
    <row r="48" spans="1:13" ht="28" customHeight="1" x14ac:dyDescent="0.2">
      <c r="A48" s="52" t="s">
        <v>9290</v>
      </c>
      <c r="B48" s="55" t="s">
        <v>9420</v>
      </c>
      <c r="C48" s="56">
        <v>57</v>
      </c>
      <c r="E48" s="53" t="s">
        <v>9420</v>
      </c>
      <c r="F48" s="56">
        <v>57</v>
      </c>
      <c r="H48" t="str">
        <f t="shared" si="0"/>
        <v>|2F|Crystal Gloves|![](http://www.djcresswell.com/bloodwych/icons/057.png)|Crystal Gloves|![](http://www.djcresswell.com/bloodwych/icons/057.png)|</v>
      </c>
      <c r="K48" s="56">
        <v>44</v>
      </c>
      <c r="L48" t="str">
        <f t="shared" si="2"/>
        <v xml:space="preserve">amgif 044.iff 044.gif </v>
      </c>
      <c r="M48" t="str">
        <f t="shared" si="1"/>
        <v xml:space="preserve">magick convert 044.gif -crop 18x18+0+0 -scale 200% 044.png
</v>
      </c>
    </row>
    <row r="49" spans="1:13" ht="28" customHeight="1" x14ac:dyDescent="0.2">
      <c r="A49" s="52">
        <v>30</v>
      </c>
      <c r="B49" s="55" t="s">
        <v>9263</v>
      </c>
      <c r="C49" s="56">
        <v>59</v>
      </c>
      <c r="E49" s="53" t="s">
        <v>9263</v>
      </c>
      <c r="F49" s="56">
        <v>59</v>
      </c>
      <c r="H49" t="str">
        <f t="shared" si="0"/>
        <v>|30|Dagger|![](http://www.djcresswell.com/bloodwych/icons/059.png)|Dagger|![](http://www.djcresswell.com/bloodwych/icons/059.png)|</v>
      </c>
      <c r="K49" s="56">
        <v>45</v>
      </c>
      <c r="L49" t="str">
        <f t="shared" si="2"/>
        <v xml:space="preserve">amgif 045.iff 045.gif </v>
      </c>
      <c r="M49" t="str">
        <f t="shared" si="1"/>
        <v xml:space="preserve">magick convert 045.gif -crop 18x18+0+0 -scale 200% 045.png
</v>
      </c>
    </row>
    <row r="50" spans="1:13" ht="28" customHeight="1" x14ac:dyDescent="0.2">
      <c r="A50" s="52">
        <v>31</v>
      </c>
      <c r="B50" s="55" t="s">
        <v>9267</v>
      </c>
      <c r="C50" s="56">
        <v>60</v>
      </c>
      <c r="E50" s="53" t="s">
        <v>9267</v>
      </c>
      <c r="F50" s="56">
        <v>60</v>
      </c>
      <c r="H50" t="str">
        <f t="shared" si="0"/>
        <v>|31|Stealth Blade|![](http://www.djcresswell.com/bloodwych/icons/060.png)|Stealth Blade|![](http://www.djcresswell.com/bloodwych/icons/060.png)|</v>
      </c>
      <c r="K50" s="56">
        <v>46</v>
      </c>
      <c r="L50" t="str">
        <f t="shared" si="2"/>
        <v xml:space="preserve">amgif 046.iff 046.gif </v>
      </c>
      <c r="M50" t="str">
        <f t="shared" si="1"/>
        <v xml:space="preserve">magick convert 046.gif -crop 18x18+0+0 -scale 200% 046.png
</v>
      </c>
    </row>
    <row r="51" spans="1:13" ht="28" customHeight="1" x14ac:dyDescent="0.2">
      <c r="A51" s="52">
        <v>32</v>
      </c>
      <c r="B51" s="55" t="s">
        <v>9339</v>
      </c>
      <c r="C51" s="56">
        <v>61</v>
      </c>
      <c r="E51" s="53" t="s">
        <v>9475</v>
      </c>
      <c r="F51" s="56">
        <v>64</v>
      </c>
      <c r="H51" t="str">
        <f t="shared" si="0"/>
        <v>|32|Short Sword|![](http://www.djcresswell.com/bloodwych/icons/061.png)|Adamant Sword|![](http://www.djcresswell.com/bloodwych/icons/064.png)|</v>
      </c>
      <c r="K51" s="56">
        <v>47</v>
      </c>
      <c r="L51" t="str">
        <f t="shared" si="2"/>
        <v xml:space="preserve">amgif 047.iff 047.gif </v>
      </c>
      <c r="M51" t="str">
        <f t="shared" si="1"/>
        <v xml:space="preserve">magick convert 047.gif -crop 18x18+0+0 -scale 200% 047.png
</v>
      </c>
    </row>
    <row r="52" spans="1:13" ht="28" customHeight="1" x14ac:dyDescent="0.2">
      <c r="A52" s="52">
        <v>33</v>
      </c>
      <c r="B52" s="55" t="s">
        <v>9421</v>
      </c>
      <c r="C52" s="56">
        <v>62</v>
      </c>
      <c r="E52" s="53" t="s">
        <v>9273</v>
      </c>
      <c r="F52" s="56">
        <v>61</v>
      </c>
      <c r="H52" t="str">
        <f t="shared" si="0"/>
        <v>|33|Long Sword|![](http://www.djcresswell.com/bloodwych/icons/062.png)|Fleshbane|![](http://www.djcresswell.com/bloodwych/icons/061.png)|</v>
      </c>
      <c r="K52" s="56">
        <v>48</v>
      </c>
      <c r="L52" t="str">
        <f t="shared" si="2"/>
        <v xml:space="preserve">amgif 048.iff 048.gif </v>
      </c>
      <c r="M52" t="str">
        <f t="shared" si="1"/>
        <v xml:space="preserve">magick convert 048.gif -crop 18x18+0+0 -scale 200% 048.png
</v>
      </c>
    </row>
    <row r="53" spans="1:13" ht="28" customHeight="1" x14ac:dyDescent="0.2">
      <c r="A53" s="52">
        <v>34</v>
      </c>
      <c r="B53" s="55" t="s">
        <v>9422</v>
      </c>
      <c r="C53" s="56">
        <v>63</v>
      </c>
      <c r="E53" s="53" t="s">
        <v>9341</v>
      </c>
      <c r="F53" s="56">
        <v>61</v>
      </c>
      <c r="H53" t="str">
        <f t="shared" si="0"/>
        <v>|34|Mithril Sword|![](http://www.djcresswell.com/bloodwych/icons/063.png)|Demon Blade|![](http://www.djcresswell.com/bloodwych/icons/061.png)|</v>
      </c>
      <c r="K53" s="56">
        <v>49</v>
      </c>
      <c r="L53" t="str">
        <f t="shared" si="2"/>
        <v xml:space="preserve">amgif 049.iff 049.gif </v>
      </c>
      <c r="M53" t="str">
        <f t="shared" si="1"/>
        <v xml:space="preserve">magick convert 049.gif -crop 18x18+0+0 -scale 200% 049.png
</v>
      </c>
    </row>
    <row r="54" spans="1:13" ht="28" customHeight="1" x14ac:dyDescent="0.2">
      <c r="A54" s="52">
        <v>35</v>
      </c>
      <c r="B54" s="55" t="s">
        <v>9273</v>
      </c>
      <c r="C54" s="56">
        <v>65</v>
      </c>
      <c r="E54" s="53" t="s">
        <v>9274</v>
      </c>
      <c r="F54" s="56">
        <v>67</v>
      </c>
      <c r="H54" t="str">
        <f t="shared" si="0"/>
        <v>|35|Fleshbane|![](http://www.djcresswell.com/bloodwych/icons/065.png)|Rune Sword|![](http://www.djcresswell.com/bloodwych/icons/067.png)|</v>
      </c>
      <c r="K54" s="56">
        <v>50</v>
      </c>
      <c r="L54" t="str">
        <f t="shared" si="2"/>
        <v xml:space="preserve">amgif 050.iff 050.gif </v>
      </c>
      <c r="M54" t="str">
        <f t="shared" si="1"/>
        <v xml:space="preserve">magick convert 050.gif -crop 18x18+0+0 -scale 200% 050.png
</v>
      </c>
    </row>
    <row r="55" spans="1:13" ht="28" customHeight="1" x14ac:dyDescent="0.2">
      <c r="A55" s="52">
        <v>36</v>
      </c>
      <c r="B55" s="55" t="s">
        <v>9341</v>
      </c>
      <c r="C55" s="56">
        <v>66</v>
      </c>
      <c r="E55" s="53" t="s">
        <v>9275</v>
      </c>
      <c r="F55" s="56">
        <v>68</v>
      </c>
      <c r="H55" t="str">
        <f t="shared" si="0"/>
        <v>|36|Demon Blade|![](http://www.djcresswell.com/bloodwych/icons/066.png)|Soul Sucker|![](http://www.djcresswell.com/bloodwych/icons/068.png)|</v>
      </c>
      <c r="K55" s="56">
        <v>51</v>
      </c>
      <c r="L55" t="str">
        <f t="shared" si="2"/>
        <v xml:space="preserve">amgif 051.iff 051.gif </v>
      </c>
      <c r="M55" t="str">
        <f t="shared" si="1"/>
        <v xml:space="preserve">magick convert 051.gif -crop 18x18+0+0 -scale 200% 051.png
</v>
      </c>
    </row>
    <row r="56" spans="1:13" ht="28" customHeight="1" x14ac:dyDescent="0.2">
      <c r="A56" s="52">
        <v>37</v>
      </c>
      <c r="B56" s="55" t="s">
        <v>9276</v>
      </c>
      <c r="C56" s="56">
        <v>176</v>
      </c>
      <c r="E56" s="53" t="s">
        <v>9276</v>
      </c>
      <c r="F56" s="56">
        <v>176</v>
      </c>
      <c r="H56" t="str">
        <f t="shared" si="0"/>
        <v>|37|Ace of Swords|![](http://www.djcresswell.com/bloodwych/icons/176.png)|Ace of Swords|![](http://www.djcresswell.com/bloodwych/icons/176.png)|</v>
      </c>
      <c r="K56" s="56">
        <v>52</v>
      </c>
      <c r="L56" t="str">
        <f t="shared" si="2"/>
        <v xml:space="preserve">amgif 052.iff 052.gif </v>
      </c>
      <c r="M56" t="str">
        <f t="shared" si="1"/>
        <v xml:space="preserve">magick convert 052.gif -crop 18x18+0+0 -scale 200% 052.png
</v>
      </c>
    </row>
    <row r="57" spans="1:13" ht="28" customHeight="1" x14ac:dyDescent="0.2">
      <c r="A57" s="52">
        <v>38</v>
      </c>
      <c r="B57" s="53" t="s">
        <v>9425</v>
      </c>
      <c r="C57" s="56">
        <v>69</v>
      </c>
      <c r="E57" s="53" t="s">
        <v>9476</v>
      </c>
      <c r="F57" s="56">
        <v>72</v>
      </c>
      <c r="H57" t="str">
        <f t="shared" si="0"/>
        <v>|38|Battle Axe|![](http://www.djcresswell.com/bloodwych/icons/069.png)|Adamant Axe|![](http://www.djcresswell.com/bloodwych/icons/072.png)|</v>
      </c>
      <c r="K57" s="56">
        <v>53</v>
      </c>
      <c r="L57" t="str">
        <f t="shared" si="2"/>
        <v xml:space="preserve">amgif 053.iff 053.gif </v>
      </c>
      <c r="M57" t="str">
        <f t="shared" si="1"/>
        <v xml:space="preserve">magick convert 053.gif -crop 18x18+0+0 -scale 200% 053.png
</v>
      </c>
    </row>
    <row r="58" spans="1:13" ht="28" customHeight="1" x14ac:dyDescent="0.2">
      <c r="A58" s="52">
        <v>39</v>
      </c>
      <c r="B58" s="53" t="s">
        <v>9426</v>
      </c>
      <c r="C58" s="56">
        <v>70</v>
      </c>
      <c r="E58" s="53" t="s">
        <v>9477</v>
      </c>
      <c r="F58" s="56">
        <v>73</v>
      </c>
      <c r="H58" t="str">
        <f t="shared" si="0"/>
        <v>|39|Mitril Axe|![](http://www.djcresswell.com/bloodwych/icons/070.png)|Ogre’s Axe|![](http://www.djcresswell.com/bloodwych/icons/073.png)|</v>
      </c>
      <c r="K58" s="56">
        <v>54</v>
      </c>
      <c r="L58" t="str">
        <f t="shared" si="2"/>
        <v xml:space="preserve">amgif 054.iff 054.gif </v>
      </c>
      <c r="M58" t="str">
        <f t="shared" si="1"/>
        <v xml:space="preserve">magick convert 054.gif -crop 18x18+0+0 -scale 200% 054.png
</v>
      </c>
    </row>
    <row r="59" spans="1:13" ht="28" customHeight="1" x14ac:dyDescent="0.2">
      <c r="A59" s="52" t="s">
        <v>9302</v>
      </c>
      <c r="B59" s="53" t="s">
        <v>9427</v>
      </c>
      <c r="C59" s="56">
        <v>71</v>
      </c>
      <c r="E59" s="53" t="s">
        <v>9347</v>
      </c>
      <c r="F59" s="56">
        <v>75</v>
      </c>
      <c r="H59" t="str">
        <f t="shared" si="0"/>
        <v>|3A|Troll’s Axe|![](http://www.djcresswell.com/bloodwych/icons/071.png)|Deathbringer|![](http://www.djcresswell.com/bloodwych/icons/075.png)|</v>
      </c>
      <c r="K59" s="56">
        <v>55</v>
      </c>
      <c r="L59" t="str">
        <f t="shared" si="2"/>
        <v xml:space="preserve">amgif 055.iff 055.gif </v>
      </c>
      <c r="M59" t="str">
        <f t="shared" si="1"/>
        <v xml:space="preserve">magick convert 055.gif -crop 18x18+0+0 -scale 200% 055.png
</v>
      </c>
    </row>
    <row r="60" spans="1:13" ht="28" customHeight="1" x14ac:dyDescent="0.2">
      <c r="A60" s="52" t="s">
        <v>9304</v>
      </c>
      <c r="B60" s="53" t="s">
        <v>9348</v>
      </c>
      <c r="C60" s="56">
        <v>74</v>
      </c>
      <c r="E60" s="53" t="s">
        <v>9281</v>
      </c>
      <c r="F60" s="56">
        <v>76</v>
      </c>
      <c r="H60" t="str">
        <f t="shared" si="0"/>
        <v>|3B|Brainbiter|![](http://www.djcresswell.com/bloodwych/icons/074.png)|Dragon Axe|![](http://www.djcresswell.com/bloodwych/icons/076.png)|</v>
      </c>
      <c r="K60" s="56">
        <v>56</v>
      </c>
      <c r="L60" t="str">
        <f t="shared" si="2"/>
        <v xml:space="preserve">amgif 056.iff 056.gif </v>
      </c>
      <c r="M60" t="str">
        <f t="shared" si="1"/>
        <v xml:space="preserve">magick convert 056.gif -crop 18x18+0+0 -scale 200% 056.png
</v>
      </c>
    </row>
    <row r="61" spans="1:13" ht="28" customHeight="1" x14ac:dyDescent="0.2">
      <c r="A61" s="52" t="s">
        <v>9306</v>
      </c>
      <c r="B61" s="53" t="s">
        <v>9347</v>
      </c>
      <c r="C61" s="56">
        <v>75</v>
      </c>
      <c r="E61" s="53" t="s">
        <v>9279</v>
      </c>
      <c r="F61" s="56">
        <v>77</v>
      </c>
      <c r="H61" t="str">
        <f t="shared" si="0"/>
        <v>|3C|Deathbringer|![](http://www.djcresswell.com/bloodwych/icons/075.png)|Grey Axe|![](http://www.djcresswell.com/bloodwych/icons/077.png)|</v>
      </c>
      <c r="K61" s="56">
        <v>57</v>
      </c>
      <c r="L61" t="str">
        <f t="shared" si="2"/>
        <v xml:space="preserve">amgif 057.iff 057.gif </v>
      </c>
      <c r="M61" t="str">
        <f t="shared" si="1"/>
        <v xml:space="preserve">magick convert 057.gif -crop 18x18+0+0 -scale 200% 057.png
</v>
      </c>
    </row>
    <row r="62" spans="1:13" ht="28" customHeight="1" x14ac:dyDescent="0.2">
      <c r="A62" s="52" t="s">
        <v>9308</v>
      </c>
      <c r="B62" s="53" t="s">
        <v>9246</v>
      </c>
      <c r="C62" s="56">
        <v>78</v>
      </c>
      <c r="E62" s="53" t="s">
        <v>9246</v>
      </c>
      <c r="F62" s="56">
        <v>78</v>
      </c>
      <c r="H62" t="str">
        <f t="shared" si="0"/>
        <v>|3D|Staff|![](http://www.djcresswell.com/bloodwych/icons/078.png)|Staff|![](http://www.djcresswell.com/bloodwych/icons/078.png)|</v>
      </c>
      <c r="K62" s="56">
        <v>58</v>
      </c>
      <c r="L62" t="str">
        <f t="shared" si="2"/>
        <v xml:space="preserve">amgif 058.iff 058.gif </v>
      </c>
      <c r="M62" t="str">
        <f t="shared" si="1"/>
        <v xml:space="preserve">magick convert 058.gif -crop 18x18+0+0 -scale 200% 058.png
</v>
      </c>
    </row>
    <row r="63" spans="1:13" ht="28" customHeight="1" x14ac:dyDescent="0.2">
      <c r="A63" s="52" t="s">
        <v>9310</v>
      </c>
      <c r="B63" s="53" t="s">
        <v>9428</v>
      </c>
      <c r="C63" s="56">
        <v>78</v>
      </c>
      <c r="E63" s="53" t="s">
        <v>9428</v>
      </c>
      <c r="F63" s="56">
        <v>78</v>
      </c>
      <c r="H63" t="str">
        <f t="shared" si="0"/>
        <v>|3E|Battle Staff|![](http://www.djcresswell.com/bloodwych/icons/078.png)|Battle Staff|![](http://www.djcresswell.com/bloodwych/icons/078.png)|</v>
      </c>
      <c r="K63" s="56">
        <v>59</v>
      </c>
      <c r="L63" t="str">
        <f t="shared" si="2"/>
        <v xml:space="preserve">amgif 059.iff 059.gif </v>
      </c>
      <c r="M63" t="str">
        <f t="shared" si="1"/>
        <v xml:space="preserve">magick convert 059.gif -crop 18x18+0+0 -scale 200% 059.png
</v>
      </c>
    </row>
    <row r="64" spans="1:13" ht="28" customHeight="1" x14ac:dyDescent="0.2">
      <c r="A64" s="52" t="s">
        <v>9312</v>
      </c>
      <c r="B64" s="53" t="s">
        <v>9429</v>
      </c>
      <c r="C64" s="56">
        <v>80</v>
      </c>
      <c r="E64" s="53" t="s">
        <v>9429</v>
      </c>
      <c r="F64" s="56">
        <v>80</v>
      </c>
      <c r="H64" t="str">
        <f t="shared" si="0"/>
        <v>|3F|Power Staff|![](http://www.djcresswell.com/bloodwych/icons/080.png)|Power Staff|![](http://www.djcresswell.com/bloodwych/icons/080.png)|</v>
      </c>
      <c r="K64" s="56">
        <v>60</v>
      </c>
      <c r="L64" t="str">
        <f t="shared" si="2"/>
        <v xml:space="preserve">amgif 060.iff 060.gif </v>
      </c>
      <c r="M64" t="str">
        <f t="shared" si="1"/>
        <v xml:space="preserve">magick convert 060.gif -crop 18x18+0+0 -scale 200% 060.png
</v>
      </c>
    </row>
    <row r="65" spans="1:13" ht="28" customHeight="1" x14ac:dyDescent="0.2">
      <c r="A65" s="52">
        <v>40</v>
      </c>
      <c r="B65" s="53" t="s">
        <v>9430</v>
      </c>
      <c r="C65" s="56">
        <v>81</v>
      </c>
      <c r="E65" s="53" t="s">
        <v>9430</v>
      </c>
      <c r="F65" s="56">
        <v>81</v>
      </c>
      <c r="H65" t="str">
        <f t="shared" si="0"/>
        <v>|40|Blodwyn (RIP)|![](http://www.djcresswell.com/bloodwych/icons/081.png)|Blodwyn (RIP)|![](http://www.djcresswell.com/bloodwych/icons/081.png)|</v>
      </c>
      <c r="K65" s="56">
        <v>61</v>
      </c>
      <c r="L65" t="str">
        <f t="shared" si="2"/>
        <v xml:space="preserve">amgif 061.iff 061.gif </v>
      </c>
      <c r="M65" t="str">
        <f t="shared" si="1"/>
        <v xml:space="preserve">magick convert 061.gif -crop 18x18+0+0 -scale 200% 061.png
</v>
      </c>
    </row>
    <row r="66" spans="1:13" ht="28" customHeight="1" x14ac:dyDescent="0.2">
      <c r="A66" s="52">
        <v>41</v>
      </c>
      <c r="B66" s="53" t="s">
        <v>9431</v>
      </c>
      <c r="C66" s="56">
        <v>82</v>
      </c>
      <c r="E66" s="53" t="s">
        <v>9431</v>
      </c>
      <c r="F66" s="56">
        <v>82</v>
      </c>
      <c r="H66" t="str">
        <f t="shared" si="0"/>
        <v>|41|Murlock (RIP)|![](http://www.djcresswell.com/bloodwych/icons/082.png)|Murlock (RIP)|![](http://www.djcresswell.com/bloodwych/icons/082.png)|</v>
      </c>
      <c r="K66" s="56">
        <v>62</v>
      </c>
      <c r="L66" t="str">
        <f t="shared" si="2"/>
        <v xml:space="preserve">amgif 062.iff 062.gif </v>
      </c>
      <c r="M66" t="str">
        <f t="shared" si="1"/>
        <v xml:space="preserve">magick convert 062.gif -crop 18x18+0+0 -scale 200% 062.png
</v>
      </c>
    </row>
    <row r="67" spans="1:13" ht="28" customHeight="1" x14ac:dyDescent="0.2">
      <c r="A67" s="52">
        <v>42</v>
      </c>
      <c r="B67" s="53" t="s">
        <v>9432</v>
      </c>
      <c r="C67" s="56">
        <v>83</v>
      </c>
      <c r="E67" s="53" t="s">
        <v>9432</v>
      </c>
      <c r="F67" s="56">
        <v>83</v>
      </c>
      <c r="H67" t="str">
        <f t="shared" ref="H67:H110" si="3">"|"&amp;TEXT(A67,"00")&amp;"|"&amp;B67&amp;"|"&amp;"![](http://www.djcresswell.com/bloodwych/icons/"&amp;TEXT(C67,"000")&amp;".png)|"&amp;E67&amp;"|"&amp;"![](http://www.djcresswell.com/bloodwych/icons/"&amp;TEXT(F67,"000")&amp;".png)|"</f>
        <v>|42|Elenor (RIP)|![](http://www.djcresswell.com/bloodwych/icons/083.png)|Elenor (RIP)|![](http://www.djcresswell.com/bloodwych/icons/083.png)|</v>
      </c>
      <c r="K67" s="56">
        <v>63</v>
      </c>
      <c r="L67" t="str">
        <f t="shared" si="2"/>
        <v xml:space="preserve">amgif 063.iff 063.gif </v>
      </c>
      <c r="M67" t="str">
        <f t="shared" si="1"/>
        <v xml:space="preserve">magick convert 063.gif -crop 18x18+0+0 -scale 200% 063.png
</v>
      </c>
    </row>
    <row r="68" spans="1:13" ht="28" customHeight="1" x14ac:dyDescent="0.2">
      <c r="A68" s="52">
        <v>43</v>
      </c>
      <c r="B68" s="53" t="s">
        <v>9433</v>
      </c>
      <c r="C68" s="56">
        <v>84</v>
      </c>
      <c r="E68" s="53" t="s">
        <v>9433</v>
      </c>
      <c r="F68" s="56">
        <v>84</v>
      </c>
      <c r="H68" t="str">
        <f t="shared" si="3"/>
        <v>|43|Roseanne (RIP)|![](http://www.djcresswell.com/bloodwych/icons/084.png)|Roseanne (RIP)|![](http://www.djcresswell.com/bloodwych/icons/084.png)|</v>
      </c>
      <c r="K68" s="56">
        <v>64</v>
      </c>
      <c r="L68" t="str">
        <f t="shared" si="2"/>
        <v xml:space="preserve">amgif 064.iff 064.gif </v>
      </c>
      <c r="M68" t="str">
        <f t="shared" si="1"/>
        <v xml:space="preserve">magick convert 064.gif -crop 18x18+0+0 -scale 200% 064.png
</v>
      </c>
    </row>
    <row r="69" spans="1:13" ht="28" customHeight="1" x14ac:dyDescent="0.2">
      <c r="A69" s="52">
        <v>44</v>
      </c>
      <c r="B69" s="53" t="s">
        <v>9434</v>
      </c>
      <c r="C69" s="56">
        <v>82</v>
      </c>
      <c r="E69" s="53" t="s">
        <v>9434</v>
      </c>
      <c r="F69" s="56">
        <v>82</v>
      </c>
      <c r="H69" t="str">
        <f t="shared" si="3"/>
        <v>|44|Astroth (RIP)|![](http://www.djcresswell.com/bloodwych/icons/082.png)|Astroth (RIP)|![](http://www.djcresswell.com/bloodwych/icons/082.png)|</v>
      </c>
      <c r="K69" s="56">
        <v>65</v>
      </c>
      <c r="L69" t="str">
        <f t="shared" si="2"/>
        <v xml:space="preserve">amgif 065.iff 065.gif </v>
      </c>
      <c r="M69" t="str">
        <f t="shared" ref="M69:M132" si="4">"magick convert " &amp; Path &amp; TEXT(K69,"000")&amp;".gif -crop 18x18+0+0 -scale 200% " &amp; Path&amp;TEXT(K69,"000")&amp;".png" &amp;CHAR(10)</f>
        <v xml:space="preserve">magick convert 065.gif -crop 18x18+0+0 -scale 200% 065.png
</v>
      </c>
    </row>
    <row r="70" spans="1:13" ht="28" customHeight="1" x14ac:dyDescent="0.2">
      <c r="A70" s="52">
        <v>45</v>
      </c>
      <c r="B70" s="53" t="s">
        <v>9435</v>
      </c>
      <c r="C70" s="56">
        <v>83</v>
      </c>
      <c r="E70" s="53" t="s">
        <v>9435</v>
      </c>
      <c r="F70" s="56">
        <v>83</v>
      </c>
      <c r="H70" t="str">
        <f t="shared" si="3"/>
        <v>|45|Zothen (RIP)|![](http://www.djcresswell.com/bloodwych/icons/083.png)|Zothen (RIP)|![](http://www.djcresswell.com/bloodwych/icons/083.png)|</v>
      </c>
      <c r="K70" s="56">
        <v>66</v>
      </c>
      <c r="L70" t="str">
        <f t="shared" ref="L70:L133" si="5">"amgif "&amp;TEXT(K70,"000")&amp;".iff "  &amp;TEXT(K70,"000")&amp;".gif "</f>
        <v xml:space="preserve">amgif 066.iff 066.gif </v>
      </c>
      <c r="M70" t="str">
        <f t="shared" si="4"/>
        <v xml:space="preserve">magick convert 066.gif -crop 18x18+0+0 -scale 200% 066.png
</v>
      </c>
    </row>
    <row r="71" spans="1:13" ht="28" customHeight="1" x14ac:dyDescent="0.2">
      <c r="A71" s="52">
        <v>46</v>
      </c>
      <c r="B71" s="53" t="s">
        <v>9436</v>
      </c>
      <c r="C71" s="56">
        <v>84</v>
      </c>
      <c r="E71" s="53" t="s">
        <v>9436</v>
      </c>
      <c r="F71" s="56">
        <v>84</v>
      </c>
      <c r="H71" t="str">
        <f t="shared" si="3"/>
        <v>|46|Baldrick (RIP)|![](http://www.djcresswell.com/bloodwych/icons/084.png)|Baldrick (RIP)|![](http://www.djcresswell.com/bloodwych/icons/084.png)|</v>
      </c>
      <c r="K71" s="56">
        <v>67</v>
      </c>
      <c r="L71" t="str">
        <f t="shared" si="5"/>
        <v xml:space="preserve">amgif 067.iff 067.gif </v>
      </c>
      <c r="M71" t="str">
        <f t="shared" si="4"/>
        <v xml:space="preserve">magick convert 067.gif -crop 18x18+0+0 -scale 200% 067.png
</v>
      </c>
    </row>
    <row r="72" spans="1:13" ht="28" customHeight="1" x14ac:dyDescent="0.2">
      <c r="A72" s="52">
        <v>47</v>
      </c>
      <c r="B72" s="53" t="s">
        <v>9437</v>
      </c>
      <c r="C72" s="56">
        <v>81</v>
      </c>
      <c r="E72" s="53" t="s">
        <v>9437</v>
      </c>
      <c r="F72" s="56">
        <v>81</v>
      </c>
      <c r="H72" t="str">
        <f t="shared" si="3"/>
        <v>|47|Elfric (RIP)|![](http://www.djcresswell.com/bloodwych/icons/081.png)|Elfric (RIP)|![](http://www.djcresswell.com/bloodwych/icons/081.png)|</v>
      </c>
      <c r="K72" s="56">
        <v>68</v>
      </c>
      <c r="L72" t="str">
        <f t="shared" si="5"/>
        <v xml:space="preserve">amgif 068.iff 068.gif </v>
      </c>
      <c r="M72" t="str">
        <f t="shared" si="4"/>
        <v xml:space="preserve">magick convert 068.gif -crop 18x18+0+0 -scale 200% 068.png
</v>
      </c>
    </row>
    <row r="73" spans="1:13" ht="28" customHeight="1" x14ac:dyDescent="0.2">
      <c r="A73" s="52">
        <v>48</v>
      </c>
      <c r="B73" s="53" t="s">
        <v>9438</v>
      </c>
      <c r="C73" s="56">
        <v>83</v>
      </c>
      <c r="E73" s="53" t="s">
        <v>9438</v>
      </c>
      <c r="F73" s="56">
        <v>83</v>
      </c>
      <c r="H73" t="str">
        <f t="shared" si="3"/>
        <v>|48|Sir Edward (RIP)|![](http://www.djcresswell.com/bloodwych/icons/083.png)|Sir Edward (RIP)|![](http://www.djcresswell.com/bloodwych/icons/083.png)|</v>
      </c>
      <c r="K73" s="56">
        <v>69</v>
      </c>
      <c r="L73" t="str">
        <f t="shared" si="5"/>
        <v xml:space="preserve">amgif 069.iff 069.gif </v>
      </c>
      <c r="M73" t="str">
        <f t="shared" si="4"/>
        <v xml:space="preserve">magick convert 069.gif -crop 18x18+0+0 -scale 200% 069.png
</v>
      </c>
    </row>
    <row r="74" spans="1:13" ht="28" customHeight="1" x14ac:dyDescent="0.2">
      <c r="A74" s="52">
        <v>49</v>
      </c>
      <c r="B74" s="53" t="s">
        <v>9439</v>
      </c>
      <c r="C74" s="56">
        <v>84</v>
      </c>
      <c r="E74" s="53" t="s">
        <v>9439</v>
      </c>
      <c r="F74" s="56">
        <v>84</v>
      </c>
      <c r="H74" t="str">
        <f t="shared" si="3"/>
        <v>|49|Megrim (RIP)|![](http://www.djcresswell.com/bloodwych/icons/084.png)|Megrim (RIP)|![](http://www.djcresswell.com/bloodwych/icons/084.png)|</v>
      </c>
      <c r="K74" s="56">
        <v>70</v>
      </c>
      <c r="L74" t="str">
        <f t="shared" si="5"/>
        <v xml:space="preserve">amgif 070.iff 070.gif </v>
      </c>
      <c r="M74" t="str">
        <f t="shared" si="4"/>
        <v xml:space="preserve">magick convert 070.gif -crop 18x18+0+0 -scale 200% 070.png
</v>
      </c>
    </row>
    <row r="75" spans="1:13" ht="28" customHeight="1" x14ac:dyDescent="0.2">
      <c r="A75" s="52" t="s">
        <v>9322</v>
      </c>
      <c r="B75" s="53" t="s">
        <v>9440</v>
      </c>
      <c r="C75" s="56">
        <v>81</v>
      </c>
      <c r="E75" s="53" t="s">
        <v>9440</v>
      </c>
      <c r="F75" s="56">
        <v>81</v>
      </c>
      <c r="H75" t="str">
        <f t="shared" si="3"/>
        <v>|4A|Sethra (RIP)|![](http://www.djcresswell.com/bloodwych/icons/081.png)|Sethra (RIP)|![](http://www.djcresswell.com/bloodwych/icons/081.png)|</v>
      </c>
      <c r="K75" s="56">
        <v>71</v>
      </c>
      <c r="L75" t="str">
        <f t="shared" si="5"/>
        <v xml:space="preserve">amgif 071.iff 071.gif </v>
      </c>
      <c r="M75" t="str">
        <f t="shared" si="4"/>
        <v xml:space="preserve">magick convert 071.gif -crop 18x18+0+0 -scale 200% 071.png
</v>
      </c>
    </row>
    <row r="76" spans="1:13" ht="28" customHeight="1" x14ac:dyDescent="0.2">
      <c r="A76" s="52" t="s">
        <v>9324</v>
      </c>
      <c r="B76" s="53" t="s">
        <v>9441</v>
      </c>
      <c r="C76" s="56">
        <v>82</v>
      </c>
      <c r="E76" s="53" t="s">
        <v>9441</v>
      </c>
      <c r="F76" s="56">
        <v>82</v>
      </c>
      <c r="H76" t="str">
        <f t="shared" si="3"/>
        <v>|4B|Mr. Flay (RIP)|![](http://www.djcresswell.com/bloodwych/icons/082.png)|Mr. Flay (RIP)|![](http://www.djcresswell.com/bloodwych/icons/082.png)|</v>
      </c>
      <c r="K76" s="56">
        <v>72</v>
      </c>
      <c r="L76" t="str">
        <f t="shared" si="5"/>
        <v xml:space="preserve">amgif 072.iff 072.gif </v>
      </c>
      <c r="M76" t="str">
        <f t="shared" si="4"/>
        <v xml:space="preserve">magick convert 072.gif -crop 18x18+0+0 -scale 200% 072.png
</v>
      </c>
    </row>
    <row r="77" spans="1:13" ht="28" customHeight="1" x14ac:dyDescent="0.2">
      <c r="A77" s="52" t="s">
        <v>9442</v>
      </c>
      <c r="B77" s="53" t="s">
        <v>9443</v>
      </c>
      <c r="C77" s="56">
        <v>84</v>
      </c>
      <c r="E77" s="53" t="s">
        <v>9443</v>
      </c>
      <c r="F77" s="56">
        <v>84</v>
      </c>
      <c r="H77" t="str">
        <f t="shared" si="3"/>
        <v>|4C|Ulrich (RIP)|![](http://www.djcresswell.com/bloodwych/icons/084.png)|Ulrich (RIP)|![](http://www.djcresswell.com/bloodwych/icons/084.png)|</v>
      </c>
      <c r="K77" s="56">
        <v>73</v>
      </c>
      <c r="L77" t="str">
        <f t="shared" si="5"/>
        <v xml:space="preserve">amgif 073.iff 073.gif </v>
      </c>
      <c r="M77" t="str">
        <f t="shared" si="4"/>
        <v xml:space="preserve">magick convert 073.gif -crop 18x18+0+0 -scale 200% 073.png
</v>
      </c>
    </row>
    <row r="78" spans="1:13" ht="28" customHeight="1" x14ac:dyDescent="0.2">
      <c r="A78" s="52" t="s">
        <v>9328</v>
      </c>
      <c r="B78" s="53" t="s">
        <v>9444</v>
      </c>
      <c r="C78" s="56">
        <v>82</v>
      </c>
      <c r="E78" s="53" t="s">
        <v>9444</v>
      </c>
      <c r="F78" s="56">
        <v>82</v>
      </c>
      <c r="H78" t="str">
        <f t="shared" si="3"/>
        <v>|4D|Hengist (RIP)|![](http://www.djcresswell.com/bloodwych/icons/082.png)|Hengist (RIP)|![](http://www.djcresswell.com/bloodwych/icons/082.png)|</v>
      </c>
      <c r="K78" s="56">
        <v>74</v>
      </c>
      <c r="L78" t="str">
        <f t="shared" si="5"/>
        <v xml:space="preserve">amgif 074.iff 074.gif </v>
      </c>
      <c r="M78" t="str">
        <f t="shared" si="4"/>
        <v xml:space="preserve">magick convert 074.gif -crop 18x18+0+0 -scale 200% 074.png
</v>
      </c>
    </row>
    <row r="79" spans="1:13" ht="28" customHeight="1" x14ac:dyDescent="0.2">
      <c r="A79" s="52" t="s">
        <v>9330</v>
      </c>
      <c r="B79" s="53" t="s">
        <v>9445</v>
      </c>
      <c r="C79" s="56">
        <v>81</v>
      </c>
      <c r="E79" s="53" t="s">
        <v>9445</v>
      </c>
      <c r="F79" s="56">
        <v>81</v>
      </c>
      <c r="H79" t="str">
        <f t="shared" si="3"/>
        <v>|4E|Zastaph (RIP)|![](http://www.djcresswell.com/bloodwych/icons/081.png)|Zastaph (RIP)|![](http://www.djcresswell.com/bloodwych/icons/081.png)|</v>
      </c>
      <c r="K79" s="56">
        <v>75</v>
      </c>
      <c r="L79" t="str">
        <f t="shared" si="5"/>
        <v xml:space="preserve">amgif 075.iff 075.gif </v>
      </c>
      <c r="M79" t="str">
        <f t="shared" si="4"/>
        <v xml:space="preserve">magick convert 075.gif -crop 18x18+0+0 -scale 200% 075.png
</v>
      </c>
    </row>
    <row r="80" spans="1:13" ht="28" customHeight="1" x14ac:dyDescent="0.2">
      <c r="A80" s="52" t="s">
        <v>9332</v>
      </c>
      <c r="B80" s="53" t="s">
        <v>9446</v>
      </c>
      <c r="C80" s="56">
        <v>83</v>
      </c>
      <c r="E80" s="53" t="s">
        <v>9446</v>
      </c>
      <c r="F80" s="56">
        <v>83</v>
      </c>
      <c r="H80" t="str">
        <f t="shared" si="3"/>
        <v>|4F|Thai Chang (RIP)|![](http://www.djcresswell.com/bloodwych/icons/083.png)|Thai Chang (RIP)|![](http://www.djcresswell.com/bloodwych/icons/083.png)|</v>
      </c>
      <c r="K80" s="56">
        <v>76</v>
      </c>
      <c r="L80" t="str">
        <f t="shared" si="5"/>
        <v xml:space="preserve">amgif 076.iff 076.gif </v>
      </c>
      <c r="M80" t="str">
        <f t="shared" si="4"/>
        <v xml:space="preserve">magick convert 076.gif -crop 18x18+0+0 -scale 200% 076.png
</v>
      </c>
    </row>
    <row r="81" spans="1:13" ht="28" customHeight="1" x14ac:dyDescent="0.2">
      <c r="A81" s="52">
        <v>50</v>
      </c>
      <c r="B81" s="53" t="s">
        <v>9447</v>
      </c>
      <c r="C81" s="56">
        <v>85</v>
      </c>
      <c r="E81" s="53" t="s">
        <v>9447</v>
      </c>
      <c r="F81" s="56">
        <v>85</v>
      </c>
      <c r="H81" t="str">
        <f t="shared" si="3"/>
        <v>|50|Bronze Key|![](http://www.djcresswell.com/bloodwych/icons/085.png)|Bronze Key|![](http://www.djcresswell.com/bloodwych/icons/085.png)|</v>
      </c>
      <c r="K81" s="56">
        <v>77</v>
      </c>
      <c r="L81" t="str">
        <f t="shared" si="5"/>
        <v xml:space="preserve">amgif 077.iff 077.gif </v>
      </c>
      <c r="M81" t="str">
        <f t="shared" si="4"/>
        <v xml:space="preserve">magick convert 077.gif -crop 18x18+0+0 -scale 200% 077.png
</v>
      </c>
    </row>
    <row r="82" spans="1:13" ht="28" customHeight="1" x14ac:dyDescent="0.2">
      <c r="A82" s="52">
        <v>51</v>
      </c>
      <c r="B82" s="53" t="s">
        <v>9448</v>
      </c>
      <c r="C82" s="56">
        <v>86</v>
      </c>
      <c r="E82" s="53" t="s">
        <v>9448</v>
      </c>
      <c r="F82" s="56">
        <v>86</v>
      </c>
      <c r="H82" t="str">
        <f t="shared" si="3"/>
        <v>|51|Iron Key|![](http://www.djcresswell.com/bloodwych/icons/086.png)|Iron Key|![](http://www.djcresswell.com/bloodwych/icons/086.png)|</v>
      </c>
      <c r="K82" s="56">
        <v>78</v>
      </c>
      <c r="L82" t="str">
        <f t="shared" si="5"/>
        <v xml:space="preserve">amgif 078.iff 078.gif </v>
      </c>
      <c r="M82" t="str">
        <f t="shared" si="4"/>
        <v xml:space="preserve">magick convert 078.gif -crop 18x18+0+0 -scale 200% 078.png
</v>
      </c>
    </row>
    <row r="83" spans="1:13" ht="28" customHeight="1" x14ac:dyDescent="0.2">
      <c r="A83" s="52">
        <v>52</v>
      </c>
      <c r="B83" s="53" t="s">
        <v>9449</v>
      </c>
      <c r="C83" s="56">
        <v>87</v>
      </c>
      <c r="E83" s="53" t="s">
        <v>9449</v>
      </c>
      <c r="F83" s="56">
        <v>87</v>
      </c>
      <c r="H83" t="str">
        <f t="shared" si="3"/>
        <v>|52|Serpent Key|![](http://www.djcresswell.com/bloodwych/icons/087.png)|Serpent Key|![](http://www.djcresswell.com/bloodwych/icons/087.png)|</v>
      </c>
      <c r="K83" s="56">
        <v>79</v>
      </c>
      <c r="L83" t="str">
        <f t="shared" si="5"/>
        <v xml:space="preserve">amgif 079.iff 079.gif </v>
      </c>
      <c r="M83" t="str">
        <f t="shared" si="4"/>
        <v xml:space="preserve">magick convert 079.gif -crop 18x18+0+0 -scale 200% 079.png
</v>
      </c>
    </row>
    <row r="84" spans="1:13" ht="28" customHeight="1" x14ac:dyDescent="0.2">
      <c r="A84" s="52">
        <v>53</v>
      </c>
      <c r="B84" s="53" t="s">
        <v>9450</v>
      </c>
      <c r="C84" s="56">
        <v>88</v>
      </c>
      <c r="E84" s="53" t="s">
        <v>9450</v>
      </c>
      <c r="F84" s="56">
        <v>88</v>
      </c>
      <c r="H84" t="str">
        <f t="shared" si="3"/>
        <v>|53|Chaos Key|![](http://www.djcresswell.com/bloodwych/icons/088.png)|Chaos Key|![](http://www.djcresswell.com/bloodwych/icons/088.png)|</v>
      </c>
      <c r="K84" s="56">
        <v>80</v>
      </c>
      <c r="L84" t="str">
        <f t="shared" si="5"/>
        <v xml:space="preserve">amgif 080.iff 080.gif </v>
      </c>
      <c r="M84" t="str">
        <f t="shared" si="4"/>
        <v xml:space="preserve">magick convert 080.gif -crop 18x18+0+0 -scale 200% 080.png
</v>
      </c>
    </row>
    <row r="85" spans="1:13" ht="28" customHeight="1" x14ac:dyDescent="0.2">
      <c r="A85" s="52">
        <v>54</v>
      </c>
      <c r="B85" s="53" t="s">
        <v>9451</v>
      </c>
      <c r="C85" s="56">
        <v>89</v>
      </c>
      <c r="E85" s="53" t="s">
        <v>9451</v>
      </c>
      <c r="F85" s="56">
        <v>89</v>
      </c>
      <c r="H85" t="str">
        <f t="shared" si="3"/>
        <v>|54|Dragon Key|![](http://www.djcresswell.com/bloodwych/icons/089.png)|Dragon Key|![](http://www.djcresswell.com/bloodwych/icons/089.png)|</v>
      </c>
      <c r="K85" s="56">
        <v>81</v>
      </c>
      <c r="L85" t="str">
        <f t="shared" si="5"/>
        <v xml:space="preserve">amgif 081.iff 081.gif </v>
      </c>
      <c r="M85" t="str">
        <f t="shared" si="4"/>
        <v xml:space="preserve">magick convert 081.gif -crop 18x18+0+0 -scale 200% 081.png
</v>
      </c>
    </row>
    <row r="86" spans="1:13" ht="28" customHeight="1" x14ac:dyDescent="0.2">
      <c r="A86" s="52">
        <v>55</v>
      </c>
      <c r="B86" s="53" t="s">
        <v>9452</v>
      </c>
      <c r="C86" s="56">
        <v>90</v>
      </c>
      <c r="E86" s="53" t="s">
        <v>9452</v>
      </c>
      <c r="F86" s="56">
        <v>90</v>
      </c>
      <c r="H86" t="str">
        <f t="shared" si="3"/>
        <v>|55|Moon Key|![](http://www.djcresswell.com/bloodwych/icons/090.png)|Moon Key|![](http://www.djcresswell.com/bloodwych/icons/090.png)|</v>
      </c>
      <c r="K86" s="56">
        <v>82</v>
      </c>
      <c r="L86" t="str">
        <f t="shared" si="5"/>
        <v xml:space="preserve">amgif 082.iff 082.gif </v>
      </c>
      <c r="M86" t="str">
        <f t="shared" si="4"/>
        <v xml:space="preserve">magick convert 082.gif -crop 18x18+0+0 -scale 200% 082.png
</v>
      </c>
    </row>
    <row r="87" spans="1:13" ht="28" customHeight="1" x14ac:dyDescent="0.2">
      <c r="A87" s="52">
        <v>56</v>
      </c>
      <c r="B87" s="53" t="s">
        <v>9453</v>
      </c>
      <c r="C87" s="56">
        <v>91</v>
      </c>
      <c r="E87" s="53" t="s">
        <v>9453</v>
      </c>
      <c r="F87" s="56">
        <v>91</v>
      </c>
      <c r="H87" t="str">
        <f t="shared" si="3"/>
        <v>|56|Chromatic Key|![](http://www.djcresswell.com/bloodwych/icons/091.png)|Chromatic Key|![](http://www.djcresswell.com/bloodwych/icons/091.png)|</v>
      </c>
      <c r="K87" s="56">
        <v>83</v>
      </c>
      <c r="L87" t="str">
        <f t="shared" si="5"/>
        <v xml:space="preserve">amgif 083.iff 083.gif </v>
      </c>
      <c r="M87" t="str">
        <f t="shared" si="4"/>
        <v xml:space="preserve">magick convert 083.gif -crop 18x18+0+0 -scale 200% 083.png
</v>
      </c>
    </row>
    <row r="88" spans="1:13" ht="28" customHeight="1" x14ac:dyDescent="0.2">
      <c r="A88" s="52">
        <v>57</v>
      </c>
      <c r="B88" s="53" t="s">
        <v>9454</v>
      </c>
      <c r="C88" s="56">
        <v>92</v>
      </c>
      <c r="E88" s="53" t="s">
        <v>9454</v>
      </c>
      <c r="F88" s="56">
        <v>92</v>
      </c>
      <c r="H88" t="str">
        <f t="shared" si="3"/>
        <v>|57|Serpent Wand|![](http://www.djcresswell.com/bloodwych/icons/092.png)|Serpent Wand|![](http://www.djcresswell.com/bloodwych/icons/092.png)|</v>
      </c>
      <c r="K88" s="56">
        <v>84</v>
      </c>
      <c r="L88" t="str">
        <f t="shared" si="5"/>
        <v xml:space="preserve">amgif 084.iff 084.gif </v>
      </c>
      <c r="M88" t="str">
        <f t="shared" si="4"/>
        <v xml:space="preserve">magick convert 084.gif -crop 18x18+0+0 -scale 200% 084.png
</v>
      </c>
    </row>
    <row r="89" spans="1:13" ht="28" customHeight="1" x14ac:dyDescent="0.2">
      <c r="A89" s="52">
        <v>58</v>
      </c>
      <c r="B89" s="53" t="s">
        <v>9455</v>
      </c>
      <c r="C89" s="56">
        <v>93</v>
      </c>
      <c r="E89" s="53" t="s">
        <v>9455</v>
      </c>
      <c r="F89" s="56">
        <v>93</v>
      </c>
      <c r="H89" t="str">
        <f t="shared" si="3"/>
        <v>|58|Chaos Wand|![](http://www.djcresswell.com/bloodwych/icons/093.png)|Chaos Wand|![](http://www.djcresswell.com/bloodwych/icons/093.png)|</v>
      </c>
      <c r="K89" s="56">
        <v>85</v>
      </c>
      <c r="L89" t="str">
        <f t="shared" si="5"/>
        <v xml:space="preserve">amgif 085.iff 085.gif </v>
      </c>
      <c r="M89" t="str">
        <f t="shared" si="4"/>
        <v xml:space="preserve">magick convert 085.gif -crop 18x18+0+0 -scale 200% 085.png
</v>
      </c>
    </row>
    <row r="90" spans="1:13" ht="28" customHeight="1" x14ac:dyDescent="0.2">
      <c r="A90" s="52">
        <v>59</v>
      </c>
      <c r="B90" s="53" t="s">
        <v>9456</v>
      </c>
      <c r="C90" s="56">
        <v>94</v>
      </c>
      <c r="E90" s="53" t="s">
        <v>9456</v>
      </c>
      <c r="F90" s="56">
        <v>94</v>
      </c>
      <c r="H90" t="str">
        <f t="shared" si="3"/>
        <v>|59|Dragon Wand|![](http://www.djcresswell.com/bloodwych/icons/094.png)|Dragon Wand|![](http://www.djcresswell.com/bloodwych/icons/094.png)|</v>
      </c>
      <c r="K90" s="56">
        <v>86</v>
      </c>
      <c r="L90" t="str">
        <f t="shared" si="5"/>
        <v xml:space="preserve">amgif 086.iff 086.gif </v>
      </c>
      <c r="M90" t="str">
        <f t="shared" si="4"/>
        <v xml:space="preserve">magick convert 086.gif -crop 18x18+0+0 -scale 200% 086.png
</v>
      </c>
    </row>
    <row r="91" spans="1:13" ht="28" customHeight="1" x14ac:dyDescent="0.2">
      <c r="A91" s="52" t="s">
        <v>9344</v>
      </c>
      <c r="B91" s="53" t="s">
        <v>9457</v>
      </c>
      <c r="C91" s="56">
        <v>95</v>
      </c>
      <c r="E91" s="53" t="s">
        <v>9457</v>
      </c>
      <c r="F91" s="56">
        <v>95</v>
      </c>
      <c r="H91" t="str">
        <f t="shared" si="3"/>
        <v>|5A|Moon Wand|![](http://www.djcresswell.com/bloodwych/icons/095.png)|Moon Wand|![](http://www.djcresswell.com/bloodwych/icons/095.png)|</v>
      </c>
      <c r="K91" s="56">
        <v>87</v>
      </c>
      <c r="L91" t="str">
        <f t="shared" si="5"/>
        <v xml:space="preserve">amgif 087.iff 087.gif </v>
      </c>
      <c r="M91" t="str">
        <f t="shared" si="4"/>
        <v xml:space="preserve">magick convert 087.gif -crop 18x18+0+0 -scale 200% 087.png
</v>
      </c>
    </row>
    <row r="92" spans="1:13" ht="28" customHeight="1" x14ac:dyDescent="0.2">
      <c r="A92" s="52" t="s">
        <v>9346</v>
      </c>
      <c r="B92" s="53" t="s">
        <v>9458</v>
      </c>
      <c r="C92" s="56">
        <v>96</v>
      </c>
      <c r="E92" s="53" t="s">
        <v>9458</v>
      </c>
      <c r="F92" s="56">
        <v>96</v>
      </c>
      <c r="H92" t="str">
        <f t="shared" si="3"/>
        <v>|5B|Heal Wand|![](http://www.djcresswell.com/bloodwych/icons/096.png)|Heal Wand|![](http://www.djcresswell.com/bloodwych/icons/096.png)|</v>
      </c>
      <c r="K92" s="56">
        <v>88</v>
      </c>
      <c r="L92" t="str">
        <f t="shared" si="5"/>
        <v xml:space="preserve">amgif 088.iff 088.gif </v>
      </c>
      <c r="M92" t="str">
        <f t="shared" si="4"/>
        <v xml:space="preserve">magick convert 088.gif -crop 18x18+0+0 -scale 200% 088.png
</v>
      </c>
    </row>
    <row r="93" spans="1:13" ht="28" customHeight="1" x14ac:dyDescent="0.2">
      <c r="A93" s="52" t="s">
        <v>5384</v>
      </c>
      <c r="B93" s="53" t="s">
        <v>9459</v>
      </c>
      <c r="C93" s="56">
        <v>97</v>
      </c>
      <c r="E93" s="53" t="s">
        <v>9459</v>
      </c>
      <c r="F93" s="56">
        <v>97</v>
      </c>
      <c r="H93" t="str">
        <f t="shared" si="3"/>
        <v>|5C|Long Bow|![](http://www.djcresswell.com/bloodwych/icons/097.png)|Long Bow|![](http://www.djcresswell.com/bloodwych/icons/097.png)|</v>
      </c>
      <c r="K93" s="56">
        <v>89</v>
      </c>
      <c r="L93" t="str">
        <f t="shared" si="5"/>
        <v xml:space="preserve">amgif 089.iff 089.gif </v>
      </c>
      <c r="M93" t="str">
        <f t="shared" si="4"/>
        <v xml:space="preserve">magick convert 089.gif -crop 18x18+0+0 -scale 200% 089.png
</v>
      </c>
    </row>
    <row r="94" spans="1:13" ht="28" customHeight="1" x14ac:dyDescent="0.2">
      <c r="A94" s="52" t="s">
        <v>9349</v>
      </c>
      <c r="B94" s="53" t="s">
        <v>9460</v>
      </c>
      <c r="C94" s="56">
        <v>98</v>
      </c>
      <c r="E94" s="53" t="s">
        <v>9460</v>
      </c>
      <c r="F94" s="56">
        <v>98</v>
      </c>
      <c r="H94" t="str">
        <f t="shared" si="3"/>
        <v>|5D|Frost Bow|![](http://www.djcresswell.com/bloodwych/icons/098.png)|Frost Bow|![](http://www.djcresswell.com/bloodwych/icons/098.png)|</v>
      </c>
      <c r="K94" s="56">
        <v>90</v>
      </c>
      <c r="L94" t="str">
        <f t="shared" si="5"/>
        <v xml:space="preserve">amgif 090.iff 090.gif </v>
      </c>
      <c r="M94" t="str">
        <f t="shared" si="4"/>
        <v xml:space="preserve">magick convert 090.gif -crop 18x18+0+0 -scale 200% 090.png
</v>
      </c>
    </row>
    <row r="95" spans="1:13" ht="28" customHeight="1" x14ac:dyDescent="0.2">
      <c r="A95" s="52" t="s">
        <v>9351</v>
      </c>
      <c r="B95" s="53" t="s">
        <v>9461</v>
      </c>
      <c r="C95" s="56">
        <v>99</v>
      </c>
      <c r="E95" s="53" t="s">
        <v>9461</v>
      </c>
      <c r="F95" s="56">
        <v>99</v>
      </c>
      <c r="H95" t="str">
        <f t="shared" si="3"/>
        <v>|5E|Cross Bow|![](http://www.djcresswell.com/bloodwych/icons/099.png)|Cross Bow|![](http://www.djcresswell.com/bloodwych/icons/099.png)|</v>
      </c>
      <c r="K95" s="56">
        <v>91</v>
      </c>
      <c r="L95" t="str">
        <f t="shared" si="5"/>
        <v xml:space="preserve">amgif 091.iff 091.gif </v>
      </c>
      <c r="M95" t="str">
        <f t="shared" si="4"/>
        <v xml:space="preserve">magick convert 091.gif -crop 18x18+0+0 -scale 200% 091.png
</v>
      </c>
    </row>
    <row r="96" spans="1:13" ht="28" customHeight="1" x14ac:dyDescent="0.2">
      <c r="A96" s="52" t="s">
        <v>9352</v>
      </c>
      <c r="B96" s="53" t="s">
        <v>9258</v>
      </c>
      <c r="C96" s="56">
        <v>100</v>
      </c>
      <c r="E96" s="53" t="s">
        <v>9258</v>
      </c>
      <c r="F96" s="56">
        <v>100</v>
      </c>
      <c r="H96" t="str">
        <f t="shared" si="3"/>
        <v>|5F|Permit|![](http://www.djcresswell.com/bloodwych/icons/100.png)|Permit|![](http://www.djcresswell.com/bloodwych/icons/100.png)|</v>
      </c>
      <c r="K96" s="56">
        <v>92</v>
      </c>
      <c r="L96" t="str">
        <f t="shared" si="5"/>
        <v xml:space="preserve">amgif 092.iff 092.gif </v>
      </c>
      <c r="M96" t="str">
        <f t="shared" si="4"/>
        <v xml:space="preserve">magick convert 092.gif -crop 18x18+0+0 -scale 200% 092.png
</v>
      </c>
    </row>
    <row r="97" spans="1:13" ht="28" customHeight="1" x14ac:dyDescent="0.2">
      <c r="A97" s="52">
        <v>60</v>
      </c>
      <c r="B97" s="53" t="s">
        <v>9462</v>
      </c>
      <c r="C97" s="56">
        <v>101</v>
      </c>
      <c r="E97" s="53" t="s">
        <v>9462</v>
      </c>
      <c r="F97" s="56">
        <v>101</v>
      </c>
      <c r="H97" t="str">
        <f t="shared" si="3"/>
        <v>|60|Serpent Crystal|![](http://www.djcresswell.com/bloodwych/icons/101.png)|Serpent Crystal|![](http://www.djcresswell.com/bloodwych/icons/101.png)|</v>
      </c>
      <c r="K97" s="56">
        <v>93</v>
      </c>
      <c r="L97" t="str">
        <f t="shared" si="5"/>
        <v xml:space="preserve">amgif 093.iff 093.gif </v>
      </c>
      <c r="M97" t="str">
        <f t="shared" si="4"/>
        <v xml:space="preserve">magick convert 093.gif -crop 18x18+0+0 -scale 200% 093.png
</v>
      </c>
    </row>
    <row r="98" spans="1:13" ht="28" customHeight="1" x14ac:dyDescent="0.2">
      <c r="A98" s="52">
        <v>61</v>
      </c>
      <c r="B98" s="53" t="s">
        <v>9236</v>
      </c>
      <c r="C98" s="56">
        <v>102</v>
      </c>
      <c r="E98" s="53" t="s">
        <v>9236</v>
      </c>
      <c r="F98" s="56">
        <v>102</v>
      </c>
      <c r="H98" t="str">
        <f t="shared" si="3"/>
        <v>|61|Chaos Crystal|![](http://www.djcresswell.com/bloodwych/icons/102.png)|Chaos Crystal|![](http://www.djcresswell.com/bloodwych/icons/102.png)|</v>
      </c>
      <c r="K98" s="56">
        <v>94</v>
      </c>
      <c r="L98" t="str">
        <f t="shared" si="5"/>
        <v xml:space="preserve">amgif 094.iff 094.gif </v>
      </c>
      <c r="M98" t="str">
        <f t="shared" si="4"/>
        <v xml:space="preserve">magick convert 094.gif -crop 18x18+0+0 -scale 200% 094.png
</v>
      </c>
    </row>
    <row r="99" spans="1:13" ht="28" customHeight="1" x14ac:dyDescent="0.2">
      <c r="A99" s="52">
        <v>62</v>
      </c>
      <c r="B99" s="53" t="s">
        <v>9237</v>
      </c>
      <c r="C99" s="56">
        <v>103</v>
      </c>
      <c r="E99" s="53" t="s">
        <v>9237</v>
      </c>
      <c r="F99" s="56">
        <v>103</v>
      </c>
      <c r="H99" t="str">
        <f t="shared" si="3"/>
        <v>|62|Dragon Crystal|![](http://www.djcresswell.com/bloodwych/icons/103.png)|Dragon Crystal|![](http://www.djcresswell.com/bloodwych/icons/103.png)|</v>
      </c>
      <c r="K99" s="56">
        <v>95</v>
      </c>
      <c r="L99" t="str">
        <f t="shared" si="5"/>
        <v xml:space="preserve">amgif 095.iff 095.gif </v>
      </c>
      <c r="M99" t="str">
        <f t="shared" si="4"/>
        <v xml:space="preserve">magick convert 095.gif -crop 18x18+0+0 -scale 200% 095.png
</v>
      </c>
    </row>
    <row r="100" spans="1:13" ht="28" customHeight="1" x14ac:dyDescent="0.2">
      <c r="A100" s="52">
        <v>63</v>
      </c>
      <c r="B100" s="53" t="s">
        <v>9238</v>
      </c>
      <c r="C100" s="56">
        <v>104</v>
      </c>
      <c r="E100" s="53" t="s">
        <v>9238</v>
      </c>
      <c r="F100" s="56">
        <v>104</v>
      </c>
      <c r="H100" t="str">
        <f t="shared" si="3"/>
        <v>|63|Moon Crystal|![](http://www.djcresswell.com/bloodwych/icons/104.png)|Moon Crystal|![](http://www.djcresswell.com/bloodwych/icons/104.png)|</v>
      </c>
      <c r="K100" s="56">
        <v>96</v>
      </c>
      <c r="L100" t="str">
        <f t="shared" si="5"/>
        <v xml:space="preserve">amgif 096.iff 096.gif </v>
      </c>
      <c r="M100" t="str">
        <f t="shared" si="4"/>
        <v xml:space="preserve">magick convert 096.gif -crop 18x18+0+0 -scale 200% 096.png
</v>
      </c>
    </row>
    <row r="101" spans="1:13" ht="28" customHeight="1" x14ac:dyDescent="0.2">
      <c r="A101" s="52">
        <v>64</v>
      </c>
      <c r="B101" s="53" t="s">
        <v>9463</v>
      </c>
      <c r="C101" s="56">
        <v>105</v>
      </c>
      <c r="E101" s="53" t="s">
        <v>9463</v>
      </c>
      <c r="F101" s="56">
        <v>105</v>
      </c>
      <c r="H101" t="str">
        <f t="shared" si="3"/>
        <v>|64|Grey Gem|![](http://www.djcresswell.com/bloodwych/icons/105.png)|Grey Gem|![](http://www.djcresswell.com/bloodwych/icons/105.png)|</v>
      </c>
      <c r="K101" s="56">
        <v>97</v>
      </c>
      <c r="L101" t="str">
        <f t="shared" si="5"/>
        <v xml:space="preserve">amgif 097.iff 097.gif </v>
      </c>
      <c r="M101" t="str">
        <f t="shared" si="4"/>
        <v xml:space="preserve">magick convert 097.gif -crop 18x18+0+0 -scale 200% 097.png
</v>
      </c>
    </row>
    <row r="102" spans="1:13" ht="28" customHeight="1" x14ac:dyDescent="0.2">
      <c r="A102" s="52">
        <v>65</v>
      </c>
      <c r="B102" s="53" t="s">
        <v>9269</v>
      </c>
      <c r="C102" s="56">
        <v>106</v>
      </c>
      <c r="E102" s="53" t="s">
        <v>9269</v>
      </c>
      <c r="F102" s="56">
        <v>106</v>
      </c>
      <c r="H102" t="str">
        <f t="shared" si="3"/>
        <v>|65|Bluish Gem|![](http://www.djcresswell.com/bloodwych/icons/106.png)|Bluish Gem|![](http://www.djcresswell.com/bloodwych/icons/106.png)|</v>
      </c>
      <c r="K102" s="56">
        <v>98</v>
      </c>
      <c r="L102" t="str">
        <f t="shared" si="5"/>
        <v xml:space="preserve">amgif 098.iff 098.gif </v>
      </c>
      <c r="M102" t="str">
        <f t="shared" si="4"/>
        <v xml:space="preserve">magick convert 098.gif -crop 18x18+0+0 -scale 200% 098.png
</v>
      </c>
    </row>
    <row r="103" spans="1:13" ht="28" customHeight="1" x14ac:dyDescent="0.2">
      <c r="A103" s="52">
        <v>66</v>
      </c>
      <c r="B103" s="53" t="s">
        <v>9464</v>
      </c>
      <c r="C103" s="56">
        <v>107</v>
      </c>
      <c r="E103" s="53" t="s">
        <v>9464</v>
      </c>
      <c r="F103" s="56">
        <v>107</v>
      </c>
      <c r="H103" t="str">
        <f t="shared" si="3"/>
        <v>|66|Brown Gem|![](http://www.djcresswell.com/bloodwych/icons/107.png)|Brown Gem|![](http://www.djcresswell.com/bloodwych/icons/107.png)|</v>
      </c>
      <c r="K103" s="56">
        <v>99</v>
      </c>
      <c r="L103" t="str">
        <f t="shared" si="5"/>
        <v xml:space="preserve">amgif 099.iff 099.gif </v>
      </c>
      <c r="M103" t="str">
        <f t="shared" si="4"/>
        <v xml:space="preserve">magick convert 099.gif -crop 18x18+0+0 -scale 200% 099.png
</v>
      </c>
    </row>
    <row r="104" spans="1:13" ht="28" customHeight="1" x14ac:dyDescent="0.2">
      <c r="A104" s="52">
        <v>67</v>
      </c>
      <c r="B104" s="53" t="s">
        <v>9271</v>
      </c>
      <c r="C104" s="56">
        <v>108</v>
      </c>
      <c r="E104" s="53" t="s">
        <v>9271</v>
      </c>
      <c r="F104" s="56">
        <v>108</v>
      </c>
      <c r="H104" t="str">
        <f t="shared" si="3"/>
        <v>|67|Tan Gem|![](http://www.djcresswell.com/bloodwych/icons/108.png)|Tan Gem|![](http://www.djcresswell.com/bloodwych/icons/108.png)|</v>
      </c>
      <c r="K104" s="56">
        <v>100</v>
      </c>
      <c r="L104" t="str">
        <f t="shared" si="5"/>
        <v xml:space="preserve">amgif 100.iff 100.gif </v>
      </c>
      <c r="M104" t="str">
        <f t="shared" si="4"/>
        <v xml:space="preserve">magick convert 100.gif -crop 18x18+0+0 -scale 200% 100.png
</v>
      </c>
    </row>
    <row r="105" spans="1:13" ht="28" customHeight="1" x14ac:dyDescent="0.2">
      <c r="A105" s="52">
        <v>68</v>
      </c>
      <c r="B105" s="53" t="s">
        <v>9465</v>
      </c>
      <c r="C105" s="56">
        <v>109</v>
      </c>
      <c r="E105" s="53" t="s">
        <v>9465</v>
      </c>
      <c r="F105" s="56">
        <v>109</v>
      </c>
      <c r="H105" t="str">
        <f t="shared" si="3"/>
        <v>|68|Grey Ring|![](http://www.djcresswell.com/bloodwych/icons/109.png)|Grey Ring|![](http://www.djcresswell.com/bloodwych/icons/109.png)|</v>
      </c>
      <c r="K105" s="56">
        <v>101</v>
      </c>
      <c r="L105" t="str">
        <f t="shared" si="5"/>
        <v xml:space="preserve">amgif 101.iff 101.gif </v>
      </c>
      <c r="M105" t="str">
        <f t="shared" si="4"/>
        <v xml:space="preserve">magick convert 101.gif -crop 18x18+0+0 -scale 200% 101.png
</v>
      </c>
    </row>
    <row r="106" spans="1:13" ht="28" customHeight="1" x14ac:dyDescent="0.2">
      <c r="A106" s="52">
        <v>69</v>
      </c>
      <c r="B106" s="53" t="s">
        <v>9466</v>
      </c>
      <c r="C106" s="56">
        <v>110</v>
      </c>
      <c r="E106" s="53" t="s">
        <v>9466</v>
      </c>
      <c r="F106" s="56">
        <v>110</v>
      </c>
      <c r="H106" t="str">
        <f t="shared" si="3"/>
        <v>|69|Serpent Ring|![](http://www.djcresswell.com/bloodwych/icons/110.png)|Serpent Ring|![](http://www.djcresswell.com/bloodwych/icons/110.png)|</v>
      </c>
      <c r="K106" s="56">
        <v>102</v>
      </c>
      <c r="L106" t="str">
        <f t="shared" si="5"/>
        <v xml:space="preserve">amgif 102.iff 102.gif </v>
      </c>
      <c r="M106" t="str">
        <f t="shared" si="4"/>
        <v xml:space="preserve">magick convert 102.gif -crop 18x18+0+0 -scale 200% 102.png
</v>
      </c>
    </row>
    <row r="107" spans="1:13" ht="28" customHeight="1" x14ac:dyDescent="0.2">
      <c r="A107" s="52" t="s">
        <v>9362</v>
      </c>
      <c r="B107" s="53" t="s">
        <v>9467</v>
      </c>
      <c r="C107" s="56">
        <v>111</v>
      </c>
      <c r="E107" s="53" t="s">
        <v>9467</v>
      </c>
      <c r="F107" s="56">
        <v>111</v>
      </c>
      <c r="H107" t="str">
        <f t="shared" si="3"/>
        <v>|6A|Chaos Ring|![](http://www.djcresswell.com/bloodwych/icons/111.png)|Chaos Ring|![](http://www.djcresswell.com/bloodwych/icons/111.png)|</v>
      </c>
      <c r="K107" s="56">
        <v>103</v>
      </c>
      <c r="L107" t="str">
        <f t="shared" si="5"/>
        <v xml:space="preserve">amgif 103.iff 103.gif </v>
      </c>
      <c r="M107" t="str">
        <f t="shared" si="4"/>
        <v xml:space="preserve">magick convert 103.gif -crop 18x18+0+0 -scale 200% 103.png
</v>
      </c>
    </row>
    <row r="108" spans="1:13" ht="28" customHeight="1" x14ac:dyDescent="0.2">
      <c r="A108" s="52" t="s">
        <v>9364</v>
      </c>
      <c r="B108" s="53" t="s">
        <v>9468</v>
      </c>
      <c r="C108" s="56">
        <v>112</v>
      </c>
      <c r="E108" s="53" t="s">
        <v>9468</v>
      </c>
      <c r="F108" s="56">
        <v>112</v>
      </c>
      <c r="H108" t="str">
        <f t="shared" si="3"/>
        <v>|6B|Dragon Ring|![](http://www.djcresswell.com/bloodwych/icons/112.png)|Dragon Ring|![](http://www.djcresswell.com/bloodwych/icons/112.png)|</v>
      </c>
      <c r="K108" s="56">
        <v>104</v>
      </c>
      <c r="L108" t="str">
        <f t="shared" si="5"/>
        <v xml:space="preserve">amgif 104.iff 104.gif </v>
      </c>
      <c r="M108" t="str">
        <f t="shared" si="4"/>
        <v xml:space="preserve">magick convert 104.gif -crop 18x18+0+0 -scale 200% 104.png
</v>
      </c>
    </row>
    <row r="109" spans="1:13" ht="28" customHeight="1" x14ac:dyDescent="0.2">
      <c r="A109" s="52" t="s">
        <v>9366</v>
      </c>
      <c r="B109" s="53" t="s">
        <v>9469</v>
      </c>
      <c r="C109" s="56">
        <v>113</v>
      </c>
      <c r="E109" s="53" t="s">
        <v>9469</v>
      </c>
      <c r="F109" s="56">
        <v>113</v>
      </c>
      <c r="H109" t="str">
        <f t="shared" si="3"/>
        <v>|6C|Moon Ring|![](http://www.djcresswell.com/bloodwych/icons/113.png)|Moon Ring|![](http://www.djcresswell.com/bloodwych/icons/113.png)|</v>
      </c>
      <c r="K109" s="56">
        <v>105</v>
      </c>
      <c r="L109" t="str">
        <f t="shared" si="5"/>
        <v xml:space="preserve">amgif 105.iff 105.gif </v>
      </c>
      <c r="M109" t="str">
        <f t="shared" si="4"/>
        <v xml:space="preserve">magick convert 105.gif -crop 18x18+0+0 -scale 200% 105.png
</v>
      </c>
    </row>
    <row r="110" spans="1:13" ht="28" customHeight="1" x14ac:dyDescent="0.2">
      <c r="A110" s="52" t="s">
        <v>9368</v>
      </c>
      <c r="B110" s="53" t="s">
        <v>9354</v>
      </c>
      <c r="C110" s="56">
        <v>114</v>
      </c>
      <c r="E110" s="53" t="s">
        <v>9354</v>
      </c>
      <c r="F110" s="56">
        <v>114</v>
      </c>
      <c r="H110" t="str">
        <f t="shared" si="3"/>
        <v>|6D|Book of Skulls|![](http://www.djcresswell.com/bloodwych/icons/114.png)|Book of Skulls|![](http://www.djcresswell.com/bloodwych/icons/114.png)|</v>
      </c>
      <c r="K110" s="56">
        <v>106</v>
      </c>
      <c r="L110" t="str">
        <f t="shared" si="5"/>
        <v xml:space="preserve">amgif 106.iff 106.gif </v>
      </c>
      <c r="M110" t="str">
        <f t="shared" si="4"/>
        <v xml:space="preserve">magick convert 106.gif -crop 18x18+0+0 -scale 200% 106.png
</v>
      </c>
    </row>
    <row r="111" spans="1:13" ht="28" customHeight="1" x14ac:dyDescent="0.2">
      <c r="C111" s="56"/>
      <c r="K111" s="56">
        <v>107</v>
      </c>
      <c r="L111" t="str">
        <f t="shared" si="5"/>
        <v xml:space="preserve">amgif 107.iff 107.gif </v>
      </c>
      <c r="M111" t="str">
        <f t="shared" si="4"/>
        <v xml:space="preserve">magick convert 107.gif -crop 18x18+0+0 -scale 200% 107.png
</v>
      </c>
    </row>
    <row r="112" spans="1:13" ht="28" customHeight="1" x14ac:dyDescent="0.2">
      <c r="C112" s="56"/>
      <c r="K112" s="56">
        <v>108</v>
      </c>
      <c r="L112" t="str">
        <f t="shared" si="5"/>
        <v xml:space="preserve">amgif 108.iff 108.gif </v>
      </c>
      <c r="M112" t="str">
        <f t="shared" si="4"/>
        <v xml:space="preserve">magick convert 108.gif -crop 18x18+0+0 -scale 200% 108.png
</v>
      </c>
    </row>
    <row r="113" spans="3:13" ht="28" customHeight="1" x14ac:dyDescent="0.2">
      <c r="C113" s="56"/>
      <c r="K113" s="56">
        <v>109</v>
      </c>
      <c r="L113" t="str">
        <f t="shared" si="5"/>
        <v xml:space="preserve">amgif 109.iff 109.gif </v>
      </c>
      <c r="M113" t="str">
        <f t="shared" si="4"/>
        <v xml:space="preserve">magick convert 109.gif -crop 18x18+0+0 -scale 200% 109.png
</v>
      </c>
    </row>
    <row r="114" spans="3:13" ht="28" customHeight="1" x14ac:dyDescent="0.2">
      <c r="C114" s="56"/>
      <c r="K114" s="56">
        <v>110</v>
      </c>
      <c r="L114" t="str">
        <f t="shared" si="5"/>
        <v xml:space="preserve">amgif 110.iff 110.gif </v>
      </c>
      <c r="M114" t="str">
        <f t="shared" si="4"/>
        <v xml:space="preserve">magick convert 110.gif -crop 18x18+0+0 -scale 200% 110.png
</v>
      </c>
    </row>
    <row r="115" spans="3:13" ht="28" customHeight="1" x14ac:dyDescent="0.2">
      <c r="C115" s="56"/>
      <c r="K115" s="56">
        <v>111</v>
      </c>
      <c r="L115" t="str">
        <f t="shared" si="5"/>
        <v xml:space="preserve">amgif 111.iff 111.gif </v>
      </c>
      <c r="M115" t="str">
        <f t="shared" si="4"/>
        <v xml:space="preserve">magick convert 111.gif -crop 18x18+0+0 -scale 200% 111.png
</v>
      </c>
    </row>
    <row r="116" spans="3:13" ht="28" customHeight="1" x14ac:dyDescent="0.2">
      <c r="C116" s="56"/>
      <c r="K116" s="56">
        <v>112</v>
      </c>
      <c r="L116" t="str">
        <f t="shared" si="5"/>
        <v xml:space="preserve">amgif 112.iff 112.gif </v>
      </c>
      <c r="M116" t="str">
        <f t="shared" si="4"/>
        <v xml:space="preserve">magick convert 112.gif -crop 18x18+0+0 -scale 200% 112.png
</v>
      </c>
    </row>
    <row r="117" spans="3:13" ht="28" customHeight="1" x14ac:dyDescent="0.2">
      <c r="C117" s="56"/>
      <c r="K117" s="56">
        <v>113</v>
      </c>
      <c r="L117" t="str">
        <f t="shared" si="5"/>
        <v xml:space="preserve">amgif 113.iff 113.gif </v>
      </c>
      <c r="M117" t="str">
        <f t="shared" si="4"/>
        <v xml:space="preserve">magick convert 113.gif -crop 18x18+0+0 -scale 200% 113.png
</v>
      </c>
    </row>
    <row r="118" spans="3:13" ht="28" customHeight="1" x14ac:dyDescent="0.2">
      <c r="C118" s="56"/>
      <c r="K118" s="56">
        <v>114</v>
      </c>
      <c r="L118" t="str">
        <f t="shared" si="5"/>
        <v xml:space="preserve">amgif 114.iff 114.gif </v>
      </c>
      <c r="M118" t="str">
        <f t="shared" si="4"/>
        <v xml:space="preserve">magick convert 114.gif -crop 18x18+0+0 -scale 200% 114.png
</v>
      </c>
    </row>
    <row r="119" spans="3:13" ht="28" customHeight="1" x14ac:dyDescent="0.2">
      <c r="C119" s="56"/>
      <c r="K119" s="56">
        <v>115</v>
      </c>
      <c r="L119" t="str">
        <f t="shared" si="5"/>
        <v xml:space="preserve">amgif 115.iff 115.gif </v>
      </c>
      <c r="M119" t="str">
        <f t="shared" si="4"/>
        <v xml:space="preserve">magick convert 115.gif -crop 18x18+0+0 -scale 200% 115.png
</v>
      </c>
    </row>
    <row r="120" spans="3:13" ht="28" customHeight="1" x14ac:dyDescent="0.2">
      <c r="C120" s="56"/>
      <c r="K120" s="56">
        <v>116</v>
      </c>
      <c r="L120" t="str">
        <f t="shared" si="5"/>
        <v xml:space="preserve">amgif 116.iff 116.gif </v>
      </c>
      <c r="M120" t="str">
        <f t="shared" si="4"/>
        <v xml:space="preserve">magick convert 116.gif -crop 18x18+0+0 -scale 200% 116.png
</v>
      </c>
    </row>
    <row r="121" spans="3:13" ht="28" customHeight="1" x14ac:dyDescent="0.2">
      <c r="C121" s="56"/>
      <c r="K121" s="56">
        <v>117</v>
      </c>
      <c r="L121" t="str">
        <f t="shared" si="5"/>
        <v xml:space="preserve">amgif 117.iff 117.gif </v>
      </c>
      <c r="M121" t="str">
        <f t="shared" si="4"/>
        <v xml:space="preserve">magick convert 117.gif -crop 18x18+0+0 -scale 200% 117.png
</v>
      </c>
    </row>
    <row r="122" spans="3:13" ht="28" customHeight="1" x14ac:dyDescent="0.2">
      <c r="C122" s="56"/>
      <c r="K122" s="56">
        <v>118</v>
      </c>
      <c r="L122" t="str">
        <f t="shared" si="5"/>
        <v xml:space="preserve">amgif 118.iff 118.gif </v>
      </c>
      <c r="M122" t="str">
        <f t="shared" si="4"/>
        <v xml:space="preserve">magick convert 118.gif -crop 18x18+0+0 -scale 200% 118.png
</v>
      </c>
    </row>
    <row r="123" spans="3:13" ht="28" customHeight="1" x14ac:dyDescent="0.2">
      <c r="C123" s="56"/>
      <c r="K123" s="56">
        <v>119</v>
      </c>
      <c r="L123" t="str">
        <f t="shared" si="5"/>
        <v xml:space="preserve">amgif 119.iff 119.gif </v>
      </c>
      <c r="M123" t="str">
        <f t="shared" si="4"/>
        <v xml:space="preserve">magick convert 119.gif -crop 18x18+0+0 -scale 200% 119.png
</v>
      </c>
    </row>
    <row r="124" spans="3:13" ht="28" customHeight="1" x14ac:dyDescent="0.2">
      <c r="C124" s="56"/>
      <c r="K124" s="56">
        <v>120</v>
      </c>
      <c r="L124" t="str">
        <f t="shared" si="5"/>
        <v xml:space="preserve">amgif 120.iff 120.gif </v>
      </c>
      <c r="M124" t="str">
        <f t="shared" si="4"/>
        <v xml:space="preserve">magick convert 120.gif -crop 18x18+0+0 -scale 200% 120.png
</v>
      </c>
    </row>
    <row r="125" spans="3:13" ht="28" customHeight="1" x14ac:dyDescent="0.2">
      <c r="C125" s="56"/>
      <c r="K125" s="56">
        <v>121</v>
      </c>
      <c r="L125" t="str">
        <f t="shared" si="5"/>
        <v xml:space="preserve">amgif 121.iff 121.gif </v>
      </c>
      <c r="M125" t="str">
        <f t="shared" si="4"/>
        <v xml:space="preserve">magick convert 121.gif -crop 18x18+0+0 -scale 200% 121.png
</v>
      </c>
    </row>
    <row r="126" spans="3:13" ht="28" customHeight="1" x14ac:dyDescent="0.2">
      <c r="C126" s="56"/>
      <c r="K126" s="56">
        <v>122</v>
      </c>
      <c r="L126" t="str">
        <f t="shared" si="5"/>
        <v xml:space="preserve">amgif 122.iff 122.gif </v>
      </c>
      <c r="M126" t="str">
        <f t="shared" si="4"/>
        <v xml:space="preserve">magick convert 122.gif -crop 18x18+0+0 -scale 200% 122.png
</v>
      </c>
    </row>
    <row r="127" spans="3:13" ht="28" customHeight="1" x14ac:dyDescent="0.2">
      <c r="C127" s="56"/>
      <c r="K127" s="56">
        <v>123</v>
      </c>
      <c r="L127" t="str">
        <f t="shared" si="5"/>
        <v xml:space="preserve">amgif 123.iff 123.gif </v>
      </c>
      <c r="M127" t="str">
        <f t="shared" si="4"/>
        <v xml:space="preserve">magick convert 123.gif -crop 18x18+0+0 -scale 200% 123.png
</v>
      </c>
    </row>
    <row r="128" spans="3:13" ht="28" customHeight="1" x14ac:dyDescent="0.2">
      <c r="C128" s="56"/>
      <c r="K128" s="56">
        <v>124</v>
      </c>
      <c r="L128" t="str">
        <f t="shared" si="5"/>
        <v xml:space="preserve">amgif 124.iff 124.gif </v>
      </c>
      <c r="M128" t="str">
        <f t="shared" si="4"/>
        <v xml:space="preserve">magick convert 124.gif -crop 18x18+0+0 -scale 200% 124.png
</v>
      </c>
    </row>
    <row r="129" spans="3:13" ht="28" customHeight="1" x14ac:dyDescent="0.2">
      <c r="C129" s="56"/>
      <c r="K129" s="56">
        <v>125</v>
      </c>
      <c r="L129" t="str">
        <f t="shared" si="5"/>
        <v xml:space="preserve">amgif 125.iff 125.gif </v>
      </c>
      <c r="M129" t="str">
        <f t="shared" si="4"/>
        <v xml:space="preserve">magick convert 125.gif -crop 18x18+0+0 -scale 200% 125.png
</v>
      </c>
    </row>
    <row r="130" spans="3:13" ht="28" customHeight="1" x14ac:dyDescent="0.2">
      <c r="C130" s="56"/>
      <c r="K130" s="56">
        <v>126</v>
      </c>
      <c r="L130" t="str">
        <f t="shared" si="5"/>
        <v xml:space="preserve">amgif 126.iff 126.gif </v>
      </c>
      <c r="M130" t="str">
        <f t="shared" si="4"/>
        <v xml:space="preserve">magick convert 126.gif -crop 18x18+0+0 -scale 200% 126.png
</v>
      </c>
    </row>
    <row r="131" spans="3:13" ht="28" customHeight="1" x14ac:dyDescent="0.2">
      <c r="C131" s="56"/>
      <c r="K131" s="56">
        <v>127</v>
      </c>
      <c r="L131" t="str">
        <f t="shared" si="5"/>
        <v xml:space="preserve">amgif 127.iff 127.gif </v>
      </c>
      <c r="M131" t="str">
        <f t="shared" si="4"/>
        <v xml:space="preserve">magick convert 127.gif -crop 18x18+0+0 -scale 200% 127.png
</v>
      </c>
    </row>
    <row r="132" spans="3:13" ht="28" customHeight="1" x14ac:dyDescent="0.2">
      <c r="C132" s="56"/>
      <c r="K132" s="56">
        <v>128</v>
      </c>
      <c r="L132" t="str">
        <f t="shared" si="5"/>
        <v xml:space="preserve">amgif 128.iff 128.gif </v>
      </c>
      <c r="M132" t="str">
        <f t="shared" si="4"/>
        <v xml:space="preserve">magick convert 128.gif -crop 18x18+0+0 -scale 200% 128.png
</v>
      </c>
    </row>
    <row r="133" spans="3:13" ht="28" customHeight="1" x14ac:dyDescent="0.2">
      <c r="C133" s="56"/>
      <c r="K133" s="56">
        <v>129</v>
      </c>
      <c r="L133" t="str">
        <f t="shared" si="5"/>
        <v xml:space="preserve">amgif 129.iff 129.gif </v>
      </c>
      <c r="M133" t="str">
        <f t="shared" ref="M133:M196" si="6">"magick convert " &amp; Path &amp; TEXT(K133,"000")&amp;".gif -crop 18x18+0+0 -scale 200% " &amp; Path&amp;TEXT(K133,"000")&amp;".png" &amp;CHAR(10)</f>
        <v xml:space="preserve">magick convert 129.gif -crop 18x18+0+0 -scale 200% 129.png
</v>
      </c>
    </row>
    <row r="134" spans="3:13" ht="28" customHeight="1" x14ac:dyDescent="0.2">
      <c r="C134" s="56"/>
      <c r="K134" s="56">
        <v>130</v>
      </c>
      <c r="L134" t="str">
        <f t="shared" ref="L134:L197" si="7">"amgif "&amp;TEXT(K134,"000")&amp;".iff "  &amp;TEXT(K134,"000")&amp;".gif "</f>
        <v xml:space="preserve">amgif 130.iff 130.gif </v>
      </c>
      <c r="M134" t="str">
        <f t="shared" si="6"/>
        <v xml:space="preserve">magick convert 130.gif -crop 18x18+0+0 -scale 200% 130.png
</v>
      </c>
    </row>
    <row r="135" spans="3:13" ht="28" customHeight="1" x14ac:dyDescent="0.2">
      <c r="C135" s="56"/>
      <c r="K135" s="56">
        <v>131</v>
      </c>
      <c r="L135" t="str">
        <f t="shared" si="7"/>
        <v xml:space="preserve">amgif 131.iff 131.gif </v>
      </c>
      <c r="M135" t="str">
        <f t="shared" si="6"/>
        <v xml:space="preserve">magick convert 131.gif -crop 18x18+0+0 -scale 200% 131.png
</v>
      </c>
    </row>
    <row r="136" spans="3:13" ht="28" customHeight="1" x14ac:dyDescent="0.2">
      <c r="C136" s="56"/>
      <c r="K136" s="56">
        <v>132</v>
      </c>
      <c r="L136" t="str">
        <f t="shared" si="7"/>
        <v xml:space="preserve">amgif 132.iff 132.gif </v>
      </c>
      <c r="M136" t="str">
        <f t="shared" si="6"/>
        <v xml:space="preserve">magick convert 132.gif -crop 18x18+0+0 -scale 200% 132.png
</v>
      </c>
    </row>
    <row r="137" spans="3:13" ht="28" customHeight="1" x14ac:dyDescent="0.2">
      <c r="C137" s="56"/>
      <c r="K137" s="56">
        <v>133</v>
      </c>
      <c r="L137" t="str">
        <f t="shared" si="7"/>
        <v xml:space="preserve">amgif 133.iff 133.gif </v>
      </c>
      <c r="M137" t="str">
        <f t="shared" si="6"/>
        <v xml:space="preserve">magick convert 133.gif -crop 18x18+0+0 -scale 200% 133.png
</v>
      </c>
    </row>
    <row r="138" spans="3:13" ht="28" customHeight="1" x14ac:dyDescent="0.2">
      <c r="C138" s="56"/>
      <c r="K138" s="56">
        <v>134</v>
      </c>
      <c r="L138" t="str">
        <f t="shared" si="7"/>
        <v xml:space="preserve">amgif 134.iff 134.gif </v>
      </c>
      <c r="M138" t="str">
        <f t="shared" si="6"/>
        <v xml:space="preserve">magick convert 134.gif -crop 18x18+0+0 -scale 200% 134.png
</v>
      </c>
    </row>
    <row r="139" spans="3:13" ht="28" customHeight="1" x14ac:dyDescent="0.2">
      <c r="C139" s="56"/>
      <c r="K139" s="56">
        <v>135</v>
      </c>
      <c r="L139" t="str">
        <f t="shared" si="7"/>
        <v xml:space="preserve">amgif 135.iff 135.gif </v>
      </c>
      <c r="M139" t="str">
        <f t="shared" si="6"/>
        <v xml:space="preserve">magick convert 135.gif -crop 18x18+0+0 -scale 200% 135.png
</v>
      </c>
    </row>
    <row r="140" spans="3:13" ht="28" customHeight="1" x14ac:dyDescent="0.2">
      <c r="C140" s="56"/>
      <c r="K140" s="56">
        <v>136</v>
      </c>
      <c r="L140" t="str">
        <f t="shared" si="7"/>
        <v xml:space="preserve">amgif 136.iff 136.gif </v>
      </c>
      <c r="M140" t="str">
        <f t="shared" si="6"/>
        <v xml:space="preserve">magick convert 136.gif -crop 18x18+0+0 -scale 200% 136.png
</v>
      </c>
    </row>
    <row r="141" spans="3:13" ht="28" customHeight="1" x14ac:dyDescent="0.2">
      <c r="C141" s="56"/>
      <c r="K141" s="56">
        <v>137</v>
      </c>
      <c r="L141" t="str">
        <f t="shared" si="7"/>
        <v xml:space="preserve">amgif 137.iff 137.gif </v>
      </c>
      <c r="M141" t="str">
        <f t="shared" si="6"/>
        <v xml:space="preserve">magick convert 137.gif -crop 18x18+0+0 -scale 200% 137.png
</v>
      </c>
    </row>
    <row r="142" spans="3:13" ht="28" customHeight="1" x14ac:dyDescent="0.2">
      <c r="C142" s="56"/>
      <c r="K142" s="56">
        <v>138</v>
      </c>
      <c r="L142" t="str">
        <f t="shared" si="7"/>
        <v xml:space="preserve">amgif 138.iff 138.gif </v>
      </c>
      <c r="M142" t="str">
        <f t="shared" si="6"/>
        <v xml:space="preserve">magick convert 138.gif -crop 18x18+0+0 -scale 200% 138.png
</v>
      </c>
    </row>
    <row r="143" spans="3:13" ht="28" customHeight="1" x14ac:dyDescent="0.2">
      <c r="C143" s="56"/>
      <c r="K143" s="56">
        <v>139</v>
      </c>
      <c r="L143" t="str">
        <f t="shared" si="7"/>
        <v xml:space="preserve">amgif 139.iff 139.gif </v>
      </c>
      <c r="M143" t="str">
        <f t="shared" si="6"/>
        <v xml:space="preserve">magick convert 139.gif -crop 18x18+0+0 -scale 200% 139.png
</v>
      </c>
    </row>
    <row r="144" spans="3:13" ht="28" customHeight="1" x14ac:dyDescent="0.2">
      <c r="C144" s="56"/>
      <c r="K144" s="56">
        <v>140</v>
      </c>
      <c r="L144" t="str">
        <f t="shared" si="7"/>
        <v xml:space="preserve">amgif 140.iff 140.gif </v>
      </c>
      <c r="M144" t="str">
        <f t="shared" si="6"/>
        <v xml:space="preserve">magick convert 140.gif -crop 18x18+0+0 -scale 200% 140.png
</v>
      </c>
    </row>
    <row r="145" spans="3:13" ht="28" customHeight="1" x14ac:dyDescent="0.2">
      <c r="C145" s="56"/>
      <c r="K145" s="56">
        <v>141</v>
      </c>
      <c r="L145" t="str">
        <f t="shared" si="7"/>
        <v xml:space="preserve">amgif 141.iff 141.gif </v>
      </c>
      <c r="M145" t="str">
        <f t="shared" si="6"/>
        <v xml:space="preserve">magick convert 141.gif -crop 18x18+0+0 -scale 200% 141.png
</v>
      </c>
    </row>
    <row r="146" spans="3:13" ht="28" customHeight="1" x14ac:dyDescent="0.2">
      <c r="C146" s="56"/>
      <c r="K146" s="56">
        <v>142</v>
      </c>
      <c r="L146" t="str">
        <f t="shared" si="7"/>
        <v xml:space="preserve">amgif 142.iff 142.gif </v>
      </c>
      <c r="M146" t="str">
        <f t="shared" si="6"/>
        <v xml:space="preserve">magick convert 142.gif -crop 18x18+0+0 -scale 200% 142.png
</v>
      </c>
    </row>
    <row r="147" spans="3:13" ht="28" customHeight="1" x14ac:dyDescent="0.2">
      <c r="C147" s="56"/>
      <c r="K147" s="56">
        <v>143</v>
      </c>
      <c r="L147" t="str">
        <f t="shared" si="7"/>
        <v xml:space="preserve">amgif 143.iff 143.gif </v>
      </c>
      <c r="M147" t="str">
        <f t="shared" si="6"/>
        <v xml:space="preserve">magick convert 143.gif -crop 18x18+0+0 -scale 200% 143.png
</v>
      </c>
    </row>
    <row r="148" spans="3:13" ht="28" customHeight="1" x14ac:dyDescent="0.2">
      <c r="C148" s="56"/>
      <c r="K148" s="56">
        <v>144</v>
      </c>
      <c r="L148" t="str">
        <f t="shared" si="7"/>
        <v xml:space="preserve">amgif 144.iff 144.gif </v>
      </c>
      <c r="M148" t="str">
        <f t="shared" si="6"/>
        <v xml:space="preserve">magick convert 144.gif -crop 18x18+0+0 -scale 200% 144.png
</v>
      </c>
    </row>
    <row r="149" spans="3:13" ht="28" customHeight="1" x14ac:dyDescent="0.2">
      <c r="C149" s="56"/>
      <c r="K149" s="56">
        <v>145</v>
      </c>
      <c r="L149" t="str">
        <f t="shared" si="7"/>
        <v xml:space="preserve">amgif 145.iff 145.gif </v>
      </c>
      <c r="M149" t="str">
        <f t="shared" si="6"/>
        <v xml:space="preserve">magick convert 145.gif -crop 18x18+0+0 -scale 200% 145.png
</v>
      </c>
    </row>
    <row r="150" spans="3:13" ht="28" customHeight="1" x14ac:dyDescent="0.2">
      <c r="C150" s="56"/>
      <c r="K150" s="56">
        <v>146</v>
      </c>
      <c r="L150" t="str">
        <f t="shared" si="7"/>
        <v xml:space="preserve">amgif 146.iff 146.gif </v>
      </c>
      <c r="M150" t="str">
        <f t="shared" si="6"/>
        <v xml:space="preserve">magick convert 146.gif -crop 18x18+0+0 -scale 200% 146.png
</v>
      </c>
    </row>
    <row r="151" spans="3:13" ht="28" customHeight="1" x14ac:dyDescent="0.2">
      <c r="C151" s="56"/>
      <c r="K151" s="56">
        <v>147</v>
      </c>
      <c r="L151" t="str">
        <f t="shared" si="7"/>
        <v xml:space="preserve">amgif 147.iff 147.gif </v>
      </c>
      <c r="M151" t="str">
        <f t="shared" si="6"/>
        <v xml:space="preserve">magick convert 147.gif -crop 18x18+0+0 -scale 200% 147.png
</v>
      </c>
    </row>
    <row r="152" spans="3:13" ht="28" customHeight="1" x14ac:dyDescent="0.2">
      <c r="C152" s="56"/>
      <c r="K152" s="56">
        <v>148</v>
      </c>
      <c r="L152" t="str">
        <f t="shared" si="7"/>
        <v xml:space="preserve">amgif 148.iff 148.gif </v>
      </c>
      <c r="M152" t="str">
        <f t="shared" si="6"/>
        <v xml:space="preserve">magick convert 148.gif -crop 18x18+0+0 -scale 200% 148.png
</v>
      </c>
    </row>
    <row r="153" spans="3:13" ht="28" customHeight="1" x14ac:dyDescent="0.2">
      <c r="C153" s="56"/>
      <c r="K153" s="56">
        <v>149</v>
      </c>
      <c r="L153" t="str">
        <f t="shared" si="7"/>
        <v xml:space="preserve">amgif 149.iff 149.gif </v>
      </c>
      <c r="M153" t="str">
        <f t="shared" si="6"/>
        <v xml:space="preserve">magick convert 149.gif -crop 18x18+0+0 -scale 200% 149.png
</v>
      </c>
    </row>
    <row r="154" spans="3:13" ht="28" customHeight="1" x14ac:dyDescent="0.2">
      <c r="C154" s="56"/>
      <c r="K154" s="56">
        <v>150</v>
      </c>
      <c r="L154" t="str">
        <f t="shared" si="7"/>
        <v xml:space="preserve">amgif 150.iff 150.gif </v>
      </c>
      <c r="M154" t="str">
        <f t="shared" si="6"/>
        <v xml:space="preserve">magick convert 150.gif -crop 18x18+0+0 -scale 200% 150.png
</v>
      </c>
    </row>
    <row r="155" spans="3:13" ht="28" customHeight="1" x14ac:dyDescent="0.2">
      <c r="C155" s="56"/>
      <c r="K155" s="56">
        <v>151</v>
      </c>
      <c r="L155" t="str">
        <f t="shared" si="7"/>
        <v xml:space="preserve">amgif 151.iff 151.gif </v>
      </c>
      <c r="M155" t="str">
        <f t="shared" si="6"/>
        <v xml:space="preserve">magick convert 151.gif -crop 18x18+0+0 -scale 200% 151.png
</v>
      </c>
    </row>
    <row r="156" spans="3:13" ht="28" customHeight="1" x14ac:dyDescent="0.2">
      <c r="C156" s="56"/>
      <c r="K156" s="56">
        <v>152</v>
      </c>
      <c r="L156" t="str">
        <f t="shared" si="7"/>
        <v xml:space="preserve">amgif 152.iff 152.gif </v>
      </c>
      <c r="M156" t="str">
        <f t="shared" si="6"/>
        <v xml:space="preserve">magick convert 152.gif -crop 18x18+0+0 -scale 200% 152.png
</v>
      </c>
    </row>
    <row r="157" spans="3:13" ht="28" customHeight="1" x14ac:dyDescent="0.2">
      <c r="C157" s="56"/>
      <c r="K157" s="56">
        <v>153</v>
      </c>
      <c r="L157" t="str">
        <f t="shared" si="7"/>
        <v xml:space="preserve">amgif 153.iff 153.gif </v>
      </c>
      <c r="M157" t="str">
        <f t="shared" si="6"/>
        <v xml:space="preserve">magick convert 153.gif -crop 18x18+0+0 -scale 200% 153.png
</v>
      </c>
    </row>
    <row r="158" spans="3:13" ht="28" customHeight="1" x14ac:dyDescent="0.2">
      <c r="C158" s="56"/>
      <c r="K158" s="56">
        <v>154</v>
      </c>
      <c r="L158" t="str">
        <f t="shared" si="7"/>
        <v xml:space="preserve">amgif 154.iff 154.gif </v>
      </c>
      <c r="M158" t="str">
        <f t="shared" si="6"/>
        <v xml:space="preserve">magick convert 154.gif -crop 18x18+0+0 -scale 200% 154.png
</v>
      </c>
    </row>
    <row r="159" spans="3:13" ht="28" customHeight="1" x14ac:dyDescent="0.2">
      <c r="C159" s="56"/>
      <c r="K159" s="56">
        <v>155</v>
      </c>
      <c r="L159" t="str">
        <f t="shared" si="7"/>
        <v xml:space="preserve">amgif 155.iff 155.gif </v>
      </c>
      <c r="M159" t="str">
        <f t="shared" si="6"/>
        <v xml:space="preserve">magick convert 155.gif -crop 18x18+0+0 -scale 200% 155.png
</v>
      </c>
    </row>
    <row r="160" spans="3:13" ht="28" customHeight="1" x14ac:dyDescent="0.2">
      <c r="C160" s="56"/>
      <c r="K160" s="56">
        <v>156</v>
      </c>
      <c r="L160" t="str">
        <f t="shared" si="7"/>
        <v xml:space="preserve">amgif 156.iff 156.gif </v>
      </c>
      <c r="M160" t="str">
        <f t="shared" si="6"/>
        <v xml:space="preserve">magick convert 156.gif -crop 18x18+0+0 -scale 200% 156.png
</v>
      </c>
    </row>
    <row r="161" spans="3:13" ht="28" customHeight="1" x14ac:dyDescent="0.2">
      <c r="C161" s="56"/>
      <c r="K161" s="56">
        <v>157</v>
      </c>
      <c r="L161" t="str">
        <f t="shared" si="7"/>
        <v xml:space="preserve">amgif 157.iff 157.gif </v>
      </c>
      <c r="M161" t="str">
        <f t="shared" si="6"/>
        <v xml:space="preserve">magick convert 157.gif -crop 18x18+0+0 -scale 200% 157.png
</v>
      </c>
    </row>
    <row r="162" spans="3:13" ht="28" customHeight="1" x14ac:dyDescent="0.2">
      <c r="C162" s="56"/>
      <c r="K162" s="56">
        <v>158</v>
      </c>
      <c r="L162" t="str">
        <f t="shared" si="7"/>
        <v xml:space="preserve">amgif 158.iff 158.gif </v>
      </c>
      <c r="M162" t="str">
        <f t="shared" si="6"/>
        <v xml:space="preserve">magick convert 158.gif -crop 18x18+0+0 -scale 200% 158.png
</v>
      </c>
    </row>
    <row r="163" spans="3:13" ht="28" customHeight="1" x14ac:dyDescent="0.2">
      <c r="C163" s="56"/>
      <c r="K163" s="56">
        <v>159</v>
      </c>
      <c r="L163" t="str">
        <f t="shared" si="7"/>
        <v xml:space="preserve">amgif 159.iff 159.gif </v>
      </c>
      <c r="M163" t="str">
        <f t="shared" si="6"/>
        <v xml:space="preserve">magick convert 159.gif -crop 18x18+0+0 -scale 200% 159.png
</v>
      </c>
    </row>
    <row r="164" spans="3:13" ht="28" customHeight="1" x14ac:dyDescent="0.2">
      <c r="C164" s="56"/>
      <c r="K164" s="56">
        <v>160</v>
      </c>
      <c r="L164" t="str">
        <f t="shared" si="7"/>
        <v xml:space="preserve">amgif 160.iff 160.gif </v>
      </c>
      <c r="M164" t="str">
        <f t="shared" si="6"/>
        <v xml:space="preserve">magick convert 160.gif -crop 18x18+0+0 -scale 200% 160.png
</v>
      </c>
    </row>
    <row r="165" spans="3:13" ht="28" customHeight="1" x14ac:dyDescent="0.2">
      <c r="C165" s="56"/>
      <c r="K165" s="56">
        <v>161</v>
      </c>
      <c r="L165" t="str">
        <f t="shared" si="7"/>
        <v xml:space="preserve">amgif 161.iff 161.gif </v>
      </c>
      <c r="M165" t="str">
        <f t="shared" si="6"/>
        <v xml:space="preserve">magick convert 161.gif -crop 18x18+0+0 -scale 200% 161.png
</v>
      </c>
    </row>
    <row r="166" spans="3:13" ht="28" customHeight="1" x14ac:dyDescent="0.2">
      <c r="C166" s="56"/>
      <c r="K166" s="56">
        <v>162</v>
      </c>
      <c r="L166" t="str">
        <f t="shared" si="7"/>
        <v xml:space="preserve">amgif 162.iff 162.gif </v>
      </c>
      <c r="M166" t="str">
        <f t="shared" si="6"/>
        <v xml:space="preserve">magick convert 162.gif -crop 18x18+0+0 -scale 200% 162.png
</v>
      </c>
    </row>
    <row r="167" spans="3:13" ht="28" customHeight="1" x14ac:dyDescent="0.2">
      <c r="C167" s="56"/>
      <c r="K167" s="56">
        <v>163</v>
      </c>
      <c r="L167" t="str">
        <f t="shared" si="7"/>
        <v xml:space="preserve">amgif 163.iff 163.gif </v>
      </c>
      <c r="M167" t="str">
        <f t="shared" si="6"/>
        <v xml:space="preserve">magick convert 163.gif -crop 18x18+0+0 -scale 200% 163.png
</v>
      </c>
    </row>
    <row r="168" spans="3:13" ht="28" customHeight="1" x14ac:dyDescent="0.2">
      <c r="C168" s="56"/>
      <c r="K168" s="56">
        <v>164</v>
      </c>
      <c r="L168" t="str">
        <f t="shared" si="7"/>
        <v xml:space="preserve">amgif 164.iff 164.gif </v>
      </c>
      <c r="M168" t="str">
        <f t="shared" si="6"/>
        <v xml:space="preserve">magick convert 164.gif -crop 18x18+0+0 -scale 200% 164.png
</v>
      </c>
    </row>
    <row r="169" spans="3:13" ht="28" customHeight="1" x14ac:dyDescent="0.2">
      <c r="C169" s="56"/>
      <c r="K169" s="56">
        <v>165</v>
      </c>
      <c r="L169" t="str">
        <f t="shared" si="7"/>
        <v xml:space="preserve">amgif 165.iff 165.gif </v>
      </c>
      <c r="M169" t="str">
        <f t="shared" si="6"/>
        <v xml:space="preserve">magick convert 165.gif -crop 18x18+0+0 -scale 200% 165.png
</v>
      </c>
    </row>
    <row r="170" spans="3:13" ht="28" customHeight="1" x14ac:dyDescent="0.2">
      <c r="C170" s="56">
        <v>169</v>
      </c>
      <c r="K170" s="56">
        <v>166</v>
      </c>
      <c r="L170" t="str">
        <f t="shared" si="7"/>
        <v xml:space="preserve">amgif 166.iff 166.gif </v>
      </c>
      <c r="M170" t="str">
        <f t="shared" si="6"/>
        <v xml:space="preserve">magick convert 166.gif -crop 18x18+0+0 -scale 200% 166.png
</v>
      </c>
    </row>
    <row r="171" spans="3:13" ht="28" customHeight="1" x14ac:dyDescent="0.2">
      <c r="C171" s="56">
        <v>170</v>
      </c>
      <c r="K171" s="56">
        <v>167</v>
      </c>
      <c r="L171" t="str">
        <f t="shared" si="7"/>
        <v xml:space="preserve">amgif 167.iff 167.gif </v>
      </c>
      <c r="M171" t="str">
        <f t="shared" si="6"/>
        <v xml:space="preserve">magick convert 167.gif -crop 18x18+0+0 -scale 200% 167.png
</v>
      </c>
    </row>
    <row r="172" spans="3:13" ht="28" customHeight="1" x14ac:dyDescent="0.2">
      <c r="C172" s="56">
        <v>171</v>
      </c>
      <c r="K172" s="56">
        <v>168</v>
      </c>
      <c r="L172" t="str">
        <f t="shared" si="7"/>
        <v xml:space="preserve">amgif 168.iff 168.gif </v>
      </c>
      <c r="M172" t="str">
        <f t="shared" si="6"/>
        <v xml:space="preserve">magick convert 168.gif -crop 18x18+0+0 -scale 200% 168.png
</v>
      </c>
    </row>
    <row r="173" spans="3:13" ht="28" customHeight="1" x14ac:dyDescent="0.2">
      <c r="C173" s="56">
        <v>172</v>
      </c>
      <c r="K173" s="56">
        <v>169</v>
      </c>
      <c r="L173" t="str">
        <f t="shared" si="7"/>
        <v xml:space="preserve">amgif 169.iff 169.gif </v>
      </c>
      <c r="M173" t="str">
        <f t="shared" si="6"/>
        <v xml:space="preserve">magick convert 169.gif -crop 18x18+0+0 -scale 200% 169.png
</v>
      </c>
    </row>
    <row r="174" spans="3:13" ht="28" customHeight="1" x14ac:dyDescent="0.2">
      <c r="C174" s="56">
        <v>173</v>
      </c>
      <c r="K174" s="56">
        <v>170</v>
      </c>
      <c r="L174" t="str">
        <f t="shared" si="7"/>
        <v xml:space="preserve">amgif 170.iff 170.gif </v>
      </c>
      <c r="M174" t="str">
        <f t="shared" si="6"/>
        <v xml:space="preserve">magick convert 170.gif -crop 18x18+0+0 -scale 200% 170.png
</v>
      </c>
    </row>
    <row r="175" spans="3:13" ht="28" customHeight="1" x14ac:dyDescent="0.2">
      <c r="C175" s="56">
        <v>174</v>
      </c>
      <c r="K175" s="56">
        <v>171</v>
      </c>
      <c r="L175" t="str">
        <f t="shared" si="7"/>
        <v xml:space="preserve">amgif 171.iff 171.gif </v>
      </c>
      <c r="M175" t="str">
        <f t="shared" si="6"/>
        <v xml:space="preserve">magick convert 171.gif -crop 18x18+0+0 -scale 200% 171.png
</v>
      </c>
    </row>
    <row r="176" spans="3:13" ht="28" customHeight="1" x14ac:dyDescent="0.2">
      <c r="C176" s="56">
        <v>175</v>
      </c>
      <c r="K176" s="56">
        <v>172</v>
      </c>
      <c r="L176" t="str">
        <f t="shared" si="7"/>
        <v xml:space="preserve">amgif 172.iff 172.gif </v>
      </c>
      <c r="M176" t="str">
        <f t="shared" si="6"/>
        <v xml:space="preserve">magick convert 172.gif -crop 18x18+0+0 -scale 200% 172.png
</v>
      </c>
    </row>
    <row r="177" spans="3:13" ht="28" customHeight="1" x14ac:dyDescent="0.2">
      <c r="C177" s="56">
        <v>176</v>
      </c>
      <c r="K177" s="56">
        <v>173</v>
      </c>
      <c r="L177" t="str">
        <f t="shared" si="7"/>
        <v xml:space="preserve">amgif 173.iff 173.gif </v>
      </c>
      <c r="M177" t="str">
        <f t="shared" si="6"/>
        <v xml:space="preserve">magick convert 173.gif -crop 18x18+0+0 -scale 200% 173.png
</v>
      </c>
    </row>
    <row r="178" spans="3:13" ht="28" customHeight="1" x14ac:dyDescent="0.2">
      <c r="C178" s="56">
        <v>177</v>
      </c>
      <c r="K178" s="56">
        <v>174</v>
      </c>
      <c r="L178" t="str">
        <f t="shared" si="7"/>
        <v xml:space="preserve">amgif 174.iff 174.gif </v>
      </c>
      <c r="M178" t="str">
        <f t="shared" si="6"/>
        <v xml:space="preserve">magick convert 174.gif -crop 18x18+0+0 -scale 200% 174.png
</v>
      </c>
    </row>
    <row r="179" spans="3:13" ht="28" customHeight="1" x14ac:dyDescent="0.2">
      <c r="K179" s="56">
        <v>175</v>
      </c>
      <c r="L179" t="str">
        <f t="shared" si="7"/>
        <v xml:space="preserve">amgif 175.iff 175.gif </v>
      </c>
      <c r="M179" t="str">
        <f t="shared" si="6"/>
        <v xml:space="preserve">magick convert 175.gif -crop 18x18+0+0 -scale 200% 175.png
</v>
      </c>
    </row>
    <row r="180" spans="3:13" ht="28" customHeight="1" x14ac:dyDescent="0.2">
      <c r="K180" s="56">
        <v>176</v>
      </c>
      <c r="L180" t="str">
        <f t="shared" si="7"/>
        <v xml:space="preserve">amgif 176.iff 176.gif </v>
      </c>
      <c r="M180" t="str">
        <f t="shared" si="6"/>
        <v xml:space="preserve">magick convert 176.gif -crop 18x18+0+0 -scale 200% 176.png
</v>
      </c>
    </row>
    <row r="181" spans="3:13" ht="28" customHeight="1" x14ac:dyDescent="0.2">
      <c r="K181" s="56">
        <v>177</v>
      </c>
      <c r="L181" t="str">
        <f t="shared" si="7"/>
        <v xml:space="preserve">amgif 177.iff 177.gif </v>
      </c>
      <c r="M181" t="str">
        <f t="shared" si="6"/>
        <v xml:space="preserve">magick convert 177.gif -crop 18x18+0+0 -scale 200% 177.png
</v>
      </c>
    </row>
    <row r="182" spans="3:13" ht="28" customHeight="1" x14ac:dyDescent="0.2">
      <c r="K182" s="56">
        <v>178</v>
      </c>
      <c r="L182" t="str">
        <f t="shared" si="7"/>
        <v xml:space="preserve">amgif 178.iff 178.gif </v>
      </c>
      <c r="M182" t="str">
        <f t="shared" si="6"/>
        <v xml:space="preserve">magick convert 178.gif -crop 18x18+0+0 -scale 200% 178.png
</v>
      </c>
    </row>
    <row r="183" spans="3:13" ht="28" customHeight="1" x14ac:dyDescent="0.2">
      <c r="K183" s="56">
        <v>179</v>
      </c>
      <c r="L183" t="str">
        <f t="shared" si="7"/>
        <v xml:space="preserve">amgif 179.iff 179.gif </v>
      </c>
      <c r="M183" t="str">
        <f t="shared" si="6"/>
        <v xml:space="preserve">magick convert 179.gif -crop 18x18+0+0 -scale 200% 179.png
</v>
      </c>
    </row>
    <row r="184" spans="3:13" ht="28" customHeight="1" x14ac:dyDescent="0.2">
      <c r="K184" s="56">
        <v>180</v>
      </c>
      <c r="L184" t="str">
        <f t="shared" si="7"/>
        <v xml:space="preserve">amgif 180.iff 180.gif </v>
      </c>
      <c r="M184" t="str">
        <f t="shared" si="6"/>
        <v xml:space="preserve">magick convert 180.gif -crop 18x18+0+0 -scale 200% 180.png
</v>
      </c>
    </row>
    <row r="185" spans="3:13" ht="28" customHeight="1" x14ac:dyDescent="0.2">
      <c r="K185" s="56">
        <v>181</v>
      </c>
      <c r="L185" t="str">
        <f t="shared" si="7"/>
        <v xml:space="preserve">amgif 181.iff 181.gif </v>
      </c>
      <c r="M185" t="str">
        <f t="shared" si="6"/>
        <v xml:space="preserve">magick convert 181.gif -crop 18x18+0+0 -scale 200% 181.png
</v>
      </c>
    </row>
    <row r="186" spans="3:13" ht="28" customHeight="1" x14ac:dyDescent="0.2">
      <c r="K186" s="56">
        <v>182</v>
      </c>
      <c r="L186" t="str">
        <f t="shared" si="7"/>
        <v xml:space="preserve">amgif 182.iff 182.gif </v>
      </c>
      <c r="M186" t="str">
        <f t="shared" si="6"/>
        <v xml:space="preserve">magick convert 182.gif -crop 18x18+0+0 -scale 200% 182.png
</v>
      </c>
    </row>
    <row r="187" spans="3:13" ht="28" customHeight="1" x14ac:dyDescent="0.2">
      <c r="K187" s="56">
        <v>183</v>
      </c>
      <c r="L187" t="str">
        <f t="shared" si="7"/>
        <v xml:space="preserve">amgif 183.iff 183.gif </v>
      </c>
      <c r="M187" t="str">
        <f t="shared" si="6"/>
        <v xml:space="preserve">magick convert 183.gif -crop 18x18+0+0 -scale 200% 183.png
</v>
      </c>
    </row>
    <row r="188" spans="3:13" ht="28" customHeight="1" x14ac:dyDescent="0.2">
      <c r="K188" s="56">
        <v>184</v>
      </c>
      <c r="L188" t="str">
        <f t="shared" si="7"/>
        <v xml:space="preserve">amgif 184.iff 184.gif </v>
      </c>
      <c r="M188" t="str">
        <f t="shared" si="6"/>
        <v xml:space="preserve">magick convert 184.gif -crop 18x18+0+0 -scale 200% 184.png
</v>
      </c>
    </row>
    <row r="189" spans="3:13" ht="28" customHeight="1" x14ac:dyDescent="0.2">
      <c r="K189" s="56">
        <v>185</v>
      </c>
      <c r="L189" t="str">
        <f t="shared" si="7"/>
        <v xml:space="preserve">amgif 185.iff 185.gif </v>
      </c>
      <c r="M189" t="str">
        <f t="shared" si="6"/>
        <v xml:space="preserve">magick convert 185.gif -crop 18x18+0+0 -scale 200% 185.png
</v>
      </c>
    </row>
    <row r="190" spans="3:13" ht="28" customHeight="1" x14ac:dyDescent="0.2">
      <c r="K190" s="56">
        <v>186</v>
      </c>
      <c r="L190" t="str">
        <f t="shared" si="7"/>
        <v xml:space="preserve">amgif 186.iff 186.gif </v>
      </c>
      <c r="M190" t="str">
        <f t="shared" si="6"/>
        <v xml:space="preserve">magick convert 186.gif -crop 18x18+0+0 -scale 200% 186.png
</v>
      </c>
    </row>
    <row r="191" spans="3:13" ht="28" customHeight="1" x14ac:dyDescent="0.2">
      <c r="K191" s="56">
        <v>187</v>
      </c>
      <c r="L191" t="str">
        <f t="shared" si="7"/>
        <v xml:space="preserve">amgif 187.iff 187.gif </v>
      </c>
      <c r="M191" t="str">
        <f t="shared" si="6"/>
        <v xml:space="preserve">magick convert 187.gif -crop 18x18+0+0 -scale 200% 187.png
</v>
      </c>
    </row>
    <row r="192" spans="3:13" ht="28" customHeight="1" x14ac:dyDescent="0.2">
      <c r="K192" s="56">
        <v>188</v>
      </c>
      <c r="L192" t="str">
        <f t="shared" si="7"/>
        <v xml:space="preserve">amgif 188.iff 188.gif </v>
      </c>
      <c r="M192" t="str">
        <f t="shared" si="6"/>
        <v xml:space="preserve">magick convert 188.gif -crop 18x18+0+0 -scale 200% 188.png
</v>
      </c>
    </row>
    <row r="193" spans="11:13" ht="28" customHeight="1" x14ac:dyDescent="0.2">
      <c r="K193" s="56">
        <v>189</v>
      </c>
      <c r="L193" t="str">
        <f t="shared" si="7"/>
        <v xml:space="preserve">amgif 189.iff 189.gif </v>
      </c>
      <c r="M193" t="str">
        <f t="shared" si="6"/>
        <v xml:space="preserve">magick convert 189.gif -crop 18x18+0+0 -scale 200% 189.png
</v>
      </c>
    </row>
    <row r="194" spans="11:13" ht="28" customHeight="1" x14ac:dyDescent="0.2">
      <c r="K194" s="56">
        <v>190</v>
      </c>
      <c r="L194" t="str">
        <f t="shared" si="7"/>
        <v xml:space="preserve">amgif 190.iff 190.gif </v>
      </c>
      <c r="M194" t="str">
        <f t="shared" si="6"/>
        <v xml:space="preserve">magick convert 190.gif -crop 18x18+0+0 -scale 200% 190.png
</v>
      </c>
    </row>
    <row r="195" spans="11:13" ht="28" customHeight="1" x14ac:dyDescent="0.2">
      <c r="K195" s="56">
        <v>191</v>
      </c>
      <c r="L195" t="str">
        <f t="shared" si="7"/>
        <v xml:space="preserve">amgif 191.iff 191.gif </v>
      </c>
      <c r="M195" t="str">
        <f t="shared" si="6"/>
        <v xml:space="preserve">magick convert 191.gif -crop 18x18+0+0 -scale 200% 191.png
</v>
      </c>
    </row>
    <row r="196" spans="11:13" ht="28" customHeight="1" x14ac:dyDescent="0.2">
      <c r="K196" s="56">
        <v>192</v>
      </c>
      <c r="L196" t="str">
        <f t="shared" si="7"/>
        <v xml:space="preserve">amgif 192.iff 192.gif </v>
      </c>
      <c r="M196" t="str">
        <f t="shared" si="6"/>
        <v xml:space="preserve">magick convert 192.gif -crop 18x18+0+0 -scale 200% 192.png
</v>
      </c>
    </row>
    <row r="197" spans="11:13" ht="28" customHeight="1" x14ac:dyDescent="0.2">
      <c r="K197" s="56">
        <v>193</v>
      </c>
      <c r="L197" t="str">
        <f t="shared" si="7"/>
        <v xml:space="preserve">amgif 193.iff 193.gif </v>
      </c>
      <c r="M197" t="str">
        <f t="shared" ref="M197:M212" si="8">"magick convert " &amp; Path &amp; TEXT(K197,"000")&amp;".gif -crop 18x18+0+0 -scale 200% " &amp; Path&amp;TEXT(K197,"000")&amp;".png" &amp;CHAR(10)</f>
        <v xml:space="preserve">magick convert 193.gif -crop 18x18+0+0 -scale 200% 193.png
</v>
      </c>
    </row>
    <row r="198" spans="11:13" ht="28" customHeight="1" x14ac:dyDescent="0.2">
      <c r="K198" s="56">
        <v>194</v>
      </c>
      <c r="L198" t="str">
        <f t="shared" ref="L198:L212" si="9">"amgif "&amp;TEXT(K198,"000")&amp;".iff "  &amp;TEXT(K198,"000")&amp;".gif "</f>
        <v xml:space="preserve">amgif 194.iff 194.gif </v>
      </c>
      <c r="M198" t="str">
        <f t="shared" si="8"/>
        <v xml:space="preserve">magick convert 194.gif -crop 18x18+0+0 -scale 200% 194.png
</v>
      </c>
    </row>
    <row r="199" spans="11:13" ht="28" customHeight="1" x14ac:dyDescent="0.2">
      <c r="K199" s="56">
        <v>195</v>
      </c>
      <c r="L199" t="str">
        <f t="shared" si="9"/>
        <v xml:space="preserve">amgif 195.iff 195.gif </v>
      </c>
      <c r="M199" t="str">
        <f t="shared" si="8"/>
        <v xml:space="preserve">magick convert 195.gif -crop 18x18+0+0 -scale 200% 195.png
</v>
      </c>
    </row>
    <row r="200" spans="11:13" ht="28" customHeight="1" x14ac:dyDescent="0.2">
      <c r="K200" s="56">
        <v>196</v>
      </c>
      <c r="L200" t="str">
        <f t="shared" si="9"/>
        <v xml:space="preserve">amgif 196.iff 196.gif </v>
      </c>
      <c r="M200" t="str">
        <f t="shared" si="8"/>
        <v xml:space="preserve">magick convert 196.gif -crop 18x18+0+0 -scale 200% 196.png
</v>
      </c>
    </row>
    <row r="201" spans="11:13" ht="28" customHeight="1" x14ac:dyDescent="0.2">
      <c r="K201" s="56">
        <v>197</v>
      </c>
      <c r="L201" t="str">
        <f t="shared" si="9"/>
        <v xml:space="preserve">amgif 197.iff 197.gif </v>
      </c>
      <c r="M201" t="str">
        <f t="shared" si="8"/>
        <v xml:space="preserve">magick convert 197.gif -crop 18x18+0+0 -scale 200% 197.png
</v>
      </c>
    </row>
    <row r="202" spans="11:13" ht="28" customHeight="1" x14ac:dyDescent="0.2">
      <c r="K202" s="56">
        <v>198</v>
      </c>
      <c r="L202" t="str">
        <f t="shared" si="9"/>
        <v xml:space="preserve">amgif 198.iff 198.gif </v>
      </c>
      <c r="M202" t="str">
        <f t="shared" si="8"/>
        <v xml:space="preserve">magick convert 198.gif -crop 18x18+0+0 -scale 200% 198.png
</v>
      </c>
    </row>
    <row r="203" spans="11:13" ht="28" customHeight="1" x14ac:dyDescent="0.2">
      <c r="K203" s="56">
        <v>199</v>
      </c>
      <c r="L203" t="str">
        <f t="shared" si="9"/>
        <v xml:space="preserve">amgif 199.iff 199.gif </v>
      </c>
      <c r="M203" t="str">
        <f t="shared" si="8"/>
        <v xml:space="preserve">magick convert 199.gif -crop 18x18+0+0 -scale 200% 199.png
</v>
      </c>
    </row>
    <row r="204" spans="11:13" ht="28" customHeight="1" x14ac:dyDescent="0.2">
      <c r="K204" s="56">
        <v>200</v>
      </c>
      <c r="L204" t="str">
        <f t="shared" si="9"/>
        <v xml:space="preserve">amgif 200.iff 200.gif </v>
      </c>
      <c r="M204" t="str">
        <f t="shared" si="8"/>
        <v xml:space="preserve">magick convert 200.gif -crop 18x18+0+0 -scale 200% 200.png
</v>
      </c>
    </row>
    <row r="205" spans="11:13" ht="28" customHeight="1" x14ac:dyDescent="0.2">
      <c r="K205" s="56">
        <v>201</v>
      </c>
      <c r="L205" t="str">
        <f t="shared" si="9"/>
        <v xml:space="preserve">amgif 201.iff 201.gif </v>
      </c>
      <c r="M205" t="str">
        <f t="shared" si="8"/>
        <v xml:space="preserve">magick convert 201.gif -crop 18x18+0+0 -scale 200% 201.png
</v>
      </c>
    </row>
    <row r="206" spans="11:13" ht="28" customHeight="1" x14ac:dyDescent="0.2">
      <c r="K206" s="56">
        <v>202</v>
      </c>
      <c r="L206" t="str">
        <f t="shared" si="9"/>
        <v xml:space="preserve">amgif 202.iff 202.gif </v>
      </c>
      <c r="M206" t="str">
        <f t="shared" si="8"/>
        <v xml:space="preserve">magick convert 202.gif -crop 18x18+0+0 -scale 200% 202.png
</v>
      </c>
    </row>
    <row r="207" spans="11:13" ht="28" customHeight="1" x14ac:dyDescent="0.2">
      <c r="K207" s="56">
        <v>203</v>
      </c>
      <c r="L207" t="str">
        <f t="shared" si="9"/>
        <v xml:space="preserve">amgif 203.iff 203.gif </v>
      </c>
      <c r="M207" t="str">
        <f t="shared" si="8"/>
        <v xml:space="preserve">magick convert 203.gif -crop 18x18+0+0 -scale 200% 203.png
</v>
      </c>
    </row>
    <row r="208" spans="11:13" ht="28" customHeight="1" x14ac:dyDescent="0.2">
      <c r="K208" s="56">
        <v>204</v>
      </c>
      <c r="L208" t="str">
        <f t="shared" si="9"/>
        <v xml:space="preserve">amgif 204.iff 204.gif </v>
      </c>
      <c r="M208" t="str">
        <f t="shared" si="8"/>
        <v xml:space="preserve">magick convert 204.gif -crop 18x18+0+0 -scale 200% 204.png
</v>
      </c>
    </row>
    <row r="209" spans="11:13" ht="28" customHeight="1" x14ac:dyDescent="0.2">
      <c r="K209" s="56">
        <v>205</v>
      </c>
      <c r="L209" t="str">
        <f t="shared" si="9"/>
        <v xml:space="preserve">amgif 205.iff 205.gif </v>
      </c>
      <c r="M209" t="str">
        <f t="shared" si="8"/>
        <v xml:space="preserve">magick convert 205.gif -crop 18x18+0+0 -scale 200% 205.png
</v>
      </c>
    </row>
    <row r="210" spans="11:13" ht="28" customHeight="1" x14ac:dyDescent="0.2">
      <c r="K210" s="56">
        <v>206</v>
      </c>
      <c r="L210" t="str">
        <f t="shared" si="9"/>
        <v xml:space="preserve">amgif 206.iff 206.gif </v>
      </c>
      <c r="M210" t="str">
        <f t="shared" si="8"/>
        <v xml:space="preserve">magick convert 206.gif -crop 18x18+0+0 -scale 200% 206.png
</v>
      </c>
    </row>
    <row r="211" spans="11:13" ht="28" customHeight="1" x14ac:dyDescent="0.2">
      <c r="K211" s="56">
        <v>207</v>
      </c>
      <c r="L211" t="str">
        <f t="shared" si="9"/>
        <v xml:space="preserve">amgif 207.iff 207.gif </v>
      </c>
      <c r="M211" t="str">
        <f t="shared" si="8"/>
        <v xml:space="preserve">magick convert 207.gif -crop 18x18+0+0 -scale 200% 207.png
</v>
      </c>
    </row>
    <row r="212" spans="11:13" ht="28" customHeight="1" x14ac:dyDescent="0.2">
      <c r="K212" s="56">
        <v>208</v>
      </c>
      <c r="L212" t="str">
        <f t="shared" si="9"/>
        <v xml:space="preserve">amgif 208.iff 208.gif </v>
      </c>
      <c r="M212" t="str">
        <f t="shared" si="8"/>
        <v xml:space="preserve">magick convert 208.gif -crop 18x18+0+0 -scale 200% 208.png
</v>
      </c>
    </row>
    <row r="213" spans="11:13" ht="28" customHeight="1" x14ac:dyDescent="0.2">
      <c r="K213" s="56"/>
    </row>
    <row r="214" spans="11:13" ht="28" customHeight="1" x14ac:dyDescent="0.2">
      <c r="K214" s="56"/>
    </row>
    <row r="215" spans="11:13" ht="28" customHeight="1" x14ac:dyDescent="0.2">
      <c r="K215" s="56"/>
    </row>
    <row r="216" spans="11:13" ht="28" customHeight="1" x14ac:dyDescent="0.2">
      <c r="K216" s="56"/>
    </row>
    <row r="217" spans="11:13" ht="28" customHeight="1" x14ac:dyDescent="0.2">
      <c r="K217" s="56"/>
    </row>
    <row r="218" spans="11:13" ht="28" customHeight="1" x14ac:dyDescent="0.2">
      <c r="K218" s="5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A13F-B35A-AC49-A305-D64181229FEB}">
  <sheetPr codeName="Sheet10"/>
  <dimension ref="C1:I43"/>
  <sheetViews>
    <sheetView topLeftCell="A28" workbookViewId="0">
      <selection activeCell="E47" sqref="E47"/>
    </sheetView>
  </sheetViews>
  <sheetFormatPr baseColWidth="10" defaultRowHeight="15" x14ac:dyDescent="0.2"/>
  <cols>
    <col min="5" max="5" width="15.33203125" customWidth="1"/>
    <col min="6" max="7" width="10.83203125" style="3"/>
  </cols>
  <sheetData>
    <row r="1" spans="3:9" x14ac:dyDescent="0.2">
      <c r="C1" t="s">
        <v>9483</v>
      </c>
      <c r="D1" t="s">
        <v>9484</v>
      </c>
      <c r="E1" t="s">
        <v>9489</v>
      </c>
      <c r="F1" s="3" t="s">
        <v>9487</v>
      </c>
      <c r="G1" s="3" t="s">
        <v>9488</v>
      </c>
      <c r="I1" t="str">
        <f>"|"&amp;C1&amp;"|"&amp;D1&amp;"|"&amp;E1&amp;"|"&amp;F1&amp;"|"&amp;G1&amp;"|"</f>
        <v>|Spell Number|Name|Class|Spellcost|Difficulty|</v>
      </c>
    </row>
    <row r="2" spans="3:9" x14ac:dyDescent="0.2">
      <c r="C2" s="5" t="s">
        <v>9547</v>
      </c>
      <c r="D2" s="5" t="s">
        <v>9547</v>
      </c>
      <c r="E2" s="5" t="s">
        <v>9547</v>
      </c>
      <c r="F2" s="5" t="s">
        <v>9547</v>
      </c>
      <c r="G2" s="5" t="s">
        <v>9547</v>
      </c>
      <c r="I2" t="str">
        <f>"|"&amp;C2&amp;"|"&amp;D2&amp;"|"&amp;E2&amp;"|"&amp;F2&amp;"|"&amp;G2&amp;"|"</f>
        <v>|---|---|---|---|---|</v>
      </c>
    </row>
    <row r="3" spans="3:9" x14ac:dyDescent="0.2">
      <c r="C3">
        <v>1</v>
      </c>
      <c r="D3" t="s">
        <v>9485</v>
      </c>
      <c r="E3" t="s">
        <v>9490</v>
      </c>
      <c r="F3" s="3" t="s">
        <v>9539</v>
      </c>
      <c r="G3" s="3" t="s">
        <v>9507</v>
      </c>
      <c r="I3" t="str">
        <f t="shared" ref="I3:I43" si="0">"|"&amp;C3&amp;"|"&amp;D3&amp;"|"&amp;E3&amp;"|"&amp;F3&amp;"|"&amp;G3&amp;"|"</f>
        <v>|1|Amour|Serpent (Green)|1|1  |</v>
      </c>
    </row>
    <row r="4" spans="3:9" x14ac:dyDescent="0.2">
      <c r="C4">
        <v>2</v>
      </c>
      <c r="D4" s="46" t="s">
        <v>8145</v>
      </c>
      <c r="E4" t="s">
        <v>9504</v>
      </c>
      <c r="F4" s="3" t="s">
        <v>9540</v>
      </c>
      <c r="G4" s="3" t="s">
        <v>9508</v>
      </c>
      <c r="I4" t="str">
        <f t="shared" si="0"/>
        <v>|2|Terror|Chaos (Yellow)|2| 2 |</v>
      </c>
    </row>
    <row r="5" spans="3:9" x14ac:dyDescent="0.2">
      <c r="C5">
        <v>3</v>
      </c>
      <c r="D5" s="46" t="s">
        <v>8146</v>
      </c>
      <c r="E5" t="s">
        <v>9505</v>
      </c>
      <c r="F5" s="3" t="s">
        <v>9540</v>
      </c>
      <c r="G5" s="3" t="s">
        <v>9509</v>
      </c>
      <c r="I5" t="str">
        <f t="shared" si="0"/>
        <v>|3|Vitalise|Dragon (Red)|2| 3 |</v>
      </c>
    </row>
    <row r="6" spans="3:9" x14ac:dyDescent="0.2">
      <c r="C6">
        <v>4</v>
      </c>
      <c r="D6" s="46" t="s">
        <v>9486</v>
      </c>
      <c r="E6" t="s">
        <v>9506</v>
      </c>
      <c r="F6" s="3" t="s">
        <v>9539</v>
      </c>
      <c r="G6" s="3" t="s">
        <v>9510</v>
      </c>
      <c r="I6" t="str">
        <f t="shared" si="0"/>
        <v>|4|Beguile|Moon (Blue)|1| 4 |</v>
      </c>
    </row>
    <row r="7" spans="3:9" x14ac:dyDescent="0.2">
      <c r="C7">
        <v>5</v>
      </c>
      <c r="D7" s="46" t="s">
        <v>8144</v>
      </c>
      <c r="E7" t="s">
        <v>9504</v>
      </c>
      <c r="F7" s="3" t="s">
        <v>9539</v>
      </c>
      <c r="G7" s="3" t="s">
        <v>9511</v>
      </c>
      <c r="I7" t="str">
        <f t="shared" si="0"/>
        <v>|5|Deflect|Chaos (Yellow)|1| 5 |</v>
      </c>
    </row>
    <row r="8" spans="3:9" x14ac:dyDescent="0.2">
      <c r="C8">
        <v>6</v>
      </c>
      <c r="D8" s="46" t="s">
        <v>8148</v>
      </c>
      <c r="E8" t="s">
        <v>9505</v>
      </c>
      <c r="F8" s="3" t="s">
        <v>9540</v>
      </c>
      <c r="G8" s="3" t="s">
        <v>9512</v>
      </c>
      <c r="I8" t="str">
        <f t="shared" si="0"/>
        <v>|6|Magelock|Dragon (Red)|2| 6 |</v>
      </c>
    </row>
    <row r="9" spans="3:9" x14ac:dyDescent="0.2">
      <c r="C9">
        <v>7</v>
      </c>
      <c r="D9" s="46" t="s">
        <v>8151</v>
      </c>
      <c r="E9" t="s">
        <v>9506</v>
      </c>
      <c r="F9" s="3" t="s">
        <v>9540</v>
      </c>
      <c r="G9" s="3" t="s">
        <v>9513</v>
      </c>
      <c r="I9" t="str">
        <f t="shared" si="0"/>
        <v>|7|Conceal|Moon (Blue)|2| 7 |</v>
      </c>
    </row>
    <row r="10" spans="3:9" x14ac:dyDescent="0.2">
      <c r="C10">
        <v>8</v>
      </c>
      <c r="D10" s="46" t="s">
        <v>8150</v>
      </c>
      <c r="E10" t="s">
        <v>9490</v>
      </c>
      <c r="F10" s="3" t="s">
        <v>9541</v>
      </c>
      <c r="G10" s="3" t="s">
        <v>9514</v>
      </c>
      <c r="I10" t="str">
        <f t="shared" si="0"/>
        <v>|8|Warpower|Serpent (Green)|3| 8 |</v>
      </c>
    </row>
    <row r="11" spans="3:9" x14ac:dyDescent="0.2">
      <c r="C11">
        <v>9</v>
      </c>
      <c r="D11" s="46" t="s">
        <v>9491</v>
      </c>
      <c r="E11" t="s">
        <v>9505</v>
      </c>
      <c r="F11" s="3" t="s">
        <v>9539</v>
      </c>
      <c r="G11" s="3" t="s">
        <v>9515</v>
      </c>
      <c r="I11" t="str">
        <f t="shared" si="0"/>
        <v>|9|Missile|Dragon (Red)|1| 9 |</v>
      </c>
    </row>
    <row r="12" spans="3:9" x14ac:dyDescent="0.2">
      <c r="C12">
        <v>10</v>
      </c>
      <c r="D12" s="46" t="s">
        <v>8153</v>
      </c>
      <c r="E12" t="s">
        <v>9506</v>
      </c>
      <c r="F12" s="3" t="s">
        <v>9541</v>
      </c>
      <c r="G12" s="3" t="s">
        <v>9516</v>
      </c>
      <c r="I12" t="str">
        <f t="shared" si="0"/>
        <v>|10|Vanish|Moon (Blue)|3|10 |</v>
      </c>
    </row>
    <row r="13" spans="3:9" x14ac:dyDescent="0.2">
      <c r="C13">
        <v>11</v>
      </c>
      <c r="D13" s="46" t="s">
        <v>8154</v>
      </c>
      <c r="E13" t="s">
        <v>9490</v>
      </c>
      <c r="F13" s="3" t="s">
        <v>9540</v>
      </c>
      <c r="G13" s="3" t="s">
        <v>9517</v>
      </c>
      <c r="I13" t="str">
        <f t="shared" si="0"/>
        <v>|11|Paralyze|Serpent (Green)|2|11 |</v>
      </c>
    </row>
    <row r="14" spans="3:9" x14ac:dyDescent="0.2">
      <c r="C14">
        <v>12</v>
      </c>
      <c r="D14" s="46" t="s">
        <v>8155</v>
      </c>
      <c r="E14" t="s">
        <v>9504</v>
      </c>
      <c r="F14" s="3" t="s">
        <v>9542</v>
      </c>
      <c r="G14" s="3" t="s">
        <v>9518</v>
      </c>
      <c r="I14" t="str">
        <f t="shared" si="0"/>
        <v>|12|Alchemy|Chaos (Yellow)|5|12 |</v>
      </c>
    </row>
    <row r="15" spans="3:9" x14ac:dyDescent="0.2">
      <c r="C15">
        <v>13</v>
      </c>
      <c r="D15" s="46" t="s">
        <v>8149</v>
      </c>
      <c r="E15" t="s">
        <v>9506</v>
      </c>
      <c r="F15" s="3" t="s">
        <v>9540</v>
      </c>
      <c r="G15" s="3" t="s">
        <v>9519</v>
      </c>
      <c r="I15" t="str">
        <f t="shared" si="0"/>
        <v>|13|Confuse|Moon (Blue)|2|13 |</v>
      </c>
    </row>
    <row r="16" spans="3:9" x14ac:dyDescent="0.2">
      <c r="C16">
        <v>14</v>
      </c>
      <c r="D16" s="46" t="s">
        <v>8156</v>
      </c>
      <c r="E16" t="s">
        <v>9490</v>
      </c>
      <c r="F16" s="3" t="s">
        <v>9540</v>
      </c>
      <c r="G16" s="3" t="s">
        <v>9520</v>
      </c>
      <c r="I16" t="str">
        <f t="shared" si="0"/>
        <v>|14|Levitate|Serpent (Green)|2|14 |</v>
      </c>
    </row>
    <row r="17" spans="3:9" x14ac:dyDescent="0.2">
      <c r="C17">
        <v>15</v>
      </c>
      <c r="D17" s="46" t="s">
        <v>8157</v>
      </c>
      <c r="E17" t="s">
        <v>9504</v>
      </c>
      <c r="F17" s="3" t="s">
        <v>9543</v>
      </c>
      <c r="G17" s="3" t="s">
        <v>9521</v>
      </c>
      <c r="I17" t="str">
        <f t="shared" si="0"/>
        <v>|15|Antimage|Chaos (Yellow)|4|15 |</v>
      </c>
    </row>
    <row r="18" spans="3:9" x14ac:dyDescent="0.2">
      <c r="C18">
        <v>16</v>
      </c>
      <c r="D18" s="46" t="s">
        <v>8158</v>
      </c>
      <c r="E18" t="s">
        <v>9505</v>
      </c>
      <c r="F18" s="3" t="s">
        <v>9542</v>
      </c>
      <c r="G18" s="3" t="s">
        <v>9522</v>
      </c>
      <c r="I18" t="str">
        <f t="shared" si="0"/>
        <v>|16|Recharge|Dragon (Red)|5|16 |</v>
      </c>
    </row>
    <row r="19" spans="3:9" x14ac:dyDescent="0.2">
      <c r="C19">
        <v>17</v>
      </c>
      <c r="D19" s="46" t="s">
        <v>9492</v>
      </c>
      <c r="E19" t="s">
        <v>9506</v>
      </c>
      <c r="F19" s="3" t="s">
        <v>9541</v>
      </c>
      <c r="G19" s="3" t="s">
        <v>9523</v>
      </c>
      <c r="I19" t="str">
        <f t="shared" si="0"/>
        <v>|17|TrueView|Moon (Blue)|3|17 |</v>
      </c>
    </row>
    <row r="20" spans="3:9" x14ac:dyDescent="0.2">
      <c r="C20">
        <v>18</v>
      </c>
      <c r="D20" s="46" t="s">
        <v>8160</v>
      </c>
      <c r="E20" t="s">
        <v>9490</v>
      </c>
      <c r="F20" s="3" t="s">
        <v>9541</v>
      </c>
      <c r="G20" s="3" t="s">
        <v>9524</v>
      </c>
      <c r="I20" t="str">
        <f t="shared" si="0"/>
        <v>|18|Renew|Serpent (Green)|3|18 |</v>
      </c>
    </row>
    <row r="21" spans="3:9" x14ac:dyDescent="0.2">
      <c r="C21">
        <v>19</v>
      </c>
      <c r="D21" s="46" t="s">
        <v>8161</v>
      </c>
      <c r="E21" t="s">
        <v>9504</v>
      </c>
      <c r="F21" s="3" t="s">
        <v>9544</v>
      </c>
      <c r="G21" s="3" t="s">
        <v>9525</v>
      </c>
      <c r="I21" t="str">
        <f t="shared" si="0"/>
        <v>|19|Vivify|Chaos (Yellow)|7|19 |</v>
      </c>
    </row>
    <row r="22" spans="3:9" x14ac:dyDescent="0.2">
      <c r="C22">
        <v>20</v>
      </c>
      <c r="D22" s="46" t="s">
        <v>8162</v>
      </c>
      <c r="E22" t="s">
        <v>9505</v>
      </c>
      <c r="F22" s="3" t="s">
        <v>9541</v>
      </c>
      <c r="G22" s="3" t="s">
        <v>9526</v>
      </c>
      <c r="I22" t="str">
        <f t="shared" si="0"/>
        <v>|20|Dispell|Dragon (Red)|3|20 |</v>
      </c>
    </row>
    <row r="23" spans="3:9" x14ac:dyDescent="0.2">
      <c r="C23">
        <v>21</v>
      </c>
      <c r="D23" s="46" t="s">
        <v>8163</v>
      </c>
      <c r="E23" t="s">
        <v>9505</v>
      </c>
      <c r="F23" s="3" t="s">
        <v>9543</v>
      </c>
      <c r="G23" s="3" t="s">
        <v>9527</v>
      </c>
      <c r="I23" t="str">
        <f t="shared" si="0"/>
        <v>|21|Firepath|Dragon (Red)|4|21 |</v>
      </c>
    </row>
    <row r="24" spans="3:9" x14ac:dyDescent="0.2">
      <c r="C24">
        <v>22</v>
      </c>
      <c r="D24" s="46" t="s">
        <v>8164</v>
      </c>
      <c r="E24" t="s">
        <v>9506</v>
      </c>
      <c r="F24" s="3" t="s">
        <v>9543</v>
      </c>
      <c r="G24" s="3" t="s">
        <v>9528</v>
      </c>
      <c r="I24" t="str">
        <f t="shared" si="0"/>
        <v>|22|Illusion|Moon (Blue)|4|22 |</v>
      </c>
    </row>
    <row r="25" spans="3:9" x14ac:dyDescent="0.2">
      <c r="C25">
        <v>23</v>
      </c>
      <c r="D25" s="46" t="s">
        <v>8165</v>
      </c>
      <c r="E25" t="s">
        <v>9490</v>
      </c>
      <c r="F25" s="3" t="s">
        <v>9540</v>
      </c>
      <c r="G25" s="3" t="s">
        <v>9529</v>
      </c>
      <c r="I25" t="str">
        <f t="shared" si="0"/>
        <v>|23|Compass|Serpent (Green)|2|23 |</v>
      </c>
    </row>
    <row r="26" spans="3:9" x14ac:dyDescent="0.2">
      <c r="C26">
        <v>24</v>
      </c>
      <c r="D26" s="46" t="s">
        <v>8166</v>
      </c>
      <c r="E26" t="s">
        <v>9504</v>
      </c>
      <c r="F26" s="3" t="s">
        <v>9542</v>
      </c>
      <c r="G26" s="3" t="s">
        <v>9530</v>
      </c>
      <c r="I26" t="str">
        <f t="shared" si="0"/>
        <v>|24|Spelltap|Chaos (Yellow)|5|24 |</v>
      </c>
    </row>
    <row r="27" spans="3:9" x14ac:dyDescent="0.2">
      <c r="C27">
        <v>25</v>
      </c>
      <c r="D27" s="46" t="s">
        <v>8167</v>
      </c>
      <c r="F27" s="3" t="s">
        <v>9545</v>
      </c>
      <c r="G27" s="3" t="s">
        <v>9531</v>
      </c>
      <c r="I27" t="str">
        <f t="shared" si="0"/>
        <v>|25|Disrupt||8|25 |</v>
      </c>
    </row>
    <row r="28" spans="3:9" x14ac:dyDescent="0.2">
      <c r="C28">
        <v>26</v>
      </c>
      <c r="D28" s="46" t="s">
        <v>8168</v>
      </c>
      <c r="E28" t="s">
        <v>9505</v>
      </c>
      <c r="F28" s="3" t="s">
        <v>9541</v>
      </c>
      <c r="G28" s="3" t="s">
        <v>9532</v>
      </c>
      <c r="I28" t="str">
        <f t="shared" si="0"/>
        <v>|26|Fireball|Dragon (Red)|3|26 |</v>
      </c>
    </row>
    <row r="29" spans="3:9" x14ac:dyDescent="0.2">
      <c r="C29">
        <v>27</v>
      </c>
      <c r="D29" s="46" t="s">
        <v>8169</v>
      </c>
      <c r="E29" t="s">
        <v>9506</v>
      </c>
      <c r="F29" s="3" t="s">
        <v>9544</v>
      </c>
      <c r="G29" s="3" t="s">
        <v>9533</v>
      </c>
      <c r="I29" t="str">
        <f t="shared" si="0"/>
        <v>|27|Wychwind|Moon (Blue)|7|27 |</v>
      </c>
    </row>
    <row r="30" spans="3:9" x14ac:dyDescent="0.2">
      <c r="C30">
        <v>28</v>
      </c>
      <c r="D30" s="46" t="s">
        <v>9493</v>
      </c>
      <c r="E30" t="s">
        <v>9490</v>
      </c>
      <c r="F30" s="3" t="s">
        <v>9543</v>
      </c>
      <c r="G30" s="3" t="s">
        <v>9534</v>
      </c>
      <c r="I30" t="str">
        <f t="shared" si="0"/>
        <v>|28|ArcBolt|Serpent (Green)|4|28 |</v>
      </c>
    </row>
    <row r="31" spans="3:9" x14ac:dyDescent="0.2">
      <c r="C31">
        <v>29</v>
      </c>
      <c r="D31" s="46" t="s">
        <v>8171</v>
      </c>
      <c r="E31" t="s">
        <v>9490</v>
      </c>
      <c r="F31" s="3" t="s">
        <v>9542</v>
      </c>
      <c r="G31" s="3" t="s">
        <v>9535</v>
      </c>
      <c r="I31" t="str">
        <f t="shared" si="0"/>
        <v>|29|Formwall|Serpent (Green)|5|29 |</v>
      </c>
    </row>
    <row r="32" spans="3:9" x14ac:dyDescent="0.2">
      <c r="C32">
        <v>30</v>
      </c>
      <c r="D32" s="46" t="s">
        <v>8172</v>
      </c>
      <c r="E32" t="s">
        <v>9504</v>
      </c>
      <c r="F32" s="3" t="s">
        <v>9546</v>
      </c>
      <c r="G32" s="3" t="s">
        <v>9536</v>
      </c>
      <c r="I32" t="str">
        <f t="shared" si="0"/>
        <v>|30|Summon|Chaos (Yellow)|6|30 |</v>
      </c>
    </row>
    <row r="33" spans="3:9" x14ac:dyDescent="0.2">
      <c r="C33">
        <v>31</v>
      </c>
      <c r="D33" s="46" t="s">
        <v>8173</v>
      </c>
      <c r="E33" t="s">
        <v>9505</v>
      </c>
      <c r="F33" s="3" t="s">
        <v>9546</v>
      </c>
      <c r="G33" s="3" t="s">
        <v>9537</v>
      </c>
      <c r="I33" t="str">
        <f t="shared" si="0"/>
        <v>|31|Blaze|Dragon (Red)|6|31 |</v>
      </c>
    </row>
    <row r="34" spans="3:9" x14ac:dyDescent="0.2">
      <c r="C34">
        <v>32</v>
      </c>
      <c r="D34" s="46" t="s">
        <v>9494</v>
      </c>
      <c r="E34" t="s">
        <v>9506</v>
      </c>
      <c r="F34" s="3" t="s">
        <v>9543</v>
      </c>
      <c r="G34" s="3" t="s">
        <v>9538</v>
      </c>
      <c r="I34" t="str">
        <f t="shared" si="0"/>
        <v>|32|MindRock|Moon (Blue)|4|32 |</v>
      </c>
    </row>
    <row r="35" spans="3:9" x14ac:dyDescent="0.2">
      <c r="I35" t="str">
        <f t="shared" si="0"/>
        <v>||||||</v>
      </c>
    </row>
    <row r="36" spans="3:9" x14ac:dyDescent="0.2">
      <c r="C36">
        <v>33</v>
      </c>
      <c r="D36" s="46" t="s">
        <v>9495</v>
      </c>
      <c r="E36" t="s">
        <v>9503</v>
      </c>
      <c r="I36" t="str">
        <f t="shared" si="0"/>
        <v>|33|Protect|Ancient (Pink)|||</v>
      </c>
    </row>
    <row r="37" spans="3:9" x14ac:dyDescent="0.2">
      <c r="C37">
        <v>34</v>
      </c>
      <c r="D37" s="46" t="s">
        <v>9496</v>
      </c>
      <c r="E37" t="s">
        <v>9503</v>
      </c>
      <c r="I37" t="str">
        <f t="shared" si="0"/>
        <v>|34|Phaze|Ancient (Pink)|||</v>
      </c>
    </row>
    <row r="38" spans="3:9" x14ac:dyDescent="0.2">
      <c r="C38">
        <v>35</v>
      </c>
      <c r="D38" s="46" t="s">
        <v>9497</v>
      </c>
      <c r="E38" t="s">
        <v>9503</v>
      </c>
      <c r="I38" t="str">
        <f t="shared" si="0"/>
        <v>|35|Enhance|Ancient (Pink)|||</v>
      </c>
    </row>
    <row r="39" spans="3:9" x14ac:dyDescent="0.2">
      <c r="C39">
        <v>36</v>
      </c>
      <c r="D39" s="46" t="s">
        <v>9498</v>
      </c>
      <c r="E39" t="s">
        <v>9503</v>
      </c>
      <c r="I39" t="str">
        <f t="shared" si="0"/>
        <v>|36|Inferno|Ancient (Pink)|||</v>
      </c>
    </row>
    <row r="40" spans="3:9" x14ac:dyDescent="0.2">
      <c r="C40">
        <v>37</v>
      </c>
      <c r="D40" s="46" t="s">
        <v>9499</v>
      </c>
      <c r="E40" t="s">
        <v>9503</v>
      </c>
      <c r="I40" t="str">
        <f t="shared" si="0"/>
        <v>|37|Nullify|Ancient (Pink)|||</v>
      </c>
    </row>
    <row r="41" spans="3:9" x14ac:dyDescent="0.2">
      <c r="C41">
        <v>38</v>
      </c>
      <c r="D41" s="46" t="s">
        <v>9500</v>
      </c>
      <c r="E41" t="s">
        <v>9503</v>
      </c>
      <c r="I41" t="str">
        <f t="shared" si="0"/>
        <v>|38|Restore|Ancient (Pink)|||</v>
      </c>
    </row>
    <row r="42" spans="3:9" x14ac:dyDescent="0.2">
      <c r="C42">
        <v>39</v>
      </c>
      <c r="D42" s="46" t="s">
        <v>9501</v>
      </c>
      <c r="E42" t="s">
        <v>9503</v>
      </c>
      <c r="I42" t="str">
        <f t="shared" si="0"/>
        <v>|39|Spray|Ancient (Pink)|||</v>
      </c>
    </row>
    <row r="43" spans="3:9" x14ac:dyDescent="0.2">
      <c r="C43">
        <v>40</v>
      </c>
      <c r="D43" s="46" t="s">
        <v>9502</v>
      </c>
      <c r="E43" t="s">
        <v>9503</v>
      </c>
      <c r="I43" t="str">
        <f t="shared" si="0"/>
        <v>|40|Vortex|Ancient (Pink)|||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MacroTools</vt:lpstr>
      <vt:lpstr>Labels</vt:lpstr>
      <vt:lpstr>BWOrganised</vt:lpstr>
      <vt:lpstr>BextOrganised</vt:lpstr>
      <vt:lpstr>Sheet5</vt:lpstr>
      <vt:lpstr>pocket-offsets</vt:lpstr>
      <vt:lpstr>Sheet2</vt:lpstr>
      <vt:lpstr>ObjectIcons</vt:lpstr>
      <vt:lpstr>Objects</vt:lpstr>
      <vt:lpstr>SpellTable</vt:lpstr>
      <vt:lpstr>EditSheet</vt:lpstr>
      <vt:lpstr>EditSheet2</vt:lpstr>
      <vt:lpstr>FileIN</vt:lpstr>
      <vt:lpstr>FileIN2</vt:lpstr>
      <vt:lpstr>JT_Name</vt:lpstr>
      <vt:lpstr>Path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2021-03-03T17:51:04Z</dcterms:modified>
</cp:coreProperties>
</file>